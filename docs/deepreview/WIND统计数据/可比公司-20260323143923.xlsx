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详情\20240308 可比公司\"/>
    </mc:Choice>
  </mc:AlternateContent>
  <xr:revisionPtr revIDLastSave="0" documentId="13_ncr:1_{423C1AB0-CBF7-4502-8151-DEC9A30DEA38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基本资料" sheetId="1" r:id="rId1"/>
    <sheet name="财务报表摘要" sheetId="10" r:id="rId2"/>
    <sheet name="估值分析" sheetId="26" r:id="rId3"/>
    <sheet name="财务分析" sheetId="27" r:id="rId4"/>
    <sheet name="盈利预测" sheetId="28" r:id="rId5"/>
    <sheet name="主营构成分析" sheetId="30" r:id="rId6"/>
    <sheet name="Wind模板" sheetId="31" state="veryHidden" r:id="rId7"/>
  </sheets>
  <externalReferences>
    <externalReference r:id="rId8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30" l="1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9" i="30"/>
  <c r="C10" i="30"/>
  <c r="C11" i="30"/>
  <c r="C12" i="30"/>
  <c r="C13" i="30"/>
  <c r="C14" i="30"/>
  <c r="C15" i="30"/>
  <c r="C16" i="30"/>
  <c r="C17" i="30"/>
  <c r="C18" i="30"/>
  <c r="C19" i="30"/>
  <c r="C8" i="30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9" i="28"/>
  <c r="C10" i="28"/>
  <c r="C11" i="28"/>
  <c r="C12" i="28"/>
  <c r="C13" i="28"/>
  <c r="C14" i="28"/>
  <c r="C15" i="28"/>
  <c r="C16" i="28"/>
  <c r="C17" i="28"/>
  <c r="C18" i="28"/>
  <c r="C19" i="28"/>
  <c r="C8" i="28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9" i="27"/>
  <c r="C10" i="27"/>
  <c r="C11" i="27"/>
  <c r="C12" i="27"/>
  <c r="C13" i="27"/>
  <c r="C14" i="27"/>
  <c r="C15" i="27"/>
  <c r="C16" i="27"/>
  <c r="C17" i="27"/>
  <c r="C18" i="27"/>
  <c r="C19" i="27"/>
  <c r="C8" i="27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9" i="26"/>
  <c r="C10" i="26"/>
  <c r="C11" i="26"/>
  <c r="C12" i="26"/>
  <c r="C13" i="26"/>
  <c r="C14" i="26"/>
  <c r="C15" i="26"/>
  <c r="C16" i="26"/>
  <c r="C17" i="26"/>
  <c r="C18" i="26"/>
  <c r="C19" i="26"/>
  <c r="C8" i="26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D21" i="30" l="1"/>
  <c r="E21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AE21" i="30"/>
  <c r="AF21" i="30"/>
  <c r="AG21" i="30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AD22" i="30"/>
  <c r="AE22" i="30"/>
  <c r="AF22" i="30"/>
  <c r="AG22" i="30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AD23" i="30"/>
  <c r="AE23" i="30"/>
  <c r="AF23" i="30"/>
  <c r="AG23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AD25" i="30"/>
  <c r="AE25" i="30"/>
  <c r="AF25" i="30"/>
  <c r="AG25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AD26" i="30"/>
  <c r="AE26" i="30"/>
  <c r="AF26" i="30"/>
  <c r="AG26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AD27" i="30"/>
  <c r="AE27" i="30"/>
  <c r="AF27" i="30"/>
  <c r="AG27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AD28" i="30"/>
  <c r="AE28" i="30"/>
  <c r="AF28" i="30"/>
  <c r="AG28" i="30"/>
  <c r="D29" i="30"/>
  <c r="E29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AD29" i="30"/>
  <c r="AE29" i="30"/>
  <c r="AF29" i="30"/>
  <c r="AG29" i="30"/>
  <c r="D30" i="30"/>
  <c r="E30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AD30" i="30"/>
  <c r="AE30" i="30"/>
  <c r="AF30" i="30"/>
  <c r="AG30" i="30"/>
  <c r="D31" i="30"/>
  <c r="E31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AD31" i="30"/>
  <c r="AE31" i="30"/>
  <c r="AF31" i="30"/>
  <c r="AG31" i="30"/>
  <c r="D32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AD32" i="30"/>
  <c r="AE32" i="30"/>
  <c r="AF32" i="30"/>
  <c r="AG32" i="30"/>
  <c r="D33" i="30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AD33" i="30"/>
  <c r="AE33" i="30"/>
  <c r="AF33" i="30"/>
  <c r="AG33" i="30"/>
  <c r="D34" i="30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AD34" i="30"/>
  <c r="AE34" i="30"/>
  <c r="AF34" i="30"/>
  <c r="AG34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AD35" i="30"/>
  <c r="AE35" i="30"/>
  <c r="AF35" i="30"/>
  <c r="AG35" i="30"/>
  <c r="D36" i="30"/>
  <c r="E36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AD36" i="30"/>
  <c r="AE36" i="30"/>
  <c r="AF36" i="30"/>
  <c r="AG36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AD37" i="30"/>
  <c r="AE37" i="30"/>
  <c r="AF37" i="30"/>
  <c r="AG37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AD38" i="30"/>
  <c r="AE38" i="30"/>
  <c r="AF38" i="30"/>
  <c r="AG38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AD39" i="30"/>
  <c r="AE39" i="30"/>
  <c r="AF39" i="30"/>
  <c r="AG39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AD40" i="30"/>
  <c r="AE40" i="30"/>
  <c r="AF40" i="30"/>
  <c r="AG40" i="30"/>
  <c r="D41" i="30"/>
  <c r="E41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AD41" i="30"/>
  <c r="AE41" i="30"/>
  <c r="AF41" i="30"/>
  <c r="AG41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AB42" i="30"/>
  <c r="AC42" i="30"/>
  <c r="AD42" i="30"/>
  <c r="AE42" i="30"/>
  <c r="AF42" i="30"/>
  <c r="AG42" i="30"/>
  <c r="D43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AD43" i="30"/>
  <c r="AE43" i="30"/>
  <c r="AF43" i="30"/>
  <c r="AG43" i="30"/>
  <c r="D44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AD44" i="30"/>
  <c r="AE44" i="30"/>
  <c r="AF44" i="30"/>
  <c r="AG44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AD45" i="30"/>
  <c r="AE45" i="30"/>
  <c r="AF45" i="30"/>
  <c r="AG45" i="30"/>
  <c r="D46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AB46" i="30"/>
  <c r="AC46" i="30"/>
  <c r="AD46" i="30"/>
  <c r="AE46" i="30"/>
  <c r="AF46" i="30"/>
  <c r="AG46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AD47" i="30"/>
  <c r="AE47" i="30"/>
  <c r="AF47" i="30"/>
  <c r="AG47" i="30"/>
  <c r="D48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AD48" i="30"/>
  <c r="AE48" i="30"/>
  <c r="AF48" i="30"/>
  <c r="AG48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AD49" i="30"/>
  <c r="AE49" i="30"/>
  <c r="AF49" i="30"/>
  <c r="AG49" i="30"/>
  <c r="D50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AD50" i="30"/>
  <c r="AE50" i="30"/>
  <c r="AF50" i="30"/>
  <c r="AG50" i="30"/>
  <c r="D51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AD51" i="30"/>
  <c r="AE51" i="30"/>
  <c r="AF51" i="30"/>
  <c r="AG51" i="30"/>
  <c r="D52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AD52" i="30"/>
  <c r="AE52" i="30"/>
  <c r="AF52" i="30"/>
  <c r="AG52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AD53" i="30"/>
  <c r="AE53" i="30"/>
  <c r="AF53" i="30"/>
  <c r="AG53" i="30"/>
  <c r="D54" i="30"/>
  <c r="E54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D54" i="30"/>
  <c r="AE54" i="30"/>
  <c r="AF54" i="30"/>
  <c r="AG54" i="30"/>
  <c r="D55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R55" i="30"/>
  <c r="S55" i="30"/>
  <c r="T55" i="30"/>
  <c r="U55" i="30"/>
  <c r="V55" i="30"/>
  <c r="W55" i="30"/>
  <c r="X55" i="30"/>
  <c r="Y55" i="30"/>
  <c r="Z55" i="30"/>
  <c r="AA55" i="30"/>
  <c r="AB55" i="30"/>
  <c r="AC55" i="30"/>
  <c r="AD55" i="30"/>
  <c r="AE55" i="30"/>
  <c r="AF55" i="30"/>
  <c r="AG55" i="30"/>
  <c r="D56" i="30"/>
  <c r="E56" i="30"/>
  <c r="F56" i="30"/>
  <c r="G56" i="30"/>
  <c r="H56" i="30"/>
  <c r="I56" i="30"/>
  <c r="J56" i="30"/>
  <c r="K56" i="30"/>
  <c r="L56" i="30"/>
  <c r="M56" i="30"/>
  <c r="N56" i="30"/>
  <c r="O56" i="30"/>
  <c r="P56" i="30"/>
  <c r="Q56" i="30"/>
  <c r="R56" i="30"/>
  <c r="S56" i="30"/>
  <c r="T56" i="30"/>
  <c r="U56" i="30"/>
  <c r="V56" i="30"/>
  <c r="W56" i="30"/>
  <c r="X56" i="30"/>
  <c r="Y56" i="30"/>
  <c r="Z56" i="30"/>
  <c r="AA56" i="30"/>
  <c r="AB56" i="30"/>
  <c r="AC56" i="30"/>
  <c r="AD56" i="30"/>
  <c r="AE56" i="30"/>
  <c r="AF56" i="30"/>
  <c r="AG56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D68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R68" i="30"/>
  <c r="S68" i="30"/>
  <c r="T68" i="30"/>
  <c r="U68" i="30"/>
  <c r="V68" i="30"/>
  <c r="W68" i="30"/>
  <c r="X68" i="30"/>
  <c r="Y68" i="30"/>
  <c r="Z68" i="30"/>
  <c r="AA68" i="30"/>
  <c r="AB68" i="30"/>
  <c r="AC68" i="30"/>
  <c r="AD68" i="30"/>
  <c r="AE68" i="30"/>
  <c r="AF68" i="30"/>
  <c r="AG68" i="30"/>
  <c r="D69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U69" i="30"/>
  <c r="V69" i="30"/>
  <c r="W69" i="30"/>
  <c r="X69" i="30"/>
  <c r="Y69" i="30"/>
  <c r="Z69" i="30"/>
  <c r="AA69" i="30"/>
  <c r="AB69" i="30"/>
  <c r="AC69" i="30"/>
  <c r="AD69" i="30"/>
  <c r="AE69" i="30"/>
  <c r="AF69" i="30"/>
  <c r="AG69" i="30"/>
  <c r="D70" i="30"/>
  <c r="E70" i="30"/>
  <c r="F70" i="30"/>
  <c r="G70" i="30"/>
  <c r="H70" i="30"/>
  <c r="I70" i="30"/>
  <c r="J70" i="30"/>
  <c r="K70" i="30"/>
  <c r="L70" i="30"/>
  <c r="M70" i="30"/>
  <c r="N70" i="30"/>
  <c r="O70" i="30"/>
  <c r="P70" i="30"/>
  <c r="Q70" i="30"/>
  <c r="R70" i="30"/>
  <c r="S70" i="30"/>
  <c r="T70" i="30"/>
  <c r="U70" i="30"/>
  <c r="V70" i="30"/>
  <c r="W70" i="30"/>
  <c r="X70" i="30"/>
  <c r="Y70" i="30"/>
  <c r="Z70" i="30"/>
  <c r="AA70" i="30"/>
  <c r="AB70" i="30"/>
  <c r="AC70" i="30"/>
  <c r="AD70" i="30"/>
  <c r="AE70" i="30"/>
  <c r="AF70" i="30"/>
  <c r="AG70" i="30"/>
  <c r="D71" i="30"/>
  <c r="E71" i="30"/>
  <c r="F71" i="30"/>
  <c r="G71" i="30"/>
  <c r="H71" i="30"/>
  <c r="I71" i="30"/>
  <c r="J71" i="30"/>
  <c r="K71" i="30"/>
  <c r="L71" i="30"/>
  <c r="M71" i="30"/>
  <c r="N71" i="30"/>
  <c r="O71" i="30"/>
  <c r="P71" i="30"/>
  <c r="Q71" i="30"/>
  <c r="R71" i="30"/>
  <c r="S71" i="30"/>
  <c r="T71" i="30"/>
  <c r="U71" i="30"/>
  <c r="V71" i="30"/>
  <c r="W71" i="30"/>
  <c r="X71" i="30"/>
  <c r="Y71" i="30"/>
  <c r="Z71" i="30"/>
  <c r="AA71" i="30"/>
  <c r="AB71" i="30"/>
  <c r="AC71" i="30"/>
  <c r="AD71" i="30"/>
  <c r="AE71" i="30"/>
  <c r="AF71" i="30"/>
  <c r="AG71" i="30"/>
  <c r="D72" i="30"/>
  <c r="E72" i="30"/>
  <c r="F72" i="30"/>
  <c r="G72" i="30"/>
  <c r="H72" i="30"/>
  <c r="I72" i="30"/>
  <c r="J72" i="30"/>
  <c r="K72" i="30"/>
  <c r="L72" i="30"/>
  <c r="M72" i="30"/>
  <c r="N72" i="30"/>
  <c r="O72" i="30"/>
  <c r="P72" i="30"/>
  <c r="Q72" i="30"/>
  <c r="R72" i="30"/>
  <c r="S72" i="30"/>
  <c r="T72" i="30"/>
  <c r="U72" i="30"/>
  <c r="V72" i="30"/>
  <c r="W72" i="30"/>
  <c r="X72" i="30"/>
  <c r="Y72" i="30"/>
  <c r="Z72" i="30"/>
  <c r="AA72" i="30"/>
  <c r="AB72" i="30"/>
  <c r="AC72" i="30"/>
  <c r="AD72" i="30"/>
  <c r="AE72" i="30"/>
  <c r="AF72" i="30"/>
  <c r="AG72" i="30"/>
  <c r="D73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U73" i="30"/>
  <c r="V73" i="30"/>
  <c r="W73" i="30"/>
  <c r="X73" i="30"/>
  <c r="Y73" i="30"/>
  <c r="Z73" i="30"/>
  <c r="AA73" i="30"/>
  <c r="AB73" i="30"/>
  <c r="AC73" i="30"/>
  <c r="AD73" i="30"/>
  <c r="AE73" i="30"/>
  <c r="AF73" i="30"/>
  <c r="AG73" i="30"/>
  <c r="D74" i="30"/>
  <c r="E74" i="30"/>
  <c r="F74" i="30"/>
  <c r="G74" i="30"/>
  <c r="H74" i="30"/>
  <c r="I74" i="30"/>
  <c r="J74" i="30"/>
  <c r="K74" i="30"/>
  <c r="L74" i="30"/>
  <c r="M74" i="30"/>
  <c r="N74" i="30"/>
  <c r="O74" i="30"/>
  <c r="P74" i="30"/>
  <c r="Q74" i="30"/>
  <c r="R74" i="30"/>
  <c r="S74" i="30"/>
  <c r="T74" i="30"/>
  <c r="U74" i="30"/>
  <c r="V74" i="30"/>
  <c r="W74" i="30"/>
  <c r="X74" i="30"/>
  <c r="Y74" i="30"/>
  <c r="Z74" i="30"/>
  <c r="AA74" i="30"/>
  <c r="AB74" i="30"/>
  <c r="AC74" i="30"/>
  <c r="AD74" i="30"/>
  <c r="AE74" i="30"/>
  <c r="AF74" i="30"/>
  <c r="AG74" i="30"/>
  <c r="D75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U75" i="30"/>
  <c r="V75" i="30"/>
  <c r="W75" i="30"/>
  <c r="X75" i="30"/>
  <c r="Y75" i="30"/>
  <c r="Z75" i="30"/>
  <c r="AA75" i="30"/>
  <c r="AB75" i="30"/>
  <c r="AC75" i="30"/>
  <c r="AD75" i="30"/>
  <c r="AE75" i="30"/>
  <c r="AF75" i="30"/>
  <c r="AG75" i="30"/>
  <c r="D76" i="30"/>
  <c r="E76" i="30"/>
  <c r="F76" i="30"/>
  <c r="G76" i="30"/>
  <c r="H76" i="30"/>
  <c r="I76" i="30"/>
  <c r="J76" i="30"/>
  <c r="K76" i="30"/>
  <c r="L76" i="30"/>
  <c r="M76" i="30"/>
  <c r="N76" i="30"/>
  <c r="O76" i="30"/>
  <c r="P76" i="30"/>
  <c r="Q76" i="30"/>
  <c r="R76" i="30"/>
  <c r="S76" i="30"/>
  <c r="T76" i="30"/>
  <c r="U76" i="30"/>
  <c r="V76" i="30"/>
  <c r="W76" i="30"/>
  <c r="X76" i="30"/>
  <c r="Y76" i="30"/>
  <c r="Z76" i="30"/>
  <c r="AA76" i="30"/>
  <c r="AB76" i="30"/>
  <c r="AC76" i="30"/>
  <c r="AD76" i="30"/>
  <c r="AE76" i="30"/>
  <c r="AF76" i="30"/>
  <c r="AG76" i="30"/>
  <c r="D77" i="30"/>
  <c r="E77" i="30"/>
  <c r="F77" i="30"/>
  <c r="G77" i="30"/>
  <c r="H77" i="30"/>
  <c r="I77" i="30"/>
  <c r="J77" i="30"/>
  <c r="K77" i="30"/>
  <c r="L77" i="30"/>
  <c r="M77" i="30"/>
  <c r="N77" i="30"/>
  <c r="O77" i="30"/>
  <c r="P77" i="30"/>
  <c r="Q77" i="30"/>
  <c r="R77" i="30"/>
  <c r="S77" i="30"/>
  <c r="T77" i="30"/>
  <c r="U77" i="30"/>
  <c r="V77" i="30"/>
  <c r="W77" i="30"/>
  <c r="X77" i="30"/>
  <c r="Y77" i="30"/>
  <c r="Z77" i="30"/>
  <c r="AA77" i="30"/>
  <c r="AB77" i="30"/>
  <c r="AC77" i="30"/>
  <c r="AD77" i="30"/>
  <c r="AE77" i="30"/>
  <c r="AF77" i="30"/>
  <c r="AG77" i="30"/>
  <c r="D78" i="30"/>
  <c r="E78" i="30"/>
  <c r="F78" i="30"/>
  <c r="G78" i="30"/>
  <c r="H78" i="30"/>
  <c r="I78" i="30"/>
  <c r="J78" i="30"/>
  <c r="K78" i="30"/>
  <c r="L78" i="30"/>
  <c r="M78" i="30"/>
  <c r="N78" i="30"/>
  <c r="O78" i="30"/>
  <c r="P78" i="30"/>
  <c r="Q78" i="30"/>
  <c r="R78" i="30"/>
  <c r="S78" i="30"/>
  <c r="T78" i="30"/>
  <c r="U78" i="30"/>
  <c r="V78" i="30"/>
  <c r="W78" i="30"/>
  <c r="X78" i="30"/>
  <c r="Y78" i="30"/>
  <c r="Z78" i="30"/>
  <c r="AA78" i="30"/>
  <c r="AB78" i="30"/>
  <c r="AC78" i="30"/>
  <c r="AD78" i="30"/>
  <c r="AE78" i="30"/>
  <c r="AF78" i="30"/>
  <c r="AG78" i="30"/>
  <c r="D79" i="30"/>
  <c r="E79" i="30"/>
  <c r="F79" i="30"/>
  <c r="G79" i="30"/>
  <c r="H79" i="30"/>
  <c r="I79" i="30"/>
  <c r="J79" i="30"/>
  <c r="K79" i="30"/>
  <c r="L79" i="30"/>
  <c r="M79" i="30"/>
  <c r="N79" i="30"/>
  <c r="O79" i="30"/>
  <c r="P79" i="30"/>
  <c r="Q79" i="30"/>
  <c r="R79" i="30"/>
  <c r="S79" i="30"/>
  <c r="T79" i="30"/>
  <c r="U79" i="30"/>
  <c r="V79" i="30"/>
  <c r="W79" i="30"/>
  <c r="X79" i="30"/>
  <c r="Y79" i="30"/>
  <c r="Z79" i="30"/>
  <c r="AA79" i="30"/>
  <c r="AB79" i="30"/>
  <c r="AC79" i="30"/>
  <c r="AD79" i="30"/>
  <c r="AE79" i="30"/>
  <c r="AF79" i="30"/>
  <c r="AG79" i="30"/>
  <c r="D80" i="30"/>
  <c r="E80" i="30"/>
  <c r="F80" i="30"/>
  <c r="G80" i="30"/>
  <c r="H80" i="30"/>
  <c r="I80" i="30"/>
  <c r="J80" i="30"/>
  <c r="K80" i="30"/>
  <c r="L80" i="30"/>
  <c r="M80" i="30"/>
  <c r="N80" i="30"/>
  <c r="O80" i="30"/>
  <c r="P80" i="30"/>
  <c r="Q80" i="30"/>
  <c r="R80" i="30"/>
  <c r="S80" i="30"/>
  <c r="T80" i="30"/>
  <c r="U80" i="30"/>
  <c r="V80" i="30"/>
  <c r="W80" i="30"/>
  <c r="X80" i="30"/>
  <c r="Y80" i="30"/>
  <c r="Z80" i="30"/>
  <c r="AA80" i="30"/>
  <c r="AB80" i="30"/>
  <c r="AC80" i="30"/>
  <c r="AD80" i="30"/>
  <c r="AE80" i="30"/>
  <c r="AF80" i="30"/>
  <c r="AG80" i="30"/>
  <c r="D81" i="30"/>
  <c r="E81" i="30"/>
  <c r="F81" i="30"/>
  <c r="G81" i="30"/>
  <c r="H81" i="30"/>
  <c r="I81" i="30"/>
  <c r="J81" i="30"/>
  <c r="K81" i="30"/>
  <c r="L81" i="30"/>
  <c r="M81" i="30"/>
  <c r="N81" i="30"/>
  <c r="O81" i="30"/>
  <c r="P81" i="30"/>
  <c r="Q81" i="30"/>
  <c r="R81" i="30"/>
  <c r="S81" i="30"/>
  <c r="T81" i="30"/>
  <c r="U81" i="30"/>
  <c r="V81" i="30"/>
  <c r="W81" i="30"/>
  <c r="X81" i="30"/>
  <c r="Y81" i="30"/>
  <c r="Z81" i="30"/>
  <c r="AA81" i="30"/>
  <c r="AB81" i="30"/>
  <c r="AC81" i="30"/>
  <c r="AD81" i="30"/>
  <c r="AE81" i="30"/>
  <c r="AF81" i="30"/>
  <c r="AG81" i="30"/>
  <c r="D82" i="30"/>
  <c r="E82" i="30"/>
  <c r="F82" i="30"/>
  <c r="G82" i="30"/>
  <c r="H82" i="30"/>
  <c r="I82" i="30"/>
  <c r="J82" i="30"/>
  <c r="K82" i="30"/>
  <c r="L82" i="30"/>
  <c r="M82" i="30"/>
  <c r="N82" i="30"/>
  <c r="O82" i="30"/>
  <c r="P82" i="30"/>
  <c r="Q82" i="30"/>
  <c r="R82" i="30"/>
  <c r="S82" i="30"/>
  <c r="T82" i="30"/>
  <c r="U82" i="30"/>
  <c r="V82" i="30"/>
  <c r="W82" i="30"/>
  <c r="X82" i="30"/>
  <c r="Y82" i="30"/>
  <c r="Z82" i="30"/>
  <c r="AA82" i="30"/>
  <c r="AB82" i="30"/>
  <c r="AC82" i="30"/>
  <c r="AD82" i="30"/>
  <c r="AE82" i="30"/>
  <c r="AF82" i="30"/>
  <c r="AG82" i="30"/>
  <c r="D83" i="30"/>
  <c r="E83" i="30"/>
  <c r="F83" i="30"/>
  <c r="G83" i="30"/>
  <c r="H83" i="30"/>
  <c r="I83" i="30"/>
  <c r="J83" i="30"/>
  <c r="K83" i="30"/>
  <c r="L83" i="30"/>
  <c r="M83" i="30"/>
  <c r="N83" i="30"/>
  <c r="O83" i="30"/>
  <c r="P83" i="30"/>
  <c r="Q83" i="30"/>
  <c r="R83" i="30"/>
  <c r="S83" i="30"/>
  <c r="T83" i="30"/>
  <c r="U83" i="30"/>
  <c r="V83" i="30"/>
  <c r="W83" i="30"/>
  <c r="X83" i="30"/>
  <c r="Y83" i="30"/>
  <c r="Z83" i="30"/>
  <c r="AA83" i="30"/>
  <c r="AB83" i="30"/>
  <c r="AC83" i="30"/>
  <c r="AD83" i="30"/>
  <c r="AE83" i="30"/>
  <c r="AF83" i="30"/>
  <c r="AG83" i="30"/>
  <c r="D84" i="30"/>
  <c r="E84" i="30"/>
  <c r="F84" i="30"/>
  <c r="G84" i="30"/>
  <c r="H84" i="30"/>
  <c r="I84" i="30"/>
  <c r="J84" i="30"/>
  <c r="K84" i="30"/>
  <c r="L84" i="30"/>
  <c r="M84" i="30"/>
  <c r="N84" i="30"/>
  <c r="O84" i="30"/>
  <c r="P84" i="30"/>
  <c r="Q84" i="30"/>
  <c r="R84" i="30"/>
  <c r="S84" i="30"/>
  <c r="T84" i="30"/>
  <c r="U84" i="30"/>
  <c r="V84" i="30"/>
  <c r="W84" i="30"/>
  <c r="X84" i="30"/>
  <c r="Y84" i="30"/>
  <c r="Z84" i="30"/>
  <c r="AA84" i="30"/>
  <c r="AB84" i="30"/>
  <c r="AC84" i="30"/>
  <c r="AD84" i="30"/>
  <c r="AE84" i="30"/>
  <c r="AF84" i="30"/>
  <c r="AG84" i="30"/>
  <c r="D85" i="30"/>
  <c r="E85" i="30"/>
  <c r="F85" i="30"/>
  <c r="G85" i="30"/>
  <c r="H85" i="30"/>
  <c r="I85" i="30"/>
  <c r="J85" i="30"/>
  <c r="K85" i="30"/>
  <c r="L85" i="30"/>
  <c r="M85" i="30"/>
  <c r="N85" i="30"/>
  <c r="O85" i="30"/>
  <c r="P85" i="30"/>
  <c r="Q85" i="30"/>
  <c r="R85" i="30"/>
  <c r="S85" i="30"/>
  <c r="T85" i="30"/>
  <c r="U85" i="30"/>
  <c r="V85" i="30"/>
  <c r="W85" i="30"/>
  <c r="X85" i="30"/>
  <c r="Y85" i="30"/>
  <c r="Z85" i="30"/>
  <c r="AA85" i="30"/>
  <c r="AB85" i="30"/>
  <c r="AC85" i="30"/>
  <c r="AD85" i="30"/>
  <c r="AE85" i="30"/>
  <c r="AF85" i="30"/>
  <c r="AG85" i="30"/>
  <c r="D86" i="30"/>
  <c r="E86" i="30"/>
  <c r="F86" i="30"/>
  <c r="G86" i="30"/>
  <c r="H86" i="30"/>
  <c r="I86" i="30"/>
  <c r="J86" i="30"/>
  <c r="K86" i="30"/>
  <c r="L86" i="30"/>
  <c r="M86" i="30"/>
  <c r="N86" i="30"/>
  <c r="O86" i="30"/>
  <c r="P86" i="30"/>
  <c r="Q86" i="30"/>
  <c r="R86" i="30"/>
  <c r="S86" i="30"/>
  <c r="T86" i="30"/>
  <c r="U86" i="30"/>
  <c r="V86" i="30"/>
  <c r="W86" i="30"/>
  <c r="X86" i="30"/>
  <c r="Y86" i="30"/>
  <c r="Z86" i="30"/>
  <c r="AA86" i="30"/>
  <c r="AB86" i="30"/>
  <c r="AC86" i="30"/>
  <c r="AD86" i="30"/>
  <c r="AE86" i="30"/>
  <c r="AF86" i="30"/>
  <c r="AG86" i="30"/>
  <c r="D87" i="30"/>
  <c r="E87" i="30"/>
  <c r="F87" i="30"/>
  <c r="G87" i="30"/>
  <c r="H87" i="30"/>
  <c r="I87" i="30"/>
  <c r="J87" i="30"/>
  <c r="K87" i="30"/>
  <c r="L87" i="30"/>
  <c r="M87" i="30"/>
  <c r="N87" i="30"/>
  <c r="O87" i="30"/>
  <c r="P87" i="30"/>
  <c r="Q87" i="30"/>
  <c r="R87" i="30"/>
  <c r="S87" i="30"/>
  <c r="T87" i="30"/>
  <c r="U87" i="30"/>
  <c r="V87" i="30"/>
  <c r="W87" i="30"/>
  <c r="X87" i="30"/>
  <c r="Y87" i="30"/>
  <c r="Z87" i="30"/>
  <c r="AA87" i="30"/>
  <c r="AB87" i="30"/>
  <c r="AC87" i="30"/>
  <c r="AD87" i="30"/>
  <c r="AE87" i="30"/>
  <c r="AF87" i="30"/>
  <c r="AG87" i="30"/>
  <c r="D88" i="30"/>
  <c r="E88" i="30"/>
  <c r="F88" i="30"/>
  <c r="G88" i="30"/>
  <c r="H88" i="30"/>
  <c r="I88" i="30"/>
  <c r="J88" i="30"/>
  <c r="K88" i="30"/>
  <c r="L88" i="30"/>
  <c r="M88" i="30"/>
  <c r="N88" i="30"/>
  <c r="O88" i="30"/>
  <c r="P88" i="30"/>
  <c r="Q88" i="30"/>
  <c r="R88" i="30"/>
  <c r="S88" i="30"/>
  <c r="T88" i="30"/>
  <c r="U88" i="30"/>
  <c r="V88" i="30"/>
  <c r="W88" i="30"/>
  <c r="X88" i="30"/>
  <c r="Y88" i="30"/>
  <c r="Z88" i="30"/>
  <c r="AA88" i="30"/>
  <c r="AB88" i="30"/>
  <c r="AC88" i="30"/>
  <c r="AD88" i="30"/>
  <c r="AE88" i="30"/>
  <c r="AF88" i="30"/>
  <c r="AG88" i="30"/>
  <c r="D89" i="30"/>
  <c r="E89" i="30"/>
  <c r="F89" i="30"/>
  <c r="G89" i="30"/>
  <c r="H89" i="30"/>
  <c r="I89" i="30"/>
  <c r="J89" i="30"/>
  <c r="K89" i="30"/>
  <c r="L89" i="30"/>
  <c r="M89" i="30"/>
  <c r="N89" i="30"/>
  <c r="O89" i="30"/>
  <c r="P89" i="30"/>
  <c r="Q89" i="30"/>
  <c r="R89" i="30"/>
  <c r="S89" i="30"/>
  <c r="T89" i="30"/>
  <c r="U89" i="30"/>
  <c r="V89" i="30"/>
  <c r="W89" i="30"/>
  <c r="X89" i="30"/>
  <c r="Y89" i="30"/>
  <c r="Z89" i="30"/>
  <c r="AA89" i="30"/>
  <c r="AB89" i="30"/>
  <c r="AC89" i="30"/>
  <c r="AD89" i="30"/>
  <c r="AE89" i="30"/>
  <c r="AF89" i="30"/>
  <c r="AG89" i="30"/>
  <c r="D90" i="30"/>
  <c r="E90" i="30"/>
  <c r="F90" i="30"/>
  <c r="G90" i="30"/>
  <c r="H90" i="30"/>
  <c r="I90" i="30"/>
  <c r="J90" i="30"/>
  <c r="K90" i="30"/>
  <c r="L90" i="30"/>
  <c r="M90" i="30"/>
  <c r="N90" i="30"/>
  <c r="O90" i="30"/>
  <c r="P90" i="30"/>
  <c r="Q90" i="30"/>
  <c r="R90" i="30"/>
  <c r="S90" i="30"/>
  <c r="T90" i="30"/>
  <c r="U90" i="30"/>
  <c r="V90" i="30"/>
  <c r="W90" i="30"/>
  <c r="X90" i="30"/>
  <c r="Y90" i="30"/>
  <c r="Z90" i="30"/>
  <c r="AA90" i="30"/>
  <c r="AB90" i="30"/>
  <c r="AC90" i="30"/>
  <c r="AD90" i="30"/>
  <c r="AE90" i="30"/>
  <c r="AF90" i="30"/>
  <c r="AG90" i="30"/>
  <c r="D91" i="30"/>
  <c r="E91" i="30"/>
  <c r="F91" i="30"/>
  <c r="G91" i="30"/>
  <c r="H91" i="30"/>
  <c r="I91" i="30"/>
  <c r="J91" i="30"/>
  <c r="K91" i="30"/>
  <c r="L91" i="30"/>
  <c r="M91" i="30"/>
  <c r="N91" i="30"/>
  <c r="O91" i="30"/>
  <c r="P91" i="30"/>
  <c r="Q91" i="30"/>
  <c r="R91" i="30"/>
  <c r="S91" i="30"/>
  <c r="T91" i="30"/>
  <c r="U91" i="30"/>
  <c r="V91" i="30"/>
  <c r="W91" i="30"/>
  <c r="X91" i="30"/>
  <c r="Y91" i="30"/>
  <c r="Z91" i="30"/>
  <c r="AA91" i="30"/>
  <c r="AB91" i="30"/>
  <c r="AC91" i="30"/>
  <c r="AD91" i="30"/>
  <c r="AE91" i="30"/>
  <c r="AF91" i="30"/>
  <c r="AG91" i="30"/>
  <c r="D92" i="30"/>
  <c r="E92" i="30"/>
  <c r="F92" i="30"/>
  <c r="G92" i="30"/>
  <c r="H92" i="30"/>
  <c r="I92" i="30"/>
  <c r="J92" i="30"/>
  <c r="K92" i="30"/>
  <c r="L92" i="30"/>
  <c r="M92" i="30"/>
  <c r="N92" i="30"/>
  <c r="O92" i="30"/>
  <c r="P92" i="30"/>
  <c r="Q92" i="30"/>
  <c r="R92" i="30"/>
  <c r="S92" i="30"/>
  <c r="T92" i="30"/>
  <c r="U92" i="30"/>
  <c r="V92" i="30"/>
  <c r="W92" i="30"/>
  <c r="X92" i="30"/>
  <c r="Y92" i="30"/>
  <c r="Z92" i="30"/>
  <c r="AA92" i="30"/>
  <c r="AB92" i="30"/>
  <c r="AC92" i="30"/>
  <c r="AD92" i="30"/>
  <c r="AE92" i="30"/>
  <c r="AF92" i="30"/>
  <c r="AG92" i="30"/>
  <c r="D93" i="30"/>
  <c r="E93" i="30"/>
  <c r="F93" i="30"/>
  <c r="G93" i="30"/>
  <c r="H93" i="30"/>
  <c r="I93" i="30"/>
  <c r="J93" i="30"/>
  <c r="K93" i="30"/>
  <c r="L93" i="30"/>
  <c r="M93" i="30"/>
  <c r="N93" i="30"/>
  <c r="O93" i="30"/>
  <c r="P93" i="30"/>
  <c r="Q93" i="30"/>
  <c r="R93" i="30"/>
  <c r="S93" i="30"/>
  <c r="T93" i="30"/>
  <c r="U93" i="30"/>
  <c r="V93" i="30"/>
  <c r="W93" i="30"/>
  <c r="X93" i="30"/>
  <c r="Y93" i="30"/>
  <c r="Z93" i="30"/>
  <c r="AA93" i="30"/>
  <c r="AB93" i="30"/>
  <c r="AC93" i="30"/>
  <c r="AD93" i="30"/>
  <c r="AE93" i="30"/>
  <c r="AF93" i="30"/>
  <c r="AG93" i="30"/>
  <c r="D94" i="30"/>
  <c r="E94" i="30"/>
  <c r="F94" i="30"/>
  <c r="G94" i="30"/>
  <c r="H94" i="30"/>
  <c r="I94" i="30"/>
  <c r="J94" i="30"/>
  <c r="K94" i="30"/>
  <c r="L94" i="30"/>
  <c r="M94" i="30"/>
  <c r="N94" i="30"/>
  <c r="O94" i="30"/>
  <c r="P94" i="30"/>
  <c r="Q94" i="30"/>
  <c r="R94" i="30"/>
  <c r="S94" i="30"/>
  <c r="T94" i="30"/>
  <c r="U94" i="30"/>
  <c r="V94" i="30"/>
  <c r="W94" i="30"/>
  <c r="X94" i="30"/>
  <c r="Y94" i="30"/>
  <c r="Z94" i="30"/>
  <c r="AA94" i="30"/>
  <c r="AB94" i="30"/>
  <c r="AC94" i="30"/>
  <c r="AD94" i="30"/>
  <c r="AE94" i="30"/>
  <c r="AF94" i="30"/>
  <c r="AG94" i="30"/>
  <c r="D95" i="30"/>
  <c r="E95" i="30"/>
  <c r="F95" i="30"/>
  <c r="G95" i="30"/>
  <c r="H95" i="30"/>
  <c r="I95" i="30"/>
  <c r="J95" i="30"/>
  <c r="K95" i="30"/>
  <c r="L95" i="30"/>
  <c r="M95" i="30"/>
  <c r="N95" i="30"/>
  <c r="O95" i="30"/>
  <c r="P95" i="30"/>
  <c r="Q95" i="30"/>
  <c r="R95" i="30"/>
  <c r="S95" i="30"/>
  <c r="T95" i="30"/>
  <c r="U95" i="30"/>
  <c r="V95" i="30"/>
  <c r="W95" i="30"/>
  <c r="X95" i="30"/>
  <c r="Y95" i="30"/>
  <c r="Z95" i="30"/>
  <c r="AA95" i="30"/>
  <c r="AB95" i="30"/>
  <c r="AC95" i="30"/>
  <c r="AD95" i="30"/>
  <c r="AE95" i="30"/>
  <c r="AF95" i="30"/>
  <c r="AG95" i="30"/>
  <c r="D96" i="30"/>
  <c r="E96" i="30"/>
  <c r="F96" i="30"/>
  <c r="G96" i="30"/>
  <c r="H96" i="30"/>
  <c r="I96" i="30"/>
  <c r="J96" i="30"/>
  <c r="K96" i="30"/>
  <c r="L96" i="30"/>
  <c r="M96" i="30"/>
  <c r="N96" i="30"/>
  <c r="O96" i="30"/>
  <c r="P96" i="30"/>
  <c r="Q96" i="30"/>
  <c r="R96" i="30"/>
  <c r="S96" i="30"/>
  <c r="T96" i="30"/>
  <c r="U96" i="30"/>
  <c r="V96" i="30"/>
  <c r="W96" i="30"/>
  <c r="X96" i="30"/>
  <c r="Y96" i="30"/>
  <c r="Z96" i="30"/>
  <c r="AA96" i="30"/>
  <c r="AB96" i="30"/>
  <c r="AC96" i="30"/>
  <c r="AD96" i="30"/>
  <c r="AE96" i="30"/>
  <c r="AF96" i="30"/>
  <c r="AG96" i="30"/>
  <c r="D97" i="30"/>
  <c r="E97" i="30"/>
  <c r="F97" i="30"/>
  <c r="G97" i="30"/>
  <c r="H97" i="30"/>
  <c r="I97" i="30"/>
  <c r="J97" i="30"/>
  <c r="K97" i="30"/>
  <c r="L97" i="30"/>
  <c r="M97" i="30"/>
  <c r="N97" i="30"/>
  <c r="O97" i="30"/>
  <c r="P97" i="30"/>
  <c r="Q97" i="30"/>
  <c r="R97" i="30"/>
  <c r="S97" i="30"/>
  <c r="T97" i="30"/>
  <c r="U97" i="30"/>
  <c r="V97" i="30"/>
  <c r="W97" i="30"/>
  <c r="X97" i="30"/>
  <c r="Y97" i="30"/>
  <c r="Z97" i="30"/>
  <c r="AA97" i="30"/>
  <c r="AB97" i="30"/>
  <c r="AC97" i="30"/>
  <c r="AD97" i="30"/>
  <c r="AE97" i="30"/>
  <c r="AF97" i="30"/>
  <c r="AG97" i="30"/>
  <c r="D98" i="30"/>
  <c r="E98" i="30"/>
  <c r="F98" i="30"/>
  <c r="G98" i="30"/>
  <c r="H98" i="30"/>
  <c r="I98" i="30"/>
  <c r="J98" i="30"/>
  <c r="K98" i="30"/>
  <c r="L98" i="30"/>
  <c r="M98" i="30"/>
  <c r="N98" i="30"/>
  <c r="O98" i="30"/>
  <c r="P98" i="30"/>
  <c r="Q98" i="30"/>
  <c r="R98" i="30"/>
  <c r="S98" i="30"/>
  <c r="T98" i="30"/>
  <c r="U98" i="30"/>
  <c r="V98" i="30"/>
  <c r="W98" i="30"/>
  <c r="X98" i="30"/>
  <c r="Y98" i="30"/>
  <c r="Z98" i="30"/>
  <c r="AA98" i="30"/>
  <c r="AB98" i="30"/>
  <c r="AC98" i="30"/>
  <c r="AD98" i="30"/>
  <c r="AE98" i="30"/>
  <c r="AF98" i="30"/>
  <c r="AG98" i="30"/>
  <c r="D99" i="30"/>
  <c r="E99" i="30"/>
  <c r="F99" i="30"/>
  <c r="G99" i="30"/>
  <c r="H99" i="30"/>
  <c r="I99" i="30"/>
  <c r="J99" i="30"/>
  <c r="K99" i="30"/>
  <c r="L99" i="30"/>
  <c r="M99" i="30"/>
  <c r="N99" i="30"/>
  <c r="O99" i="30"/>
  <c r="P99" i="30"/>
  <c r="Q99" i="30"/>
  <c r="R99" i="30"/>
  <c r="S99" i="30"/>
  <c r="T99" i="30"/>
  <c r="U99" i="30"/>
  <c r="V99" i="30"/>
  <c r="W99" i="30"/>
  <c r="X99" i="30"/>
  <c r="Y99" i="30"/>
  <c r="Z99" i="30"/>
  <c r="AA99" i="30"/>
  <c r="AB99" i="30"/>
  <c r="AC99" i="30"/>
  <c r="AD99" i="30"/>
  <c r="AE99" i="30"/>
  <c r="AF99" i="30"/>
  <c r="AG99" i="30"/>
  <c r="D100" i="30"/>
  <c r="E100" i="30"/>
  <c r="F100" i="30"/>
  <c r="G100" i="30"/>
  <c r="H100" i="30"/>
  <c r="I100" i="30"/>
  <c r="J100" i="30"/>
  <c r="K100" i="30"/>
  <c r="L100" i="30"/>
  <c r="M100" i="30"/>
  <c r="N100" i="30"/>
  <c r="O100" i="30"/>
  <c r="P100" i="30"/>
  <c r="Q100" i="30"/>
  <c r="R100" i="30"/>
  <c r="S100" i="30"/>
  <c r="T100" i="30"/>
  <c r="U100" i="30"/>
  <c r="V100" i="30"/>
  <c r="W100" i="30"/>
  <c r="X100" i="30"/>
  <c r="Y100" i="30"/>
  <c r="Z100" i="30"/>
  <c r="AA100" i="30"/>
  <c r="AB100" i="30"/>
  <c r="AC100" i="30"/>
  <c r="AD100" i="30"/>
  <c r="AE100" i="30"/>
  <c r="AF100" i="30"/>
  <c r="AG100" i="30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D29" i="28"/>
  <c r="E29" i="28"/>
  <c r="F29" i="28"/>
  <c r="G29" i="28"/>
  <c r="H29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D30" i="28"/>
  <c r="E30" i="28"/>
  <c r="F30" i="28"/>
  <c r="G30" i="28"/>
  <c r="H30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D31" i="28"/>
  <c r="E31" i="28"/>
  <c r="F31" i="28"/>
  <c r="G31" i="28"/>
  <c r="H31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D32" i="28"/>
  <c r="E32" i="28"/>
  <c r="F32" i="28"/>
  <c r="G32" i="28"/>
  <c r="H32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D33" i="28"/>
  <c r="E33" i="28"/>
  <c r="F33" i="28"/>
  <c r="G33" i="28"/>
  <c r="H33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D34" i="28"/>
  <c r="E34" i="28"/>
  <c r="F34" i="28"/>
  <c r="G34" i="28"/>
  <c r="H34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D35" i="28"/>
  <c r="E35" i="28"/>
  <c r="F35" i="28"/>
  <c r="G35" i="28"/>
  <c r="H35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D36" i="28"/>
  <c r="E36" i="28"/>
  <c r="F36" i="28"/>
  <c r="G36" i="28"/>
  <c r="H36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D37" i="28"/>
  <c r="E37" i="28"/>
  <c r="F37" i="28"/>
  <c r="G37" i="28"/>
  <c r="H37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D38" i="28"/>
  <c r="E38" i="28"/>
  <c r="F38" i="28"/>
  <c r="G38" i="28"/>
  <c r="H38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D40" i="28"/>
  <c r="E40" i="28"/>
  <c r="F40" i="28"/>
  <c r="G40" i="28"/>
  <c r="H40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D41" i="28"/>
  <c r="E41" i="28"/>
  <c r="F41" i="28"/>
  <c r="G41" i="28"/>
  <c r="H41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D42" i="28"/>
  <c r="E42" i="28"/>
  <c r="F42" i="28"/>
  <c r="G42" i="28"/>
  <c r="H42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D43" i="28"/>
  <c r="E43" i="28"/>
  <c r="F43" i="28"/>
  <c r="G43" i="28"/>
  <c r="H43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D44" i="28"/>
  <c r="E44" i="28"/>
  <c r="F44" i="28"/>
  <c r="G44" i="28"/>
  <c r="H44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D45" i="28"/>
  <c r="E45" i="28"/>
  <c r="F45" i="28"/>
  <c r="G45" i="28"/>
  <c r="H45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D46" i="28"/>
  <c r="E46" i="28"/>
  <c r="F46" i="28"/>
  <c r="G46" i="28"/>
  <c r="H46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D47" i="28"/>
  <c r="E47" i="28"/>
  <c r="F47" i="28"/>
  <c r="G47" i="28"/>
  <c r="H47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D48" i="28"/>
  <c r="E48" i="28"/>
  <c r="F48" i="28"/>
  <c r="G48" i="28"/>
  <c r="H48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D49" i="28"/>
  <c r="E49" i="28"/>
  <c r="F49" i="28"/>
  <c r="G49" i="28"/>
  <c r="H49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D50" i="28"/>
  <c r="E50" i="28"/>
  <c r="F50" i="28"/>
  <c r="G50" i="28"/>
  <c r="H50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D51" i="28"/>
  <c r="E51" i="28"/>
  <c r="F51" i="28"/>
  <c r="G51" i="28"/>
  <c r="H51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D52" i="28"/>
  <c r="E52" i="28"/>
  <c r="F52" i="28"/>
  <c r="G52" i="28"/>
  <c r="H52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D53" i="28"/>
  <c r="E53" i="28"/>
  <c r="F53" i="28"/>
  <c r="G53" i="28"/>
  <c r="H53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D54" i="28"/>
  <c r="E54" i="28"/>
  <c r="F54" i="28"/>
  <c r="G54" i="28"/>
  <c r="H54" i="28"/>
  <c r="I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D55" i="28"/>
  <c r="E55" i="28"/>
  <c r="F55" i="28"/>
  <c r="G55" i="28"/>
  <c r="H55" i="28"/>
  <c r="I55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D56" i="28"/>
  <c r="E56" i="28"/>
  <c r="F56" i="28"/>
  <c r="G56" i="28"/>
  <c r="H56" i="28"/>
  <c r="I56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D57" i="28"/>
  <c r="E57" i="28"/>
  <c r="F57" i="28"/>
  <c r="G57" i="28"/>
  <c r="H57" i="28"/>
  <c r="I57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D58" i="28"/>
  <c r="E58" i="28"/>
  <c r="F58" i="28"/>
  <c r="G58" i="28"/>
  <c r="H58" i="28"/>
  <c r="I58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D59" i="28"/>
  <c r="E59" i="28"/>
  <c r="F59" i="28"/>
  <c r="G59" i="28"/>
  <c r="H59" i="28"/>
  <c r="I59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D60" i="28"/>
  <c r="E60" i="28"/>
  <c r="F60" i="28"/>
  <c r="G60" i="28"/>
  <c r="H60" i="28"/>
  <c r="I60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D68" i="28"/>
  <c r="E68" i="28"/>
  <c r="F68" i="28"/>
  <c r="G68" i="28"/>
  <c r="H68" i="28"/>
  <c r="I68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D69" i="28"/>
  <c r="E69" i="28"/>
  <c r="F69" i="28"/>
  <c r="G69" i="28"/>
  <c r="H69" i="28"/>
  <c r="I69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D70" i="28"/>
  <c r="E70" i="28"/>
  <c r="F70" i="28"/>
  <c r="G70" i="28"/>
  <c r="H70" i="28"/>
  <c r="I70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D71" i="28"/>
  <c r="E71" i="28"/>
  <c r="F71" i="28"/>
  <c r="G71" i="28"/>
  <c r="H71" i="28"/>
  <c r="I71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D72" i="28"/>
  <c r="E72" i="28"/>
  <c r="F72" i="28"/>
  <c r="G72" i="28"/>
  <c r="H72" i="28"/>
  <c r="I72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D73" i="28"/>
  <c r="E73" i="28"/>
  <c r="F73" i="28"/>
  <c r="G73" i="28"/>
  <c r="H73" i="28"/>
  <c r="I73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D74" i="28"/>
  <c r="E74" i="28"/>
  <c r="F74" i="28"/>
  <c r="G74" i="28"/>
  <c r="H74" i="28"/>
  <c r="I74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D75" i="28"/>
  <c r="E75" i="28"/>
  <c r="F75" i="28"/>
  <c r="G75" i="28"/>
  <c r="H75" i="28"/>
  <c r="I75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D76" i="28"/>
  <c r="E76" i="28"/>
  <c r="F76" i="28"/>
  <c r="G76" i="28"/>
  <c r="H76" i="28"/>
  <c r="I76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D77" i="28"/>
  <c r="E77" i="28"/>
  <c r="F77" i="28"/>
  <c r="G77" i="28"/>
  <c r="H77" i="28"/>
  <c r="I77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D78" i="28"/>
  <c r="E78" i="28"/>
  <c r="F78" i="28"/>
  <c r="G78" i="28"/>
  <c r="H78" i="28"/>
  <c r="I78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D79" i="28"/>
  <c r="E79" i="28"/>
  <c r="F79" i="28"/>
  <c r="G79" i="28"/>
  <c r="H79" i="28"/>
  <c r="I79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D80" i="28"/>
  <c r="E80" i="28"/>
  <c r="F80" i="28"/>
  <c r="G80" i="28"/>
  <c r="H80" i="28"/>
  <c r="I80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D81" i="28"/>
  <c r="E81" i="28"/>
  <c r="F81" i="28"/>
  <c r="G81" i="28"/>
  <c r="H81" i="28"/>
  <c r="I81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D82" i="28"/>
  <c r="E82" i="28"/>
  <c r="F82" i="28"/>
  <c r="G82" i="28"/>
  <c r="H82" i="28"/>
  <c r="I82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D83" i="28"/>
  <c r="E83" i="28"/>
  <c r="F83" i="28"/>
  <c r="G83" i="28"/>
  <c r="H83" i="28"/>
  <c r="I83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D84" i="28"/>
  <c r="E84" i="28"/>
  <c r="F84" i="28"/>
  <c r="G84" i="28"/>
  <c r="H84" i="28"/>
  <c r="I84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D85" i="28"/>
  <c r="E85" i="28"/>
  <c r="F85" i="28"/>
  <c r="G85" i="28"/>
  <c r="H85" i="28"/>
  <c r="I85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D86" i="28"/>
  <c r="E86" i="28"/>
  <c r="F86" i="28"/>
  <c r="G86" i="28"/>
  <c r="H86" i="28"/>
  <c r="I86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D87" i="28"/>
  <c r="E87" i="28"/>
  <c r="F87" i="28"/>
  <c r="G87" i="28"/>
  <c r="H87" i="28"/>
  <c r="I87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D88" i="28"/>
  <c r="E88" i="28"/>
  <c r="F88" i="28"/>
  <c r="G88" i="28"/>
  <c r="H88" i="28"/>
  <c r="I88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D89" i="28"/>
  <c r="E89" i="28"/>
  <c r="F89" i="28"/>
  <c r="G89" i="28"/>
  <c r="H89" i="28"/>
  <c r="I89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D90" i="28"/>
  <c r="E90" i="28"/>
  <c r="F90" i="28"/>
  <c r="G90" i="28"/>
  <c r="H90" i="28"/>
  <c r="I90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D91" i="28"/>
  <c r="E91" i="28"/>
  <c r="F91" i="28"/>
  <c r="G91" i="28"/>
  <c r="H91" i="28"/>
  <c r="I91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D92" i="28"/>
  <c r="E92" i="28"/>
  <c r="F92" i="28"/>
  <c r="G92" i="28"/>
  <c r="H92" i="28"/>
  <c r="I92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D93" i="28"/>
  <c r="E93" i="28"/>
  <c r="F93" i="28"/>
  <c r="G93" i="28"/>
  <c r="H93" i="28"/>
  <c r="I93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D94" i="28"/>
  <c r="E94" i="28"/>
  <c r="F94" i="28"/>
  <c r="G94" i="28"/>
  <c r="H94" i="28"/>
  <c r="I94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D95" i="28"/>
  <c r="E95" i="28"/>
  <c r="F95" i="28"/>
  <c r="G95" i="28"/>
  <c r="H95" i="28"/>
  <c r="I95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D96" i="28"/>
  <c r="E96" i="28"/>
  <c r="F96" i="28"/>
  <c r="G96" i="28"/>
  <c r="H96" i="28"/>
  <c r="I96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D97" i="28"/>
  <c r="E97" i="28"/>
  <c r="F97" i="28"/>
  <c r="G97" i="28"/>
  <c r="H97" i="28"/>
  <c r="I97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D98" i="28"/>
  <c r="E98" i="28"/>
  <c r="F98" i="28"/>
  <c r="G98" i="28"/>
  <c r="H98" i="28"/>
  <c r="I98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D99" i="28"/>
  <c r="E99" i="28"/>
  <c r="F99" i="28"/>
  <c r="G99" i="28"/>
  <c r="H99" i="28"/>
  <c r="I99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D100" i="28"/>
  <c r="E100" i="28"/>
  <c r="F100" i="28"/>
  <c r="G100" i="28"/>
  <c r="H100" i="28"/>
  <c r="I100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AH21" i="27"/>
  <c r="AI21" i="27"/>
  <c r="AJ21" i="27"/>
  <c r="AK21" i="27"/>
  <c r="AL21" i="27"/>
  <c r="AM21" i="27"/>
  <c r="AN21" i="27"/>
  <c r="AO21" i="27"/>
  <c r="AP21" i="27"/>
  <c r="AQ21" i="27"/>
  <c r="AR21" i="27"/>
  <c r="AS21" i="27"/>
  <c r="AT21" i="27"/>
  <c r="AU21" i="27"/>
  <c r="AV21" i="27"/>
  <c r="AW21" i="27"/>
  <c r="AX21" i="27"/>
  <c r="AY21" i="27"/>
  <c r="AZ21" i="27"/>
  <c r="BA21" i="27"/>
  <c r="BB21" i="27"/>
  <c r="BC21" i="27"/>
  <c r="BD21" i="27"/>
  <c r="BE21" i="27"/>
  <c r="BF21" i="27"/>
  <c r="BG21" i="27"/>
  <c r="BH21" i="27"/>
  <c r="BI21" i="27"/>
  <c r="BJ21" i="27"/>
  <c r="BK21" i="27"/>
  <c r="BL21" i="27"/>
  <c r="BM21" i="27"/>
  <c r="BN21" i="27"/>
  <c r="BO21" i="27"/>
  <c r="BP21" i="27"/>
  <c r="BQ21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AH22" i="27"/>
  <c r="AI22" i="27"/>
  <c r="AJ22" i="27"/>
  <c r="AK22" i="27"/>
  <c r="AL22" i="27"/>
  <c r="AM22" i="27"/>
  <c r="AN22" i="27"/>
  <c r="AO22" i="27"/>
  <c r="AP22" i="27"/>
  <c r="AQ22" i="27"/>
  <c r="AR22" i="27"/>
  <c r="AS22" i="27"/>
  <c r="AT22" i="27"/>
  <c r="AU22" i="27"/>
  <c r="AV22" i="27"/>
  <c r="AW22" i="27"/>
  <c r="AX22" i="27"/>
  <c r="AY22" i="27"/>
  <c r="AZ22" i="27"/>
  <c r="BA22" i="27"/>
  <c r="BB22" i="27"/>
  <c r="BC22" i="27"/>
  <c r="BD22" i="27"/>
  <c r="BE22" i="27"/>
  <c r="BF22" i="27"/>
  <c r="BG22" i="27"/>
  <c r="BH22" i="27"/>
  <c r="BI22" i="27"/>
  <c r="BJ22" i="27"/>
  <c r="BK22" i="27"/>
  <c r="BL22" i="27"/>
  <c r="BM22" i="27"/>
  <c r="BN22" i="27"/>
  <c r="BO22" i="27"/>
  <c r="BP22" i="27"/>
  <c r="BQ22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AH23" i="27"/>
  <c r="AI23" i="27"/>
  <c r="AJ23" i="27"/>
  <c r="AK23" i="27"/>
  <c r="AL23" i="27"/>
  <c r="AM23" i="27"/>
  <c r="AN23" i="27"/>
  <c r="AO23" i="27"/>
  <c r="AP23" i="27"/>
  <c r="AQ23" i="27"/>
  <c r="AR23" i="27"/>
  <c r="AS23" i="27"/>
  <c r="AT23" i="27"/>
  <c r="AU23" i="27"/>
  <c r="AV23" i="27"/>
  <c r="AW23" i="27"/>
  <c r="AX23" i="27"/>
  <c r="AY23" i="27"/>
  <c r="AZ23" i="27"/>
  <c r="BA23" i="27"/>
  <c r="BB23" i="27"/>
  <c r="BC23" i="27"/>
  <c r="BD23" i="27"/>
  <c r="BE23" i="27"/>
  <c r="BF23" i="27"/>
  <c r="BG23" i="27"/>
  <c r="BH23" i="27"/>
  <c r="BI23" i="27"/>
  <c r="BJ23" i="27"/>
  <c r="BK23" i="27"/>
  <c r="BL23" i="27"/>
  <c r="BM23" i="27"/>
  <c r="BN23" i="27"/>
  <c r="BO23" i="27"/>
  <c r="BP23" i="27"/>
  <c r="BQ23" i="27"/>
  <c r="D24" i="27"/>
  <c r="E24" i="27"/>
  <c r="F24" i="27"/>
  <c r="G24" i="27"/>
  <c r="H24" i="27"/>
  <c r="I24" i="27"/>
  <c r="J24" i="27"/>
  <c r="K24" i="27"/>
  <c r="L24" i="27"/>
  <c r="M24" i="27"/>
  <c r="N24" i="27"/>
  <c r="O24" i="27"/>
  <c r="P24" i="27"/>
  <c r="Q24" i="27"/>
  <c r="R24" i="27"/>
  <c r="S24" i="27"/>
  <c r="T24" i="27"/>
  <c r="U24" i="27"/>
  <c r="V24" i="27"/>
  <c r="W24" i="27"/>
  <c r="X24" i="27"/>
  <c r="Y24" i="27"/>
  <c r="Z24" i="27"/>
  <c r="AA24" i="27"/>
  <c r="AB24" i="27"/>
  <c r="AC24" i="27"/>
  <c r="AD24" i="27"/>
  <c r="AE24" i="27"/>
  <c r="AF24" i="27"/>
  <c r="AG24" i="27"/>
  <c r="AH24" i="27"/>
  <c r="AI24" i="27"/>
  <c r="AJ24" i="27"/>
  <c r="AK24" i="27"/>
  <c r="AL24" i="27"/>
  <c r="AM24" i="27"/>
  <c r="AN24" i="27"/>
  <c r="AO24" i="27"/>
  <c r="AP24" i="27"/>
  <c r="AQ24" i="27"/>
  <c r="AR24" i="27"/>
  <c r="AS24" i="27"/>
  <c r="AT24" i="27"/>
  <c r="AU24" i="27"/>
  <c r="AV24" i="27"/>
  <c r="AW24" i="27"/>
  <c r="AX24" i="27"/>
  <c r="AY24" i="27"/>
  <c r="AZ24" i="27"/>
  <c r="BA24" i="27"/>
  <c r="BB24" i="27"/>
  <c r="BC24" i="27"/>
  <c r="BD24" i="27"/>
  <c r="BE24" i="27"/>
  <c r="BF24" i="27"/>
  <c r="BG24" i="27"/>
  <c r="BH24" i="27"/>
  <c r="BI24" i="27"/>
  <c r="BJ24" i="27"/>
  <c r="BK24" i="27"/>
  <c r="BL24" i="27"/>
  <c r="BM24" i="27"/>
  <c r="BN24" i="27"/>
  <c r="BO24" i="27"/>
  <c r="BP24" i="27"/>
  <c r="BQ24" i="27"/>
  <c r="D25" i="27"/>
  <c r="E25" i="27"/>
  <c r="F25" i="27"/>
  <c r="G25" i="27"/>
  <c r="H25" i="27"/>
  <c r="I25" i="27"/>
  <c r="J25" i="27"/>
  <c r="K25" i="27"/>
  <c r="L25" i="27"/>
  <c r="M25" i="27"/>
  <c r="N25" i="27"/>
  <c r="O25" i="27"/>
  <c r="P25" i="27"/>
  <c r="Q25" i="27"/>
  <c r="R25" i="27"/>
  <c r="S25" i="27"/>
  <c r="T25" i="27"/>
  <c r="U25" i="27"/>
  <c r="V25" i="27"/>
  <c r="W25" i="27"/>
  <c r="X25" i="27"/>
  <c r="Y25" i="27"/>
  <c r="Z25" i="27"/>
  <c r="AA25" i="27"/>
  <c r="AB25" i="27"/>
  <c r="AC25" i="27"/>
  <c r="AD25" i="27"/>
  <c r="AE25" i="27"/>
  <c r="AF25" i="27"/>
  <c r="AG25" i="27"/>
  <c r="AH25" i="27"/>
  <c r="AI25" i="27"/>
  <c r="AJ25" i="27"/>
  <c r="AK25" i="27"/>
  <c r="AL25" i="27"/>
  <c r="AM25" i="27"/>
  <c r="AN25" i="27"/>
  <c r="AO25" i="27"/>
  <c r="AP25" i="27"/>
  <c r="AQ25" i="27"/>
  <c r="AR25" i="27"/>
  <c r="AS25" i="27"/>
  <c r="AT25" i="27"/>
  <c r="AU25" i="27"/>
  <c r="AV25" i="27"/>
  <c r="AW25" i="27"/>
  <c r="AX25" i="27"/>
  <c r="AY25" i="27"/>
  <c r="AZ25" i="27"/>
  <c r="BA25" i="27"/>
  <c r="BB25" i="27"/>
  <c r="BC25" i="27"/>
  <c r="BD25" i="27"/>
  <c r="BE25" i="27"/>
  <c r="BF25" i="27"/>
  <c r="BG25" i="27"/>
  <c r="BH25" i="27"/>
  <c r="BI25" i="27"/>
  <c r="BJ25" i="27"/>
  <c r="BK25" i="27"/>
  <c r="BL25" i="27"/>
  <c r="BM25" i="27"/>
  <c r="BN25" i="27"/>
  <c r="BO25" i="27"/>
  <c r="BP25" i="27"/>
  <c r="BQ25" i="27"/>
  <c r="D26" i="27"/>
  <c r="E26" i="27"/>
  <c r="F26" i="27"/>
  <c r="G26" i="27"/>
  <c r="H26" i="27"/>
  <c r="I26" i="27"/>
  <c r="J26" i="27"/>
  <c r="K26" i="27"/>
  <c r="L26" i="27"/>
  <c r="M26" i="27"/>
  <c r="N26" i="27"/>
  <c r="O26" i="27"/>
  <c r="P26" i="27"/>
  <c r="Q26" i="27"/>
  <c r="R26" i="27"/>
  <c r="S26" i="27"/>
  <c r="T26" i="27"/>
  <c r="U26" i="27"/>
  <c r="V26" i="27"/>
  <c r="W26" i="27"/>
  <c r="X26" i="27"/>
  <c r="Y26" i="27"/>
  <c r="Z26" i="27"/>
  <c r="AA26" i="27"/>
  <c r="AB26" i="27"/>
  <c r="AC26" i="27"/>
  <c r="AD26" i="27"/>
  <c r="AE26" i="27"/>
  <c r="AF26" i="27"/>
  <c r="AG26" i="27"/>
  <c r="AH26" i="27"/>
  <c r="AI26" i="27"/>
  <c r="AJ26" i="27"/>
  <c r="AK26" i="27"/>
  <c r="AL26" i="27"/>
  <c r="AM26" i="27"/>
  <c r="AN26" i="27"/>
  <c r="AO26" i="27"/>
  <c r="AP26" i="27"/>
  <c r="AQ26" i="27"/>
  <c r="AR26" i="27"/>
  <c r="AS26" i="27"/>
  <c r="AT26" i="27"/>
  <c r="AU26" i="27"/>
  <c r="AV26" i="27"/>
  <c r="AW26" i="27"/>
  <c r="AX26" i="27"/>
  <c r="AY26" i="27"/>
  <c r="AZ26" i="27"/>
  <c r="BA26" i="27"/>
  <c r="BB26" i="27"/>
  <c r="BC26" i="27"/>
  <c r="BD26" i="27"/>
  <c r="BE26" i="27"/>
  <c r="BF26" i="27"/>
  <c r="BG26" i="27"/>
  <c r="BH26" i="27"/>
  <c r="BI26" i="27"/>
  <c r="BJ26" i="27"/>
  <c r="BK26" i="27"/>
  <c r="BL26" i="27"/>
  <c r="BM26" i="27"/>
  <c r="BN26" i="27"/>
  <c r="BO26" i="27"/>
  <c r="BP26" i="27"/>
  <c r="BQ26" i="27"/>
  <c r="D27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Q27" i="27"/>
  <c r="R27" i="27"/>
  <c r="S27" i="27"/>
  <c r="T27" i="27"/>
  <c r="U27" i="27"/>
  <c r="V27" i="27"/>
  <c r="W27" i="27"/>
  <c r="X27" i="27"/>
  <c r="Y27" i="27"/>
  <c r="Z27" i="27"/>
  <c r="AA27" i="27"/>
  <c r="AB27" i="27"/>
  <c r="AC27" i="27"/>
  <c r="AD27" i="27"/>
  <c r="AE27" i="27"/>
  <c r="AF27" i="27"/>
  <c r="AG27" i="27"/>
  <c r="AH27" i="27"/>
  <c r="AI27" i="27"/>
  <c r="AJ27" i="27"/>
  <c r="AK27" i="27"/>
  <c r="AL27" i="27"/>
  <c r="AM27" i="27"/>
  <c r="AN27" i="27"/>
  <c r="AO27" i="27"/>
  <c r="AP27" i="27"/>
  <c r="AQ27" i="27"/>
  <c r="AR27" i="27"/>
  <c r="AS27" i="27"/>
  <c r="AT27" i="27"/>
  <c r="AU27" i="27"/>
  <c r="AV27" i="27"/>
  <c r="AW27" i="27"/>
  <c r="AX27" i="27"/>
  <c r="AY27" i="27"/>
  <c r="AZ27" i="27"/>
  <c r="BA27" i="27"/>
  <c r="BB27" i="27"/>
  <c r="BC27" i="27"/>
  <c r="BD27" i="27"/>
  <c r="BE27" i="27"/>
  <c r="BF27" i="27"/>
  <c r="BG27" i="27"/>
  <c r="BH27" i="27"/>
  <c r="BI27" i="27"/>
  <c r="BJ27" i="27"/>
  <c r="BK27" i="27"/>
  <c r="BL27" i="27"/>
  <c r="BM27" i="27"/>
  <c r="BN27" i="27"/>
  <c r="BO27" i="27"/>
  <c r="BP27" i="27"/>
  <c r="BQ27" i="27"/>
  <c r="D28" i="27"/>
  <c r="E28" i="27"/>
  <c r="F28" i="27"/>
  <c r="G28" i="27"/>
  <c r="H28" i="27"/>
  <c r="I28" i="27"/>
  <c r="J28" i="27"/>
  <c r="K28" i="27"/>
  <c r="L28" i="27"/>
  <c r="M28" i="27"/>
  <c r="N28" i="27"/>
  <c r="O28" i="27"/>
  <c r="P28" i="27"/>
  <c r="Q28" i="27"/>
  <c r="R28" i="27"/>
  <c r="S28" i="27"/>
  <c r="T28" i="27"/>
  <c r="U28" i="27"/>
  <c r="V28" i="27"/>
  <c r="W28" i="27"/>
  <c r="X28" i="27"/>
  <c r="Y28" i="27"/>
  <c r="Z28" i="27"/>
  <c r="AA28" i="27"/>
  <c r="AB28" i="27"/>
  <c r="AC28" i="27"/>
  <c r="AD28" i="27"/>
  <c r="AE28" i="27"/>
  <c r="AF28" i="27"/>
  <c r="AG28" i="27"/>
  <c r="AH28" i="27"/>
  <c r="AI28" i="27"/>
  <c r="AJ28" i="27"/>
  <c r="AK28" i="27"/>
  <c r="AL28" i="27"/>
  <c r="AM28" i="27"/>
  <c r="AN28" i="27"/>
  <c r="AO28" i="27"/>
  <c r="AP28" i="27"/>
  <c r="AQ28" i="27"/>
  <c r="AR28" i="27"/>
  <c r="AS28" i="27"/>
  <c r="AT28" i="27"/>
  <c r="AU28" i="27"/>
  <c r="AV28" i="27"/>
  <c r="AW28" i="27"/>
  <c r="AX28" i="27"/>
  <c r="AY28" i="27"/>
  <c r="AZ28" i="27"/>
  <c r="BA28" i="27"/>
  <c r="BB28" i="27"/>
  <c r="BC28" i="27"/>
  <c r="BD28" i="27"/>
  <c r="BE28" i="27"/>
  <c r="BF28" i="27"/>
  <c r="BG28" i="27"/>
  <c r="BH28" i="27"/>
  <c r="BI28" i="27"/>
  <c r="BJ28" i="27"/>
  <c r="BK28" i="27"/>
  <c r="BL28" i="27"/>
  <c r="BM28" i="27"/>
  <c r="BN28" i="27"/>
  <c r="BO28" i="27"/>
  <c r="BP28" i="27"/>
  <c r="BQ28" i="27"/>
  <c r="D29" i="27"/>
  <c r="E29" i="27"/>
  <c r="F29" i="27"/>
  <c r="G29" i="27"/>
  <c r="H29" i="27"/>
  <c r="I29" i="27"/>
  <c r="J29" i="27"/>
  <c r="K29" i="27"/>
  <c r="L29" i="27"/>
  <c r="M29" i="27"/>
  <c r="N29" i="27"/>
  <c r="O29" i="27"/>
  <c r="P29" i="27"/>
  <c r="Q29" i="27"/>
  <c r="R29" i="27"/>
  <c r="S29" i="27"/>
  <c r="T29" i="27"/>
  <c r="U29" i="27"/>
  <c r="V29" i="27"/>
  <c r="W29" i="27"/>
  <c r="X29" i="27"/>
  <c r="Y29" i="27"/>
  <c r="Z29" i="27"/>
  <c r="AA29" i="27"/>
  <c r="AB29" i="27"/>
  <c r="AC29" i="27"/>
  <c r="AD29" i="27"/>
  <c r="AE29" i="27"/>
  <c r="AF29" i="27"/>
  <c r="AG29" i="27"/>
  <c r="AH29" i="27"/>
  <c r="AI29" i="27"/>
  <c r="AJ29" i="27"/>
  <c r="AK29" i="27"/>
  <c r="AL29" i="27"/>
  <c r="AM29" i="27"/>
  <c r="AN29" i="27"/>
  <c r="AO29" i="27"/>
  <c r="AP29" i="27"/>
  <c r="AQ29" i="27"/>
  <c r="AR29" i="27"/>
  <c r="AS29" i="27"/>
  <c r="AT29" i="27"/>
  <c r="AU29" i="27"/>
  <c r="AV29" i="27"/>
  <c r="AW29" i="27"/>
  <c r="AX29" i="27"/>
  <c r="AY29" i="27"/>
  <c r="AZ29" i="27"/>
  <c r="BA29" i="27"/>
  <c r="BB29" i="27"/>
  <c r="BC29" i="27"/>
  <c r="BD29" i="27"/>
  <c r="BE29" i="27"/>
  <c r="BF29" i="27"/>
  <c r="BG29" i="27"/>
  <c r="BH29" i="27"/>
  <c r="BI29" i="27"/>
  <c r="BJ29" i="27"/>
  <c r="BK29" i="27"/>
  <c r="BL29" i="27"/>
  <c r="BM29" i="27"/>
  <c r="BN29" i="27"/>
  <c r="BO29" i="27"/>
  <c r="BP29" i="27"/>
  <c r="BQ29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Q30" i="27"/>
  <c r="R30" i="27"/>
  <c r="S30" i="27"/>
  <c r="T30" i="27"/>
  <c r="U30" i="27"/>
  <c r="V30" i="27"/>
  <c r="W30" i="27"/>
  <c r="X30" i="27"/>
  <c r="Y30" i="27"/>
  <c r="Z30" i="27"/>
  <c r="AA30" i="27"/>
  <c r="AB30" i="27"/>
  <c r="AC30" i="27"/>
  <c r="AD30" i="27"/>
  <c r="AE30" i="27"/>
  <c r="AF30" i="27"/>
  <c r="AG30" i="27"/>
  <c r="AH30" i="27"/>
  <c r="AI30" i="27"/>
  <c r="AJ30" i="27"/>
  <c r="AK30" i="27"/>
  <c r="AL30" i="27"/>
  <c r="AM30" i="27"/>
  <c r="AN30" i="27"/>
  <c r="AO30" i="27"/>
  <c r="AP30" i="27"/>
  <c r="AQ30" i="27"/>
  <c r="AR30" i="27"/>
  <c r="AS30" i="27"/>
  <c r="AT30" i="27"/>
  <c r="AU30" i="27"/>
  <c r="AV30" i="27"/>
  <c r="AW30" i="27"/>
  <c r="AX30" i="27"/>
  <c r="AY30" i="27"/>
  <c r="AZ30" i="27"/>
  <c r="BA30" i="27"/>
  <c r="BB30" i="27"/>
  <c r="BC30" i="27"/>
  <c r="BD30" i="27"/>
  <c r="BE30" i="27"/>
  <c r="BF30" i="27"/>
  <c r="BG30" i="27"/>
  <c r="BH30" i="27"/>
  <c r="BI30" i="27"/>
  <c r="BJ30" i="27"/>
  <c r="BK30" i="27"/>
  <c r="BL30" i="27"/>
  <c r="BM30" i="27"/>
  <c r="BN30" i="27"/>
  <c r="BO30" i="27"/>
  <c r="BP30" i="27"/>
  <c r="BQ30" i="27"/>
  <c r="D31" i="27"/>
  <c r="E31" i="27"/>
  <c r="F31" i="27"/>
  <c r="G31" i="27"/>
  <c r="H31" i="27"/>
  <c r="I31" i="27"/>
  <c r="J31" i="27"/>
  <c r="K31" i="27"/>
  <c r="L31" i="27"/>
  <c r="M31" i="27"/>
  <c r="N31" i="27"/>
  <c r="O31" i="27"/>
  <c r="P31" i="27"/>
  <c r="Q31" i="27"/>
  <c r="R31" i="27"/>
  <c r="S31" i="27"/>
  <c r="T31" i="27"/>
  <c r="U31" i="27"/>
  <c r="V31" i="27"/>
  <c r="W31" i="27"/>
  <c r="X31" i="27"/>
  <c r="Y31" i="27"/>
  <c r="Z31" i="27"/>
  <c r="AA31" i="27"/>
  <c r="AB31" i="27"/>
  <c r="AC31" i="27"/>
  <c r="AD31" i="27"/>
  <c r="AE31" i="27"/>
  <c r="AF31" i="27"/>
  <c r="AG31" i="27"/>
  <c r="AH31" i="27"/>
  <c r="AI31" i="27"/>
  <c r="AJ31" i="27"/>
  <c r="AK31" i="27"/>
  <c r="AL31" i="27"/>
  <c r="AM31" i="27"/>
  <c r="AN31" i="27"/>
  <c r="AO31" i="27"/>
  <c r="AP31" i="27"/>
  <c r="AQ31" i="27"/>
  <c r="AR31" i="27"/>
  <c r="AS31" i="27"/>
  <c r="AT31" i="27"/>
  <c r="AU31" i="27"/>
  <c r="AV31" i="27"/>
  <c r="AW31" i="27"/>
  <c r="AX31" i="27"/>
  <c r="AY31" i="27"/>
  <c r="AZ31" i="27"/>
  <c r="BA31" i="27"/>
  <c r="BB31" i="27"/>
  <c r="BC31" i="27"/>
  <c r="BD31" i="27"/>
  <c r="BE31" i="27"/>
  <c r="BF31" i="27"/>
  <c r="BG31" i="27"/>
  <c r="BH31" i="27"/>
  <c r="BI31" i="27"/>
  <c r="BJ31" i="27"/>
  <c r="BK31" i="27"/>
  <c r="BL31" i="27"/>
  <c r="BM31" i="27"/>
  <c r="BN31" i="27"/>
  <c r="BO31" i="27"/>
  <c r="BP31" i="27"/>
  <c r="BQ31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Q32" i="27"/>
  <c r="R32" i="27"/>
  <c r="S32" i="27"/>
  <c r="T32" i="27"/>
  <c r="U32" i="27"/>
  <c r="V32" i="27"/>
  <c r="W32" i="27"/>
  <c r="X32" i="27"/>
  <c r="Y32" i="27"/>
  <c r="Z32" i="27"/>
  <c r="AA32" i="27"/>
  <c r="AB32" i="27"/>
  <c r="AC32" i="27"/>
  <c r="AD32" i="27"/>
  <c r="AE32" i="27"/>
  <c r="AF32" i="27"/>
  <c r="AG32" i="27"/>
  <c r="AH32" i="27"/>
  <c r="AI32" i="27"/>
  <c r="AJ32" i="27"/>
  <c r="AK32" i="27"/>
  <c r="AL32" i="27"/>
  <c r="AM32" i="27"/>
  <c r="AN32" i="27"/>
  <c r="AO32" i="27"/>
  <c r="AP32" i="27"/>
  <c r="AQ32" i="27"/>
  <c r="AR32" i="27"/>
  <c r="AS32" i="27"/>
  <c r="AT32" i="27"/>
  <c r="AU32" i="27"/>
  <c r="AV32" i="27"/>
  <c r="AW32" i="27"/>
  <c r="AX32" i="27"/>
  <c r="AY32" i="27"/>
  <c r="AZ32" i="27"/>
  <c r="BA32" i="27"/>
  <c r="BB32" i="27"/>
  <c r="BC32" i="27"/>
  <c r="BD32" i="27"/>
  <c r="BE32" i="27"/>
  <c r="BF32" i="27"/>
  <c r="BG32" i="27"/>
  <c r="BH32" i="27"/>
  <c r="BI32" i="27"/>
  <c r="BJ32" i="27"/>
  <c r="BK32" i="27"/>
  <c r="BL32" i="27"/>
  <c r="BM32" i="27"/>
  <c r="BN32" i="27"/>
  <c r="BO32" i="27"/>
  <c r="BP32" i="27"/>
  <c r="BQ32" i="27"/>
  <c r="D33" i="27"/>
  <c r="E33" i="27"/>
  <c r="F33" i="27"/>
  <c r="G33" i="27"/>
  <c r="H33" i="27"/>
  <c r="I33" i="27"/>
  <c r="J33" i="27"/>
  <c r="K33" i="27"/>
  <c r="L33" i="27"/>
  <c r="M33" i="27"/>
  <c r="N33" i="27"/>
  <c r="O33" i="27"/>
  <c r="P33" i="27"/>
  <c r="Q33" i="27"/>
  <c r="R33" i="27"/>
  <c r="S33" i="27"/>
  <c r="T33" i="27"/>
  <c r="U33" i="27"/>
  <c r="V33" i="27"/>
  <c r="W33" i="27"/>
  <c r="X33" i="27"/>
  <c r="Y33" i="27"/>
  <c r="Z33" i="27"/>
  <c r="AA33" i="27"/>
  <c r="AB33" i="27"/>
  <c r="AC33" i="27"/>
  <c r="AD33" i="27"/>
  <c r="AE33" i="27"/>
  <c r="AF33" i="27"/>
  <c r="AG33" i="27"/>
  <c r="AH33" i="27"/>
  <c r="AI33" i="27"/>
  <c r="AJ33" i="27"/>
  <c r="AK33" i="27"/>
  <c r="AL33" i="27"/>
  <c r="AM33" i="27"/>
  <c r="AN33" i="27"/>
  <c r="AO33" i="27"/>
  <c r="AP33" i="27"/>
  <c r="AQ33" i="27"/>
  <c r="AR33" i="27"/>
  <c r="AS33" i="27"/>
  <c r="AT33" i="27"/>
  <c r="AU33" i="27"/>
  <c r="AV33" i="27"/>
  <c r="AW33" i="27"/>
  <c r="AX33" i="27"/>
  <c r="AY33" i="27"/>
  <c r="AZ33" i="27"/>
  <c r="BA33" i="27"/>
  <c r="BB33" i="27"/>
  <c r="BC33" i="27"/>
  <c r="BD33" i="27"/>
  <c r="BE33" i="27"/>
  <c r="BF33" i="27"/>
  <c r="BG33" i="27"/>
  <c r="BH33" i="27"/>
  <c r="BI33" i="27"/>
  <c r="BJ33" i="27"/>
  <c r="BK33" i="27"/>
  <c r="BL33" i="27"/>
  <c r="BM33" i="27"/>
  <c r="BN33" i="27"/>
  <c r="BO33" i="27"/>
  <c r="BP33" i="27"/>
  <c r="BQ33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T34" i="27"/>
  <c r="U34" i="27"/>
  <c r="V34" i="27"/>
  <c r="W34" i="27"/>
  <c r="X34" i="27"/>
  <c r="Y34" i="27"/>
  <c r="Z34" i="27"/>
  <c r="AA34" i="27"/>
  <c r="AB34" i="27"/>
  <c r="AC34" i="27"/>
  <c r="AD34" i="27"/>
  <c r="AE34" i="27"/>
  <c r="AF34" i="27"/>
  <c r="AG34" i="27"/>
  <c r="AH34" i="27"/>
  <c r="AI34" i="27"/>
  <c r="AJ34" i="27"/>
  <c r="AK34" i="27"/>
  <c r="AL34" i="27"/>
  <c r="AM34" i="27"/>
  <c r="AN34" i="27"/>
  <c r="AO34" i="27"/>
  <c r="AP34" i="27"/>
  <c r="AQ34" i="27"/>
  <c r="AR34" i="27"/>
  <c r="AS34" i="27"/>
  <c r="AT34" i="27"/>
  <c r="AU34" i="27"/>
  <c r="AV34" i="27"/>
  <c r="AW34" i="27"/>
  <c r="AX34" i="27"/>
  <c r="AY34" i="27"/>
  <c r="AZ34" i="27"/>
  <c r="BA34" i="27"/>
  <c r="BB34" i="27"/>
  <c r="BC34" i="27"/>
  <c r="BD34" i="27"/>
  <c r="BE34" i="27"/>
  <c r="BF34" i="27"/>
  <c r="BG34" i="27"/>
  <c r="BH34" i="27"/>
  <c r="BI34" i="27"/>
  <c r="BJ34" i="27"/>
  <c r="BK34" i="27"/>
  <c r="BL34" i="27"/>
  <c r="BM34" i="27"/>
  <c r="BN34" i="27"/>
  <c r="BO34" i="27"/>
  <c r="BP34" i="27"/>
  <c r="BQ34" i="27"/>
  <c r="D35" i="27"/>
  <c r="E35" i="27"/>
  <c r="F35" i="27"/>
  <c r="G35" i="27"/>
  <c r="H35" i="27"/>
  <c r="I35" i="27"/>
  <c r="J35" i="27"/>
  <c r="K35" i="27"/>
  <c r="L35" i="27"/>
  <c r="M35" i="27"/>
  <c r="N35" i="27"/>
  <c r="O35" i="27"/>
  <c r="P35" i="27"/>
  <c r="Q35" i="27"/>
  <c r="R35" i="27"/>
  <c r="S35" i="27"/>
  <c r="T35" i="27"/>
  <c r="U35" i="27"/>
  <c r="V35" i="27"/>
  <c r="W35" i="27"/>
  <c r="X35" i="27"/>
  <c r="Y35" i="27"/>
  <c r="Z35" i="27"/>
  <c r="AA35" i="27"/>
  <c r="AB35" i="27"/>
  <c r="AC35" i="27"/>
  <c r="AD35" i="27"/>
  <c r="AE35" i="27"/>
  <c r="AF35" i="27"/>
  <c r="AG35" i="27"/>
  <c r="AH35" i="27"/>
  <c r="AI35" i="27"/>
  <c r="AJ35" i="27"/>
  <c r="AK35" i="27"/>
  <c r="AL35" i="27"/>
  <c r="AM35" i="27"/>
  <c r="AN35" i="27"/>
  <c r="AO35" i="27"/>
  <c r="AP35" i="27"/>
  <c r="AQ35" i="27"/>
  <c r="AR35" i="27"/>
  <c r="AS35" i="27"/>
  <c r="AT35" i="27"/>
  <c r="AU35" i="27"/>
  <c r="AV35" i="27"/>
  <c r="AW35" i="27"/>
  <c r="AX35" i="27"/>
  <c r="AY35" i="27"/>
  <c r="AZ35" i="27"/>
  <c r="BA35" i="27"/>
  <c r="BB35" i="27"/>
  <c r="BC35" i="27"/>
  <c r="BD35" i="27"/>
  <c r="BE35" i="27"/>
  <c r="BF35" i="27"/>
  <c r="BG35" i="27"/>
  <c r="BH35" i="27"/>
  <c r="BI35" i="27"/>
  <c r="BJ35" i="27"/>
  <c r="BK35" i="27"/>
  <c r="BL35" i="27"/>
  <c r="BM35" i="27"/>
  <c r="BN35" i="27"/>
  <c r="BO35" i="27"/>
  <c r="BP35" i="27"/>
  <c r="BQ35" i="27"/>
  <c r="D36" i="27"/>
  <c r="E36" i="27"/>
  <c r="F36" i="27"/>
  <c r="G36" i="27"/>
  <c r="H36" i="27"/>
  <c r="I36" i="27"/>
  <c r="J36" i="27"/>
  <c r="K36" i="27"/>
  <c r="L36" i="27"/>
  <c r="M36" i="27"/>
  <c r="N36" i="27"/>
  <c r="O36" i="27"/>
  <c r="P36" i="27"/>
  <c r="Q36" i="27"/>
  <c r="R36" i="27"/>
  <c r="S36" i="27"/>
  <c r="T36" i="27"/>
  <c r="U36" i="27"/>
  <c r="V36" i="27"/>
  <c r="W36" i="27"/>
  <c r="X36" i="27"/>
  <c r="Y36" i="27"/>
  <c r="Z36" i="27"/>
  <c r="AA36" i="27"/>
  <c r="AB36" i="27"/>
  <c r="AC36" i="27"/>
  <c r="AD36" i="27"/>
  <c r="AE36" i="27"/>
  <c r="AF36" i="27"/>
  <c r="AG36" i="27"/>
  <c r="AH36" i="27"/>
  <c r="AI36" i="27"/>
  <c r="AJ36" i="27"/>
  <c r="AK36" i="27"/>
  <c r="AL36" i="27"/>
  <c r="AM36" i="27"/>
  <c r="AN36" i="27"/>
  <c r="AO36" i="27"/>
  <c r="AP36" i="27"/>
  <c r="AQ36" i="27"/>
  <c r="AR36" i="27"/>
  <c r="AS36" i="27"/>
  <c r="AT36" i="27"/>
  <c r="AU36" i="27"/>
  <c r="AV36" i="27"/>
  <c r="AW36" i="27"/>
  <c r="AX36" i="27"/>
  <c r="AY36" i="27"/>
  <c r="AZ36" i="27"/>
  <c r="BA36" i="27"/>
  <c r="BB36" i="27"/>
  <c r="BC36" i="27"/>
  <c r="BD36" i="27"/>
  <c r="BE36" i="27"/>
  <c r="BF36" i="27"/>
  <c r="BG36" i="27"/>
  <c r="BH36" i="27"/>
  <c r="BI36" i="27"/>
  <c r="BJ36" i="27"/>
  <c r="BK36" i="27"/>
  <c r="BL36" i="27"/>
  <c r="BM36" i="27"/>
  <c r="BN36" i="27"/>
  <c r="BO36" i="27"/>
  <c r="BP36" i="27"/>
  <c r="BQ36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R37" i="27"/>
  <c r="S37" i="27"/>
  <c r="T37" i="27"/>
  <c r="U37" i="27"/>
  <c r="V37" i="27"/>
  <c r="W37" i="27"/>
  <c r="X37" i="27"/>
  <c r="Y37" i="27"/>
  <c r="Z37" i="27"/>
  <c r="AA37" i="27"/>
  <c r="AB37" i="27"/>
  <c r="AC37" i="27"/>
  <c r="AD37" i="27"/>
  <c r="AE37" i="27"/>
  <c r="AF37" i="27"/>
  <c r="AG37" i="27"/>
  <c r="AH37" i="27"/>
  <c r="AI37" i="27"/>
  <c r="AJ37" i="27"/>
  <c r="AK37" i="27"/>
  <c r="AL37" i="27"/>
  <c r="AM37" i="27"/>
  <c r="AN37" i="27"/>
  <c r="AO37" i="27"/>
  <c r="AP37" i="27"/>
  <c r="AQ37" i="27"/>
  <c r="AR37" i="27"/>
  <c r="AS37" i="27"/>
  <c r="AT37" i="27"/>
  <c r="AU37" i="27"/>
  <c r="AV37" i="27"/>
  <c r="AW37" i="27"/>
  <c r="AX37" i="27"/>
  <c r="AY37" i="27"/>
  <c r="AZ37" i="27"/>
  <c r="BA37" i="27"/>
  <c r="BB37" i="27"/>
  <c r="BC37" i="27"/>
  <c r="BD37" i="27"/>
  <c r="BE37" i="27"/>
  <c r="BF37" i="27"/>
  <c r="BG37" i="27"/>
  <c r="BH37" i="27"/>
  <c r="BI37" i="27"/>
  <c r="BJ37" i="27"/>
  <c r="BK37" i="27"/>
  <c r="BL37" i="27"/>
  <c r="BM37" i="27"/>
  <c r="BN37" i="27"/>
  <c r="BO37" i="27"/>
  <c r="BP37" i="27"/>
  <c r="BQ37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Z38" i="27"/>
  <c r="AA38" i="27"/>
  <c r="AB38" i="27"/>
  <c r="AC38" i="27"/>
  <c r="AD38" i="27"/>
  <c r="AE38" i="27"/>
  <c r="AF38" i="27"/>
  <c r="AG38" i="27"/>
  <c r="AH38" i="27"/>
  <c r="AI38" i="27"/>
  <c r="AJ38" i="27"/>
  <c r="AK38" i="27"/>
  <c r="AL38" i="27"/>
  <c r="AM38" i="27"/>
  <c r="AN38" i="27"/>
  <c r="AO38" i="27"/>
  <c r="AP38" i="27"/>
  <c r="AQ38" i="27"/>
  <c r="AR38" i="27"/>
  <c r="AS38" i="27"/>
  <c r="AT38" i="27"/>
  <c r="AU38" i="27"/>
  <c r="AV38" i="27"/>
  <c r="AW38" i="27"/>
  <c r="AX38" i="27"/>
  <c r="AY38" i="27"/>
  <c r="AZ38" i="27"/>
  <c r="BA38" i="27"/>
  <c r="BB38" i="27"/>
  <c r="BC38" i="27"/>
  <c r="BD38" i="27"/>
  <c r="BE38" i="27"/>
  <c r="BF38" i="27"/>
  <c r="BG38" i="27"/>
  <c r="BH38" i="27"/>
  <c r="BI38" i="27"/>
  <c r="BJ38" i="27"/>
  <c r="BK38" i="27"/>
  <c r="BL38" i="27"/>
  <c r="BM38" i="27"/>
  <c r="BN38" i="27"/>
  <c r="BO38" i="27"/>
  <c r="BP38" i="27"/>
  <c r="BQ38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L39" i="27"/>
  <c r="AM39" i="27"/>
  <c r="AN39" i="27"/>
  <c r="AO39" i="27"/>
  <c r="AP39" i="27"/>
  <c r="AQ39" i="27"/>
  <c r="AR39" i="27"/>
  <c r="AS39" i="27"/>
  <c r="AT39" i="27"/>
  <c r="AU39" i="27"/>
  <c r="AV39" i="27"/>
  <c r="AW39" i="27"/>
  <c r="AX39" i="27"/>
  <c r="AY39" i="27"/>
  <c r="AZ39" i="27"/>
  <c r="BA39" i="27"/>
  <c r="BB39" i="27"/>
  <c r="BC39" i="27"/>
  <c r="BD39" i="27"/>
  <c r="BE39" i="27"/>
  <c r="BF39" i="27"/>
  <c r="BG39" i="27"/>
  <c r="BH39" i="27"/>
  <c r="BI39" i="27"/>
  <c r="BJ39" i="27"/>
  <c r="BK39" i="27"/>
  <c r="BL39" i="27"/>
  <c r="BM39" i="27"/>
  <c r="BN39" i="27"/>
  <c r="BO39" i="27"/>
  <c r="BP39" i="27"/>
  <c r="BQ39" i="27"/>
  <c r="D40" i="27"/>
  <c r="E40" i="27"/>
  <c r="F40" i="27"/>
  <c r="G40" i="27"/>
  <c r="H40" i="27"/>
  <c r="I40" i="27"/>
  <c r="J40" i="27"/>
  <c r="K40" i="27"/>
  <c r="L40" i="27"/>
  <c r="M40" i="27"/>
  <c r="N40" i="27"/>
  <c r="O40" i="27"/>
  <c r="P40" i="27"/>
  <c r="Q40" i="27"/>
  <c r="R40" i="27"/>
  <c r="S40" i="27"/>
  <c r="T40" i="27"/>
  <c r="U40" i="27"/>
  <c r="V40" i="27"/>
  <c r="W40" i="27"/>
  <c r="X40" i="27"/>
  <c r="Y40" i="27"/>
  <c r="Z40" i="27"/>
  <c r="AA40" i="27"/>
  <c r="AB40" i="27"/>
  <c r="AC40" i="27"/>
  <c r="AD40" i="27"/>
  <c r="AE40" i="27"/>
  <c r="AF40" i="27"/>
  <c r="AG40" i="27"/>
  <c r="AH40" i="27"/>
  <c r="AI40" i="27"/>
  <c r="AJ40" i="27"/>
  <c r="AK40" i="27"/>
  <c r="AL40" i="27"/>
  <c r="AM40" i="27"/>
  <c r="AN40" i="27"/>
  <c r="AO40" i="27"/>
  <c r="AP40" i="27"/>
  <c r="AQ40" i="27"/>
  <c r="AR40" i="27"/>
  <c r="AS40" i="27"/>
  <c r="AT40" i="27"/>
  <c r="AU40" i="27"/>
  <c r="AV40" i="27"/>
  <c r="AW40" i="27"/>
  <c r="AX40" i="27"/>
  <c r="AY40" i="27"/>
  <c r="AZ40" i="27"/>
  <c r="BA40" i="27"/>
  <c r="BB40" i="27"/>
  <c r="BC40" i="27"/>
  <c r="BD40" i="27"/>
  <c r="BE40" i="27"/>
  <c r="BF40" i="27"/>
  <c r="BG40" i="27"/>
  <c r="BH40" i="27"/>
  <c r="BI40" i="27"/>
  <c r="BJ40" i="27"/>
  <c r="BK40" i="27"/>
  <c r="BL40" i="27"/>
  <c r="BM40" i="27"/>
  <c r="BN40" i="27"/>
  <c r="BO40" i="27"/>
  <c r="BP40" i="27"/>
  <c r="BQ40" i="27"/>
  <c r="D41" i="27"/>
  <c r="E41" i="27"/>
  <c r="F41" i="27"/>
  <c r="G41" i="27"/>
  <c r="H41" i="27"/>
  <c r="I41" i="27"/>
  <c r="J41" i="27"/>
  <c r="K41" i="27"/>
  <c r="L41" i="27"/>
  <c r="M41" i="27"/>
  <c r="N41" i="27"/>
  <c r="O41" i="27"/>
  <c r="P41" i="27"/>
  <c r="Q41" i="27"/>
  <c r="R41" i="27"/>
  <c r="S41" i="27"/>
  <c r="T41" i="27"/>
  <c r="U41" i="27"/>
  <c r="V41" i="27"/>
  <c r="W41" i="27"/>
  <c r="X41" i="27"/>
  <c r="Y41" i="27"/>
  <c r="Z41" i="27"/>
  <c r="AA41" i="27"/>
  <c r="AB41" i="27"/>
  <c r="AC41" i="27"/>
  <c r="AD41" i="27"/>
  <c r="AE41" i="27"/>
  <c r="AF41" i="27"/>
  <c r="AG41" i="27"/>
  <c r="AH41" i="27"/>
  <c r="AI41" i="27"/>
  <c r="AJ41" i="27"/>
  <c r="AK41" i="27"/>
  <c r="AL41" i="27"/>
  <c r="AM41" i="27"/>
  <c r="AN41" i="27"/>
  <c r="AO41" i="27"/>
  <c r="AP41" i="27"/>
  <c r="AQ41" i="27"/>
  <c r="AR41" i="27"/>
  <c r="AS41" i="27"/>
  <c r="AT41" i="27"/>
  <c r="AU41" i="27"/>
  <c r="AV41" i="27"/>
  <c r="AW41" i="27"/>
  <c r="AX41" i="27"/>
  <c r="AY41" i="27"/>
  <c r="AZ41" i="27"/>
  <c r="BA41" i="27"/>
  <c r="BB41" i="27"/>
  <c r="BC41" i="27"/>
  <c r="BD41" i="27"/>
  <c r="BE41" i="27"/>
  <c r="BF41" i="27"/>
  <c r="BG41" i="27"/>
  <c r="BH41" i="27"/>
  <c r="BI41" i="27"/>
  <c r="BJ41" i="27"/>
  <c r="BK41" i="27"/>
  <c r="BL41" i="27"/>
  <c r="BM41" i="27"/>
  <c r="BN41" i="27"/>
  <c r="BO41" i="27"/>
  <c r="BP41" i="27"/>
  <c r="BQ41" i="27"/>
  <c r="D42" i="27"/>
  <c r="E42" i="27"/>
  <c r="F42" i="27"/>
  <c r="G42" i="27"/>
  <c r="H42" i="27"/>
  <c r="I42" i="27"/>
  <c r="J42" i="27"/>
  <c r="K42" i="27"/>
  <c r="L42" i="27"/>
  <c r="M42" i="27"/>
  <c r="N42" i="27"/>
  <c r="O42" i="27"/>
  <c r="P42" i="27"/>
  <c r="Q42" i="27"/>
  <c r="R42" i="27"/>
  <c r="S42" i="27"/>
  <c r="T42" i="27"/>
  <c r="U42" i="27"/>
  <c r="V42" i="27"/>
  <c r="W42" i="27"/>
  <c r="X42" i="27"/>
  <c r="Y42" i="27"/>
  <c r="Z42" i="27"/>
  <c r="AA42" i="27"/>
  <c r="AB42" i="27"/>
  <c r="AC42" i="27"/>
  <c r="AD42" i="27"/>
  <c r="AE42" i="27"/>
  <c r="AF42" i="27"/>
  <c r="AG42" i="27"/>
  <c r="AH42" i="27"/>
  <c r="AI42" i="27"/>
  <c r="AJ42" i="27"/>
  <c r="AK42" i="27"/>
  <c r="AL42" i="27"/>
  <c r="AM42" i="27"/>
  <c r="AN42" i="27"/>
  <c r="AO42" i="27"/>
  <c r="AP42" i="27"/>
  <c r="AQ42" i="27"/>
  <c r="AR42" i="27"/>
  <c r="AS42" i="27"/>
  <c r="AT42" i="27"/>
  <c r="AU42" i="27"/>
  <c r="AV42" i="27"/>
  <c r="AW42" i="27"/>
  <c r="AX42" i="27"/>
  <c r="AY42" i="27"/>
  <c r="AZ42" i="27"/>
  <c r="BA42" i="27"/>
  <c r="BB42" i="27"/>
  <c r="BC42" i="27"/>
  <c r="BD42" i="27"/>
  <c r="BE42" i="27"/>
  <c r="BF42" i="27"/>
  <c r="BG42" i="27"/>
  <c r="BH42" i="27"/>
  <c r="BI42" i="27"/>
  <c r="BJ42" i="27"/>
  <c r="BK42" i="27"/>
  <c r="BL42" i="27"/>
  <c r="BM42" i="27"/>
  <c r="BN42" i="27"/>
  <c r="BO42" i="27"/>
  <c r="BP42" i="27"/>
  <c r="BQ42" i="27"/>
  <c r="D43" i="27"/>
  <c r="E43" i="27"/>
  <c r="F43" i="27"/>
  <c r="G43" i="27"/>
  <c r="H43" i="27"/>
  <c r="I43" i="27"/>
  <c r="J43" i="27"/>
  <c r="K43" i="27"/>
  <c r="L43" i="27"/>
  <c r="M43" i="27"/>
  <c r="N43" i="27"/>
  <c r="O43" i="27"/>
  <c r="P43" i="27"/>
  <c r="Q43" i="27"/>
  <c r="R43" i="27"/>
  <c r="S43" i="27"/>
  <c r="T43" i="27"/>
  <c r="U43" i="27"/>
  <c r="V43" i="27"/>
  <c r="W43" i="27"/>
  <c r="X43" i="27"/>
  <c r="Y43" i="27"/>
  <c r="Z43" i="27"/>
  <c r="AA43" i="27"/>
  <c r="AB43" i="27"/>
  <c r="AC43" i="27"/>
  <c r="AD43" i="27"/>
  <c r="AE43" i="27"/>
  <c r="AF43" i="27"/>
  <c r="AG43" i="27"/>
  <c r="AH43" i="27"/>
  <c r="AI43" i="27"/>
  <c r="AJ43" i="27"/>
  <c r="AK43" i="27"/>
  <c r="AL43" i="27"/>
  <c r="AM43" i="27"/>
  <c r="AN43" i="27"/>
  <c r="AO43" i="27"/>
  <c r="AP43" i="27"/>
  <c r="AQ43" i="27"/>
  <c r="AR43" i="27"/>
  <c r="AS43" i="27"/>
  <c r="AT43" i="27"/>
  <c r="AU43" i="27"/>
  <c r="AV43" i="27"/>
  <c r="AW43" i="27"/>
  <c r="AX43" i="27"/>
  <c r="AY43" i="27"/>
  <c r="AZ43" i="27"/>
  <c r="BA43" i="27"/>
  <c r="BB43" i="27"/>
  <c r="BC43" i="27"/>
  <c r="BD43" i="27"/>
  <c r="BE43" i="27"/>
  <c r="BF43" i="27"/>
  <c r="BG43" i="27"/>
  <c r="BH43" i="27"/>
  <c r="BI43" i="27"/>
  <c r="BJ43" i="27"/>
  <c r="BK43" i="27"/>
  <c r="BL43" i="27"/>
  <c r="BM43" i="27"/>
  <c r="BN43" i="27"/>
  <c r="BO43" i="27"/>
  <c r="BP43" i="27"/>
  <c r="BQ43" i="27"/>
  <c r="D44" i="27"/>
  <c r="E44" i="27"/>
  <c r="F44" i="27"/>
  <c r="G44" i="27"/>
  <c r="H44" i="27"/>
  <c r="I44" i="27"/>
  <c r="J44" i="27"/>
  <c r="K44" i="27"/>
  <c r="L44" i="27"/>
  <c r="M44" i="27"/>
  <c r="N44" i="27"/>
  <c r="O44" i="27"/>
  <c r="P44" i="27"/>
  <c r="Q44" i="27"/>
  <c r="R44" i="27"/>
  <c r="S44" i="27"/>
  <c r="T44" i="27"/>
  <c r="U44" i="27"/>
  <c r="V44" i="27"/>
  <c r="W44" i="27"/>
  <c r="X44" i="27"/>
  <c r="Y44" i="27"/>
  <c r="Z44" i="27"/>
  <c r="AA44" i="27"/>
  <c r="AB44" i="27"/>
  <c r="AC44" i="27"/>
  <c r="AD44" i="27"/>
  <c r="AE44" i="27"/>
  <c r="AF44" i="27"/>
  <c r="AG44" i="27"/>
  <c r="AH44" i="27"/>
  <c r="AI44" i="27"/>
  <c r="AJ44" i="27"/>
  <c r="AK44" i="27"/>
  <c r="AL44" i="27"/>
  <c r="AM44" i="27"/>
  <c r="AN44" i="27"/>
  <c r="AO44" i="27"/>
  <c r="AP44" i="27"/>
  <c r="AQ44" i="27"/>
  <c r="AR44" i="27"/>
  <c r="AS44" i="27"/>
  <c r="AT44" i="27"/>
  <c r="AU44" i="27"/>
  <c r="AV44" i="27"/>
  <c r="AW44" i="27"/>
  <c r="AX44" i="27"/>
  <c r="AY44" i="27"/>
  <c r="AZ44" i="27"/>
  <c r="BA44" i="27"/>
  <c r="BB44" i="27"/>
  <c r="BC44" i="27"/>
  <c r="BD44" i="27"/>
  <c r="BE44" i="27"/>
  <c r="BF44" i="27"/>
  <c r="BG44" i="27"/>
  <c r="BH44" i="27"/>
  <c r="BI44" i="27"/>
  <c r="BJ44" i="27"/>
  <c r="BK44" i="27"/>
  <c r="BL44" i="27"/>
  <c r="BM44" i="27"/>
  <c r="BN44" i="27"/>
  <c r="BO44" i="27"/>
  <c r="BP44" i="27"/>
  <c r="BQ44" i="27"/>
  <c r="D45" i="27"/>
  <c r="E45" i="27"/>
  <c r="F45" i="27"/>
  <c r="G45" i="27"/>
  <c r="H45" i="27"/>
  <c r="I45" i="27"/>
  <c r="J45" i="27"/>
  <c r="K45" i="27"/>
  <c r="L45" i="27"/>
  <c r="M45" i="27"/>
  <c r="N45" i="27"/>
  <c r="O45" i="27"/>
  <c r="P45" i="27"/>
  <c r="Q45" i="27"/>
  <c r="R45" i="27"/>
  <c r="S45" i="27"/>
  <c r="T45" i="27"/>
  <c r="U45" i="27"/>
  <c r="V45" i="27"/>
  <c r="W45" i="27"/>
  <c r="X45" i="27"/>
  <c r="Y45" i="27"/>
  <c r="Z45" i="27"/>
  <c r="AA45" i="27"/>
  <c r="AB45" i="27"/>
  <c r="AC45" i="27"/>
  <c r="AD45" i="27"/>
  <c r="AE45" i="27"/>
  <c r="AF45" i="27"/>
  <c r="AG45" i="27"/>
  <c r="AH45" i="27"/>
  <c r="AI45" i="27"/>
  <c r="AJ45" i="27"/>
  <c r="AK45" i="27"/>
  <c r="AL45" i="27"/>
  <c r="AM45" i="27"/>
  <c r="AN45" i="27"/>
  <c r="AO45" i="27"/>
  <c r="AP45" i="27"/>
  <c r="AQ45" i="27"/>
  <c r="AR45" i="27"/>
  <c r="AS45" i="27"/>
  <c r="AT45" i="27"/>
  <c r="AU45" i="27"/>
  <c r="AV45" i="27"/>
  <c r="AW45" i="27"/>
  <c r="AX45" i="27"/>
  <c r="AY45" i="27"/>
  <c r="AZ45" i="27"/>
  <c r="BA45" i="27"/>
  <c r="BB45" i="27"/>
  <c r="BC45" i="27"/>
  <c r="BD45" i="27"/>
  <c r="BE45" i="27"/>
  <c r="BF45" i="27"/>
  <c r="BG45" i="27"/>
  <c r="BH45" i="27"/>
  <c r="BI45" i="27"/>
  <c r="BJ45" i="27"/>
  <c r="BK45" i="27"/>
  <c r="BL45" i="27"/>
  <c r="BM45" i="27"/>
  <c r="BN45" i="27"/>
  <c r="BO45" i="27"/>
  <c r="BP45" i="27"/>
  <c r="BQ45" i="27"/>
  <c r="D46" i="27"/>
  <c r="E46" i="27"/>
  <c r="F46" i="27"/>
  <c r="G46" i="27"/>
  <c r="H46" i="27"/>
  <c r="I46" i="27"/>
  <c r="J46" i="27"/>
  <c r="K46" i="27"/>
  <c r="L46" i="27"/>
  <c r="M46" i="27"/>
  <c r="N46" i="27"/>
  <c r="O46" i="27"/>
  <c r="P46" i="27"/>
  <c r="Q46" i="27"/>
  <c r="R46" i="27"/>
  <c r="S46" i="27"/>
  <c r="T46" i="27"/>
  <c r="U46" i="27"/>
  <c r="V46" i="27"/>
  <c r="W46" i="27"/>
  <c r="X46" i="27"/>
  <c r="Y46" i="27"/>
  <c r="Z46" i="27"/>
  <c r="AA46" i="27"/>
  <c r="AB46" i="27"/>
  <c r="AC46" i="27"/>
  <c r="AD46" i="27"/>
  <c r="AE46" i="27"/>
  <c r="AF46" i="27"/>
  <c r="AG46" i="27"/>
  <c r="AH46" i="27"/>
  <c r="AI46" i="27"/>
  <c r="AJ46" i="27"/>
  <c r="AK46" i="27"/>
  <c r="AL46" i="27"/>
  <c r="AM46" i="27"/>
  <c r="AN46" i="27"/>
  <c r="AO46" i="27"/>
  <c r="AP46" i="27"/>
  <c r="AQ46" i="27"/>
  <c r="AR46" i="27"/>
  <c r="AS46" i="27"/>
  <c r="AT46" i="27"/>
  <c r="AU46" i="27"/>
  <c r="AV46" i="27"/>
  <c r="AW46" i="27"/>
  <c r="AX46" i="27"/>
  <c r="AY46" i="27"/>
  <c r="AZ46" i="27"/>
  <c r="BA46" i="27"/>
  <c r="BB46" i="27"/>
  <c r="BC46" i="27"/>
  <c r="BD46" i="27"/>
  <c r="BE46" i="27"/>
  <c r="BF46" i="27"/>
  <c r="BG46" i="27"/>
  <c r="BH46" i="27"/>
  <c r="BI46" i="27"/>
  <c r="BJ46" i="27"/>
  <c r="BK46" i="27"/>
  <c r="BL46" i="27"/>
  <c r="BM46" i="27"/>
  <c r="BN46" i="27"/>
  <c r="BO46" i="27"/>
  <c r="BP46" i="27"/>
  <c r="BQ46" i="27"/>
  <c r="D47" i="27"/>
  <c r="E47" i="27"/>
  <c r="F47" i="27"/>
  <c r="G47" i="27"/>
  <c r="H47" i="27"/>
  <c r="I47" i="27"/>
  <c r="J47" i="27"/>
  <c r="K47" i="27"/>
  <c r="L47" i="27"/>
  <c r="M47" i="27"/>
  <c r="N47" i="27"/>
  <c r="O47" i="27"/>
  <c r="P47" i="27"/>
  <c r="Q47" i="27"/>
  <c r="R47" i="27"/>
  <c r="S47" i="27"/>
  <c r="T47" i="27"/>
  <c r="U47" i="27"/>
  <c r="V47" i="27"/>
  <c r="W47" i="27"/>
  <c r="X47" i="27"/>
  <c r="Y47" i="27"/>
  <c r="Z47" i="27"/>
  <c r="AA47" i="27"/>
  <c r="AB47" i="27"/>
  <c r="AC47" i="27"/>
  <c r="AD47" i="27"/>
  <c r="AE47" i="27"/>
  <c r="AF47" i="27"/>
  <c r="AG47" i="27"/>
  <c r="AH47" i="27"/>
  <c r="AI47" i="27"/>
  <c r="AJ47" i="27"/>
  <c r="AK47" i="27"/>
  <c r="AL47" i="27"/>
  <c r="AM47" i="27"/>
  <c r="AN47" i="27"/>
  <c r="AO47" i="27"/>
  <c r="AP47" i="27"/>
  <c r="AQ47" i="27"/>
  <c r="AR47" i="27"/>
  <c r="AS47" i="27"/>
  <c r="AT47" i="27"/>
  <c r="AU47" i="27"/>
  <c r="AV47" i="27"/>
  <c r="AW47" i="27"/>
  <c r="AX47" i="27"/>
  <c r="AY47" i="27"/>
  <c r="AZ47" i="27"/>
  <c r="BA47" i="27"/>
  <c r="BB47" i="27"/>
  <c r="BC47" i="27"/>
  <c r="BD47" i="27"/>
  <c r="BE47" i="27"/>
  <c r="BF47" i="27"/>
  <c r="BG47" i="27"/>
  <c r="BH47" i="27"/>
  <c r="BI47" i="27"/>
  <c r="BJ47" i="27"/>
  <c r="BK47" i="27"/>
  <c r="BL47" i="27"/>
  <c r="BM47" i="27"/>
  <c r="BN47" i="27"/>
  <c r="BO47" i="27"/>
  <c r="BP47" i="27"/>
  <c r="BQ47" i="27"/>
  <c r="D48" i="27"/>
  <c r="E48" i="27"/>
  <c r="F48" i="27"/>
  <c r="G48" i="27"/>
  <c r="H48" i="27"/>
  <c r="I48" i="27"/>
  <c r="J48" i="27"/>
  <c r="K48" i="27"/>
  <c r="L48" i="27"/>
  <c r="M48" i="27"/>
  <c r="N48" i="27"/>
  <c r="O48" i="27"/>
  <c r="P48" i="27"/>
  <c r="Q48" i="27"/>
  <c r="R48" i="27"/>
  <c r="S48" i="27"/>
  <c r="T48" i="27"/>
  <c r="U48" i="27"/>
  <c r="V48" i="27"/>
  <c r="W48" i="27"/>
  <c r="X48" i="27"/>
  <c r="Y48" i="27"/>
  <c r="Z48" i="27"/>
  <c r="AA48" i="27"/>
  <c r="AB48" i="27"/>
  <c r="AC48" i="27"/>
  <c r="AD48" i="27"/>
  <c r="AE48" i="27"/>
  <c r="AF48" i="27"/>
  <c r="AG48" i="27"/>
  <c r="AH48" i="27"/>
  <c r="AI48" i="27"/>
  <c r="AJ48" i="27"/>
  <c r="AK48" i="27"/>
  <c r="AL48" i="27"/>
  <c r="AM48" i="27"/>
  <c r="AN48" i="27"/>
  <c r="AO48" i="27"/>
  <c r="AP48" i="27"/>
  <c r="AQ48" i="27"/>
  <c r="AR48" i="27"/>
  <c r="AS48" i="27"/>
  <c r="AT48" i="27"/>
  <c r="AU48" i="27"/>
  <c r="AV48" i="27"/>
  <c r="AW48" i="27"/>
  <c r="AX48" i="27"/>
  <c r="AY48" i="27"/>
  <c r="AZ48" i="27"/>
  <c r="BA48" i="27"/>
  <c r="BB48" i="27"/>
  <c r="BC48" i="27"/>
  <c r="BD48" i="27"/>
  <c r="BE48" i="27"/>
  <c r="BF48" i="27"/>
  <c r="BG48" i="27"/>
  <c r="BH48" i="27"/>
  <c r="BI48" i="27"/>
  <c r="BJ48" i="27"/>
  <c r="BK48" i="27"/>
  <c r="BL48" i="27"/>
  <c r="BM48" i="27"/>
  <c r="BN48" i="27"/>
  <c r="BO48" i="27"/>
  <c r="BP48" i="27"/>
  <c r="BQ48" i="27"/>
  <c r="D49" i="27"/>
  <c r="E49" i="27"/>
  <c r="F49" i="27"/>
  <c r="G49" i="27"/>
  <c r="H49" i="27"/>
  <c r="I49" i="27"/>
  <c r="J49" i="27"/>
  <c r="K49" i="27"/>
  <c r="L49" i="27"/>
  <c r="M49" i="27"/>
  <c r="N49" i="27"/>
  <c r="O49" i="27"/>
  <c r="P49" i="27"/>
  <c r="Q49" i="27"/>
  <c r="R49" i="27"/>
  <c r="S49" i="27"/>
  <c r="T49" i="27"/>
  <c r="U49" i="27"/>
  <c r="V49" i="27"/>
  <c r="W49" i="27"/>
  <c r="X49" i="27"/>
  <c r="Y49" i="27"/>
  <c r="Z49" i="27"/>
  <c r="AA49" i="27"/>
  <c r="AB49" i="27"/>
  <c r="AC49" i="27"/>
  <c r="AD49" i="27"/>
  <c r="AE49" i="27"/>
  <c r="AF49" i="27"/>
  <c r="AG49" i="27"/>
  <c r="AH49" i="27"/>
  <c r="AI49" i="27"/>
  <c r="AJ49" i="27"/>
  <c r="AK49" i="27"/>
  <c r="AL49" i="27"/>
  <c r="AM49" i="27"/>
  <c r="AN49" i="27"/>
  <c r="AO49" i="27"/>
  <c r="AP49" i="27"/>
  <c r="AQ49" i="27"/>
  <c r="AR49" i="27"/>
  <c r="AS49" i="27"/>
  <c r="AT49" i="27"/>
  <c r="AU49" i="27"/>
  <c r="AV49" i="27"/>
  <c r="AW49" i="27"/>
  <c r="AX49" i="27"/>
  <c r="AY49" i="27"/>
  <c r="AZ49" i="27"/>
  <c r="BA49" i="27"/>
  <c r="BB49" i="27"/>
  <c r="BC49" i="27"/>
  <c r="BD49" i="27"/>
  <c r="BE49" i="27"/>
  <c r="BF49" i="27"/>
  <c r="BG49" i="27"/>
  <c r="BH49" i="27"/>
  <c r="BI49" i="27"/>
  <c r="BJ49" i="27"/>
  <c r="BK49" i="27"/>
  <c r="BL49" i="27"/>
  <c r="BM49" i="27"/>
  <c r="BN49" i="27"/>
  <c r="BO49" i="27"/>
  <c r="BP49" i="27"/>
  <c r="BQ49" i="27"/>
  <c r="D50" i="27"/>
  <c r="E50" i="27"/>
  <c r="F50" i="27"/>
  <c r="G50" i="27"/>
  <c r="H50" i="27"/>
  <c r="I50" i="27"/>
  <c r="J50" i="27"/>
  <c r="K50" i="27"/>
  <c r="L50" i="27"/>
  <c r="M50" i="27"/>
  <c r="N50" i="27"/>
  <c r="O50" i="27"/>
  <c r="P50" i="27"/>
  <c r="Q50" i="27"/>
  <c r="R50" i="27"/>
  <c r="S50" i="27"/>
  <c r="T50" i="27"/>
  <c r="U50" i="27"/>
  <c r="V50" i="27"/>
  <c r="W50" i="27"/>
  <c r="X50" i="27"/>
  <c r="Y50" i="27"/>
  <c r="Z50" i="27"/>
  <c r="AA50" i="27"/>
  <c r="AB50" i="27"/>
  <c r="AC50" i="27"/>
  <c r="AD50" i="27"/>
  <c r="AE50" i="27"/>
  <c r="AF50" i="27"/>
  <c r="AG50" i="27"/>
  <c r="AH50" i="27"/>
  <c r="AI50" i="27"/>
  <c r="AJ50" i="27"/>
  <c r="AK50" i="27"/>
  <c r="AL50" i="27"/>
  <c r="AM50" i="27"/>
  <c r="AN50" i="27"/>
  <c r="AO50" i="27"/>
  <c r="AP50" i="27"/>
  <c r="AQ50" i="27"/>
  <c r="AR50" i="27"/>
  <c r="AS50" i="27"/>
  <c r="AT50" i="27"/>
  <c r="AU50" i="27"/>
  <c r="AV50" i="27"/>
  <c r="AW50" i="27"/>
  <c r="AX50" i="27"/>
  <c r="AY50" i="27"/>
  <c r="AZ50" i="27"/>
  <c r="BA50" i="27"/>
  <c r="BB50" i="27"/>
  <c r="BC50" i="27"/>
  <c r="BD50" i="27"/>
  <c r="BE50" i="27"/>
  <c r="BF50" i="27"/>
  <c r="BG50" i="27"/>
  <c r="BH50" i="27"/>
  <c r="BI50" i="27"/>
  <c r="BJ50" i="27"/>
  <c r="BK50" i="27"/>
  <c r="BL50" i="27"/>
  <c r="BM50" i="27"/>
  <c r="BN50" i="27"/>
  <c r="BO50" i="27"/>
  <c r="BP50" i="27"/>
  <c r="BQ50" i="27"/>
  <c r="D51" i="27"/>
  <c r="E51" i="27"/>
  <c r="F51" i="27"/>
  <c r="G51" i="27"/>
  <c r="H51" i="27"/>
  <c r="I51" i="27"/>
  <c r="J51" i="27"/>
  <c r="K51" i="27"/>
  <c r="L51" i="27"/>
  <c r="M51" i="27"/>
  <c r="N51" i="27"/>
  <c r="O51" i="27"/>
  <c r="P51" i="27"/>
  <c r="Q51" i="27"/>
  <c r="R51" i="27"/>
  <c r="S51" i="27"/>
  <c r="T51" i="27"/>
  <c r="U51" i="27"/>
  <c r="V51" i="27"/>
  <c r="W51" i="27"/>
  <c r="X51" i="27"/>
  <c r="Y51" i="27"/>
  <c r="Z51" i="27"/>
  <c r="AA51" i="27"/>
  <c r="AB51" i="27"/>
  <c r="AC51" i="27"/>
  <c r="AD51" i="27"/>
  <c r="AE51" i="27"/>
  <c r="AF51" i="27"/>
  <c r="AG51" i="27"/>
  <c r="AH51" i="27"/>
  <c r="AI51" i="27"/>
  <c r="AJ51" i="27"/>
  <c r="AK51" i="27"/>
  <c r="AL51" i="27"/>
  <c r="AM51" i="27"/>
  <c r="AN51" i="27"/>
  <c r="AO51" i="27"/>
  <c r="AP51" i="27"/>
  <c r="AQ51" i="27"/>
  <c r="AR51" i="27"/>
  <c r="AS51" i="27"/>
  <c r="AT51" i="27"/>
  <c r="AU51" i="27"/>
  <c r="AV51" i="27"/>
  <c r="AW51" i="27"/>
  <c r="AX51" i="27"/>
  <c r="AY51" i="27"/>
  <c r="AZ51" i="27"/>
  <c r="BA51" i="27"/>
  <c r="BB51" i="27"/>
  <c r="BC51" i="27"/>
  <c r="BD51" i="27"/>
  <c r="BE51" i="27"/>
  <c r="BF51" i="27"/>
  <c r="BG51" i="27"/>
  <c r="BH51" i="27"/>
  <c r="BI51" i="27"/>
  <c r="BJ51" i="27"/>
  <c r="BK51" i="27"/>
  <c r="BL51" i="27"/>
  <c r="BM51" i="27"/>
  <c r="BN51" i="27"/>
  <c r="BO51" i="27"/>
  <c r="BP51" i="27"/>
  <c r="BQ51" i="27"/>
  <c r="D52" i="27"/>
  <c r="E52" i="27"/>
  <c r="F52" i="27"/>
  <c r="G52" i="27"/>
  <c r="H52" i="27"/>
  <c r="I52" i="27"/>
  <c r="J52" i="27"/>
  <c r="K52" i="27"/>
  <c r="L52" i="27"/>
  <c r="M52" i="27"/>
  <c r="N52" i="27"/>
  <c r="O52" i="27"/>
  <c r="P52" i="27"/>
  <c r="Q52" i="27"/>
  <c r="R52" i="27"/>
  <c r="S52" i="27"/>
  <c r="T52" i="27"/>
  <c r="U52" i="27"/>
  <c r="V52" i="27"/>
  <c r="W52" i="27"/>
  <c r="X52" i="27"/>
  <c r="Y52" i="27"/>
  <c r="Z52" i="27"/>
  <c r="AA52" i="27"/>
  <c r="AB52" i="27"/>
  <c r="AC52" i="27"/>
  <c r="AD52" i="27"/>
  <c r="AE52" i="27"/>
  <c r="AF52" i="27"/>
  <c r="AG52" i="27"/>
  <c r="AH52" i="27"/>
  <c r="AI52" i="27"/>
  <c r="AJ52" i="27"/>
  <c r="AK52" i="27"/>
  <c r="AL52" i="27"/>
  <c r="AM52" i="27"/>
  <c r="AN52" i="27"/>
  <c r="AO52" i="27"/>
  <c r="AP52" i="27"/>
  <c r="AQ52" i="27"/>
  <c r="AR52" i="27"/>
  <c r="AS52" i="27"/>
  <c r="AT52" i="27"/>
  <c r="AU52" i="27"/>
  <c r="AV52" i="27"/>
  <c r="AW52" i="27"/>
  <c r="AX52" i="27"/>
  <c r="AY52" i="27"/>
  <c r="AZ52" i="27"/>
  <c r="BA52" i="27"/>
  <c r="BB52" i="27"/>
  <c r="BC52" i="27"/>
  <c r="BD52" i="27"/>
  <c r="BE52" i="27"/>
  <c r="BF52" i="27"/>
  <c r="BG52" i="27"/>
  <c r="BH52" i="27"/>
  <c r="BI52" i="27"/>
  <c r="BJ52" i="27"/>
  <c r="BK52" i="27"/>
  <c r="BL52" i="27"/>
  <c r="BM52" i="27"/>
  <c r="BN52" i="27"/>
  <c r="BO52" i="27"/>
  <c r="BP52" i="27"/>
  <c r="BQ52" i="27"/>
  <c r="D53" i="27"/>
  <c r="E53" i="27"/>
  <c r="F53" i="27"/>
  <c r="G53" i="27"/>
  <c r="H53" i="27"/>
  <c r="I53" i="27"/>
  <c r="J53" i="27"/>
  <c r="K53" i="27"/>
  <c r="L53" i="27"/>
  <c r="M53" i="27"/>
  <c r="N53" i="27"/>
  <c r="O53" i="27"/>
  <c r="P53" i="27"/>
  <c r="Q53" i="27"/>
  <c r="R53" i="27"/>
  <c r="S53" i="27"/>
  <c r="T53" i="27"/>
  <c r="U53" i="27"/>
  <c r="V53" i="27"/>
  <c r="W53" i="27"/>
  <c r="X53" i="27"/>
  <c r="Y53" i="27"/>
  <c r="Z53" i="27"/>
  <c r="AA53" i="27"/>
  <c r="AB53" i="27"/>
  <c r="AC53" i="27"/>
  <c r="AD53" i="27"/>
  <c r="AE53" i="27"/>
  <c r="AF53" i="27"/>
  <c r="AG53" i="27"/>
  <c r="AH53" i="27"/>
  <c r="AI53" i="27"/>
  <c r="AJ53" i="27"/>
  <c r="AK53" i="27"/>
  <c r="AL53" i="27"/>
  <c r="AM53" i="27"/>
  <c r="AN53" i="27"/>
  <c r="AO53" i="27"/>
  <c r="AP53" i="27"/>
  <c r="AQ53" i="27"/>
  <c r="AR53" i="27"/>
  <c r="AS53" i="27"/>
  <c r="AT53" i="27"/>
  <c r="AU53" i="27"/>
  <c r="AV53" i="27"/>
  <c r="AW53" i="27"/>
  <c r="AX53" i="27"/>
  <c r="AY53" i="27"/>
  <c r="AZ53" i="27"/>
  <c r="BA53" i="27"/>
  <c r="BB53" i="27"/>
  <c r="BC53" i="27"/>
  <c r="BD53" i="27"/>
  <c r="BE53" i="27"/>
  <c r="BF53" i="27"/>
  <c r="BG53" i="27"/>
  <c r="BH53" i="27"/>
  <c r="BI53" i="27"/>
  <c r="BJ53" i="27"/>
  <c r="BK53" i="27"/>
  <c r="BL53" i="27"/>
  <c r="BM53" i="27"/>
  <c r="BN53" i="27"/>
  <c r="BO53" i="27"/>
  <c r="BP53" i="27"/>
  <c r="BQ53" i="27"/>
  <c r="D54" i="27"/>
  <c r="E54" i="27"/>
  <c r="F54" i="27"/>
  <c r="G54" i="27"/>
  <c r="H54" i="27"/>
  <c r="I54" i="27"/>
  <c r="J54" i="27"/>
  <c r="K54" i="27"/>
  <c r="L54" i="27"/>
  <c r="M54" i="27"/>
  <c r="N54" i="27"/>
  <c r="O54" i="27"/>
  <c r="P54" i="27"/>
  <c r="Q54" i="27"/>
  <c r="R54" i="27"/>
  <c r="S54" i="27"/>
  <c r="T54" i="27"/>
  <c r="U54" i="27"/>
  <c r="V54" i="27"/>
  <c r="W54" i="27"/>
  <c r="X54" i="27"/>
  <c r="Y54" i="27"/>
  <c r="Z54" i="27"/>
  <c r="AA54" i="27"/>
  <c r="AB54" i="27"/>
  <c r="AC54" i="27"/>
  <c r="AD54" i="27"/>
  <c r="AE54" i="27"/>
  <c r="AF54" i="27"/>
  <c r="AG54" i="27"/>
  <c r="AH54" i="27"/>
  <c r="AI54" i="27"/>
  <c r="AJ54" i="27"/>
  <c r="AK54" i="27"/>
  <c r="AL54" i="27"/>
  <c r="AM54" i="27"/>
  <c r="AN54" i="27"/>
  <c r="AO54" i="27"/>
  <c r="AP54" i="27"/>
  <c r="AQ54" i="27"/>
  <c r="AR54" i="27"/>
  <c r="AS54" i="27"/>
  <c r="AT54" i="27"/>
  <c r="AU54" i="27"/>
  <c r="AV54" i="27"/>
  <c r="AW54" i="27"/>
  <c r="AX54" i="27"/>
  <c r="AY54" i="27"/>
  <c r="AZ54" i="27"/>
  <c r="BA54" i="27"/>
  <c r="BB54" i="27"/>
  <c r="BC54" i="27"/>
  <c r="BD54" i="27"/>
  <c r="BE54" i="27"/>
  <c r="BF54" i="27"/>
  <c r="BG54" i="27"/>
  <c r="BH54" i="27"/>
  <c r="BI54" i="27"/>
  <c r="BJ54" i="27"/>
  <c r="BK54" i="27"/>
  <c r="BL54" i="27"/>
  <c r="BM54" i="27"/>
  <c r="BN54" i="27"/>
  <c r="BO54" i="27"/>
  <c r="BP54" i="27"/>
  <c r="BQ54" i="27"/>
  <c r="D55" i="27"/>
  <c r="E55" i="27"/>
  <c r="F55" i="27"/>
  <c r="G55" i="27"/>
  <c r="H55" i="27"/>
  <c r="I55" i="27"/>
  <c r="J55" i="27"/>
  <c r="K55" i="27"/>
  <c r="L55" i="27"/>
  <c r="M55" i="27"/>
  <c r="N55" i="27"/>
  <c r="O55" i="27"/>
  <c r="P55" i="27"/>
  <c r="Q55" i="27"/>
  <c r="R55" i="27"/>
  <c r="S55" i="27"/>
  <c r="T55" i="27"/>
  <c r="U55" i="27"/>
  <c r="V55" i="27"/>
  <c r="W55" i="27"/>
  <c r="X55" i="27"/>
  <c r="Y55" i="27"/>
  <c r="Z55" i="27"/>
  <c r="AA55" i="27"/>
  <c r="AB55" i="27"/>
  <c r="AC55" i="27"/>
  <c r="AD55" i="27"/>
  <c r="AE55" i="27"/>
  <c r="AF55" i="27"/>
  <c r="AG55" i="27"/>
  <c r="AH55" i="27"/>
  <c r="AI55" i="27"/>
  <c r="AJ55" i="27"/>
  <c r="AK55" i="27"/>
  <c r="AL55" i="27"/>
  <c r="AM55" i="27"/>
  <c r="AN55" i="27"/>
  <c r="AO55" i="27"/>
  <c r="AP55" i="27"/>
  <c r="AQ55" i="27"/>
  <c r="AR55" i="27"/>
  <c r="AS55" i="27"/>
  <c r="AT55" i="27"/>
  <c r="AU55" i="27"/>
  <c r="AV55" i="27"/>
  <c r="AW55" i="27"/>
  <c r="AX55" i="27"/>
  <c r="AY55" i="27"/>
  <c r="AZ55" i="27"/>
  <c r="BA55" i="27"/>
  <c r="BB55" i="27"/>
  <c r="BC55" i="27"/>
  <c r="BD55" i="27"/>
  <c r="BE55" i="27"/>
  <c r="BF55" i="27"/>
  <c r="BG55" i="27"/>
  <c r="BH55" i="27"/>
  <c r="BI55" i="27"/>
  <c r="BJ55" i="27"/>
  <c r="BK55" i="27"/>
  <c r="BL55" i="27"/>
  <c r="BM55" i="27"/>
  <c r="BN55" i="27"/>
  <c r="BO55" i="27"/>
  <c r="BP55" i="27"/>
  <c r="BQ55" i="27"/>
  <c r="D56" i="27"/>
  <c r="E56" i="27"/>
  <c r="F56" i="27"/>
  <c r="G56" i="27"/>
  <c r="H56" i="27"/>
  <c r="I56" i="27"/>
  <c r="J56" i="27"/>
  <c r="K56" i="27"/>
  <c r="L56" i="27"/>
  <c r="M56" i="27"/>
  <c r="N56" i="27"/>
  <c r="O56" i="27"/>
  <c r="P56" i="27"/>
  <c r="Q56" i="27"/>
  <c r="R56" i="27"/>
  <c r="S56" i="27"/>
  <c r="T56" i="27"/>
  <c r="U56" i="27"/>
  <c r="V56" i="27"/>
  <c r="W56" i="27"/>
  <c r="X56" i="27"/>
  <c r="Y56" i="27"/>
  <c r="Z56" i="27"/>
  <c r="AA56" i="27"/>
  <c r="AB56" i="27"/>
  <c r="AC56" i="27"/>
  <c r="AD56" i="27"/>
  <c r="AE56" i="27"/>
  <c r="AF56" i="27"/>
  <c r="AG56" i="27"/>
  <c r="AH56" i="27"/>
  <c r="AI56" i="27"/>
  <c r="AJ56" i="27"/>
  <c r="AK56" i="27"/>
  <c r="AL56" i="27"/>
  <c r="AM56" i="27"/>
  <c r="AN56" i="27"/>
  <c r="AO56" i="27"/>
  <c r="AP56" i="27"/>
  <c r="AQ56" i="27"/>
  <c r="AR56" i="27"/>
  <c r="AS56" i="27"/>
  <c r="AT56" i="27"/>
  <c r="AU56" i="27"/>
  <c r="AV56" i="27"/>
  <c r="AW56" i="27"/>
  <c r="AX56" i="27"/>
  <c r="AY56" i="27"/>
  <c r="AZ56" i="27"/>
  <c r="BA56" i="27"/>
  <c r="BB56" i="27"/>
  <c r="BC56" i="27"/>
  <c r="BD56" i="27"/>
  <c r="BE56" i="27"/>
  <c r="BF56" i="27"/>
  <c r="BG56" i="27"/>
  <c r="BH56" i="27"/>
  <c r="BI56" i="27"/>
  <c r="BJ56" i="27"/>
  <c r="BK56" i="27"/>
  <c r="BL56" i="27"/>
  <c r="BM56" i="27"/>
  <c r="BN56" i="27"/>
  <c r="BO56" i="27"/>
  <c r="BP56" i="27"/>
  <c r="BQ56" i="27"/>
  <c r="D57" i="27"/>
  <c r="E57" i="27"/>
  <c r="F57" i="27"/>
  <c r="G57" i="27"/>
  <c r="H57" i="27"/>
  <c r="I57" i="27"/>
  <c r="J57" i="27"/>
  <c r="K57" i="27"/>
  <c r="L57" i="27"/>
  <c r="M57" i="27"/>
  <c r="N57" i="27"/>
  <c r="O57" i="27"/>
  <c r="P57" i="27"/>
  <c r="Q57" i="27"/>
  <c r="R57" i="27"/>
  <c r="S57" i="27"/>
  <c r="T57" i="27"/>
  <c r="U57" i="27"/>
  <c r="V57" i="27"/>
  <c r="W57" i="27"/>
  <c r="X57" i="27"/>
  <c r="Y57" i="27"/>
  <c r="Z57" i="27"/>
  <c r="AA57" i="27"/>
  <c r="AB57" i="27"/>
  <c r="AC57" i="27"/>
  <c r="AD57" i="27"/>
  <c r="AE57" i="27"/>
  <c r="AF57" i="27"/>
  <c r="AG57" i="27"/>
  <c r="AH57" i="27"/>
  <c r="AI57" i="27"/>
  <c r="AJ57" i="27"/>
  <c r="AK57" i="27"/>
  <c r="AL57" i="27"/>
  <c r="AM57" i="27"/>
  <c r="AN57" i="27"/>
  <c r="AO57" i="27"/>
  <c r="AP57" i="27"/>
  <c r="AQ57" i="27"/>
  <c r="AR57" i="27"/>
  <c r="AS57" i="27"/>
  <c r="AT57" i="27"/>
  <c r="AU57" i="27"/>
  <c r="AV57" i="27"/>
  <c r="AW57" i="27"/>
  <c r="AX57" i="27"/>
  <c r="AY57" i="27"/>
  <c r="AZ57" i="27"/>
  <c r="BA57" i="27"/>
  <c r="BB57" i="27"/>
  <c r="BC57" i="27"/>
  <c r="BD57" i="27"/>
  <c r="BE57" i="27"/>
  <c r="BF57" i="27"/>
  <c r="BG57" i="27"/>
  <c r="BH57" i="27"/>
  <c r="BI57" i="27"/>
  <c r="BJ57" i="27"/>
  <c r="BK57" i="27"/>
  <c r="BL57" i="27"/>
  <c r="BM57" i="27"/>
  <c r="BN57" i="27"/>
  <c r="BO57" i="27"/>
  <c r="BP57" i="27"/>
  <c r="BQ57" i="27"/>
  <c r="D58" i="27"/>
  <c r="E58" i="27"/>
  <c r="F58" i="27"/>
  <c r="G58" i="27"/>
  <c r="H58" i="27"/>
  <c r="I58" i="27"/>
  <c r="J58" i="27"/>
  <c r="K58" i="27"/>
  <c r="L58" i="27"/>
  <c r="M58" i="27"/>
  <c r="N58" i="27"/>
  <c r="O58" i="27"/>
  <c r="P58" i="27"/>
  <c r="Q58" i="27"/>
  <c r="R58" i="27"/>
  <c r="S58" i="27"/>
  <c r="T58" i="27"/>
  <c r="U58" i="27"/>
  <c r="V58" i="27"/>
  <c r="W58" i="27"/>
  <c r="X58" i="27"/>
  <c r="Y58" i="27"/>
  <c r="Z58" i="27"/>
  <c r="AA58" i="27"/>
  <c r="AB58" i="27"/>
  <c r="AC58" i="27"/>
  <c r="AD58" i="27"/>
  <c r="AE58" i="27"/>
  <c r="AF58" i="27"/>
  <c r="AG58" i="27"/>
  <c r="AH58" i="27"/>
  <c r="AI58" i="27"/>
  <c r="AJ58" i="27"/>
  <c r="AK58" i="27"/>
  <c r="AL58" i="27"/>
  <c r="AM58" i="27"/>
  <c r="AN58" i="27"/>
  <c r="AO58" i="27"/>
  <c r="AP58" i="27"/>
  <c r="AQ58" i="27"/>
  <c r="AR58" i="27"/>
  <c r="AS58" i="27"/>
  <c r="AT58" i="27"/>
  <c r="AU58" i="27"/>
  <c r="AV58" i="27"/>
  <c r="AW58" i="27"/>
  <c r="AX58" i="27"/>
  <c r="AY58" i="27"/>
  <c r="AZ58" i="27"/>
  <c r="BA58" i="27"/>
  <c r="BB58" i="27"/>
  <c r="BC58" i="27"/>
  <c r="BD58" i="27"/>
  <c r="BE58" i="27"/>
  <c r="BF58" i="27"/>
  <c r="BG58" i="27"/>
  <c r="BH58" i="27"/>
  <c r="BI58" i="27"/>
  <c r="BJ58" i="27"/>
  <c r="BK58" i="27"/>
  <c r="BL58" i="27"/>
  <c r="BM58" i="27"/>
  <c r="BN58" i="27"/>
  <c r="BO58" i="27"/>
  <c r="BP58" i="27"/>
  <c r="BQ58" i="27"/>
  <c r="D59" i="27"/>
  <c r="E59" i="27"/>
  <c r="F59" i="27"/>
  <c r="G59" i="27"/>
  <c r="H59" i="27"/>
  <c r="I59" i="27"/>
  <c r="J59" i="27"/>
  <c r="K59" i="27"/>
  <c r="L59" i="27"/>
  <c r="M59" i="27"/>
  <c r="N59" i="27"/>
  <c r="O59" i="27"/>
  <c r="P59" i="27"/>
  <c r="Q59" i="27"/>
  <c r="R59" i="27"/>
  <c r="S59" i="27"/>
  <c r="T59" i="27"/>
  <c r="U59" i="27"/>
  <c r="V59" i="27"/>
  <c r="W59" i="27"/>
  <c r="X59" i="27"/>
  <c r="Y59" i="27"/>
  <c r="Z59" i="27"/>
  <c r="AA59" i="27"/>
  <c r="AB59" i="27"/>
  <c r="AC59" i="27"/>
  <c r="AD59" i="27"/>
  <c r="AE59" i="27"/>
  <c r="AF59" i="27"/>
  <c r="AG59" i="27"/>
  <c r="AH59" i="27"/>
  <c r="AI59" i="27"/>
  <c r="AJ59" i="27"/>
  <c r="AK59" i="27"/>
  <c r="AL59" i="27"/>
  <c r="AM59" i="27"/>
  <c r="AN59" i="27"/>
  <c r="AO59" i="27"/>
  <c r="AP59" i="27"/>
  <c r="AQ59" i="27"/>
  <c r="AR59" i="27"/>
  <c r="AS59" i="27"/>
  <c r="AT59" i="27"/>
  <c r="AU59" i="27"/>
  <c r="AV59" i="27"/>
  <c r="AW59" i="27"/>
  <c r="AX59" i="27"/>
  <c r="AY59" i="27"/>
  <c r="AZ59" i="27"/>
  <c r="BA59" i="27"/>
  <c r="BB59" i="27"/>
  <c r="BC59" i="27"/>
  <c r="BD59" i="27"/>
  <c r="BE59" i="27"/>
  <c r="BF59" i="27"/>
  <c r="BG59" i="27"/>
  <c r="BH59" i="27"/>
  <c r="BI59" i="27"/>
  <c r="BJ59" i="27"/>
  <c r="BK59" i="27"/>
  <c r="BL59" i="27"/>
  <c r="BM59" i="27"/>
  <c r="BN59" i="27"/>
  <c r="BO59" i="27"/>
  <c r="BP59" i="27"/>
  <c r="BQ59" i="27"/>
  <c r="D60" i="27"/>
  <c r="E60" i="27"/>
  <c r="F60" i="27"/>
  <c r="G60" i="27"/>
  <c r="H60" i="27"/>
  <c r="I60" i="27"/>
  <c r="J60" i="27"/>
  <c r="K60" i="27"/>
  <c r="L60" i="27"/>
  <c r="M60" i="27"/>
  <c r="N60" i="27"/>
  <c r="O60" i="27"/>
  <c r="P60" i="27"/>
  <c r="Q60" i="27"/>
  <c r="R60" i="27"/>
  <c r="S60" i="27"/>
  <c r="T60" i="27"/>
  <c r="U60" i="27"/>
  <c r="V60" i="27"/>
  <c r="W60" i="27"/>
  <c r="X60" i="27"/>
  <c r="Y60" i="27"/>
  <c r="Z60" i="27"/>
  <c r="AA60" i="27"/>
  <c r="AB60" i="27"/>
  <c r="AC60" i="27"/>
  <c r="AD60" i="27"/>
  <c r="AE60" i="27"/>
  <c r="AF60" i="27"/>
  <c r="AG60" i="27"/>
  <c r="AH60" i="27"/>
  <c r="AI60" i="27"/>
  <c r="AJ60" i="27"/>
  <c r="AK60" i="27"/>
  <c r="AL60" i="27"/>
  <c r="AM60" i="27"/>
  <c r="AN60" i="27"/>
  <c r="AO60" i="27"/>
  <c r="AP60" i="27"/>
  <c r="AQ60" i="27"/>
  <c r="AR60" i="27"/>
  <c r="AS60" i="27"/>
  <c r="AT60" i="27"/>
  <c r="AU60" i="27"/>
  <c r="AV60" i="27"/>
  <c r="AW60" i="27"/>
  <c r="AX60" i="27"/>
  <c r="AY60" i="27"/>
  <c r="AZ60" i="27"/>
  <c r="BA60" i="27"/>
  <c r="BB60" i="27"/>
  <c r="BC60" i="27"/>
  <c r="BD60" i="27"/>
  <c r="BE60" i="27"/>
  <c r="BF60" i="27"/>
  <c r="BG60" i="27"/>
  <c r="BH60" i="27"/>
  <c r="BI60" i="27"/>
  <c r="BJ60" i="27"/>
  <c r="BK60" i="27"/>
  <c r="BL60" i="27"/>
  <c r="BM60" i="27"/>
  <c r="BN60" i="27"/>
  <c r="BO60" i="27"/>
  <c r="BP60" i="27"/>
  <c r="BQ60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G61" i="27"/>
  <c r="BH61" i="27"/>
  <c r="BI61" i="27"/>
  <c r="BJ61" i="27"/>
  <c r="BK61" i="27"/>
  <c r="BL61" i="27"/>
  <c r="BM61" i="27"/>
  <c r="BN61" i="27"/>
  <c r="BO61" i="27"/>
  <c r="BP61" i="27"/>
  <c r="BQ61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G62" i="27"/>
  <c r="BH62" i="27"/>
  <c r="BI62" i="27"/>
  <c r="BJ62" i="27"/>
  <c r="BK62" i="27"/>
  <c r="BL62" i="27"/>
  <c r="BM62" i="27"/>
  <c r="BN62" i="27"/>
  <c r="BO62" i="27"/>
  <c r="BP62" i="27"/>
  <c r="BQ62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G63" i="27"/>
  <c r="BH63" i="27"/>
  <c r="BI63" i="27"/>
  <c r="BJ63" i="27"/>
  <c r="BK63" i="27"/>
  <c r="BL63" i="27"/>
  <c r="BM63" i="27"/>
  <c r="BN63" i="27"/>
  <c r="BO63" i="27"/>
  <c r="BP63" i="27"/>
  <c r="BQ63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G64" i="27"/>
  <c r="BH64" i="27"/>
  <c r="BI64" i="27"/>
  <c r="BJ64" i="27"/>
  <c r="BK64" i="27"/>
  <c r="BL64" i="27"/>
  <c r="BM64" i="27"/>
  <c r="BN64" i="27"/>
  <c r="BO64" i="27"/>
  <c r="BP64" i="27"/>
  <c r="BQ64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G65" i="27"/>
  <c r="BH65" i="27"/>
  <c r="BI65" i="27"/>
  <c r="BJ65" i="27"/>
  <c r="BK65" i="27"/>
  <c r="BL65" i="27"/>
  <c r="BM65" i="27"/>
  <c r="BN65" i="27"/>
  <c r="BO65" i="27"/>
  <c r="BP65" i="27"/>
  <c r="BQ65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G66" i="27"/>
  <c r="BH66" i="27"/>
  <c r="BI66" i="27"/>
  <c r="BJ66" i="27"/>
  <c r="BK66" i="27"/>
  <c r="BL66" i="27"/>
  <c r="BM66" i="27"/>
  <c r="BN66" i="27"/>
  <c r="BO66" i="27"/>
  <c r="BP66" i="27"/>
  <c r="BQ66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G67" i="27"/>
  <c r="BH67" i="27"/>
  <c r="BI67" i="27"/>
  <c r="BJ67" i="27"/>
  <c r="BK67" i="27"/>
  <c r="BL67" i="27"/>
  <c r="BM67" i="27"/>
  <c r="BN67" i="27"/>
  <c r="BO67" i="27"/>
  <c r="BP67" i="27"/>
  <c r="BQ67" i="27"/>
  <c r="D68" i="27"/>
  <c r="E68" i="27"/>
  <c r="F68" i="27"/>
  <c r="G68" i="27"/>
  <c r="H68" i="27"/>
  <c r="I68" i="27"/>
  <c r="J68" i="27"/>
  <c r="K68" i="27"/>
  <c r="L68" i="27"/>
  <c r="M68" i="27"/>
  <c r="N68" i="27"/>
  <c r="O68" i="27"/>
  <c r="P68" i="27"/>
  <c r="Q68" i="27"/>
  <c r="R68" i="27"/>
  <c r="S68" i="27"/>
  <c r="T68" i="27"/>
  <c r="U68" i="27"/>
  <c r="V68" i="27"/>
  <c r="W68" i="27"/>
  <c r="X68" i="27"/>
  <c r="Y68" i="27"/>
  <c r="Z68" i="27"/>
  <c r="AA68" i="27"/>
  <c r="AB68" i="27"/>
  <c r="AC68" i="27"/>
  <c r="AD68" i="27"/>
  <c r="AE68" i="27"/>
  <c r="AF68" i="27"/>
  <c r="AG68" i="27"/>
  <c r="AH68" i="27"/>
  <c r="AI68" i="27"/>
  <c r="AJ68" i="27"/>
  <c r="AK68" i="27"/>
  <c r="AL68" i="27"/>
  <c r="AM68" i="27"/>
  <c r="AN68" i="27"/>
  <c r="AO68" i="27"/>
  <c r="AP68" i="27"/>
  <c r="AQ68" i="27"/>
  <c r="AR68" i="27"/>
  <c r="AS68" i="27"/>
  <c r="AT68" i="27"/>
  <c r="AU68" i="27"/>
  <c r="AV68" i="27"/>
  <c r="AW68" i="27"/>
  <c r="AX68" i="27"/>
  <c r="AY68" i="27"/>
  <c r="AZ68" i="27"/>
  <c r="BA68" i="27"/>
  <c r="BB68" i="27"/>
  <c r="BC68" i="27"/>
  <c r="BD68" i="27"/>
  <c r="BE68" i="27"/>
  <c r="BF68" i="27"/>
  <c r="BG68" i="27"/>
  <c r="BH68" i="27"/>
  <c r="BI68" i="27"/>
  <c r="BJ68" i="27"/>
  <c r="BK68" i="27"/>
  <c r="BL68" i="27"/>
  <c r="BM68" i="27"/>
  <c r="BN68" i="27"/>
  <c r="BO68" i="27"/>
  <c r="BP68" i="27"/>
  <c r="BQ68" i="27"/>
  <c r="D69" i="27"/>
  <c r="E69" i="27"/>
  <c r="F69" i="27"/>
  <c r="G69" i="27"/>
  <c r="H69" i="27"/>
  <c r="I69" i="27"/>
  <c r="J69" i="27"/>
  <c r="K69" i="27"/>
  <c r="L69" i="27"/>
  <c r="M69" i="27"/>
  <c r="N69" i="27"/>
  <c r="O69" i="27"/>
  <c r="P69" i="27"/>
  <c r="Q69" i="27"/>
  <c r="R69" i="27"/>
  <c r="S69" i="27"/>
  <c r="T69" i="27"/>
  <c r="U69" i="27"/>
  <c r="V69" i="27"/>
  <c r="W69" i="27"/>
  <c r="X69" i="27"/>
  <c r="Y69" i="27"/>
  <c r="Z69" i="27"/>
  <c r="AA69" i="27"/>
  <c r="AB69" i="27"/>
  <c r="AC69" i="27"/>
  <c r="AD69" i="27"/>
  <c r="AE69" i="27"/>
  <c r="AF69" i="27"/>
  <c r="AG69" i="27"/>
  <c r="AH69" i="27"/>
  <c r="AI69" i="27"/>
  <c r="AJ69" i="27"/>
  <c r="AK69" i="27"/>
  <c r="AL69" i="27"/>
  <c r="AM69" i="27"/>
  <c r="AN69" i="27"/>
  <c r="AO69" i="27"/>
  <c r="AP69" i="27"/>
  <c r="AQ69" i="27"/>
  <c r="AR69" i="27"/>
  <c r="AS69" i="27"/>
  <c r="AT69" i="27"/>
  <c r="AU69" i="27"/>
  <c r="AV69" i="27"/>
  <c r="AW69" i="27"/>
  <c r="AX69" i="27"/>
  <c r="AY69" i="27"/>
  <c r="AZ69" i="27"/>
  <c r="BA69" i="27"/>
  <c r="BB69" i="27"/>
  <c r="BC69" i="27"/>
  <c r="BD69" i="27"/>
  <c r="BE69" i="27"/>
  <c r="BF69" i="27"/>
  <c r="BG69" i="27"/>
  <c r="BH69" i="27"/>
  <c r="BI69" i="27"/>
  <c r="BJ69" i="27"/>
  <c r="BK69" i="27"/>
  <c r="BL69" i="27"/>
  <c r="BM69" i="27"/>
  <c r="BN69" i="27"/>
  <c r="BO69" i="27"/>
  <c r="BP69" i="27"/>
  <c r="BQ69" i="27"/>
  <c r="D70" i="27"/>
  <c r="E70" i="27"/>
  <c r="F70" i="27"/>
  <c r="G70" i="27"/>
  <c r="H70" i="27"/>
  <c r="I70" i="27"/>
  <c r="J70" i="27"/>
  <c r="K70" i="27"/>
  <c r="L70" i="27"/>
  <c r="M70" i="27"/>
  <c r="N70" i="27"/>
  <c r="O70" i="27"/>
  <c r="P70" i="27"/>
  <c r="Q70" i="27"/>
  <c r="R70" i="27"/>
  <c r="S70" i="27"/>
  <c r="T70" i="27"/>
  <c r="U70" i="27"/>
  <c r="V70" i="27"/>
  <c r="W70" i="27"/>
  <c r="X70" i="27"/>
  <c r="Y70" i="27"/>
  <c r="Z70" i="27"/>
  <c r="AA70" i="27"/>
  <c r="AB70" i="27"/>
  <c r="AC70" i="27"/>
  <c r="AD70" i="27"/>
  <c r="AE70" i="27"/>
  <c r="AF70" i="27"/>
  <c r="AG70" i="27"/>
  <c r="AH70" i="27"/>
  <c r="AI70" i="27"/>
  <c r="AJ70" i="27"/>
  <c r="AK70" i="27"/>
  <c r="AL70" i="27"/>
  <c r="AM70" i="27"/>
  <c r="AN70" i="27"/>
  <c r="AO70" i="27"/>
  <c r="AP70" i="27"/>
  <c r="AQ70" i="27"/>
  <c r="AR70" i="27"/>
  <c r="AS70" i="27"/>
  <c r="AT70" i="27"/>
  <c r="AU70" i="27"/>
  <c r="AV70" i="27"/>
  <c r="AW70" i="27"/>
  <c r="AX70" i="27"/>
  <c r="AY70" i="27"/>
  <c r="AZ70" i="27"/>
  <c r="BA70" i="27"/>
  <c r="BB70" i="27"/>
  <c r="BC70" i="27"/>
  <c r="BD70" i="27"/>
  <c r="BE70" i="27"/>
  <c r="BF70" i="27"/>
  <c r="BG70" i="27"/>
  <c r="BH70" i="27"/>
  <c r="BI70" i="27"/>
  <c r="BJ70" i="27"/>
  <c r="BK70" i="27"/>
  <c r="BL70" i="27"/>
  <c r="BM70" i="27"/>
  <c r="BN70" i="27"/>
  <c r="BO70" i="27"/>
  <c r="BP70" i="27"/>
  <c r="BQ70" i="27"/>
  <c r="D71" i="27"/>
  <c r="E71" i="27"/>
  <c r="F71" i="27"/>
  <c r="G71" i="27"/>
  <c r="H71" i="27"/>
  <c r="I71" i="27"/>
  <c r="J71" i="27"/>
  <c r="K71" i="27"/>
  <c r="L71" i="27"/>
  <c r="M71" i="27"/>
  <c r="N71" i="27"/>
  <c r="O71" i="27"/>
  <c r="P71" i="27"/>
  <c r="Q71" i="27"/>
  <c r="R71" i="27"/>
  <c r="S71" i="27"/>
  <c r="T71" i="27"/>
  <c r="U71" i="27"/>
  <c r="V71" i="27"/>
  <c r="W71" i="27"/>
  <c r="X71" i="27"/>
  <c r="Y71" i="27"/>
  <c r="Z71" i="27"/>
  <c r="AA71" i="27"/>
  <c r="AB71" i="27"/>
  <c r="AC71" i="27"/>
  <c r="AD71" i="27"/>
  <c r="AE71" i="27"/>
  <c r="AF71" i="27"/>
  <c r="AG71" i="27"/>
  <c r="AH71" i="27"/>
  <c r="AI71" i="27"/>
  <c r="AJ71" i="27"/>
  <c r="AK71" i="27"/>
  <c r="AL71" i="27"/>
  <c r="AM71" i="27"/>
  <c r="AN71" i="27"/>
  <c r="AO71" i="27"/>
  <c r="AP71" i="27"/>
  <c r="AQ71" i="27"/>
  <c r="AR71" i="27"/>
  <c r="AS71" i="27"/>
  <c r="AT71" i="27"/>
  <c r="AU71" i="27"/>
  <c r="AV71" i="27"/>
  <c r="AW71" i="27"/>
  <c r="AX71" i="27"/>
  <c r="AY71" i="27"/>
  <c r="AZ71" i="27"/>
  <c r="BA71" i="27"/>
  <c r="BB71" i="27"/>
  <c r="BC71" i="27"/>
  <c r="BD71" i="27"/>
  <c r="BE71" i="27"/>
  <c r="BF71" i="27"/>
  <c r="BG71" i="27"/>
  <c r="BH71" i="27"/>
  <c r="BI71" i="27"/>
  <c r="BJ71" i="27"/>
  <c r="BK71" i="27"/>
  <c r="BL71" i="27"/>
  <c r="BM71" i="27"/>
  <c r="BN71" i="27"/>
  <c r="BO71" i="27"/>
  <c r="BP71" i="27"/>
  <c r="BQ71" i="27"/>
  <c r="D72" i="27"/>
  <c r="E72" i="27"/>
  <c r="F72" i="27"/>
  <c r="G72" i="27"/>
  <c r="H72" i="27"/>
  <c r="I72" i="27"/>
  <c r="J72" i="27"/>
  <c r="K72" i="27"/>
  <c r="L72" i="27"/>
  <c r="M72" i="27"/>
  <c r="N72" i="27"/>
  <c r="O72" i="27"/>
  <c r="P72" i="27"/>
  <c r="Q72" i="27"/>
  <c r="R72" i="27"/>
  <c r="S72" i="27"/>
  <c r="T72" i="27"/>
  <c r="U72" i="27"/>
  <c r="V72" i="27"/>
  <c r="W72" i="27"/>
  <c r="X72" i="27"/>
  <c r="Y72" i="27"/>
  <c r="Z72" i="27"/>
  <c r="AA72" i="27"/>
  <c r="AB72" i="27"/>
  <c r="AC72" i="27"/>
  <c r="AD72" i="27"/>
  <c r="AE72" i="27"/>
  <c r="AF72" i="27"/>
  <c r="AG72" i="27"/>
  <c r="AH72" i="27"/>
  <c r="AI72" i="27"/>
  <c r="AJ72" i="27"/>
  <c r="AK72" i="27"/>
  <c r="AL72" i="27"/>
  <c r="AM72" i="27"/>
  <c r="AN72" i="27"/>
  <c r="AO72" i="27"/>
  <c r="AP72" i="27"/>
  <c r="AQ72" i="27"/>
  <c r="AR72" i="27"/>
  <c r="AS72" i="27"/>
  <c r="AT72" i="27"/>
  <c r="AU72" i="27"/>
  <c r="AV72" i="27"/>
  <c r="AW72" i="27"/>
  <c r="AX72" i="27"/>
  <c r="AY72" i="27"/>
  <c r="AZ72" i="27"/>
  <c r="BA72" i="27"/>
  <c r="BB72" i="27"/>
  <c r="BC72" i="27"/>
  <c r="BD72" i="27"/>
  <c r="BE72" i="27"/>
  <c r="BF72" i="27"/>
  <c r="BG72" i="27"/>
  <c r="BH72" i="27"/>
  <c r="BI72" i="27"/>
  <c r="BJ72" i="27"/>
  <c r="BK72" i="27"/>
  <c r="BL72" i="27"/>
  <c r="BM72" i="27"/>
  <c r="BN72" i="27"/>
  <c r="BO72" i="27"/>
  <c r="BP72" i="27"/>
  <c r="BQ72" i="27"/>
  <c r="D73" i="27"/>
  <c r="E73" i="27"/>
  <c r="F73" i="27"/>
  <c r="G73" i="27"/>
  <c r="H73" i="27"/>
  <c r="I73" i="27"/>
  <c r="J73" i="27"/>
  <c r="K73" i="27"/>
  <c r="L73" i="27"/>
  <c r="M73" i="27"/>
  <c r="N73" i="27"/>
  <c r="O73" i="27"/>
  <c r="P73" i="27"/>
  <c r="Q73" i="27"/>
  <c r="R73" i="27"/>
  <c r="S73" i="27"/>
  <c r="T73" i="27"/>
  <c r="U73" i="27"/>
  <c r="V73" i="27"/>
  <c r="W73" i="27"/>
  <c r="X73" i="27"/>
  <c r="Y73" i="27"/>
  <c r="Z73" i="27"/>
  <c r="AA73" i="27"/>
  <c r="AB73" i="27"/>
  <c r="AC73" i="27"/>
  <c r="AD73" i="27"/>
  <c r="AE73" i="27"/>
  <c r="AF73" i="27"/>
  <c r="AG73" i="27"/>
  <c r="AH73" i="27"/>
  <c r="AI73" i="27"/>
  <c r="AJ73" i="27"/>
  <c r="AK73" i="27"/>
  <c r="AL73" i="27"/>
  <c r="AM73" i="27"/>
  <c r="AN73" i="27"/>
  <c r="AO73" i="27"/>
  <c r="AP73" i="27"/>
  <c r="AQ73" i="27"/>
  <c r="AR73" i="27"/>
  <c r="AS73" i="27"/>
  <c r="AT73" i="27"/>
  <c r="AU73" i="27"/>
  <c r="AV73" i="27"/>
  <c r="AW73" i="27"/>
  <c r="AX73" i="27"/>
  <c r="AY73" i="27"/>
  <c r="AZ73" i="27"/>
  <c r="BA73" i="27"/>
  <c r="BB73" i="27"/>
  <c r="BC73" i="27"/>
  <c r="BD73" i="27"/>
  <c r="BE73" i="27"/>
  <c r="BF73" i="27"/>
  <c r="BG73" i="27"/>
  <c r="BH73" i="27"/>
  <c r="BI73" i="27"/>
  <c r="BJ73" i="27"/>
  <c r="BK73" i="27"/>
  <c r="BL73" i="27"/>
  <c r="BM73" i="27"/>
  <c r="BN73" i="27"/>
  <c r="BO73" i="27"/>
  <c r="BP73" i="27"/>
  <c r="BQ73" i="27"/>
  <c r="D74" i="27"/>
  <c r="E74" i="27"/>
  <c r="F74" i="27"/>
  <c r="G74" i="27"/>
  <c r="H74" i="27"/>
  <c r="I74" i="27"/>
  <c r="J74" i="27"/>
  <c r="K74" i="27"/>
  <c r="L74" i="27"/>
  <c r="M74" i="27"/>
  <c r="N74" i="27"/>
  <c r="O74" i="27"/>
  <c r="P74" i="27"/>
  <c r="Q74" i="27"/>
  <c r="R74" i="27"/>
  <c r="S74" i="27"/>
  <c r="T74" i="27"/>
  <c r="U74" i="27"/>
  <c r="V74" i="27"/>
  <c r="W74" i="27"/>
  <c r="X74" i="27"/>
  <c r="Y74" i="27"/>
  <c r="Z74" i="27"/>
  <c r="AA74" i="27"/>
  <c r="AB74" i="27"/>
  <c r="AC74" i="27"/>
  <c r="AD74" i="27"/>
  <c r="AE74" i="27"/>
  <c r="AF74" i="27"/>
  <c r="AG74" i="27"/>
  <c r="AH74" i="27"/>
  <c r="AI74" i="27"/>
  <c r="AJ74" i="27"/>
  <c r="AK74" i="27"/>
  <c r="AL74" i="27"/>
  <c r="AM74" i="27"/>
  <c r="AN74" i="27"/>
  <c r="AO74" i="27"/>
  <c r="AP74" i="27"/>
  <c r="AQ74" i="27"/>
  <c r="AR74" i="27"/>
  <c r="AS74" i="27"/>
  <c r="AT74" i="27"/>
  <c r="AU74" i="27"/>
  <c r="AV74" i="27"/>
  <c r="AW74" i="27"/>
  <c r="AX74" i="27"/>
  <c r="AY74" i="27"/>
  <c r="AZ74" i="27"/>
  <c r="BA74" i="27"/>
  <c r="BB74" i="27"/>
  <c r="BC74" i="27"/>
  <c r="BD74" i="27"/>
  <c r="BE74" i="27"/>
  <c r="BF74" i="27"/>
  <c r="BG74" i="27"/>
  <c r="BH74" i="27"/>
  <c r="BI74" i="27"/>
  <c r="BJ74" i="27"/>
  <c r="BK74" i="27"/>
  <c r="BL74" i="27"/>
  <c r="BM74" i="27"/>
  <c r="BN74" i="27"/>
  <c r="BO74" i="27"/>
  <c r="BP74" i="27"/>
  <c r="BQ74" i="27"/>
  <c r="D75" i="27"/>
  <c r="E75" i="27"/>
  <c r="F75" i="27"/>
  <c r="G75" i="27"/>
  <c r="H75" i="27"/>
  <c r="I75" i="27"/>
  <c r="J75" i="27"/>
  <c r="K75" i="27"/>
  <c r="L75" i="27"/>
  <c r="M75" i="27"/>
  <c r="N75" i="27"/>
  <c r="O75" i="27"/>
  <c r="P75" i="27"/>
  <c r="Q75" i="27"/>
  <c r="R75" i="27"/>
  <c r="S75" i="27"/>
  <c r="T75" i="27"/>
  <c r="U75" i="27"/>
  <c r="V75" i="27"/>
  <c r="W75" i="27"/>
  <c r="X75" i="27"/>
  <c r="Y75" i="27"/>
  <c r="Z75" i="27"/>
  <c r="AA75" i="27"/>
  <c r="AB75" i="27"/>
  <c r="AC75" i="27"/>
  <c r="AD75" i="27"/>
  <c r="AE75" i="27"/>
  <c r="AF75" i="27"/>
  <c r="AG75" i="27"/>
  <c r="AH75" i="27"/>
  <c r="AI75" i="27"/>
  <c r="AJ75" i="27"/>
  <c r="AK75" i="27"/>
  <c r="AL75" i="27"/>
  <c r="AM75" i="27"/>
  <c r="AN75" i="27"/>
  <c r="AO75" i="27"/>
  <c r="AP75" i="27"/>
  <c r="AQ75" i="27"/>
  <c r="AR75" i="27"/>
  <c r="AS75" i="27"/>
  <c r="AT75" i="27"/>
  <c r="AU75" i="27"/>
  <c r="AV75" i="27"/>
  <c r="AW75" i="27"/>
  <c r="AX75" i="27"/>
  <c r="AY75" i="27"/>
  <c r="AZ75" i="27"/>
  <c r="BA75" i="27"/>
  <c r="BB75" i="27"/>
  <c r="BC75" i="27"/>
  <c r="BD75" i="27"/>
  <c r="BE75" i="27"/>
  <c r="BF75" i="27"/>
  <c r="BG75" i="27"/>
  <c r="BH75" i="27"/>
  <c r="BI75" i="27"/>
  <c r="BJ75" i="27"/>
  <c r="BK75" i="27"/>
  <c r="BL75" i="27"/>
  <c r="BM75" i="27"/>
  <c r="BN75" i="27"/>
  <c r="BO75" i="27"/>
  <c r="BP75" i="27"/>
  <c r="BQ75" i="27"/>
  <c r="D76" i="27"/>
  <c r="E76" i="27"/>
  <c r="F76" i="27"/>
  <c r="G76" i="27"/>
  <c r="H76" i="27"/>
  <c r="I76" i="27"/>
  <c r="J76" i="27"/>
  <c r="K76" i="27"/>
  <c r="L76" i="27"/>
  <c r="M76" i="27"/>
  <c r="N76" i="27"/>
  <c r="O76" i="27"/>
  <c r="P76" i="27"/>
  <c r="Q76" i="27"/>
  <c r="R76" i="27"/>
  <c r="S76" i="27"/>
  <c r="T76" i="27"/>
  <c r="U76" i="27"/>
  <c r="V76" i="27"/>
  <c r="W76" i="27"/>
  <c r="X76" i="27"/>
  <c r="Y76" i="27"/>
  <c r="Z76" i="27"/>
  <c r="AA76" i="27"/>
  <c r="AB76" i="27"/>
  <c r="AC76" i="27"/>
  <c r="AD76" i="27"/>
  <c r="AE76" i="27"/>
  <c r="AF76" i="27"/>
  <c r="AG76" i="27"/>
  <c r="AH76" i="27"/>
  <c r="AI76" i="27"/>
  <c r="AJ76" i="27"/>
  <c r="AK76" i="27"/>
  <c r="AL76" i="27"/>
  <c r="AM76" i="27"/>
  <c r="AN76" i="27"/>
  <c r="AO76" i="27"/>
  <c r="AP76" i="27"/>
  <c r="AQ76" i="27"/>
  <c r="AR76" i="27"/>
  <c r="AS76" i="27"/>
  <c r="AT76" i="27"/>
  <c r="AU76" i="27"/>
  <c r="AV76" i="27"/>
  <c r="AW76" i="27"/>
  <c r="AX76" i="27"/>
  <c r="AY76" i="27"/>
  <c r="AZ76" i="27"/>
  <c r="BA76" i="27"/>
  <c r="BB76" i="27"/>
  <c r="BC76" i="27"/>
  <c r="BD76" i="27"/>
  <c r="BE76" i="27"/>
  <c r="BF76" i="27"/>
  <c r="BG76" i="27"/>
  <c r="BH76" i="27"/>
  <c r="BI76" i="27"/>
  <c r="BJ76" i="27"/>
  <c r="BK76" i="27"/>
  <c r="BL76" i="27"/>
  <c r="BM76" i="27"/>
  <c r="BN76" i="27"/>
  <c r="BO76" i="27"/>
  <c r="BP76" i="27"/>
  <c r="BQ76" i="27"/>
  <c r="D77" i="27"/>
  <c r="E77" i="27"/>
  <c r="F77" i="27"/>
  <c r="G77" i="27"/>
  <c r="H77" i="27"/>
  <c r="I77" i="27"/>
  <c r="J77" i="27"/>
  <c r="K77" i="27"/>
  <c r="L77" i="27"/>
  <c r="M77" i="27"/>
  <c r="N77" i="27"/>
  <c r="O77" i="27"/>
  <c r="P77" i="27"/>
  <c r="Q77" i="27"/>
  <c r="R77" i="27"/>
  <c r="S77" i="27"/>
  <c r="T77" i="27"/>
  <c r="U77" i="27"/>
  <c r="V77" i="27"/>
  <c r="W77" i="27"/>
  <c r="X77" i="27"/>
  <c r="Y77" i="27"/>
  <c r="Z77" i="27"/>
  <c r="AA77" i="27"/>
  <c r="AB77" i="27"/>
  <c r="AC77" i="27"/>
  <c r="AD77" i="27"/>
  <c r="AE77" i="27"/>
  <c r="AF77" i="27"/>
  <c r="AG77" i="27"/>
  <c r="AH77" i="27"/>
  <c r="AI77" i="27"/>
  <c r="AJ77" i="27"/>
  <c r="AK77" i="27"/>
  <c r="AL77" i="27"/>
  <c r="AM77" i="27"/>
  <c r="AN77" i="27"/>
  <c r="AO77" i="27"/>
  <c r="AP77" i="27"/>
  <c r="AQ77" i="27"/>
  <c r="AR77" i="27"/>
  <c r="AS77" i="27"/>
  <c r="AT77" i="27"/>
  <c r="AU77" i="27"/>
  <c r="AV77" i="27"/>
  <c r="AW77" i="27"/>
  <c r="AX77" i="27"/>
  <c r="AY77" i="27"/>
  <c r="AZ77" i="27"/>
  <c r="BA77" i="27"/>
  <c r="BB77" i="27"/>
  <c r="BC77" i="27"/>
  <c r="BD77" i="27"/>
  <c r="BE77" i="27"/>
  <c r="BF77" i="27"/>
  <c r="BG77" i="27"/>
  <c r="BH77" i="27"/>
  <c r="BI77" i="27"/>
  <c r="BJ77" i="27"/>
  <c r="BK77" i="27"/>
  <c r="BL77" i="27"/>
  <c r="BM77" i="27"/>
  <c r="BN77" i="27"/>
  <c r="BO77" i="27"/>
  <c r="BP77" i="27"/>
  <c r="BQ77" i="27"/>
  <c r="D78" i="27"/>
  <c r="E78" i="27"/>
  <c r="F78" i="27"/>
  <c r="G78" i="27"/>
  <c r="H78" i="27"/>
  <c r="I78" i="27"/>
  <c r="J78" i="27"/>
  <c r="K78" i="27"/>
  <c r="L78" i="27"/>
  <c r="M78" i="27"/>
  <c r="N78" i="27"/>
  <c r="O78" i="27"/>
  <c r="P78" i="27"/>
  <c r="Q78" i="27"/>
  <c r="R78" i="27"/>
  <c r="S78" i="27"/>
  <c r="T78" i="27"/>
  <c r="U78" i="27"/>
  <c r="V78" i="27"/>
  <c r="W78" i="27"/>
  <c r="X78" i="27"/>
  <c r="Y78" i="27"/>
  <c r="Z78" i="27"/>
  <c r="AA78" i="27"/>
  <c r="AB78" i="27"/>
  <c r="AC78" i="27"/>
  <c r="AD78" i="27"/>
  <c r="AE78" i="27"/>
  <c r="AF78" i="27"/>
  <c r="AG78" i="27"/>
  <c r="AH78" i="27"/>
  <c r="AI78" i="27"/>
  <c r="AJ78" i="27"/>
  <c r="AK78" i="27"/>
  <c r="AL78" i="27"/>
  <c r="AM78" i="27"/>
  <c r="AN78" i="27"/>
  <c r="AO78" i="27"/>
  <c r="AP78" i="27"/>
  <c r="AQ78" i="27"/>
  <c r="AR78" i="27"/>
  <c r="AS78" i="27"/>
  <c r="AT78" i="27"/>
  <c r="AU78" i="27"/>
  <c r="AV78" i="27"/>
  <c r="AW78" i="27"/>
  <c r="AX78" i="27"/>
  <c r="AY78" i="27"/>
  <c r="AZ78" i="27"/>
  <c r="BA78" i="27"/>
  <c r="BB78" i="27"/>
  <c r="BC78" i="27"/>
  <c r="BD78" i="27"/>
  <c r="BE78" i="27"/>
  <c r="BF78" i="27"/>
  <c r="BG78" i="27"/>
  <c r="BH78" i="27"/>
  <c r="BI78" i="27"/>
  <c r="BJ78" i="27"/>
  <c r="BK78" i="27"/>
  <c r="BL78" i="27"/>
  <c r="BM78" i="27"/>
  <c r="BN78" i="27"/>
  <c r="BO78" i="27"/>
  <c r="BP78" i="27"/>
  <c r="BQ78" i="27"/>
  <c r="D79" i="27"/>
  <c r="E79" i="27"/>
  <c r="F79" i="27"/>
  <c r="G79" i="27"/>
  <c r="H79" i="27"/>
  <c r="I79" i="27"/>
  <c r="J79" i="27"/>
  <c r="K79" i="27"/>
  <c r="L79" i="27"/>
  <c r="M79" i="27"/>
  <c r="N79" i="27"/>
  <c r="O79" i="27"/>
  <c r="P79" i="27"/>
  <c r="Q79" i="27"/>
  <c r="R79" i="27"/>
  <c r="S79" i="27"/>
  <c r="T79" i="27"/>
  <c r="U79" i="27"/>
  <c r="V79" i="27"/>
  <c r="W79" i="27"/>
  <c r="X79" i="27"/>
  <c r="Y79" i="27"/>
  <c r="Z79" i="27"/>
  <c r="AA79" i="27"/>
  <c r="AB79" i="27"/>
  <c r="AC79" i="27"/>
  <c r="AD79" i="27"/>
  <c r="AE79" i="27"/>
  <c r="AF79" i="27"/>
  <c r="AG79" i="27"/>
  <c r="AH79" i="27"/>
  <c r="AI79" i="27"/>
  <c r="AJ79" i="27"/>
  <c r="AK79" i="27"/>
  <c r="AL79" i="27"/>
  <c r="AM79" i="27"/>
  <c r="AN79" i="27"/>
  <c r="AO79" i="27"/>
  <c r="AP79" i="27"/>
  <c r="AQ79" i="27"/>
  <c r="AR79" i="27"/>
  <c r="AS79" i="27"/>
  <c r="AT79" i="27"/>
  <c r="AU79" i="27"/>
  <c r="AV79" i="27"/>
  <c r="AW79" i="27"/>
  <c r="AX79" i="27"/>
  <c r="AY79" i="27"/>
  <c r="AZ79" i="27"/>
  <c r="BA79" i="27"/>
  <c r="BB79" i="27"/>
  <c r="BC79" i="27"/>
  <c r="BD79" i="27"/>
  <c r="BE79" i="27"/>
  <c r="BF79" i="27"/>
  <c r="BG79" i="27"/>
  <c r="BH79" i="27"/>
  <c r="BI79" i="27"/>
  <c r="BJ79" i="27"/>
  <c r="BK79" i="27"/>
  <c r="BL79" i="27"/>
  <c r="BM79" i="27"/>
  <c r="BN79" i="27"/>
  <c r="BO79" i="27"/>
  <c r="BP79" i="27"/>
  <c r="BQ79" i="27"/>
  <c r="D80" i="27"/>
  <c r="E80" i="27"/>
  <c r="F80" i="27"/>
  <c r="G80" i="27"/>
  <c r="H80" i="27"/>
  <c r="I80" i="27"/>
  <c r="J80" i="27"/>
  <c r="K80" i="27"/>
  <c r="L80" i="27"/>
  <c r="M80" i="27"/>
  <c r="N80" i="27"/>
  <c r="O80" i="27"/>
  <c r="P80" i="27"/>
  <c r="Q80" i="27"/>
  <c r="R80" i="27"/>
  <c r="S80" i="27"/>
  <c r="T80" i="27"/>
  <c r="U80" i="27"/>
  <c r="V80" i="27"/>
  <c r="W80" i="27"/>
  <c r="X80" i="27"/>
  <c r="Y80" i="27"/>
  <c r="Z80" i="27"/>
  <c r="AA80" i="27"/>
  <c r="AB80" i="27"/>
  <c r="AC80" i="27"/>
  <c r="AD80" i="27"/>
  <c r="AE80" i="27"/>
  <c r="AF80" i="27"/>
  <c r="AG80" i="27"/>
  <c r="AH80" i="27"/>
  <c r="AI80" i="27"/>
  <c r="AJ80" i="27"/>
  <c r="AK80" i="27"/>
  <c r="AL80" i="27"/>
  <c r="AM80" i="27"/>
  <c r="AN80" i="27"/>
  <c r="AO80" i="27"/>
  <c r="AP80" i="27"/>
  <c r="AQ80" i="27"/>
  <c r="AR80" i="27"/>
  <c r="AS80" i="27"/>
  <c r="AT80" i="27"/>
  <c r="AU80" i="27"/>
  <c r="AV80" i="27"/>
  <c r="AW80" i="27"/>
  <c r="AX80" i="27"/>
  <c r="AY80" i="27"/>
  <c r="AZ80" i="27"/>
  <c r="BA80" i="27"/>
  <c r="BB80" i="27"/>
  <c r="BC80" i="27"/>
  <c r="BD80" i="27"/>
  <c r="BE80" i="27"/>
  <c r="BF80" i="27"/>
  <c r="BG80" i="27"/>
  <c r="BH80" i="27"/>
  <c r="BI80" i="27"/>
  <c r="BJ80" i="27"/>
  <c r="BK80" i="27"/>
  <c r="BL80" i="27"/>
  <c r="BM80" i="27"/>
  <c r="BN80" i="27"/>
  <c r="BO80" i="27"/>
  <c r="BP80" i="27"/>
  <c r="BQ80" i="27"/>
  <c r="D81" i="27"/>
  <c r="E81" i="27"/>
  <c r="F81" i="27"/>
  <c r="G81" i="27"/>
  <c r="H81" i="27"/>
  <c r="I81" i="27"/>
  <c r="J81" i="27"/>
  <c r="K81" i="27"/>
  <c r="L81" i="27"/>
  <c r="M81" i="27"/>
  <c r="N81" i="27"/>
  <c r="O81" i="27"/>
  <c r="P81" i="27"/>
  <c r="Q81" i="27"/>
  <c r="R81" i="27"/>
  <c r="S81" i="27"/>
  <c r="T81" i="27"/>
  <c r="U81" i="27"/>
  <c r="V81" i="27"/>
  <c r="W81" i="27"/>
  <c r="X81" i="27"/>
  <c r="Y81" i="27"/>
  <c r="Z81" i="27"/>
  <c r="AA81" i="27"/>
  <c r="AB81" i="27"/>
  <c r="AC81" i="27"/>
  <c r="AD81" i="27"/>
  <c r="AE81" i="27"/>
  <c r="AF81" i="27"/>
  <c r="AG81" i="27"/>
  <c r="AH81" i="27"/>
  <c r="AI81" i="27"/>
  <c r="AJ81" i="27"/>
  <c r="AK81" i="27"/>
  <c r="AL81" i="27"/>
  <c r="AM81" i="27"/>
  <c r="AN81" i="27"/>
  <c r="AO81" i="27"/>
  <c r="AP81" i="27"/>
  <c r="AQ81" i="27"/>
  <c r="AR81" i="27"/>
  <c r="AS81" i="27"/>
  <c r="AT81" i="27"/>
  <c r="AU81" i="27"/>
  <c r="AV81" i="27"/>
  <c r="AW81" i="27"/>
  <c r="AX81" i="27"/>
  <c r="AY81" i="27"/>
  <c r="AZ81" i="27"/>
  <c r="BA81" i="27"/>
  <c r="BB81" i="27"/>
  <c r="BC81" i="27"/>
  <c r="BD81" i="27"/>
  <c r="BE81" i="27"/>
  <c r="BF81" i="27"/>
  <c r="BG81" i="27"/>
  <c r="BH81" i="27"/>
  <c r="BI81" i="27"/>
  <c r="BJ81" i="27"/>
  <c r="BK81" i="27"/>
  <c r="BL81" i="27"/>
  <c r="BM81" i="27"/>
  <c r="BN81" i="27"/>
  <c r="BO81" i="27"/>
  <c r="BP81" i="27"/>
  <c r="BQ81" i="27"/>
  <c r="D82" i="27"/>
  <c r="E82" i="27"/>
  <c r="F82" i="27"/>
  <c r="G82" i="27"/>
  <c r="H82" i="27"/>
  <c r="I82" i="27"/>
  <c r="J82" i="27"/>
  <c r="K82" i="27"/>
  <c r="L82" i="27"/>
  <c r="M82" i="27"/>
  <c r="N82" i="27"/>
  <c r="O82" i="27"/>
  <c r="P82" i="27"/>
  <c r="Q82" i="27"/>
  <c r="R82" i="27"/>
  <c r="S82" i="27"/>
  <c r="T82" i="27"/>
  <c r="U82" i="27"/>
  <c r="V82" i="27"/>
  <c r="W82" i="27"/>
  <c r="X82" i="27"/>
  <c r="Y82" i="27"/>
  <c r="Z82" i="27"/>
  <c r="AA82" i="27"/>
  <c r="AB82" i="27"/>
  <c r="AC82" i="27"/>
  <c r="AD82" i="27"/>
  <c r="AE82" i="27"/>
  <c r="AF82" i="27"/>
  <c r="AG82" i="27"/>
  <c r="AH82" i="27"/>
  <c r="AI82" i="27"/>
  <c r="AJ82" i="27"/>
  <c r="AK82" i="27"/>
  <c r="AL82" i="27"/>
  <c r="AM82" i="27"/>
  <c r="AN82" i="27"/>
  <c r="AO82" i="27"/>
  <c r="AP82" i="27"/>
  <c r="AQ82" i="27"/>
  <c r="AR82" i="27"/>
  <c r="AS82" i="27"/>
  <c r="AT82" i="27"/>
  <c r="AU82" i="27"/>
  <c r="AV82" i="27"/>
  <c r="AW82" i="27"/>
  <c r="AX82" i="27"/>
  <c r="AY82" i="27"/>
  <c r="AZ82" i="27"/>
  <c r="BA82" i="27"/>
  <c r="BB82" i="27"/>
  <c r="BC82" i="27"/>
  <c r="BD82" i="27"/>
  <c r="BE82" i="27"/>
  <c r="BF82" i="27"/>
  <c r="BG82" i="27"/>
  <c r="BH82" i="27"/>
  <c r="BI82" i="27"/>
  <c r="BJ82" i="27"/>
  <c r="BK82" i="27"/>
  <c r="BL82" i="27"/>
  <c r="BM82" i="27"/>
  <c r="BN82" i="27"/>
  <c r="BO82" i="27"/>
  <c r="BP82" i="27"/>
  <c r="BQ82" i="27"/>
  <c r="D83" i="27"/>
  <c r="E83" i="27"/>
  <c r="F83" i="27"/>
  <c r="G83" i="27"/>
  <c r="H83" i="27"/>
  <c r="I83" i="27"/>
  <c r="J83" i="27"/>
  <c r="K83" i="27"/>
  <c r="L83" i="27"/>
  <c r="M83" i="27"/>
  <c r="N83" i="27"/>
  <c r="O83" i="27"/>
  <c r="P83" i="27"/>
  <c r="Q83" i="27"/>
  <c r="R83" i="27"/>
  <c r="S83" i="27"/>
  <c r="T83" i="27"/>
  <c r="U83" i="27"/>
  <c r="V83" i="27"/>
  <c r="W83" i="27"/>
  <c r="X83" i="27"/>
  <c r="Y83" i="27"/>
  <c r="Z83" i="27"/>
  <c r="AA83" i="27"/>
  <c r="AB83" i="27"/>
  <c r="AC83" i="27"/>
  <c r="AD83" i="27"/>
  <c r="AE83" i="27"/>
  <c r="AF83" i="27"/>
  <c r="AG83" i="27"/>
  <c r="AH83" i="27"/>
  <c r="AI83" i="27"/>
  <c r="AJ83" i="27"/>
  <c r="AK83" i="27"/>
  <c r="AL83" i="27"/>
  <c r="AM83" i="27"/>
  <c r="AN83" i="27"/>
  <c r="AO83" i="27"/>
  <c r="AP83" i="27"/>
  <c r="AQ83" i="27"/>
  <c r="AR83" i="27"/>
  <c r="AS83" i="27"/>
  <c r="AT83" i="27"/>
  <c r="AU83" i="27"/>
  <c r="AV83" i="27"/>
  <c r="AW83" i="27"/>
  <c r="AX83" i="27"/>
  <c r="AY83" i="27"/>
  <c r="AZ83" i="27"/>
  <c r="BA83" i="27"/>
  <c r="BB83" i="27"/>
  <c r="BC83" i="27"/>
  <c r="BD83" i="27"/>
  <c r="BE83" i="27"/>
  <c r="BF83" i="27"/>
  <c r="BG83" i="27"/>
  <c r="BH83" i="27"/>
  <c r="BI83" i="27"/>
  <c r="BJ83" i="27"/>
  <c r="BK83" i="27"/>
  <c r="BL83" i="27"/>
  <c r="BM83" i="27"/>
  <c r="BN83" i="27"/>
  <c r="BO83" i="27"/>
  <c r="BP83" i="27"/>
  <c r="BQ83" i="27"/>
  <c r="D84" i="27"/>
  <c r="E84" i="27"/>
  <c r="F84" i="27"/>
  <c r="G84" i="27"/>
  <c r="H84" i="27"/>
  <c r="I84" i="27"/>
  <c r="J84" i="27"/>
  <c r="K84" i="27"/>
  <c r="L84" i="27"/>
  <c r="M84" i="27"/>
  <c r="N84" i="27"/>
  <c r="O84" i="27"/>
  <c r="P84" i="27"/>
  <c r="Q84" i="27"/>
  <c r="R84" i="27"/>
  <c r="S84" i="27"/>
  <c r="T84" i="27"/>
  <c r="U84" i="27"/>
  <c r="V84" i="27"/>
  <c r="W84" i="27"/>
  <c r="X84" i="27"/>
  <c r="Y84" i="27"/>
  <c r="Z84" i="27"/>
  <c r="AA84" i="27"/>
  <c r="AB84" i="27"/>
  <c r="AC84" i="27"/>
  <c r="AD84" i="27"/>
  <c r="AE84" i="27"/>
  <c r="AF84" i="27"/>
  <c r="AG84" i="27"/>
  <c r="AH84" i="27"/>
  <c r="AI84" i="27"/>
  <c r="AJ84" i="27"/>
  <c r="AK84" i="27"/>
  <c r="AL84" i="27"/>
  <c r="AM84" i="27"/>
  <c r="AN84" i="27"/>
  <c r="AO84" i="27"/>
  <c r="AP84" i="27"/>
  <c r="AQ84" i="27"/>
  <c r="AR84" i="27"/>
  <c r="AS84" i="27"/>
  <c r="AT84" i="27"/>
  <c r="AU84" i="27"/>
  <c r="AV84" i="27"/>
  <c r="AW84" i="27"/>
  <c r="AX84" i="27"/>
  <c r="AY84" i="27"/>
  <c r="AZ84" i="27"/>
  <c r="BA84" i="27"/>
  <c r="BB84" i="27"/>
  <c r="BC84" i="27"/>
  <c r="BD84" i="27"/>
  <c r="BE84" i="27"/>
  <c r="BF84" i="27"/>
  <c r="BG84" i="27"/>
  <c r="BH84" i="27"/>
  <c r="BI84" i="27"/>
  <c r="BJ84" i="27"/>
  <c r="BK84" i="27"/>
  <c r="BL84" i="27"/>
  <c r="BM84" i="27"/>
  <c r="BN84" i="27"/>
  <c r="BO84" i="27"/>
  <c r="BP84" i="27"/>
  <c r="BQ84" i="27"/>
  <c r="D85" i="27"/>
  <c r="E85" i="27"/>
  <c r="F85" i="27"/>
  <c r="G85" i="27"/>
  <c r="H85" i="27"/>
  <c r="I85" i="27"/>
  <c r="J85" i="27"/>
  <c r="K85" i="27"/>
  <c r="L85" i="27"/>
  <c r="M85" i="27"/>
  <c r="N85" i="27"/>
  <c r="O85" i="27"/>
  <c r="P85" i="27"/>
  <c r="Q85" i="27"/>
  <c r="R85" i="27"/>
  <c r="S85" i="27"/>
  <c r="T85" i="27"/>
  <c r="U85" i="27"/>
  <c r="V85" i="27"/>
  <c r="W85" i="27"/>
  <c r="X85" i="27"/>
  <c r="Y85" i="27"/>
  <c r="Z85" i="27"/>
  <c r="AA85" i="27"/>
  <c r="AB85" i="27"/>
  <c r="AC85" i="27"/>
  <c r="AD85" i="27"/>
  <c r="AE85" i="27"/>
  <c r="AF85" i="27"/>
  <c r="AG85" i="27"/>
  <c r="AH85" i="27"/>
  <c r="AI85" i="27"/>
  <c r="AJ85" i="27"/>
  <c r="AK85" i="27"/>
  <c r="AL85" i="27"/>
  <c r="AM85" i="27"/>
  <c r="AN85" i="27"/>
  <c r="AO85" i="27"/>
  <c r="AP85" i="27"/>
  <c r="AQ85" i="27"/>
  <c r="AR85" i="27"/>
  <c r="AS85" i="27"/>
  <c r="AT85" i="27"/>
  <c r="AU85" i="27"/>
  <c r="AV85" i="27"/>
  <c r="AW85" i="27"/>
  <c r="AX85" i="27"/>
  <c r="AY85" i="27"/>
  <c r="AZ85" i="27"/>
  <c r="BA85" i="27"/>
  <c r="BB85" i="27"/>
  <c r="BC85" i="27"/>
  <c r="BD85" i="27"/>
  <c r="BE85" i="27"/>
  <c r="BF85" i="27"/>
  <c r="BG85" i="27"/>
  <c r="BH85" i="27"/>
  <c r="BI85" i="27"/>
  <c r="BJ85" i="27"/>
  <c r="BK85" i="27"/>
  <c r="BL85" i="27"/>
  <c r="BM85" i="27"/>
  <c r="BN85" i="27"/>
  <c r="BO85" i="27"/>
  <c r="BP85" i="27"/>
  <c r="BQ85" i="27"/>
  <c r="D86" i="27"/>
  <c r="E86" i="27"/>
  <c r="F86" i="27"/>
  <c r="G86" i="27"/>
  <c r="H86" i="27"/>
  <c r="I86" i="27"/>
  <c r="J86" i="27"/>
  <c r="K86" i="27"/>
  <c r="L86" i="27"/>
  <c r="M86" i="27"/>
  <c r="N86" i="27"/>
  <c r="O86" i="27"/>
  <c r="P86" i="27"/>
  <c r="Q86" i="27"/>
  <c r="R86" i="27"/>
  <c r="S86" i="27"/>
  <c r="T86" i="27"/>
  <c r="U86" i="27"/>
  <c r="V86" i="27"/>
  <c r="W86" i="27"/>
  <c r="X86" i="27"/>
  <c r="Y86" i="27"/>
  <c r="Z86" i="27"/>
  <c r="AA86" i="27"/>
  <c r="AB86" i="27"/>
  <c r="AC86" i="27"/>
  <c r="AD86" i="27"/>
  <c r="AE86" i="27"/>
  <c r="AF86" i="27"/>
  <c r="AG86" i="27"/>
  <c r="AH86" i="27"/>
  <c r="AI86" i="27"/>
  <c r="AJ86" i="27"/>
  <c r="AK86" i="27"/>
  <c r="AL86" i="27"/>
  <c r="AM86" i="27"/>
  <c r="AN86" i="27"/>
  <c r="AO86" i="27"/>
  <c r="AP86" i="27"/>
  <c r="AQ86" i="27"/>
  <c r="AR86" i="27"/>
  <c r="AS86" i="27"/>
  <c r="AT86" i="27"/>
  <c r="AU86" i="27"/>
  <c r="AV86" i="27"/>
  <c r="AW86" i="27"/>
  <c r="AX86" i="27"/>
  <c r="AY86" i="27"/>
  <c r="AZ86" i="27"/>
  <c r="BA86" i="27"/>
  <c r="BB86" i="27"/>
  <c r="BC86" i="27"/>
  <c r="BD86" i="27"/>
  <c r="BE86" i="27"/>
  <c r="BF86" i="27"/>
  <c r="BG86" i="27"/>
  <c r="BH86" i="27"/>
  <c r="BI86" i="27"/>
  <c r="BJ86" i="27"/>
  <c r="BK86" i="27"/>
  <c r="BL86" i="27"/>
  <c r="BM86" i="27"/>
  <c r="BN86" i="27"/>
  <c r="BO86" i="27"/>
  <c r="BP86" i="27"/>
  <c r="BQ86" i="27"/>
  <c r="D87" i="27"/>
  <c r="E87" i="27"/>
  <c r="F87" i="27"/>
  <c r="G87" i="27"/>
  <c r="H87" i="27"/>
  <c r="I87" i="27"/>
  <c r="J87" i="27"/>
  <c r="K87" i="27"/>
  <c r="L87" i="27"/>
  <c r="M87" i="27"/>
  <c r="N87" i="27"/>
  <c r="O87" i="27"/>
  <c r="P87" i="27"/>
  <c r="Q87" i="27"/>
  <c r="R87" i="27"/>
  <c r="S87" i="27"/>
  <c r="T87" i="27"/>
  <c r="U87" i="27"/>
  <c r="V87" i="27"/>
  <c r="W87" i="27"/>
  <c r="X87" i="27"/>
  <c r="Y87" i="27"/>
  <c r="Z87" i="27"/>
  <c r="AA87" i="27"/>
  <c r="AB87" i="27"/>
  <c r="AC87" i="27"/>
  <c r="AD87" i="27"/>
  <c r="AE87" i="27"/>
  <c r="AF87" i="27"/>
  <c r="AG87" i="27"/>
  <c r="AH87" i="27"/>
  <c r="AI87" i="27"/>
  <c r="AJ87" i="27"/>
  <c r="AK87" i="27"/>
  <c r="AL87" i="27"/>
  <c r="AM87" i="27"/>
  <c r="AN87" i="27"/>
  <c r="AO87" i="27"/>
  <c r="AP87" i="27"/>
  <c r="AQ87" i="27"/>
  <c r="AR87" i="27"/>
  <c r="AS87" i="27"/>
  <c r="AT87" i="27"/>
  <c r="AU87" i="27"/>
  <c r="AV87" i="27"/>
  <c r="AW87" i="27"/>
  <c r="AX87" i="27"/>
  <c r="AY87" i="27"/>
  <c r="AZ87" i="27"/>
  <c r="BA87" i="27"/>
  <c r="BB87" i="27"/>
  <c r="BC87" i="27"/>
  <c r="BD87" i="27"/>
  <c r="BE87" i="27"/>
  <c r="BF87" i="27"/>
  <c r="BG87" i="27"/>
  <c r="BH87" i="27"/>
  <c r="BI87" i="27"/>
  <c r="BJ87" i="27"/>
  <c r="BK87" i="27"/>
  <c r="BL87" i="27"/>
  <c r="BM87" i="27"/>
  <c r="BN87" i="27"/>
  <c r="BO87" i="27"/>
  <c r="BP87" i="27"/>
  <c r="BQ87" i="27"/>
  <c r="D88" i="27"/>
  <c r="E88" i="27"/>
  <c r="F88" i="27"/>
  <c r="G88" i="27"/>
  <c r="H88" i="27"/>
  <c r="I88" i="27"/>
  <c r="J88" i="27"/>
  <c r="K88" i="27"/>
  <c r="L88" i="27"/>
  <c r="M88" i="27"/>
  <c r="N88" i="27"/>
  <c r="O88" i="27"/>
  <c r="P88" i="27"/>
  <c r="Q88" i="27"/>
  <c r="R88" i="27"/>
  <c r="S88" i="27"/>
  <c r="T88" i="27"/>
  <c r="U88" i="27"/>
  <c r="V88" i="27"/>
  <c r="W88" i="27"/>
  <c r="X88" i="27"/>
  <c r="Y88" i="27"/>
  <c r="Z88" i="27"/>
  <c r="AA88" i="27"/>
  <c r="AB88" i="27"/>
  <c r="AC88" i="27"/>
  <c r="AD88" i="27"/>
  <c r="AE88" i="27"/>
  <c r="AF88" i="27"/>
  <c r="AG88" i="27"/>
  <c r="AH88" i="27"/>
  <c r="AI88" i="27"/>
  <c r="AJ88" i="27"/>
  <c r="AK88" i="27"/>
  <c r="AL88" i="27"/>
  <c r="AM88" i="27"/>
  <c r="AN88" i="27"/>
  <c r="AO88" i="27"/>
  <c r="AP88" i="27"/>
  <c r="AQ88" i="27"/>
  <c r="AR88" i="27"/>
  <c r="AS88" i="27"/>
  <c r="AT88" i="27"/>
  <c r="AU88" i="27"/>
  <c r="AV88" i="27"/>
  <c r="AW88" i="27"/>
  <c r="AX88" i="27"/>
  <c r="AY88" i="27"/>
  <c r="AZ88" i="27"/>
  <c r="BA88" i="27"/>
  <c r="BB88" i="27"/>
  <c r="BC88" i="27"/>
  <c r="BD88" i="27"/>
  <c r="BE88" i="27"/>
  <c r="BF88" i="27"/>
  <c r="BG88" i="27"/>
  <c r="BH88" i="27"/>
  <c r="BI88" i="27"/>
  <c r="BJ88" i="27"/>
  <c r="BK88" i="27"/>
  <c r="BL88" i="27"/>
  <c r="BM88" i="27"/>
  <c r="BN88" i="27"/>
  <c r="BO88" i="27"/>
  <c r="BP88" i="27"/>
  <c r="BQ88" i="27"/>
  <c r="D89" i="27"/>
  <c r="E89" i="27"/>
  <c r="F89" i="27"/>
  <c r="G89" i="27"/>
  <c r="H89" i="27"/>
  <c r="I89" i="27"/>
  <c r="J89" i="27"/>
  <c r="K89" i="27"/>
  <c r="L89" i="27"/>
  <c r="M89" i="27"/>
  <c r="N89" i="27"/>
  <c r="O89" i="27"/>
  <c r="P89" i="27"/>
  <c r="Q89" i="27"/>
  <c r="R89" i="27"/>
  <c r="S89" i="27"/>
  <c r="T89" i="27"/>
  <c r="U89" i="27"/>
  <c r="V89" i="27"/>
  <c r="W89" i="27"/>
  <c r="X89" i="27"/>
  <c r="Y89" i="27"/>
  <c r="Z89" i="27"/>
  <c r="AA89" i="27"/>
  <c r="AB89" i="27"/>
  <c r="AC89" i="27"/>
  <c r="AD89" i="27"/>
  <c r="AE89" i="27"/>
  <c r="AF89" i="27"/>
  <c r="AG89" i="27"/>
  <c r="AH89" i="27"/>
  <c r="AI89" i="27"/>
  <c r="AJ89" i="27"/>
  <c r="AK89" i="27"/>
  <c r="AL89" i="27"/>
  <c r="AM89" i="27"/>
  <c r="AN89" i="27"/>
  <c r="AO89" i="27"/>
  <c r="AP89" i="27"/>
  <c r="AQ89" i="27"/>
  <c r="AR89" i="27"/>
  <c r="AS89" i="27"/>
  <c r="AT89" i="27"/>
  <c r="AU89" i="27"/>
  <c r="AV89" i="27"/>
  <c r="AW89" i="27"/>
  <c r="AX89" i="27"/>
  <c r="AY89" i="27"/>
  <c r="AZ89" i="27"/>
  <c r="BA89" i="27"/>
  <c r="BB89" i="27"/>
  <c r="BC89" i="27"/>
  <c r="BD89" i="27"/>
  <c r="BE89" i="27"/>
  <c r="BF89" i="27"/>
  <c r="BG89" i="27"/>
  <c r="BH89" i="27"/>
  <c r="BI89" i="27"/>
  <c r="BJ89" i="27"/>
  <c r="BK89" i="27"/>
  <c r="BL89" i="27"/>
  <c r="BM89" i="27"/>
  <c r="BN89" i="27"/>
  <c r="BO89" i="27"/>
  <c r="BP89" i="27"/>
  <c r="BQ89" i="27"/>
  <c r="D90" i="27"/>
  <c r="E90" i="27"/>
  <c r="F90" i="27"/>
  <c r="G90" i="27"/>
  <c r="H90" i="27"/>
  <c r="I90" i="27"/>
  <c r="J90" i="27"/>
  <c r="K90" i="27"/>
  <c r="L90" i="27"/>
  <c r="M90" i="27"/>
  <c r="N90" i="27"/>
  <c r="O90" i="27"/>
  <c r="P90" i="27"/>
  <c r="Q90" i="27"/>
  <c r="R90" i="27"/>
  <c r="S90" i="27"/>
  <c r="T90" i="27"/>
  <c r="U90" i="27"/>
  <c r="V90" i="27"/>
  <c r="W90" i="27"/>
  <c r="X90" i="27"/>
  <c r="Y90" i="27"/>
  <c r="Z90" i="27"/>
  <c r="AA90" i="27"/>
  <c r="AB90" i="27"/>
  <c r="AC90" i="27"/>
  <c r="AD90" i="27"/>
  <c r="AE90" i="27"/>
  <c r="AF90" i="27"/>
  <c r="AG90" i="27"/>
  <c r="AH90" i="27"/>
  <c r="AI90" i="27"/>
  <c r="AJ90" i="27"/>
  <c r="AK90" i="27"/>
  <c r="AL90" i="27"/>
  <c r="AM90" i="27"/>
  <c r="AN90" i="27"/>
  <c r="AO90" i="27"/>
  <c r="AP90" i="27"/>
  <c r="AQ90" i="27"/>
  <c r="AR90" i="27"/>
  <c r="AS90" i="27"/>
  <c r="AT90" i="27"/>
  <c r="AU90" i="27"/>
  <c r="AV90" i="27"/>
  <c r="AW90" i="27"/>
  <c r="AX90" i="27"/>
  <c r="AY90" i="27"/>
  <c r="AZ90" i="27"/>
  <c r="BA90" i="27"/>
  <c r="BB90" i="27"/>
  <c r="BC90" i="27"/>
  <c r="BD90" i="27"/>
  <c r="BE90" i="27"/>
  <c r="BF90" i="27"/>
  <c r="BG90" i="27"/>
  <c r="BH90" i="27"/>
  <c r="BI90" i="27"/>
  <c r="BJ90" i="27"/>
  <c r="BK90" i="27"/>
  <c r="BL90" i="27"/>
  <c r="BM90" i="27"/>
  <c r="BN90" i="27"/>
  <c r="BO90" i="27"/>
  <c r="BP90" i="27"/>
  <c r="BQ90" i="27"/>
  <c r="D91" i="27"/>
  <c r="E91" i="27"/>
  <c r="F91" i="27"/>
  <c r="G91" i="27"/>
  <c r="H91" i="27"/>
  <c r="I91" i="27"/>
  <c r="J91" i="27"/>
  <c r="K91" i="27"/>
  <c r="L91" i="27"/>
  <c r="M91" i="27"/>
  <c r="N91" i="27"/>
  <c r="O91" i="27"/>
  <c r="P91" i="27"/>
  <c r="Q91" i="27"/>
  <c r="R91" i="27"/>
  <c r="S91" i="27"/>
  <c r="T91" i="27"/>
  <c r="U91" i="27"/>
  <c r="V91" i="27"/>
  <c r="W91" i="27"/>
  <c r="X91" i="27"/>
  <c r="Y91" i="27"/>
  <c r="Z91" i="27"/>
  <c r="AA91" i="27"/>
  <c r="AB91" i="27"/>
  <c r="AC91" i="27"/>
  <c r="AD91" i="27"/>
  <c r="AE91" i="27"/>
  <c r="AF91" i="27"/>
  <c r="AG91" i="27"/>
  <c r="AH91" i="27"/>
  <c r="AI91" i="27"/>
  <c r="AJ91" i="27"/>
  <c r="AK91" i="27"/>
  <c r="AL91" i="27"/>
  <c r="AM91" i="27"/>
  <c r="AN91" i="27"/>
  <c r="AO91" i="27"/>
  <c r="AP91" i="27"/>
  <c r="AQ91" i="27"/>
  <c r="AR91" i="27"/>
  <c r="AS91" i="27"/>
  <c r="AT91" i="27"/>
  <c r="AU91" i="27"/>
  <c r="AV91" i="27"/>
  <c r="AW91" i="27"/>
  <c r="AX91" i="27"/>
  <c r="AY91" i="27"/>
  <c r="AZ91" i="27"/>
  <c r="BA91" i="27"/>
  <c r="BB91" i="27"/>
  <c r="BC91" i="27"/>
  <c r="BD91" i="27"/>
  <c r="BE91" i="27"/>
  <c r="BF91" i="27"/>
  <c r="BG91" i="27"/>
  <c r="BH91" i="27"/>
  <c r="BI91" i="27"/>
  <c r="BJ91" i="27"/>
  <c r="BK91" i="27"/>
  <c r="BL91" i="27"/>
  <c r="BM91" i="27"/>
  <c r="BN91" i="27"/>
  <c r="BO91" i="27"/>
  <c r="BP91" i="27"/>
  <c r="BQ91" i="27"/>
  <c r="D92" i="27"/>
  <c r="E92" i="27"/>
  <c r="F92" i="27"/>
  <c r="G92" i="27"/>
  <c r="H92" i="27"/>
  <c r="I92" i="27"/>
  <c r="J92" i="27"/>
  <c r="K92" i="27"/>
  <c r="L92" i="27"/>
  <c r="M92" i="27"/>
  <c r="N92" i="27"/>
  <c r="O92" i="27"/>
  <c r="P92" i="27"/>
  <c r="Q92" i="27"/>
  <c r="R92" i="27"/>
  <c r="S92" i="27"/>
  <c r="T92" i="27"/>
  <c r="U92" i="27"/>
  <c r="V92" i="27"/>
  <c r="W92" i="27"/>
  <c r="X92" i="27"/>
  <c r="Y92" i="27"/>
  <c r="Z92" i="27"/>
  <c r="AA92" i="27"/>
  <c r="AB92" i="27"/>
  <c r="AC92" i="27"/>
  <c r="AD92" i="27"/>
  <c r="AE92" i="27"/>
  <c r="AF92" i="27"/>
  <c r="AG92" i="27"/>
  <c r="AH92" i="27"/>
  <c r="AI92" i="27"/>
  <c r="AJ92" i="27"/>
  <c r="AK92" i="27"/>
  <c r="AL92" i="27"/>
  <c r="AM92" i="27"/>
  <c r="AN92" i="27"/>
  <c r="AO92" i="27"/>
  <c r="AP92" i="27"/>
  <c r="AQ92" i="27"/>
  <c r="AR92" i="27"/>
  <c r="AS92" i="27"/>
  <c r="AT92" i="27"/>
  <c r="AU92" i="27"/>
  <c r="AV92" i="27"/>
  <c r="AW92" i="27"/>
  <c r="AX92" i="27"/>
  <c r="AY92" i="27"/>
  <c r="AZ92" i="27"/>
  <c r="BA92" i="27"/>
  <c r="BB92" i="27"/>
  <c r="BC92" i="27"/>
  <c r="BD92" i="27"/>
  <c r="BE92" i="27"/>
  <c r="BF92" i="27"/>
  <c r="BG92" i="27"/>
  <c r="BH92" i="27"/>
  <c r="BI92" i="27"/>
  <c r="BJ92" i="27"/>
  <c r="BK92" i="27"/>
  <c r="BL92" i="27"/>
  <c r="BM92" i="27"/>
  <c r="BN92" i="27"/>
  <c r="BO92" i="27"/>
  <c r="BP92" i="27"/>
  <c r="BQ92" i="27"/>
  <c r="D93" i="27"/>
  <c r="E93" i="27"/>
  <c r="F93" i="27"/>
  <c r="G93" i="27"/>
  <c r="H93" i="27"/>
  <c r="I93" i="27"/>
  <c r="J93" i="27"/>
  <c r="K93" i="27"/>
  <c r="L93" i="27"/>
  <c r="M93" i="27"/>
  <c r="N93" i="27"/>
  <c r="O93" i="27"/>
  <c r="P93" i="27"/>
  <c r="Q93" i="27"/>
  <c r="R93" i="27"/>
  <c r="S93" i="27"/>
  <c r="T93" i="27"/>
  <c r="U93" i="27"/>
  <c r="V93" i="27"/>
  <c r="W93" i="27"/>
  <c r="X93" i="27"/>
  <c r="Y93" i="27"/>
  <c r="Z93" i="27"/>
  <c r="AA93" i="27"/>
  <c r="AB93" i="27"/>
  <c r="AC93" i="27"/>
  <c r="AD93" i="27"/>
  <c r="AE93" i="27"/>
  <c r="AF93" i="27"/>
  <c r="AG93" i="27"/>
  <c r="AH93" i="27"/>
  <c r="AI93" i="27"/>
  <c r="AJ93" i="27"/>
  <c r="AK93" i="27"/>
  <c r="AL93" i="27"/>
  <c r="AM93" i="27"/>
  <c r="AN93" i="27"/>
  <c r="AO93" i="27"/>
  <c r="AP93" i="27"/>
  <c r="AQ93" i="27"/>
  <c r="AR93" i="27"/>
  <c r="AS93" i="27"/>
  <c r="AT93" i="27"/>
  <c r="AU93" i="27"/>
  <c r="AV93" i="27"/>
  <c r="AW93" i="27"/>
  <c r="AX93" i="27"/>
  <c r="AY93" i="27"/>
  <c r="AZ93" i="27"/>
  <c r="BA93" i="27"/>
  <c r="BB93" i="27"/>
  <c r="BC93" i="27"/>
  <c r="BD93" i="27"/>
  <c r="BE93" i="27"/>
  <c r="BF93" i="27"/>
  <c r="BG93" i="27"/>
  <c r="BH93" i="27"/>
  <c r="BI93" i="27"/>
  <c r="BJ93" i="27"/>
  <c r="BK93" i="27"/>
  <c r="BL93" i="27"/>
  <c r="BM93" i="27"/>
  <c r="BN93" i="27"/>
  <c r="BO93" i="27"/>
  <c r="BP93" i="27"/>
  <c r="BQ93" i="27"/>
  <c r="D94" i="27"/>
  <c r="E94" i="27"/>
  <c r="F94" i="27"/>
  <c r="G94" i="27"/>
  <c r="H94" i="27"/>
  <c r="I94" i="27"/>
  <c r="J94" i="27"/>
  <c r="K94" i="27"/>
  <c r="L94" i="27"/>
  <c r="M94" i="27"/>
  <c r="N94" i="27"/>
  <c r="O94" i="27"/>
  <c r="P94" i="27"/>
  <c r="Q94" i="27"/>
  <c r="R94" i="27"/>
  <c r="S94" i="27"/>
  <c r="T94" i="27"/>
  <c r="U94" i="27"/>
  <c r="V94" i="27"/>
  <c r="W94" i="27"/>
  <c r="X94" i="27"/>
  <c r="Y94" i="27"/>
  <c r="Z94" i="27"/>
  <c r="AA94" i="27"/>
  <c r="AB94" i="27"/>
  <c r="AC94" i="27"/>
  <c r="AD94" i="27"/>
  <c r="AE94" i="27"/>
  <c r="AF94" i="27"/>
  <c r="AG94" i="27"/>
  <c r="AH94" i="27"/>
  <c r="AI94" i="27"/>
  <c r="AJ94" i="27"/>
  <c r="AK94" i="27"/>
  <c r="AL94" i="27"/>
  <c r="AM94" i="27"/>
  <c r="AN94" i="27"/>
  <c r="AO94" i="27"/>
  <c r="AP94" i="27"/>
  <c r="AQ94" i="27"/>
  <c r="AR94" i="27"/>
  <c r="AS94" i="27"/>
  <c r="AT94" i="27"/>
  <c r="AU94" i="27"/>
  <c r="AV94" i="27"/>
  <c r="AW94" i="27"/>
  <c r="AX94" i="27"/>
  <c r="AY94" i="27"/>
  <c r="AZ94" i="27"/>
  <c r="BA94" i="27"/>
  <c r="BB94" i="27"/>
  <c r="BC94" i="27"/>
  <c r="BD94" i="27"/>
  <c r="BE94" i="27"/>
  <c r="BF94" i="27"/>
  <c r="BG94" i="27"/>
  <c r="BH94" i="27"/>
  <c r="BI94" i="27"/>
  <c r="BJ94" i="27"/>
  <c r="BK94" i="27"/>
  <c r="BL94" i="27"/>
  <c r="BM94" i="27"/>
  <c r="BN94" i="27"/>
  <c r="BO94" i="27"/>
  <c r="BP94" i="27"/>
  <c r="BQ94" i="27"/>
  <c r="D95" i="27"/>
  <c r="E95" i="27"/>
  <c r="F95" i="27"/>
  <c r="G95" i="27"/>
  <c r="H95" i="27"/>
  <c r="I95" i="27"/>
  <c r="J95" i="27"/>
  <c r="K95" i="27"/>
  <c r="L95" i="27"/>
  <c r="M95" i="27"/>
  <c r="N95" i="27"/>
  <c r="O95" i="27"/>
  <c r="P95" i="27"/>
  <c r="Q95" i="27"/>
  <c r="R95" i="27"/>
  <c r="S95" i="27"/>
  <c r="T95" i="27"/>
  <c r="U95" i="27"/>
  <c r="V95" i="27"/>
  <c r="W95" i="27"/>
  <c r="X95" i="27"/>
  <c r="Y95" i="27"/>
  <c r="Z95" i="27"/>
  <c r="AA95" i="27"/>
  <c r="AB95" i="27"/>
  <c r="AC95" i="27"/>
  <c r="AD95" i="27"/>
  <c r="AE95" i="27"/>
  <c r="AF95" i="27"/>
  <c r="AG95" i="27"/>
  <c r="AH95" i="27"/>
  <c r="AI95" i="27"/>
  <c r="AJ95" i="27"/>
  <c r="AK95" i="27"/>
  <c r="AL95" i="27"/>
  <c r="AM95" i="27"/>
  <c r="AN95" i="27"/>
  <c r="AO95" i="27"/>
  <c r="AP95" i="27"/>
  <c r="AQ95" i="27"/>
  <c r="AR95" i="27"/>
  <c r="AS95" i="27"/>
  <c r="AT95" i="27"/>
  <c r="AU95" i="27"/>
  <c r="AV95" i="27"/>
  <c r="AW95" i="27"/>
  <c r="AX95" i="27"/>
  <c r="AY95" i="27"/>
  <c r="AZ95" i="27"/>
  <c r="BA95" i="27"/>
  <c r="BB95" i="27"/>
  <c r="BC95" i="27"/>
  <c r="BD95" i="27"/>
  <c r="BE95" i="27"/>
  <c r="BF95" i="27"/>
  <c r="BG95" i="27"/>
  <c r="BH95" i="27"/>
  <c r="BI95" i="27"/>
  <c r="BJ95" i="27"/>
  <c r="BK95" i="27"/>
  <c r="BL95" i="27"/>
  <c r="BM95" i="27"/>
  <c r="BN95" i="27"/>
  <c r="BO95" i="27"/>
  <c r="BP95" i="27"/>
  <c r="BQ95" i="27"/>
  <c r="D96" i="27"/>
  <c r="E96" i="27"/>
  <c r="F96" i="27"/>
  <c r="G96" i="27"/>
  <c r="H96" i="27"/>
  <c r="I96" i="27"/>
  <c r="J96" i="27"/>
  <c r="K96" i="27"/>
  <c r="L96" i="27"/>
  <c r="M96" i="27"/>
  <c r="N96" i="27"/>
  <c r="O96" i="27"/>
  <c r="P96" i="27"/>
  <c r="Q96" i="27"/>
  <c r="R96" i="27"/>
  <c r="S96" i="27"/>
  <c r="T96" i="27"/>
  <c r="U96" i="27"/>
  <c r="V96" i="27"/>
  <c r="W96" i="27"/>
  <c r="X96" i="27"/>
  <c r="Y96" i="27"/>
  <c r="Z96" i="27"/>
  <c r="AA96" i="27"/>
  <c r="AB96" i="27"/>
  <c r="AC96" i="27"/>
  <c r="AD96" i="27"/>
  <c r="AE96" i="27"/>
  <c r="AF96" i="27"/>
  <c r="AG96" i="27"/>
  <c r="AH96" i="27"/>
  <c r="AI96" i="27"/>
  <c r="AJ96" i="27"/>
  <c r="AK96" i="27"/>
  <c r="AL96" i="27"/>
  <c r="AM96" i="27"/>
  <c r="AN96" i="27"/>
  <c r="AO96" i="27"/>
  <c r="AP96" i="27"/>
  <c r="AQ96" i="27"/>
  <c r="AR96" i="27"/>
  <c r="AS96" i="27"/>
  <c r="AT96" i="27"/>
  <c r="AU96" i="27"/>
  <c r="AV96" i="27"/>
  <c r="AW96" i="27"/>
  <c r="AX96" i="27"/>
  <c r="AY96" i="27"/>
  <c r="AZ96" i="27"/>
  <c r="BA96" i="27"/>
  <c r="BB96" i="27"/>
  <c r="BC96" i="27"/>
  <c r="BD96" i="27"/>
  <c r="BE96" i="27"/>
  <c r="BF96" i="27"/>
  <c r="BG96" i="27"/>
  <c r="BH96" i="27"/>
  <c r="BI96" i="27"/>
  <c r="BJ96" i="27"/>
  <c r="BK96" i="27"/>
  <c r="BL96" i="27"/>
  <c r="BM96" i="27"/>
  <c r="BN96" i="27"/>
  <c r="BO96" i="27"/>
  <c r="BP96" i="27"/>
  <c r="BQ96" i="27"/>
  <c r="D97" i="27"/>
  <c r="E97" i="27"/>
  <c r="F97" i="27"/>
  <c r="G97" i="27"/>
  <c r="H97" i="27"/>
  <c r="I97" i="27"/>
  <c r="J97" i="27"/>
  <c r="K97" i="27"/>
  <c r="L97" i="27"/>
  <c r="M97" i="27"/>
  <c r="N97" i="27"/>
  <c r="O97" i="27"/>
  <c r="P97" i="27"/>
  <c r="Q97" i="27"/>
  <c r="R97" i="27"/>
  <c r="S97" i="27"/>
  <c r="T97" i="27"/>
  <c r="U97" i="27"/>
  <c r="V97" i="27"/>
  <c r="W97" i="27"/>
  <c r="X97" i="27"/>
  <c r="Y97" i="27"/>
  <c r="Z97" i="27"/>
  <c r="AA97" i="27"/>
  <c r="AB97" i="27"/>
  <c r="AC97" i="27"/>
  <c r="AD97" i="27"/>
  <c r="AE97" i="27"/>
  <c r="AF97" i="27"/>
  <c r="AG97" i="27"/>
  <c r="AH97" i="27"/>
  <c r="AI97" i="27"/>
  <c r="AJ97" i="27"/>
  <c r="AK97" i="27"/>
  <c r="AL97" i="27"/>
  <c r="AM97" i="27"/>
  <c r="AN97" i="27"/>
  <c r="AO97" i="27"/>
  <c r="AP97" i="27"/>
  <c r="AQ97" i="27"/>
  <c r="AR97" i="27"/>
  <c r="AS97" i="27"/>
  <c r="AT97" i="27"/>
  <c r="AU97" i="27"/>
  <c r="AV97" i="27"/>
  <c r="AW97" i="27"/>
  <c r="AX97" i="27"/>
  <c r="AY97" i="27"/>
  <c r="AZ97" i="27"/>
  <c r="BA97" i="27"/>
  <c r="BB97" i="27"/>
  <c r="BC97" i="27"/>
  <c r="BD97" i="27"/>
  <c r="BE97" i="27"/>
  <c r="BF97" i="27"/>
  <c r="BG97" i="27"/>
  <c r="BH97" i="27"/>
  <c r="BI97" i="27"/>
  <c r="BJ97" i="27"/>
  <c r="BK97" i="27"/>
  <c r="BL97" i="27"/>
  <c r="BM97" i="27"/>
  <c r="BN97" i="27"/>
  <c r="BO97" i="27"/>
  <c r="BP97" i="27"/>
  <c r="BQ97" i="27"/>
  <c r="D98" i="27"/>
  <c r="E98" i="27"/>
  <c r="F98" i="27"/>
  <c r="G98" i="27"/>
  <c r="H98" i="27"/>
  <c r="I98" i="27"/>
  <c r="J98" i="27"/>
  <c r="K98" i="27"/>
  <c r="L98" i="27"/>
  <c r="M98" i="27"/>
  <c r="N98" i="27"/>
  <c r="O98" i="27"/>
  <c r="P98" i="27"/>
  <c r="Q98" i="27"/>
  <c r="R98" i="27"/>
  <c r="S98" i="27"/>
  <c r="T98" i="27"/>
  <c r="U98" i="27"/>
  <c r="V98" i="27"/>
  <c r="W98" i="27"/>
  <c r="X98" i="27"/>
  <c r="Y98" i="27"/>
  <c r="Z98" i="27"/>
  <c r="AA98" i="27"/>
  <c r="AB98" i="27"/>
  <c r="AC98" i="27"/>
  <c r="AD98" i="27"/>
  <c r="AE98" i="27"/>
  <c r="AF98" i="27"/>
  <c r="AG98" i="27"/>
  <c r="AH98" i="27"/>
  <c r="AI98" i="27"/>
  <c r="AJ98" i="27"/>
  <c r="AK98" i="27"/>
  <c r="AL98" i="27"/>
  <c r="AM98" i="27"/>
  <c r="AN98" i="27"/>
  <c r="AO98" i="27"/>
  <c r="AP98" i="27"/>
  <c r="AQ98" i="27"/>
  <c r="AR98" i="27"/>
  <c r="AS98" i="27"/>
  <c r="AT98" i="27"/>
  <c r="AU98" i="27"/>
  <c r="AV98" i="27"/>
  <c r="AW98" i="27"/>
  <c r="AX98" i="27"/>
  <c r="AY98" i="27"/>
  <c r="AZ98" i="27"/>
  <c r="BA98" i="27"/>
  <c r="BB98" i="27"/>
  <c r="BC98" i="27"/>
  <c r="BD98" i="27"/>
  <c r="BE98" i="27"/>
  <c r="BF98" i="27"/>
  <c r="BG98" i="27"/>
  <c r="BH98" i="27"/>
  <c r="BI98" i="27"/>
  <c r="BJ98" i="27"/>
  <c r="BK98" i="27"/>
  <c r="BL98" i="27"/>
  <c r="BM98" i="27"/>
  <c r="BN98" i="27"/>
  <c r="BO98" i="27"/>
  <c r="BP98" i="27"/>
  <c r="BQ98" i="27"/>
  <c r="D99" i="27"/>
  <c r="E99" i="27"/>
  <c r="F99" i="27"/>
  <c r="G99" i="27"/>
  <c r="H99" i="27"/>
  <c r="I99" i="27"/>
  <c r="J99" i="27"/>
  <c r="K99" i="27"/>
  <c r="L99" i="27"/>
  <c r="M99" i="27"/>
  <c r="N99" i="27"/>
  <c r="O99" i="27"/>
  <c r="P99" i="27"/>
  <c r="Q99" i="27"/>
  <c r="R99" i="27"/>
  <c r="S99" i="27"/>
  <c r="T99" i="27"/>
  <c r="U99" i="27"/>
  <c r="V99" i="27"/>
  <c r="W99" i="27"/>
  <c r="X99" i="27"/>
  <c r="Y99" i="27"/>
  <c r="Z99" i="27"/>
  <c r="AA99" i="27"/>
  <c r="AB99" i="27"/>
  <c r="AC99" i="27"/>
  <c r="AD99" i="27"/>
  <c r="AE99" i="27"/>
  <c r="AF99" i="27"/>
  <c r="AG99" i="27"/>
  <c r="AH99" i="27"/>
  <c r="AI99" i="27"/>
  <c r="AJ99" i="27"/>
  <c r="AK99" i="27"/>
  <c r="AL99" i="27"/>
  <c r="AM99" i="27"/>
  <c r="AN99" i="27"/>
  <c r="AO99" i="27"/>
  <c r="AP99" i="27"/>
  <c r="AQ99" i="27"/>
  <c r="AR99" i="27"/>
  <c r="AS99" i="27"/>
  <c r="AT99" i="27"/>
  <c r="AU99" i="27"/>
  <c r="AV99" i="27"/>
  <c r="AW99" i="27"/>
  <c r="AX99" i="27"/>
  <c r="AY99" i="27"/>
  <c r="AZ99" i="27"/>
  <c r="BA99" i="27"/>
  <c r="BB99" i="27"/>
  <c r="BC99" i="27"/>
  <c r="BD99" i="27"/>
  <c r="BE99" i="27"/>
  <c r="BF99" i="27"/>
  <c r="BG99" i="27"/>
  <c r="BH99" i="27"/>
  <c r="BI99" i="27"/>
  <c r="BJ99" i="27"/>
  <c r="BK99" i="27"/>
  <c r="BL99" i="27"/>
  <c r="BM99" i="27"/>
  <c r="BN99" i="27"/>
  <c r="BO99" i="27"/>
  <c r="BP99" i="27"/>
  <c r="BQ99" i="27"/>
  <c r="D100" i="27"/>
  <c r="E100" i="27"/>
  <c r="F100" i="27"/>
  <c r="G100" i="27"/>
  <c r="H100" i="27"/>
  <c r="I100" i="27"/>
  <c r="J100" i="27"/>
  <c r="K100" i="27"/>
  <c r="L100" i="27"/>
  <c r="M100" i="27"/>
  <c r="N100" i="27"/>
  <c r="O100" i="27"/>
  <c r="P100" i="27"/>
  <c r="Q100" i="27"/>
  <c r="R100" i="27"/>
  <c r="S100" i="27"/>
  <c r="T100" i="27"/>
  <c r="U100" i="27"/>
  <c r="V100" i="27"/>
  <c r="W100" i="27"/>
  <c r="X100" i="27"/>
  <c r="Y100" i="27"/>
  <c r="Z100" i="27"/>
  <c r="AA100" i="27"/>
  <c r="AB100" i="27"/>
  <c r="AC100" i="27"/>
  <c r="AD100" i="27"/>
  <c r="AE100" i="27"/>
  <c r="AF100" i="27"/>
  <c r="AG100" i="27"/>
  <c r="AH100" i="27"/>
  <c r="AI100" i="27"/>
  <c r="AJ100" i="27"/>
  <c r="AK100" i="27"/>
  <c r="AL100" i="27"/>
  <c r="AM100" i="27"/>
  <c r="AN100" i="27"/>
  <c r="AO100" i="27"/>
  <c r="AP100" i="27"/>
  <c r="AQ100" i="27"/>
  <c r="AR100" i="27"/>
  <c r="AS100" i="27"/>
  <c r="AT100" i="27"/>
  <c r="AU100" i="27"/>
  <c r="AV100" i="27"/>
  <c r="AW100" i="27"/>
  <c r="AX100" i="27"/>
  <c r="AY100" i="27"/>
  <c r="AZ100" i="27"/>
  <c r="BA100" i="27"/>
  <c r="BB100" i="27"/>
  <c r="BC100" i="27"/>
  <c r="BD100" i="27"/>
  <c r="BE100" i="27"/>
  <c r="BF100" i="27"/>
  <c r="BG100" i="27"/>
  <c r="BH100" i="27"/>
  <c r="BI100" i="27"/>
  <c r="BJ100" i="27"/>
  <c r="BK100" i="27"/>
  <c r="BL100" i="27"/>
  <c r="BM100" i="27"/>
  <c r="BN100" i="27"/>
  <c r="BO100" i="27"/>
  <c r="BP100" i="27"/>
  <c r="BQ100" i="27"/>
  <c r="E21" i="26"/>
  <c r="F21" i="26"/>
  <c r="G21" i="26"/>
  <c r="H21" i="26"/>
  <c r="J21" i="26"/>
  <c r="K21" i="26"/>
  <c r="L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E22" i="26"/>
  <c r="F22" i="26"/>
  <c r="G22" i="26"/>
  <c r="H22" i="26"/>
  <c r="J22" i="26"/>
  <c r="K22" i="26"/>
  <c r="L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E23" i="26"/>
  <c r="F23" i="26"/>
  <c r="G23" i="26"/>
  <c r="H23" i="26"/>
  <c r="J23" i="26"/>
  <c r="K23" i="26"/>
  <c r="L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E24" i="26"/>
  <c r="F24" i="26"/>
  <c r="G24" i="26"/>
  <c r="H24" i="26"/>
  <c r="J24" i="26"/>
  <c r="K24" i="26"/>
  <c r="L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E25" i="26"/>
  <c r="F25" i="26"/>
  <c r="G25" i="26"/>
  <c r="H25" i="26"/>
  <c r="J25" i="26"/>
  <c r="K25" i="26"/>
  <c r="L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E26" i="26"/>
  <c r="F26" i="26"/>
  <c r="G26" i="26"/>
  <c r="H26" i="26"/>
  <c r="J26" i="26"/>
  <c r="K26" i="26"/>
  <c r="L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E27" i="26"/>
  <c r="F27" i="26"/>
  <c r="G27" i="26"/>
  <c r="H27" i="26"/>
  <c r="J27" i="26"/>
  <c r="K27" i="26"/>
  <c r="L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E28" i="26"/>
  <c r="F28" i="26"/>
  <c r="G28" i="26"/>
  <c r="H28" i="26"/>
  <c r="J28" i="26"/>
  <c r="K28" i="26"/>
  <c r="L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E29" i="26"/>
  <c r="F29" i="26"/>
  <c r="G29" i="26"/>
  <c r="H29" i="26"/>
  <c r="J29" i="26"/>
  <c r="K29" i="26"/>
  <c r="L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E30" i="26"/>
  <c r="F30" i="26"/>
  <c r="G30" i="26"/>
  <c r="H30" i="26"/>
  <c r="J30" i="26"/>
  <c r="K30" i="26"/>
  <c r="L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E31" i="26"/>
  <c r="F31" i="26"/>
  <c r="G31" i="26"/>
  <c r="H31" i="26"/>
  <c r="J31" i="26"/>
  <c r="K31" i="26"/>
  <c r="L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E32" i="26"/>
  <c r="F32" i="26"/>
  <c r="G32" i="26"/>
  <c r="H32" i="26"/>
  <c r="J32" i="26"/>
  <c r="K32" i="26"/>
  <c r="L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E33" i="26"/>
  <c r="F33" i="26"/>
  <c r="G33" i="26"/>
  <c r="H33" i="26"/>
  <c r="J33" i="26"/>
  <c r="K33" i="26"/>
  <c r="L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E34" i="26"/>
  <c r="F34" i="26"/>
  <c r="G34" i="26"/>
  <c r="H34" i="26"/>
  <c r="J34" i="26"/>
  <c r="K34" i="26"/>
  <c r="L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E35" i="26"/>
  <c r="F35" i="26"/>
  <c r="G35" i="26"/>
  <c r="H35" i="26"/>
  <c r="J35" i="26"/>
  <c r="K35" i="26"/>
  <c r="L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E36" i="26"/>
  <c r="F36" i="26"/>
  <c r="G36" i="26"/>
  <c r="H36" i="26"/>
  <c r="J36" i="26"/>
  <c r="K36" i="26"/>
  <c r="L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E37" i="26"/>
  <c r="F37" i="26"/>
  <c r="G37" i="26"/>
  <c r="H37" i="26"/>
  <c r="J37" i="26"/>
  <c r="K37" i="26"/>
  <c r="L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E38" i="26"/>
  <c r="F38" i="26"/>
  <c r="G38" i="26"/>
  <c r="H38" i="26"/>
  <c r="J38" i="26"/>
  <c r="K38" i="26"/>
  <c r="L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E39" i="26"/>
  <c r="F39" i="26"/>
  <c r="G39" i="26"/>
  <c r="H39" i="26"/>
  <c r="J39" i="26"/>
  <c r="K39" i="26"/>
  <c r="L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E40" i="26"/>
  <c r="F40" i="26"/>
  <c r="G40" i="26"/>
  <c r="H40" i="26"/>
  <c r="J40" i="26"/>
  <c r="K40" i="26"/>
  <c r="L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E41" i="26"/>
  <c r="F41" i="26"/>
  <c r="G41" i="26"/>
  <c r="H41" i="26"/>
  <c r="J41" i="26"/>
  <c r="K41" i="26"/>
  <c r="L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E42" i="26"/>
  <c r="F42" i="26"/>
  <c r="G42" i="26"/>
  <c r="H42" i="26"/>
  <c r="J42" i="26"/>
  <c r="K42" i="26"/>
  <c r="L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E43" i="26"/>
  <c r="F43" i="26"/>
  <c r="G43" i="26"/>
  <c r="H43" i="26"/>
  <c r="J43" i="26"/>
  <c r="K43" i="26"/>
  <c r="L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E44" i="26"/>
  <c r="F44" i="26"/>
  <c r="G44" i="26"/>
  <c r="H44" i="26"/>
  <c r="J44" i="26"/>
  <c r="K44" i="26"/>
  <c r="L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E45" i="26"/>
  <c r="F45" i="26"/>
  <c r="G45" i="26"/>
  <c r="H45" i="26"/>
  <c r="J45" i="26"/>
  <c r="K45" i="26"/>
  <c r="L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E46" i="26"/>
  <c r="F46" i="26"/>
  <c r="G46" i="26"/>
  <c r="H46" i="26"/>
  <c r="J46" i="26"/>
  <c r="K46" i="26"/>
  <c r="L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E47" i="26"/>
  <c r="F47" i="26"/>
  <c r="G47" i="26"/>
  <c r="H47" i="26"/>
  <c r="J47" i="26"/>
  <c r="K47" i="26"/>
  <c r="L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E48" i="26"/>
  <c r="F48" i="26"/>
  <c r="G48" i="26"/>
  <c r="H48" i="26"/>
  <c r="J48" i="26"/>
  <c r="K48" i="26"/>
  <c r="L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E49" i="26"/>
  <c r="F49" i="26"/>
  <c r="G49" i="26"/>
  <c r="H49" i="26"/>
  <c r="J49" i="26"/>
  <c r="K49" i="26"/>
  <c r="L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E50" i="26"/>
  <c r="F50" i="26"/>
  <c r="G50" i="26"/>
  <c r="H50" i="26"/>
  <c r="J50" i="26"/>
  <c r="K50" i="26"/>
  <c r="L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E51" i="26"/>
  <c r="F51" i="26"/>
  <c r="G51" i="26"/>
  <c r="H51" i="26"/>
  <c r="J51" i="26"/>
  <c r="K51" i="26"/>
  <c r="L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E52" i="26"/>
  <c r="F52" i="26"/>
  <c r="G52" i="26"/>
  <c r="H52" i="26"/>
  <c r="J52" i="26"/>
  <c r="K52" i="26"/>
  <c r="L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E53" i="26"/>
  <c r="F53" i="26"/>
  <c r="G53" i="26"/>
  <c r="H53" i="26"/>
  <c r="J53" i="26"/>
  <c r="K53" i="26"/>
  <c r="L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E54" i="26"/>
  <c r="F54" i="26"/>
  <c r="G54" i="26"/>
  <c r="H54" i="26"/>
  <c r="J54" i="26"/>
  <c r="K54" i="26"/>
  <c r="L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E55" i="26"/>
  <c r="F55" i="26"/>
  <c r="G55" i="26"/>
  <c r="H55" i="26"/>
  <c r="J55" i="26"/>
  <c r="K55" i="26"/>
  <c r="L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E56" i="26"/>
  <c r="F56" i="26"/>
  <c r="G56" i="26"/>
  <c r="H56" i="26"/>
  <c r="J56" i="26"/>
  <c r="K56" i="26"/>
  <c r="L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E57" i="26"/>
  <c r="F57" i="26"/>
  <c r="G57" i="26"/>
  <c r="H57" i="26"/>
  <c r="J57" i="26"/>
  <c r="K57" i="26"/>
  <c r="L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E58" i="26"/>
  <c r="F58" i="26"/>
  <c r="G58" i="26"/>
  <c r="H58" i="26"/>
  <c r="J58" i="26"/>
  <c r="K58" i="26"/>
  <c r="L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E59" i="26"/>
  <c r="F59" i="26"/>
  <c r="G59" i="26"/>
  <c r="H59" i="26"/>
  <c r="J59" i="26"/>
  <c r="K59" i="26"/>
  <c r="L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E60" i="26"/>
  <c r="F60" i="26"/>
  <c r="G60" i="26"/>
  <c r="H60" i="26"/>
  <c r="J60" i="26"/>
  <c r="K60" i="26"/>
  <c r="L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E61" i="26"/>
  <c r="F61" i="26"/>
  <c r="G61" i="26"/>
  <c r="H61" i="26"/>
  <c r="J61" i="26"/>
  <c r="K61" i="26"/>
  <c r="L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E62" i="26"/>
  <c r="F62" i="26"/>
  <c r="G62" i="26"/>
  <c r="H62" i="26"/>
  <c r="J62" i="26"/>
  <c r="K62" i="26"/>
  <c r="L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E63" i="26"/>
  <c r="F63" i="26"/>
  <c r="G63" i="26"/>
  <c r="H63" i="26"/>
  <c r="J63" i="26"/>
  <c r="K63" i="26"/>
  <c r="L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E64" i="26"/>
  <c r="F64" i="26"/>
  <c r="G64" i="26"/>
  <c r="H64" i="26"/>
  <c r="J64" i="26"/>
  <c r="K64" i="26"/>
  <c r="L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E65" i="26"/>
  <c r="F65" i="26"/>
  <c r="G65" i="26"/>
  <c r="H65" i="26"/>
  <c r="J65" i="26"/>
  <c r="K65" i="26"/>
  <c r="L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E66" i="26"/>
  <c r="F66" i="26"/>
  <c r="G66" i="26"/>
  <c r="H66" i="26"/>
  <c r="J66" i="26"/>
  <c r="K66" i="26"/>
  <c r="L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E67" i="26"/>
  <c r="F67" i="26"/>
  <c r="G67" i="26"/>
  <c r="H67" i="26"/>
  <c r="J67" i="26"/>
  <c r="K67" i="26"/>
  <c r="L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E68" i="26"/>
  <c r="F68" i="26"/>
  <c r="G68" i="26"/>
  <c r="H68" i="26"/>
  <c r="J68" i="26"/>
  <c r="K68" i="26"/>
  <c r="L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E69" i="26"/>
  <c r="F69" i="26"/>
  <c r="G69" i="26"/>
  <c r="H69" i="26"/>
  <c r="J69" i="26"/>
  <c r="K69" i="26"/>
  <c r="L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E70" i="26"/>
  <c r="F70" i="26"/>
  <c r="G70" i="26"/>
  <c r="H70" i="26"/>
  <c r="J70" i="26"/>
  <c r="K70" i="26"/>
  <c r="L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E71" i="26"/>
  <c r="F71" i="26"/>
  <c r="G71" i="26"/>
  <c r="H71" i="26"/>
  <c r="J71" i="26"/>
  <c r="K71" i="26"/>
  <c r="L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E72" i="26"/>
  <c r="F72" i="26"/>
  <c r="G72" i="26"/>
  <c r="H72" i="26"/>
  <c r="J72" i="26"/>
  <c r="K72" i="26"/>
  <c r="L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E73" i="26"/>
  <c r="F73" i="26"/>
  <c r="G73" i="26"/>
  <c r="H73" i="26"/>
  <c r="J73" i="26"/>
  <c r="K73" i="26"/>
  <c r="L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E74" i="26"/>
  <c r="F74" i="26"/>
  <c r="G74" i="26"/>
  <c r="H74" i="26"/>
  <c r="J74" i="26"/>
  <c r="K74" i="26"/>
  <c r="L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E75" i="26"/>
  <c r="F75" i="26"/>
  <c r="G75" i="26"/>
  <c r="H75" i="26"/>
  <c r="J75" i="26"/>
  <c r="K75" i="26"/>
  <c r="L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E76" i="26"/>
  <c r="F76" i="26"/>
  <c r="G76" i="26"/>
  <c r="H76" i="26"/>
  <c r="J76" i="26"/>
  <c r="K76" i="26"/>
  <c r="L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E77" i="26"/>
  <c r="F77" i="26"/>
  <c r="G77" i="26"/>
  <c r="H77" i="26"/>
  <c r="J77" i="26"/>
  <c r="K77" i="26"/>
  <c r="L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E78" i="26"/>
  <c r="F78" i="26"/>
  <c r="G78" i="26"/>
  <c r="H78" i="26"/>
  <c r="J78" i="26"/>
  <c r="K78" i="26"/>
  <c r="L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E79" i="26"/>
  <c r="F79" i="26"/>
  <c r="G79" i="26"/>
  <c r="H79" i="26"/>
  <c r="J79" i="26"/>
  <c r="K79" i="26"/>
  <c r="L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E80" i="26"/>
  <c r="F80" i="26"/>
  <c r="G80" i="26"/>
  <c r="H80" i="26"/>
  <c r="J80" i="26"/>
  <c r="K80" i="26"/>
  <c r="L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E81" i="26"/>
  <c r="F81" i="26"/>
  <c r="G81" i="26"/>
  <c r="H81" i="26"/>
  <c r="J81" i="26"/>
  <c r="K81" i="26"/>
  <c r="L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E82" i="26"/>
  <c r="F82" i="26"/>
  <c r="G82" i="26"/>
  <c r="H82" i="26"/>
  <c r="J82" i="26"/>
  <c r="K82" i="26"/>
  <c r="L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E83" i="26"/>
  <c r="F83" i="26"/>
  <c r="G83" i="26"/>
  <c r="H83" i="26"/>
  <c r="J83" i="26"/>
  <c r="K83" i="26"/>
  <c r="L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E84" i="26"/>
  <c r="F84" i="26"/>
  <c r="G84" i="26"/>
  <c r="H84" i="26"/>
  <c r="J84" i="26"/>
  <c r="K84" i="26"/>
  <c r="L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E85" i="26"/>
  <c r="F85" i="26"/>
  <c r="G85" i="26"/>
  <c r="H85" i="26"/>
  <c r="J85" i="26"/>
  <c r="K85" i="26"/>
  <c r="L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E86" i="26"/>
  <c r="F86" i="26"/>
  <c r="G86" i="26"/>
  <c r="H86" i="26"/>
  <c r="J86" i="26"/>
  <c r="K86" i="26"/>
  <c r="L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E87" i="26"/>
  <c r="F87" i="26"/>
  <c r="G87" i="26"/>
  <c r="H87" i="26"/>
  <c r="J87" i="26"/>
  <c r="K87" i="26"/>
  <c r="L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E88" i="26"/>
  <c r="F88" i="26"/>
  <c r="G88" i="26"/>
  <c r="H88" i="26"/>
  <c r="J88" i="26"/>
  <c r="K88" i="26"/>
  <c r="L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E89" i="26"/>
  <c r="F89" i="26"/>
  <c r="G89" i="26"/>
  <c r="H89" i="26"/>
  <c r="J89" i="26"/>
  <c r="K89" i="26"/>
  <c r="L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E90" i="26"/>
  <c r="F90" i="26"/>
  <c r="G90" i="26"/>
  <c r="H90" i="26"/>
  <c r="J90" i="26"/>
  <c r="K90" i="26"/>
  <c r="L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E91" i="26"/>
  <c r="F91" i="26"/>
  <c r="G91" i="26"/>
  <c r="H91" i="26"/>
  <c r="J91" i="26"/>
  <c r="K91" i="26"/>
  <c r="L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E92" i="26"/>
  <c r="F92" i="26"/>
  <c r="G92" i="26"/>
  <c r="H92" i="26"/>
  <c r="J92" i="26"/>
  <c r="K92" i="26"/>
  <c r="L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E93" i="26"/>
  <c r="F93" i="26"/>
  <c r="G93" i="26"/>
  <c r="H93" i="26"/>
  <c r="J93" i="26"/>
  <c r="K93" i="26"/>
  <c r="L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E94" i="26"/>
  <c r="F94" i="26"/>
  <c r="G94" i="26"/>
  <c r="H94" i="26"/>
  <c r="J94" i="26"/>
  <c r="K94" i="26"/>
  <c r="L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E95" i="26"/>
  <c r="F95" i="26"/>
  <c r="G95" i="26"/>
  <c r="H95" i="26"/>
  <c r="J95" i="26"/>
  <c r="K95" i="26"/>
  <c r="L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E96" i="26"/>
  <c r="F96" i="26"/>
  <c r="G96" i="26"/>
  <c r="H96" i="26"/>
  <c r="J96" i="26"/>
  <c r="K96" i="26"/>
  <c r="L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E97" i="26"/>
  <c r="F97" i="26"/>
  <c r="G97" i="26"/>
  <c r="H97" i="26"/>
  <c r="J97" i="26"/>
  <c r="K97" i="26"/>
  <c r="L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E98" i="26"/>
  <c r="F98" i="26"/>
  <c r="G98" i="26"/>
  <c r="H98" i="26"/>
  <c r="J98" i="26"/>
  <c r="K98" i="26"/>
  <c r="L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E99" i="26"/>
  <c r="F99" i="26"/>
  <c r="G99" i="26"/>
  <c r="H99" i="26"/>
  <c r="J99" i="26"/>
  <c r="K99" i="26"/>
  <c r="L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E100" i="26"/>
  <c r="F100" i="26"/>
  <c r="G100" i="26"/>
  <c r="H100" i="26"/>
  <c r="J100" i="26"/>
  <c r="K100" i="26"/>
  <c r="L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D20" i="30"/>
  <c r="E20" i="30"/>
  <c r="D20" i="28"/>
  <c r="E20" i="28"/>
  <c r="D20" i="27"/>
  <c r="E20" i="27"/>
  <c r="E20" i="26"/>
  <c r="U20" i="26"/>
  <c r="H20" i="26"/>
  <c r="L20" i="26"/>
  <c r="Z20" i="26"/>
  <c r="P20" i="26"/>
  <c r="D20" i="26"/>
  <c r="AC20" i="26"/>
  <c r="AD20" i="26"/>
  <c r="D21" i="10"/>
  <c r="D23" i="10"/>
  <c r="D25" i="10"/>
  <c r="D27" i="10"/>
  <c r="D29" i="10"/>
  <c r="D31" i="10"/>
  <c r="D33" i="10"/>
  <c r="D35" i="10"/>
  <c r="D37" i="10"/>
  <c r="D39" i="10"/>
  <c r="D41" i="10"/>
  <c r="D43" i="10"/>
  <c r="D45" i="10"/>
  <c r="D47" i="10"/>
  <c r="D49" i="10"/>
  <c r="D51" i="10"/>
  <c r="D53" i="10"/>
  <c r="D55" i="10"/>
  <c r="D57" i="10"/>
  <c r="D59" i="10"/>
  <c r="D61" i="10"/>
  <c r="D63" i="10"/>
  <c r="D65" i="10"/>
  <c r="D67" i="10"/>
  <c r="D69" i="10"/>
  <c r="E21" i="10"/>
  <c r="E23" i="10"/>
  <c r="E25" i="10"/>
  <c r="E27" i="10"/>
  <c r="E29" i="10"/>
  <c r="E31" i="10"/>
  <c r="E33" i="10"/>
  <c r="E35" i="10"/>
  <c r="E37" i="10"/>
  <c r="E39" i="10"/>
  <c r="E41" i="10"/>
  <c r="E43" i="10"/>
  <c r="E45" i="10"/>
  <c r="E47" i="10"/>
  <c r="E49" i="10"/>
  <c r="E51" i="10"/>
  <c r="E53" i="10"/>
  <c r="E55" i="10"/>
  <c r="E57" i="10"/>
  <c r="E59" i="10"/>
  <c r="E61" i="10"/>
  <c r="E63" i="10"/>
  <c r="E65" i="10"/>
  <c r="E67" i="10"/>
  <c r="D20" i="10"/>
  <c r="D22" i="10"/>
  <c r="D24" i="10"/>
  <c r="D26" i="10"/>
  <c r="D28" i="10"/>
  <c r="D30" i="10"/>
  <c r="D32" i="10"/>
  <c r="D34" i="10"/>
  <c r="D36" i="10"/>
  <c r="D38" i="10"/>
  <c r="D40" i="10"/>
  <c r="D42" i="10"/>
  <c r="D44" i="10"/>
  <c r="D46" i="10"/>
  <c r="D48" i="10"/>
  <c r="D50" i="10"/>
  <c r="D52" i="10"/>
  <c r="D54" i="10"/>
  <c r="D56" i="10"/>
  <c r="D58" i="10"/>
  <c r="D60" i="10"/>
  <c r="D62" i="10"/>
  <c r="D64" i="10"/>
  <c r="D66" i="10"/>
  <c r="D68" i="10"/>
  <c r="D70" i="10"/>
  <c r="E20" i="10"/>
  <c r="E22" i="10"/>
  <c r="E24" i="10"/>
  <c r="E26" i="10"/>
  <c r="E28" i="10"/>
  <c r="E30" i="10"/>
  <c r="E32" i="10"/>
  <c r="E34" i="10"/>
  <c r="E36" i="10"/>
  <c r="E38" i="10"/>
  <c r="E40" i="10"/>
  <c r="E42" i="10"/>
  <c r="E44" i="10"/>
  <c r="E46" i="10"/>
  <c r="E48" i="10"/>
  <c r="E50" i="10"/>
  <c r="E52" i="10"/>
  <c r="E54" i="10"/>
  <c r="E56" i="10"/>
  <c r="E58" i="10"/>
  <c r="E60" i="10"/>
  <c r="E62" i="10"/>
  <c r="E64" i="10"/>
  <c r="E66" i="10"/>
  <c r="E68" i="10"/>
  <c r="E69" i="10"/>
  <c r="D71" i="10"/>
  <c r="D73" i="10"/>
  <c r="D75" i="10"/>
  <c r="D77" i="10"/>
  <c r="D79" i="10"/>
  <c r="D81" i="10"/>
  <c r="D83" i="10"/>
  <c r="D85" i="10"/>
  <c r="D87" i="10"/>
  <c r="D89" i="10"/>
  <c r="D91" i="10"/>
  <c r="D93" i="10"/>
  <c r="D95" i="10"/>
  <c r="D97" i="10"/>
  <c r="D99" i="10"/>
  <c r="E71" i="10"/>
  <c r="E73" i="10"/>
  <c r="E75" i="10"/>
  <c r="E77" i="10"/>
  <c r="E79" i="10"/>
  <c r="E81" i="10"/>
  <c r="E83" i="10"/>
  <c r="E85" i="10"/>
  <c r="E87" i="10"/>
  <c r="E89" i="10"/>
  <c r="E91" i="10"/>
  <c r="E93" i="10"/>
  <c r="E95" i="10"/>
  <c r="E97" i="10"/>
  <c r="E99" i="10"/>
  <c r="D94" i="10"/>
  <c r="D98" i="10"/>
  <c r="D84" i="10"/>
  <c r="D96" i="10"/>
  <c r="E70" i="10"/>
  <c r="D90" i="10"/>
  <c r="D92" i="10"/>
  <c r="D72" i="10"/>
  <c r="D74" i="10"/>
  <c r="D76" i="10"/>
  <c r="D78" i="10"/>
  <c r="D80" i="10"/>
  <c r="D82" i="10"/>
  <c r="D86" i="10"/>
  <c r="D88" i="10"/>
  <c r="D100" i="10"/>
  <c r="E72" i="10"/>
  <c r="E74" i="10"/>
  <c r="E76" i="10"/>
  <c r="E78" i="10"/>
  <c r="E80" i="10"/>
  <c r="E82" i="10"/>
  <c r="E84" i="10"/>
  <c r="E86" i="10"/>
  <c r="E88" i="10"/>
  <c r="E90" i="10"/>
  <c r="E92" i="10"/>
  <c r="E94" i="10"/>
  <c r="E96" i="10"/>
  <c r="E98" i="10"/>
  <c r="E100" i="10"/>
  <c r="N20" i="1"/>
  <c r="O20" i="1"/>
  <c r="P20" i="1"/>
  <c r="Q20" i="1"/>
  <c r="R20" i="1"/>
  <c r="S20" i="1"/>
  <c r="T20" i="1"/>
  <c r="U20" i="1"/>
  <c r="D17" i="10"/>
  <c r="D19" i="27"/>
  <c r="E9" i="30"/>
  <c r="D19" i="28"/>
  <c r="D12" i="27"/>
  <c r="E18" i="30"/>
  <c r="N10" i="1"/>
  <c r="R13" i="1"/>
  <c r="D18" i="28"/>
  <c r="E13" i="30"/>
  <c r="O14" i="1"/>
  <c r="D16" i="26"/>
  <c r="R15" i="1"/>
  <c r="E9" i="26"/>
  <c r="E8" i="10"/>
  <c r="Q18" i="1"/>
  <c r="E17" i="10"/>
  <c r="P15" i="1"/>
  <c r="D13" i="28"/>
  <c r="N13" i="1"/>
  <c r="D18" i="10"/>
  <c r="R10" i="1"/>
  <c r="Q11" i="1"/>
  <c r="U8" i="1"/>
  <c r="E16" i="26"/>
  <c r="U12" i="1"/>
  <c r="O17" i="1"/>
  <c r="D10" i="27"/>
  <c r="P10" i="1"/>
  <c r="S18" i="1"/>
  <c r="L9" i="26"/>
  <c r="E15" i="30"/>
  <c r="E18" i="27"/>
  <c r="U18" i="1"/>
  <c r="E16" i="28"/>
  <c r="P13" i="1"/>
  <c r="AC9" i="26"/>
  <c r="T16" i="1"/>
  <c r="N14" i="1"/>
  <c r="S8" i="1"/>
  <c r="E11" i="10"/>
  <c r="E13" i="10"/>
  <c r="D16" i="10"/>
  <c r="O19" i="1"/>
  <c r="E19" i="26"/>
  <c r="O11" i="1"/>
  <c r="D13" i="30"/>
  <c r="D16" i="27"/>
  <c r="N15" i="1"/>
  <c r="O12" i="1"/>
  <c r="N9" i="1"/>
  <c r="D8" i="30"/>
  <c r="D10" i="30"/>
  <c r="D9" i="26"/>
  <c r="D14" i="28"/>
  <c r="T18" i="1"/>
  <c r="E17" i="30"/>
  <c r="E16" i="30"/>
  <c r="P9" i="26"/>
  <c r="Q13" i="1"/>
  <c r="AD9" i="26"/>
  <c r="T9" i="1"/>
  <c r="D15" i="26"/>
  <c r="E19" i="30"/>
  <c r="Q17" i="1"/>
  <c r="E15" i="26"/>
  <c r="R19" i="1"/>
  <c r="U19" i="1"/>
  <c r="D15" i="30"/>
  <c r="R17" i="1"/>
  <c r="D12" i="10"/>
  <c r="P17" i="1"/>
  <c r="E10" i="30"/>
  <c r="T17" i="1"/>
  <c r="Z16" i="26"/>
  <c r="E14" i="28"/>
  <c r="D16" i="30"/>
  <c r="P19" i="26"/>
  <c r="D18" i="27"/>
  <c r="O16" i="1"/>
  <c r="H19" i="26"/>
  <c r="H9" i="26"/>
  <c r="N11" i="1"/>
  <c r="U15" i="1"/>
  <c r="U17" i="1"/>
  <c r="E14" i="26"/>
  <c r="D16" i="28"/>
  <c r="S19" i="1"/>
  <c r="D11" i="30"/>
  <c r="E8" i="30"/>
  <c r="D18" i="26"/>
  <c r="D11" i="10"/>
  <c r="E14" i="30"/>
  <c r="U19" i="26"/>
  <c r="Q12" i="1"/>
  <c r="D13" i="27"/>
  <c r="E11" i="27"/>
  <c r="P19" i="1"/>
  <c r="Z15" i="26"/>
  <c r="U13" i="1"/>
  <c r="D19" i="26"/>
  <c r="E17" i="26"/>
  <c r="D9" i="27"/>
  <c r="N12" i="1"/>
  <c r="AD19" i="26"/>
  <c r="U9" i="26"/>
  <c r="U16" i="26"/>
  <c r="Q9" i="1"/>
  <c r="Q16" i="1"/>
  <c r="T13" i="1"/>
  <c r="T12" i="1"/>
  <c r="D14" i="26"/>
  <c r="D8" i="26"/>
  <c r="P11" i="1"/>
  <c r="P8" i="1"/>
  <c r="E19" i="28"/>
  <c r="E13" i="27"/>
  <c r="D14" i="27"/>
  <c r="U14" i="1"/>
  <c r="N16" i="1"/>
  <c r="E18" i="26"/>
  <c r="E10" i="28"/>
  <c r="E15" i="28"/>
  <c r="O10" i="1"/>
  <c r="U9" i="1"/>
  <c r="D8" i="27"/>
  <c r="U16" i="1"/>
  <c r="S13" i="1"/>
  <c r="L16" i="26"/>
  <c r="E16" i="10"/>
  <c r="D10" i="10"/>
  <c r="T15" i="1"/>
  <c r="D12" i="30"/>
  <c r="E11" i="28"/>
  <c r="D10" i="28"/>
  <c r="E13" i="26"/>
  <c r="Z19" i="26"/>
  <c r="AD17" i="26"/>
  <c r="P13" i="26"/>
  <c r="P12" i="1"/>
  <c r="U13" i="26"/>
  <c r="E10" i="27"/>
  <c r="E14" i="27"/>
  <c r="E12" i="10"/>
  <c r="D13" i="26"/>
  <c r="S17" i="1"/>
  <c r="D8" i="10"/>
  <c r="O18" i="1"/>
  <c r="E12" i="30"/>
  <c r="E13" i="28"/>
  <c r="D19" i="10"/>
  <c r="S15" i="1"/>
  <c r="S11" i="1"/>
  <c r="D15" i="28"/>
  <c r="E8" i="27"/>
  <c r="AC18" i="26"/>
  <c r="E19" i="10"/>
  <c r="E19" i="27"/>
  <c r="H15" i="26"/>
  <c r="T11" i="1"/>
  <c r="D11" i="27"/>
  <c r="D14" i="10"/>
  <c r="R11" i="1"/>
  <c r="O8" i="1"/>
  <c r="E10" i="10"/>
  <c r="AC17" i="26"/>
  <c r="D9" i="28"/>
  <c r="E12" i="26"/>
  <c r="H17" i="26"/>
  <c r="D17" i="26"/>
  <c r="T14" i="1"/>
  <c r="D15" i="10"/>
  <c r="D13" i="10"/>
  <c r="U17" i="26"/>
  <c r="R12" i="1"/>
  <c r="P16" i="1"/>
  <c r="E17" i="27"/>
  <c r="AC14" i="26"/>
  <c r="N17" i="1"/>
  <c r="Z9" i="26"/>
  <c r="E8" i="26"/>
  <c r="D12" i="26"/>
  <c r="N18" i="1"/>
  <c r="N19" i="1"/>
  <c r="D17" i="27"/>
  <c r="S9" i="1"/>
  <c r="H18" i="26"/>
  <c r="E9" i="27"/>
  <c r="S14" i="1"/>
  <c r="D17" i="28"/>
  <c r="O9" i="1"/>
  <c r="R9" i="1"/>
  <c r="E11" i="26"/>
  <c r="E15" i="27"/>
  <c r="T8" i="1"/>
  <c r="O15" i="1"/>
  <c r="D17" i="30"/>
  <c r="P15" i="26"/>
  <c r="R8" i="1"/>
  <c r="U12" i="26"/>
  <c r="P9" i="1"/>
  <c r="AD16" i="26"/>
  <c r="P17" i="26"/>
  <c r="L12" i="26"/>
  <c r="Z13" i="26"/>
  <c r="E14" i="10"/>
  <c r="D11" i="26"/>
  <c r="D9" i="10"/>
  <c r="E12" i="28"/>
  <c r="AD12" i="26"/>
  <c r="U10" i="1"/>
  <c r="E11" i="30"/>
  <c r="S10" i="1"/>
  <c r="D15" i="27"/>
  <c r="R18" i="1"/>
  <c r="T19" i="1"/>
  <c r="R16" i="1"/>
  <c r="D18" i="30"/>
  <c r="U11" i="1"/>
  <c r="Q10" i="1"/>
  <c r="D14" i="30"/>
  <c r="AC19" i="26"/>
  <c r="D9" i="30"/>
  <c r="E18" i="28"/>
  <c r="E10" i="26"/>
  <c r="E18" i="10"/>
  <c r="D11" i="28"/>
  <c r="H10" i="26"/>
  <c r="E16" i="27"/>
  <c r="D19" i="30"/>
  <c r="D8" i="28"/>
  <c r="S16" i="1"/>
  <c r="O13" i="1"/>
  <c r="E9" i="10"/>
  <c r="E9" i="28"/>
  <c r="Q19" i="1"/>
  <c r="R14" i="1"/>
  <c r="E8" i="28"/>
  <c r="D10" i="26"/>
  <c r="E17" i="28"/>
  <c r="E15" i="10"/>
  <c r="P14" i="1"/>
  <c r="P18" i="1"/>
  <c r="AC16" i="26"/>
  <c r="T10" i="1"/>
  <c r="Q8" i="1"/>
  <c r="Q14" i="1"/>
  <c r="D12" i="28"/>
  <c r="S12" i="1"/>
  <c r="L11" i="26"/>
  <c r="Z17" i="26"/>
  <c r="AC10" i="26"/>
  <c r="AC13" i="26"/>
  <c r="E12" i="27"/>
  <c r="U15" i="26"/>
  <c r="Z18" i="26"/>
  <c r="Q15" i="1"/>
  <c r="L19" i="26"/>
  <c r="P16" i="26"/>
  <c r="H16" i="26"/>
  <c r="AD15" i="26"/>
  <c r="AC15" i="26"/>
  <c r="L14" i="26"/>
  <c r="H14" i="26"/>
  <c r="P14" i="26"/>
  <c r="AD14" i="26"/>
  <c r="Z14" i="26"/>
  <c r="P18" i="26"/>
  <c r="AD18" i="26"/>
  <c r="L18" i="26"/>
  <c r="U18" i="26"/>
  <c r="L13" i="26"/>
  <c r="AD13" i="26"/>
  <c r="H13" i="26"/>
  <c r="AC12" i="26"/>
  <c r="H12" i="26"/>
  <c r="Z12" i="26"/>
  <c r="P12" i="26"/>
  <c r="H8" i="26"/>
  <c r="P8" i="26"/>
  <c r="AC8" i="26"/>
  <c r="AD8" i="26"/>
  <c r="U8" i="26"/>
  <c r="Z8" i="26"/>
  <c r="AC11" i="26"/>
  <c r="H11" i="26"/>
  <c r="Z11" i="26"/>
  <c r="U11" i="26"/>
  <c r="AD11" i="26"/>
  <c r="P11" i="26"/>
  <c r="P10" i="26"/>
  <c r="L10" i="26"/>
  <c r="U10" i="26"/>
  <c r="Z10" i="26"/>
  <c r="D7" i="1" l="1"/>
  <c r="V1" i="1"/>
  <c r="AE20" i="26"/>
  <c r="V20" i="1"/>
  <c r="L15" i="26"/>
  <c r="L17" i="26"/>
  <c r="V12" i="1"/>
  <c r="AG12" i="1"/>
  <c r="AO12" i="1"/>
  <c r="V16" i="1"/>
  <c r="AG16" i="1" s="1"/>
  <c r="AB16" i="1"/>
  <c r="V8" i="1"/>
  <c r="AG8" i="1" s="1"/>
  <c r="AP8" i="1"/>
  <c r="AI16" i="1"/>
  <c r="V14" i="1"/>
  <c r="AQ14" i="1"/>
  <c r="AJ16" i="1"/>
  <c r="AK12" i="1"/>
  <c r="AN8" i="1"/>
  <c r="AI14" i="1"/>
  <c r="V18" i="1"/>
  <c r="AF16" i="1"/>
  <c r="AE17" i="26"/>
  <c r="AH16" i="1"/>
  <c r="AE18" i="1"/>
  <c r="AD16" i="1"/>
  <c r="AP12" i="1"/>
  <c r="V11" i="1"/>
  <c r="AK16" i="1"/>
  <c r="AB18" i="1"/>
  <c r="AD8" i="1"/>
  <c r="AA8" i="1"/>
  <c r="AM14" i="1"/>
  <c r="W11" i="1"/>
  <c r="AO11" i="1"/>
  <c r="AE13" i="26"/>
  <c r="U14" i="26"/>
  <c r="AE16" i="26"/>
  <c r="Z16" i="1"/>
  <c r="AC16" i="1"/>
  <c r="X16" i="1"/>
  <c r="Y8" i="1"/>
  <c r="AC12" i="1"/>
  <c r="AA12" i="1"/>
  <c r="AM16" i="1"/>
  <c r="X18" i="1"/>
  <c r="AI8" i="1"/>
  <c r="AO8" i="1"/>
  <c r="AD14" i="1"/>
  <c r="X11" i="1"/>
  <c r="AP11" i="1"/>
  <c r="Y18" i="1"/>
  <c r="V10" i="1"/>
  <c r="AK10" i="1"/>
  <c r="X10" i="1"/>
  <c r="AL16" i="1"/>
  <c r="AK18" i="1"/>
  <c r="AC8" i="1"/>
  <c r="Z18" i="1"/>
  <c r="W10" i="1"/>
  <c r="Y12" i="1"/>
  <c r="AH12" i="1"/>
  <c r="AG18" i="1"/>
  <c r="AM8" i="1"/>
  <c r="X8" i="1"/>
  <c r="AF14" i="1"/>
  <c r="AJ11" i="1"/>
  <c r="AG11" i="1"/>
  <c r="AA16" i="1"/>
  <c r="W12" i="1"/>
  <c r="AM10" i="1"/>
  <c r="AN16" i="1"/>
  <c r="V19" i="1"/>
  <c r="AD10" i="26"/>
  <c r="AJ18" i="1"/>
  <c r="AO10" i="1"/>
  <c r="AO16" i="1"/>
  <c r="AL8" i="1"/>
  <c r="AB12" i="1"/>
  <c r="Z12" i="1"/>
  <c r="AG19" i="1"/>
  <c r="AC18" i="1"/>
  <c r="AK8" i="1"/>
  <c r="Y14" i="1"/>
  <c r="W14" i="1"/>
  <c r="AQ11" i="1"/>
  <c r="AC11" i="1"/>
  <c r="AD11" i="1"/>
  <c r="V15" i="1"/>
  <c r="AE11" i="26"/>
  <c r="AP16" i="1"/>
  <c r="AE15" i="26"/>
  <c r="AI19" i="1"/>
  <c r="AE9" i="26"/>
  <c r="AD12" i="1"/>
  <c r="AE12" i="1"/>
  <c r="AN12" i="1"/>
  <c r="AM19" i="1"/>
  <c r="AK19" i="1"/>
  <c r="AF8" i="1"/>
  <c r="AB14" i="1"/>
  <c r="AA14" i="1"/>
  <c r="AB11" i="1"/>
  <c r="V17" i="1"/>
  <c r="AF12" i="1"/>
  <c r="AL10" i="1"/>
  <c r="AG10" i="1"/>
  <c r="Y16" i="1"/>
  <c r="AQ10" i="1"/>
  <c r="V13" i="1"/>
  <c r="AE19" i="26"/>
  <c r="AJ8" i="1"/>
  <c r="N8" i="1"/>
  <c r="AJ19" i="1"/>
  <c r="AE15" i="1"/>
  <c r="AE14" i="26"/>
  <c r="AF18" i="1"/>
  <c r="AP17" i="1"/>
  <c r="AO19" i="1"/>
  <c r="AQ13" i="1"/>
  <c r="AK13" i="1"/>
  <c r="AH8" i="1"/>
  <c r="AE14" i="1"/>
  <c r="AC14" i="1"/>
  <c r="AK11" i="1"/>
  <c r="AF11" i="1"/>
  <c r="AE10" i="26"/>
  <c r="AL14" i="1"/>
  <c r="AC15" i="1"/>
  <c r="L8" i="26"/>
  <c r="AB10" i="1"/>
  <c r="AE17" i="1"/>
  <c r="AJ10" i="1"/>
  <c r="AD19" i="1"/>
  <c r="AQ18" i="1"/>
  <c r="X12" i="1"/>
  <c r="AB19" i="1"/>
  <c r="AA15" i="1"/>
  <c r="AA19" i="1"/>
  <c r="Z19" i="1"/>
  <c r="Z17" i="1"/>
  <c r="AP19" i="1"/>
  <c r="Z13" i="1"/>
  <c r="AH13" i="1"/>
  <c r="AJ12" i="1"/>
  <c r="Z8" i="1"/>
  <c r="AP14" i="1"/>
  <c r="AO14" i="1"/>
  <c r="AI11" i="1"/>
  <c r="AJ14" i="1"/>
  <c r="AQ12" i="1"/>
  <c r="Z14" i="1"/>
  <c r="AA11" i="1"/>
  <c r="AE10" i="1"/>
  <c r="Z10" i="1"/>
  <c r="AE18" i="26"/>
  <c r="AB17" i="1"/>
  <c r="Y15" i="1"/>
  <c r="AD10" i="1"/>
  <c r="W16" i="1"/>
  <c r="AQ19" i="1"/>
  <c r="AL17" i="1"/>
  <c r="AJ13" i="1"/>
  <c r="W15" i="1"/>
  <c r="AA18" i="1"/>
  <c r="AL12" i="1"/>
  <c r="AE8" i="26"/>
  <c r="AH17" i="1"/>
  <c r="AN18" i="1"/>
  <c r="AP13" i="1"/>
  <c r="AM12" i="1"/>
  <c r="AE8" i="1"/>
  <c r="AE11" i="1"/>
  <c r="AB8" i="1"/>
  <c r="AH10" i="1"/>
  <c r="AI10" i="1"/>
  <c r="AE12" i="26"/>
  <c r="W18" i="1"/>
  <c r="AD18" i="1"/>
  <c r="V9" i="1"/>
  <c r="AE16" i="1"/>
  <c r="AN17" i="1"/>
  <c r="AQ8" i="1"/>
  <c r="AI9" i="1"/>
  <c r="Y10" i="1"/>
  <c r="AK14" i="1"/>
  <c r="AJ17" i="1"/>
  <c r="AA10" i="1"/>
  <c r="AQ16" i="1"/>
  <c r="AO18" i="1"/>
  <c r="AE13" i="1"/>
  <c r="AO9" i="1"/>
  <c r="AI12" i="1"/>
  <c r="W8" i="1"/>
  <c r="AN14" i="1"/>
  <c r="AN11" i="1"/>
  <c r="Z11" i="1"/>
  <c r="X14" i="1"/>
  <c r="AH14" i="1"/>
  <c r="AG14" i="1"/>
  <c r="AP18" i="1"/>
  <c r="AI18" i="1"/>
  <c r="AH18" i="1"/>
  <c r="AM18" i="1"/>
  <c r="AL18" i="1"/>
  <c r="AH11" i="1"/>
  <c r="AM11" i="1"/>
  <c r="Y11" i="1"/>
  <c r="AL11" i="1"/>
  <c r="AP10" i="1"/>
  <c r="AN10" i="1"/>
  <c r="AF10" i="1"/>
  <c r="AC10" i="1"/>
  <c r="AL19" i="1"/>
  <c r="AC19" i="1"/>
  <c r="W19" i="1"/>
  <c r="Y19" i="1"/>
  <c r="X19" i="1"/>
  <c r="AF19" i="1"/>
  <c r="AH19" i="1"/>
  <c r="AN19" i="1"/>
  <c r="AE19" i="1"/>
  <c r="X15" i="1"/>
  <c r="AD15" i="1"/>
  <c r="AH15" i="1"/>
  <c r="AI15" i="1"/>
  <c r="AL15" i="1"/>
  <c r="AN15" i="1"/>
  <c r="AJ15" i="1"/>
  <c r="AB15" i="1"/>
  <c r="AQ15" i="1"/>
  <c r="AP15" i="1"/>
  <c r="AO15" i="1"/>
  <c r="AK15" i="1"/>
  <c r="AM15" i="1"/>
  <c r="AG15" i="1"/>
  <c r="AF15" i="1"/>
  <c r="Z15" i="1"/>
  <c r="AQ17" i="1"/>
  <c r="AD17" i="1"/>
  <c r="AO17" i="1"/>
  <c r="AA17" i="1"/>
  <c r="AF17" i="1"/>
  <c r="AK17" i="1"/>
  <c r="AG17" i="1"/>
  <c r="AI17" i="1"/>
  <c r="X17" i="1"/>
  <c r="Y17" i="1"/>
  <c r="AM17" i="1"/>
  <c r="W17" i="1"/>
  <c r="AC17" i="1"/>
  <c r="AL13" i="1"/>
  <c r="AO13" i="1"/>
  <c r="AC13" i="1"/>
  <c r="AI13" i="1"/>
  <c r="X13" i="1"/>
  <c r="AF13" i="1"/>
  <c r="Y13" i="1"/>
  <c r="AA13" i="1"/>
  <c r="AM13" i="1"/>
  <c r="AD13" i="1"/>
  <c r="AN13" i="1"/>
  <c r="W13" i="1"/>
  <c r="AG13" i="1"/>
  <c r="AB13" i="1"/>
  <c r="AJ9" i="1"/>
  <c r="W9" i="1"/>
  <c r="X9" i="1"/>
  <c r="AF9" i="1"/>
  <c r="AL9" i="1"/>
  <c r="AE9" i="1"/>
  <c r="Z9" i="1"/>
  <c r="Y9" i="1"/>
  <c r="AB9" i="1"/>
  <c r="AG9" i="1"/>
  <c r="AN9" i="1"/>
  <c r="AC9" i="1"/>
  <c r="AA9" i="1"/>
  <c r="AP9" i="1"/>
  <c r="AQ9" i="1"/>
  <c r="AK9" i="1"/>
  <c r="AM9" i="1"/>
  <c r="AH9" i="1"/>
  <c r="AD9" i="1"/>
  <c r="AK20" i="1"/>
  <c r="Y20" i="1"/>
  <c r="AJ20" i="1"/>
  <c r="X20" i="1"/>
  <c r="AI20" i="1"/>
  <c r="W20" i="1"/>
  <c r="AH20" i="1"/>
  <c r="AG20" i="1"/>
  <c r="AF20" i="1"/>
  <c r="AQ20" i="1"/>
  <c r="AE20" i="1"/>
  <c r="AP20" i="1"/>
  <c r="AD20" i="1"/>
  <c r="AO20" i="1"/>
  <c r="AC20" i="1"/>
  <c r="AN20" i="1"/>
  <c r="AB20" i="1"/>
  <c r="AM20" i="1"/>
  <c r="AA20" i="1"/>
  <c r="AL20" i="1"/>
  <c r="Z20" i="1"/>
  <c r="E7" i="1" l="1"/>
  <c r="F7" i="1" s="1"/>
  <c r="D10" i="1"/>
  <c r="H7" i="1"/>
  <c r="I7" i="1"/>
  <c r="D8" i="1"/>
  <c r="G7" i="1"/>
  <c r="E10" i="1" l="1"/>
  <c r="F10" i="1" s="1"/>
  <c r="G10" i="1"/>
  <c r="H10" i="1"/>
  <c r="I10" i="1"/>
  <c r="D11" i="1"/>
  <c r="H8" i="1"/>
  <c r="I8" i="1"/>
  <c r="D9" i="1"/>
  <c r="E8" i="1"/>
  <c r="F8" i="1" s="1"/>
  <c r="G8" i="1"/>
  <c r="AB7" i="26" s="1"/>
  <c r="F20" i="30"/>
  <c r="F20" i="28"/>
  <c r="G20" i="28" s="1"/>
  <c r="F20" i="27"/>
  <c r="R20" i="26"/>
  <c r="Q20" i="26"/>
  <c r="AB20" i="26"/>
  <c r="O20" i="26"/>
  <c r="Y20" i="26"/>
  <c r="K20" i="26"/>
  <c r="W20" i="26"/>
  <c r="V20" i="26"/>
  <c r="G20" i="26"/>
  <c r="T20" i="26"/>
  <c r="F20" i="10"/>
  <c r="Q14" i="26"/>
  <c r="Y9" i="26"/>
  <c r="W10" i="26"/>
  <c r="Y18" i="26"/>
  <c r="G18" i="26"/>
  <c r="R11" i="26"/>
  <c r="R8" i="26"/>
  <c r="T17" i="26"/>
  <c r="K10" i="26"/>
  <c r="G15" i="26"/>
  <c r="K16" i="26"/>
  <c r="W8" i="26"/>
  <c r="R12" i="26"/>
  <c r="Q19" i="26"/>
  <c r="Q9" i="26"/>
  <c r="W12" i="26"/>
  <c r="Q12" i="26"/>
  <c r="K15" i="26"/>
  <c r="O11" i="26"/>
  <c r="AB14" i="26"/>
  <c r="T15" i="26"/>
  <c r="V12" i="26"/>
  <c r="G10" i="26"/>
  <c r="R19" i="26"/>
  <c r="T11" i="26"/>
  <c r="K8" i="26"/>
  <c r="O12" i="26"/>
  <c r="W19" i="26"/>
  <c r="G12" i="26"/>
  <c r="Q8" i="26"/>
  <c r="K11" i="26"/>
  <c r="G8" i="26"/>
  <c r="V19" i="26"/>
  <c r="T8" i="26"/>
  <c r="K14" i="26"/>
  <c r="Y15" i="26"/>
  <c r="T12" i="26"/>
  <c r="V11" i="26"/>
  <c r="Y17" i="26"/>
  <c r="T10" i="26"/>
  <c r="O17" i="26"/>
  <c r="V9" i="26"/>
  <c r="G13" i="26"/>
  <c r="R13" i="26"/>
  <c r="G9" i="26"/>
  <c r="Q15" i="26"/>
  <c r="Y8" i="26"/>
  <c r="Q10" i="26"/>
  <c r="AB10" i="26"/>
  <c r="Q16" i="26"/>
  <c r="W14" i="26"/>
  <c r="G19" i="26"/>
  <c r="O13" i="26"/>
  <c r="O10" i="26"/>
  <c r="Y11" i="26"/>
  <c r="T14" i="26"/>
  <c r="G16" i="26"/>
  <c r="W13" i="26"/>
  <c r="W17" i="26"/>
  <c r="AB17" i="26"/>
  <c r="R14" i="26"/>
  <c r="O16" i="26"/>
  <c r="G17" i="26"/>
  <c r="Y12" i="26"/>
  <c r="AB9" i="26"/>
  <c r="W16" i="26"/>
  <c r="O15" i="26"/>
  <c r="AB19" i="26"/>
  <c r="Y19" i="26"/>
  <c r="T13" i="26"/>
  <c r="O14" i="26"/>
  <c r="Y10" i="26"/>
  <c r="T18" i="26"/>
  <c r="V15" i="26"/>
  <c r="V13" i="26"/>
  <c r="W15" i="26"/>
  <c r="K17" i="26"/>
  <c r="W9" i="26"/>
  <c r="R10" i="26"/>
  <c r="V8" i="26"/>
  <c r="Q13" i="26"/>
  <c r="AB18" i="26"/>
  <c r="V18" i="26"/>
  <c r="O8" i="26"/>
  <c r="G11" i="26"/>
  <c r="Q18" i="26"/>
  <c r="K13" i="26"/>
  <c r="Q17" i="26"/>
  <c r="AB11" i="26"/>
  <c r="R15" i="26"/>
  <c r="R16" i="26"/>
  <c r="R9" i="26"/>
  <c r="K9" i="26"/>
  <c r="O19" i="26"/>
  <c r="O18" i="26"/>
  <c r="R17" i="26"/>
  <c r="AB16" i="26"/>
  <c r="Y16" i="26"/>
  <c r="T19" i="26"/>
  <c r="AB12" i="26"/>
  <c r="V10" i="26"/>
  <c r="Y14" i="26"/>
  <c r="W18" i="26"/>
  <c r="Y13" i="26"/>
  <c r="O9" i="26"/>
  <c r="W11" i="26"/>
  <c r="V14" i="26"/>
  <c r="K12" i="26"/>
  <c r="AB15" i="26"/>
  <c r="R18" i="26"/>
  <c r="V16" i="26"/>
  <c r="V17" i="26"/>
  <c r="Q11" i="26"/>
  <c r="AB13" i="26"/>
  <c r="K18" i="26"/>
  <c r="T16" i="26"/>
  <c r="G14" i="26"/>
  <c r="T9" i="26"/>
  <c r="K19" i="26"/>
  <c r="AB8" i="26"/>
  <c r="AG20" i="10"/>
  <c r="U20" i="10"/>
  <c r="I20" i="10"/>
  <c r="AF20" i="10"/>
  <c r="T20" i="10"/>
  <c r="H20" i="10"/>
  <c r="AE20" i="10"/>
  <c r="S20" i="10"/>
  <c r="G20" i="10"/>
  <c r="AD20" i="10"/>
  <c r="R20" i="10"/>
  <c r="AC20" i="10"/>
  <c r="Q20" i="10"/>
  <c r="AB20" i="10"/>
  <c r="P20" i="10"/>
  <c r="AA20" i="10"/>
  <c r="O20" i="10"/>
  <c r="Z20" i="10"/>
  <c r="N20" i="10"/>
  <c r="Y20" i="10"/>
  <c r="M20" i="10"/>
  <c r="X20" i="10"/>
  <c r="L20" i="10"/>
  <c r="W20" i="10"/>
  <c r="K20" i="10"/>
  <c r="V20" i="10"/>
  <c r="J20" i="10"/>
  <c r="BQ20" i="27"/>
  <c r="BE20" i="27"/>
  <c r="AS20" i="27"/>
  <c r="AG20" i="27"/>
  <c r="U20" i="27"/>
  <c r="I20" i="27"/>
  <c r="BP20" i="27"/>
  <c r="BD20" i="27"/>
  <c r="AR20" i="27"/>
  <c r="AF20" i="27"/>
  <c r="T20" i="27"/>
  <c r="H20" i="27"/>
  <c r="BO20" i="27"/>
  <c r="BC20" i="27"/>
  <c r="AQ20" i="27"/>
  <c r="AE20" i="27"/>
  <c r="S20" i="27"/>
  <c r="G20" i="27"/>
  <c r="BN20" i="27"/>
  <c r="BB20" i="27"/>
  <c r="AP20" i="27"/>
  <c r="AD20" i="27"/>
  <c r="R20" i="27"/>
  <c r="BM20" i="27"/>
  <c r="BA20" i="27"/>
  <c r="AO20" i="27"/>
  <c r="AC20" i="27"/>
  <c r="Q20" i="27"/>
  <c r="BL20" i="27"/>
  <c r="AZ20" i="27"/>
  <c r="AN20" i="27"/>
  <c r="AB20" i="27"/>
  <c r="P20" i="27"/>
  <c r="BK20" i="27"/>
  <c r="AY20" i="27"/>
  <c r="AM20" i="27"/>
  <c r="AA20" i="27"/>
  <c r="O20" i="27"/>
  <c r="BJ20" i="27"/>
  <c r="AX20" i="27"/>
  <c r="AL20" i="27"/>
  <c r="Z20" i="27"/>
  <c r="N20" i="27"/>
  <c r="BI20" i="27"/>
  <c r="AW20" i="27"/>
  <c r="AK20" i="27"/>
  <c r="Y20" i="27"/>
  <c r="M20" i="27"/>
  <c r="BH20" i="27"/>
  <c r="AV20" i="27"/>
  <c r="AJ20" i="27"/>
  <c r="X20" i="27"/>
  <c r="L20" i="27"/>
  <c r="BG20" i="27"/>
  <c r="AU20" i="27"/>
  <c r="AI20" i="27"/>
  <c r="W20" i="27"/>
  <c r="K20" i="27"/>
  <c r="BF20" i="27"/>
  <c r="AT20" i="27"/>
  <c r="AH20" i="27"/>
  <c r="V20" i="27"/>
  <c r="J20" i="27"/>
  <c r="H20" i="30"/>
  <c r="G20" i="30"/>
  <c r="AA20" i="30"/>
  <c r="O20" i="30"/>
  <c r="Z20" i="30"/>
  <c r="N20" i="30"/>
  <c r="Y20" i="30"/>
  <c r="M20" i="30"/>
  <c r="X20" i="30"/>
  <c r="L20" i="30"/>
  <c r="W20" i="30"/>
  <c r="K20" i="30"/>
  <c r="V20" i="30"/>
  <c r="J20" i="30"/>
  <c r="AG20" i="30"/>
  <c r="U20" i="30"/>
  <c r="I20" i="30"/>
  <c r="AF20" i="30"/>
  <c r="T20" i="30"/>
  <c r="AE20" i="30"/>
  <c r="S20" i="30"/>
  <c r="AD20" i="30"/>
  <c r="R20" i="30"/>
  <c r="AC20" i="30"/>
  <c r="Q20" i="30"/>
  <c r="AB20" i="30"/>
  <c r="P20" i="30"/>
  <c r="H20" i="28" l="1"/>
  <c r="I20" i="28"/>
  <c r="Y7" i="26"/>
  <c r="T7" i="26"/>
  <c r="O7" i="26"/>
  <c r="G7" i="26"/>
  <c r="K7" i="26"/>
  <c r="G11" i="1"/>
  <c r="H11" i="1"/>
  <c r="I11" i="1"/>
  <c r="E11" i="1"/>
  <c r="F11" i="1" s="1"/>
  <c r="H9" i="1"/>
  <c r="I9" i="1"/>
  <c r="G9" i="1"/>
  <c r="AA7" i="26" s="1"/>
  <c r="E9" i="1"/>
  <c r="F9" i="1" s="1"/>
  <c r="U20" i="28"/>
  <c r="S20" i="28"/>
  <c r="T20" i="28"/>
  <c r="R20" i="28"/>
  <c r="Q20" i="28"/>
  <c r="P20" i="28"/>
  <c r="O20" i="28"/>
  <c r="N20" i="28"/>
  <c r="M20" i="28"/>
  <c r="X20" i="28"/>
  <c r="L20" i="28"/>
  <c r="W20" i="28"/>
  <c r="K20" i="28"/>
  <c r="V20" i="28"/>
  <c r="J20" i="28"/>
  <c r="AG20" i="28"/>
  <c r="AE20" i="28"/>
  <c r="AD20" i="28"/>
  <c r="AC20" i="28"/>
  <c r="AF20" i="28"/>
  <c r="AB20" i="28"/>
  <c r="AM20" i="28"/>
  <c r="AA20" i="28"/>
  <c r="AL20" i="28"/>
  <c r="Z20" i="28"/>
  <c r="AK20" i="28"/>
  <c r="Y20" i="28"/>
  <c r="AJ20" i="28"/>
  <c r="AI20" i="28"/>
  <c r="AH20" i="28"/>
  <c r="AA20" i="26"/>
  <c r="N20" i="26"/>
  <c r="X20" i="26"/>
  <c r="J20" i="26"/>
  <c r="F20" i="26"/>
  <c r="S20" i="26"/>
  <c r="F21" i="10"/>
  <c r="F23" i="10"/>
  <c r="F25" i="10"/>
  <c r="F27" i="10"/>
  <c r="F29" i="10"/>
  <c r="F31" i="10"/>
  <c r="F33" i="10"/>
  <c r="F35" i="10"/>
  <c r="F37" i="10"/>
  <c r="F39" i="10"/>
  <c r="F41" i="10"/>
  <c r="F43" i="10"/>
  <c r="F45" i="10"/>
  <c r="F47" i="10"/>
  <c r="F49" i="10"/>
  <c r="F51" i="10"/>
  <c r="F53" i="10"/>
  <c r="F55" i="10"/>
  <c r="F57" i="10"/>
  <c r="F59" i="10"/>
  <c r="F61" i="10"/>
  <c r="F63" i="10"/>
  <c r="F65" i="10"/>
  <c r="F67" i="10"/>
  <c r="F69" i="10"/>
  <c r="F22" i="10"/>
  <c r="F24" i="10"/>
  <c r="F26" i="10"/>
  <c r="F28" i="10"/>
  <c r="F30" i="10"/>
  <c r="F32" i="10"/>
  <c r="F34" i="10"/>
  <c r="F36" i="10"/>
  <c r="F38" i="10"/>
  <c r="F40" i="10"/>
  <c r="F42" i="10"/>
  <c r="F44" i="10"/>
  <c r="F46" i="10"/>
  <c r="F48" i="10"/>
  <c r="F50" i="10"/>
  <c r="F52" i="10"/>
  <c r="F54" i="10"/>
  <c r="F56" i="10"/>
  <c r="F58" i="10"/>
  <c r="F60" i="10"/>
  <c r="F62" i="10"/>
  <c r="F64" i="10"/>
  <c r="F66" i="10"/>
  <c r="F68" i="10"/>
  <c r="F70" i="10"/>
  <c r="F72" i="10"/>
  <c r="F74" i="10"/>
  <c r="F76" i="10"/>
  <c r="F78" i="10"/>
  <c r="F80" i="10"/>
  <c r="F82" i="10"/>
  <c r="F84" i="10"/>
  <c r="F86" i="10"/>
  <c r="F88" i="10"/>
  <c r="F90" i="10"/>
  <c r="F92" i="10"/>
  <c r="F94" i="10"/>
  <c r="F96" i="10"/>
  <c r="F98" i="10"/>
  <c r="F100" i="10"/>
  <c r="F71" i="10"/>
  <c r="F73" i="10"/>
  <c r="F75" i="10"/>
  <c r="F77" i="10"/>
  <c r="F79" i="10"/>
  <c r="F81" i="10"/>
  <c r="F83" i="10"/>
  <c r="F85" i="10"/>
  <c r="F87" i="10"/>
  <c r="F89" i="10"/>
  <c r="F91" i="10"/>
  <c r="F93" i="10"/>
  <c r="F95" i="10"/>
  <c r="F97" i="10"/>
  <c r="F99" i="10"/>
  <c r="AA21" i="10"/>
  <c r="O21" i="10"/>
  <c r="Z21" i="10"/>
  <c r="N21" i="10"/>
  <c r="Y21" i="10"/>
  <c r="M21" i="10"/>
  <c r="X21" i="10"/>
  <c r="L21" i="10"/>
  <c r="W21" i="10"/>
  <c r="K21" i="10"/>
  <c r="V21" i="10"/>
  <c r="J21" i="10"/>
  <c r="AG21" i="10"/>
  <c r="U21" i="10"/>
  <c r="I21" i="10"/>
  <c r="AF21" i="10"/>
  <c r="T21" i="10"/>
  <c r="H21" i="10"/>
  <c r="AE21" i="10"/>
  <c r="S21" i="10"/>
  <c r="G21" i="10"/>
  <c r="AD21" i="10"/>
  <c r="R21" i="10"/>
  <c r="AC21" i="10"/>
  <c r="Q21" i="10"/>
  <c r="AB21" i="10"/>
  <c r="P21" i="10"/>
  <c r="AA23" i="10"/>
  <c r="O23" i="10"/>
  <c r="Z23" i="10"/>
  <c r="N23" i="10"/>
  <c r="Y23" i="10"/>
  <c r="M23" i="10"/>
  <c r="X23" i="10"/>
  <c r="L23" i="10"/>
  <c r="W23" i="10"/>
  <c r="K23" i="10"/>
  <c r="V23" i="10"/>
  <c r="J23" i="10"/>
  <c r="AG23" i="10"/>
  <c r="U23" i="10"/>
  <c r="I23" i="10"/>
  <c r="AF23" i="10"/>
  <c r="T23" i="10"/>
  <c r="H23" i="10"/>
  <c r="AE23" i="10"/>
  <c r="S23" i="10"/>
  <c r="G23" i="10"/>
  <c r="AD23" i="10"/>
  <c r="R23" i="10"/>
  <c r="AC23" i="10"/>
  <c r="Q23" i="10"/>
  <c r="AB23" i="10"/>
  <c r="P23" i="10"/>
  <c r="AA25" i="10"/>
  <c r="O25" i="10"/>
  <c r="Z25" i="10"/>
  <c r="N25" i="10"/>
  <c r="Y25" i="10"/>
  <c r="M25" i="10"/>
  <c r="X25" i="10"/>
  <c r="L25" i="10"/>
  <c r="W25" i="10"/>
  <c r="K25" i="10"/>
  <c r="V25" i="10"/>
  <c r="J25" i="10"/>
  <c r="AG25" i="10"/>
  <c r="U25" i="10"/>
  <c r="I25" i="10"/>
  <c r="AF25" i="10"/>
  <c r="T25" i="10"/>
  <c r="H25" i="10"/>
  <c r="AE25" i="10"/>
  <c r="S25" i="10"/>
  <c r="G25" i="10"/>
  <c r="AD25" i="10"/>
  <c r="R25" i="10"/>
  <c r="AC25" i="10"/>
  <c r="Q25" i="10"/>
  <c r="AB25" i="10"/>
  <c r="P25" i="10"/>
  <c r="AA27" i="10"/>
  <c r="O27" i="10"/>
  <c r="Z27" i="10"/>
  <c r="N27" i="10"/>
  <c r="Y27" i="10"/>
  <c r="M27" i="10"/>
  <c r="X27" i="10"/>
  <c r="L27" i="10"/>
  <c r="W27" i="10"/>
  <c r="K27" i="10"/>
  <c r="V27" i="10"/>
  <c r="J27" i="10"/>
  <c r="AG27" i="10"/>
  <c r="U27" i="10"/>
  <c r="I27" i="10"/>
  <c r="AF27" i="10"/>
  <c r="T27" i="10"/>
  <c r="H27" i="10"/>
  <c r="AE27" i="10"/>
  <c r="S27" i="10"/>
  <c r="G27" i="10"/>
  <c r="AD27" i="10"/>
  <c r="R27" i="10"/>
  <c r="AC27" i="10"/>
  <c r="Q27" i="10"/>
  <c r="AB27" i="10"/>
  <c r="P27" i="10"/>
  <c r="AA29" i="10"/>
  <c r="O29" i="10"/>
  <c r="Z29" i="10"/>
  <c r="N29" i="10"/>
  <c r="Y29" i="10"/>
  <c r="M29" i="10"/>
  <c r="X29" i="10"/>
  <c r="L29" i="10"/>
  <c r="W29" i="10"/>
  <c r="K29" i="10"/>
  <c r="V29" i="10"/>
  <c r="J29" i="10"/>
  <c r="AG29" i="10"/>
  <c r="U29" i="10"/>
  <c r="I29" i="10"/>
  <c r="AF29" i="10"/>
  <c r="T29" i="10"/>
  <c r="H29" i="10"/>
  <c r="AE29" i="10"/>
  <c r="S29" i="10"/>
  <c r="G29" i="10"/>
  <c r="AD29" i="10"/>
  <c r="R29" i="10"/>
  <c r="AC29" i="10"/>
  <c r="Q29" i="10"/>
  <c r="AB29" i="10"/>
  <c r="P29" i="10"/>
  <c r="AA31" i="10"/>
  <c r="O31" i="10"/>
  <c r="Z31" i="10"/>
  <c r="N31" i="10"/>
  <c r="Y31" i="10"/>
  <c r="M31" i="10"/>
  <c r="X31" i="10"/>
  <c r="L31" i="10"/>
  <c r="W31" i="10"/>
  <c r="K31" i="10"/>
  <c r="V31" i="10"/>
  <c r="J31" i="10"/>
  <c r="AG31" i="10"/>
  <c r="U31" i="10"/>
  <c r="I31" i="10"/>
  <c r="AF31" i="10"/>
  <c r="T31" i="10"/>
  <c r="H31" i="10"/>
  <c r="AE31" i="10"/>
  <c r="S31" i="10"/>
  <c r="G31" i="10"/>
  <c r="AD31" i="10"/>
  <c r="R31" i="10"/>
  <c r="AC31" i="10"/>
  <c r="Q31" i="10"/>
  <c r="AB31" i="10"/>
  <c r="P31" i="10"/>
  <c r="AA33" i="10"/>
  <c r="O33" i="10"/>
  <c r="Z33" i="10"/>
  <c r="N33" i="10"/>
  <c r="Y33" i="10"/>
  <c r="M33" i="10"/>
  <c r="X33" i="10"/>
  <c r="L33" i="10"/>
  <c r="W33" i="10"/>
  <c r="K33" i="10"/>
  <c r="V33" i="10"/>
  <c r="J33" i="10"/>
  <c r="AG33" i="10"/>
  <c r="U33" i="10"/>
  <c r="I33" i="10"/>
  <c r="AF33" i="10"/>
  <c r="T33" i="10"/>
  <c r="H33" i="10"/>
  <c r="AE33" i="10"/>
  <c r="S33" i="10"/>
  <c r="G33" i="10"/>
  <c r="AD33" i="10"/>
  <c r="R33" i="10"/>
  <c r="AC33" i="10"/>
  <c r="Q33" i="10"/>
  <c r="AB33" i="10"/>
  <c r="P33" i="10"/>
  <c r="AA35" i="10"/>
  <c r="O35" i="10"/>
  <c r="Z35" i="10"/>
  <c r="N35" i="10"/>
  <c r="Y35" i="10"/>
  <c r="M35" i="10"/>
  <c r="X35" i="10"/>
  <c r="L35" i="10"/>
  <c r="W35" i="10"/>
  <c r="K35" i="10"/>
  <c r="V35" i="10"/>
  <c r="J35" i="10"/>
  <c r="AG35" i="10"/>
  <c r="U35" i="10"/>
  <c r="I35" i="10"/>
  <c r="AF35" i="10"/>
  <c r="T35" i="10"/>
  <c r="H35" i="10"/>
  <c r="AE35" i="10"/>
  <c r="S35" i="10"/>
  <c r="G35" i="10"/>
  <c r="AD35" i="10"/>
  <c r="R35" i="10"/>
  <c r="AC35" i="10"/>
  <c r="Q35" i="10"/>
  <c r="AB35" i="10"/>
  <c r="P35" i="10"/>
  <c r="AA37" i="10"/>
  <c r="O37" i="10"/>
  <c r="Z37" i="10"/>
  <c r="N37" i="10"/>
  <c r="Y37" i="10"/>
  <c r="M37" i="10"/>
  <c r="X37" i="10"/>
  <c r="L37" i="10"/>
  <c r="W37" i="10"/>
  <c r="K37" i="10"/>
  <c r="V37" i="10"/>
  <c r="J37" i="10"/>
  <c r="AG37" i="10"/>
  <c r="U37" i="10"/>
  <c r="I37" i="10"/>
  <c r="AF37" i="10"/>
  <c r="T37" i="10"/>
  <c r="H37" i="10"/>
  <c r="AE37" i="10"/>
  <c r="S37" i="10"/>
  <c r="G37" i="10"/>
  <c r="AD37" i="10"/>
  <c r="R37" i="10"/>
  <c r="AC37" i="10"/>
  <c r="Q37" i="10"/>
  <c r="AB37" i="10"/>
  <c r="P37" i="10"/>
  <c r="AA39" i="10"/>
  <c r="O39" i="10"/>
  <c r="Z39" i="10"/>
  <c r="N39" i="10"/>
  <c r="Y39" i="10"/>
  <c r="M39" i="10"/>
  <c r="X39" i="10"/>
  <c r="L39" i="10"/>
  <c r="W39" i="10"/>
  <c r="K39" i="10"/>
  <c r="V39" i="10"/>
  <c r="J39" i="10"/>
  <c r="AG39" i="10"/>
  <c r="U39" i="10"/>
  <c r="I39" i="10"/>
  <c r="AF39" i="10"/>
  <c r="T39" i="10"/>
  <c r="H39" i="10"/>
  <c r="AE39" i="10"/>
  <c r="S39" i="10"/>
  <c r="G39" i="10"/>
  <c r="AD39" i="10"/>
  <c r="R39" i="10"/>
  <c r="AC39" i="10"/>
  <c r="Q39" i="10"/>
  <c r="AB39" i="10"/>
  <c r="P39" i="10"/>
  <c r="AA41" i="10"/>
  <c r="O41" i="10"/>
  <c r="Z41" i="10"/>
  <c r="N41" i="10"/>
  <c r="Y41" i="10"/>
  <c r="M41" i="10"/>
  <c r="X41" i="10"/>
  <c r="L41" i="10"/>
  <c r="W41" i="10"/>
  <c r="K41" i="10"/>
  <c r="V41" i="10"/>
  <c r="J41" i="10"/>
  <c r="AG41" i="10"/>
  <c r="U41" i="10"/>
  <c r="I41" i="10"/>
  <c r="AF41" i="10"/>
  <c r="T41" i="10"/>
  <c r="H41" i="10"/>
  <c r="AE41" i="10"/>
  <c r="S41" i="10"/>
  <c r="G41" i="10"/>
  <c r="AD41" i="10"/>
  <c r="R41" i="10"/>
  <c r="AC41" i="10"/>
  <c r="Q41" i="10"/>
  <c r="AB41" i="10"/>
  <c r="P41" i="10"/>
  <c r="AA43" i="10"/>
  <c r="O43" i="10"/>
  <c r="Z43" i="10"/>
  <c r="N43" i="10"/>
  <c r="Y43" i="10"/>
  <c r="M43" i="10"/>
  <c r="X43" i="10"/>
  <c r="L43" i="10"/>
  <c r="W43" i="10"/>
  <c r="K43" i="10"/>
  <c r="V43" i="10"/>
  <c r="J43" i="10"/>
  <c r="AG43" i="10"/>
  <c r="U43" i="10"/>
  <c r="I43" i="10"/>
  <c r="AF43" i="10"/>
  <c r="T43" i="10"/>
  <c r="H43" i="10"/>
  <c r="AE43" i="10"/>
  <c r="S43" i="10"/>
  <c r="G43" i="10"/>
  <c r="AD43" i="10"/>
  <c r="R43" i="10"/>
  <c r="AC43" i="10"/>
  <c r="Q43" i="10"/>
  <c r="AB43" i="10"/>
  <c r="P43" i="10"/>
  <c r="AA45" i="10"/>
  <c r="O45" i="10"/>
  <c r="Z45" i="10"/>
  <c r="N45" i="10"/>
  <c r="Y45" i="10"/>
  <c r="M45" i="10"/>
  <c r="X45" i="10"/>
  <c r="L45" i="10"/>
  <c r="W45" i="10"/>
  <c r="K45" i="10"/>
  <c r="V45" i="10"/>
  <c r="J45" i="10"/>
  <c r="AG45" i="10"/>
  <c r="U45" i="10"/>
  <c r="I45" i="10"/>
  <c r="AF45" i="10"/>
  <c r="T45" i="10"/>
  <c r="H45" i="10"/>
  <c r="AE45" i="10"/>
  <c r="S45" i="10"/>
  <c r="G45" i="10"/>
  <c r="AD45" i="10"/>
  <c r="R45" i="10"/>
  <c r="AC45" i="10"/>
  <c r="Q45" i="10"/>
  <c r="AB45" i="10"/>
  <c r="P45" i="10"/>
  <c r="AA47" i="10"/>
  <c r="O47" i="10"/>
  <c r="Z47" i="10"/>
  <c r="N47" i="10"/>
  <c r="Y47" i="10"/>
  <c r="M47" i="10"/>
  <c r="X47" i="10"/>
  <c r="L47" i="10"/>
  <c r="W47" i="10"/>
  <c r="K47" i="10"/>
  <c r="V47" i="10"/>
  <c r="J47" i="10"/>
  <c r="AG47" i="10"/>
  <c r="U47" i="10"/>
  <c r="I47" i="10"/>
  <c r="AF47" i="10"/>
  <c r="T47" i="10"/>
  <c r="H47" i="10"/>
  <c r="AE47" i="10"/>
  <c r="S47" i="10"/>
  <c r="G47" i="10"/>
  <c r="AD47" i="10"/>
  <c r="R47" i="10"/>
  <c r="AC47" i="10"/>
  <c r="Q47" i="10"/>
  <c r="AB47" i="10"/>
  <c r="P47" i="10"/>
  <c r="AA49" i="10"/>
  <c r="O49" i="10"/>
  <c r="Z49" i="10"/>
  <c r="N49" i="10"/>
  <c r="Y49" i="10"/>
  <c r="M49" i="10"/>
  <c r="X49" i="10"/>
  <c r="L49" i="10"/>
  <c r="W49" i="10"/>
  <c r="K49" i="10"/>
  <c r="V49" i="10"/>
  <c r="J49" i="10"/>
  <c r="AG49" i="10"/>
  <c r="U49" i="10"/>
  <c r="I49" i="10"/>
  <c r="AF49" i="10"/>
  <c r="T49" i="10"/>
  <c r="H49" i="10"/>
  <c r="AE49" i="10"/>
  <c r="S49" i="10"/>
  <c r="G49" i="10"/>
  <c r="AD49" i="10"/>
  <c r="R49" i="10"/>
  <c r="AC49" i="10"/>
  <c r="Q49" i="10"/>
  <c r="AB49" i="10"/>
  <c r="P49" i="10"/>
  <c r="AA51" i="10"/>
  <c r="O51" i="10"/>
  <c r="Z51" i="10"/>
  <c r="N51" i="10"/>
  <c r="Y51" i="10"/>
  <c r="M51" i="10"/>
  <c r="X51" i="10"/>
  <c r="L51" i="10"/>
  <c r="W51" i="10"/>
  <c r="K51" i="10"/>
  <c r="V51" i="10"/>
  <c r="J51" i="10"/>
  <c r="AG51" i="10"/>
  <c r="U51" i="10"/>
  <c r="I51" i="10"/>
  <c r="AF51" i="10"/>
  <c r="T51" i="10"/>
  <c r="H51" i="10"/>
  <c r="AE51" i="10"/>
  <c r="S51" i="10"/>
  <c r="G51" i="10"/>
  <c r="AD51" i="10"/>
  <c r="R51" i="10"/>
  <c r="AC51" i="10"/>
  <c r="Q51" i="10"/>
  <c r="AB51" i="10"/>
  <c r="P51" i="10"/>
  <c r="AA53" i="10"/>
  <c r="O53" i="10"/>
  <c r="Z53" i="10"/>
  <c r="N53" i="10"/>
  <c r="Y53" i="10"/>
  <c r="M53" i="10"/>
  <c r="X53" i="10"/>
  <c r="L53" i="10"/>
  <c r="W53" i="10"/>
  <c r="K53" i="10"/>
  <c r="V53" i="10"/>
  <c r="J53" i="10"/>
  <c r="AG53" i="10"/>
  <c r="U53" i="10"/>
  <c r="I53" i="10"/>
  <c r="AF53" i="10"/>
  <c r="T53" i="10"/>
  <c r="H53" i="10"/>
  <c r="AE53" i="10"/>
  <c r="S53" i="10"/>
  <c r="G53" i="10"/>
  <c r="AD53" i="10"/>
  <c r="R53" i="10"/>
  <c r="AC53" i="10"/>
  <c r="Q53" i="10"/>
  <c r="AB53" i="10"/>
  <c r="P53" i="10"/>
  <c r="AA55" i="10"/>
  <c r="O55" i="10"/>
  <c r="Z55" i="10"/>
  <c r="N55" i="10"/>
  <c r="Y55" i="10"/>
  <c r="M55" i="10"/>
  <c r="X55" i="10"/>
  <c r="L55" i="10"/>
  <c r="W55" i="10"/>
  <c r="K55" i="10"/>
  <c r="V55" i="10"/>
  <c r="J55" i="10"/>
  <c r="AG55" i="10"/>
  <c r="U55" i="10"/>
  <c r="I55" i="10"/>
  <c r="AF55" i="10"/>
  <c r="T55" i="10"/>
  <c r="H55" i="10"/>
  <c r="AE55" i="10"/>
  <c r="S55" i="10"/>
  <c r="G55" i="10"/>
  <c r="AD55" i="10"/>
  <c r="R55" i="10"/>
  <c r="AC55" i="10"/>
  <c r="Q55" i="10"/>
  <c r="AB55" i="10"/>
  <c r="P55" i="10"/>
  <c r="AA57" i="10"/>
  <c r="O57" i="10"/>
  <c r="Z57" i="10"/>
  <c r="N57" i="10"/>
  <c r="Y57" i="10"/>
  <c r="M57" i="10"/>
  <c r="X57" i="10"/>
  <c r="L57" i="10"/>
  <c r="W57" i="10"/>
  <c r="K57" i="10"/>
  <c r="V57" i="10"/>
  <c r="J57" i="10"/>
  <c r="AG57" i="10"/>
  <c r="U57" i="10"/>
  <c r="I57" i="10"/>
  <c r="AF57" i="10"/>
  <c r="T57" i="10"/>
  <c r="H57" i="10"/>
  <c r="AE57" i="10"/>
  <c r="S57" i="10"/>
  <c r="G57" i="10"/>
  <c r="AD57" i="10"/>
  <c r="R57" i="10"/>
  <c r="AC57" i="10"/>
  <c r="Q57" i="10"/>
  <c r="AB57" i="10"/>
  <c r="P57" i="10"/>
  <c r="AA59" i="10"/>
  <c r="O59" i="10"/>
  <c r="Z59" i="10"/>
  <c r="N59" i="10"/>
  <c r="Y59" i="10"/>
  <c r="M59" i="10"/>
  <c r="X59" i="10"/>
  <c r="L59" i="10"/>
  <c r="W59" i="10"/>
  <c r="K59" i="10"/>
  <c r="V59" i="10"/>
  <c r="J59" i="10"/>
  <c r="AG59" i="10"/>
  <c r="U59" i="10"/>
  <c r="I59" i="10"/>
  <c r="AF59" i="10"/>
  <c r="T59" i="10"/>
  <c r="H59" i="10"/>
  <c r="AE59" i="10"/>
  <c r="S59" i="10"/>
  <c r="G59" i="10"/>
  <c r="AD59" i="10"/>
  <c r="R59" i="10"/>
  <c r="AC59" i="10"/>
  <c r="Q59" i="10"/>
  <c r="AB59" i="10"/>
  <c r="P59" i="10"/>
  <c r="AA61" i="10"/>
  <c r="O61" i="10"/>
  <c r="Z61" i="10"/>
  <c r="N61" i="10"/>
  <c r="Y61" i="10"/>
  <c r="M61" i="10"/>
  <c r="X61" i="10"/>
  <c r="L61" i="10"/>
  <c r="W61" i="10"/>
  <c r="K61" i="10"/>
  <c r="V61" i="10"/>
  <c r="J61" i="10"/>
  <c r="AG61" i="10"/>
  <c r="U61" i="10"/>
  <c r="I61" i="10"/>
  <c r="AF61" i="10"/>
  <c r="T61" i="10"/>
  <c r="H61" i="10"/>
  <c r="AE61" i="10"/>
  <c r="S61" i="10"/>
  <c r="G61" i="10"/>
  <c r="AD61" i="10"/>
  <c r="R61" i="10"/>
  <c r="AC61" i="10"/>
  <c r="Q61" i="10"/>
  <c r="AB61" i="10"/>
  <c r="P61" i="10"/>
  <c r="AA63" i="10"/>
  <c r="O63" i="10"/>
  <c r="Z63" i="10"/>
  <c r="N63" i="10"/>
  <c r="Y63" i="10"/>
  <c r="M63" i="10"/>
  <c r="X63" i="10"/>
  <c r="L63" i="10"/>
  <c r="W63" i="10"/>
  <c r="K63" i="10"/>
  <c r="V63" i="10"/>
  <c r="J63" i="10"/>
  <c r="AG63" i="10"/>
  <c r="U63" i="10"/>
  <c r="I63" i="10"/>
  <c r="AF63" i="10"/>
  <c r="T63" i="10"/>
  <c r="H63" i="10"/>
  <c r="AE63" i="10"/>
  <c r="S63" i="10"/>
  <c r="G63" i="10"/>
  <c r="AD63" i="10"/>
  <c r="R63" i="10"/>
  <c r="AC63" i="10"/>
  <c r="Q63" i="10"/>
  <c r="AB63" i="10"/>
  <c r="P63" i="10"/>
  <c r="AA65" i="10"/>
  <c r="O65" i="10"/>
  <c r="Z65" i="10"/>
  <c r="N65" i="10"/>
  <c r="Y65" i="10"/>
  <c r="M65" i="10"/>
  <c r="X65" i="10"/>
  <c r="L65" i="10"/>
  <c r="W65" i="10"/>
  <c r="K65" i="10"/>
  <c r="V65" i="10"/>
  <c r="J65" i="10"/>
  <c r="AG65" i="10"/>
  <c r="U65" i="10"/>
  <c r="I65" i="10"/>
  <c r="AF65" i="10"/>
  <c r="T65" i="10"/>
  <c r="H65" i="10"/>
  <c r="AE65" i="10"/>
  <c r="S65" i="10"/>
  <c r="G65" i="10"/>
  <c r="AD65" i="10"/>
  <c r="R65" i="10"/>
  <c r="AC65" i="10"/>
  <c r="Q65" i="10"/>
  <c r="AB65" i="10"/>
  <c r="P65" i="10"/>
  <c r="AA67" i="10"/>
  <c r="O67" i="10"/>
  <c r="Z67" i="10"/>
  <c r="N67" i="10"/>
  <c r="Y67" i="10"/>
  <c r="M67" i="10"/>
  <c r="X67" i="10"/>
  <c r="L67" i="10"/>
  <c r="W67" i="10"/>
  <c r="K67" i="10"/>
  <c r="V67" i="10"/>
  <c r="J67" i="10"/>
  <c r="AG67" i="10"/>
  <c r="U67" i="10"/>
  <c r="I67" i="10"/>
  <c r="AF67" i="10"/>
  <c r="T67" i="10"/>
  <c r="H67" i="10"/>
  <c r="AE67" i="10"/>
  <c r="S67" i="10"/>
  <c r="G67" i="10"/>
  <c r="AD67" i="10"/>
  <c r="R67" i="10"/>
  <c r="AC67" i="10"/>
  <c r="Q67" i="10"/>
  <c r="AB67" i="10"/>
  <c r="P67" i="10"/>
  <c r="AC69" i="10"/>
  <c r="W69" i="10"/>
  <c r="Q69" i="10"/>
  <c r="K69" i="10"/>
  <c r="AA69" i="10"/>
  <c r="O69" i="10"/>
  <c r="Z69" i="10"/>
  <c r="N69" i="10"/>
  <c r="Y69" i="10"/>
  <c r="M69" i="10"/>
  <c r="X69" i="10"/>
  <c r="L69" i="10"/>
  <c r="V69" i="10"/>
  <c r="J69" i="10"/>
  <c r="AG69" i="10"/>
  <c r="U69" i="10"/>
  <c r="I69" i="10"/>
  <c r="AF69" i="10"/>
  <c r="T69" i="10"/>
  <c r="H69" i="10"/>
  <c r="AE69" i="10"/>
  <c r="S69" i="10"/>
  <c r="G69" i="10"/>
  <c r="AD69" i="10"/>
  <c r="R69" i="10"/>
  <c r="AB69" i="10"/>
  <c r="P69" i="10"/>
  <c r="AG22" i="10"/>
  <c r="U22" i="10"/>
  <c r="I22" i="10"/>
  <c r="AF22" i="10"/>
  <c r="T22" i="10"/>
  <c r="H22" i="10"/>
  <c r="AE22" i="10"/>
  <c r="S22" i="10"/>
  <c r="G22" i="10"/>
  <c r="AD22" i="10"/>
  <c r="R22" i="10"/>
  <c r="AC22" i="10"/>
  <c r="Q22" i="10"/>
  <c r="AB22" i="10"/>
  <c r="P22" i="10"/>
  <c r="AA22" i="10"/>
  <c r="O22" i="10"/>
  <c r="Z22" i="10"/>
  <c r="N22" i="10"/>
  <c r="Y22" i="10"/>
  <c r="M22" i="10"/>
  <c r="X22" i="10"/>
  <c r="L22" i="10"/>
  <c r="W22" i="10"/>
  <c r="K22" i="10"/>
  <c r="V22" i="10"/>
  <c r="J22" i="10"/>
  <c r="AG24" i="10"/>
  <c r="U24" i="10"/>
  <c r="I24" i="10"/>
  <c r="AF24" i="10"/>
  <c r="T24" i="10"/>
  <c r="H24" i="10"/>
  <c r="AE24" i="10"/>
  <c r="S24" i="10"/>
  <c r="G24" i="10"/>
  <c r="AD24" i="10"/>
  <c r="R24" i="10"/>
  <c r="AC24" i="10"/>
  <c r="Q24" i="10"/>
  <c r="AB24" i="10"/>
  <c r="P24" i="10"/>
  <c r="AA24" i="10"/>
  <c r="O24" i="10"/>
  <c r="Z24" i="10"/>
  <c r="N24" i="10"/>
  <c r="Y24" i="10"/>
  <c r="M24" i="10"/>
  <c r="X24" i="10"/>
  <c r="L24" i="10"/>
  <c r="W24" i="10"/>
  <c r="K24" i="10"/>
  <c r="V24" i="10"/>
  <c r="J24" i="10"/>
  <c r="AG26" i="10"/>
  <c r="U26" i="10"/>
  <c r="I26" i="10"/>
  <c r="AF26" i="10"/>
  <c r="T26" i="10"/>
  <c r="H26" i="10"/>
  <c r="AE26" i="10"/>
  <c r="S26" i="10"/>
  <c r="G26" i="10"/>
  <c r="AD26" i="10"/>
  <c r="R26" i="10"/>
  <c r="AC26" i="10"/>
  <c r="Q26" i="10"/>
  <c r="AB26" i="10"/>
  <c r="P26" i="10"/>
  <c r="AA26" i="10"/>
  <c r="O26" i="10"/>
  <c r="Z26" i="10"/>
  <c r="N26" i="10"/>
  <c r="Y26" i="10"/>
  <c r="M26" i="10"/>
  <c r="X26" i="10"/>
  <c r="L26" i="10"/>
  <c r="W26" i="10"/>
  <c r="K26" i="10"/>
  <c r="V26" i="10"/>
  <c r="J26" i="10"/>
  <c r="AG28" i="10"/>
  <c r="U28" i="10"/>
  <c r="I28" i="10"/>
  <c r="AF28" i="10"/>
  <c r="T28" i="10"/>
  <c r="H28" i="10"/>
  <c r="AE28" i="10"/>
  <c r="S28" i="10"/>
  <c r="G28" i="10"/>
  <c r="AD28" i="10"/>
  <c r="R28" i="10"/>
  <c r="AC28" i="10"/>
  <c r="Q28" i="10"/>
  <c r="AB28" i="10"/>
  <c r="P28" i="10"/>
  <c r="AA28" i="10"/>
  <c r="O28" i="10"/>
  <c r="Z28" i="10"/>
  <c r="N28" i="10"/>
  <c r="Y28" i="10"/>
  <c r="M28" i="10"/>
  <c r="X28" i="10"/>
  <c r="L28" i="10"/>
  <c r="W28" i="10"/>
  <c r="K28" i="10"/>
  <c r="V28" i="10"/>
  <c r="J28" i="10"/>
  <c r="AG30" i="10"/>
  <c r="U30" i="10"/>
  <c r="I30" i="10"/>
  <c r="AF30" i="10"/>
  <c r="T30" i="10"/>
  <c r="H30" i="10"/>
  <c r="AE30" i="10"/>
  <c r="S30" i="10"/>
  <c r="G30" i="10"/>
  <c r="AD30" i="10"/>
  <c r="R30" i="10"/>
  <c r="AC30" i="10"/>
  <c r="Q30" i="10"/>
  <c r="AB30" i="10"/>
  <c r="P30" i="10"/>
  <c r="AA30" i="10"/>
  <c r="O30" i="10"/>
  <c r="Z30" i="10"/>
  <c r="N30" i="10"/>
  <c r="Y30" i="10"/>
  <c r="M30" i="10"/>
  <c r="X30" i="10"/>
  <c r="L30" i="10"/>
  <c r="W30" i="10"/>
  <c r="K30" i="10"/>
  <c r="V30" i="10"/>
  <c r="J30" i="10"/>
  <c r="AG32" i="10"/>
  <c r="U32" i="10"/>
  <c r="I32" i="10"/>
  <c r="AF32" i="10"/>
  <c r="T32" i="10"/>
  <c r="H32" i="10"/>
  <c r="AE32" i="10"/>
  <c r="S32" i="10"/>
  <c r="G32" i="10"/>
  <c r="AD32" i="10"/>
  <c r="R32" i="10"/>
  <c r="AC32" i="10"/>
  <c r="Q32" i="10"/>
  <c r="AB32" i="10"/>
  <c r="P32" i="10"/>
  <c r="AA32" i="10"/>
  <c r="O32" i="10"/>
  <c r="Z32" i="10"/>
  <c r="N32" i="10"/>
  <c r="Y32" i="10"/>
  <c r="M32" i="10"/>
  <c r="X32" i="10"/>
  <c r="L32" i="10"/>
  <c r="W32" i="10"/>
  <c r="K32" i="10"/>
  <c r="V32" i="10"/>
  <c r="J32" i="10"/>
  <c r="AG34" i="10"/>
  <c r="U34" i="10"/>
  <c r="I34" i="10"/>
  <c r="AF34" i="10"/>
  <c r="T34" i="10"/>
  <c r="H34" i="10"/>
  <c r="AE34" i="10"/>
  <c r="S34" i="10"/>
  <c r="G34" i="10"/>
  <c r="AD34" i="10"/>
  <c r="R34" i="10"/>
  <c r="AC34" i="10"/>
  <c r="Q34" i="10"/>
  <c r="AB34" i="10"/>
  <c r="P34" i="10"/>
  <c r="AA34" i="10"/>
  <c r="O34" i="10"/>
  <c r="Z34" i="10"/>
  <c r="N34" i="10"/>
  <c r="Y34" i="10"/>
  <c r="M34" i="10"/>
  <c r="X34" i="10"/>
  <c r="L34" i="10"/>
  <c r="W34" i="10"/>
  <c r="K34" i="10"/>
  <c r="V34" i="10"/>
  <c r="J34" i="10"/>
  <c r="AG36" i="10"/>
  <c r="U36" i="10"/>
  <c r="I36" i="10"/>
  <c r="AF36" i="10"/>
  <c r="T36" i="10"/>
  <c r="H36" i="10"/>
  <c r="AE36" i="10"/>
  <c r="S36" i="10"/>
  <c r="G36" i="10"/>
  <c r="AD36" i="10"/>
  <c r="R36" i="10"/>
  <c r="AC36" i="10"/>
  <c r="Q36" i="10"/>
  <c r="AB36" i="10"/>
  <c r="P36" i="10"/>
  <c r="AA36" i="10"/>
  <c r="O36" i="10"/>
  <c r="Z36" i="10"/>
  <c r="N36" i="10"/>
  <c r="Y36" i="10"/>
  <c r="M36" i="10"/>
  <c r="X36" i="10"/>
  <c r="L36" i="10"/>
  <c r="W36" i="10"/>
  <c r="K36" i="10"/>
  <c r="V36" i="10"/>
  <c r="J36" i="10"/>
  <c r="AG38" i="10"/>
  <c r="U38" i="10"/>
  <c r="I38" i="10"/>
  <c r="AF38" i="10"/>
  <c r="T38" i="10"/>
  <c r="H38" i="10"/>
  <c r="AE38" i="10"/>
  <c r="S38" i="10"/>
  <c r="G38" i="10"/>
  <c r="AD38" i="10"/>
  <c r="R38" i="10"/>
  <c r="AC38" i="10"/>
  <c r="Q38" i="10"/>
  <c r="AB38" i="10"/>
  <c r="P38" i="10"/>
  <c r="AA38" i="10"/>
  <c r="O38" i="10"/>
  <c r="Z38" i="10"/>
  <c r="N38" i="10"/>
  <c r="Y38" i="10"/>
  <c r="M38" i="10"/>
  <c r="X38" i="10"/>
  <c r="L38" i="10"/>
  <c r="W38" i="10"/>
  <c r="K38" i="10"/>
  <c r="V38" i="10"/>
  <c r="J38" i="10"/>
  <c r="AG40" i="10"/>
  <c r="U40" i="10"/>
  <c r="I40" i="10"/>
  <c r="AF40" i="10"/>
  <c r="T40" i="10"/>
  <c r="H40" i="10"/>
  <c r="AE40" i="10"/>
  <c r="S40" i="10"/>
  <c r="G40" i="10"/>
  <c r="AD40" i="10"/>
  <c r="R40" i="10"/>
  <c r="AC40" i="10"/>
  <c r="Q40" i="10"/>
  <c r="AB40" i="10"/>
  <c r="P40" i="10"/>
  <c r="AA40" i="10"/>
  <c r="O40" i="10"/>
  <c r="Z40" i="10"/>
  <c r="N40" i="10"/>
  <c r="Y40" i="10"/>
  <c r="M40" i="10"/>
  <c r="X40" i="10"/>
  <c r="L40" i="10"/>
  <c r="W40" i="10"/>
  <c r="K40" i="10"/>
  <c r="V40" i="10"/>
  <c r="J40" i="10"/>
  <c r="AG42" i="10"/>
  <c r="U42" i="10"/>
  <c r="I42" i="10"/>
  <c r="AF42" i="10"/>
  <c r="T42" i="10"/>
  <c r="H42" i="10"/>
  <c r="AE42" i="10"/>
  <c r="S42" i="10"/>
  <c r="G42" i="10"/>
  <c r="AD42" i="10"/>
  <c r="R42" i="10"/>
  <c r="AC42" i="10"/>
  <c r="Q42" i="10"/>
  <c r="AB42" i="10"/>
  <c r="P42" i="10"/>
  <c r="AA42" i="10"/>
  <c r="O42" i="10"/>
  <c r="Z42" i="10"/>
  <c r="N42" i="10"/>
  <c r="Y42" i="10"/>
  <c r="M42" i="10"/>
  <c r="X42" i="10"/>
  <c r="L42" i="10"/>
  <c r="W42" i="10"/>
  <c r="K42" i="10"/>
  <c r="V42" i="10"/>
  <c r="J42" i="10"/>
  <c r="AG44" i="10"/>
  <c r="U44" i="10"/>
  <c r="I44" i="10"/>
  <c r="AF44" i="10"/>
  <c r="T44" i="10"/>
  <c r="H44" i="10"/>
  <c r="AE44" i="10"/>
  <c r="S44" i="10"/>
  <c r="G44" i="10"/>
  <c r="AD44" i="10"/>
  <c r="R44" i="10"/>
  <c r="AC44" i="10"/>
  <c r="Q44" i="10"/>
  <c r="AB44" i="10"/>
  <c r="P44" i="10"/>
  <c r="AA44" i="10"/>
  <c r="O44" i="10"/>
  <c r="Z44" i="10"/>
  <c r="N44" i="10"/>
  <c r="Y44" i="10"/>
  <c r="M44" i="10"/>
  <c r="X44" i="10"/>
  <c r="L44" i="10"/>
  <c r="W44" i="10"/>
  <c r="K44" i="10"/>
  <c r="V44" i="10"/>
  <c r="J44" i="10"/>
  <c r="AG46" i="10"/>
  <c r="U46" i="10"/>
  <c r="I46" i="10"/>
  <c r="AF46" i="10"/>
  <c r="T46" i="10"/>
  <c r="H46" i="10"/>
  <c r="AE46" i="10"/>
  <c r="S46" i="10"/>
  <c r="G46" i="10"/>
  <c r="AD46" i="10"/>
  <c r="R46" i="10"/>
  <c r="AC46" i="10"/>
  <c r="Q46" i="10"/>
  <c r="AB46" i="10"/>
  <c r="P46" i="10"/>
  <c r="AA46" i="10"/>
  <c r="O46" i="10"/>
  <c r="Z46" i="10"/>
  <c r="N46" i="10"/>
  <c r="Y46" i="10"/>
  <c r="M46" i="10"/>
  <c r="X46" i="10"/>
  <c r="L46" i="10"/>
  <c r="W46" i="10"/>
  <c r="K46" i="10"/>
  <c r="V46" i="10"/>
  <c r="J46" i="10"/>
  <c r="AG48" i="10"/>
  <c r="U48" i="10"/>
  <c r="I48" i="10"/>
  <c r="AF48" i="10"/>
  <c r="T48" i="10"/>
  <c r="H48" i="10"/>
  <c r="AE48" i="10"/>
  <c r="S48" i="10"/>
  <c r="G48" i="10"/>
  <c r="AD48" i="10"/>
  <c r="R48" i="10"/>
  <c r="AC48" i="10"/>
  <c r="Q48" i="10"/>
  <c r="AB48" i="10"/>
  <c r="P48" i="10"/>
  <c r="AA48" i="10"/>
  <c r="O48" i="10"/>
  <c r="Z48" i="10"/>
  <c r="N48" i="10"/>
  <c r="Y48" i="10"/>
  <c r="M48" i="10"/>
  <c r="X48" i="10"/>
  <c r="L48" i="10"/>
  <c r="W48" i="10"/>
  <c r="K48" i="10"/>
  <c r="V48" i="10"/>
  <c r="J48" i="10"/>
  <c r="AG50" i="10"/>
  <c r="U50" i="10"/>
  <c r="I50" i="10"/>
  <c r="AF50" i="10"/>
  <c r="T50" i="10"/>
  <c r="H50" i="10"/>
  <c r="AE50" i="10"/>
  <c r="S50" i="10"/>
  <c r="G50" i="10"/>
  <c r="AD50" i="10"/>
  <c r="R50" i="10"/>
  <c r="AC50" i="10"/>
  <c r="Q50" i="10"/>
  <c r="AB50" i="10"/>
  <c r="P50" i="10"/>
  <c r="AA50" i="10"/>
  <c r="O50" i="10"/>
  <c r="Z50" i="10"/>
  <c r="N50" i="10"/>
  <c r="Y50" i="10"/>
  <c r="M50" i="10"/>
  <c r="X50" i="10"/>
  <c r="L50" i="10"/>
  <c r="W50" i="10"/>
  <c r="K50" i="10"/>
  <c r="V50" i="10"/>
  <c r="J50" i="10"/>
  <c r="AG52" i="10"/>
  <c r="U52" i="10"/>
  <c r="I52" i="10"/>
  <c r="AF52" i="10"/>
  <c r="T52" i="10"/>
  <c r="H52" i="10"/>
  <c r="AE52" i="10"/>
  <c r="S52" i="10"/>
  <c r="G52" i="10"/>
  <c r="AD52" i="10"/>
  <c r="R52" i="10"/>
  <c r="AC52" i="10"/>
  <c r="Q52" i="10"/>
  <c r="AB52" i="10"/>
  <c r="P52" i="10"/>
  <c r="AA52" i="10"/>
  <c r="O52" i="10"/>
  <c r="Z52" i="10"/>
  <c r="N52" i="10"/>
  <c r="Y52" i="10"/>
  <c r="M52" i="10"/>
  <c r="X52" i="10"/>
  <c r="L52" i="10"/>
  <c r="W52" i="10"/>
  <c r="K52" i="10"/>
  <c r="V52" i="10"/>
  <c r="J52" i="10"/>
  <c r="AG54" i="10"/>
  <c r="U54" i="10"/>
  <c r="I54" i="10"/>
  <c r="AF54" i="10"/>
  <c r="T54" i="10"/>
  <c r="H54" i="10"/>
  <c r="AE54" i="10"/>
  <c r="S54" i="10"/>
  <c r="G54" i="10"/>
  <c r="AD54" i="10"/>
  <c r="R54" i="10"/>
  <c r="AC54" i="10"/>
  <c r="Q54" i="10"/>
  <c r="AB54" i="10"/>
  <c r="P54" i="10"/>
  <c r="AA54" i="10"/>
  <c r="O54" i="10"/>
  <c r="Z54" i="10"/>
  <c r="N54" i="10"/>
  <c r="Y54" i="10"/>
  <c r="M54" i="10"/>
  <c r="X54" i="10"/>
  <c r="L54" i="10"/>
  <c r="W54" i="10"/>
  <c r="K54" i="10"/>
  <c r="V54" i="10"/>
  <c r="J54" i="10"/>
  <c r="AG56" i="10"/>
  <c r="U56" i="10"/>
  <c r="I56" i="10"/>
  <c r="AF56" i="10"/>
  <c r="T56" i="10"/>
  <c r="H56" i="10"/>
  <c r="AE56" i="10"/>
  <c r="S56" i="10"/>
  <c r="G56" i="10"/>
  <c r="AD56" i="10"/>
  <c r="R56" i="10"/>
  <c r="AC56" i="10"/>
  <c r="Q56" i="10"/>
  <c r="AB56" i="10"/>
  <c r="P56" i="10"/>
  <c r="AA56" i="10"/>
  <c r="O56" i="10"/>
  <c r="Z56" i="10"/>
  <c r="N56" i="10"/>
  <c r="Y56" i="10"/>
  <c r="M56" i="10"/>
  <c r="X56" i="10"/>
  <c r="L56" i="10"/>
  <c r="W56" i="10"/>
  <c r="K56" i="10"/>
  <c r="V56" i="10"/>
  <c r="J56" i="10"/>
  <c r="AG58" i="10"/>
  <c r="U58" i="10"/>
  <c r="I58" i="10"/>
  <c r="AF58" i="10"/>
  <c r="T58" i="10"/>
  <c r="H58" i="10"/>
  <c r="AE58" i="10"/>
  <c r="S58" i="10"/>
  <c r="G58" i="10"/>
  <c r="AD58" i="10"/>
  <c r="R58" i="10"/>
  <c r="AC58" i="10"/>
  <c r="Q58" i="10"/>
  <c r="AB58" i="10"/>
  <c r="P58" i="10"/>
  <c r="AA58" i="10"/>
  <c r="O58" i="10"/>
  <c r="Z58" i="10"/>
  <c r="N58" i="10"/>
  <c r="Y58" i="10"/>
  <c r="M58" i="10"/>
  <c r="X58" i="10"/>
  <c r="L58" i="10"/>
  <c r="W58" i="10"/>
  <c r="K58" i="10"/>
  <c r="V58" i="10"/>
  <c r="J58" i="10"/>
  <c r="AG60" i="10"/>
  <c r="U60" i="10"/>
  <c r="I60" i="10"/>
  <c r="AF60" i="10"/>
  <c r="T60" i="10"/>
  <c r="H60" i="10"/>
  <c r="AE60" i="10"/>
  <c r="S60" i="10"/>
  <c r="G60" i="10"/>
  <c r="AD60" i="10"/>
  <c r="R60" i="10"/>
  <c r="AC60" i="10"/>
  <c r="Q60" i="10"/>
  <c r="AB60" i="10"/>
  <c r="P60" i="10"/>
  <c r="AA60" i="10"/>
  <c r="O60" i="10"/>
  <c r="Z60" i="10"/>
  <c r="N60" i="10"/>
  <c r="Y60" i="10"/>
  <c r="M60" i="10"/>
  <c r="X60" i="10"/>
  <c r="L60" i="10"/>
  <c r="W60" i="10"/>
  <c r="K60" i="10"/>
  <c r="V60" i="10"/>
  <c r="J60" i="10"/>
  <c r="AG62" i="10"/>
  <c r="U62" i="10"/>
  <c r="I62" i="10"/>
  <c r="AF62" i="10"/>
  <c r="T62" i="10"/>
  <c r="H62" i="10"/>
  <c r="AE62" i="10"/>
  <c r="S62" i="10"/>
  <c r="G62" i="10"/>
  <c r="AD62" i="10"/>
  <c r="R62" i="10"/>
  <c r="AC62" i="10"/>
  <c r="Q62" i="10"/>
  <c r="AB62" i="10"/>
  <c r="P62" i="10"/>
  <c r="AA62" i="10"/>
  <c r="O62" i="10"/>
  <c r="Z62" i="10"/>
  <c r="N62" i="10"/>
  <c r="Y62" i="10"/>
  <c r="M62" i="10"/>
  <c r="X62" i="10"/>
  <c r="L62" i="10"/>
  <c r="W62" i="10"/>
  <c r="K62" i="10"/>
  <c r="V62" i="10"/>
  <c r="J62" i="10"/>
  <c r="AG64" i="10"/>
  <c r="U64" i="10"/>
  <c r="I64" i="10"/>
  <c r="AF64" i="10"/>
  <c r="T64" i="10"/>
  <c r="H64" i="10"/>
  <c r="AE64" i="10"/>
  <c r="S64" i="10"/>
  <c r="G64" i="10"/>
  <c r="AD64" i="10"/>
  <c r="R64" i="10"/>
  <c r="AC64" i="10"/>
  <c r="Q64" i="10"/>
  <c r="AB64" i="10"/>
  <c r="P64" i="10"/>
  <c r="AA64" i="10"/>
  <c r="O64" i="10"/>
  <c r="Z64" i="10"/>
  <c r="N64" i="10"/>
  <c r="Y64" i="10"/>
  <c r="M64" i="10"/>
  <c r="X64" i="10"/>
  <c r="L64" i="10"/>
  <c r="W64" i="10"/>
  <c r="K64" i="10"/>
  <c r="V64" i="10"/>
  <c r="J64" i="10"/>
  <c r="AG66" i="10"/>
  <c r="U66" i="10"/>
  <c r="I66" i="10"/>
  <c r="AF66" i="10"/>
  <c r="T66" i="10"/>
  <c r="H66" i="10"/>
  <c r="AE66" i="10"/>
  <c r="S66" i="10"/>
  <c r="G66" i="10"/>
  <c r="AD66" i="10"/>
  <c r="R66" i="10"/>
  <c r="AC66" i="10"/>
  <c r="Q66" i="10"/>
  <c r="AB66" i="10"/>
  <c r="P66" i="10"/>
  <c r="AA66" i="10"/>
  <c r="O66" i="10"/>
  <c r="Z66" i="10"/>
  <c r="N66" i="10"/>
  <c r="Y66" i="10"/>
  <c r="M66" i="10"/>
  <c r="X66" i="10"/>
  <c r="L66" i="10"/>
  <c r="W66" i="10"/>
  <c r="K66" i="10"/>
  <c r="V66" i="10"/>
  <c r="J66" i="10"/>
  <c r="AC68" i="10"/>
  <c r="W68" i="10"/>
  <c r="Q68" i="10"/>
  <c r="K68" i="10"/>
  <c r="AG68" i="10"/>
  <c r="U68" i="10"/>
  <c r="I68" i="10"/>
  <c r="AF68" i="10"/>
  <c r="T68" i="10"/>
  <c r="H68" i="10"/>
  <c r="AE68" i="10"/>
  <c r="S68" i="10"/>
  <c r="G68" i="10"/>
  <c r="AD68" i="10"/>
  <c r="R68" i="10"/>
  <c r="AB68" i="10"/>
  <c r="P68" i="10"/>
  <c r="AA68" i="10"/>
  <c r="O68" i="10"/>
  <c r="Z68" i="10"/>
  <c r="N68" i="10"/>
  <c r="Y68" i="10"/>
  <c r="M68" i="10"/>
  <c r="X68" i="10"/>
  <c r="L68" i="10"/>
  <c r="V68" i="10"/>
  <c r="J68" i="10"/>
  <c r="AF70" i="10"/>
  <c r="AC70" i="10"/>
  <c r="O70" i="10"/>
  <c r="AB70" i="10"/>
  <c r="K70" i="10"/>
  <c r="AA70" i="10"/>
  <c r="Z70" i="10"/>
  <c r="Y70" i="10"/>
  <c r="X70" i="10"/>
  <c r="W70" i="10"/>
  <c r="V70" i="10"/>
  <c r="AG70" i="10"/>
  <c r="U70" i="10"/>
  <c r="AE70" i="10"/>
  <c r="Q70" i="10"/>
  <c r="T70" i="10"/>
  <c r="AD70" i="10"/>
  <c r="P70" i="10"/>
  <c r="I70" i="10"/>
  <c r="H70" i="10"/>
  <c r="S70" i="10"/>
  <c r="G70" i="10"/>
  <c r="R70" i="10"/>
  <c r="N70" i="10"/>
  <c r="M70" i="10"/>
  <c r="L70" i="10"/>
  <c r="J70" i="10"/>
  <c r="AF72" i="10"/>
  <c r="AC72" i="10"/>
  <c r="Q72" i="10"/>
  <c r="AB72" i="10"/>
  <c r="P72" i="10"/>
  <c r="AA72" i="10"/>
  <c r="O72" i="10"/>
  <c r="Z72" i="10"/>
  <c r="N72" i="10"/>
  <c r="Y72" i="10"/>
  <c r="M72" i="10"/>
  <c r="X72" i="10"/>
  <c r="L72" i="10"/>
  <c r="W72" i="10"/>
  <c r="K72" i="10"/>
  <c r="V72" i="10"/>
  <c r="J72" i="10"/>
  <c r="AG72" i="10"/>
  <c r="U72" i="10"/>
  <c r="I72" i="10"/>
  <c r="H72" i="10"/>
  <c r="AE72" i="10"/>
  <c r="S72" i="10"/>
  <c r="G72" i="10"/>
  <c r="T72" i="10"/>
  <c r="AD72" i="10"/>
  <c r="R72" i="10"/>
  <c r="H74" i="10"/>
  <c r="AC74" i="10"/>
  <c r="Q74" i="10"/>
  <c r="AB74" i="10"/>
  <c r="P74" i="10"/>
  <c r="AA74" i="10"/>
  <c r="O74" i="10"/>
  <c r="Z74" i="10"/>
  <c r="N74" i="10"/>
  <c r="Y74" i="10"/>
  <c r="M74" i="10"/>
  <c r="X74" i="10"/>
  <c r="L74" i="10"/>
  <c r="W74" i="10"/>
  <c r="K74" i="10"/>
  <c r="V74" i="10"/>
  <c r="J74" i="10"/>
  <c r="AG74" i="10"/>
  <c r="U74" i="10"/>
  <c r="I74" i="10"/>
  <c r="T74" i="10"/>
  <c r="AE74" i="10"/>
  <c r="S74" i="10"/>
  <c r="G74" i="10"/>
  <c r="AF74" i="10"/>
  <c r="AD74" i="10"/>
  <c r="R74" i="10"/>
  <c r="T76" i="10"/>
  <c r="AC76" i="10"/>
  <c r="Q76" i="10"/>
  <c r="AB76" i="10"/>
  <c r="P76" i="10"/>
  <c r="AA76" i="10"/>
  <c r="O76" i="10"/>
  <c r="Z76" i="10"/>
  <c r="N76" i="10"/>
  <c r="Y76" i="10"/>
  <c r="M76" i="10"/>
  <c r="X76" i="10"/>
  <c r="L76" i="10"/>
  <c r="W76" i="10"/>
  <c r="K76" i="10"/>
  <c r="V76" i="10"/>
  <c r="J76" i="10"/>
  <c r="AG76" i="10"/>
  <c r="U76" i="10"/>
  <c r="I76" i="10"/>
  <c r="AF76" i="10"/>
  <c r="AE76" i="10"/>
  <c r="S76" i="10"/>
  <c r="G76" i="10"/>
  <c r="H76" i="10"/>
  <c r="AD76" i="10"/>
  <c r="R76" i="10"/>
  <c r="T78" i="10"/>
  <c r="AC78" i="10"/>
  <c r="Q78" i="10"/>
  <c r="AB78" i="10"/>
  <c r="P78" i="10"/>
  <c r="AA78" i="10"/>
  <c r="O78" i="10"/>
  <c r="Z78" i="10"/>
  <c r="N78" i="10"/>
  <c r="Y78" i="10"/>
  <c r="M78" i="10"/>
  <c r="X78" i="10"/>
  <c r="L78" i="10"/>
  <c r="W78" i="10"/>
  <c r="K78" i="10"/>
  <c r="V78" i="10"/>
  <c r="J78" i="10"/>
  <c r="AG78" i="10"/>
  <c r="U78" i="10"/>
  <c r="I78" i="10"/>
  <c r="H78" i="10"/>
  <c r="AE78" i="10"/>
  <c r="S78" i="10"/>
  <c r="G78" i="10"/>
  <c r="AF78" i="10"/>
  <c r="AD78" i="10"/>
  <c r="R78" i="10"/>
  <c r="AF80" i="10"/>
  <c r="AC80" i="10"/>
  <c r="Q80" i="10"/>
  <c r="AB80" i="10"/>
  <c r="P80" i="10"/>
  <c r="AA80" i="10"/>
  <c r="O80" i="10"/>
  <c r="Z80" i="10"/>
  <c r="N80" i="10"/>
  <c r="Y80" i="10"/>
  <c r="M80" i="10"/>
  <c r="X80" i="10"/>
  <c r="L80" i="10"/>
  <c r="W80" i="10"/>
  <c r="K80" i="10"/>
  <c r="V80" i="10"/>
  <c r="J80" i="10"/>
  <c r="AG80" i="10"/>
  <c r="U80" i="10"/>
  <c r="I80" i="10"/>
  <c r="T80" i="10"/>
  <c r="AE80" i="10"/>
  <c r="S80" i="10"/>
  <c r="G80" i="10"/>
  <c r="H80" i="10"/>
  <c r="AD80" i="10"/>
  <c r="R80" i="10"/>
  <c r="H82" i="10"/>
  <c r="AC82" i="10"/>
  <c r="Q82" i="10"/>
  <c r="AB82" i="10"/>
  <c r="P82" i="10"/>
  <c r="AA82" i="10"/>
  <c r="O82" i="10"/>
  <c r="Z82" i="10"/>
  <c r="N82" i="10"/>
  <c r="Y82" i="10"/>
  <c r="M82" i="10"/>
  <c r="X82" i="10"/>
  <c r="L82" i="10"/>
  <c r="W82" i="10"/>
  <c r="K82" i="10"/>
  <c r="V82" i="10"/>
  <c r="J82" i="10"/>
  <c r="AG82" i="10"/>
  <c r="U82" i="10"/>
  <c r="I82" i="10"/>
  <c r="AF82" i="10"/>
  <c r="AE82" i="10"/>
  <c r="S82" i="10"/>
  <c r="G82" i="10"/>
  <c r="T82" i="10"/>
  <c r="AD82" i="10"/>
  <c r="R82" i="10"/>
  <c r="T84" i="10"/>
  <c r="AC84" i="10"/>
  <c r="Q84" i="10"/>
  <c r="P84" i="10"/>
  <c r="AA84" i="10"/>
  <c r="O84" i="10"/>
  <c r="Z84" i="10"/>
  <c r="N84" i="10"/>
  <c r="Y84" i="10"/>
  <c r="M84" i="10"/>
  <c r="X84" i="10"/>
  <c r="L84" i="10"/>
  <c r="AB84" i="10"/>
  <c r="W84" i="10"/>
  <c r="K84" i="10"/>
  <c r="V84" i="10"/>
  <c r="J84" i="10"/>
  <c r="AG84" i="10"/>
  <c r="U84" i="10"/>
  <c r="I84" i="10"/>
  <c r="H84" i="10"/>
  <c r="AE84" i="10"/>
  <c r="S84" i="10"/>
  <c r="G84" i="10"/>
  <c r="AF84" i="10"/>
  <c r="AD84" i="10"/>
  <c r="R84" i="10"/>
  <c r="AF86" i="10"/>
  <c r="AC86" i="10"/>
  <c r="Q86" i="10"/>
  <c r="AB86" i="10"/>
  <c r="P86" i="10"/>
  <c r="AA86" i="10"/>
  <c r="O86" i="10"/>
  <c r="Z86" i="10"/>
  <c r="N86" i="10"/>
  <c r="Y86" i="10"/>
  <c r="M86" i="10"/>
  <c r="X86" i="10"/>
  <c r="L86" i="10"/>
  <c r="W86" i="10"/>
  <c r="K86" i="10"/>
  <c r="V86" i="10"/>
  <c r="J86" i="10"/>
  <c r="AG86" i="10"/>
  <c r="U86" i="10"/>
  <c r="I86" i="10"/>
  <c r="T86" i="10"/>
  <c r="AE86" i="10"/>
  <c r="S86" i="10"/>
  <c r="G86" i="10"/>
  <c r="H86" i="10"/>
  <c r="AD86" i="10"/>
  <c r="R86" i="10"/>
  <c r="AF88" i="10"/>
  <c r="AC88" i="10"/>
  <c r="Q88" i="10"/>
  <c r="AB88" i="10"/>
  <c r="P88" i="10"/>
  <c r="AA88" i="10"/>
  <c r="O88" i="10"/>
  <c r="Z88" i="10"/>
  <c r="N88" i="10"/>
  <c r="Y88" i="10"/>
  <c r="M88" i="10"/>
  <c r="X88" i="10"/>
  <c r="L88" i="10"/>
  <c r="W88" i="10"/>
  <c r="K88" i="10"/>
  <c r="V88" i="10"/>
  <c r="J88" i="10"/>
  <c r="AG88" i="10"/>
  <c r="U88" i="10"/>
  <c r="I88" i="10"/>
  <c r="H88" i="10"/>
  <c r="AE88" i="10"/>
  <c r="S88" i="10"/>
  <c r="G88" i="10"/>
  <c r="T88" i="10"/>
  <c r="AD88" i="10"/>
  <c r="R88" i="10"/>
  <c r="H90" i="10"/>
  <c r="AC90" i="10"/>
  <c r="Q90" i="10"/>
  <c r="AF90" i="10"/>
  <c r="AA90" i="10"/>
  <c r="O90" i="10"/>
  <c r="P90" i="10"/>
  <c r="Z90" i="10"/>
  <c r="N90" i="10"/>
  <c r="Y90" i="10"/>
  <c r="M90" i="10"/>
  <c r="X90" i="10"/>
  <c r="L90" i="10"/>
  <c r="AB90" i="10"/>
  <c r="W90" i="10"/>
  <c r="K90" i="10"/>
  <c r="V90" i="10"/>
  <c r="J90" i="10"/>
  <c r="AG90" i="10"/>
  <c r="U90" i="10"/>
  <c r="I90" i="10"/>
  <c r="T90" i="10"/>
  <c r="AE90" i="10"/>
  <c r="S90" i="10"/>
  <c r="G90" i="10"/>
  <c r="AD90" i="10"/>
  <c r="R90" i="10"/>
  <c r="H92" i="10"/>
  <c r="AC92" i="10"/>
  <c r="Q92" i="10"/>
  <c r="T92" i="10"/>
  <c r="P92" i="10"/>
  <c r="AA92" i="10"/>
  <c r="O92" i="10"/>
  <c r="Z92" i="10"/>
  <c r="N92" i="10"/>
  <c r="Y92" i="10"/>
  <c r="M92" i="10"/>
  <c r="X92" i="10"/>
  <c r="L92" i="10"/>
  <c r="W92" i="10"/>
  <c r="K92" i="10"/>
  <c r="AB92" i="10"/>
  <c r="V92" i="10"/>
  <c r="J92" i="10"/>
  <c r="AG92" i="10"/>
  <c r="U92" i="10"/>
  <c r="I92" i="10"/>
  <c r="AF92" i="10"/>
  <c r="AE92" i="10"/>
  <c r="S92" i="10"/>
  <c r="G92" i="10"/>
  <c r="AD92" i="10"/>
  <c r="R92" i="10"/>
  <c r="AF94" i="10"/>
  <c r="AC94" i="10"/>
  <c r="Q94" i="10"/>
  <c r="P94" i="10"/>
  <c r="AA94" i="10"/>
  <c r="O94" i="10"/>
  <c r="T94" i="10"/>
  <c r="Z94" i="10"/>
  <c r="N94" i="10"/>
  <c r="H94" i="10"/>
  <c r="AB94" i="10"/>
  <c r="Y94" i="10"/>
  <c r="M94" i="10"/>
  <c r="X94" i="10"/>
  <c r="L94" i="10"/>
  <c r="W94" i="10"/>
  <c r="K94" i="10"/>
  <c r="V94" i="10"/>
  <c r="J94" i="10"/>
  <c r="AG94" i="10"/>
  <c r="U94" i="10"/>
  <c r="I94" i="10"/>
  <c r="AE94" i="10"/>
  <c r="S94" i="10"/>
  <c r="G94" i="10"/>
  <c r="AD94" i="10"/>
  <c r="R94" i="10"/>
  <c r="T96" i="10"/>
  <c r="AC96" i="10"/>
  <c r="Q96" i="10"/>
  <c r="P96" i="10"/>
  <c r="AB96" i="10"/>
  <c r="AA96" i="10"/>
  <c r="O96" i="10"/>
  <c r="Z96" i="10"/>
  <c r="N96" i="10"/>
  <c r="Y96" i="10"/>
  <c r="M96" i="10"/>
  <c r="H96" i="10"/>
  <c r="X96" i="10"/>
  <c r="L96" i="10"/>
  <c r="W96" i="10"/>
  <c r="K96" i="10"/>
  <c r="V96" i="10"/>
  <c r="J96" i="10"/>
  <c r="AG96" i="10"/>
  <c r="U96" i="10"/>
  <c r="I96" i="10"/>
  <c r="AF96" i="10"/>
  <c r="AE96" i="10"/>
  <c r="S96" i="10"/>
  <c r="G96" i="10"/>
  <c r="AD96" i="10"/>
  <c r="R96" i="10"/>
  <c r="H98" i="10"/>
  <c r="AC98" i="10"/>
  <c r="Q98" i="10"/>
  <c r="AB98" i="10"/>
  <c r="AA98" i="10"/>
  <c r="O98" i="10"/>
  <c r="Z98" i="10"/>
  <c r="N98" i="10"/>
  <c r="Y98" i="10"/>
  <c r="M98" i="10"/>
  <c r="X98" i="10"/>
  <c r="L98" i="10"/>
  <c r="P98" i="10"/>
  <c r="W98" i="10"/>
  <c r="K98" i="10"/>
  <c r="V98" i="10"/>
  <c r="J98" i="10"/>
  <c r="T98" i="10"/>
  <c r="AG98" i="10"/>
  <c r="U98" i="10"/>
  <c r="I98" i="10"/>
  <c r="AE98" i="10"/>
  <c r="S98" i="10"/>
  <c r="G98" i="10"/>
  <c r="AF98" i="10"/>
  <c r="AD98" i="10"/>
  <c r="R98" i="10"/>
  <c r="AC100" i="10"/>
  <c r="Q100" i="10"/>
  <c r="AB100" i="10"/>
  <c r="AA100" i="10"/>
  <c r="O100" i="10"/>
  <c r="Z100" i="10"/>
  <c r="N100" i="10"/>
  <c r="P100" i="10"/>
  <c r="Y100" i="10"/>
  <c r="M100" i="10"/>
  <c r="X100" i="10"/>
  <c r="L100" i="10"/>
  <c r="W100" i="10"/>
  <c r="K100" i="10"/>
  <c r="V100" i="10"/>
  <c r="J100" i="10"/>
  <c r="AG100" i="10"/>
  <c r="U100" i="10"/>
  <c r="I100" i="10"/>
  <c r="T100" i="10"/>
  <c r="AE100" i="10"/>
  <c r="S100" i="10"/>
  <c r="G100" i="10"/>
  <c r="AF100" i="10"/>
  <c r="H100" i="10"/>
  <c r="AD100" i="10"/>
  <c r="R100" i="10"/>
  <c r="Z71" i="10"/>
  <c r="W71" i="10"/>
  <c r="K71" i="10"/>
  <c r="V71" i="10"/>
  <c r="J71" i="10"/>
  <c r="AG71" i="10"/>
  <c r="U71" i="10"/>
  <c r="I71" i="10"/>
  <c r="AF71" i="10"/>
  <c r="T71" i="10"/>
  <c r="H71" i="10"/>
  <c r="AE71" i="10"/>
  <c r="S71" i="10"/>
  <c r="G71" i="10"/>
  <c r="AD71" i="10"/>
  <c r="R71" i="10"/>
  <c r="AC71" i="10"/>
  <c r="Q71" i="10"/>
  <c r="AB71" i="10"/>
  <c r="P71" i="10"/>
  <c r="AA71" i="10"/>
  <c r="O71" i="10"/>
  <c r="N71" i="10"/>
  <c r="Y71" i="10"/>
  <c r="M71" i="10"/>
  <c r="X71" i="10"/>
  <c r="L71" i="10"/>
  <c r="W73" i="10"/>
  <c r="K73" i="10"/>
  <c r="V73" i="10"/>
  <c r="J73" i="10"/>
  <c r="AG73" i="10"/>
  <c r="U73" i="10"/>
  <c r="I73" i="10"/>
  <c r="AF73" i="10"/>
  <c r="T73" i="10"/>
  <c r="H73" i="10"/>
  <c r="AE73" i="10"/>
  <c r="S73" i="10"/>
  <c r="G73" i="10"/>
  <c r="AD73" i="10"/>
  <c r="R73" i="10"/>
  <c r="AC73" i="10"/>
  <c r="Q73" i="10"/>
  <c r="AB73" i="10"/>
  <c r="P73" i="10"/>
  <c r="AA73" i="10"/>
  <c r="O73" i="10"/>
  <c r="N73" i="10"/>
  <c r="Y73" i="10"/>
  <c r="M73" i="10"/>
  <c r="Z73" i="10"/>
  <c r="X73" i="10"/>
  <c r="L73" i="10"/>
  <c r="N75" i="10"/>
  <c r="W75" i="10"/>
  <c r="K75" i="10"/>
  <c r="V75" i="10"/>
  <c r="J75" i="10"/>
  <c r="AG75" i="10"/>
  <c r="U75" i="10"/>
  <c r="I75" i="10"/>
  <c r="AF75" i="10"/>
  <c r="T75" i="10"/>
  <c r="H75" i="10"/>
  <c r="AE75" i="10"/>
  <c r="S75" i="10"/>
  <c r="G75" i="10"/>
  <c r="AD75" i="10"/>
  <c r="R75" i="10"/>
  <c r="AC75" i="10"/>
  <c r="Q75" i="10"/>
  <c r="AB75" i="10"/>
  <c r="P75" i="10"/>
  <c r="AA75" i="10"/>
  <c r="O75" i="10"/>
  <c r="Z75" i="10"/>
  <c r="Y75" i="10"/>
  <c r="M75" i="10"/>
  <c r="X75" i="10"/>
  <c r="L75" i="10"/>
  <c r="N77" i="10"/>
  <c r="W77" i="10"/>
  <c r="K77" i="10"/>
  <c r="V77" i="10"/>
  <c r="J77" i="10"/>
  <c r="AG77" i="10"/>
  <c r="U77" i="10"/>
  <c r="I77" i="10"/>
  <c r="AF77" i="10"/>
  <c r="T77" i="10"/>
  <c r="H77" i="10"/>
  <c r="AE77" i="10"/>
  <c r="S77" i="10"/>
  <c r="G77" i="10"/>
  <c r="AD77" i="10"/>
  <c r="R77" i="10"/>
  <c r="AC77" i="10"/>
  <c r="Q77" i="10"/>
  <c r="AB77" i="10"/>
  <c r="P77" i="10"/>
  <c r="AA77" i="10"/>
  <c r="O77" i="10"/>
  <c r="Y77" i="10"/>
  <c r="M77" i="10"/>
  <c r="Z77" i="10"/>
  <c r="X77" i="10"/>
  <c r="L77" i="10"/>
  <c r="Z79" i="10"/>
  <c r="W79" i="10"/>
  <c r="K79" i="10"/>
  <c r="V79" i="10"/>
  <c r="J79" i="10"/>
  <c r="AG79" i="10"/>
  <c r="U79" i="10"/>
  <c r="I79" i="10"/>
  <c r="AF79" i="10"/>
  <c r="T79" i="10"/>
  <c r="H79" i="10"/>
  <c r="AE79" i="10"/>
  <c r="S79" i="10"/>
  <c r="G79" i="10"/>
  <c r="AD79" i="10"/>
  <c r="R79" i="10"/>
  <c r="AC79" i="10"/>
  <c r="Q79" i="10"/>
  <c r="AB79" i="10"/>
  <c r="P79" i="10"/>
  <c r="AA79" i="10"/>
  <c r="O79" i="10"/>
  <c r="N79" i="10"/>
  <c r="Y79" i="10"/>
  <c r="M79" i="10"/>
  <c r="X79" i="10"/>
  <c r="L79" i="10"/>
  <c r="W81" i="10"/>
  <c r="K81" i="10"/>
  <c r="V81" i="10"/>
  <c r="J81" i="10"/>
  <c r="AG81" i="10"/>
  <c r="U81" i="10"/>
  <c r="I81" i="10"/>
  <c r="AF81" i="10"/>
  <c r="T81" i="10"/>
  <c r="H81" i="10"/>
  <c r="AE81" i="10"/>
  <c r="S81" i="10"/>
  <c r="G81" i="10"/>
  <c r="AD81" i="10"/>
  <c r="R81" i="10"/>
  <c r="AC81" i="10"/>
  <c r="Q81" i="10"/>
  <c r="AB81" i="10"/>
  <c r="P81" i="10"/>
  <c r="AA81" i="10"/>
  <c r="O81" i="10"/>
  <c r="Z81" i="10"/>
  <c r="Y81" i="10"/>
  <c r="M81" i="10"/>
  <c r="N81" i="10"/>
  <c r="X81" i="10"/>
  <c r="L81" i="10"/>
  <c r="N83" i="10"/>
  <c r="W83" i="10"/>
  <c r="K83" i="10"/>
  <c r="V83" i="10"/>
  <c r="AG83" i="10"/>
  <c r="U83" i="10"/>
  <c r="I83" i="10"/>
  <c r="J83" i="10"/>
  <c r="AF83" i="10"/>
  <c r="T83" i="10"/>
  <c r="H83" i="10"/>
  <c r="AE83" i="10"/>
  <c r="S83" i="10"/>
  <c r="G83" i="10"/>
  <c r="AD83" i="10"/>
  <c r="R83" i="10"/>
  <c r="AC83" i="10"/>
  <c r="Q83" i="10"/>
  <c r="AB83" i="10"/>
  <c r="P83" i="10"/>
  <c r="AA83" i="10"/>
  <c r="O83" i="10"/>
  <c r="Y83" i="10"/>
  <c r="M83" i="10"/>
  <c r="Z83" i="10"/>
  <c r="X83" i="10"/>
  <c r="L83" i="10"/>
  <c r="Z85" i="10"/>
  <c r="W85" i="10"/>
  <c r="K85" i="10"/>
  <c r="AG85" i="10"/>
  <c r="U85" i="10"/>
  <c r="I85" i="10"/>
  <c r="AF85" i="10"/>
  <c r="T85" i="10"/>
  <c r="H85" i="10"/>
  <c r="AE85" i="10"/>
  <c r="S85" i="10"/>
  <c r="G85" i="10"/>
  <c r="J85" i="10"/>
  <c r="AD85" i="10"/>
  <c r="R85" i="10"/>
  <c r="AC85" i="10"/>
  <c r="Q85" i="10"/>
  <c r="V85" i="10"/>
  <c r="AB85" i="10"/>
  <c r="P85" i="10"/>
  <c r="AA85" i="10"/>
  <c r="O85" i="10"/>
  <c r="N85" i="10"/>
  <c r="Y85" i="10"/>
  <c r="M85" i="10"/>
  <c r="X85" i="10"/>
  <c r="L85" i="10"/>
  <c r="Z87" i="10"/>
  <c r="W87" i="10"/>
  <c r="K87" i="10"/>
  <c r="V87" i="10"/>
  <c r="J87" i="10"/>
  <c r="AG87" i="10"/>
  <c r="U87" i="10"/>
  <c r="I87" i="10"/>
  <c r="AF87" i="10"/>
  <c r="T87" i="10"/>
  <c r="H87" i="10"/>
  <c r="AE87" i="10"/>
  <c r="S87" i="10"/>
  <c r="G87" i="10"/>
  <c r="AD87" i="10"/>
  <c r="R87" i="10"/>
  <c r="AC87" i="10"/>
  <c r="Q87" i="10"/>
  <c r="AB87" i="10"/>
  <c r="P87" i="10"/>
  <c r="AA87" i="10"/>
  <c r="O87" i="10"/>
  <c r="Y87" i="10"/>
  <c r="M87" i="10"/>
  <c r="N87" i="10"/>
  <c r="X87" i="10"/>
  <c r="L87" i="10"/>
  <c r="W89" i="10"/>
  <c r="K89" i="10"/>
  <c r="AG89" i="10"/>
  <c r="U89" i="10"/>
  <c r="I89" i="10"/>
  <c r="AF89" i="10"/>
  <c r="T89" i="10"/>
  <c r="H89" i="10"/>
  <c r="J89" i="10"/>
  <c r="AE89" i="10"/>
  <c r="S89" i="10"/>
  <c r="G89" i="10"/>
  <c r="AD89" i="10"/>
  <c r="R89" i="10"/>
  <c r="AC89" i="10"/>
  <c r="Q89" i="10"/>
  <c r="V89" i="10"/>
  <c r="AB89" i="10"/>
  <c r="P89" i="10"/>
  <c r="AA89" i="10"/>
  <c r="O89" i="10"/>
  <c r="N89" i="10"/>
  <c r="Y89" i="10"/>
  <c r="M89" i="10"/>
  <c r="Z89" i="10"/>
  <c r="X89" i="10"/>
  <c r="L89" i="10"/>
  <c r="W91" i="10"/>
  <c r="K91" i="10"/>
  <c r="AG91" i="10"/>
  <c r="U91" i="10"/>
  <c r="I91" i="10"/>
  <c r="AF91" i="10"/>
  <c r="T91" i="10"/>
  <c r="H91" i="10"/>
  <c r="V91" i="10"/>
  <c r="AE91" i="10"/>
  <c r="S91" i="10"/>
  <c r="G91" i="10"/>
  <c r="AD91" i="10"/>
  <c r="R91" i="10"/>
  <c r="AC91" i="10"/>
  <c r="Q91" i="10"/>
  <c r="N91" i="10"/>
  <c r="J91" i="10"/>
  <c r="AB91" i="10"/>
  <c r="P91" i="10"/>
  <c r="AA91" i="10"/>
  <c r="O91" i="10"/>
  <c r="Y91" i="10"/>
  <c r="M91" i="10"/>
  <c r="Z91" i="10"/>
  <c r="X91" i="10"/>
  <c r="L91" i="10"/>
  <c r="W93" i="10"/>
  <c r="K93" i="10"/>
  <c r="AG93" i="10"/>
  <c r="U93" i="10"/>
  <c r="I93" i="10"/>
  <c r="J93" i="10"/>
  <c r="AF93" i="10"/>
  <c r="T93" i="10"/>
  <c r="H93" i="10"/>
  <c r="AE93" i="10"/>
  <c r="S93" i="10"/>
  <c r="G93" i="10"/>
  <c r="AD93" i="10"/>
  <c r="R93" i="10"/>
  <c r="Z93" i="10"/>
  <c r="V93" i="10"/>
  <c r="AC93" i="10"/>
  <c r="Q93" i="10"/>
  <c r="AB93" i="10"/>
  <c r="P93" i="10"/>
  <c r="AA93" i="10"/>
  <c r="O93" i="10"/>
  <c r="Y93" i="10"/>
  <c r="M93" i="10"/>
  <c r="N93" i="10"/>
  <c r="X93" i="10"/>
  <c r="L93" i="10"/>
  <c r="W95" i="10"/>
  <c r="K95" i="10"/>
  <c r="AG95" i="10"/>
  <c r="U95" i="10"/>
  <c r="I95" i="10"/>
  <c r="AF95" i="10"/>
  <c r="T95" i="10"/>
  <c r="H95" i="10"/>
  <c r="AE95" i="10"/>
  <c r="S95" i="10"/>
  <c r="G95" i="10"/>
  <c r="AD95" i="10"/>
  <c r="R95" i="10"/>
  <c r="V95" i="10"/>
  <c r="AC95" i="10"/>
  <c r="Q95" i="10"/>
  <c r="J95" i="10"/>
  <c r="AB95" i="10"/>
  <c r="P95" i="10"/>
  <c r="AA95" i="10"/>
  <c r="O95" i="10"/>
  <c r="N95" i="10"/>
  <c r="Y95" i="10"/>
  <c r="M95" i="10"/>
  <c r="Z95" i="10"/>
  <c r="X95" i="10"/>
  <c r="L95" i="10"/>
  <c r="W97" i="10"/>
  <c r="K97" i="10"/>
  <c r="AG97" i="10"/>
  <c r="U97" i="10"/>
  <c r="I97" i="10"/>
  <c r="AF97" i="10"/>
  <c r="T97" i="10"/>
  <c r="H97" i="10"/>
  <c r="V97" i="10"/>
  <c r="AE97" i="10"/>
  <c r="S97" i="10"/>
  <c r="G97" i="10"/>
  <c r="AD97" i="10"/>
  <c r="R97" i="10"/>
  <c r="AC97" i="10"/>
  <c r="Q97" i="10"/>
  <c r="J97" i="10"/>
  <c r="AB97" i="10"/>
  <c r="P97" i="10"/>
  <c r="AA97" i="10"/>
  <c r="O97" i="10"/>
  <c r="Z97" i="10"/>
  <c r="Y97" i="10"/>
  <c r="M97" i="10"/>
  <c r="N97" i="10"/>
  <c r="X97" i="10"/>
  <c r="L97" i="10"/>
  <c r="Z99" i="10"/>
  <c r="W99" i="10"/>
  <c r="K99" i="10"/>
  <c r="AG99" i="10"/>
  <c r="U99" i="10"/>
  <c r="I99" i="10"/>
  <c r="J99" i="10"/>
  <c r="AF99" i="10"/>
  <c r="T99" i="10"/>
  <c r="H99" i="10"/>
  <c r="AE99" i="10"/>
  <c r="S99" i="10"/>
  <c r="G99" i="10"/>
  <c r="AD99" i="10"/>
  <c r="R99" i="10"/>
  <c r="AC99" i="10"/>
  <c r="Q99" i="10"/>
  <c r="V99" i="10"/>
  <c r="AB99" i="10"/>
  <c r="P99" i="10"/>
  <c r="AA99" i="10"/>
  <c r="O99" i="10"/>
  <c r="N99" i="10"/>
  <c r="Y99" i="10"/>
  <c r="M99" i="10"/>
  <c r="X99" i="10"/>
  <c r="L99" i="10"/>
  <c r="X7" i="26" l="1"/>
  <c r="F7" i="26"/>
  <c r="S7" i="26"/>
  <c r="N7" i="26"/>
  <c r="J7" i="26"/>
  <c r="F8" i="26"/>
  <c r="F9" i="27"/>
  <c r="U9" i="27"/>
  <c r="AA13" i="26"/>
  <c r="F14" i="30"/>
  <c r="F19" i="27"/>
  <c r="N8" i="26"/>
  <c r="AK9" i="27"/>
  <c r="BJ9" i="27"/>
  <c r="S11" i="26"/>
  <c r="F19" i="28"/>
  <c r="AF19" i="27"/>
  <c r="F9" i="30"/>
  <c r="F17" i="30"/>
  <c r="Z9" i="27"/>
  <c r="F8" i="30"/>
  <c r="AH9" i="27"/>
  <c r="N9" i="27"/>
  <c r="AX9" i="27"/>
  <c r="BD19" i="27"/>
  <c r="K19" i="27"/>
  <c r="J19" i="27"/>
  <c r="AR19" i="27"/>
  <c r="AV9" i="27"/>
  <c r="F8" i="27"/>
  <c r="N14" i="26"/>
  <c r="X10" i="26"/>
  <c r="AK8" i="27"/>
  <c r="X17" i="26"/>
  <c r="AA15" i="26"/>
  <c r="I9" i="27"/>
  <c r="K9" i="27"/>
  <c r="BQ9" i="27"/>
  <c r="F14" i="10"/>
  <c r="F18" i="28"/>
  <c r="AA14" i="26"/>
  <c r="AU19" i="27"/>
  <c r="AI9" i="27"/>
  <c r="AC9" i="27"/>
  <c r="AN9" i="27"/>
  <c r="S9" i="27"/>
  <c r="BC9" i="27"/>
  <c r="BM19" i="27"/>
  <c r="AK19" i="27"/>
  <c r="BG19" i="27"/>
  <c r="BL19" i="27"/>
  <c r="G14" i="10"/>
  <c r="Y9" i="27"/>
  <c r="BQ8" i="27"/>
  <c r="O8" i="27"/>
  <c r="AP8" i="27"/>
  <c r="F16" i="10"/>
  <c r="AG8" i="27"/>
  <c r="AX8" i="27"/>
  <c r="H16" i="10"/>
  <c r="AJ8" i="27"/>
  <c r="P16" i="10"/>
  <c r="AD16" i="10"/>
  <c r="F11" i="27"/>
  <c r="BK11" i="27"/>
  <c r="N11" i="27"/>
  <c r="AE8" i="27"/>
  <c r="BO19" i="27"/>
  <c r="AZ9" i="27"/>
  <c r="AG11" i="27"/>
  <c r="S16" i="26"/>
  <c r="P8" i="27"/>
  <c r="AZ11" i="27"/>
  <c r="AO8" i="27"/>
  <c r="AF16" i="10"/>
  <c r="W19" i="27"/>
  <c r="S8" i="26"/>
  <c r="AS19" i="27"/>
  <c r="BG9" i="27"/>
  <c r="O9" i="27"/>
  <c r="J16" i="10"/>
  <c r="BQ11" i="27"/>
  <c r="BP11" i="27"/>
  <c r="AG19" i="27"/>
  <c r="BC19" i="27"/>
  <c r="AA19" i="27"/>
  <c r="AR8" i="27"/>
  <c r="S19" i="26"/>
  <c r="N17" i="26"/>
  <c r="K8" i="27"/>
  <c r="F10" i="27"/>
  <c r="I16" i="10"/>
  <c r="F18" i="26"/>
  <c r="BE10" i="27"/>
  <c r="AC8" i="27"/>
  <c r="F15" i="30"/>
  <c r="BG8" i="27"/>
  <c r="AB10" i="27"/>
  <c r="K11" i="27"/>
  <c r="AD10" i="27"/>
  <c r="AB9" i="27"/>
  <c r="AV11" i="27"/>
  <c r="O11" i="27"/>
  <c r="J13" i="26"/>
  <c r="AU8" i="27"/>
  <c r="Q16" i="10"/>
  <c r="F8" i="28"/>
  <c r="G8" i="28" s="1"/>
  <c r="N19" i="27"/>
  <c r="J11" i="26"/>
  <c r="V10" i="27"/>
  <c r="Z16" i="10"/>
  <c r="U19" i="27"/>
  <c r="AG9" i="27"/>
  <c r="X9" i="27"/>
  <c r="BI9" i="27"/>
  <c r="U16" i="10"/>
  <c r="BA10" i="27"/>
  <c r="R9" i="27"/>
  <c r="AQ11" i="27"/>
  <c r="BG11" i="27"/>
  <c r="Q11" i="27"/>
  <c r="BH11" i="27"/>
  <c r="BH19" i="27"/>
  <c r="AT19" i="27"/>
  <c r="AB19" i="27"/>
  <c r="J14" i="10"/>
  <c r="Z14" i="10"/>
  <c r="F16" i="28"/>
  <c r="AA10" i="26"/>
  <c r="X19" i="26"/>
  <c r="F15" i="26"/>
  <c r="BO10" i="27"/>
  <c r="BF8" i="27"/>
  <c r="F13" i="26"/>
  <c r="F17" i="10"/>
  <c r="Q8" i="27"/>
  <c r="F9" i="28"/>
  <c r="N8" i="27"/>
  <c r="BH10" i="27"/>
  <c r="F9" i="26"/>
  <c r="S15" i="26"/>
  <c r="F10" i="10"/>
  <c r="F18" i="10"/>
  <c r="AZ8" i="27"/>
  <c r="F18" i="30"/>
  <c r="G14" i="30"/>
  <c r="N14" i="30" s="1"/>
  <c r="AA12" i="26"/>
  <c r="AL8" i="27"/>
  <c r="X10" i="27"/>
  <c r="R14" i="10"/>
  <c r="BM9" i="27"/>
  <c r="AA18" i="10"/>
  <c r="L8" i="27"/>
  <c r="AG14" i="10"/>
  <c r="T19" i="27"/>
  <c r="BC11" i="27"/>
  <c r="AT8" i="27"/>
  <c r="M14" i="30"/>
  <c r="P10" i="10"/>
  <c r="T14" i="10"/>
  <c r="X17" i="10"/>
  <c r="AA16" i="10"/>
  <c r="G16" i="28"/>
  <c r="J9" i="27"/>
  <c r="AB14" i="30"/>
  <c r="R16" i="10"/>
  <c r="AO10" i="27"/>
  <c r="AC17" i="10"/>
  <c r="P9" i="27"/>
  <c r="AH11" i="27"/>
  <c r="R11" i="27"/>
  <c r="BL11" i="27"/>
  <c r="AC11" i="27"/>
  <c r="N10" i="10"/>
  <c r="BJ19" i="27"/>
  <c r="X19" i="27"/>
  <c r="AC19" i="27"/>
  <c r="W18" i="10"/>
  <c r="Z18" i="10"/>
  <c r="Q14" i="10"/>
  <c r="O14" i="10"/>
  <c r="AA9" i="27"/>
  <c r="S10" i="26"/>
  <c r="BM8" i="27"/>
  <c r="J14" i="26"/>
  <c r="U10" i="27"/>
  <c r="X8" i="26"/>
  <c r="AY8" i="27"/>
  <c r="J12" i="26"/>
  <c r="F14" i="26"/>
  <c r="Q17" i="10"/>
  <c r="N10" i="27"/>
  <c r="F11" i="26"/>
  <c r="V8" i="27"/>
  <c r="AB17" i="10"/>
  <c r="Q18" i="10"/>
  <c r="G10" i="10"/>
  <c r="F11" i="10"/>
  <c r="S8" i="27"/>
  <c r="BK19" i="27"/>
  <c r="R11" i="10"/>
  <c r="AJ9" i="27"/>
  <c r="AA16" i="26"/>
  <c r="AW19" i="27"/>
  <c r="AE11" i="10"/>
  <c r="F9" i="10"/>
  <c r="AA11" i="26"/>
  <c r="AM8" i="27"/>
  <c r="I14" i="30"/>
  <c r="AY11" i="27"/>
  <c r="J18" i="10"/>
  <c r="N10" i="26"/>
  <c r="BF11" i="27"/>
  <c r="BH8" i="27"/>
  <c r="G18" i="28"/>
  <c r="BB10" i="27"/>
  <c r="W10" i="27"/>
  <c r="W9" i="27"/>
  <c r="BK9" i="27"/>
  <c r="L11" i="27"/>
  <c r="AA11" i="27"/>
  <c r="AP11" i="27"/>
  <c r="BE11" i="27"/>
  <c r="AG10" i="10"/>
  <c r="I19" i="27"/>
  <c r="L19" i="27"/>
  <c r="AX19" i="27"/>
  <c r="H18" i="10"/>
  <c r="AE18" i="10"/>
  <c r="L14" i="10"/>
  <c r="AF14" i="10"/>
  <c r="T11" i="10"/>
  <c r="N9" i="10"/>
  <c r="AF9" i="10"/>
  <c r="X10" i="10"/>
  <c r="M11" i="10"/>
  <c r="F13" i="27"/>
  <c r="J9" i="26"/>
  <c r="AA8" i="26"/>
  <c r="F10" i="30"/>
  <c r="G10" i="30" s="1"/>
  <c r="R8" i="27"/>
  <c r="N15" i="26"/>
  <c r="F16" i="26"/>
  <c r="N16" i="10"/>
  <c r="BD10" i="27"/>
  <c r="Y10" i="27"/>
  <c r="J10" i="26"/>
  <c r="S17" i="26"/>
  <c r="F15" i="10"/>
  <c r="P15" i="10"/>
  <c r="J19" i="26"/>
  <c r="BO8" i="27"/>
  <c r="U8" i="27"/>
  <c r="Y16" i="10"/>
  <c r="J17" i="10"/>
  <c r="J17" i="26"/>
  <c r="Y13" i="27"/>
  <c r="F17" i="28"/>
  <c r="G17" i="28" s="1"/>
  <c r="AT11" i="27"/>
  <c r="S14" i="30"/>
  <c r="R13" i="27"/>
  <c r="R18" i="10"/>
  <c r="F16" i="30"/>
  <c r="G16" i="30" s="1"/>
  <c r="AM19" i="27"/>
  <c r="G9" i="27"/>
  <c r="BQ19" i="27"/>
  <c r="X14" i="26"/>
  <c r="BI8" i="27"/>
  <c r="AA14" i="10"/>
  <c r="Y19" i="27"/>
  <c r="AK11" i="27"/>
  <c r="AC18" i="10"/>
  <c r="O19" i="27"/>
  <c r="I18" i="10"/>
  <c r="AI13" i="27"/>
  <c r="AB14" i="10"/>
  <c r="BN8" i="27"/>
  <c r="T17" i="10"/>
  <c r="AR9" i="27"/>
  <c r="AU10" i="27"/>
  <c r="Q10" i="27"/>
  <c r="AG15" i="10"/>
  <c r="AU9" i="27"/>
  <c r="BL9" i="27"/>
  <c r="BD11" i="27"/>
  <c r="H11" i="27"/>
  <c r="W11" i="27"/>
  <c r="R10" i="10"/>
  <c r="AA10" i="10"/>
  <c r="AI19" i="27"/>
  <c r="BI19" i="27"/>
  <c r="S19" i="27"/>
  <c r="L18" i="10"/>
  <c r="AG14" i="30"/>
  <c r="AD14" i="10"/>
  <c r="I14" i="10"/>
  <c r="G11" i="10"/>
  <c r="H16" i="30"/>
  <c r="S10" i="30"/>
  <c r="L9" i="10"/>
  <c r="AE9" i="10"/>
  <c r="AA16" i="30"/>
  <c r="AG16" i="30"/>
  <c r="H9" i="27"/>
  <c r="G17" i="30"/>
  <c r="F11" i="28"/>
  <c r="G11" i="28" s="1"/>
  <c r="X12" i="26"/>
  <c r="J16" i="26"/>
  <c r="AY13" i="27"/>
  <c r="F8" i="10"/>
  <c r="F15" i="28"/>
  <c r="G15" i="28" s="1"/>
  <c r="T16" i="10"/>
  <c r="O16" i="10"/>
  <c r="X13" i="26"/>
  <c r="AZ10" i="27"/>
  <c r="X11" i="26"/>
  <c r="AL10" i="27"/>
  <c r="AH8" i="27"/>
  <c r="Z17" i="10"/>
  <c r="F10" i="26"/>
  <c r="AV8" i="27"/>
  <c r="AT9" i="27"/>
  <c r="AI11" i="27"/>
  <c r="AZ19" i="27"/>
  <c r="J10" i="10"/>
  <c r="P19" i="27"/>
  <c r="U15" i="10"/>
  <c r="S18" i="26"/>
  <c r="AN13" i="27"/>
  <c r="AD10" i="10"/>
  <c r="AA18" i="26"/>
  <c r="M16" i="10"/>
  <c r="BD9" i="27"/>
  <c r="AM11" i="27"/>
  <c r="S9" i="26"/>
  <c r="N15" i="10"/>
  <c r="AG16" i="10"/>
  <c r="U13" i="27"/>
  <c r="AE19" i="27"/>
  <c r="AG11" i="10"/>
  <c r="BP10" i="27"/>
  <c r="AG17" i="10"/>
  <c r="N18" i="26"/>
  <c r="AH19" i="27"/>
  <c r="BP8" i="27"/>
  <c r="P18" i="10"/>
  <c r="BF9" i="27"/>
  <c r="W15" i="10"/>
  <c r="G18" i="30"/>
  <c r="P10" i="27"/>
  <c r="AH10" i="27"/>
  <c r="AF15" i="10"/>
  <c r="Q9" i="27"/>
  <c r="BP9" i="27"/>
  <c r="AW11" i="27"/>
  <c r="AO11" i="27"/>
  <c r="V11" i="27"/>
  <c r="AF10" i="10"/>
  <c r="T10" i="10"/>
  <c r="BF19" i="27"/>
  <c r="M19" i="27"/>
  <c r="G19" i="27"/>
  <c r="G18" i="10"/>
  <c r="AC14" i="30"/>
  <c r="M14" i="10"/>
  <c r="P14" i="10"/>
  <c r="L11" i="10"/>
  <c r="AB9" i="10"/>
  <c r="AA9" i="10"/>
  <c r="R16" i="30"/>
  <c r="X16" i="30"/>
  <c r="G11" i="27"/>
  <c r="O11" i="10"/>
  <c r="J9" i="10"/>
  <c r="AT13" i="27"/>
  <c r="AR13" i="27"/>
  <c r="F15" i="27"/>
  <c r="F12" i="27"/>
  <c r="BK8" i="27"/>
  <c r="F17" i="26"/>
  <c r="R15" i="27"/>
  <c r="N13" i="27"/>
  <c r="T8" i="27"/>
  <c r="T13" i="27"/>
  <c r="AG10" i="27"/>
  <c r="R10" i="27"/>
  <c r="W12" i="27"/>
  <c r="O13" i="27"/>
  <c r="O8" i="10"/>
  <c r="F19" i="30"/>
  <c r="AB12" i="27"/>
  <c r="X9" i="26"/>
  <c r="BE8" i="27"/>
  <c r="BG12" i="27"/>
  <c r="AA8" i="27"/>
  <c r="M9" i="27"/>
  <c r="X18" i="26"/>
  <c r="S16" i="10"/>
  <c r="AE8" i="10"/>
  <c r="BB8" i="27"/>
  <c r="AO9" i="27"/>
  <c r="AX15" i="27"/>
  <c r="S13" i="26"/>
  <c r="AS13" i="27"/>
  <c r="I8" i="27"/>
  <c r="AC16" i="10"/>
  <c r="AE17" i="10"/>
  <c r="AR11" i="27"/>
  <c r="K8" i="10"/>
  <c r="AL11" i="27"/>
  <c r="U14" i="10"/>
  <c r="AD8" i="27"/>
  <c r="I8" i="10"/>
  <c r="K16" i="10"/>
  <c r="I11" i="10"/>
  <c r="G15" i="30"/>
  <c r="BM11" i="27"/>
  <c r="H8" i="27"/>
  <c r="N9" i="26"/>
  <c r="BM10" i="27"/>
  <c r="Q13" i="27"/>
  <c r="BL10" i="27"/>
  <c r="S17" i="10"/>
  <c r="G19" i="28"/>
  <c r="W14" i="10"/>
  <c r="Z10" i="27"/>
  <c r="BC10" i="27"/>
  <c r="G13" i="27"/>
  <c r="AY12" i="27"/>
  <c r="G10" i="27"/>
  <c r="S12" i="27"/>
  <c r="AX10" i="27"/>
  <c r="AJ10" i="27"/>
  <c r="K15" i="10"/>
  <c r="V9" i="27"/>
  <c r="AF9" i="27"/>
  <c r="AB11" i="27"/>
  <c r="Z11" i="27"/>
  <c r="BI11" i="27"/>
  <c r="AB10" i="10"/>
  <c r="H10" i="10"/>
  <c r="AV19" i="27"/>
  <c r="AY19" i="27"/>
  <c r="BE19" i="27"/>
  <c r="Y18" i="10"/>
  <c r="W14" i="30"/>
  <c r="V14" i="10"/>
  <c r="N14" i="10"/>
  <c r="Z11" i="10"/>
  <c r="R10" i="30"/>
  <c r="AC15" i="30"/>
  <c r="X15" i="30"/>
  <c r="G9" i="30"/>
  <c r="H9" i="10"/>
  <c r="AG9" i="10"/>
  <c r="P16" i="30"/>
  <c r="V16" i="30"/>
  <c r="N9" i="30"/>
  <c r="S17" i="30"/>
  <c r="AN11" i="27"/>
  <c r="X14" i="10"/>
  <c r="N10" i="30"/>
  <c r="K9" i="10"/>
  <c r="F12" i="28"/>
  <c r="G12" i="28" s="1"/>
  <c r="N19" i="26"/>
  <c r="BH13" i="27"/>
  <c r="BK13" i="27"/>
  <c r="N12" i="27"/>
  <c r="X15" i="26"/>
  <c r="J15" i="26"/>
  <c r="T8" i="10"/>
  <c r="Y8" i="27"/>
  <c r="J8" i="10"/>
  <c r="F13" i="10"/>
  <c r="F11" i="30"/>
  <c r="G11" i="30" s="1"/>
  <c r="BB12" i="27"/>
  <c r="AA8" i="10"/>
  <c r="J13" i="27"/>
  <c r="AV12" i="27"/>
  <c r="AO15" i="27"/>
  <c r="F12" i="26"/>
  <c r="P8" i="10"/>
  <c r="BD8" i="27"/>
  <c r="AQ9" i="27"/>
  <c r="AQ15" i="27"/>
  <c r="AM15" i="27"/>
  <c r="BG15" i="27"/>
  <c r="S10" i="27"/>
  <c r="L9" i="27"/>
  <c r="X16" i="26"/>
  <c r="AF11" i="27"/>
  <c r="AM12" i="27"/>
  <c r="BJ8" i="27"/>
  <c r="AF17" i="10"/>
  <c r="G8" i="10"/>
  <c r="AG18" i="10"/>
  <c r="Z8" i="27"/>
  <c r="I13" i="10"/>
  <c r="BA8" i="27"/>
  <c r="AU11" i="27"/>
  <c r="AP13" i="27"/>
  <c r="BI13" i="27"/>
  <c r="F18" i="27"/>
  <c r="BQ15" i="27"/>
  <c r="M8" i="27"/>
  <c r="S14" i="10"/>
  <c r="J8" i="27"/>
  <c r="AL13" i="27"/>
  <c r="BF10" i="27"/>
  <c r="G19" i="30"/>
  <c r="S12" i="26"/>
  <c r="M13" i="27"/>
  <c r="F12" i="30"/>
  <c r="H10" i="30"/>
  <c r="AK10" i="27"/>
  <c r="W13" i="10"/>
  <c r="AA17" i="10"/>
  <c r="S8" i="10"/>
  <c r="I19" i="30"/>
  <c r="BA9" i="27"/>
  <c r="T9" i="27"/>
  <c r="AR15" i="27"/>
  <c r="BM12" i="27"/>
  <c r="AQ10" i="27"/>
  <c r="AS10" i="27"/>
  <c r="R17" i="10"/>
  <c r="AD15" i="10"/>
  <c r="U11" i="27"/>
  <c r="AL19" i="27"/>
  <c r="AO19" i="27"/>
  <c r="R19" i="27"/>
  <c r="S18" i="10"/>
  <c r="R15" i="30"/>
  <c r="AF13" i="27"/>
  <c r="BQ13" i="27"/>
  <c r="F17" i="27"/>
  <c r="J18" i="26"/>
  <c r="AE13" i="27"/>
  <c r="BJ13" i="27"/>
  <c r="AD15" i="27"/>
  <c r="AW12" i="27"/>
  <c r="AT15" i="27"/>
  <c r="AY15" i="27"/>
  <c r="S13" i="27"/>
  <c r="Z12" i="27"/>
  <c r="T15" i="27"/>
  <c r="AN8" i="27"/>
  <c r="AK17" i="27"/>
  <c r="R13" i="10"/>
  <c r="F13" i="30"/>
  <c r="H13" i="30" s="1"/>
  <c r="AK15" i="27"/>
  <c r="BE15" i="27"/>
  <c r="I10" i="27"/>
  <c r="AL9" i="27"/>
  <c r="F13" i="28"/>
  <c r="G13" i="28" s="1"/>
  <c r="BC8" i="27"/>
  <c r="L12" i="27"/>
  <c r="AW10" i="27"/>
  <c r="BN9" i="27"/>
  <c r="AD11" i="27"/>
  <c r="AC17" i="27"/>
  <c r="J10" i="27"/>
  <c r="AA9" i="26"/>
  <c r="AF8" i="27"/>
  <c r="H11" i="30"/>
  <c r="AH13" i="27"/>
  <c r="AM13" i="27"/>
  <c r="I12" i="27"/>
  <c r="AB8" i="27"/>
  <c r="AY9" i="27"/>
  <c r="AB18" i="10"/>
  <c r="Q13" i="10"/>
  <c r="BJ15" i="27"/>
  <c r="AH17" i="27"/>
  <c r="Q19" i="27"/>
  <c r="H19" i="27"/>
  <c r="M18" i="10"/>
  <c r="L13" i="10"/>
  <c r="K13" i="27"/>
  <c r="AC8" i="10"/>
  <c r="F16" i="27"/>
  <c r="AW8" i="27"/>
  <c r="Z15" i="27"/>
  <c r="M9" i="10"/>
  <c r="AA16" i="27"/>
  <c r="BH9" i="27"/>
  <c r="F10" i="28"/>
  <c r="AN19" i="27"/>
  <c r="AC10" i="10"/>
  <c r="N12" i="26"/>
  <c r="AI8" i="27"/>
  <c r="AB15" i="30"/>
  <c r="I9" i="10"/>
  <c r="BH16" i="27"/>
  <c r="H17" i="10"/>
  <c r="AS16" i="27"/>
  <c r="BC18" i="27"/>
  <c r="AK18" i="27"/>
  <c r="G10" i="28"/>
  <c r="R14" i="30"/>
  <c r="AG15" i="27"/>
  <c r="Q8" i="10"/>
  <c r="AE10" i="27"/>
  <c r="AM10" i="27"/>
  <c r="V17" i="10"/>
  <c r="AE15" i="10"/>
  <c r="AD9" i="27"/>
  <c r="BB9" i="27"/>
  <c r="BO11" i="27"/>
  <c r="BN11" i="27"/>
  <c r="I11" i="27"/>
  <c r="W10" i="10"/>
  <c r="AD19" i="27"/>
  <c r="Z19" i="27"/>
  <c r="AQ19" i="27"/>
  <c r="AP19" i="27"/>
  <c r="K18" i="10"/>
  <c r="K14" i="10"/>
  <c r="J11" i="10"/>
  <c r="Q11" i="10"/>
  <c r="AC11" i="30"/>
  <c r="V10" i="30"/>
  <c r="M10" i="30"/>
  <c r="W15" i="30"/>
  <c r="N15" i="30"/>
  <c r="L18" i="27"/>
  <c r="BA18" i="27"/>
  <c r="BE18" i="27"/>
  <c r="H17" i="30"/>
  <c r="Z9" i="10"/>
  <c r="BM16" i="27"/>
  <c r="BE16" i="27"/>
  <c r="AV16" i="27"/>
  <c r="Z16" i="27"/>
  <c r="W19" i="30"/>
  <c r="N19" i="30"/>
  <c r="U16" i="30"/>
  <c r="Q16" i="30"/>
  <c r="AC9" i="30"/>
  <c r="AD17" i="30"/>
  <c r="P17" i="30"/>
  <c r="X11" i="27"/>
  <c r="BB19" i="27"/>
  <c r="Y10" i="30"/>
  <c r="BI18" i="27"/>
  <c r="N16" i="26"/>
  <c r="F19" i="10"/>
  <c r="BO13" i="27"/>
  <c r="AI15" i="27"/>
  <c r="G15" i="27"/>
  <c r="N13" i="26"/>
  <c r="J8" i="26"/>
  <c r="AC13" i="27"/>
  <c r="AR12" i="27"/>
  <c r="AA19" i="26"/>
  <c r="AQ8" i="27"/>
  <c r="AI17" i="27"/>
  <c r="Y13" i="10"/>
  <c r="AA17" i="26"/>
  <c r="AQ12" i="27"/>
  <c r="AT10" i="27"/>
  <c r="AE13" i="10"/>
  <c r="H15" i="27"/>
  <c r="AS8" i="27"/>
  <c r="BQ10" i="27"/>
  <c r="BJ10" i="27"/>
  <c r="AS9" i="27"/>
  <c r="T17" i="27"/>
  <c r="Q12" i="27"/>
  <c r="F19" i="26"/>
  <c r="T10" i="27"/>
  <c r="AP9" i="27"/>
  <c r="AH15" i="27"/>
  <c r="BL8" i="27"/>
  <c r="AD8" i="10"/>
  <c r="AA13" i="10"/>
  <c r="U18" i="10"/>
  <c r="BO9" i="27"/>
  <c r="F12" i="10"/>
  <c r="BN19" i="27"/>
  <c r="F14" i="27"/>
  <c r="BC12" i="27"/>
  <c r="BP15" i="27"/>
  <c r="O10" i="27"/>
  <c r="R15" i="10"/>
  <c r="AA11" i="30"/>
  <c r="N11" i="26"/>
  <c r="X8" i="27"/>
  <c r="AY10" i="27"/>
  <c r="AB11" i="10"/>
  <c r="J12" i="27"/>
  <c r="BG10" i="27"/>
  <c r="S14" i="26"/>
  <c r="AL17" i="27"/>
  <c r="V9" i="10"/>
  <c r="AC12" i="10"/>
  <c r="AS12" i="27"/>
  <c r="AN17" i="27"/>
  <c r="BN12" i="27"/>
  <c r="BP16" i="27"/>
  <c r="AE9" i="27"/>
  <c r="M10" i="10"/>
  <c r="F14" i="28"/>
  <c r="G14" i="28" s="1"/>
  <c r="P9" i="10"/>
  <c r="AG12" i="10"/>
  <c r="AI14" i="27"/>
  <c r="AJ13" i="27"/>
  <c r="BJ12" i="27"/>
  <c r="AJ16" i="27"/>
  <c r="AM9" i="27"/>
  <c r="I15" i="30"/>
  <c r="H19" i="30"/>
  <c r="Y19" i="30" s="1"/>
  <c r="X14" i="30"/>
  <c r="AP18" i="27"/>
  <c r="AF11" i="30"/>
  <c r="M15" i="27"/>
  <c r="X8" i="10"/>
  <c r="AF10" i="27"/>
  <c r="AA10" i="27"/>
  <c r="L17" i="10"/>
  <c r="AB15" i="10"/>
  <c r="AW9" i="27"/>
  <c r="BE9" i="27"/>
  <c r="BA11" i="27"/>
  <c r="AS11" i="27"/>
  <c r="BJ11" i="27"/>
  <c r="L10" i="10"/>
  <c r="BA19" i="27"/>
  <c r="BP19" i="27"/>
  <c r="V19" i="27"/>
  <c r="AJ19" i="27"/>
  <c r="T18" i="10"/>
  <c r="K12" i="10"/>
  <c r="AE12" i="10"/>
  <c r="H14" i="10"/>
  <c r="AD11" i="10"/>
  <c r="AF11" i="10"/>
  <c r="K14" i="27"/>
  <c r="T14" i="27"/>
  <c r="BN14" i="27"/>
  <c r="L11" i="30"/>
  <c r="AE10" i="30"/>
  <c r="L10" i="30"/>
  <c r="AJ18" i="27"/>
  <c r="R18" i="27"/>
  <c r="BH18" i="27"/>
  <c r="R9" i="10"/>
  <c r="S9" i="10"/>
  <c r="R16" i="27"/>
  <c r="AP16" i="27"/>
  <c r="M16" i="27"/>
  <c r="BF16" i="27"/>
  <c r="J19" i="30"/>
  <c r="AG19" i="30"/>
  <c r="X18" i="30"/>
  <c r="M18" i="30"/>
  <c r="Y16" i="30"/>
  <c r="O16" i="30"/>
  <c r="J17" i="30"/>
  <c r="U17" i="30"/>
  <c r="W17" i="30"/>
  <c r="Y15" i="10"/>
  <c r="AE14" i="10"/>
  <c r="M11" i="30"/>
  <c r="BP18" i="27"/>
  <c r="AQ16" i="27"/>
  <c r="AD16" i="30"/>
  <c r="N16" i="27"/>
  <c r="K17" i="30"/>
  <c r="S16" i="27"/>
  <c r="S16" i="30"/>
  <c r="L16" i="30"/>
  <c r="N18" i="30"/>
  <c r="BC16" i="27"/>
  <c r="X9" i="30"/>
  <c r="Y17" i="30"/>
  <c r="O17" i="30"/>
  <c r="AR16" i="27"/>
  <c r="I9" i="30"/>
  <c r="L19" i="30"/>
  <c r="Z17" i="30"/>
  <c r="T16" i="30"/>
  <c r="G8" i="30"/>
  <c r="O19" i="30"/>
  <c r="H8" i="30"/>
  <c r="T8" i="30"/>
  <c r="G13" i="30"/>
  <c r="AE13" i="30"/>
  <c r="X13" i="30"/>
  <c r="K8" i="30"/>
  <c r="H14" i="30"/>
  <c r="H9" i="30"/>
  <c r="K14" i="30"/>
  <c r="Y14" i="30"/>
  <c r="O13" i="30"/>
  <c r="Q13" i="30"/>
  <c r="J9" i="30"/>
  <c r="Y8" i="30"/>
  <c r="T14" i="30"/>
  <c r="J14" i="30"/>
  <c r="P13" i="30"/>
  <c r="AD13" i="30"/>
  <c r="AD9" i="30"/>
  <c r="AD8" i="30"/>
  <c r="O14" i="30"/>
  <c r="V13" i="30"/>
  <c r="R13" i="30"/>
  <c r="T13" i="30"/>
  <c r="O9" i="30"/>
  <c r="AE8" i="30"/>
  <c r="V14" i="30"/>
  <c r="W13" i="30"/>
  <c r="AA13" i="30"/>
  <c r="U9" i="30"/>
  <c r="L9" i="30"/>
  <c r="U8" i="30"/>
  <c r="L14" i="30"/>
  <c r="S13" i="30"/>
  <c r="M13" i="30"/>
  <c r="Q9" i="30"/>
  <c r="AA9" i="30"/>
  <c r="J8" i="30"/>
  <c r="Z14" i="30"/>
  <c r="K13" i="30"/>
  <c r="AB13" i="30"/>
  <c r="K9" i="30"/>
  <c r="Z9" i="30"/>
  <c r="Z8" i="30"/>
  <c r="W8" i="27"/>
  <c r="G8" i="27"/>
  <c r="Y14" i="10"/>
  <c r="AC14" i="10"/>
  <c r="AE16" i="10"/>
  <c r="G16" i="10"/>
  <c r="W16" i="10"/>
  <c r="V16" i="10"/>
  <c r="X16" i="10"/>
  <c r="AB16" i="10"/>
  <c r="L16" i="10"/>
  <c r="T11" i="27"/>
  <c r="M11" i="27"/>
  <c r="J11" i="27"/>
  <c r="BB11" i="27"/>
  <c r="S11" i="27"/>
  <c r="P11" i="27"/>
  <c r="AE11" i="27"/>
  <c r="AX11" i="27"/>
  <c r="Y11" i="27"/>
  <c r="AJ11" i="27"/>
  <c r="BK10" i="27"/>
  <c r="L10" i="27"/>
  <c r="AP10" i="27"/>
  <c r="AV10" i="27"/>
  <c r="M10" i="27"/>
  <c r="AN10" i="27"/>
  <c r="H10" i="27"/>
  <c r="AI10" i="27"/>
  <c r="BI10" i="27"/>
  <c r="BN10" i="27"/>
  <c r="AR10" i="27"/>
  <c r="AC10" i="27"/>
  <c r="K10" i="27"/>
  <c r="K17" i="10"/>
  <c r="Y17" i="10"/>
  <c r="W17" i="10"/>
  <c r="N17" i="10"/>
  <c r="O17" i="10"/>
  <c r="AD17" i="10"/>
  <c r="P17" i="10"/>
  <c r="G17" i="10"/>
  <c r="M17" i="10"/>
  <c r="U17" i="10"/>
  <c r="I17" i="10"/>
  <c r="AE10" i="10"/>
  <c r="Z10" i="10"/>
  <c r="Q10" i="10"/>
  <c r="V10" i="10"/>
  <c r="U10" i="10"/>
  <c r="Y10" i="10"/>
  <c r="K10" i="10"/>
  <c r="O10" i="10"/>
  <c r="S10" i="10"/>
  <c r="I10" i="10"/>
  <c r="X18" i="10"/>
  <c r="O18" i="10"/>
  <c r="AF18" i="10"/>
  <c r="N18" i="10"/>
  <c r="V18" i="10"/>
  <c r="AD18" i="10"/>
  <c r="N11" i="10"/>
  <c r="W11" i="10"/>
  <c r="X11" i="10"/>
  <c r="V11" i="10"/>
  <c r="H11" i="10"/>
  <c r="AC11" i="10"/>
  <c r="K11" i="10"/>
  <c r="S11" i="10"/>
  <c r="AA11" i="10"/>
  <c r="Y11" i="10"/>
  <c r="U11" i="10"/>
  <c r="P11" i="10"/>
  <c r="U9" i="10"/>
  <c r="W9" i="10"/>
  <c r="X9" i="10"/>
  <c r="AC9" i="10"/>
  <c r="AD9" i="10"/>
  <c r="G9" i="10"/>
  <c r="Q9" i="10"/>
  <c r="O9" i="10"/>
  <c r="T9" i="10"/>
  <c r="Y9" i="10"/>
  <c r="AV13" i="27"/>
  <c r="AQ13" i="27"/>
  <c r="BA13" i="27"/>
  <c r="AW13" i="27"/>
  <c r="BM13" i="27"/>
  <c r="BL13" i="27"/>
  <c r="L13" i="27"/>
  <c r="I13" i="27"/>
  <c r="AO13" i="27"/>
  <c r="AK13" i="27"/>
  <c r="BC13" i="27"/>
  <c r="AX13" i="27"/>
  <c r="BB13" i="27"/>
  <c r="BG13" i="27"/>
  <c r="AB13" i="27"/>
  <c r="Z13" i="27"/>
  <c r="W13" i="27"/>
  <c r="X13" i="27"/>
  <c r="AZ13" i="27"/>
  <c r="BD13" i="27"/>
  <c r="BE13" i="27"/>
  <c r="H13" i="27"/>
  <c r="BP13" i="27"/>
  <c r="BN13" i="27"/>
  <c r="V13" i="27"/>
  <c r="AU13" i="27"/>
  <c r="AG13" i="27"/>
  <c r="AD13" i="27"/>
  <c r="P13" i="27"/>
  <c r="BF13" i="27"/>
  <c r="AA13" i="27"/>
  <c r="AG10" i="30"/>
  <c r="J10" i="30"/>
  <c r="T10" i="30"/>
  <c r="X10" i="30"/>
  <c r="AB10" i="30"/>
  <c r="O10" i="30"/>
  <c r="U10" i="30"/>
  <c r="I10" i="30"/>
  <c r="K10" i="30"/>
  <c r="AD10" i="30"/>
  <c r="P10" i="30"/>
  <c r="AF10" i="30"/>
  <c r="Z10" i="30"/>
  <c r="W10" i="30"/>
  <c r="AC10" i="30"/>
  <c r="Z15" i="10"/>
  <c r="Q15" i="10"/>
  <c r="G15" i="10"/>
  <c r="S15" i="10"/>
  <c r="J15" i="10"/>
  <c r="O15" i="10"/>
  <c r="T15" i="10"/>
  <c r="V15" i="10"/>
  <c r="L15" i="10"/>
  <c r="M15" i="10"/>
  <c r="I15" i="10"/>
  <c r="H15" i="10"/>
  <c r="X15" i="10"/>
  <c r="AC15" i="10"/>
  <c r="AA15" i="10"/>
  <c r="Z16" i="30"/>
  <c r="W16" i="30"/>
  <c r="AB16" i="30"/>
  <c r="AF16" i="30"/>
  <c r="AE16" i="30"/>
  <c r="I16" i="30"/>
  <c r="J16" i="30"/>
  <c r="K16" i="30"/>
  <c r="AC16" i="30"/>
  <c r="N16" i="30"/>
  <c r="M16" i="30"/>
  <c r="AG17" i="30"/>
  <c r="R17" i="30"/>
  <c r="X17" i="30"/>
  <c r="AF17" i="30"/>
  <c r="M17" i="30"/>
  <c r="AB17" i="30"/>
  <c r="I17" i="30"/>
  <c r="L17" i="30"/>
  <c r="AE17" i="30"/>
  <c r="AA17" i="30"/>
  <c r="N17" i="30"/>
  <c r="AC17" i="30"/>
  <c r="H8" i="10"/>
  <c r="Z8" i="10"/>
  <c r="L8" i="10"/>
  <c r="W8" i="10"/>
  <c r="N8" i="10"/>
  <c r="Y8" i="10"/>
  <c r="AB8" i="10"/>
  <c r="AF8" i="10"/>
  <c r="V8" i="10"/>
  <c r="AG8" i="10"/>
  <c r="U8" i="10"/>
  <c r="R8" i="10"/>
  <c r="M8" i="10"/>
  <c r="AB18" i="30"/>
  <c r="I18" i="30"/>
  <c r="S18" i="30"/>
  <c r="R18" i="30"/>
  <c r="AG18" i="30"/>
  <c r="AC18" i="30"/>
  <c r="W18" i="30"/>
  <c r="AF15" i="27"/>
  <c r="AV15" i="27"/>
  <c r="AU15" i="27"/>
  <c r="Y15" i="27"/>
  <c r="V15" i="27"/>
  <c r="AN15" i="27"/>
  <c r="U15" i="27"/>
  <c r="N15" i="27"/>
  <c r="AP15" i="27"/>
  <c r="P15" i="27"/>
  <c r="BN15" i="27"/>
  <c r="W15" i="27"/>
  <c r="AE15" i="27"/>
  <c r="AC15" i="27"/>
  <c r="L15" i="27"/>
  <c r="BM15" i="27"/>
  <c r="J15" i="27"/>
  <c r="BI15" i="27"/>
  <c r="AA15" i="27"/>
  <c r="AL15" i="27"/>
  <c r="AB15" i="27"/>
  <c r="BD15" i="27"/>
  <c r="AJ15" i="27"/>
  <c r="K15" i="27"/>
  <c r="I15" i="27"/>
  <c r="BL15" i="27"/>
  <c r="O15" i="27"/>
  <c r="BO15" i="27"/>
  <c r="BH15" i="27"/>
  <c r="BB15" i="27"/>
  <c r="BC15" i="27"/>
  <c r="BF15" i="27"/>
  <c r="Q15" i="27"/>
  <c r="S15" i="27"/>
  <c r="AS15" i="27"/>
  <c r="BA15" i="27"/>
  <c r="AZ15" i="27"/>
  <c r="BK15" i="27"/>
  <c r="AW15" i="27"/>
  <c r="X15" i="27"/>
  <c r="Y12" i="27"/>
  <c r="X12" i="27"/>
  <c r="AG12" i="27"/>
  <c r="AA12" i="27"/>
  <c r="BP12" i="27"/>
  <c r="AI12" i="27"/>
  <c r="AL12" i="27"/>
  <c r="BA12" i="27"/>
  <c r="T12" i="27"/>
  <c r="H12" i="27"/>
  <c r="AE12" i="27"/>
  <c r="U12" i="27"/>
  <c r="AX12" i="27"/>
  <c r="BK12" i="27"/>
  <c r="R12" i="27"/>
  <c r="AF12" i="27"/>
  <c r="BL12" i="27"/>
  <c r="P12" i="27"/>
  <c r="BO12" i="27"/>
  <c r="AP12" i="27"/>
  <c r="AK12" i="27"/>
  <c r="AO12" i="27"/>
  <c r="AH12" i="27"/>
  <c r="O12" i="27"/>
  <c r="V12" i="27"/>
  <c r="BD12" i="27"/>
  <c r="K12" i="27"/>
  <c r="BQ12" i="27"/>
  <c r="M12" i="27"/>
  <c r="BE12" i="27"/>
  <c r="AT12" i="27"/>
  <c r="AJ12" i="27"/>
  <c r="BF12" i="27"/>
  <c r="G12" i="27"/>
  <c r="AN12" i="27"/>
  <c r="BH12" i="27"/>
  <c r="AZ12" i="27"/>
  <c r="BI12" i="27"/>
  <c r="AC12" i="27"/>
  <c r="AD12" i="27"/>
  <c r="AU12" i="27"/>
  <c r="M15" i="30"/>
  <c r="S15" i="30"/>
  <c r="AG15" i="30"/>
  <c r="R9" i="30"/>
  <c r="AB9" i="30"/>
  <c r="M9" i="30"/>
  <c r="AG9" i="30"/>
  <c r="S9" i="30"/>
  <c r="W9" i="30"/>
  <c r="G13" i="10"/>
  <c r="AF13" i="10"/>
  <c r="O13" i="10"/>
  <c r="AB13" i="10"/>
  <c r="S13" i="10"/>
  <c r="X13" i="10"/>
  <c r="AG13" i="10"/>
  <c r="H13" i="10"/>
  <c r="Z13" i="10"/>
  <c r="V13" i="10"/>
  <c r="T13" i="10"/>
  <c r="M13" i="10"/>
  <c r="N13" i="10"/>
  <c r="AC13" i="10"/>
  <c r="P13" i="10"/>
  <c r="AD13" i="10"/>
  <c r="K13" i="10"/>
  <c r="J13" i="10"/>
  <c r="U13" i="10"/>
  <c r="R11" i="30"/>
  <c r="V11" i="30"/>
  <c r="U11" i="30"/>
  <c r="W11" i="30"/>
  <c r="Z11" i="30"/>
  <c r="AG11" i="30"/>
  <c r="Q11" i="30"/>
  <c r="J11" i="30"/>
  <c r="AD11" i="30"/>
  <c r="I11" i="30"/>
  <c r="O11" i="30"/>
  <c r="P11" i="30"/>
  <c r="AE11" i="30"/>
  <c r="X11" i="30"/>
  <c r="N11" i="30"/>
  <c r="T11" i="30"/>
  <c r="S11" i="30"/>
  <c r="K11" i="30"/>
  <c r="Y11" i="30"/>
  <c r="AB11" i="30"/>
  <c r="BL18" i="27"/>
  <c r="BG18" i="27"/>
  <c r="Y18" i="27"/>
  <c r="T18" i="27"/>
  <c r="S18" i="27"/>
  <c r="M18" i="27"/>
  <c r="BM18" i="27"/>
  <c r="AI18" i="27"/>
  <c r="BB18" i="27"/>
  <c r="V18" i="27"/>
  <c r="BN18" i="27"/>
  <c r="X18" i="27"/>
  <c r="AD18" i="27"/>
  <c r="AL18" i="27"/>
  <c r="U18" i="27"/>
  <c r="J18" i="27"/>
  <c r="BJ18" i="27"/>
  <c r="P18" i="27"/>
  <c r="AG18" i="27"/>
  <c r="I18" i="27"/>
  <c r="BK18" i="27"/>
  <c r="H18" i="27"/>
  <c r="AZ18" i="27"/>
  <c r="AA18" i="27"/>
  <c r="BD18" i="27"/>
  <c r="G18" i="27"/>
  <c r="AN18" i="27"/>
  <c r="BO18" i="27"/>
  <c r="AM18" i="27"/>
  <c r="W18" i="27"/>
  <c r="N18" i="27"/>
  <c r="AH18" i="27"/>
  <c r="AC18" i="27"/>
  <c r="K18" i="27"/>
  <c r="AQ18" i="27"/>
  <c r="O18" i="27"/>
  <c r="AS18" i="27"/>
  <c r="AU18" i="27"/>
  <c r="AO18" i="27"/>
  <c r="Z18" i="27"/>
  <c r="AT18" i="27"/>
  <c r="AR18" i="27"/>
  <c r="AB18" i="27"/>
  <c r="AW18" i="27"/>
  <c r="Q18" i="27"/>
  <c r="AE18" i="27"/>
  <c r="BQ18" i="27"/>
  <c r="AX18" i="27"/>
  <c r="BF18" i="27"/>
  <c r="AF18" i="27"/>
  <c r="AY18" i="27"/>
  <c r="AV18" i="27"/>
  <c r="U19" i="30"/>
  <c r="AF19" i="30"/>
  <c r="AE19" i="30"/>
  <c r="M19" i="30"/>
  <c r="AA19" i="30"/>
  <c r="AB19" i="30"/>
  <c r="T19" i="30"/>
  <c r="X19" i="30"/>
  <c r="K19" i="30"/>
  <c r="S19" i="30"/>
  <c r="AD19" i="30"/>
  <c r="Q19" i="30"/>
  <c r="V19" i="30"/>
  <c r="R19" i="30"/>
  <c r="P19" i="30"/>
  <c r="Z19" i="30"/>
  <c r="AC19" i="30"/>
  <c r="H12" i="30"/>
  <c r="G12" i="30"/>
  <c r="AA10" i="30"/>
  <c r="Q10" i="30"/>
  <c r="W17" i="27"/>
  <c r="I17" i="27"/>
  <c r="BM17" i="27"/>
  <c r="H17" i="27"/>
  <c r="BA17" i="27"/>
  <c r="AV17" i="27"/>
  <c r="AQ17" i="27"/>
  <c r="BJ17" i="27"/>
  <c r="BL17" i="27"/>
  <c r="J17" i="27"/>
  <c r="R17" i="27"/>
  <c r="BN17" i="27"/>
  <c r="BG17" i="27"/>
  <c r="BP17" i="27"/>
  <c r="AG17" i="27"/>
  <c r="BQ17" i="27"/>
  <c r="BO17" i="27"/>
  <c r="BI17" i="27"/>
  <c r="BE17" i="27"/>
  <c r="Q17" i="27"/>
  <c r="AM17" i="27"/>
  <c r="AA17" i="27"/>
  <c r="AJ17" i="27"/>
  <c r="Y17" i="27"/>
  <c r="AP17" i="27"/>
  <c r="AT17" i="27"/>
  <c r="AS17" i="27"/>
  <c r="O17" i="27"/>
  <c r="AE17" i="27"/>
  <c r="AO17" i="27"/>
  <c r="G17" i="27"/>
  <c r="AX17" i="27"/>
  <c r="AY17" i="27"/>
  <c r="BC17" i="27"/>
  <c r="P17" i="27"/>
  <c r="M17" i="27"/>
  <c r="K17" i="27"/>
  <c r="X17" i="27"/>
  <c r="BF17" i="27"/>
  <c r="AD17" i="27"/>
  <c r="N17" i="27"/>
  <c r="BK17" i="27"/>
  <c r="AR17" i="27"/>
  <c r="BH17" i="27"/>
  <c r="AF17" i="27"/>
  <c r="AB17" i="27"/>
  <c r="V17" i="27"/>
  <c r="BB17" i="27"/>
  <c r="S17" i="27"/>
  <c r="Z17" i="27"/>
  <c r="AU17" i="27"/>
  <c r="AW17" i="27"/>
  <c r="AZ17" i="27"/>
  <c r="U17" i="27"/>
  <c r="BD17" i="27"/>
  <c r="L17" i="27"/>
  <c r="BG16" i="27"/>
  <c r="BB16" i="27"/>
  <c r="AY16" i="27"/>
  <c r="AT16" i="27"/>
  <c r="O16" i="27"/>
  <c r="I16" i="27"/>
  <c r="Q16" i="27"/>
  <c r="AX16" i="27"/>
  <c r="AN16" i="27"/>
  <c r="V16" i="27"/>
  <c r="BD16" i="27"/>
  <c r="AZ16" i="27"/>
  <c r="AI16" i="27"/>
  <c r="U16" i="27"/>
  <c r="BJ16" i="27"/>
  <c r="AD16" i="27"/>
  <c r="AF16" i="27"/>
  <c r="AE16" i="27"/>
  <c r="X16" i="27"/>
  <c r="BL16" i="27"/>
  <c r="K16" i="27"/>
  <c r="AB16" i="27"/>
  <c r="W16" i="27"/>
  <c r="AW16" i="27"/>
  <c r="BA16" i="27"/>
  <c r="BQ16" i="27"/>
  <c r="BK16" i="27"/>
  <c r="AH16" i="27"/>
  <c r="H16" i="27"/>
  <c r="AO16" i="27"/>
  <c r="AG16" i="27"/>
  <c r="AL16" i="27"/>
  <c r="AM16" i="27"/>
  <c r="J16" i="27"/>
  <c r="BO16" i="27"/>
  <c r="AC16" i="27"/>
  <c r="BN16" i="27"/>
  <c r="AK16" i="27"/>
  <c r="BI16" i="27"/>
  <c r="G16" i="27"/>
  <c r="AU16" i="27"/>
  <c r="P16" i="27"/>
  <c r="T16" i="27"/>
  <c r="Y16" i="27"/>
  <c r="L16" i="27"/>
  <c r="Q17" i="30"/>
  <c r="T17" i="30"/>
  <c r="V17" i="30"/>
  <c r="W19" i="10"/>
  <c r="S19" i="10"/>
  <c r="Z19" i="10"/>
  <c r="R19" i="10"/>
  <c r="V19" i="10"/>
  <c r="AG19" i="10"/>
  <c r="AB19" i="10"/>
  <c r="K19" i="10"/>
  <c r="AD19" i="10"/>
  <c r="Q19" i="10"/>
  <c r="Y19" i="10"/>
  <c r="U19" i="10"/>
  <c r="T19" i="10"/>
  <c r="P19" i="10"/>
  <c r="N19" i="10"/>
  <c r="X19" i="10"/>
  <c r="AE19" i="10"/>
  <c r="AC19" i="10"/>
  <c r="J19" i="10"/>
  <c r="G19" i="10"/>
  <c r="M19" i="10"/>
  <c r="L19" i="10"/>
  <c r="AF19" i="10"/>
  <c r="AA19" i="10"/>
  <c r="I19" i="10"/>
  <c r="H19" i="10"/>
  <c r="O19" i="10"/>
  <c r="Z12" i="10"/>
  <c r="V12" i="10"/>
  <c r="Y12" i="10"/>
  <c r="AD12" i="10"/>
  <c r="L12" i="10"/>
  <c r="X12" i="10"/>
  <c r="U12" i="10"/>
  <c r="P12" i="10"/>
  <c r="J12" i="10"/>
  <c r="AA12" i="10"/>
  <c r="H12" i="10"/>
  <c r="W12" i="10"/>
  <c r="M12" i="10"/>
  <c r="I12" i="10"/>
  <c r="AF12" i="10"/>
  <c r="G12" i="10"/>
  <c r="AB12" i="10"/>
  <c r="O12" i="10"/>
  <c r="T12" i="10"/>
  <c r="S12" i="10"/>
  <c r="R12" i="10"/>
  <c r="N12" i="10"/>
  <c r="Q12" i="10"/>
  <c r="AT14" i="27"/>
  <c r="BL14" i="27"/>
  <c r="BO14" i="27"/>
  <c r="S14" i="27"/>
  <c r="BH14" i="27"/>
  <c r="BD14" i="27"/>
  <c r="AC14" i="27"/>
  <c r="AE14" i="27"/>
  <c r="AH14" i="27"/>
  <c r="BI14" i="27"/>
  <c r="AV14" i="27"/>
  <c r="BG14" i="27"/>
  <c r="BC14" i="27"/>
  <c r="BE14" i="27"/>
  <c r="J14" i="27"/>
  <c r="R14" i="27"/>
  <c r="X14" i="27"/>
  <c r="AM14" i="27"/>
  <c r="H14" i="27"/>
  <c r="Z14" i="27"/>
  <c r="AQ14" i="27"/>
  <c r="BP14" i="27"/>
  <c r="BM14" i="27"/>
  <c r="AL14" i="27"/>
  <c r="BK14" i="27"/>
  <c r="O14" i="27"/>
  <c r="AX14" i="27"/>
  <c r="M14" i="27"/>
  <c r="G14" i="27"/>
  <c r="AO14" i="27"/>
  <c r="Y14" i="27"/>
  <c r="AD14" i="27"/>
  <c r="BA14" i="27"/>
  <c r="AN14" i="27"/>
  <c r="AP14" i="27"/>
  <c r="AZ14" i="27"/>
  <c r="BF14" i="27"/>
  <c r="Q14" i="27"/>
  <c r="U14" i="27"/>
  <c r="AK14" i="27"/>
  <c r="BJ14" i="27"/>
  <c r="W14" i="27"/>
  <c r="AW14" i="27"/>
  <c r="BQ14" i="27"/>
  <c r="AR14" i="27"/>
  <c r="AB14" i="27"/>
  <c r="AF14" i="27"/>
  <c r="P14" i="27"/>
  <c r="N14" i="27"/>
  <c r="AJ14" i="27"/>
  <c r="I14" i="27"/>
  <c r="AY14" i="27"/>
  <c r="V14" i="27"/>
  <c r="AS14" i="27"/>
  <c r="L14" i="27"/>
  <c r="AU14" i="27"/>
  <c r="AA14" i="27"/>
  <c r="AG14" i="27"/>
  <c r="BB14" i="27"/>
  <c r="AB8" i="30"/>
  <c r="S8" i="30"/>
  <c r="N8" i="30"/>
  <c r="R8" i="30"/>
  <c r="X8" i="30"/>
  <c r="M8" i="30"/>
  <c r="I8" i="30"/>
  <c r="AC8" i="30"/>
  <c r="W8" i="30"/>
  <c r="AG8" i="30"/>
  <c r="P8" i="30"/>
  <c r="AA8" i="30"/>
  <c r="AF8" i="30"/>
  <c r="L8" i="30"/>
  <c r="V8" i="30"/>
  <c r="O8" i="30"/>
  <c r="Q8" i="30"/>
  <c r="Y13" i="30"/>
  <c r="I13" i="30"/>
  <c r="U13" i="30"/>
  <c r="AG13" i="30"/>
  <c r="J13" i="30"/>
  <c r="AC13" i="30"/>
  <c r="AF13" i="30"/>
  <c r="L13" i="30"/>
  <c r="Z13" i="30"/>
  <c r="N13" i="30"/>
  <c r="U14" i="30"/>
  <c r="AF14" i="30"/>
  <c r="AE14" i="30"/>
  <c r="AD14" i="30"/>
  <c r="P14" i="30"/>
  <c r="AA14" i="30"/>
  <c r="Q14" i="30"/>
  <c r="AE9" i="30"/>
  <c r="P9" i="30"/>
  <c r="T9" i="30"/>
  <c r="V9" i="30"/>
  <c r="Y9" i="30"/>
  <c r="AF9" i="30"/>
  <c r="Q12" i="30"/>
  <c r="N12" i="30"/>
  <c r="AD12" i="30"/>
  <c r="X12" i="30"/>
  <c r="Y12" i="30"/>
  <c r="AG12" i="30"/>
  <c r="V12" i="30"/>
  <c r="Z12" i="30"/>
  <c r="AA12" i="30"/>
  <c r="S12" i="30"/>
  <c r="L12" i="30"/>
  <c r="AB12" i="30"/>
  <c r="AE12" i="30"/>
  <c r="J12" i="30"/>
  <c r="W12" i="30"/>
  <c r="U12" i="30"/>
  <c r="AF12" i="30"/>
  <c r="R12" i="30"/>
  <c r="K12" i="30"/>
  <c r="P12" i="30"/>
  <c r="T12" i="30"/>
  <c r="M12" i="30"/>
  <c r="O12" i="30"/>
  <c r="I12" i="30"/>
  <c r="AC12" i="30"/>
  <c r="I14" i="28" l="1"/>
  <c r="H14" i="28"/>
  <c r="I10" i="28"/>
  <c r="H10" i="28"/>
  <c r="H13" i="28"/>
  <c r="I13" i="28"/>
  <c r="I12" i="28"/>
  <c r="H12" i="28"/>
  <c r="I19" i="28"/>
  <c r="H19" i="28"/>
  <c r="H15" i="28"/>
  <c r="I15" i="28"/>
  <c r="I11" i="28"/>
  <c r="H11" i="28"/>
  <c r="I17" i="28"/>
  <c r="H17" i="28"/>
  <c r="H18" i="28"/>
  <c r="I18" i="28"/>
  <c r="I16" i="28"/>
  <c r="H16" i="28"/>
  <c r="I8" i="28"/>
  <c r="H8" i="28"/>
  <c r="AG14" i="28"/>
  <c r="AE14" i="28"/>
  <c r="AC14" i="28"/>
  <c r="AH14" i="28"/>
  <c r="AL14" i="28"/>
  <c r="AM14" i="28"/>
  <c r="Z14" i="28"/>
  <c r="AB14" i="28"/>
  <c r="AI14" i="28"/>
  <c r="AA14" i="28"/>
  <c r="Y14" i="28"/>
  <c r="AK14" i="28"/>
  <c r="AF14" i="28"/>
  <c r="AD14" i="28"/>
  <c r="AJ14" i="28"/>
  <c r="AG11" i="28"/>
  <c r="AE11" i="28"/>
  <c r="AC11" i="28"/>
  <c r="AB11" i="28"/>
  <c r="AM11" i="28"/>
  <c r="Z11" i="28"/>
  <c r="Y11" i="28"/>
  <c r="AA11" i="28"/>
  <c r="AJ11" i="28"/>
  <c r="AF11" i="28"/>
  <c r="AL11" i="28"/>
  <c r="AI11" i="28"/>
  <c r="AH11" i="28"/>
  <c r="AD11" i="28"/>
  <c r="AK11" i="28"/>
  <c r="H15" i="30"/>
  <c r="AK10" i="28"/>
  <c r="AC10" i="28"/>
  <c r="Y10" i="28"/>
  <c r="AJ10" i="28"/>
  <c r="AE10" i="28"/>
  <c r="AH10" i="28"/>
  <c r="AI10" i="28"/>
  <c r="AG10" i="28"/>
  <c r="AB10" i="28"/>
  <c r="AF10" i="28"/>
  <c r="AA10" i="28"/>
  <c r="Z10" i="28"/>
  <c r="AD10" i="28"/>
  <c r="AM10" i="28"/>
  <c r="AL10" i="28"/>
  <c r="AI17" i="28"/>
  <c r="AK17" i="28"/>
  <c r="AF17" i="28"/>
  <c r="AJ17" i="28"/>
  <c r="AE17" i="28"/>
  <c r="AH17" i="28"/>
  <c r="AL17" i="28"/>
  <c r="AD17" i="28"/>
  <c r="AB17" i="28"/>
  <c r="AG17" i="28"/>
  <c r="Z17" i="28"/>
  <c r="AC17" i="28"/>
  <c r="AM17" i="28"/>
  <c r="Y17" i="28"/>
  <c r="AA17" i="28"/>
  <c r="T10" i="28"/>
  <c r="R10" i="28"/>
  <c r="Q10" i="28"/>
  <c r="S10" i="28"/>
  <c r="P10" i="28"/>
  <c r="O10" i="28"/>
  <c r="N10" i="28"/>
  <c r="J10" i="28"/>
  <c r="M10" i="28"/>
  <c r="K10" i="28"/>
  <c r="L10" i="28"/>
  <c r="W10" i="28"/>
  <c r="X10" i="28"/>
  <c r="V10" i="28"/>
  <c r="U10" i="28"/>
  <c r="M17" i="28"/>
  <c r="X17" i="28"/>
  <c r="S17" i="28"/>
  <c r="L17" i="28"/>
  <c r="J17" i="28"/>
  <c r="T17" i="28"/>
  <c r="R17" i="28"/>
  <c r="V17" i="28"/>
  <c r="Q17" i="28"/>
  <c r="U17" i="28"/>
  <c r="O17" i="28"/>
  <c r="P17" i="28"/>
  <c r="W17" i="28"/>
  <c r="K17" i="28"/>
  <c r="N17" i="28"/>
  <c r="R11" i="28"/>
  <c r="V11" i="28"/>
  <c r="K11" i="28"/>
  <c r="U11" i="28"/>
  <c r="P11" i="28"/>
  <c r="J11" i="28"/>
  <c r="W11" i="28"/>
  <c r="Q11" i="28"/>
  <c r="N11" i="28"/>
  <c r="O11" i="28"/>
  <c r="M11" i="28"/>
  <c r="T11" i="28"/>
  <c r="X11" i="28"/>
  <c r="S11" i="28"/>
  <c r="L11" i="28"/>
  <c r="W13" i="28"/>
  <c r="T13" i="28"/>
  <c r="Q13" i="28"/>
  <c r="J13" i="28"/>
  <c r="N13" i="28"/>
  <c r="R13" i="28"/>
  <c r="P13" i="28"/>
  <c r="O13" i="28"/>
  <c r="M13" i="28"/>
  <c r="S13" i="28"/>
  <c r="X13" i="28"/>
  <c r="K13" i="28"/>
  <c r="L13" i="28"/>
  <c r="U13" i="28"/>
  <c r="V13" i="28"/>
  <c r="T18" i="28"/>
  <c r="J18" i="28"/>
  <c r="O18" i="28"/>
  <c r="S18" i="28"/>
  <c r="Q18" i="28"/>
  <c r="U18" i="28"/>
  <c r="N18" i="28"/>
  <c r="W18" i="28"/>
  <c r="R18" i="28"/>
  <c r="M18" i="28"/>
  <c r="P18" i="28"/>
  <c r="X18" i="28"/>
  <c r="L18" i="28"/>
  <c r="K18" i="28"/>
  <c r="V18" i="28"/>
  <c r="AE8" i="28"/>
  <c r="AK8" i="28"/>
  <c r="AG8" i="28"/>
  <c r="AI8" i="28"/>
  <c r="AJ8" i="28"/>
  <c r="Z8" i="28"/>
  <c r="AH8" i="28"/>
  <c r="Y8" i="28"/>
  <c r="AM8" i="28"/>
  <c r="AF8" i="28"/>
  <c r="AL8" i="28"/>
  <c r="AA8" i="28"/>
  <c r="AB8" i="28"/>
  <c r="AC8" i="28"/>
  <c r="AD8" i="28"/>
  <c r="AE13" i="28"/>
  <c r="AH13" i="28"/>
  <c r="AC13" i="28"/>
  <c r="AD13" i="28"/>
  <c r="AB13" i="28"/>
  <c r="AM13" i="28"/>
  <c r="AA13" i="28"/>
  <c r="Y13" i="28"/>
  <c r="Z13" i="28"/>
  <c r="AJ13" i="28"/>
  <c r="AL13" i="28"/>
  <c r="AI13" i="28"/>
  <c r="AK13" i="28"/>
  <c r="AG13" i="28"/>
  <c r="AF13" i="28"/>
  <c r="AI18" i="28"/>
  <c r="AE18" i="28"/>
  <c r="AM18" i="28"/>
  <c r="AA18" i="28"/>
  <c r="AL18" i="28"/>
  <c r="Z18" i="28"/>
  <c r="Y18" i="28"/>
  <c r="AK18" i="28"/>
  <c r="AH18" i="28"/>
  <c r="AF18" i="28"/>
  <c r="AD18" i="28"/>
  <c r="AC18" i="28"/>
  <c r="AJ18" i="28"/>
  <c r="AB18" i="28"/>
  <c r="AG18" i="28"/>
  <c r="G9" i="28"/>
  <c r="AA12" i="28"/>
  <c r="AK12" i="28"/>
  <c r="AL12" i="28"/>
  <c r="Y12" i="28"/>
  <c r="AI12" i="28"/>
  <c r="AH12" i="28"/>
  <c r="Z12" i="28"/>
  <c r="AE12" i="28"/>
  <c r="AG12" i="28"/>
  <c r="AC12" i="28"/>
  <c r="AJ12" i="28"/>
  <c r="AD12" i="28"/>
  <c r="AB12" i="28"/>
  <c r="AF12" i="28"/>
  <c r="AM12" i="28"/>
  <c r="AJ16" i="28"/>
  <c r="AG16" i="28"/>
  <c r="AB16" i="28"/>
  <c r="AD16" i="28"/>
  <c r="AL16" i="28"/>
  <c r="AC16" i="28"/>
  <c r="Z16" i="28"/>
  <c r="AM16" i="28"/>
  <c r="Y16" i="28"/>
  <c r="AA16" i="28"/>
  <c r="AI16" i="28"/>
  <c r="AK16" i="28"/>
  <c r="AH16" i="28"/>
  <c r="AF16" i="28"/>
  <c r="AE16" i="28"/>
  <c r="O12" i="28"/>
  <c r="X12" i="28"/>
  <c r="L12" i="28"/>
  <c r="S12" i="28"/>
  <c r="W12" i="28"/>
  <c r="R12" i="28"/>
  <c r="V12" i="28"/>
  <c r="U12" i="28"/>
  <c r="M12" i="28"/>
  <c r="T12" i="28"/>
  <c r="K12" i="28"/>
  <c r="J12" i="28"/>
  <c r="Q12" i="28"/>
  <c r="N12" i="28"/>
  <c r="P12" i="28"/>
  <c r="U16" i="28"/>
  <c r="S16" i="28"/>
  <c r="W16" i="28"/>
  <c r="Q16" i="28"/>
  <c r="K16" i="28"/>
  <c r="P16" i="28"/>
  <c r="M16" i="28"/>
  <c r="O16" i="28"/>
  <c r="V16" i="28"/>
  <c r="N16" i="28"/>
  <c r="X16" i="28"/>
  <c r="T16" i="28"/>
  <c r="L16" i="28"/>
  <c r="J16" i="28"/>
  <c r="R16" i="28"/>
  <c r="X15" i="28"/>
  <c r="O15" i="28"/>
  <c r="L15" i="28"/>
  <c r="N15" i="28"/>
  <c r="T15" i="28"/>
  <c r="V15" i="28"/>
  <c r="W15" i="28"/>
  <c r="K15" i="28"/>
  <c r="S15" i="28"/>
  <c r="J15" i="28"/>
  <c r="U15" i="28"/>
  <c r="P15" i="28"/>
  <c r="R15" i="28"/>
  <c r="M15" i="28"/>
  <c r="Q15" i="28"/>
  <c r="P14" i="28"/>
  <c r="W14" i="28"/>
  <c r="O14" i="28"/>
  <c r="K14" i="28"/>
  <c r="X14" i="28"/>
  <c r="N14" i="28"/>
  <c r="L14" i="28"/>
  <c r="M14" i="28"/>
  <c r="U14" i="28"/>
  <c r="T14" i="28"/>
  <c r="S14" i="28"/>
  <c r="J14" i="28"/>
  <c r="Q14" i="28"/>
  <c r="R14" i="28"/>
  <c r="V14" i="28"/>
  <c r="AJ19" i="28"/>
  <c r="AG19" i="28"/>
  <c r="AI19" i="28"/>
  <c r="AC19" i="28"/>
  <c r="AB19" i="28"/>
  <c r="AM19" i="28"/>
  <c r="AA19" i="28"/>
  <c r="AE19" i="28"/>
  <c r="AL19" i="28"/>
  <c r="Y19" i="28"/>
  <c r="Z19" i="28"/>
  <c r="AH19" i="28"/>
  <c r="AK19" i="28"/>
  <c r="AF19" i="28"/>
  <c r="AD19" i="28"/>
  <c r="H18" i="30"/>
  <c r="P19" i="28"/>
  <c r="V19" i="28"/>
  <c r="N19" i="28"/>
  <c r="L19" i="28"/>
  <c r="K19" i="28"/>
  <c r="T19" i="28"/>
  <c r="R19" i="28"/>
  <c r="J19" i="28"/>
  <c r="U19" i="28"/>
  <c r="S19" i="28"/>
  <c r="O19" i="28"/>
  <c r="W19" i="28"/>
  <c r="M19" i="28"/>
  <c r="Q19" i="28"/>
  <c r="X19" i="28"/>
  <c r="L8" i="28"/>
  <c r="Q8" i="28"/>
  <c r="V8" i="28"/>
  <c r="W8" i="28"/>
  <c r="J8" i="28"/>
  <c r="R8" i="28"/>
  <c r="X8" i="28"/>
  <c r="K8" i="28"/>
  <c r="M8" i="28"/>
  <c r="N8" i="28"/>
  <c r="O8" i="28"/>
  <c r="P8" i="28"/>
  <c r="S8" i="28"/>
  <c r="T8" i="28"/>
  <c r="U8" i="28"/>
  <c r="AC15" i="28"/>
  <c r="AB15" i="28"/>
  <c r="Z15" i="28"/>
  <c r="AM15" i="28"/>
  <c r="Y15" i="28"/>
  <c r="AA15" i="28"/>
  <c r="AK15" i="28"/>
  <c r="AL15" i="28"/>
  <c r="AH15" i="28"/>
  <c r="AF15" i="28"/>
  <c r="AI15" i="28"/>
  <c r="AJ15" i="28"/>
  <c r="AG15" i="28"/>
  <c r="AE15" i="28"/>
  <c r="AD15" i="28"/>
  <c r="AE15" i="30"/>
  <c r="T15" i="30"/>
  <c r="V15" i="30"/>
  <c r="AD15" i="30"/>
  <c r="Z15" i="30"/>
  <c r="Q15" i="30"/>
  <c r="AF15" i="30"/>
  <c r="K15" i="30"/>
  <c r="L15" i="30"/>
  <c r="U15" i="30"/>
  <c r="Y15" i="30"/>
  <c r="P15" i="30"/>
  <c r="O15" i="30"/>
  <c r="J15" i="30"/>
  <c r="AA15" i="30"/>
  <c r="AD18" i="30"/>
  <c r="P18" i="30"/>
  <c r="AA18" i="30"/>
  <c r="Y18" i="30"/>
  <c r="V18" i="30"/>
  <c r="Z18" i="30"/>
  <c r="T18" i="30"/>
  <c r="Q18" i="30"/>
  <c r="L18" i="30"/>
  <c r="O18" i="30"/>
  <c r="J18" i="30"/>
  <c r="AE18" i="30"/>
  <c r="AF18" i="30"/>
  <c r="K18" i="30"/>
  <c r="U18" i="30"/>
  <c r="H9" i="28" l="1"/>
  <c r="I9" i="28"/>
  <c r="O9" i="28"/>
  <c r="N9" i="28"/>
  <c r="Q9" i="28"/>
  <c r="W9" i="28"/>
  <c r="P9" i="28"/>
  <c r="M9" i="28"/>
  <c r="K9" i="28"/>
  <c r="V9" i="28"/>
  <c r="X9" i="28"/>
  <c r="S9" i="28"/>
  <c r="L9" i="28"/>
  <c r="J9" i="28"/>
  <c r="T9" i="28"/>
  <c r="R9" i="28"/>
  <c r="U9" i="28"/>
  <c r="AM9" i="28"/>
  <c r="AL9" i="28"/>
  <c r="AC9" i="28"/>
  <c r="AK9" i="28"/>
  <c r="Z9" i="28"/>
  <c r="AA9" i="28"/>
  <c r="AI9" i="28"/>
  <c r="Y9" i="28"/>
  <c r="AJ9" i="28"/>
  <c r="AE9" i="28"/>
  <c r="AF9" i="28"/>
  <c r="AH9" i="28"/>
  <c r="AD9" i="28"/>
  <c r="AB9" i="28"/>
  <c r="AG9" i="28"/>
</calcChain>
</file>

<file path=xl/sharedStrings.xml><?xml version="1.0" encoding="utf-8"?>
<sst xmlns="http://schemas.openxmlformats.org/spreadsheetml/2006/main" count="286" uniqueCount="233">
  <si>
    <t>Wind代码</t>
    <phoneticPr fontId="3" type="noConversion"/>
  </si>
  <si>
    <t>000001.SZ</t>
    <phoneticPr fontId="3" type="noConversion"/>
  </si>
  <si>
    <t>000002.SZ</t>
    <phoneticPr fontId="3" type="noConversion"/>
  </si>
  <si>
    <t>600004.SH</t>
    <phoneticPr fontId="3" type="noConversion"/>
  </si>
  <si>
    <t>600006.SH</t>
    <phoneticPr fontId="3" type="noConversion"/>
  </si>
  <si>
    <t>600007.SH</t>
    <phoneticPr fontId="3" type="noConversion"/>
  </si>
  <si>
    <t>证券简称</t>
    <phoneticPr fontId="3" type="noConversion"/>
  </si>
  <si>
    <t>上市日期</t>
    <phoneticPr fontId="3" type="noConversion"/>
  </si>
  <si>
    <t>上市地点</t>
    <phoneticPr fontId="3" type="noConversion"/>
  </si>
  <si>
    <t>上市板</t>
    <phoneticPr fontId="3" type="noConversion"/>
  </si>
  <si>
    <t>ISIN代码</t>
    <phoneticPr fontId="3" type="noConversion"/>
  </si>
  <si>
    <t>省份</t>
    <phoneticPr fontId="3" type="noConversion"/>
  </si>
  <si>
    <t>城市</t>
    <phoneticPr fontId="3" type="noConversion"/>
  </si>
  <si>
    <t>所属Wind行业</t>
    <phoneticPr fontId="3" type="noConversion"/>
  </si>
  <si>
    <t>行情速览</t>
    <phoneticPr fontId="3" type="noConversion"/>
  </si>
  <si>
    <t>最新收盘价</t>
    <phoneticPr fontId="3" type="noConversion"/>
  </si>
  <si>
    <t>最近交易日</t>
    <phoneticPr fontId="3" type="noConversion"/>
  </si>
  <si>
    <t>最新涨跌幅(%)</t>
    <phoneticPr fontId="3" type="noConversion"/>
  </si>
  <si>
    <t>总市值</t>
    <phoneticPr fontId="3" type="noConversion"/>
  </si>
  <si>
    <t>证券总市值(亿元)</t>
    <phoneticPr fontId="3" type="noConversion"/>
  </si>
  <si>
    <t>最近更新：</t>
    <phoneticPr fontId="3" type="noConversion"/>
  </si>
  <si>
    <t>日期</t>
    <phoneticPr fontId="3" type="noConversion"/>
  </si>
  <si>
    <t>1年前</t>
    <phoneticPr fontId="3" type="noConversion"/>
  </si>
  <si>
    <t>2年前</t>
    <phoneticPr fontId="3" type="noConversion"/>
  </si>
  <si>
    <t>今日</t>
    <phoneticPr fontId="3" type="noConversion"/>
  </si>
  <si>
    <t>月份</t>
    <phoneticPr fontId="3" type="noConversion"/>
  </si>
  <si>
    <t>季度</t>
    <phoneticPr fontId="3" type="noConversion"/>
  </si>
  <si>
    <t>年份</t>
    <phoneticPr fontId="3" type="noConversion"/>
  </si>
  <si>
    <t>时间</t>
    <phoneticPr fontId="3" type="noConversion"/>
  </si>
  <si>
    <t>年初</t>
    <phoneticPr fontId="3" type="noConversion"/>
  </si>
  <si>
    <t>年底</t>
    <phoneticPr fontId="3" type="noConversion"/>
  </si>
  <si>
    <t>1年后</t>
    <phoneticPr fontId="3" type="noConversion"/>
  </si>
  <si>
    <t>2年后</t>
    <phoneticPr fontId="3" type="noConversion"/>
  </si>
  <si>
    <t>P/E(TTM)</t>
    <phoneticPr fontId="3" type="noConversion"/>
  </si>
  <si>
    <t>P/B(MRQ)</t>
    <phoneticPr fontId="3" type="noConversion"/>
  </si>
  <si>
    <t>EPS</t>
    <phoneticPr fontId="3" type="noConversion"/>
  </si>
  <si>
    <t>EV/EBITDA</t>
    <phoneticPr fontId="3" type="noConversion"/>
  </si>
  <si>
    <t>企业市值(亿元)</t>
    <phoneticPr fontId="3" type="noConversion"/>
  </si>
  <si>
    <t>ROA</t>
    <phoneticPr fontId="3" type="noConversion"/>
  </si>
  <si>
    <t>ROE</t>
    <phoneticPr fontId="3" type="noConversion"/>
  </si>
  <si>
    <t>可比公司-资产负债表</t>
    <phoneticPr fontId="3" type="noConversion"/>
  </si>
  <si>
    <t>证券基本资料</t>
    <phoneticPr fontId="3" type="noConversion"/>
  </si>
  <si>
    <t>可比公司-估值分析</t>
    <phoneticPr fontId="3" type="noConversion"/>
  </si>
  <si>
    <t>财务分析</t>
    <phoneticPr fontId="3" type="noConversion"/>
  </si>
  <si>
    <t>可比公司-财务分析</t>
    <phoneticPr fontId="3" type="noConversion"/>
  </si>
  <si>
    <t>盈利预测</t>
    <phoneticPr fontId="3" type="noConversion"/>
  </si>
  <si>
    <t>可比公司-盈利预测</t>
    <phoneticPr fontId="3" type="noConversion"/>
  </si>
  <si>
    <t>企业总市值(亿元)</t>
    <phoneticPr fontId="2" type="noConversion"/>
  </si>
  <si>
    <t>最新收盘日总市值</t>
    <phoneticPr fontId="2" type="noConversion"/>
  </si>
  <si>
    <t>趋势图</t>
    <phoneticPr fontId="2" type="noConversion"/>
  </si>
  <si>
    <t>最新收盘日</t>
    <phoneticPr fontId="3" type="noConversion"/>
  </si>
  <si>
    <t>证券总市值(亿元)</t>
    <phoneticPr fontId="2" type="noConversion"/>
  </si>
  <si>
    <t>市盈率PE</t>
    <phoneticPr fontId="2" type="noConversion"/>
  </si>
  <si>
    <t>最近一期年报日期</t>
    <phoneticPr fontId="3" type="noConversion"/>
  </si>
  <si>
    <t>PE(FY1)</t>
    <phoneticPr fontId="2" type="noConversion"/>
  </si>
  <si>
    <t>PE(FY2)</t>
    <phoneticPr fontId="2" type="noConversion"/>
  </si>
  <si>
    <t>市净率PB</t>
    <phoneticPr fontId="2" type="noConversion"/>
  </si>
  <si>
    <t>最新收盘日PE(TTM)</t>
    <phoneticPr fontId="2" type="noConversion"/>
  </si>
  <si>
    <t>PB(FY1)</t>
    <phoneticPr fontId="2" type="noConversion"/>
  </si>
  <si>
    <t>PB(FY2)</t>
    <phoneticPr fontId="2" type="noConversion"/>
  </si>
  <si>
    <t>最新收盘日PB(MRQ)</t>
    <phoneticPr fontId="2" type="noConversion"/>
  </si>
  <si>
    <t>最新收盘日PS(TTM)</t>
    <phoneticPr fontId="2" type="noConversion"/>
  </si>
  <si>
    <t>市销率PS</t>
    <phoneticPr fontId="2" type="noConversion"/>
  </si>
  <si>
    <t>市现率PCF</t>
    <phoneticPr fontId="2" type="noConversion"/>
  </si>
  <si>
    <t>最新收盘日PCF(TTM)</t>
    <phoneticPr fontId="2" type="noConversion"/>
  </si>
  <si>
    <t>EV/EBITDA</t>
    <phoneticPr fontId="3" type="noConversion"/>
  </si>
  <si>
    <t>EV/EBIT(TTM)</t>
    <phoneticPr fontId="3" type="noConversion"/>
  </si>
  <si>
    <t>每股指标</t>
    <phoneticPr fontId="2" type="noConversion"/>
  </si>
  <si>
    <t>每股收益-最新股本摊薄</t>
    <phoneticPr fontId="2" type="noConversion"/>
  </si>
  <si>
    <t>每股净资产</t>
    <phoneticPr fontId="2" type="noConversion"/>
  </si>
  <si>
    <t>每股经营现金净流量</t>
    <phoneticPr fontId="2" type="noConversion"/>
  </si>
  <si>
    <t>最近一期年报记账本位币</t>
    <phoneticPr fontId="3" type="noConversion"/>
  </si>
  <si>
    <t>毛利率</t>
    <phoneticPr fontId="2" type="noConversion"/>
  </si>
  <si>
    <t>净利率</t>
    <phoneticPr fontId="2" type="noConversion"/>
  </si>
  <si>
    <t>ESG评级</t>
    <phoneticPr fontId="3" type="noConversion"/>
  </si>
  <si>
    <t>Wind ESG评级</t>
    <phoneticPr fontId="3" type="noConversion"/>
  </si>
  <si>
    <t>Wind ESG综合得分</t>
    <phoneticPr fontId="3" type="noConversion"/>
  </si>
  <si>
    <t>净资产收益率ROE</t>
    <phoneticPr fontId="2" type="noConversion"/>
  </si>
  <si>
    <t>净资产收益率ROE(扣非)</t>
    <phoneticPr fontId="2" type="noConversion"/>
  </si>
  <si>
    <t>盈利能力(%)</t>
    <phoneticPr fontId="2" type="noConversion"/>
  </si>
  <si>
    <t>净利润/营业总收入 Profit Margin</t>
    <phoneticPr fontId="2" type="noConversion"/>
  </si>
  <si>
    <t>总资产回报率 ROA</t>
    <phoneticPr fontId="2" type="noConversion"/>
  </si>
  <si>
    <t>投入资本回报率 ROIC</t>
    <phoneticPr fontId="2" type="noConversion"/>
  </si>
  <si>
    <t>EBIT/Sales</t>
    <phoneticPr fontId="2" type="noConversion"/>
  </si>
  <si>
    <t>EBITDA/Sales</t>
    <phoneticPr fontId="2" type="noConversion"/>
  </si>
  <si>
    <t>收益质量</t>
    <phoneticPr fontId="2" type="noConversion"/>
  </si>
  <si>
    <t>营业利润/利润总额</t>
    <phoneticPr fontId="2" type="noConversion"/>
  </si>
  <si>
    <t>经营活动产生的现金流量净额/营业收入</t>
    <phoneticPr fontId="2" type="noConversion"/>
  </si>
  <si>
    <t>资本结构</t>
    <phoneticPr fontId="2" type="noConversion"/>
  </si>
  <si>
    <t>资产负债率</t>
    <phoneticPr fontId="2" type="noConversion"/>
  </si>
  <si>
    <t>净资产负债率</t>
    <phoneticPr fontId="2" type="noConversion"/>
  </si>
  <si>
    <t>流动资产/总资产</t>
    <phoneticPr fontId="2" type="noConversion"/>
  </si>
  <si>
    <t>非流动资产/总资产</t>
    <phoneticPr fontId="2" type="noConversion"/>
  </si>
  <si>
    <t>流动负债/负债合计</t>
    <phoneticPr fontId="2" type="noConversion"/>
  </si>
  <si>
    <t>非流动负债/负债合计</t>
    <phoneticPr fontId="2" type="noConversion"/>
  </si>
  <si>
    <t>偿债能力</t>
    <phoneticPr fontId="2" type="noConversion"/>
  </si>
  <si>
    <t>基本每股收益</t>
    <phoneticPr fontId="2" type="noConversion"/>
  </si>
  <si>
    <t>流动比率</t>
    <phoneticPr fontId="2" type="noConversion"/>
  </si>
  <si>
    <t>速动比率</t>
    <phoneticPr fontId="2" type="noConversion"/>
  </si>
  <si>
    <t>已获利息倍数(EBIT/利息费用)</t>
    <phoneticPr fontId="2" type="noConversion"/>
  </si>
  <si>
    <t>净负债率</t>
    <phoneticPr fontId="2" type="noConversion"/>
  </si>
  <si>
    <t>运营能力</t>
    <phoneticPr fontId="2" type="noConversion"/>
  </si>
  <si>
    <t>应收账款周转率</t>
    <phoneticPr fontId="2" type="noConversion"/>
  </si>
  <si>
    <t>应付账款周转率</t>
    <phoneticPr fontId="2" type="noConversion"/>
  </si>
  <si>
    <t>存货周转率</t>
    <phoneticPr fontId="2" type="noConversion"/>
  </si>
  <si>
    <t>流动资产周转率</t>
    <phoneticPr fontId="2" type="noConversion"/>
  </si>
  <si>
    <t>固定资产周转率</t>
    <phoneticPr fontId="2" type="noConversion"/>
  </si>
  <si>
    <t>总资产周转率</t>
    <phoneticPr fontId="2" type="noConversion"/>
  </si>
  <si>
    <t>成长能力(同比增长率)(%)</t>
    <phoneticPr fontId="2" type="noConversion"/>
  </si>
  <si>
    <t>营业总收入增长率</t>
    <phoneticPr fontId="2" type="noConversion"/>
  </si>
  <si>
    <t>营业收入增长率</t>
    <phoneticPr fontId="2" type="noConversion"/>
  </si>
  <si>
    <t>营业利润增长率</t>
    <phoneticPr fontId="2" type="noConversion"/>
  </si>
  <si>
    <t>利润总额增长率</t>
    <phoneticPr fontId="2" type="noConversion"/>
  </si>
  <si>
    <t>归母净利润增长率</t>
    <phoneticPr fontId="2" type="noConversion"/>
  </si>
  <si>
    <t>杜邦分析</t>
    <phoneticPr fontId="2" type="noConversion"/>
  </si>
  <si>
    <t>归母净利润/净利润</t>
    <phoneticPr fontId="2" type="noConversion"/>
  </si>
  <si>
    <t>净利润/利润总额</t>
    <phoneticPr fontId="2" type="noConversion"/>
  </si>
  <si>
    <t>净利润/营业总收入</t>
    <phoneticPr fontId="2" type="noConversion"/>
  </si>
  <si>
    <t>平均净资产收益率</t>
    <phoneticPr fontId="2" type="noConversion"/>
  </si>
  <si>
    <t>权益乘数</t>
    <phoneticPr fontId="2" type="noConversion"/>
  </si>
  <si>
    <t>利润总额/EBIT</t>
    <phoneticPr fontId="2" type="noConversion"/>
  </si>
  <si>
    <t>EBIT/营业总收入</t>
    <phoneticPr fontId="2" type="noConversion"/>
  </si>
  <si>
    <t>总资产周转率</t>
    <phoneticPr fontId="2" type="noConversion"/>
  </si>
  <si>
    <t>毛利润</t>
    <phoneticPr fontId="2" type="noConversion"/>
  </si>
  <si>
    <t>息税前利润</t>
    <phoneticPr fontId="2" type="noConversion"/>
  </si>
  <si>
    <t>息税折旧摊销前利润</t>
    <phoneticPr fontId="2" type="noConversion"/>
  </si>
  <si>
    <t>EBIT(反推法)</t>
    <phoneticPr fontId="2" type="noConversion"/>
  </si>
  <si>
    <t>EBITDA(反推法)</t>
    <phoneticPr fontId="2" type="noConversion"/>
  </si>
  <si>
    <t>净利润(Non-GAAP)</t>
    <phoneticPr fontId="2" type="noConversion"/>
  </si>
  <si>
    <t>扣除非经常损益后净利润</t>
    <phoneticPr fontId="2" type="noConversion"/>
  </si>
  <si>
    <t>留存收益</t>
    <phoneticPr fontId="2" type="noConversion"/>
  </si>
  <si>
    <t>营运资本</t>
    <phoneticPr fontId="2" type="noConversion"/>
  </si>
  <si>
    <t>净营运资本</t>
    <phoneticPr fontId="2" type="noConversion"/>
  </si>
  <si>
    <t>全部投入资本</t>
    <phoneticPr fontId="2" type="noConversion"/>
  </si>
  <si>
    <t>有形资产</t>
    <phoneticPr fontId="2" type="noConversion"/>
  </si>
  <si>
    <t>净债务</t>
    <phoneticPr fontId="2" type="noConversion"/>
  </si>
  <si>
    <t>带息债务</t>
    <phoneticPr fontId="2" type="noConversion"/>
  </si>
  <si>
    <t>无息流动负债</t>
    <phoneticPr fontId="2" type="noConversion"/>
  </si>
  <si>
    <t>无息非流动负债</t>
    <phoneticPr fontId="2" type="noConversion"/>
  </si>
  <si>
    <t>股权自由现金流量FCFE</t>
    <phoneticPr fontId="2" type="noConversion"/>
  </si>
  <si>
    <t>企业自由现金流</t>
    <phoneticPr fontId="2" type="noConversion"/>
  </si>
  <si>
    <t>利润表衍生数据(亿元)</t>
    <phoneticPr fontId="2" type="noConversion"/>
  </si>
  <si>
    <t>资产负债表衍生数据(亿元)</t>
    <phoneticPr fontId="2" type="noConversion"/>
  </si>
  <si>
    <t>现金流量表衍生数据(亿元)</t>
    <phoneticPr fontId="2" type="noConversion"/>
  </si>
  <si>
    <t>已发行普通股</t>
    <phoneticPr fontId="3" type="noConversion"/>
  </si>
  <si>
    <t>A股合计</t>
    <phoneticPr fontId="3" type="noConversion"/>
  </si>
  <si>
    <t>B股</t>
    <phoneticPr fontId="3" type="noConversion"/>
  </si>
  <si>
    <t>香港股</t>
    <phoneticPr fontId="3" type="noConversion"/>
  </si>
  <si>
    <t>海外股</t>
    <phoneticPr fontId="3" type="noConversion"/>
  </si>
  <si>
    <t>总股本(亿股)</t>
    <phoneticPr fontId="3" type="noConversion"/>
  </si>
  <si>
    <t>股本股东指标</t>
    <phoneticPr fontId="3" type="noConversion"/>
  </si>
  <si>
    <t>股东名称(第1名)</t>
    <phoneticPr fontId="3" type="noConversion"/>
  </si>
  <si>
    <t>股东持股数量(第1名)(万股)</t>
    <phoneticPr fontId="3" type="noConversion"/>
  </si>
  <si>
    <t>股东持股比例(第1名)(%)</t>
    <phoneticPr fontId="3" type="noConversion"/>
  </si>
  <si>
    <t>最新收盘日</t>
    <phoneticPr fontId="3" type="noConversion"/>
  </si>
  <si>
    <t>营业总收入</t>
    <phoneticPr fontId="2" type="noConversion"/>
  </si>
  <si>
    <t>营业总成本</t>
    <phoneticPr fontId="2" type="noConversion"/>
  </si>
  <si>
    <t>营业利润</t>
    <phoneticPr fontId="2" type="noConversion"/>
  </si>
  <si>
    <t>净利润</t>
    <phoneticPr fontId="2" type="noConversion"/>
  </si>
  <si>
    <t>非经常性损益</t>
    <phoneticPr fontId="2" type="noConversion"/>
  </si>
  <si>
    <t>研发支出</t>
    <phoneticPr fontId="2" type="noConversion"/>
  </si>
  <si>
    <t>固定资产</t>
    <phoneticPr fontId="2" type="noConversion"/>
  </si>
  <si>
    <t>资产总计</t>
    <phoneticPr fontId="2" type="noConversion"/>
  </si>
  <si>
    <t>流动负债</t>
    <phoneticPr fontId="2" type="noConversion"/>
  </si>
  <si>
    <t>非流动负债</t>
    <phoneticPr fontId="2" type="noConversion"/>
  </si>
  <si>
    <t>负债合计</t>
    <phoneticPr fontId="2" type="noConversion"/>
  </si>
  <si>
    <t>股东权益</t>
    <phoneticPr fontId="2" type="noConversion"/>
  </si>
  <si>
    <t>归属母公司股东的权益</t>
    <phoneticPr fontId="2" type="noConversion"/>
  </si>
  <si>
    <t>投资活动现金净流量</t>
    <phoneticPr fontId="2" type="noConversion"/>
  </si>
  <si>
    <t>筹资活动现金净流量</t>
    <phoneticPr fontId="2" type="noConversion"/>
  </si>
  <si>
    <t>*注：此excel中所有财务相关数据均采用了GSD标准</t>
    <phoneticPr fontId="3" type="noConversion"/>
  </si>
  <si>
    <t>归属普通股东净利润</t>
    <phoneticPr fontId="2" type="noConversion"/>
  </si>
  <si>
    <t>0700.HK</t>
    <phoneticPr fontId="2" type="noConversion"/>
  </si>
  <si>
    <t>EBIT(反推法)</t>
    <phoneticPr fontId="2" type="noConversion"/>
  </si>
  <si>
    <t>EBITDA(反推法)</t>
    <phoneticPr fontId="2" type="noConversion"/>
  </si>
  <si>
    <t>利润表摘要(亿元)</t>
    <phoneticPr fontId="2" type="noConversion"/>
  </si>
  <si>
    <t>流动资产</t>
    <phoneticPr fontId="2" type="noConversion"/>
  </si>
  <si>
    <t>现金及现金等价物</t>
    <phoneticPr fontId="2" type="noConversion"/>
  </si>
  <si>
    <t>非流动资产合计</t>
    <phoneticPr fontId="2" type="noConversion"/>
  </si>
  <si>
    <t>资产负债表摘要(亿元)</t>
    <phoneticPr fontId="2" type="noConversion"/>
  </si>
  <si>
    <t>权益性投资</t>
    <phoneticPr fontId="2" type="noConversion"/>
  </si>
  <si>
    <t>经营活动现金净流量</t>
    <phoneticPr fontId="2" type="noConversion"/>
  </si>
  <si>
    <t>资本性支出</t>
    <phoneticPr fontId="2" type="noConversion"/>
  </si>
  <si>
    <t>现金流量表摘要(亿元)</t>
    <phoneticPr fontId="2" type="noConversion"/>
  </si>
  <si>
    <t>现金及现金等价物净增加额</t>
    <phoneticPr fontId="2" type="noConversion"/>
  </si>
  <si>
    <t>现金及现金等价物期末余额</t>
    <phoneticPr fontId="2" type="noConversion"/>
  </si>
  <si>
    <t>最近一期年报年份</t>
    <phoneticPr fontId="3" type="noConversion"/>
  </si>
  <si>
    <t>预测FY1年份</t>
    <phoneticPr fontId="3" type="noConversion"/>
  </si>
  <si>
    <t>预测FY2年份</t>
    <phoneticPr fontId="3" type="noConversion"/>
  </si>
  <si>
    <t>每股收益预测机构家数</t>
    <phoneticPr fontId="2" type="noConversion"/>
  </si>
  <si>
    <t>万得一致预测(FY1)</t>
    <phoneticPr fontId="2" type="noConversion"/>
  </si>
  <si>
    <t>预测每股收益均值(元)</t>
    <phoneticPr fontId="2" type="noConversion"/>
  </si>
  <si>
    <t>预测营业收入均值(亿元)</t>
    <phoneticPr fontId="2" type="noConversion"/>
  </si>
  <si>
    <t>预测净利润均值(亿元)</t>
    <phoneticPr fontId="2" type="noConversion"/>
  </si>
  <si>
    <t>预测每股现金流均值(元)</t>
    <phoneticPr fontId="2" type="noConversion"/>
  </si>
  <si>
    <t>预测EBIT均值(亿元)</t>
    <phoneticPr fontId="2" type="noConversion"/>
  </si>
  <si>
    <t>预测EDBITDA均值(亿元)</t>
    <phoneticPr fontId="2" type="noConversion"/>
  </si>
  <si>
    <t>预测每股股利均值(元)</t>
    <phoneticPr fontId="2" type="noConversion"/>
  </si>
  <si>
    <t>预测每股净资产均值(元)</t>
    <phoneticPr fontId="2" type="noConversion"/>
  </si>
  <si>
    <t>预测利润总额均值(亿元)</t>
    <phoneticPr fontId="2" type="noConversion"/>
  </si>
  <si>
    <t>预测ROA均值(%)</t>
    <phoneticPr fontId="2" type="noConversion"/>
  </si>
  <si>
    <t>预测ROE均值(%)</t>
    <phoneticPr fontId="2" type="noConversion"/>
  </si>
  <si>
    <t>预测营业利润均值(亿元)</t>
    <phoneticPr fontId="2" type="noConversion"/>
  </si>
  <si>
    <t>万得一致预测(FY2)</t>
    <phoneticPr fontId="2" type="noConversion"/>
  </si>
  <si>
    <t>预测净利润增长率(%)</t>
    <phoneticPr fontId="2" type="noConversion"/>
  </si>
  <si>
    <t>预测营业收入增长率(%)</t>
    <phoneticPr fontId="2" type="noConversion"/>
  </si>
  <si>
    <t>预测净利润增长率(%)</t>
    <phoneticPr fontId="2" type="noConversion"/>
  </si>
  <si>
    <t>预测营业收入增长率(%)</t>
    <phoneticPr fontId="2" type="noConversion"/>
  </si>
  <si>
    <t>主营构成分析</t>
    <phoneticPr fontId="3" type="noConversion"/>
  </si>
  <si>
    <t>项目名称</t>
    <phoneticPr fontId="2" type="noConversion"/>
  </si>
  <si>
    <t>主营构成第1名</t>
    <phoneticPr fontId="2" type="noConversion"/>
  </si>
  <si>
    <t>主营构成第3名</t>
    <phoneticPr fontId="2" type="noConversion"/>
  </si>
  <si>
    <t>最近一期年报截止日期</t>
    <phoneticPr fontId="3" type="noConversion"/>
  </si>
  <si>
    <t>项目收入(亿元)</t>
    <phoneticPr fontId="2" type="noConversion"/>
  </si>
  <si>
    <t>项目成本(亿元)</t>
    <phoneticPr fontId="2" type="noConversion"/>
  </si>
  <si>
    <t>项目毛利(亿元)</t>
    <phoneticPr fontId="2" type="noConversion"/>
  </si>
  <si>
    <t>项目毛利率(%)</t>
    <phoneticPr fontId="2" type="noConversion"/>
  </si>
  <si>
    <t>主营构成第5名</t>
    <phoneticPr fontId="2" type="noConversion"/>
  </si>
  <si>
    <t>主营构成第4名</t>
    <phoneticPr fontId="2" type="noConversion"/>
  </si>
  <si>
    <t>主营构成第2名</t>
    <phoneticPr fontId="2" type="noConversion"/>
  </si>
  <si>
    <t>可比公司-主营构成分析</t>
    <phoneticPr fontId="3" type="noConversion"/>
  </si>
  <si>
    <t>可比公司</t>
  </si>
  <si>
    <t>002123.SZ</t>
    <phoneticPr fontId="3" type="noConversion"/>
  </si>
  <si>
    <t>600941.SH</t>
    <phoneticPr fontId="3" type="noConversion"/>
  </si>
  <si>
    <t>估值分析</t>
    <phoneticPr fontId="3" type="noConversion"/>
  </si>
  <si>
    <t>财务报表摘要</t>
    <phoneticPr fontId="3" type="noConversion"/>
  </si>
  <si>
    <t>基础信息</t>
    <phoneticPr fontId="3" type="noConversion"/>
  </si>
  <si>
    <t>603160.SH</t>
    <phoneticPr fontId="3" type="noConversion"/>
  </si>
  <si>
    <t>688111.SH</t>
    <phoneticPr fontId="3" type="noConversion"/>
  </si>
  <si>
    <t>9896.HK</t>
    <phoneticPr fontId="3" type="noConversion"/>
  </si>
  <si>
    <t>002230.SZ</t>
    <phoneticPr fontId="3" type="noConversion"/>
  </si>
  <si>
    <t>可比公司 V1.2</t>
    <phoneticPr fontId="3" type="noConversion"/>
  </si>
  <si>
    <t>9999.HK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</si>
</sst>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6" formatCode="###,###,##0.0000"/>
    <numFmt numFmtId="177" formatCode="###,###,##0.00"/>
  </numFmts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sz val="11"/>
      <color theme="1"/>
      <name val="等线"/>
      <family val="2"/>
      <charset val="134"/>
      <scheme val="minor"/>
    </font>
    <font>
      <sz val="10"/>
      <color theme="1" tint="0.249977111117893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tted">
        <color auto="1"/>
      </left>
      <right/>
      <top/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4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5" fillId="2" borderId="0" xfId="0" applyFont="1" applyFill="1" applyAlignment="1"/>
    <xf numFmtId="0" fontId="5" fillId="2" borderId="0" xfId="0" applyFont="1" applyFill="1">
      <alignment vertical="center"/>
    </xf>
    <xf numFmtId="0" fontId="0" fillId="4" borderId="0" xfId="0" applyFill="1">
      <alignment vertical="center"/>
    </xf>
    <xf numFmtId="0" fontId="6" fillId="4" borderId="1" xfId="0" applyFont="1" applyFill="1" applyBorder="1" applyAlignment="1">
      <alignment vertical="top"/>
    </xf>
    <xf numFmtId="0" fontId="1" fillId="4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6" fillId="4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6" fillId="4" borderId="1" xfId="0" applyFont="1" applyFill="1" applyBorder="1" applyAlignment="1">
      <alignment horizontal="right" vertical="top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>
      <alignment vertical="center"/>
    </xf>
    <xf numFmtId="0" fontId="7" fillId="5" borderId="7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right"/>
    </xf>
    <xf numFmtId="177" fontId="1" fillId="0" borderId="2" xfId="0" applyNumberFormat="1" applyFont="1" applyFill="1" applyBorder="1" applyAlignment="1">
      <alignment horizontal="right" vertical="center"/>
    </xf>
    <xf numFmtId="0" fontId="7" fillId="5" borderId="10" xfId="0" applyFont="1" applyFill="1" applyBorder="1" applyAlignment="1">
      <alignment horizontal="right"/>
    </xf>
    <xf numFmtId="177" fontId="1" fillId="0" borderId="11" xfId="0" applyNumberFormat="1" applyFont="1" applyFill="1" applyBorder="1" applyAlignment="1">
      <alignment horizontal="right" vertical="center"/>
    </xf>
    <xf numFmtId="0" fontId="7" fillId="5" borderId="7" xfId="0" applyFont="1" applyFill="1" applyBorder="1" applyAlignment="1">
      <alignment horizontal="right"/>
    </xf>
    <xf numFmtId="177" fontId="1" fillId="0" borderId="8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0" fontId="0" fillId="4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0" xfId="0" applyFill="1" applyBorder="1">
      <alignment vertical="center"/>
    </xf>
    <xf numFmtId="0" fontId="7" fillId="5" borderId="17" xfId="0" applyFont="1" applyFill="1" applyBorder="1" applyAlignment="1">
      <alignment horizontal="right"/>
    </xf>
    <xf numFmtId="177" fontId="1" fillId="0" borderId="3" xfId="0" applyNumberFormat="1" applyFont="1" applyFill="1" applyBorder="1" applyAlignment="1">
      <alignment horizontal="right" vertical="center"/>
    </xf>
    <xf numFmtId="0" fontId="7" fillId="5" borderId="7" xfId="0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right" vertical="center"/>
    </xf>
    <xf numFmtId="0" fontId="7" fillId="5" borderId="10" xfId="0" applyFont="1" applyFill="1" applyBorder="1" applyAlignment="1">
      <alignment horizontal="right" vertical="center"/>
    </xf>
    <xf numFmtId="0" fontId="7" fillId="5" borderId="10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176" fontId="1" fillId="0" borderId="2" xfId="0" applyNumberFormat="1" applyFont="1" applyFill="1" applyBorder="1" applyAlignment="1">
      <alignment horizontal="right" vertical="center"/>
    </xf>
    <xf numFmtId="0" fontId="7" fillId="5" borderId="18" xfId="0" applyFont="1" applyFill="1" applyBorder="1" applyAlignment="1">
      <alignment horizontal="right"/>
    </xf>
    <xf numFmtId="177" fontId="1" fillId="0" borderId="5" xfId="0" applyNumberFormat="1" applyFont="1" applyFill="1" applyBorder="1" applyAlignment="1">
      <alignment horizontal="right" vertical="center"/>
    </xf>
    <xf numFmtId="177" fontId="1" fillId="0" borderId="6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vertical="center"/>
    </xf>
    <xf numFmtId="0" fontId="7" fillId="5" borderId="20" xfId="0" applyFont="1" applyFill="1" applyBorder="1" applyAlignment="1">
      <alignment horizontal="right" vertical="center"/>
    </xf>
    <xf numFmtId="0" fontId="7" fillId="5" borderId="19" xfId="0" applyFont="1" applyFill="1" applyBorder="1" applyAlignment="1">
      <alignment horizontal="right"/>
    </xf>
    <xf numFmtId="0" fontId="7" fillId="5" borderId="21" xfId="0" applyFont="1" applyFill="1" applyBorder="1" applyAlignment="1">
      <alignment horizontal="right"/>
    </xf>
    <xf numFmtId="0" fontId="8" fillId="4" borderId="0" xfId="0" applyFont="1" applyFill="1">
      <alignment vertical="center"/>
    </xf>
    <xf numFmtId="0" fontId="7" fillId="5" borderId="9" xfId="0" applyFont="1" applyFill="1" applyBorder="1" applyAlignment="1">
      <alignment horizontal="left" vertical="center"/>
    </xf>
    <xf numFmtId="2" fontId="1" fillId="0" borderId="2" xfId="0" applyNumberFormat="1" applyFont="1" applyFill="1" applyBorder="1" applyAlignment="1">
      <alignment horizontal="right" vertical="center"/>
    </xf>
    <xf numFmtId="2" fontId="1" fillId="0" borderId="22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left" vertical="center" wrapText="1"/>
    </xf>
    <xf numFmtId="2" fontId="1" fillId="0" borderId="11" xfId="0" applyNumberFormat="1" applyFont="1" applyFill="1" applyBorder="1" applyAlignment="1">
      <alignment horizontal="right" vertical="center"/>
    </xf>
    <xf numFmtId="0" fontId="7" fillId="5" borderId="12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14" fontId="1" fillId="0" borderId="13" xfId="0" applyNumberFormat="1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14" fontId="1" fillId="0" borderId="15" xfId="0" applyNumberFormat="1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right" vertical="center" wrapText="1"/>
    </xf>
    <xf numFmtId="0" fontId="7" fillId="5" borderId="10" xfId="0" applyFont="1" applyFill="1" applyBorder="1" applyAlignment="1">
      <alignment horizontal="right" vertical="center" wrapText="1"/>
    </xf>
    <xf numFmtId="0" fontId="7" fillId="5" borderId="17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14" fontId="11" fillId="2" borderId="0" xfId="0" applyNumberFormat="1" applyFont="1" applyFill="1" applyAlignment="1">
      <alignment horizontal="center" vertical="center"/>
    </xf>
    <xf numFmtId="0" fontId="6" fillId="0" borderId="0" xfId="0" applyFont="1" applyAlignment="1"/>
    <xf numFmtId="43" fontId="1" fillId="0" borderId="3" xfId="1" applyFont="1" applyFill="1" applyBorder="1" applyAlignment="1">
      <alignment horizontal="left" vertical="center"/>
    </xf>
    <xf numFmtId="0" fontId="13" fillId="3" borderId="0" xfId="0" applyFont="1" applyFill="1">
      <alignment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right" vertical="center"/>
    </xf>
    <xf numFmtId="0" fontId="7" fillId="5" borderId="18" xfId="0" applyFont="1" applyFill="1" applyBorder="1" applyAlignment="1">
      <alignment horizontal="right" vertical="center"/>
    </xf>
    <xf numFmtId="0" fontId="7" fillId="5" borderId="18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4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dotted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0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ill>
        <patternFill>
          <bgColor rgb="FFF4F4F4"/>
        </patternFill>
      </fill>
    </dxf>
    <dxf>
      <fill>
        <patternFill>
          <bgColor theme="0"/>
        </patternFill>
      </fill>
    </dxf>
  </dxfs>
  <tableStyles count="1" defaultTableStyle="表样式 1" defaultPivotStyle="PivotStyleLight16">
    <tableStyle name="表样式 1" pivot="0" count="2" xr9:uid="{00000000-0011-0000-FFFF-FFFF00000000}">
      <tableStyleElement type="firstRowStripe" dxfId="481"/>
      <tableStyleElement type="secondRowStripe" dxfId="480"/>
    </tableStyle>
  </tableStyles>
  <colors>
    <mruColors>
      <color rgb="FF63636D"/>
      <color rgb="FFE9E9E9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76200</xdr:rowOff>
    </xdr:from>
    <xdr:to>
      <xdr:col>2</xdr:col>
      <xdr:colOff>456000</xdr:colOff>
      <xdr:row>0</xdr:row>
      <xdr:rowOff>295800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76200"/>
          <a:ext cx="608400" cy="21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2</xdr:col>
      <xdr:colOff>446475</xdr:colOff>
      <xdr:row>0</xdr:row>
      <xdr:rowOff>295800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6200"/>
          <a:ext cx="608400" cy="21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2</xdr:col>
      <xdr:colOff>446475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5725"/>
          <a:ext cx="608400" cy="21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2</xdr:col>
      <xdr:colOff>484575</xdr:colOff>
      <xdr:row>0</xdr:row>
      <xdr:rowOff>295800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608400" cy="219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484575</xdr:colOff>
      <xdr:row>0</xdr:row>
      <xdr:rowOff>305325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608400" cy="219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2</xdr:col>
      <xdr:colOff>484575</xdr:colOff>
      <xdr:row>0</xdr:row>
      <xdr:rowOff>295800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608400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ks_fa_apturn"/>
      <definedName name="hks_fa_arturn"/>
      <definedName name="hks_fa_assetsturn"/>
      <definedName name="hks_fa_bps"/>
      <definedName name="hks_fa_catoassets"/>
      <definedName name="hks_fa_caturn"/>
      <definedName name="hks_fa_current"/>
      <definedName name="hks_fa_currentdebttodebt"/>
      <definedName name="hks_fa_debttoassets"/>
      <definedName name="hks_fa_deductedprofit"/>
      <definedName name="hks_fa_dupont_assetstoequity"/>
      <definedName name="hks_fa_dupont_ebittosales"/>
      <definedName name="hks_fa_dupont_intburden"/>
      <definedName name="hks_fa_dupont_np"/>
      <definedName name="hks_fa_dupont_nptosales"/>
      <definedName name="hks_fa_dupont_taxburden"/>
      <definedName name="hks_fa_ebit"/>
      <definedName name="hks_fa_ebit2_ttm"/>
      <definedName name="hks_fa_ebit3"/>
      <definedName name="hks_fa_ebitda"/>
      <definedName name="hks_fa_ebitdatosales"/>
      <definedName name="hks_fa_ebittointerest"/>
      <definedName name="hks_fa_eps_adjust2"/>
      <definedName name="hks_fa_eps_basic"/>
      <definedName name="hks_fa_exinterestdebt_current"/>
      <definedName name="hks_fa_exinterestdebt_noncurrent2"/>
      <definedName name="hks_fa_faturn"/>
      <definedName name="hks_fa_fcfe2"/>
      <definedName name="hks_fa_fcff2"/>
      <definedName name="hks_fa_grossmargin2"/>
      <definedName name="hks_fa_grossprofitmargin"/>
      <definedName name="hks_fa_interestdebt2"/>
      <definedName name="hks_fa_investcapital2"/>
      <definedName name="hks_fa_invturn"/>
      <definedName name="hks_fa_longdebtodebt"/>
      <definedName name="hks_fa_ncatoassets"/>
      <definedName name="hks_fa_netdebt2"/>
      <definedName name="hks_fa_netdebtratio"/>
      <definedName name="hks_fa_netprofitmargin"/>
      <definedName name="hks_fa_networkingcapital2"/>
      <definedName name="hks_fa_nogaapprofit"/>
      <definedName name="hks_fa_ocfps"/>
      <definedName name="hks_fa_ocftosales"/>
      <definedName name="hks_fa_optoebt"/>
      <definedName name="hks_fa_quick"/>
      <definedName name="hks_fa_retainedearnings2"/>
      <definedName name="hks_fa_roa2"/>
      <definedName name="hks_fa_roe"/>
      <definedName name="hks_fa_roe_deducted"/>
      <definedName name="hks_fa_roic"/>
      <definedName name="hks_fa_tangibleasset2"/>
      <definedName name="hks_fa_workingcapital2"/>
      <definedName name="hks_fa_yoy_or"/>
      <definedName name="hks_fa_yoy_tr"/>
      <definedName name="hks_fa_yoyebt"/>
      <definedName name="hks_fa_yoynetprofit"/>
      <definedName name="hks_fa_yoyop2"/>
      <definedName name="hks_holder_name"/>
      <definedName name="hks_holder_pct"/>
      <definedName name="hks_holder_quantity"/>
      <definedName name="hks_info_cur2"/>
      <definedName name="hks_info_isincode"/>
      <definedName name="hks_info_name"/>
      <definedName name="hks_share_h"/>
      <definedName name="hks_share_oversea"/>
      <definedName name="hks_share_total"/>
      <definedName name="hks_share_totala"/>
      <definedName name="hks_share_totalb"/>
      <definedName name="hks_stm_bs"/>
      <definedName name="hks_stm_cs"/>
      <definedName name="hks_stm_is"/>
      <definedName name="hks_val_ev"/>
      <definedName name="hks_val_ev2"/>
      <definedName name="hks_val_mv_ard"/>
      <definedName name="hks_val_pb"/>
      <definedName name="hks_val_pcf"/>
      <definedName name="hks_val_pcf_ttm"/>
      <definedName name="hks_val_pe"/>
      <definedName name="hks_val_pe_ttm"/>
      <definedName name="hks_val_ps"/>
      <definedName name="hks_val_ps_ttm"/>
      <definedName name="lastradeday_s"/>
      <definedName name="pb_mrq"/>
      <definedName name="s_dq_close"/>
      <definedName name="s_dq_pctchange"/>
      <definedName name="s_esg_rating_wind"/>
      <definedName name="s_esg_score_wind"/>
      <definedName name="s_est_avgbps"/>
      <definedName name="s_est_avgcps"/>
      <definedName name="s_est_avgdps"/>
      <definedName name="s_est_avgebit"/>
      <definedName name="s_est_avgebitda"/>
      <definedName name="s_est_avgebt"/>
      <definedName name="s_est_avgoperatingprofit"/>
      <definedName name="s_est_avgroa"/>
      <definedName name="s_est_avgroe"/>
      <definedName name="s_est_eps"/>
      <definedName name="s_est_instnum"/>
      <definedName name="s_est_netprofit"/>
      <definedName name="s_est_sales"/>
      <definedName name="s_est_yoynetprofit"/>
      <definedName name="s_est_yoysales"/>
      <definedName name="s_fa_debttoeqy"/>
      <definedName name="s_fa_dupont_ebittosales"/>
      <definedName name="s_fa_dupont_nptosales"/>
      <definedName name="s_fa_dupont_roe"/>
      <definedName name="s_fa_latelyrd_bt"/>
      <definedName name="s_info_city"/>
      <definedName name="s_info_exchmarket"/>
      <definedName name="s_info_industry_gics"/>
      <definedName name="s_info_isincode"/>
      <definedName name="s_info_mkt"/>
      <definedName name="s_info_province"/>
      <definedName name="s_ipo_listeddate"/>
      <definedName name="s_segment_product_cost1"/>
      <definedName name="s_segment_product_gpmargin"/>
      <definedName name="s_segment_product_item"/>
      <definedName name="s_segment_product_profit1"/>
      <definedName name="s_segment_product_sales1"/>
      <definedName name="s_share_total"/>
      <definedName name="s_stm_rpt_e"/>
      <definedName name="s_val_estpb"/>
      <definedName name="s_val_estpe"/>
      <definedName name="s_val_evtoebitda2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M8:AQ100" headerRowCount="0" totalsRowShown="0" headerRowDxfId="479" dataDxfId="478">
  <tableColumns count="31">
    <tableColumn id="1" xr3:uid="{00000000-0010-0000-0000-000001000000}" name="列1" headerRowDxfId="477" dataDxfId="476"/>
    <tableColumn id="2" xr3:uid="{00000000-0010-0000-0000-000002000000}" name="列2" headerRowDxfId="475" dataDxfId="474">
      <calculatedColumnFormula>IF(M8="","",[1]!hks_info_name(M8))</calculatedColumnFormula>
    </tableColumn>
    <tableColumn id="3" xr3:uid="{00000000-0010-0000-0000-000003000000}" name="列3" headerRowDxfId="473" dataDxfId="472">
      <calculatedColumnFormula>IF(M8="","",[1]!s_ipo_listeddate(M8))</calculatedColumnFormula>
    </tableColumn>
    <tableColumn id="4" xr3:uid="{00000000-0010-0000-0000-000004000000}" name="列4" headerRowDxfId="471" dataDxfId="470">
      <calculatedColumnFormula>IF(M8="","",[1]!s_info_exchmarket(M8))</calculatedColumnFormula>
    </tableColumn>
    <tableColumn id="5" xr3:uid="{00000000-0010-0000-0000-000005000000}" name="列5" headerRowDxfId="469" dataDxfId="468">
      <calculatedColumnFormula>IF(M8="","",[1]!s_info_mkt(M8))</calculatedColumnFormula>
    </tableColumn>
    <tableColumn id="6" xr3:uid="{00000000-0010-0000-0000-000006000000}" name="列6" headerRowDxfId="467" dataDxfId="466">
      <calculatedColumnFormula>IF(M8="","",[1]!hks_info_isincode(M8))</calculatedColumnFormula>
    </tableColumn>
    <tableColumn id="7" xr3:uid="{00000000-0010-0000-0000-000007000000}" name="列7" headerRowDxfId="465" dataDxfId="464">
      <calculatedColumnFormula>IF(M8="","",[1]!s_info_province(M8))</calculatedColumnFormula>
    </tableColumn>
    <tableColumn id="8" xr3:uid="{00000000-0010-0000-0000-000008000000}" name="列8" headerRowDxfId="463" dataDxfId="462">
      <calculatedColumnFormula>IF(M8="","",[1]!s_info_city(M8))</calculatedColumnFormula>
    </tableColumn>
    <tableColumn id="9" xr3:uid="{00000000-0010-0000-0000-000009000000}" name="列9" headerRowDxfId="461" dataDxfId="460">
      <calculatedColumnFormula>IF(M8="","",[1]!s_info_industry_gics(M8,9))</calculatedColumnFormula>
    </tableColumn>
    <tableColumn id="10" xr3:uid="{00000000-0010-0000-0000-00000A000000}" name="列10" headerRowDxfId="459" dataDxfId="458">
      <calculatedColumnFormula>IF(M8="","",[1]!lastradeday_s(M8,$D$7))</calculatedColumnFormula>
    </tableColumn>
    <tableColumn id="11" xr3:uid="{00000000-0010-0000-0000-00000B000000}" name="列11" headerRowDxfId="457" dataDxfId="456">
      <calculatedColumnFormula>IF(M8="","",[1]!s_dq_close(M8,V8,3))</calculatedColumnFormula>
    </tableColumn>
    <tableColumn id="12" xr3:uid="{00000000-0010-0000-0000-00000C000000}" name="列12" headerRowDxfId="455" dataDxfId="454">
      <calculatedColumnFormula>IF(M8="","",[1]!s_dq_pctchange(M8,V8))</calculatedColumnFormula>
    </tableColumn>
    <tableColumn id="13" xr3:uid="{00000000-0010-0000-0000-00000D000000}" name="列13" headerRowDxfId="453" dataDxfId="452">
      <calculatedColumnFormula>IF(M8="","",[1]!hks_val_ev(M8,V8,"",100000000))</calculatedColumnFormula>
    </tableColumn>
    <tableColumn id="14" xr3:uid="{00000000-0010-0000-0000-00000E000000}" name="列14" headerRowDxfId="451" dataDxfId="450">
      <calculatedColumnFormula>IF(M8="","",[1]!hks_val_mv_ard(M8,V8,"",100000000))</calculatedColumnFormula>
    </tableColumn>
    <tableColumn id="102" xr3:uid="{00000000-0010-0000-0000-000066000000}" name="列102" headerRowDxfId="449" dataDxfId="448">
      <calculatedColumnFormula>IF(M8="","",[1]!hks_fa_eps_basic(M8,[1]!s_fa_latelyrd_bt(M8,V8),""))</calculatedColumnFormula>
    </tableColumn>
    <tableColumn id="15" xr3:uid="{00000000-0010-0000-0000-00000F000000}" name="列15" headerRowDxfId="447" dataDxfId="446">
      <calculatedColumnFormula>IF(M8="","",[1]!hks_val_pe_ttm(M8,V8))</calculatedColumnFormula>
    </tableColumn>
    <tableColumn id="16" xr3:uid="{00000000-0010-0000-0000-000010000000}" name="列16" headerRowDxfId="445" dataDxfId="444">
      <calculatedColumnFormula>IF(M8="","",[1]!pb_mrq(M8,V8))</calculatedColumnFormula>
    </tableColumn>
    <tableColumn id="17" xr3:uid="{00000000-0010-0000-0000-000011000000}" name="列17" headerRowDxfId="443" dataDxfId="442">
      <calculatedColumnFormula>IF(M8="","",[1]!s_val_evtoebitda2(M8,V8))</calculatedColumnFormula>
    </tableColumn>
    <tableColumn id="18" xr3:uid="{00000000-0010-0000-0000-000012000000}" name="列18" headerRowDxfId="441" dataDxfId="440">
      <calculatedColumnFormula>IF(M8="","",[1]!hks_fa_roa2(M8,[1]!s_fa_latelyrd_bt(M8,V8)))</calculatedColumnFormula>
    </tableColumn>
    <tableColumn id="19" xr3:uid="{00000000-0010-0000-0000-000013000000}" name="列19" headerRowDxfId="439" dataDxfId="438">
      <calculatedColumnFormula>IF(M8="","",[1]!hks_fa_roe(M8,[1]!s_fa_latelyrd_bt(M8,V8)))</calculatedColumnFormula>
    </tableColumn>
    <tableColumn id="27" xr3:uid="{00000000-0010-0000-0000-00001B000000}" name="列27" headerRowDxfId="437" dataDxfId="436">
      <calculatedColumnFormula>IF(M8="","",[1]!s_share_total(M8,V8,100000000))</calculatedColumnFormula>
    </tableColumn>
    <tableColumn id="26" xr3:uid="{00000000-0010-0000-0000-00001A000000}" name="列26" headerRowDxfId="435" dataDxfId="434">
      <calculatedColumnFormula>IF(M8="","",[1]!hks_share_total(M8,V8,100000000))</calculatedColumnFormula>
    </tableColumn>
    <tableColumn id="25" xr3:uid="{00000000-0010-0000-0000-000019000000}" name="列25" headerRowDxfId="433" dataDxfId="432">
      <calculatedColumnFormula>IF(M8="","",[1]!hks_share_totala(M8,V8,100000000))</calculatedColumnFormula>
    </tableColumn>
    <tableColumn id="24" xr3:uid="{00000000-0010-0000-0000-000018000000}" name="列24" headerRowDxfId="431" dataDxfId="430">
      <calculatedColumnFormula>IF(M8="","",[1]!hks_share_totalb(M8,V8,100000000))</calculatedColumnFormula>
    </tableColumn>
    <tableColumn id="23" xr3:uid="{00000000-0010-0000-0000-000017000000}" name="列23" headerRowDxfId="429" dataDxfId="428">
      <calculatedColumnFormula>IF(M8="","",[1]!hks_share_h(M8,V8,100000000))</calculatedColumnFormula>
    </tableColumn>
    <tableColumn id="29" xr3:uid="{00000000-0010-0000-0000-00001D000000}" name="列29" headerRowDxfId="427" dataDxfId="426">
      <calculatedColumnFormula>IF(M8="","",[1]!hks_share_oversea(M8,V8,100000000))</calculatedColumnFormula>
    </tableColumn>
    <tableColumn id="28" xr3:uid="{00000000-0010-0000-0000-00001C000000}" name="列28" headerRowDxfId="425" dataDxfId="424">
      <calculatedColumnFormula>IF(M8="","",[1]!hks_holder_name(M8,V8,1))</calculatedColumnFormula>
    </tableColumn>
    <tableColumn id="30" xr3:uid="{00000000-0010-0000-0000-00001E000000}" name="列30" headerRowDxfId="423" dataDxfId="422">
      <calculatedColumnFormula>IF(M8="","",[1]!hks_holder_quantity(M8,V8,1,10000))</calculatedColumnFormula>
    </tableColumn>
    <tableColumn id="22" xr3:uid="{00000000-0010-0000-0000-000016000000}" name="列22" headerRowDxfId="421" dataDxfId="420">
      <calculatedColumnFormula>IF(M8="","",[1]!hks_holder_pct(M8,V8,1))</calculatedColumnFormula>
    </tableColumn>
    <tableColumn id="20" xr3:uid="{00000000-0010-0000-0000-000014000000}" name="列20" headerRowDxfId="419" dataDxfId="418">
      <calculatedColumnFormula>IF(M8="","",[1]!s_esg_rating_wind(M8,V8))</calculatedColumnFormula>
    </tableColumn>
    <tableColumn id="21" xr3:uid="{00000000-0010-0000-0000-000015000000}" name="列21" headerRowDxfId="417" dataDxfId="416">
      <calculatedColumnFormula>IF(M8="","",[1]!s_esg_score_wind(M8,V8))</calculatedColumnFormula>
    </tableColumn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表4" displayName="表4" ref="C7:I11" headerRowCount="0" totalsRowShown="0" headerRowDxfId="415" dataDxfId="414">
  <tableColumns count="7">
    <tableColumn id="1" xr3:uid="{00000000-0010-0000-0100-000001000000}" name="列1" headerRowDxfId="413" dataDxfId="412"/>
    <tableColumn id="2" xr3:uid="{00000000-0010-0000-0100-000002000000}" name="列2" headerRowDxfId="411" dataDxfId="410"/>
    <tableColumn id="3" xr3:uid="{00000000-0010-0000-0100-000003000000}" name="列3" headerRowDxfId="409" dataDxfId="408">
      <calculatedColumnFormula>MONTH(D8)</calculatedColumnFormula>
    </tableColumn>
    <tableColumn id="4" xr3:uid="{00000000-0010-0000-0100-000004000000}" name="列4" headerRowDxfId="407" dataDxfId="406">
      <calculatedColumnFormula>LEN(2^E8)</calculatedColumnFormula>
    </tableColumn>
    <tableColumn id="5" xr3:uid="{00000000-0010-0000-0100-000005000000}" name="列5" headerRowDxfId="405" dataDxfId="404">
      <calculatedColumnFormula>YEAR(D8)</calculatedColumnFormula>
    </tableColumn>
    <tableColumn id="6" xr3:uid="{00000000-0010-0000-0100-000006000000}" name="列6" headerRowDxfId="403" dataDxfId="402">
      <calculatedColumnFormula>DATE(YEAR(D8),1,1)</calculatedColumnFormula>
    </tableColumn>
    <tableColumn id="7" xr3:uid="{00000000-0010-0000-0100-000007000000}" name="列7" headerRowDxfId="401" dataDxfId="400">
      <calculatedColumnFormula>DATE(YEAR(D8),12,31)</calculatedColumnFormula>
    </tableColumn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表1_3" displayName="表1_3" ref="C8:AG100" headerRowCount="0" totalsRowShown="0" headerRowDxfId="399" dataDxfId="398">
  <tableColumns count="31">
    <tableColumn id="1" xr3:uid="{00000000-0010-0000-0200-000001000000}" name="列1" headerRowDxfId="397" dataDxfId="396">
      <calculatedColumnFormula>IF(表1[[#This Row],[列1]]="","",表1[[#This Row],[列1]])</calculatedColumnFormula>
    </tableColumn>
    <tableColumn id="2" xr3:uid="{00000000-0010-0000-0200-000002000000}" name="列2" headerRowDxfId="395" dataDxfId="394">
      <calculatedColumnFormula>IF(C8="","",[1]!hks_info_name(C8))</calculatedColumnFormula>
    </tableColumn>
    <tableColumn id="3" xr3:uid="{00000000-0010-0000-0200-000003000000}" name="列3" headerRowDxfId="393" dataDxfId="392">
      <calculatedColumnFormula>IF(C8="","",[1]!lastradeday_s(C8,TODAY()))</calculatedColumnFormula>
    </tableColumn>
    <tableColumn id="4" xr3:uid="{00000000-0010-0000-0200-000004000000}" name="列4" headerRowDxfId="391" dataDxfId="390">
      <calculatedColumnFormula>IF(C8="","",IF(OR([1]!s_stm_rpt_e(C8,基本资料!$I$8,0)="#N/A",[1]!s_stm_rpt_e(C8,基本资料!$I$8,0)="",[1]!s_stm_rpt_e(C8,基本资料!$I$8,0)=0),[1]!s_stm_rpt_e(C8,基本资料!$I$9,0),[1]!s_stm_rpt_e(C8,基本资料!$I$8,0)))</calculatedColumnFormula>
    </tableColumn>
    <tableColumn id="5" xr3:uid="{00000000-0010-0000-0200-000005000000}" name="列5" headerRowDxfId="389" dataDxfId="388">
      <calculatedColumnFormula>IF(C8="","",[1]!hks_info_cur2(C8,F8))</calculatedColumnFormula>
    </tableColumn>
    <tableColumn id="8" xr3:uid="{00000000-0010-0000-0200-000008000000}" name="列8" headerRowDxfId="387" dataDxfId="386">
      <calculatedColumnFormula>IF(C8="","",[1]!hks_stm_is(C8,"83",F8,1,"",100000000))</calculatedColumnFormula>
    </tableColumn>
    <tableColumn id="9" xr3:uid="{00000000-0010-0000-0200-000009000000}" name="列9" headerRowDxfId="385" dataDxfId="384">
      <calculatedColumnFormula>IF(C8="","",[1]!hks_stm_is(C8,"1032",F8,1,"",100000000))</calculatedColumnFormula>
    </tableColumn>
    <tableColumn id="6" xr3:uid="{00000000-0010-0000-0200-000006000000}" name="列6" headerRowDxfId="383" dataDxfId="382">
      <calculatedColumnFormula>IF(C8="","",[1]!hks_stm_is(C8,"1041",F8,1,"",100000000))</calculatedColumnFormula>
    </tableColumn>
    <tableColumn id="10" xr3:uid="{00000000-0010-0000-0200-00000A000000}" name="列10" headerRowDxfId="381" dataDxfId="380">
      <calculatedColumnFormula>IF(C8="","",[1]!hks_stm_is(C8,"61",F8,1,"",100000000))</calculatedColumnFormula>
    </tableColumn>
    <tableColumn id="180" xr3:uid="{00000000-0010-0000-0200-0000B4000000}" name="列97" headerRowDxfId="379" dataDxfId="378">
      <calculatedColumnFormula>IF(C8="","",[1]!hks_stm_is(C8,"1075",F8,1,"",100000000))</calculatedColumnFormula>
    </tableColumn>
    <tableColumn id="181" xr3:uid="{00000000-0010-0000-0200-0000B5000000}" name="列98" headerRowDxfId="377" dataDxfId="376">
      <calculatedColumnFormula>IF(C8="","",[1]!hks_stm_is(C8,"1077",F8,1,"",100000000))</calculatedColumnFormula>
    </tableColumn>
    <tableColumn id="183" xr3:uid="{00000000-0010-0000-0200-0000B7000000}" name="列100" headerRowDxfId="375" dataDxfId="374">
      <calculatedColumnFormula>IF(C8="","",[1]!hks_stm_is(C8,"1030",F8,1,"",100000000))</calculatedColumnFormula>
    </tableColumn>
    <tableColumn id="184" xr3:uid="{00000000-0010-0000-0200-0000B8000000}" name="列101" headerRowDxfId="373" dataDxfId="372">
      <calculatedColumnFormula>IF(C8="","",[1]!hks_fa_ebit(C8,F8,1,"",100000000))</calculatedColumnFormula>
    </tableColumn>
    <tableColumn id="185" xr3:uid="{00000000-0010-0000-0200-0000B9000000}" name="列103" headerRowDxfId="371" dataDxfId="370">
      <calculatedColumnFormula>IF(C8="","",[1]!hks_fa_ebitda(C8,F8,1,"",100000000))</calculatedColumnFormula>
    </tableColumn>
    <tableColumn id="186" xr3:uid="{00000000-0010-0000-0200-0000BA000000}" name="列104" headerRowDxfId="369" dataDxfId="368">
      <calculatedColumnFormula>IF(C8="","",[1]!hks_stm_bs(C8,"9",F8,1,"",100000000))</calculatedColumnFormula>
    </tableColumn>
    <tableColumn id="22" xr3:uid="{00000000-0010-0000-0200-000016000000}" name="列7" headerRowDxfId="367" dataDxfId="366">
      <calculatedColumnFormula>IF(C8="","",[1]!hks_stm_bs(C8,"25",F8,1,"",100000000))</calculatedColumnFormula>
    </tableColumn>
    <tableColumn id="173" xr3:uid="{00000000-0010-0000-0200-0000AD000000}" name="列90" headerRowDxfId="365" dataDxfId="364">
      <calculatedColumnFormula>IF(C8="","",[1]!hks_stm_bs(C8,"1088",F8,1,"",100000000))</calculatedColumnFormula>
    </tableColumn>
    <tableColumn id="23" xr3:uid="{00000000-0010-0000-0200-000017000000}" name="列99" headerRowDxfId="363" dataDxfId="362">
      <calculatedColumnFormula>IF(C8="","",[1]!hks_stm_bs(C8,"46",F8,1,"",100000000))</calculatedColumnFormula>
    </tableColumn>
    <tableColumn id="174" xr3:uid="{00000000-0010-0000-0200-0000AE000000}" name="列91" headerRowDxfId="361" dataDxfId="360">
      <calculatedColumnFormula>IF(C8="","",[1]!hks_stm_bs(C8,"29",F8,1,"",100000000))</calculatedColumnFormula>
    </tableColumn>
    <tableColumn id="175" xr3:uid="{00000000-0010-0000-0200-0000AF000000}" name="列92" headerRowDxfId="359" dataDxfId="358">
      <calculatedColumnFormula>IF(C8="","",[1]!hks_stm_bs(C8,"74",F8,1,"",100000000))</calculatedColumnFormula>
    </tableColumn>
    <tableColumn id="176" xr3:uid="{00000000-0010-0000-0200-0000B0000000}" name="列93" headerRowDxfId="357" dataDxfId="356">
      <calculatedColumnFormula>IF(C8="","",[1]!hks_stm_bs(C8,"93",F8,1,"",100000000))</calculatedColumnFormula>
    </tableColumn>
    <tableColumn id="177" xr3:uid="{00000000-0010-0000-0200-0000B1000000}" name="列94" headerRowDxfId="355" dataDxfId="354">
      <calculatedColumnFormula>IF(C8="","",[1]!hks_stm_bs(C8,"1017",F8,1,"",100000000))</calculatedColumnFormula>
    </tableColumn>
    <tableColumn id="178" xr3:uid="{00000000-0010-0000-0200-0000B2000000}" name="列95" headerRowDxfId="353" dataDxfId="352">
      <calculatedColumnFormula>IF(C8="","",[1]!hks_stm_bs(C8,"128",F8,1,"",100000000))</calculatedColumnFormula>
    </tableColumn>
    <tableColumn id="179" xr3:uid="{00000000-0010-0000-0200-0000B3000000}" name="列96" headerRowDxfId="351" dataDxfId="350">
      <calculatedColumnFormula>IF(C8="","",[1]!hks_stm_bs(C8,"145",F8,1,"",100000000))</calculatedColumnFormula>
    </tableColumn>
    <tableColumn id="166" xr3:uid="{00000000-0010-0000-0200-0000A6000000}" name="列83" headerRowDxfId="349" dataDxfId="348">
      <calculatedColumnFormula>IF(C8="","",[1]!hks_stm_bs(C8,"140",F8,1,"",100000000))</calculatedColumnFormula>
    </tableColumn>
    <tableColumn id="168" xr3:uid="{00000000-0010-0000-0200-0000A8000000}" name="列85" headerRowDxfId="347" dataDxfId="346">
      <calculatedColumnFormula>IF(C8="","",[1]!hks_stm_cs(C8,"39",F8,1,"",100000000))</calculatedColumnFormula>
    </tableColumn>
    <tableColumn id="170" xr3:uid="{00000000-0010-0000-0200-0000AA000000}" name="列87" headerRowDxfId="345" dataDxfId="344">
      <calculatedColumnFormula>IF(C8="","",[1]!hks_stm_cs(C8,"1020",F8,1,"",100000000))</calculatedColumnFormula>
    </tableColumn>
    <tableColumn id="172" xr3:uid="{00000000-0010-0000-0200-0000AC000000}" name="列89" headerRowDxfId="343" dataDxfId="342">
      <calculatedColumnFormula>IF(C8="","",[1]!hks_stm_cs(C8,"59",F8,1,"",100000000))</calculatedColumnFormula>
    </tableColumn>
    <tableColumn id="161" xr3:uid="{00000000-0010-0000-0200-0000A1000000}" name="列78" headerRowDxfId="341" dataDxfId="340">
      <calculatedColumnFormula>IF(C8="","",[1]!hks_stm_cs(C8,"77",F8,1,"",100000000))</calculatedColumnFormula>
    </tableColumn>
    <tableColumn id="162" xr3:uid="{00000000-0010-0000-0200-0000A2000000}" name="列79" headerRowDxfId="339" dataDxfId="338">
      <calculatedColumnFormula>IF(C8="","",[1]!hks_stm_cs(C8,"82",F8,1,"",100000000))</calculatedColumnFormula>
    </tableColumn>
    <tableColumn id="163" xr3:uid="{00000000-0010-0000-0200-0000A3000000}" name="列80" headerRowDxfId="337" dataDxfId="336">
      <calculatedColumnFormula>IF(C8="","",[1]!hks_stm_cs(C8,"84",F8,1,"",100000000))</calculatedColumnFormula>
    </tableColumn>
  </tableColumns>
  <tableStyleInfo name="表样式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表1_3121314" displayName="表1_3121314" ref="C8:AE100" headerRowCount="0" totalsRowShown="0" headerRowDxfId="335" dataDxfId="334">
  <tableColumns count="29">
    <tableColumn id="1" xr3:uid="{00000000-0010-0000-0300-000001000000}" name="列1" headerRowDxfId="333" dataDxfId="332">
      <calculatedColumnFormula>IF(表1[[#This Row],[列1]]="","",表1[[#This Row],[列1]])</calculatedColumnFormula>
    </tableColumn>
    <tableColumn id="2" xr3:uid="{00000000-0010-0000-0300-000002000000}" name="列2" headerRowDxfId="331" dataDxfId="330">
      <calculatedColumnFormula>IF(C8="","",[1]!hks_info_name(C8))</calculatedColumnFormula>
    </tableColumn>
    <tableColumn id="20" xr3:uid="{00000000-0010-0000-0300-000014000000}" name="列105" headerRowDxfId="329" dataDxfId="328">
      <calculatedColumnFormula>IF(C8="","",[1]!lastradeday_s(C8,TODAY()))</calculatedColumnFormula>
    </tableColumn>
    <tableColumn id="3" xr3:uid="{00000000-0010-0000-0300-000003000000}" name="列3" headerRowDxfId="327" dataDxfId="326">
      <calculatedColumnFormula>IF(C8="","",[1]!hks_val_ev(C8,基本资料!$I$9,"",100000000))</calculatedColumnFormula>
    </tableColumn>
    <tableColumn id="4" xr3:uid="{00000000-0010-0000-0300-000004000000}" name="列4" headerRowDxfId="325" dataDxfId="324">
      <calculatedColumnFormula>IF(C8="","",[1]!hks_val_ev(C8,基本资料!$I$8,"",100000000))</calculatedColumnFormula>
    </tableColumn>
    <tableColumn id="5" xr3:uid="{00000000-0010-0000-0300-000005000000}" name="列5" headerRowDxfId="323" dataDxfId="322">
      <calculatedColumnFormula>IF(C8="","",[1]!hks_val_ev(C8,E8,"",100000000))</calculatedColumnFormula>
    </tableColumn>
    <tableColumn id="6" xr3:uid="{00000000-0010-0000-0300-000006000000}" name="列6" headerRowDxfId="321" dataDxfId="320">
      <calculatedColumnFormula>[1]!s_info_isincode(C8)</calculatedColumnFormula>
    </tableColumn>
    <tableColumn id="7" xr3:uid="{00000000-0010-0000-0300-000007000000}" name="列7" headerRowDxfId="319" dataDxfId="318">
      <calculatedColumnFormula>IF(C8="","",[1]!hks_val_mv_ard(C8,基本资料!$I$9,"",100000000))</calculatedColumnFormula>
    </tableColumn>
    <tableColumn id="8" xr3:uid="{00000000-0010-0000-0300-000008000000}" name="列8" headerRowDxfId="317" dataDxfId="316">
      <calculatedColumnFormula>IF(C8="","",[1]!hks_val_mv_ard(C8,基本资料!$I$8,"",100000000))</calculatedColumnFormula>
    </tableColumn>
    <tableColumn id="9" xr3:uid="{00000000-0010-0000-0300-000009000000}" name="列9" headerRowDxfId="315" dataDxfId="314">
      <calculatedColumnFormula>IF(C8="","",[1]!hks_val_mv_ard(C8,E8,"",100000000))</calculatedColumnFormula>
    </tableColumn>
    <tableColumn id="10" xr3:uid="{00000000-0010-0000-0300-00000A000000}" name="列10" headerRowDxfId="313" dataDxfId="312"/>
    <tableColumn id="180" xr3:uid="{00000000-0010-0000-0300-0000B4000000}" name="列97" headerRowDxfId="311" dataDxfId="310">
      <calculatedColumnFormula>IF(C8="","",[1]!hks_val_pe(C8,基本资料!$I$9,基本资料!$G$9))</calculatedColumnFormula>
    </tableColumn>
    <tableColumn id="181" xr3:uid="{00000000-0010-0000-0300-0000B5000000}" name="列98" headerRowDxfId="309" dataDxfId="308">
      <calculatedColumnFormula>IF(C8="","",[1]!hks_val_pe(C8,基本资料!$I$8,基本资料!$G$8))</calculatedColumnFormula>
    </tableColumn>
    <tableColumn id="182" xr3:uid="{00000000-0010-0000-0300-0000B6000000}" name="列99" headerRowDxfId="307" dataDxfId="306">
      <calculatedColumnFormula>IF(C8="","",[1]!hks_val_pe_ttm(C8,E8))</calculatedColumnFormula>
    </tableColumn>
    <tableColumn id="183" xr3:uid="{00000000-0010-0000-0300-0000B7000000}" name="列100" headerRowDxfId="305" dataDxfId="304">
      <calculatedColumnFormula>IF(C8="","",[1]!s_val_estpe(C8,E8,YEAR([1]!s_stm_rpt_e(C8,基本资料!$I$8,0))+1))</calculatedColumnFormula>
    </tableColumn>
    <tableColumn id="184" xr3:uid="{00000000-0010-0000-0300-0000B8000000}" name="列101" headerRowDxfId="303" dataDxfId="302">
      <calculatedColumnFormula>IF(C8="","",[1]!s_val_estpe(C8,E8,YEAR([1]!s_stm_rpt_e(C8,基本资料!$I$8,0))+2))</calculatedColumnFormula>
    </tableColumn>
    <tableColumn id="185" xr3:uid="{00000000-0010-0000-0300-0000B9000000}" name="列103" headerRowDxfId="301" dataDxfId="300">
      <calculatedColumnFormula>IF(C8="","",[1]!hks_val_pb(C8,基本资料!$I$9,基本资料!$G$9))</calculatedColumnFormula>
    </tableColumn>
    <tableColumn id="186" xr3:uid="{00000000-0010-0000-0300-0000BA000000}" name="列104" headerRowDxfId="299" dataDxfId="298">
      <calculatedColumnFormula>IF(C8="","",[1]!hks_val_pb(C8,基本资料!$I$8,基本资料!$G$8))</calculatedColumnFormula>
    </tableColumn>
    <tableColumn id="173" xr3:uid="{00000000-0010-0000-0300-0000AD000000}" name="列90" headerRowDxfId="297" dataDxfId="296">
      <calculatedColumnFormula>IF(C8="","",[1]!pb_mrq(C8,E8))</calculatedColumnFormula>
    </tableColumn>
    <tableColumn id="174" xr3:uid="{00000000-0010-0000-0300-0000AE000000}" name="列91" headerRowDxfId="295" dataDxfId="294">
      <calculatedColumnFormula>IF(C8="","",[1]!s_val_estpb(C8,E8,YEAR([1]!s_stm_rpt_e(C8,基本资料!$I$8,0))+1))</calculatedColumnFormula>
    </tableColumn>
    <tableColumn id="175" xr3:uid="{00000000-0010-0000-0300-0000AF000000}" name="列92" headerRowDxfId="293" dataDxfId="292">
      <calculatedColumnFormula>IF(C8="","",[1]!s_val_estpb(C8,E8,YEAR([1]!s_stm_rpt_e(C8,基本资料!$I$8,0))+2))</calculatedColumnFormula>
    </tableColumn>
    <tableColumn id="176" xr3:uid="{00000000-0010-0000-0300-0000B0000000}" name="列93" headerRowDxfId="291" dataDxfId="290">
      <calculatedColumnFormula>IF(C8="","",[1]!hks_val_ps(C8,基本资料!$I$9,基本资料!$G$9))</calculatedColumnFormula>
    </tableColumn>
    <tableColumn id="177" xr3:uid="{00000000-0010-0000-0300-0000B1000000}" name="列94" headerRowDxfId="289" dataDxfId="288">
      <calculatedColumnFormula>IF(C8="","",[1]!hks_val_ps(C8,基本资料!$I$8,基本资料!$G$8))</calculatedColumnFormula>
    </tableColumn>
    <tableColumn id="178" xr3:uid="{00000000-0010-0000-0300-0000B2000000}" name="列95" headerRowDxfId="287" dataDxfId="286">
      <calculatedColumnFormula>IF(C8="","",[1]!hks_val_ps_ttm(C8,E8))</calculatedColumnFormula>
    </tableColumn>
    <tableColumn id="179" xr3:uid="{00000000-0010-0000-0300-0000B3000000}" name="列96" headerRowDxfId="285" dataDxfId="284">
      <calculatedColumnFormula>IF(C8="","",[1]!hks_val_pcf(C8,基本资料!$I$9,基本资料!$G$9))</calculatedColumnFormula>
    </tableColumn>
    <tableColumn id="166" xr3:uid="{00000000-0010-0000-0300-0000A6000000}" name="列83" headerRowDxfId="283" dataDxfId="282">
      <calculatedColumnFormula>IF(C8="","",[1]!hks_val_pcf(C8,基本资料!$I$8,基本资料!$G$8))</calculatedColumnFormula>
    </tableColumn>
    <tableColumn id="167" xr3:uid="{00000000-0010-0000-0300-0000A7000000}" name="列84" headerRowDxfId="281" dataDxfId="280">
      <calculatedColumnFormula>IF(C8="","",[1]!hks_val_pcf_ttm(C8,E8))</calculatedColumnFormula>
    </tableColumn>
    <tableColumn id="168" xr3:uid="{00000000-0010-0000-0300-0000A8000000}" name="列85" headerRowDxfId="279" dataDxfId="278">
      <calculatedColumnFormula>IF(C8="","",[1]!s_val_evtoebitda2(C8,E8))</calculatedColumnFormula>
    </tableColumn>
    <tableColumn id="169" xr3:uid="{00000000-0010-0000-0300-0000A9000000}" name="列86" headerRowDxfId="277" dataDxfId="276">
      <calculatedColumnFormula>IF(C8="","",[1]!hks_val_ev2(C8,E8,"",1)/[1]!hks_fa_ebit2_ttm(C8,[1]!s_fa_latelyrd_bt(C8,[1]!lastradeday_s(C8,基本资料!$D$7)),"",1))</calculatedColumnFormula>
    </tableColumn>
  </tableColumns>
  <tableStyleInfo name="表样式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表1_312131415" displayName="表1_312131415" ref="C8:BQ100" headerRowCount="0" totalsRowShown="0" headerRowDxfId="275" dataDxfId="274">
  <tableColumns count="67">
    <tableColumn id="1" xr3:uid="{00000000-0010-0000-0400-000001000000}" name="列1" headerRowDxfId="273" dataDxfId="272">
      <calculatedColumnFormula>IF(表1[[#This Row],[列1]]="","",表1[[#This Row],[列1]])</calculatedColumnFormula>
    </tableColumn>
    <tableColumn id="2" xr3:uid="{00000000-0010-0000-0400-000002000000}" name="列2" headerRowDxfId="271" dataDxfId="270">
      <calculatedColumnFormula>IF(C8="","",[1]!hks_info_name(C8))</calculatedColumnFormula>
    </tableColumn>
    <tableColumn id="3" xr3:uid="{00000000-0010-0000-0400-000003000000}" name="列3" headerRowDxfId="269" dataDxfId="268">
      <calculatedColumnFormula>IF(C8="","",[1]!lastradeday_s(C8,TODAY()))</calculatedColumnFormula>
    </tableColumn>
    <tableColumn id="4" xr3:uid="{00000000-0010-0000-0400-000004000000}" name="列4" headerRowDxfId="267" dataDxfId="266">
      <calculatedColumnFormula>IF(C8="","",IF(OR([1]!s_stm_rpt_e(C8,基本资料!$I$8,0)="#N/A",[1]!s_stm_rpt_e(C8,基本资料!$I$8,0)="",[1]!s_stm_rpt_e(C8,基本资料!$I$8,0)=0),[1]!s_stm_rpt_e(C8,基本资料!$I$9,0),[1]!s_stm_rpt_e(C8,基本资料!$I$8,0)))</calculatedColumnFormula>
    </tableColumn>
    <tableColumn id="20" xr3:uid="{00000000-0010-0000-0400-000014000000}" name="列105" headerRowDxfId="265" dataDxfId="264">
      <calculatedColumnFormula>IF(C8="","",[1]!hks_info_cur2(C8,F8))</calculatedColumnFormula>
    </tableColumn>
    <tableColumn id="5" xr3:uid="{00000000-0010-0000-0400-000005000000}" name="列5" headerRowDxfId="263" dataDxfId="262">
      <calculatedColumnFormula>IF(C8="","",[1]!hks_fa_eps_basic(C8,F8,""))</calculatedColumnFormula>
    </tableColumn>
    <tableColumn id="6" xr3:uid="{00000000-0010-0000-0400-000006000000}" name="列6" headerRowDxfId="261" dataDxfId="260">
      <calculatedColumnFormula>IF(C8="","",[1]!hks_fa_eps_adjust2(C8,F8,""))</calculatedColumnFormula>
    </tableColumn>
    <tableColumn id="8" xr3:uid="{00000000-0010-0000-0400-000008000000}" name="列8" headerRowDxfId="259" dataDxfId="258">
      <calculatedColumnFormula>IF(C8="","",[1]!hks_fa_bps(C8,F8,""))</calculatedColumnFormula>
    </tableColumn>
    <tableColumn id="9" xr3:uid="{00000000-0010-0000-0400-000009000000}" name="列9" headerRowDxfId="257" dataDxfId="256">
      <calculatedColumnFormula>IF(C8="","",[1]!hks_fa_ocfps(C8,F8,""))</calculatedColumnFormula>
    </tableColumn>
    <tableColumn id="7" xr3:uid="{00000000-0010-0000-0400-000007000000}" name="列7" headerRowDxfId="255" dataDxfId="254">
      <calculatedColumnFormula>IF(C8="","",[1]!hks_fa_grossprofitmargin(C8,F8))</calculatedColumnFormula>
    </tableColumn>
    <tableColumn id="10" xr3:uid="{00000000-0010-0000-0400-00000A000000}" name="列10" headerRowDxfId="253" dataDxfId="252">
      <calculatedColumnFormula>IF(C8="","",[1]!hks_fa_netprofitmargin(C8,F8))</calculatedColumnFormula>
    </tableColumn>
    <tableColumn id="180" xr3:uid="{00000000-0010-0000-0400-0000B4000000}" name="列97" headerRowDxfId="251" dataDxfId="250">
      <calculatedColumnFormula>IF(C8="","",[1]!hks_fa_roe(C8,F8))</calculatedColumnFormula>
    </tableColumn>
    <tableColumn id="181" xr3:uid="{00000000-0010-0000-0400-0000B5000000}" name="列98" headerRowDxfId="249" dataDxfId="248">
      <calculatedColumnFormula>IF(C8="","",[1]!hks_fa_roe_deducted(C8,F8))</calculatedColumnFormula>
    </tableColumn>
    <tableColumn id="182" xr3:uid="{00000000-0010-0000-0400-0000B6000000}" name="列99" headerRowDxfId="247" dataDxfId="246">
      <calculatedColumnFormula>IF(C8="","",[1]!hks_fa_roa2(C8,F8))</calculatedColumnFormula>
    </tableColumn>
    <tableColumn id="183" xr3:uid="{00000000-0010-0000-0400-0000B7000000}" name="列100" headerRowDxfId="245" dataDxfId="244">
      <calculatedColumnFormula>IF(C8="","",[1]!hks_fa_roic(C8,F8))</calculatedColumnFormula>
    </tableColumn>
    <tableColumn id="184" xr3:uid="{00000000-0010-0000-0400-0000B8000000}" name="列101" headerRowDxfId="243" dataDxfId="242">
      <calculatedColumnFormula>IF(C8="","",[1]!hks_fa_dupont_nptosales(C8,F8))</calculatedColumnFormula>
    </tableColumn>
    <tableColumn id="185" xr3:uid="{00000000-0010-0000-0400-0000B9000000}" name="列103" headerRowDxfId="241" dataDxfId="240">
      <calculatedColumnFormula>IF(C8="","",[1]!hks_fa_dupont_ebittosales(C8,F8))</calculatedColumnFormula>
    </tableColumn>
    <tableColumn id="186" xr3:uid="{00000000-0010-0000-0400-0000BA000000}" name="列104" headerRowDxfId="239" dataDxfId="238">
      <calculatedColumnFormula>IF(C8="","",[1]!hks_fa_ebitdatosales(C8,F8))</calculatedColumnFormula>
    </tableColumn>
    <tableColumn id="173" xr3:uid="{00000000-0010-0000-0400-0000AD000000}" name="列90" headerRowDxfId="237" dataDxfId="236">
      <calculatedColumnFormula>IF(C8="","",[1]!hks_fa_optoebt(C8,F8))</calculatedColumnFormula>
    </tableColumn>
    <tableColumn id="174" xr3:uid="{00000000-0010-0000-0400-0000AE000000}" name="列91" headerRowDxfId="235" dataDxfId="234">
      <calculatedColumnFormula>IF(C8="","",[1]!hks_fa_ocftosales(C8,F8))</calculatedColumnFormula>
    </tableColumn>
    <tableColumn id="175" xr3:uid="{00000000-0010-0000-0400-0000AF000000}" name="列92" headerRowDxfId="233" dataDxfId="232">
      <calculatedColumnFormula>IF(C8="","",[1]!hks_fa_debttoassets(C8,F8))</calculatedColumnFormula>
    </tableColumn>
    <tableColumn id="176" xr3:uid="{00000000-0010-0000-0400-0000B0000000}" name="列93" headerRowDxfId="231" dataDxfId="230">
      <calculatedColumnFormula>IF(C8="","",[1]!s_fa_debttoeqy(C8,F8))</calculatedColumnFormula>
    </tableColumn>
    <tableColumn id="177" xr3:uid="{00000000-0010-0000-0400-0000B1000000}" name="列94" headerRowDxfId="229" dataDxfId="228">
      <calculatedColumnFormula>IF(C8="","",[1]!hks_fa_catoassets(C8,F8))</calculatedColumnFormula>
    </tableColumn>
    <tableColumn id="178" xr3:uid="{00000000-0010-0000-0400-0000B2000000}" name="列95" headerRowDxfId="227" dataDxfId="226">
      <calculatedColumnFormula>IF(C8="","",[1]!hks_fa_ncatoassets(C8,F8))</calculatedColumnFormula>
    </tableColumn>
    <tableColumn id="179" xr3:uid="{00000000-0010-0000-0400-0000B3000000}" name="列96" headerRowDxfId="225" dataDxfId="224">
      <calculatedColumnFormula>IF(C8="","",[1]!hks_fa_currentdebttodebt(C8,F8))</calculatedColumnFormula>
    </tableColumn>
    <tableColumn id="166" xr3:uid="{00000000-0010-0000-0400-0000A6000000}" name="列83" headerRowDxfId="223" dataDxfId="222">
      <calculatedColumnFormula>IF(C8="","",[1]!hks_fa_longdebtodebt(C8,F8))</calculatedColumnFormula>
    </tableColumn>
    <tableColumn id="167" xr3:uid="{00000000-0010-0000-0400-0000A7000000}" name="列84" headerRowDxfId="221" dataDxfId="220">
      <calculatedColumnFormula>IF(C8="","",[1]!hks_fa_current(C8,F8))</calculatedColumnFormula>
    </tableColumn>
    <tableColumn id="168" xr3:uid="{00000000-0010-0000-0400-0000A8000000}" name="列85" headerRowDxfId="219" dataDxfId="218">
      <calculatedColumnFormula>IF(C8="","",[1]!hks_fa_quick(C8,F8))</calculatedColumnFormula>
    </tableColumn>
    <tableColumn id="169" xr3:uid="{00000000-0010-0000-0400-0000A9000000}" name="列86" headerRowDxfId="217" dataDxfId="216">
      <calculatedColumnFormula>IF(C8="","",[1]!hks_fa_ebittointerest(C8,F8))</calculatedColumnFormula>
    </tableColumn>
    <tableColumn id="170" xr3:uid="{00000000-0010-0000-0400-0000AA000000}" name="列87" headerRowDxfId="215" dataDxfId="214">
      <calculatedColumnFormula>IF(C8="","",[1]!hks_fa_netdebtratio(C8,F8))</calculatedColumnFormula>
    </tableColumn>
    <tableColumn id="171" xr3:uid="{00000000-0010-0000-0400-0000AB000000}" name="列88" headerRowDxfId="213" dataDxfId="212">
      <calculatedColumnFormula>IF(C8="","",[1]!hks_fa_arturn(C8,F8))</calculatedColumnFormula>
    </tableColumn>
    <tableColumn id="172" xr3:uid="{00000000-0010-0000-0400-0000AC000000}" name="列89" headerRowDxfId="211" dataDxfId="210">
      <calculatedColumnFormula>IF(C8="","",[1]!hks_fa_apturn(C8,F8))</calculatedColumnFormula>
    </tableColumn>
    <tableColumn id="159" xr3:uid="{00000000-0010-0000-0400-00009F000000}" name="列76" headerRowDxfId="209" dataDxfId="208">
      <calculatedColumnFormula>IF(C8="","",[1]!hks_fa_invturn(C8,F8))</calculatedColumnFormula>
    </tableColumn>
    <tableColumn id="160" xr3:uid="{00000000-0010-0000-0400-0000A0000000}" name="列77" headerRowDxfId="207" dataDxfId="206">
      <calculatedColumnFormula>IF(C8="","",[1]!hks_fa_caturn(C8,F8))</calculatedColumnFormula>
    </tableColumn>
    <tableColumn id="161" xr3:uid="{00000000-0010-0000-0400-0000A1000000}" name="列78" headerRowDxfId="205" dataDxfId="204">
      <calculatedColumnFormula>IF(C8="","",[1]!hks_fa_faturn(C8,F8))</calculatedColumnFormula>
    </tableColumn>
    <tableColumn id="162" xr3:uid="{00000000-0010-0000-0400-0000A2000000}" name="列79" headerRowDxfId="203" dataDxfId="202">
      <calculatedColumnFormula>IF(C8="","",[1]!hks_fa_assetsturn(C8,F8))</calculatedColumnFormula>
    </tableColumn>
    <tableColumn id="163" xr3:uid="{00000000-0010-0000-0400-0000A3000000}" name="列80" headerRowDxfId="201" dataDxfId="200">
      <calculatedColumnFormula>IF(C8="","",[1]!hks_fa_yoy_tr(C8,F8))</calculatedColumnFormula>
    </tableColumn>
    <tableColumn id="164" xr3:uid="{00000000-0010-0000-0400-0000A4000000}" name="列81" headerRowDxfId="199" dataDxfId="198">
      <calculatedColumnFormula>IF(C8="","",[1]!hks_fa_yoy_or(C8,F8))</calculatedColumnFormula>
    </tableColumn>
    <tableColumn id="165" xr3:uid="{00000000-0010-0000-0400-0000A5000000}" name="列82" headerRowDxfId="197" dataDxfId="196">
      <calculatedColumnFormula>IF(C8="","",[1]!hks_fa_yoyop2(C8,F8))</calculatedColumnFormula>
    </tableColumn>
    <tableColumn id="152" xr3:uid="{00000000-0010-0000-0400-000098000000}" name="列69" headerRowDxfId="195" dataDxfId="194">
      <calculatedColumnFormula>IF(C8="","",[1]!hks_fa_yoyebt(C8,F8))</calculatedColumnFormula>
    </tableColumn>
    <tableColumn id="153" xr3:uid="{00000000-0010-0000-0400-000099000000}" name="列70" headerRowDxfId="193" dataDxfId="192">
      <calculatedColumnFormula>IF(C8="","",[1]!hks_fa_yoynetprofit(C8,F8))</calculatedColumnFormula>
    </tableColumn>
    <tableColumn id="154" xr3:uid="{00000000-0010-0000-0400-00009A000000}" name="列71" headerRowDxfId="191" dataDxfId="190">
      <calculatedColumnFormula>IF(C8="","",[1]!hks_fa_dupont_np(C8,F8))</calculatedColumnFormula>
    </tableColumn>
    <tableColumn id="155" xr3:uid="{00000000-0010-0000-0400-00009B000000}" name="列72" headerRowDxfId="189" dataDxfId="188">
      <calculatedColumnFormula>IF(C8="","",[1]!hks_fa_dupont_taxburden(C8,F8))</calculatedColumnFormula>
    </tableColumn>
    <tableColumn id="156" xr3:uid="{00000000-0010-0000-0400-00009C000000}" name="列73" headerRowDxfId="187" dataDxfId="186">
      <calculatedColumnFormula>IF(C8="","",[1]!s_fa_dupont_nptosales(C8,F8))</calculatedColumnFormula>
    </tableColumn>
    <tableColumn id="157" xr3:uid="{00000000-0010-0000-0400-00009D000000}" name="列74" headerRowDxfId="185" dataDxfId="184">
      <calculatedColumnFormula>IF(C8="","",[1]!s_fa_dupont_roe(C8,F8))</calculatedColumnFormula>
    </tableColumn>
    <tableColumn id="158" xr3:uid="{00000000-0010-0000-0400-00009E000000}" name="列75" headerRowDxfId="183" dataDxfId="182">
      <calculatedColumnFormula>IF(C8="","",[1]!hks_fa_dupont_intburden(C8,F8))</calculatedColumnFormula>
    </tableColumn>
    <tableColumn id="145" xr3:uid="{00000000-0010-0000-0400-000091000000}" name="列62" headerRowDxfId="181" dataDxfId="180">
      <calculatedColumnFormula>IF(C8="","",[1]!hks_fa_dupont_assetstoequity(C8,F8))</calculatedColumnFormula>
    </tableColumn>
    <tableColumn id="146" xr3:uid="{00000000-0010-0000-0400-000092000000}" name="列63" headerRowDxfId="179" dataDxfId="178">
      <calculatedColumnFormula>IF(C8="","",[1]!s_fa_dupont_ebittosales(C8,F8))</calculatedColumnFormula>
    </tableColumn>
    <tableColumn id="147" xr3:uid="{00000000-0010-0000-0400-000093000000}" name="列64" headerRowDxfId="177" dataDxfId="176">
      <calculatedColumnFormula>IF(C8="","",[1]!hks_fa_assetsturn(C8,F8))</calculatedColumnFormula>
    </tableColumn>
    <tableColumn id="148" xr3:uid="{00000000-0010-0000-0400-000094000000}" name="列65" headerRowDxfId="175" dataDxfId="174">
      <calculatedColumnFormula>IF(C8="","",[1]!hks_fa_grossmargin2(C8,F8,"",100000000))</calculatedColumnFormula>
    </tableColumn>
    <tableColumn id="149" xr3:uid="{00000000-0010-0000-0400-000095000000}" name="列66" headerRowDxfId="173" dataDxfId="172">
      <calculatedColumnFormula>IF(C8="","",[1]!hks_fa_ebit3(C8,F8,1,"",100000000))</calculatedColumnFormula>
    </tableColumn>
    <tableColumn id="150" xr3:uid="{00000000-0010-0000-0400-000096000000}" name="列67" headerRowDxfId="171" dataDxfId="170">
      <calculatedColumnFormula>IF(C8="","",[1]!hks_fa_ebitda(C8,F8,1,"",100000000))</calculatedColumnFormula>
    </tableColumn>
    <tableColumn id="151" xr3:uid="{00000000-0010-0000-0400-000097000000}" name="列68" headerRowDxfId="169" dataDxfId="168">
      <calculatedColumnFormula>IF(C8="","",[1]!hks_fa_ebit(C8,F8,1,"",100000000))</calculatedColumnFormula>
    </tableColumn>
    <tableColumn id="138" xr3:uid="{00000000-0010-0000-0400-00008A000000}" name="列55" headerRowDxfId="167" dataDxfId="166">
      <calculatedColumnFormula>IF(C8="","",[1]!hks_fa_ebitda(C8,F8,1,"",100000000))</calculatedColumnFormula>
    </tableColumn>
    <tableColumn id="139" xr3:uid="{00000000-0010-0000-0400-00008B000000}" name="列56" headerRowDxfId="165" dataDxfId="164">
      <calculatedColumnFormula>IF(C8="","",[1]!hks_fa_nogaapprofit(C8,F8,1,"",100000000))</calculatedColumnFormula>
    </tableColumn>
    <tableColumn id="140" xr3:uid="{00000000-0010-0000-0400-00008C000000}" name="列57" headerRowDxfId="163" dataDxfId="162">
      <calculatedColumnFormula>IF(C8="","",[1]!hks_fa_deductedprofit(C8,F8,1,"",100000000))</calculatedColumnFormula>
    </tableColumn>
    <tableColumn id="141" xr3:uid="{00000000-0010-0000-0400-00008D000000}" name="列58" headerRowDxfId="161" dataDxfId="160">
      <calculatedColumnFormula>IF(C8="","",[1]!hks_fa_retainedearnings2(C8,F8,"",100000000))</calculatedColumnFormula>
    </tableColumn>
    <tableColumn id="142" xr3:uid="{00000000-0010-0000-0400-00008E000000}" name="列59" headerRowDxfId="159" dataDxfId="158">
      <calculatedColumnFormula>IF(C8="","",[1]!hks_fa_workingcapital2(C8,F8,"",100000000))</calculatedColumnFormula>
    </tableColumn>
    <tableColumn id="143" xr3:uid="{00000000-0010-0000-0400-00008F000000}" name="列60" headerRowDxfId="157" dataDxfId="156">
      <calculatedColumnFormula>IF(C8="","",[1]!hks_fa_networkingcapital2(C8,F8,"",100000000))</calculatedColumnFormula>
    </tableColumn>
    <tableColumn id="144" xr3:uid="{00000000-0010-0000-0400-000090000000}" name="列61" headerRowDxfId="155" dataDxfId="154">
      <calculatedColumnFormula>IF(C8="","",[1]!hks_fa_investcapital2(C8,F8,"",100000000))</calculatedColumnFormula>
    </tableColumn>
    <tableColumn id="131" xr3:uid="{00000000-0010-0000-0400-000083000000}" name="列48" headerRowDxfId="153" dataDxfId="152">
      <calculatedColumnFormula>IF(C8="","",[1]!hks_fa_tangibleasset2(C8,F8,"",100000000))</calculatedColumnFormula>
    </tableColumn>
    <tableColumn id="132" xr3:uid="{00000000-0010-0000-0400-000084000000}" name="列49" headerRowDxfId="151" dataDxfId="150">
      <calculatedColumnFormula>IF(C8="","",[1]!hks_fa_netdebt2(C8,F8,"",100000000))</calculatedColumnFormula>
    </tableColumn>
    <tableColumn id="133" xr3:uid="{00000000-0010-0000-0400-000085000000}" name="列50" headerRowDxfId="149" dataDxfId="148">
      <calculatedColumnFormula>IF(C8="","",[1]!hks_fa_interestdebt2(C8,F8,"",100000000))</calculatedColumnFormula>
    </tableColumn>
    <tableColumn id="134" xr3:uid="{00000000-0010-0000-0400-000086000000}" name="列51" headerRowDxfId="147" dataDxfId="146">
      <calculatedColumnFormula>IF(C8="","",[1]!hks_fa_exinterestdebt_current(C8,F8,"",100000000))</calculatedColumnFormula>
    </tableColumn>
    <tableColumn id="135" xr3:uid="{00000000-0010-0000-0400-000087000000}" name="列52" headerRowDxfId="145" dataDxfId="144">
      <calculatedColumnFormula>IF(C8="","",[1]!hks_fa_exinterestdebt_noncurrent2(C8,F8,"",100000000))</calculatedColumnFormula>
    </tableColumn>
    <tableColumn id="136" xr3:uid="{00000000-0010-0000-0400-000088000000}" name="列53" headerRowDxfId="143" dataDxfId="142">
      <calculatedColumnFormula>IF(C8="","",[1]!hks_fa_fcfe2(C8,F8,"",100000000))</calculatedColumnFormula>
    </tableColumn>
    <tableColumn id="137" xr3:uid="{00000000-0010-0000-0400-000089000000}" name="列54" headerRowDxfId="141" dataDxfId="140">
      <calculatedColumnFormula>IF(C8="","",[1]!hks_fa_fcff2(C8,F8,"",100000000))</calculatedColumnFormula>
    </tableColumn>
  </tableColumns>
  <tableStyleInfo name="表样式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表1_31213141516" displayName="表1_31213141516" ref="C8:AM100" headerRowCount="0" totalsRowShown="0" headerRowDxfId="139" dataDxfId="138">
  <tableColumns count="37">
    <tableColumn id="1" xr3:uid="{00000000-0010-0000-0500-000001000000}" name="列1" headerRowDxfId="137" dataDxfId="136">
      <calculatedColumnFormula>IF(表1[[#This Row],[列1]]="","",表1[[#This Row],[列1]])</calculatedColumnFormula>
    </tableColumn>
    <tableColumn id="2" xr3:uid="{00000000-0010-0000-0500-000002000000}" name="列2" headerRowDxfId="135" dataDxfId="134">
      <calculatedColumnFormula>IF(C8="","",[1]!hks_info_name(C8))</calculatedColumnFormula>
    </tableColumn>
    <tableColumn id="3" xr3:uid="{00000000-0010-0000-0500-000003000000}" name="列3" headerRowDxfId="133" dataDxfId="132">
      <calculatedColumnFormula>IF(C8="","",[1]!lastradeday_s(C8,TODAY()))</calculatedColumnFormula>
    </tableColumn>
    <tableColumn id="4" xr3:uid="{00000000-0010-0000-0500-000004000000}" name="列4" headerRowDxfId="131" dataDxfId="130">
      <calculatedColumnFormula>IF(C8="","",IF(OR([1]!s_stm_rpt_e(C8,基本资料!$I$8,0)="#N/A",[1]!s_stm_rpt_e(C8,基本资料!$I$8,0)="",[1]!s_stm_rpt_e(C8,基本资料!$I$8,0)=0),[1]!s_stm_rpt_e(C8,基本资料!$I$9,0),[1]!s_stm_rpt_e(C8,基本资料!$I$8,0)))</calculatedColumnFormula>
    </tableColumn>
    <tableColumn id="5" xr3:uid="{00000000-0010-0000-0500-000005000000}" name="列5" headerRowDxfId="129" dataDxfId="128">
      <calculatedColumnFormula>IF(C8="","",YEAR([1]!s_stm_rpt_e(C8,F8,0)))</calculatedColumnFormula>
    </tableColumn>
    <tableColumn id="6" xr3:uid="{00000000-0010-0000-0500-000006000000}" name="列6" headerRowDxfId="127" dataDxfId="126">
      <calculatedColumnFormula>IF(C8="","",表1_31213141516[[#This Row],[列5]]+1)</calculatedColumnFormula>
    </tableColumn>
    <tableColumn id="7" xr3:uid="{00000000-0010-0000-0500-000007000000}" name="列7" headerRowDxfId="125" dataDxfId="124">
      <calculatedColumnFormula>IF(C8="","",表1_31213141516[[#This Row],[列5]]+2)</calculatedColumnFormula>
    </tableColumn>
    <tableColumn id="9" xr3:uid="{00000000-0010-0000-0500-000009000000}" name="列9" headerRowDxfId="123" dataDxfId="122">
      <calculatedColumnFormula>IF(C8="","",[1]!s_est_instnum(C8,H8,TODAY()))</calculatedColumnFormula>
    </tableColumn>
    <tableColumn id="10" xr3:uid="{00000000-0010-0000-0500-00000A000000}" name="列10" headerRowDxfId="121" dataDxfId="120" dataCellStyle="千位分隔">
      <calculatedColumnFormula>IF(C8="","",[1]!s_est_eps(C8,H8,TODAY()))</calculatedColumnFormula>
    </tableColumn>
    <tableColumn id="180" xr3:uid="{00000000-0010-0000-0500-0000B4000000}" name="列97" headerRowDxfId="119" dataDxfId="118" dataCellStyle="千位分隔">
      <calculatedColumnFormula>IF(C8="","",[1]!s_est_sales(C8,H8,TODAY(),100000000))</calculatedColumnFormula>
    </tableColumn>
    <tableColumn id="181" xr3:uid="{00000000-0010-0000-0500-0000B5000000}" name="列98" headerRowDxfId="117" dataDxfId="116" dataCellStyle="千位分隔">
      <calculatedColumnFormula>IF(C8="","",[1]!s_est_netprofit(C8,H8,TODAY(),100000000))</calculatedColumnFormula>
    </tableColumn>
    <tableColumn id="182" xr3:uid="{00000000-0010-0000-0500-0000B6000000}" name="列99" headerRowDxfId="115" dataDxfId="114" dataCellStyle="千位分隔">
      <calculatedColumnFormula>IF(C8="","",[1]!s_est_avgcps(C8,H8,TODAY()))</calculatedColumnFormula>
    </tableColumn>
    <tableColumn id="183" xr3:uid="{00000000-0010-0000-0500-0000B7000000}" name="列100" headerRowDxfId="113" dataDxfId="112" dataCellStyle="千位分隔">
      <calculatedColumnFormula>IF(C8="","",[1]!s_est_avgdps(C8,H8,TODAY()))</calculatedColumnFormula>
    </tableColumn>
    <tableColumn id="184" xr3:uid="{00000000-0010-0000-0500-0000B8000000}" name="列101" headerRowDxfId="111" dataDxfId="110" dataCellStyle="千位分隔">
      <calculatedColumnFormula>IF(C8="","",[1]!s_est_avgebit(C8,H8,TODAY(),100000000))</calculatedColumnFormula>
    </tableColumn>
    <tableColumn id="185" xr3:uid="{00000000-0010-0000-0500-0000B9000000}" name="列103" headerRowDxfId="109" dataDxfId="108" dataCellStyle="千位分隔">
      <calculatedColumnFormula>IF(C8="","",[1]!s_est_avgebitda(C8,H8,TODAY(),100000000))</calculatedColumnFormula>
    </tableColumn>
    <tableColumn id="186" xr3:uid="{00000000-0010-0000-0500-0000BA000000}" name="列104" headerRowDxfId="107" dataDxfId="106" dataCellStyle="千位分隔">
      <calculatedColumnFormula>IF(C8="","",[1]!s_est_avgbps(C8,H8,TODAY()))</calculatedColumnFormula>
    </tableColumn>
    <tableColumn id="173" xr3:uid="{00000000-0010-0000-0500-0000AD000000}" name="列90" headerRowDxfId="105" dataDxfId="104" dataCellStyle="千位分隔">
      <calculatedColumnFormula>IF(C8="","",[1]!s_est_avgebt(C8,H8,TODAY(),100000000))</calculatedColumnFormula>
    </tableColumn>
    <tableColumn id="174" xr3:uid="{00000000-0010-0000-0500-0000AE000000}" name="列91" headerRowDxfId="103" dataDxfId="102" dataCellStyle="千位分隔">
      <calculatedColumnFormula>IF(C8="","",[1]!s_est_avgroa(C8,H8,TODAY()))</calculatedColumnFormula>
    </tableColumn>
    <tableColumn id="175" xr3:uid="{00000000-0010-0000-0500-0000AF000000}" name="列92" headerRowDxfId="101" dataDxfId="100" dataCellStyle="千位分隔">
      <calculatedColumnFormula>IF(C8="","",[1]!s_est_avgroe(C8,H8,TODAY()))</calculatedColumnFormula>
    </tableColumn>
    <tableColumn id="176" xr3:uid="{00000000-0010-0000-0500-0000B0000000}" name="列93" headerRowDxfId="99" dataDxfId="98" dataCellStyle="千位分隔">
      <calculatedColumnFormula>IF(C8="","",[1]!s_est_avgoperatingprofit(C8,H8,TODAY(),100000000))</calculatedColumnFormula>
    </tableColumn>
    <tableColumn id="177" xr3:uid="{00000000-0010-0000-0500-0000B1000000}" name="列94" headerRowDxfId="97" dataDxfId="96" dataCellStyle="千位分隔">
      <calculatedColumnFormula>IF(C8="","",[1]!s_est_yoynetprofit(C8,H8,TODAY()))</calculatedColumnFormula>
    </tableColumn>
    <tableColumn id="178" xr3:uid="{00000000-0010-0000-0500-0000B2000000}" name="列95" headerRowDxfId="95" dataDxfId="94" dataCellStyle="千位分隔">
      <calculatedColumnFormula>IF(C8="","",[1]!s_est_yoysales(C8,H8,TODAY()))</calculatedColumnFormula>
    </tableColumn>
    <tableColumn id="179" xr3:uid="{00000000-0010-0000-0500-0000B3000000}" name="列96" headerRowDxfId="93" dataDxfId="92" dataCellStyle="千位分隔">
      <calculatedColumnFormula>IF(C8="","",[1]!s_est_instnum(C8,I8,TODAY()))</calculatedColumnFormula>
    </tableColumn>
    <tableColumn id="166" xr3:uid="{00000000-0010-0000-0500-0000A6000000}" name="列83" headerRowDxfId="91" dataDxfId="90" dataCellStyle="千位分隔">
      <calculatedColumnFormula>IF(C8="","",[1]!s_est_eps(C8,I8,TODAY()))</calculatedColumnFormula>
    </tableColumn>
    <tableColumn id="167" xr3:uid="{00000000-0010-0000-0500-0000A7000000}" name="列84" headerRowDxfId="89" dataDxfId="88" dataCellStyle="千位分隔">
      <calculatedColumnFormula>IF(C8="","",[1]!s_est_sales(C8,I8,TODAY(),100000000))</calculatedColumnFormula>
    </tableColumn>
    <tableColumn id="168" xr3:uid="{00000000-0010-0000-0500-0000A8000000}" name="列85" headerRowDxfId="87" dataDxfId="86" dataCellStyle="千位分隔">
      <calculatedColumnFormula>IF(C8="","",[1]!s_est_netprofit(C8,I8,TODAY(),100000000))</calculatedColumnFormula>
    </tableColumn>
    <tableColumn id="169" xr3:uid="{00000000-0010-0000-0500-0000A9000000}" name="列86" headerRowDxfId="85" dataDxfId="84" dataCellStyle="千位分隔">
      <calculatedColumnFormula>IF(C8="","",[1]!s_est_avgcps(C8,I8,TODAY()))</calculatedColumnFormula>
    </tableColumn>
    <tableColumn id="170" xr3:uid="{00000000-0010-0000-0500-0000AA000000}" name="列87" headerRowDxfId="83" dataDxfId="82" dataCellStyle="千位分隔">
      <calculatedColumnFormula>IF(C8="","",[1]!s_est_avgdps(C8,I8,TODAY()))</calculatedColumnFormula>
    </tableColumn>
    <tableColumn id="171" xr3:uid="{00000000-0010-0000-0500-0000AB000000}" name="列88" headerRowDxfId="81" dataDxfId="80" dataCellStyle="千位分隔">
      <calculatedColumnFormula>IF(C8="","",[1]!s_est_avgebit(C8,I8,TODAY(),100000000))</calculatedColumnFormula>
    </tableColumn>
    <tableColumn id="172" xr3:uid="{00000000-0010-0000-0500-0000AC000000}" name="列89" headerRowDxfId="79" dataDxfId="78" dataCellStyle="千位分隔">
      <calculatedColumnFormula>IF(C8="","",[1]!s_est_avgebitda(C8,I8,TODAY(),100000000))</calculatedColumnFormula>
    </tableColumn>
    <tableColumn id="159" xr3:uid="{00000000-0010-0000-0500-00009F000000}" name="列76" headerRowDxfId="77" dataDxfId="76" dataCellStyle="千位分隔">
      <calculatedColumnFormula>IF(C8="","",[1]!s_est_avgbps(C8,I8,TODAY()))</calculatedColumnFormula>
    </tableColumn>
    <tableColumn id="160" xr3:uid="{00000000-0010-0000-0500-0000A0000000}" name="列77" headerRowDxfId="75" dataDxfId="74" dataCellStyle="千位分隔">
      <calculatedColumnFormula>IF(C8="","",[1]!s_est_avgebt(C8,I8,TODAY(),100000000))</calculatedColumnFormula>
    </tableColumn>
    <tableColumn id="161" xr3:uid="{00000000-0010-0000-0500-0000A1000000}" name="列78" headerRowDxfId="73" dataDxfId="72" dataCellStyle="千位分隔">
      <calculatedColumnFormula>IF(C8="","",[1]!s_est_avgroa(C8,I8,TODAY()))</calculatedColumnFormula>
    </tableColumn>
    <tableColumn id="162" xr3:uid="{00000000-0010-0000-0500-0000A2000000}" name="列79" headerRowDxfId="71" dataDxfId="70" dataCellStyle="千位分隔">
      <calculatedColumnFormula>IF(C8="","",[1]!s_est_avgroe(C8,I8,TODAY()))</calculatedColumnFormula>
    </tableColumn>
    <tableColumn id="163" xr3:uid="{00000000-0010-0000-0500-0000A3000000}" name="列80" headerRowDxfId="69" dataDxfId="68" dataCellStyle="千位分隔">
      <calculatedColumnFormula>IF(C8="","",[1]!s_est_avgoperatingprofit(C8,I8,TODAY(),100000000))</calculatedColumnFormula>
    </tableColumn>
    <tableColumn id="164" xr3:uid="{00000000-0010-0000-0500-0000A4000000}" name="列81" headerRowDxfId="67" dataDxfId="66" dataCellStyle="千位分隔">
      <calculatedColumnFormula>IF(C8="","",[1]!s_est_yoynetprofit(C8,I8,TODAY()))</calculatedColumnFormula>
    </tableColumn>
    <tableColumn id="165" xr3:uid="{00000000-0010-0000-0500-0000A5000000}" name="列82" headerRowDxfId="65" dataDxfId="64" dataCellStyle="千位分隔">
      <calculatedColumnFormula>IF(C8="","",[1]!s_est_yoysales(C8,I8,TODAY()))</calculatedColumnFormula>
    </tableColumn>
  </tableColumns>
  <tableStyleInfo name="表样式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表1_3121314154" displayName="表1_3121314154" ref="C8:AG100" headerRowCount="0" totalsRowShown="0" headerRowDxfId="63" dataDxfId="62">
  <tableColumns count="31">
    <tableColumn id="1" xr3:uid="{00000000-0010-0000-0600-000001000000}" name="列1" headerRowDxfId="61" dataDxfId="60">
      <calculatedColumnFormula>IF(表1[[#This Row],[列1]]="","",表1[[#This Row],[列1]])</calculatedColumnFormula>
    </tableColumn>
    <tableColumn id="2" xr3:uid="{00000000-0010-0000-0600-000002000000}" name="列2" headerRowDxfId="59" dataDxfId="58">
      <calculatedColumnFormula>IF(C8="","",[1]!hks_info_name(C8))</calculatedColumnFormula>
    </tableColumn>
    <tableColumn id="3" xr3:uid="{00000000-0010-0000-0600-000003000000}" name="列3" headerRowDxfId="57" dataDxfId="56">
      <calculatedColumnFormula>IF(C8="","",[1]!lastradeday_s(C8,TODAY()))</calculatedColumnFormula>
    </tableColumn>
    <tableColumn id="4" xr3:uid="{00000000-0010-0000-0600-000004000000}" name="列4" headerRowDxfId="55" dataDxfId="54">
      <calculatedColumnFormula>IF(C8="","",IF(OR([1]!s_stm_rpt_e(C8,基本资料!$I$8,0)="#N/A",[1]!s_stm_rpt_e(C8,基本资料!$I$8,0)="",[1]!s_stm_rpt_e(C8,基本资料!$I$8,0)=0),[1]!s_stm_rpt_e(C8,基本资料!$I$9,0),[1]!s_stm_rpt_e(C8,基本资料!$I$8,0)))</calculatedColumnFormula>
    </tableColumn>
    <tableColumn id="40" xr3:uid="{00000000-0010-0000-0600-000028000000}" name="列11" headerRowDxfId="53" dataDxfId="52">
      <calculatedColumnFormula>IF(C8="","",[1]!s_stm_rpt_e(C8,F8,0))</calculatedColumnFormula>
    </tableColumn>
    <tableColumn id="20" xr3:uid="{00000000-0010-0000-0600-000014000000}" name="列105" headerRowDxfId="51" dataDxfId="50">
      <calculatedColumnFormula>IF(C8="","",[1]!hks_info_cur2(C8,F8))</calculatedColumnFormula>
    </tableColumn>
    <tableColumn id="17" xr3:uid="{00000000-0010-0000-0600-000011000000}" name="列17" headerRowDxfId="49" dataDxfId="48">
      <calculatedColumnFormula>IF(C8="","",[1]!s_segment_product_item(C8,G8,1))</calculatedColumnFormula>
    </tableColumn>
    <tableColumn id="16" xr3:uid="{00000000-0010-0000-0600-000010000000}" name="列16" headerRowDxfId="47" dataDxfId="46">
      <calculatedColumnFormula>IF(C8="","",[1]!s_segment_product_sales1(C8,G8,1,H8,100000000))</calculatedColumnFormula>
    </tableColumn>
    <tableColumn id="15" xr3:uid="{00000000-0010-0000-0600-00000F000000}" name="列15" headerRowDxfId="45" dataDxfId="44">
      <calculatedColumnFormula>IF(C8="","",[1]!s_segment_product_cost1(C8,G8,1,H8,100000000))</calculatedColumnFormula>
    </tableColumn>
    <tableColumn id="33" xr3:uid="{00000000-0010-0000-0600-000021000000}" name="列26" headerRowDxfId="43" dataDxfId="42">
      <calculatedColumnFormula>IF(C8="","",[1]!s_segment_product_profit1(C8,G8,1,H8,100000000))</calculatedColumnFormula>
    </tableColumn>
    <tableColumn id="34" xr3:uid="{00000000-0010-0000-0600-000022000000}" name="列27" headerRowDxfId="41" dataDxfId="40">
      <calculatedColumnFormula>IF(C8="","",[1]!s_segment_product_gpmargin(C8,G8,1))</calculatedColumnFormula>
    </tableColumn>
    <tableColumn id="31" xr3:uid="{00000000-0010-0000-0600-00001F000000}" name="列24" headerRowDxfId="39" dataDxfId="38">
      <calculatedColumnFormula>IF(C8="","",[1]!s_segment_product_item(C8,G8,2))</calculatedColumnFormula>
    </tableColumn>
    <tableColumn id="32" xr3:uid="{00000000-0010-0000-0600-000020000000}" name="列25" headerRowDxfId="37" dataDxfId="36">
      <calculatedColumnFormula>IF(C8="","",[1]!s_segment_product_sales1(C8,G8,2,H8,100000000))</calculatedColumnFormula>
    </tableColumn>
    <tableColumn id="29" xr3:uid="{00000000-0010-0000-0600-00001D000000}" name="列22" headerRowDxfId="35" dataDxfId="34">
      <calculatedColumnFormula>IF(C8="","",[1]!s_segment_product_cost1(C8,G8,2,H8,100000000))</calculatedColumnFormula>
    </tableColumn>
    <tableColumn id="30" xr3:uid="{00000000-0010-0000-0600-00001E000000}" name="列23" headerRowDxfId="33" dataDxfId="32">
      <calculatedColumnFormula>IF(C8="","",[1]!s_segment_product_profit1(C8,G8,2,H8,100000000))</calculatedColumnFormula>
    </tableColumn>
    <tableColumn id="27" xr3:uid="{00000000-0010-0000-0600-00001B000000}" name="列20" headerRowDxfId="31" dataDxfId="30">
      <calculatedColumnFormula>IF(C8="","",[1]!s_segment_product_gpmargin(C8,G8,2))</calculatedColumnFormula>
    </tableColumn>
    <tableColumn id="28" xr3:uid="{00000000-0010-0000-0600-00001C000000}" name="列21" headerRowDxfId="29" dataDxfId="28">
      <calculatedColumnFormula>IF(C8="","",[1]!s_segment_product_item(C8,G8,3))</calculatedColumnFormula>
    </tableColumn>
    <tableColumn id="25" xr3:uid="{00000000-0010-0000-0600-000019000000}" name="列18" headerRowDxfId="27" dataDxfId="26">
      <calculatedColumnFormula>IF(C8="","",[1]!s_segment_product_sales1(C8,G8,3,H8,100000000))</calculatedColumnFormula>
    </tableColumn>
    <tableColumn id="26" xr3:uid="{00000000-0010-0000-0600-00001A000000}" name="列19" headerRowDxfId="25" dataDxfId="24">
      <calculatedColumnFormula>IF(C8="","",[1]!s_segment_product_cost1(C8,G8,3,H8,100000000))</calculatedColumnFormula>
    </tableColumn>
    <tableColumn id="23" xr3:uid="{00000000-0010-0000-0600-000017000000}" name="列9" headerRowDxfId="23" dataDxfId="22">
      <calculatedColumnFormula>IF(C8="","",[1]!s_segment_product_profit1(C8,G8,3,H8,100000000))</calculatedColumnFormula>
    </tableColumn>
    <tableColumn id="24" xr3:uid="{00000000-0010-0000-0600-000018000000}" name="列10" headerRowDxfId="21" dataDxfId="20">
      <calculatedColumnFormula>IF(C8="","",[1]!s_segment_product_gpmargin(C8,G8,3))</calculatedColumnFormula>
    </tableColumn>
    <tableColumn id="21" xr3:uid="{00000000-0010-0000-0600-000015000000}" name="列7" headerRowDxfId="19" dataDxfId="18">
      <calculatedColumnFormula>IF(C8="","",[1]!s_segment_product_item(C8,G8,4))</calculatedColumnFormula>
    </tableColumn>
    <tableColumn id="22" xr3:uid="{00000000-0010-0000-0600-000016000000}" name="列8" headerRowDxfId="17" dataDxfId="16">
      <calculatedColumnFormula>IF(C8="","",[1]!s_segment_product_sales1(C8,G8,4,H8,100000000))</calculatedColumnFormula>
    </tableColumn>
    <tableColumn id="18" xr3:uid="{00000000-0010-0000-0600-000012000000}" name="列5" headerRowDxfId="15" dataDxfId="14">
      <calculatedColumnFormula>IF(C8="","",[1]!s_segment_product_cost1(C8,G8,4,H8,100000000))</calculatedColumnFormula>
    </tableColumn>
    <tableColumn id="19" xr3:uid="{00000000-0010-0000-0600-000013000000}" name="列6" headerRowDxfId="13" dataDxfId="12">
      <calculatedColumnFormula>IF(C8="","",[1]!s_segment_product_profit1(C8,G8,4,H8,100000000))</calculatedColumnFormula>
    </tableColumn>
    <tableColumn id="14" xr3:uid="{00000000-0010-0000-0600-00000E000000}" name="列14" headerRowDxfId="11" dataDxfId="10">
      <calculatedColumnFormula>IF(C8="","",[1]!s_segment_product_gpmargin(C8,G8,4))</calculatedColumnFormula>
    </tableColumn>
    <tableColumn id="39" xr3:uid="{00000000-0010-0000-0600-000027000000}" name="列32" headerRowDxfId="9" dataDxfId="8">
      <calculatedColumnFormula>IF(C8="","",[1]!s_segment_product_item(C8,G8,5))</calculatedColumnFormula>
    </tableColumn>
    <tableColumn id="38" xr3:uid="{00000000-0010-0000-0600-000026000000}" name="列31" headerRowDxfId="7" dataDxfId="6">
      <calculatedColumnFormula>IF(C8="","",[1]!s_segment_product_sales1(C8,G8,5,H8,100000000))</calculatedColumnFormula>
    </tableColumn>
    <tableColumn id="37" xr3:uid="{00000000-0010-0000-0600-000025000000}" name="列30" headerRowDxfId="5" dataDxfId="4">
      <calculatedColumnFormula>IF(C8="","",[1]!s_segment_product_cost1(C8,G8,5,H8,100000000))</calculatedColumnFormula>
    </tableColumn>
    <tableColumn id="36" xr3:uid="{00000000-0010-0000-0600-000024000000}" name="列29" headerRowDxfId="3" dataDxfId="2">
      <calculatedColumnFormula>IF(C8="","",[1]!s_segment_product_profit1(C8,G8,5,H8,100000000))</calculatedColumnFormula>
    </tableColumn>
    <tableColumn id="35" xr3:uid="{00000000-0010-0000-0600-000023000000}" name="列28" headerRowDxfId="1" dataDxfId="0">
      <calculatedColumnFormula>IF(C8="","",[1]!s_segment_product_gpmargin(C8,G8,5))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  <pageSetUpPr autoPageBreaks="0"/>
  </sheetPr>
  <dimension ref="A1:CH102"/>
  <sheetViews>
    <sheetView showGridLines="0" tabSelected="1" workbookViewId="0">
      <selection activeCell="A40" sqref="A40"/>
    </sheetView>
  </sheetViews>
  <sheetFormatPr defaultRowHeight="16.5" x14ac:dyDescent="0.2"/>
  <cols>
    <col min="1" max="1" width="2.125" style="3" customWidth="1"/>
    <col min="2" max="2" width="1.5" style="3" customWidth="1"/>
    <col min="3" max="3" width="9.375" style="9" customWidth="1"/>
    <col min="4" max="4" width="11.125" style="9" bestFit="1" customWidth="1"/>
    <col min="5" max="6" width="5.375" style="9" customWidth="1"/>
    <col min="7" max="7" width="6.375" style="9" customWidth="1"/>
    <col min="8" max="8" width="9.25" style="9" customWidth="1"/>
    <col min="9" max="9" width="10.75" style="9" customWidth="1"/>
    <col min="10" max="12" width="1.5" style="3" customWidth="1"/>
    <col min="13" max="14" width="11.5" style="9" customWidth="1"/>
    <col min="15" max="15" width="15.75" style="14" customWidth="1"/>
    <col min="16" max="17" width="10.25" style="9" customWidth="1"/>
    <col min="18" max="18" width="16.375" style="9" customWidth="1"/>
    <col min="19" max="20" width="11.5" style="9" customWidth="1"/>
    <col min="21" max="21" width="52.375" style="9" bestFit="1" customWidth="1"/>
    <col min="22" max="22" width="12.75" style="9" customWidth="1"/>
    <col min="23" max="24" width="14.125" style="10" customWidth="1"/>
    <col min="25" max="26" width="18.75" style="10" customWidth="1"/>
    <col min="27" max="27" width="12.875" style="10" customWidth="1"/>
    <col min="28" max="32" width="12.875" style="9" customWidth="1"/>
    <col min="33" max="38" width="14.375" style="9" customWidth="1"/>
    <col min="39" max="39" width="42.75" style="9" customWidth="1"/>
    <col min="40" max="40" width="22.5" style="9" bestFit="1" customWidth="1"/>
    <col min="41" max="41" width="20" style="9" customWidth="1"/>
    <col min="42" max="43" width="16.75" style="9" customWidth="1"/>
    <col min="44" max="44" width="1.5" style="3" customWidth="1"/>
    <col min="45" max="16384" width="9" style="3"/>
  </cols>
  <sheetData>
    <row r="1" spans="1:86" s="5" customFormat="1" ht="27.75" x14ac:dyDescent="0.3">
      <c r="A1" s="4"/>
      <c r="B1" s="4"/>
      <c r="C1" s="4"/>
      <c r="M1" s="87" t="s">
        <v>231</v>
      </c>
      <c r="N1" s="87"/>
      <c r="O1" s="87"/>
      <c r="P1" s="87"/>
      <c r="Q1" s="87"/>
      <c r="R1" s="87"/>
      <c r="S1" s="87"/>
      <c r="T1" s="87"/>
      <c r="U1" s="71" t="s">
        <v>20</v>
      </c>
      <c r="V1" s="72">
        <f ca="1">TODAY()</f>
        <v>45635</v>
      </c>
      <c r="Y1" s="70"/>
      <c r="Z1" s="70"/>
      <c r="AA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spans="1:86" s="2" customFormat="1" ht="9" customHeight="1" x14ac:dyDescent="0.2">
      <c r="O2" s="11"/>
      <c r="W2" s="15"/>
      <c r="X2" s="15"/>
      <c r="Y2" s="15"/>
      <c r="Z2" s="15"/>
      <c r="AA2" s="15"/>
    </row>
    <row r="3" spans="1:86" s="2" customFormat="1" ht="9" customHeight="1" x14ac:dyDescent="0.2">
      <c r="B3" s="6"/>
      <c r="C3" s="6"/>
      <c r="D3" s="6"/>
      <c r="E3" s="6"/>
      <c r="F3" s="6"/>
      <c r="G3" s="6"/>
      <c r="H3" s="6"/>
      <c r="I3" s="6"/>
      <c r="J3" s="6"/>
      <c r="L3" s="6"/>
      <c r="M3" s="6"/>
      <c r="N3" s="6"/>
      <c r="O3" s="12"/>
      <c r="P3" s="6"/>
      <c r="Q3" s="6"/>
      <c r="R3" s="6"/>
      <c r="S3" s="6"/>
      <c r="T3" s="6"/>
      <c r="U3" s="6"/>
      <c r="V3" s="6"/>
      <c r="W3" s="16"/>
      <c r="X3" s="16"/>
      <c r="Y3" s="16"/>
      <c r="Z3" s="16"/>
      <c r="AA3" s="1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86" s="2" customFormat="1" ht="17.25" x14ac:dyDescent="0.2">
      <c r="B4" s="6"/>
      <c r="C4" s="7" t="s">
        <v>226</v>
      </c>
      <c r="D4" s="7"/>
      <c r="E4" s="7"/>
      <c r="F4" s="7"/>
      <c r="G4" s="7"/>
      <c r="H4" s="7"/>
      <c r="I4" s="7"/>
      <c r="J4" s="6"/>
      <c r="L4" s="6"/>
      <c r="M4" s="7" t="s">
        <v>41</v>
      </c>
      <c r="N4" s="7"/>
      <c r="O4" s="13"/>
      <c r="P4" s="7"/>
      <c r="Q4" s="7"/>
      <c r="R4" s="7"/>
      <c r="S4" s="7"/>
      <c r="T4" s="7"/>
      <c r="U4" s="7"/>
      <c r="V4" s="7"/>
      <c r="W4" s="17"/>
      <c r="X4" s="17"/>
      <c r="Y4" s="17"/>
      <c r="Z4" s="17"/>
      <c r="AA4" s="1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6"/>
    </row>
    <row r="5" spans="1:86" s="2" customFormat="1" ht="9" customHeight="1" x14ac:dyDescent="0.2">
      <c r="B5" s="6"/>
      <c r="C5" s="6"/>
      <c r="D5" s="6"/>
      <c r="E5" s="6"/>
      <c r="F5" s="6"/>
      <c r="G5" s="6"/>
      <c r="H5" s="6"/>
      <c r="I5" s="6"/>
      <c r="J5" s="6"/>
      <c r="L5" s="6"/>
      <c r="M5" s="6"/>
      <c r="N5" s="6"/>
      <c r="O5" s="12"/>
      <c r="P5" s="6"/>
      <c r="Q5" s="6"/>
      <c r="R5" s="6"/>
      <c r="S5" s="6"/>
      <c r="T5" s="6"/>
      <c r="U5" s="6"/>
      <c r="V5" s="6"/>
      <c r="W5" s="16"/>
      <c r="X5" s="16"/>
      <c r="Y5" s="16"/>
      <c r="Z5" s="16"/>
      <c r="AA5" s="1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86" s="2" customFormat="1" x14ac:dyDescent="0.35">
      <c r="B6" s="6"/>
      <c r="C6" s="60" t="s">
        <v>28</v>
      </c>
      <c r="D6" s="61" t="s">
        <v>21</v>
      </c>
      <c r="E6" s="61" t="s">
        <v>25</v>
      </c>
      <c r="F6" s="61" t="s">
        <v>26</v>
      </c>
      <c r="G6" s="61" t="s">
        <v>27</v>
      </c>
      <c r="H6" s="61" t="s">
        <v>29</v>
      </c>
      <c r="I6" s="62" t="s">
        <v>30</v>
      </c>
      <c r="J6" s="6"/>
      <c r="L6" s="6"/>
      <c r="M6" s="78" t="s">
        <v>0</v>
      </c>
      <c r="N6" s="80" t="s">
        <v>6</v>
      </c>
      <c r="O6" s="80" t="s">
        <v>7</v>
      </c>
      <c r="P6" s="80" t="s">
        <v>8</v>
      </c>
      <c r="Q6" s="80" t="s">
        <v>9</v>
      </c>
      <c r="R6" s="80" t="s">
        <v>10</v>
      </c>
      <c r="S6" s="80" t="s">
        <v>11</v>
      </c>
      <c r="T6" s="80" t="s">
        <v>12</v>
      </c>
      <c r="U6" s="80" t="s">
        <v>13</v>
      </c>
      <c r="V6" s="84" t="s">
        <v>14</v>
      </c>
      <c r="W6" s="85"/>
      <c r="X6" s="86"/>
      <c r="Y6" s="84" t="s">
        <v>18</v>
      </c>
      <c r="Z6" s="85"/>
      <c r="AA6" s="82" t="s">
        <v>35</v>
      </c>
      <c r="AB6" s="82" t="s">
        <v>33</v>
      </c>
      <c r="AC6" s="82" t="s">
        <v>34</v>
      </c>
      <c r="AD6" s="82" t="s">
        <v>36</v>
      </c>
      <c r="AE6" s="82" t="s">
        <v>38</v>
      </c>
      <c r="AF6" s="82" t="s">
        <v>39</v>
      </c>
      <c r="AG6" s="88" t="s">
        <v>150</v>
      </c>
      <c r="AH6" s="89"/>
      <c r="AI6" s="89"/>
      <c r="AJ6" s="89"/>
      <c r="AK6" s="89"/>
      <c r="AL6" s="89"/>
      <c r="AM6" s="89"/>
      <c r="AN6" s="89"/>
      <c r="AO6" s="90"/>
      <c r="AP6" s="76" t="s">
        <v>74</v>
      </c>
      <c r="AQ6" s="77"/>
      <c r="AR6" s="6"/>
    </row>
    <row r="7" spans="1:86" s="2" customFormat="1" x14ac:dyDescent="0.35">
      <c r="B7" s="6"/>
      <c r="C7" s="63" t="s">
        <v>24</v>
      </c>
      <c r="D7" s="64">
        <f ca="1">TODAY()</f>
        <v>45635</v>
      </c>
      <c r="E7" s="65">
        <f ca="1">MONTH(D7)</f>
        <v>12</v>
      </c>
      <c r="F7" s="65">
        <f ca="1">LEN(2^E7)</f>
        <v>4</v>
      </c>
      <c r="G7" s="65">
        <f ca="1">YEAR(D7)</f>
        <v>2024</v>
      </c>
      <c r="H7" s="64">
        <f ca="1">DATE(YEAR(D7),1,1)</f>
        <v>45292</v>
      </c>
      <c r="I7" s="66">
        <f ca="1">DATE(YEAR(D7),12,31)</f>
        <v>45657</v>
      </c>
      <c r="J7" s="6"/>
      <c r="L7" s="6"/>
      <c r="M7" s="79"/>
      <c r="N7" s="81"/>
      <c r="O7" s="81"/>
      <c r="P7" s="81"/>
      <c r="Q7" s="81"/>
      <c r="R7" s="81"/>
      <c r="S7" s="81"/>
      <c r="T7" s="81"/>
      <c r="U7" s="81"/>
      <c r="V7" s="20" t="s">
        <v>16</v>
      </c>
      <c r="W7" s="22" t="s">
        <v>15</v>
      </c>
      <c r="X7" s="24" t="s">
        <v>17</v>
      </c>
      <c r="Y7" s="26" t="s">
        <v>37</v>
      </c>
      <c r="Z7" s="38" t="s">
        <v>19</v>
      </c>
      <c r="AA7" s="83"/>
      <c r="AB7" s="83"/>
      <c r="AC7" s="83"/>
      <c r="AD7" s="83"/>
      <c r="AE7" s="83"/>
      <c r="AF7" s="83"/>
      <c r="AG7" s="40" t="s">
        <v>149</v>
      </c>
      <c r="AH7" s="41" t="s">
        <v>144</v>
      </c>
      <c r="AI7" s="41" t="s">
        <v>145</v>
      </c>
      <c r="AJ7" s="41" t="s">
        <v>146</v>
      </c>
      <c r="AK7" s="41" t="s">
        <v>147</v>
      </c>
      <c r="AL7" s="41" t="s">
        <v>148</v>
      </c>
      <c r="AM7" s="54" t="s">
        <v>151</v>
      </c>
      <c r="AN7" s="41" t="s">
        <v>152</v>
      </c>
      <c r="AO7" s="42" t="s">
        <v>153</v>
      </c>
      <c r="AP7" s="40" t="s">
        <v>75</v>
      </c>
      <c r="AQ7" s="50" t="s">
        <v>76</v>
      </c>
      <c r="AR7" s="6"/>
    </row>
    <row r="8" spans="1:86" s="2" customFormat="1" x14ac:dyDescent="0.2">
      <c r="B8" s="6"/>
      <c r="C8" s="63" t="s">
        <v>22</v>
      </c>
      <c r="D8" s="64">
        <f ca="1">DATE(YEAR(D7)-1,MONTH(D7),DAY(D7))</f>
        <v>45269</v>
      </c>
      <c r="E8" s="65">
        <f t="shared" ref="E8:E11" ca="1" si="0">MONTH(D8)</f>
        <v>12</v>
      </c>
      <c r="F8" s="65">
        <f t="shared" ref="F8:F11" ca="1" si="1">LEN(2^E8)</f>
        <v>4</v>
      </c>
      <c r="G8" s="65">
        <f t="shared" ref="G8:G9" ca="1" si="2">YEAR(D8)</f>
        <v>2023</v>
      </c>
      <c r="H8" s="64">
        <f t="shared" ref="H8:H9" ca="1" si="3">DATE(YEAR(D8),1,1)</f>
        <v>44927</v>
      </c>
      <c r="I8" s="66">
        <f t="shared" ref="I8:I9" ca="1" si="4">DATE(YEAR(D8),12,31)</f>
        <v>45291</v>
      </c>
      <c r="J8" s="6"/>
      <c r="L8" s="6"/>
      <c r="M8" s="28" t="s">
        <v>1</v>
      </c>
      <c r="N8" s="19" t="str">
        <f>IF(M8="","",[1]!hks_info_name(M8))</f>
        <v>平安银行</v>
      </c>
      <c r="O8" s="18" t="str">
        <f>IF(M8="","",[1]!s_ipo_listeddate(M8))</f>
        <v>1991-04-03</v>
      </c>
      <c r="P8" s="19" t="str">
        <f>IF(M8="","",[1]!s_info_exchmarket(M8))</f>
        <v>深圳</v>
      </c>
      <c r="Q8" s="19" t="str">
        <f>IF(M8="","",[1]!s_info_mkt(M8))</f>
        <v>主板</v>
      </c>
      <c r="R8" s="19" t="str">
        <f>IF(M8="","",[1]!hks_info_isincode(M8))</f>
        <v>CNE000000040</v>
      </c>
      <c r="S8" s="19" t="str">
        <f>IF(M8="","",[1]!s_info_province(M8))</f>
        <v>广东省</v>
      </c>
      <c r="T8" s="19" t="str">
        <f>IF(M8="","",[1]!s_info_city(M8))</f>
        <v>深圳市</v>
      </c>
      <c r="U8" s="19" t="str">
        <f>IF(M8="","",[1]!s_info_industry_gics(M8,9))</f>
        <v>金融--银行--商业银行--多元化银行</v>
      </c>
      <c r="V8" s="21" t="str">
        <f ca="1">IF(M8="","",[1]!lastradeday_s(M8,$D$7))</f>
        <v>2024-12-09</v>
      </c>
      <c r="W8" s="23">
        <f ca="1">IF(M8="","",[1]!s_dq_close(M8,V8,3))</f>
        <v>11.67</v>
      </c>
      <c r="X8" s="25">
        <f ca="1">IF(M8="","",[1]!s_dq_pctchange(M8,V8))</f>
        <v>8.5763293310462507E-2</v>
      </c>
      <c r="Y8" s="23">
        <f ca="1">IF(M8="","",[1]!hks_val_ev(M8,V8,"",100000000))</f>
        <v>2264.6706537066002</v>
      </c>
      <c r="Z8" s="23">
        <f ca="1">IF(M8="","",[1]!hks_val_mv_ard(M8,V8,"",100000000))</f>
        <v>2264.6706537066002</v>
      </c>
      <c r="AA8" s="23">
        <f ca="1">IF(M8="","",[1]!hks_fa_eps_basic(M8,[1]!s_fa_latelyrd_bt(M8,V8),""))</f>
        <v>1.94</v>
      </c>
      <c r="AB8" s="23">
        <f ca="1">IF(M8="","",[1]!hks_val_pe_ttm(M8,V8))</f>
        <v>4.8651328086853027</v>
      </c>
      <c r="AC8" s="23">
        <f ca="1">IF(M8="","",[1]!pb_mrq(M8,V8))</f>
        <v>0.53853413083802393</v>
      </c>
      <c r="AD8" s="23">
        <f ca="1">IF(M8="","",[1]!s_val_evtoebitda2(M8,V8))</f>
        <v>0</v>
      </c>
      <c r="AE8" s="23">
        <f ca="1">IF(M8="","",[1]!hks_fa_roa2(M8,[1]!s_fa_latelyrd_bt(M8,V8)))</f>
        <v>0</v>
      </c>
      <c r="AF8" s="23">
        <f ca="1">IF(M8="","",[1]!hks_fa_roe(M8,[1]!s_fa_latelyrd_bt(M8,V8)))</f>
        <v>8.2528000000000006</v>
      </c>
      <c r="AG8" s="23">
        <f ca="1">IF(M8="","",[1]!s_share_total(M8,V8,100000000))</f>
        <v>194.05918198000001</v>
      </c>
      <c r="AH8" s="23">
        <f ca="1">IF(M8="","",[1]!hks_share_total(M8,V8,100000000))</f>
        <v>194.05918198000001</v>
      </c>
      <c r="AI8" s="23">
        <f ca="1">IF(M8="","",[1]!hks_share_totala(M8,V8,100000000))</f>
        <v>194.05918198000001</v>
      </c>
      <c r="AJ8" s="23">
        <f ca="1">IF(M8="","",[1]!hks_share_totalb(M8,V8,100000000))</f>
        <v>0</v>
      </c>
      <c r="AK8" s="23">
        <f ca="1">IF(M8="","",[1]!hks_share_h(M8,V8,100000000))</f>
        <v>0</v>
      </c>
      <c r="AL8" s="23">
        <f ca="1">IF(M8="","",[1]!hks_share_oversea(M8,V8,100000000))</f>
        <v>0</v>
      </c>
      <c r="AM8" s="23" t="str">
        <f ca="1">IF(M8="","",[1]!hks_holder_name(M8,V8,1))</f>
        <v>中国平安保险(集团)股份有限公司-集团本级-自有资金</v>
      </c>
      <c r="AN8" s="23">
        <f ca="1">IF(M8="","",[1]!hks_holder_quantity(M8,V8,1,10000))</f>
        <v>961854.02359999996</v>
      </c>
      <c r="AO8" s="23">
        <f ca="1">IF(M8="","",[1]!hks_holder_pct(M8,V8,1))</f>
        <v>49.560001373291016</v>
      </c>
      <c r="AP8" s="23" t="str">
        <f ca="1">IF(M8="","",[1]!s_esg_rating_wind(M8,V8))</f>
        <v>A</v>
      </c>
      <c r="AQ8" s="23">
        <f ca="1">IF(M8="","",[1]!s_esg_score_wind(M8,V8))</f>
        <v>7.19</v>
      </c>
      <c r="AR8" s="6"/>
    </row>
    <row r="9" spans="1:86" s="2" customFormat="1" x14ac:dyDescent="0.2">
      <c r="B9" s="6"/>
      <c r="C9" s="63" t="s">
        <v>23</v>
      </c>
      <c r="D9" s="64">
        <f ca="1">DATE(YEAR(D8)-1,MONTH(D8),DAY(D8))</f>
        <v>44904</v>
      </c>
      <c r="E9" s="65">
        <f t="shared" ca="1" si="0"/>
        <v>12</v>
      </c>
      <c r="F9" s="65">
        <f t="shared" ca="1" si="1"/>
        <v>4</v>
      </c>
      <c r="G9" s="65">
        <f t="shared" ca="1" si="2"/>
        <v>2022</v>
      </c>
      <c r="H9" s="64">
        <f t="shared" ca="1" si="3"/>
        <v>44562</v>
      </c>
      <c r="I9" s="66">
        <f t="shared" ca="1" si="4"/>
        <v>44926</v>
      </c>
      <c r="J9" s="6"/>
      <c r="L9" s="6"/>
      <c r="M9" s="28" t="s">
        <v>2</v>
      </c>
      <c r="N9" s="19" t="str">
        <f>IF(M9="","",[1]!hks_info_name(M9))</f>
        <v>万科A</v>
      </c>
      <c r="O9" s="18" t="str">
        <f>IF(M9="","",[1]!s_ipo_listeddate(M9))</f>
        <v>1991-01-29</v>
      </c>
      <c r="P9" s="19" t="str">
        <f>IF(M9="","",[1]!s_info_exchmarket(M9))</f>
        <v>深圳</v>
      </c>
      <c r="Q9" s="19" t="str">
        <f>IF(M9="","",[1]!s_info_mkt(M9))</f>
        <v>主板</v>
      </c>
      <c r="R9" s="19" t="str">
        <f>IF(M9="","",[1]!hks_info_isincode(M9))</f>
        <v>CNE0000000T2</v>
      </c>
      <c r="S9" s="19" t="str">
        <f>IF(M9="","",[1]!s_info_province(M9))</f>
        <v>广东省</v>
      </c>
      <c r="T9" s="19" t="str">
        <f>IF(M9="","",[1]!s_info_city(M9))</f>
        <v>深圳市</v>
      </c>
      <c r="U9" s="19" t="str">
        <f>IF(M9="","",[1]!s_info_industry_gics(M9,9))</f>
        <v>房地产--房地产Ⅱ--房地产管理和开发--房地产开发</v>
      </c>
      <c r="V9" s="21" t="str">
        <f ca="1">IF(M9="","",[1]!lastradeday_s(M9,$D$7))</f>
        <v>2024-12-09</v>
      </c>
      <c r="W9" s="23">
        <f ca="1">IF(M9="","",[1]!s_dq_close(M9,V9,3))</f>
        <v>8.42</v>
      </c>
      <c r="X9" s="25">
        <f ca="1">IF(M9="","",[1]!s_dq_pctchange(M9,V9))</f>
        <v>-2.9953917050691254</v>
      </c>
      <c r="Y9" s="23">
        <f ca="1">IF(M9="","",[1]!hks_val_ev(M9,V9,"",100000000))</f>
        <v>950.57466063879542</v>
      </c>
      <c r="Z9" s="23">
        <f ca="1">IF(M9="","",[1]!hks_val_mv_ard(M9,V9,"",100000000))</f>
        <v>1004.5657374581999</v>
      </c>
      <c r="AA9" s="23">
        <f ca="1">IF(M9="","",[1]!hks_fa_eps_basic(M9,[1]!s_fa_latelyrd_bt(M9,V9),""))</f>
        <v>-1.5132000000000001</v>
      </c>
      <c r="AB9" s="23">
        <f ca="1">IF(M9="","",[1]!hks_val_pe_ttm(M9,V9))</f>
        <v>-5.1776156425476074</v>
      </c>
      <c r="AC9" s="23">
        <f ca="1">IF(M9="","",[1]!pb_mrq(M9,V9))</f>
        <v>0.4290816587620736</v>
      </c>
      <c r="AD9" s="23">
        <f ca="1">IF(M9="","",[1]!s_val_evtoebitda2(M9,V9))</f>
        <v>9.3365581775349629</v>
      </c>
      <c r="AE9" s="23">
        <f ca="1">IF(M9="","",[1]!hks_fa_roa2(M9,[1]!s_fa_latelyrd_bt(M9,V9)))</f>
        <v>-0.50529999999999997</v>
      </c>
      <c r="AF9" s="23">
        <f ca="1">IF(M9="","",[1]!hks_fa_roe(M9,[1]!s_fa_latelyrd_bt(M9,V9)))</f>
        <v>-7.4008000000000003</v>
      </c>
      <c r="AG9" s="23">
        <f ca="1">IF(M9="","",[1]!s_share_total(M9,V9,100000000))</f>
        <v>119.30709471</v>
      </c>
      <c r="AH9" s="23">
        <f ca="1">IF(M9="","",[1]!hks_share_total(M9,V9,100000000))</f>
        <v>119.30709471</v>
      </c>
      <c r="AI9" s="23">
        <f ca="1">IF(M9="","",[1]!hks_share_totala(M9,V9,100000000))</f>
        <v>97.241965329999999</v>
      </c>
      <c r="AJ9" s="23">
        <f ca="1">IF(M9="","",[1]!hks_share_totalb(M9,V9,100000000))</f>
        <v>0</v>
      </c>
      <c r="AK9" s="23">
        <f ca="1">IF(M9="","",[1]!hks_share_h(M9,V9,100000000))</f>
        <v>22.065129379999998</v>
      </c>
      <c r="AL9" s="23">
        <f ca="1">IF(M9="","",[1]!hks_share_oversea(M9,V9,100000000))</f>
        <v>0</v>
      </c>
      <c r="AM9" s="23" t="str">
        <f ca="1">IF(M9="","",[1]!hks_holder_name(M9,V9,1))</f>
        <v>深圳市地铁集团有限公司</v>
      </c>
      <c r="AN9" s="23">
        <f ca="1">IF(M9="","",[1]!hks_holder_quantity(M9,V9,1,10000))</f>
        <v>324281.07909999997</v>
      </c>
      <c r="AO9" s="23">
        <f ca="1">IF(M9="","",[1]!hks_holder_pct(M9,V9,1))</f>
        <v>27.180000305175781</v>
      </c>
      <c r="AP9" s="23" t="str">
        <f ca="1">IF(M9="","",[1]!s_esg_rating_wind(M9,V9))</f>
        <v>AA</v>
      </c>
      <c r="AQ9" s="23">
        <f ca="1">IF(M9="","",[1]!s_esg_score_wind(M9,V9))</f>
        <v>8.99</v>
      </c>
      <c r="AR9" s="6"/>
    </row>
    <row r="10" spans="1:86" s="2" customFormat="1" x14ac:dyDescent="0.2">
      <c r="B10" s="6"/>
      <c r="C10" s="63" t="s">
        <v>31</v>
      </c>
      <c r="D10" s="64">
        <f ca="1">DATE(YEAR(D7)+1,MONTH(D7),DAY(D7))</f>
        <v>46000</v>
      </c>
      <c r="E10" s="65">
        <f t="shared" ca="1" si="0"/>
        <v>12</v>
      </c>
      <c r="F10" s="65">
        <f t="shared" ca="1" si="1"/>
        <v>4</v>
      </c>
      <c r="G10" s="65">
        <f t="shared" ref="G10:G11" ca="1" si="5">YEAR(D10)</f>
        <v>2025</v>
      </c>
      <c r="H10" s="64">
        <f t="shared" ref="H10:H11" ca="1" si="6">DATE(YEAR(D10),1,1)</f>
        <v>45658</v>
      </c>
      <c r="I10" s="66">
        <f t="shared" ref="I10:I11" ca="1" si="7">DATE(YEAR(D10),12,31)</f>
        <v>46022</v>
      </c>
      <c r="J10" s="6"/>
      <c r="L10" s="6"/>
      <c r="M10" s="28" t="s">
        <v>222</v>
      </c>
      <c r="N10" s="19" t="str">
        <f>IF(M10="","",[1]!hks_info_name(M10))</f>
        <v>梦网科技</v>
      </c>
      <c r="O10" s="18" t="str">
        <f>IF(M10="","",[1]!s_ipo_listeddate(M10))</f>
        <v>2007-03-28</v>
      </c>
      <c r="P10" s="19" t="str">
        <f>IF(M10="","",[1]!s_info_exchmarket(M10))</f>
        <v>深圳</v>
      </c>
      <c r="Q10" s="19" t="str">
        <f>IF(M10="","",[1]!s_info_mkt(M10))</f>
        <v>主板</v>
      </c>
      <c r="R10" s="19" t="str">
        <f>IF(M10="","",[1]!hks_info_isincode(M10))</f>
        <v>CNE100000049</v>
      </c>
      <c r="S10" s="19" t="str">
        <f>IF(M10="","",[1]!s_info_province(M10))</f>
        <v>辽宁省</v>
      </c>
      <c r="T10" s="19" t="str">
        <f>IF(M10="","",[1]!s_info_city(M10))</f>
        <v>鞍山市</v>
      </c>
      <c r="U10" s="19" t="str">
        <f>IF(M10="","",[1]!s_info_industry_gics(M10,9))</f>
        <v>信息技术--技术硬件与设备--通信设备Ⅲ--通信设备</v>
      </c>
      <c r="V10" s="21" t="str">
        <f ca="1">IF(M10="","",[1]!lastradeday_s(M10,$D$7))</f>
        <v>2024-12-09</v>
      </c>
      <c r="W10" s="23">
        <f ca="1">IF(M10="","",[1]!s_dq_close(M10,V10,3))</f>
        <v>10.81</v>
      </c>
      <c r="X10" s="25">
        <f ca="1">IF(M10="","",[1]!s_dq_pctchange(M10,V10))</f>
        <v>-1.1882998171846253</v>
      </c>
      <c r="Y10" s="23">
        <f ca="1">IF(M10="","",[1]!hks_val_ev(M10,V10,"",100000000))</f>
        <v>86.523391340000003</v>
      </c>
      <c r="Z10" s="23">
        <f ca="1">IF(M10="","",[1]!hks_val_mv_ard(M10,V10,"",100000000))</f>
        <v>86.523391340000003</v>
      </c>
      <c r="AA10" s="23">
        <f ca="1">IF(M10="","",[1]!hks_fa_eps_basic(M10,[1]!s_fa_latelyrd_bt(M10,V10),""))</f>
        <v>0.04</v>
      </c>
      <c r="AB10" s="23">
        <f ca="1">IF(M10="","",[1]!hks_val_pe_ttm(M10,V10))</f>
        <v>-4.8143734931945801</v>
      </c>
      <c r="AC10" s="23">
        <f ca="1">IF(M10="","",[1]!pb_mrq(M10,V10))</f>
        <v>5.2245280756132315</v>
      </c>
      <c r="AD10" s="23">
        <f ca="1">IF(M10="","",[1]!s_val_evtoebitda2(M10,V10))</f>
        <v>-119.60559793012925</v>
      </c>
      <c r="AE10" s="23">
        <f ca="1">IF(M10="","",[1]!hks_fa_roa2(M10,[1]!s_fa_latelyrd_bt(M10,V10)))</f>
        <v>0.95789999999999997</v>
      </c>
      <c r="AF10" s="23">
        <f ca="1">IF(M10="","",[1]!hks_fa_roe(M10,[1]!s_fa_latelyrd_bt(M10,V10)))</f>
        <v>1.8552</v>
      </c>
      <c r="AG10" s="23">
        <f ca="1">IF(M10="","",[1]!s_share_total(M10,V10,100000000))</f>
        <v>8.0040139999999997</v>
      </c>
      <c r="AH10" s="23">
        <f ca="1">IF(M10="","",[1]!hks_share_total(M10,V10,100000000))</f>
        <v>8.0040139999999997</v>
      </c>
      <c r="AI10" s="23">
        <f ca="1">IF(M10="","",[1]!hks_share_totala(M10,V10,100000000))</f>
        <v>8.0040139999999997</v>
      </c>
      <c r="AJ10" s="23">
        <f ca="1">IF(M10="","",[1]!hks_share_totalb(M10,V10,100000000))</f>
        <v>0</v>
      </c>
      <c r="AK10" s="23">
        <f ca="1">IF(M10="","",[1]!hks_share_h(M10,V10,100000000))</f>
        <v>0</v>
      </c>
      <c r="AL10" s="23">
        <f ca="1">IF(M10="","",[1]!hks_share_oversea(M10,V10,100000000))</f>
        <v>0</v>
      </c>
      <c r="AM10" s="23" t="str">
        <f ca="1">IF(M10="","",[1]!hks_holder_name(M10,V10,1))</f>
        <v>余文胜</v>
      </c>
      <c r="AN10" s="23">
        <f ca="1">IF(M10="","",[1]!hks_holder_quantity(M10,V10,1,10000))</f>
        <v>11318.737499999999</v>
      </c>
      <c r="AO10" s="23">
        <f ca="1">IF(M10="","",[1]!hks_holder_pct(M10,V10,1))</f>
        <v>14.140000343322754</v>
      </c>
      <c r="AP10" s="23" t="str">
        <f ca="1">IF(M10="","",[1]!s_esg_rating_wind(M10,V10))</f>
        <v>B</v>
      </c>
      <c r="AQ10" s="23">
        <f ca="1">IF(M10="","",[1]!s_esg_score_wind(M10,V10))</f>
        <v>4.76</v>
      </c>
      <c r="AR10" s="6"/>
    </row>
    <row r="11" spans="1:86" s="2" customFormat="1" x14ac:dyDescent="0.2">
      <c r="B11" s="6"/>
      <c r="C11" s="63" t="s">
        <v>32</v>
      </c>
      <c r="D11" s="64">
        <f ca="1">DATE(YEAR(D10)+1,MONTH(D8),DAY(D8))</f>
        <v>46365</v>
      </c>
      <c r="E11" s="65">
        <f t="shared" ca="1" si="0"/>
        <v>12</v>
      </c>
      <c r="F11" s="65">
        <f t="shared" ca="1" si="1"/>
        <v>4</v>
      </c>
      <c r="G11" s="65">
        <f t="shared" ca="1" si="5"/>
        <v>2026</v>
      </c>
      <c r="H11" s="64">
        <f t="shared" ca="1" si="6"/>
        <v>46023</v>
      </c>
      <c r="I11" s="66">
        <f t="shared" ca="1" si="7"/>
        <v>46387</v>
      </c>
      <c r="J11" s="6"/>
      <c r="L11" s="6"/>
      <c r="M11" s="28" t="s">
        <v>230</v>
      </c>
      <c r="N11" s="19" t="str">
        <f>IF(M11="","",[1]!hks_info_name(M11))</f>
        <v>科大讯飞</v>
      </c>
      <c r="O11" s="18" t="str">
        <f>IF(M11="","",[1]!s_ipo_listeddate(M11))</f>
        <v>2008-05-12</v>
      </c>
      <c r="P11" s="19" t="str">
        <f>IF(M11="","",[1]!s_info_exchmarket(M11))</f>
        <v>深圳</v>
      </c>
      <c r="Q11" s="19" t="str">
        <f>IF(M11="","",[1]!s_info_mkt(M11))</f>
        <v>主板</v>
      </c>
      <c r="R11" s="19" t="str">
        <f>IF(M11="","",[1]!hks_info_isincode(M11))</f>
        <v>CNE100000B81</v>
      </c>
      <c r="S11" s="19" t="str">
        <f>IF(M11="","",[1]!s_info_province(M11))</f>
        <v>安徽省</v>
      </c>
      <c r="T11" s="19" t="str">
        <f>IF(M11="","",[1]!s_info_city(M11))</f>
        <v>合肥市</v>
      </c>
      <c r="U11" s="19" t="str">
        <f>IF(M11="","",[1]!s_info_industry_gics(M11,9))</f>
        <v>信息技术--软件与服务--软件--应用软件</v>
      </c>
      <c r="V11" s="21" t="str">
        <f ca="1">IF(M11="","",[1]!lastradeday_s(M11,$D$7))</f>
        <v>2024-12-09</v>
      </c>
      <c r="W11" s="23">
        <f ca="1">IF(M11="","",[1]!s_dq_close(M11,V11,3))</f>
        <v>52.68</v>
      </c>
      <c r="X11" s="25">
        <f ca="1">IF(M11="","",[1]!s_dq_pctchange(M11,V11))</f>
        <v>1.6595908915476754</v>
      </c>
      <c r="Y11" s="23">
        <f ca="1">IF(M11="","",[1]!hks_val_ev(M11,V11,"",100000000))</f>
        <v>1217.8215686579999</v>
      </c>
      <c r="Z11" s="23">
        <f ca="1">IF(M11="","",[1]!hks_val_mv_ard(M11,V11,"",100000000))</f>
        <v>1217.8215686579999</v>
      </c>
      <c r="AA11" s="23">
        <f ca="1">IF(M11="","",[1]!hks_fa_eps_basic(M11,[1]!s_fa_latelyrd_bt(M11,V11),""))</f>
        <v>-0.1489</v>
      </c>
      <c r="AB11" s="23">
        <f ca="1">IF(M11="","",[1]!hks_val_pe_ttm(M11,V11))</f>
        <v>568.42059326171875</v>
      </c>
      <c r="AC11" s="23">
        <f ca="1">IF(M11="","",[1]!pb_mrq(M11,V11))</f>
        <v>7.385927181598162</v>
      </c>
      <c r="AD11" s="23">
        <f ca="1">IF(M11="","",[1]!s_val_evtoebitda2(M11,V11))</f>
        <v>59.525165980425221</v>
      </c>
      <c r="AE11" s="23">
        <f ca="1">IF(M11="","",[1]!hks_fa_roa2(M11,[1]!s_fa_latelyrd_bt(M11,V11)))</f>
        <v>-1.3872</v>
      </c>
      <c r="AF11" s="23">
        <f ca="1">IF(M11="","",[1]!hks_fa_roe(M11,[1]!s_fa_latelyrd_bt(M11,V11)))</f>
        <v>-2.0507</v>
      </c>
      <c r="AG11" s="23">
        <f ca="1">IF(M11="","",[1]!s_share_total(M11,V11,100000000))</f>
        <v>23.117341849999999</v>
      </c>
      <c r="AH11" s="23">
        <f ca="1">IF(M11="","",[1]!hks_share_total(M11,V11,100000000))</f>
        <v>23.117341849999999</v>
      </c>
      <c r="AI11" s="23">
        <f ca="1">IF(M11="","",[1]!hks_share_totala(M11,V11,100000000))</f>
        <v>23.117341849999999</v>
      </c>
      <c r="AJ11" s="23">
        <f ca="1">IF(M11="","",[1]!hks_share_totalb(M11,V11,100000000))</f>
        <v>0</v>
      </c>
      <c r="AK11" s="23">
        <f ca="1">IF(M11="","",[1]!hks_share_h(M11,V11,100000000))</f>
        <v>0</v>
      </c>
      <c r="AL11" s="23">
        <f ca="1">IF(M11="","",[1]!hks_share_oversea(M11,V11,100000000))</f>
        <v>0</v>
      </c>
      <c r="AM11" s="23" t="str">
        <f ca="1">IF(M11="","",[1]!hks_holder_name(M11,V11,1))</f>
        <v>中国移动通信有限公司</v>
      </c>
      <c r="AN11" s="23">
        <f ca="1">IF(M11="","",[1]!hks_holder_quantity(M11,V11,1,10000))</f>
        <v>23180.049500000001</v>
      </c>
      <c r="AO11" s="23">
        <f ca="1">IF(M11="","",[1]!hks_holder_pct(M11,V11,1))</f>
        <v>10.029999732971191</v>
      </c>
      <c r="AP11" s="23" t="str">
        <f ca="1">IF(M11="","",[1]!s_esg_rating_wind(M11,V11))</f>
        <v>AAA</v>
      </c>
      <c r="AQ11" s="23">
        <f ca="1">IF(M11="","",[1]!s_esg_score_wind(M11,V11))</f>
        <v>9.07</v>
      </c>
      <c r="AR11" s="6"/>
    </row>
    <row r="12" spans="1:86" s="2" customFormat="1" x14ac:dyDescent="0.2">
      <c r="B12" s="6"/>
      <c r="C12" s="8"/>
      <c r="D12" s="8"/>
      <c r="E12" s="8"/>
      <c r="F12" s="8"/>
      <c r="G12" s="8"/>
      <c r="H12" s="8"/>
      <c r="I12" s="8"/>
      <c r="J12" s="6"/>
      <c r="L12" s="6"/>
      <c r="M12" s="28" t="s">
        <v>3</v>
      </c>
      <c r="N12" s="19" t="str">
        <f>IF(M12="","",[1]!hks_info_name(M12))</f>
        <v>白云机场</v>
      </c>
      <c r="O12" s="18" t="str">
        <f>IF(M12="","",[1]!s_ipo_listeddate(M12))</f>
        <v>2003-04-28</v>
      </c>
      <c r="P12" s="19" t="str">
        <f>IF(M12="","",[1]!s_info_exchmarket(M12))</f>
        <v>上海</v>
      </c>
      <c r="Q12" s="19" t="str">
        <f>IF(M12="","",[1]!s_info_mkt(M12))</f>
        <v>主板</v>
      </c>
      <c r="R12" s="19" t="str">
        <f>IF(M12="","",[1]!hks_info_isincode(M12))</f>
        <v>CNE000001DX0</v>
      </c>
      <c r="S12" s="19" t="str">
        <f>IF(M12="","",[1]!s_info_province(M12))</f>
        <v>广东省</v>
      </c>
      <c r="T12" s="19" t="str">
        <f>IF(M12="","",[1]!s_info_city(M12))</f>
        <v>广州市</v>
      </c>
      <c r="U12" s="19" t="str">
        <f>IF(M12="","",[1]!s_info_industry_gics(M12,9))</f>
        <v>工业--运输--交通基础设施--机场服务</v>
      </c>
      <c r="V12" s="21" t="str">
        <f ca="1">IF(M12="","",[1]!lastradeday_s(M12,$D$7))</f>
        <v>2024-12-09</v>
      </c>
      <c r="W12" s="23">
        <f ca="1">IF(M12="","",[1]!s_dq_close(M12,V12,3))</f>
        <v>9.85</v>
      </c>
      <c r="X12" s="25">
        <f ca="1">IF(M12="","",[1]!s_dq_pctchange(M12,V12))</f>
        <v>-0.10141987829613566</v>
      </c>
      <c r="Y12" s="23">
        <f ca="1">IF(M12="","",[1]!hks_val_ev(M12,V12,"",100000000))</f>
        <v>233.1217508755</v>
      </c>
      <c r="Z12" s="23">
        <f ca="1">IF(M12="","",[1]!hks_val_mv_ard(M12,V12,"",100000000))</f>
        <v>233.1217508755</v>
      </c>
      <c r="AA12" s="23">
        <f ca="1">IF(M12="","",[1]!hks_fa_eps_basic(M12,[1]!s_fa_latelyrd_bt(M12,V12),""))</f>
        <v>0.28000000000000003</v>
      </c>
      <c r="AB12" s="23">
        <f ca="1">IF(M12="","",[1]!hks_val_pe_ttm(M12,V12))</f>
        <v>27.892938613891602</v>
      </c>
      <c r="AC12" s="23">
        <f ca="1">IF(M12="","",[1]!pb_mrq(M12,V12))</f>
        <v>1.2892619764254887</v>
      </c>
      <c r="AD12" s="23">
        <f ca="1">IF(M12="","",[1]!s_val_evtoebitda2(M12,V12))</f>
        <v>8.8978944188273239</v>
      </c>
      <c r="AE12" s="23">
        <f ca="1">IF(M12="","",[1]!hks_fa_roa2(M12,[1]!s_fa_latelyrd_bt(M12,V12)))</f>
        <v>3.5914000000000001</v>
      </c>
      <c r="AF12" s="23">
        <f ca="1">IF(M12="","",[1]!hks_fa_roe(M12,[1]!s_fa_latelyrd_bt(M12,V12)))</f>
        <v>3.7446000000000002</v>
      </c>
      <c r="AG12" s="23">
        <f ca="1">IF(M12="","",[1]!s_share_total(M12,V12,100000000))</f>
        <v>23.667182830000002</v>
      </c>
      <c r="AH12" s="23">
        <f ca="1">IF(M12="","",[1]!hks_share_total(M12,V12,100000000))</f>
        <v>23.667182830000002</v>
      </c>
      <c r="AI12" s="23">
        <f ca="1">IF(M12="","",[1]!hks_share_totala(M12,V12,100000000))</f>
        <v>23.667182830000002</v>
      </c>
      <c r="AJ12" s="23">
        <f ca="1">IF(M12="","",[1]!hks_share_totalb(M12,V12,100000000))</f>
        <v>0</v>
      </c>
      <c r="AK12" s="23">
        <f ca="1">IF(M12="","",[1]!hks_share_h(M12,V12,100000000))</f>
        <v>0</v>
      </c>
      <c r="AL12" s="23">
        <f ca="1">IF(M12="","",[1]!hks_share_oversea(M12,V12,100000000))</f>
        <v>0</v>
      </c>
      <c r="AM12" s="23" t="str">
        <f ca="1">IF(M12="","",[1]!hks_holder_name(M12,V12,1))</f>
        <v>广东省机场管理集团有限公司</v>
      </c>
      <c r="AN12" s="23">
        <f ca="1">IF(M12="","",[1]!hks_holder_quantity(M12,V12,1,10000))</f>
        <v>135374.4552</v>
      </c>
      <c r="AO12" s="23">
        <f ca="1">IF(M12="","",[1]!hks_holder_pct(M12,V12,1))</f>
        <v>57.200000762939453</v>
      </c>
      <c r="AP12" s="23" t="str">
        <f ca="1">IF(M12="","",[1]!s_esg_rating_wind(M12,V12))</f>
        <v>BBB</v>
      </c>
      <c r="AQ12" s="23">
        <f ca="1">IF(M12="","",[1]!s_esg_score_wind(M12,V12))</f>
        <v>6.59</v>
      </c>
      <c r="AR12" s="6"/>
    </row>
    <row r="13" spans="1:86" s="2" customFormat="1" x14ac:dyDescent="0.2">
      <c r="B13" s="6"/>
      <c r="C13" s="53" t="s">
        <v>170</v>
      </c>
      <c r="D13" s="8"/>
      <c r="E13" s="8"/>
      <c r="F13" s="8"/>
      <c r="G13" s="8"/>
      <c r="H13" s="8"/>
      <c r="I13" s="8"/>
      <c r="J13" s="6"/>
      <c r="L13" s="6"/>
      <c r="M13" s="28" t="s">
        <v>4</v>
      </c>
      <c r="N13" s="19" t="str">
        <f>IF(M13="","",[1]!hks_info_name(M13))</f>
        <v>东风股份</v>
      </c>
      <c r="O13" s="18" t="str">
        <f>IF(M13="","",[1]!s_ipo_listeddate(M13))</f>
        <v>1999-07-27</v>
      </c>
      <c r="P13" s="19" t="str">
        <f>IF(M13="","",[1]!s_info_exchmarket(M13))</f>
        <v>上海</v>
      </c>
      <c r="Q13" s="19" t="str">
        <f>IF(M13="","",[1]!s_info_mkt(M13))</f>
        <v>主板</v>
      </c>
      <c r="R13" s="19" t="str">
        <f>IF(M13="","",[1]!hks_info_isincode(M13))</f>
        <v>CNE000000ZT3</v>
      </c>
      <c r="S13" s="19" t="str">
        <f>IF(M13="","",[1]!s_info_province(M13))</f>
        <v>湖北省</v>
      </c>
      <c r="T13" s="19" t="str">
        <f>IF(M13="","",[1]!s_info_city(M13))</f>
        <v>襄阳市</v>
      </c>
      <c r="U13" s="19" t="str">
        <f>IF(M13="","",[1]!s_info_industry_gics(M13,9))</f>
        <v>可选消费--汽车与汽车零部件--汽车--汽车制造</v>
      </c>
      <c r="V13" s="21" t="str">
        <f ca="1">IF(M13="","",[1]!lastradeday_s(M13,$D$7))</f>
        <v>2024-12-09</v>
      </c>
      <c r="W13" s="23">
        <f ca="1">IF(M13="","",[1]!s_dq_close(M13,V13,3))</f>
        <v>7.86</v>
      </c>
      <c r="X13" s="25">
        <f ca="1">IF(M13="","",[1]!s_dq_pctchange(M13,V13))</f>
        <v>4.3824701195219085</v>
      </c>
      <c r="Y13" s="23">
        <f ca="1">IF(M13="","",[1]!hks_val_ev(M13,V13,"",100000000))</f>
        <v>157.19999999999999</v>
      </c>
      <c r="Z13" s="23">
        <f ca="1">IF(M13="","",[1]!hks_val_mv_ard(M13,V13,"",100000000))</f>
        <v>157.19999999999999</v>
      </c>
      <c r="AA13" s="23">
        <f ca="1">IF(M13="","",[1]!hks_fa_eps_basic(M13,[1]!s_fa_latelyrd_bt(M13,V13),""))</f>
        <v>-5.7299999999999997E-2</v>
      </c>
      <c r="AB13" s="23">
        <f ca="1">IF(M13="","",[1]!hks_val_pe_ttm(M13,V13))</f>
        <v>326.86746215820313</v>
      </c>
      <c r="AC13" s="23">
        <f ca="1">IF(M13="","",[1]!pb_mrq(M13,V13))</f>
        <v>1.9324398666195166</v>
      </c>
      <c r="AD13" s="23">
        <f ca="1">IF(M13="","",[1]!s_val_evtoebitda2(M13,V13))</f>
        <v>-68.989772101053575</v>
      </c>
      <c r="AE13" s="23">
        <f ca="1">IF(M13="","",[1]!hks_fa_roa2(M13,[1]!s_fa_latelyrd_bt(M13,V13)))</f>
        <v>-0.58679999999999999</v>
      </c>
      <c r="AF13" s="23">
        <f ca="1">IF(M13="","",[1]!hks_fa_roe(M13,[1]!s_fa_latelyrd_bt(M13,V13)))</f>
        <v>-1.3943000000000001</v>
      </c>
      <c r="AG13" s="23">
        <f ca="1">IF(M13="","",[1]!s_share_total(M13,V13,100000000))</f>
        <v>20</v>
      </c>
      <c r="AH13" s="23">
        <f ca="1">IF(M13="","",[1]!hks_share_total(M13,V13,100000000))</f>
        <v>20</v>
      </c>
      <c r="AI13" s="23">
        <f ca="1">IF(M13="","",[1]!hks_share_totala(M13,V13,100000000))</f>
        <v>20</v>
      </c>
      <c r="AJ13" s="23">
        <f ca="1">IF(M13="","",[1]!hks_share_totalb(M13,V13,100000000))</f>
        <v>0</v>
      </c>
      <c r="AK13" s="23">
        <f ca="1">IF(M13="","",[1]!hks_share_h(M13,V13,100000000))</f>
        <v>0</v>
      </c>
      <c r="AL13" s="23">
        <f ca="1">IF(M13="","",[1]!hks_share_oversea(M13,V13,100000000))</f>
        <v>0</v>
      </c>
      <c r="AM13" s="23" t="str">
        <f ca="1">IF(M13="","",[1]!hks_holder_name(M13,V13,1))</f>
        <v>东风汽车集团股份有限公司</v>
      </c>
      <c r="AN13" s="23">
        <f ca="1">IF(M13="","",[1]!hks_holder_quantity(M13,V13,1,10000))</f>
        <v>110000</v>
      </c>
      <c r="AO13" s="23">
        <f ca="1">IF(M13="","",[1]!hks_holder_pct(M13,V13,1))</f>
        <v>55</v>
      </c>
      <c r="AP13" s="23" t="str">
        <f ca="1">IF(M13="","",[1]!s_esg_rating_wind(M13,V13))</f>
        <v>BBB</v>
      </c>
      <c r="AQ13" s="23">
        <f ca="1">IF(M13="","",[1]!s_esg_score_wind(M13,V13))</f>
        <v>6.24</v>
      </c>
      <c r="AR13" s="6"/>
    </row>
    <row r="14" spans="1:86" s="2" customFormat="1" x14ac:dyDescent="0.2">
      <c r="B14" s="6"/>
      <c r="C14" s="8"/>
      <c r="D14" s="8"/>
      <c r="E14" s="8"/>
      <c r="F14" s="8"/>
      <c r="G14" s="8"/>
      <c r="H14" s="8"/>
      <c r="I14" s="8"/>
      <c r="J14" s="6"/>
      <c r="L14" s="6"/>
      <c r="M14" s="28" t="s">
        <v>5</v>
      </c>
      <c r="N14" s="19" t="str">
        <f>IF(M14="","",[1]!hks_info_name(M14))</f>
        <v>中国国贸</v>
      </c>
      <c r="O14" s="18" t="str">
        <f>IF(M14="","",[1]!s_ipo_listeddate(M14))</f>
        <v>1999-03-12</v>
      </c>
      <c r="P14" s="19" t="str">
        <f>IF(M14="","",[1]!s_info_exchmarket(M14))</f>
        <v>上海</v>
      </c>
      <c r="Q14" s="19" t="str">
        <f>IF(M14="","",[1]!s_info_mkt(M14))</f>
        <v>主板</v>
      </c>
      <c r="R14" s="19" t="str">
        <f>IF(M14="","",[1]!hks_info_isincode(M14))</f>
        <v>CNE000000YH1</v>
      </c>
      <c r="S14" s="19" t="str">
        <f>IF(M14="","",[1]!s_info_province(M14))</f>
        <v>北京</v>
      </c>
      <c r="T14" s="19" t="str">
        <f>IF(M14="","",[1]!s_info_city(M14))</f>
        <v>北京市</v>
      </c>
      <c r="U14" s="19" t="str">
        <f>IF(M14="","",[1]!s_info_industry_gics(M14,9))</f>
        <v>房地产--房地产Ⅱ--房地产管理和开发--房地产经营公司</v>
      </c>
      <c r="V14" s="21" t="str">
        <f ca="1">IF(M14="","",[1]!lastradeday_s(M14,$D$7))</f>
        <v>2024-12-09</v>
      </c>
      <c r="W14" s="23">
        <f ca="1">IF(M14="","",[1]!s_dq_close(M14,V14,3))</f>
        <v>22.8</v>
      </c>
      <c r="X14" s="25">
        <f ca="1">IF(M14="","",[1]!s_dq_pctchange(M14,V14))</f>
        <v>4.3878894251871817E-2</v>
      </c>
      <c r="Y14" s="23">
        <f ca="1">IF(M14="","",[1]!hks_val_ev(M14,V14,"",100000000))</f>
        <v>229.660417752</v>
      </c>
      <c r="Z14" s="23">
        <f ca="1">IF(M14="","",[1]!hks_val_mv_ard(M14,V14,"",100000000))</f>
        <v>229.660417752</v>
      </c>
      <c r="AA14" s="23">
        <f ca="1">IF(M14="","",[1]!hks_fa_eps_basic(M14,[1]!s_fa_latelyrd_bt(M14,V14),""))</f>
        <v>1.01</v>
      </c>
      <c r="AB14" s="23">
        <f ca="1">IF(M14="","",[1]!hks_val_pe_ttm(M14,V14))</f>
        <v>18.005088806152344</v>
      </c>
      <c r="AC14" s="23">
        <f ca="1">IF(M14="","",[1]!pb_mrq(M14,V14))</f>
        <v>2.4407807568248865</v>
      </c>
      <c r="AD14" s="23">
        <f ca="1">IF(M14="","",[1]!s_val_evtoebitda2(M14,V14))</f>
        <v>9.3374360105326044</v>
      </c>
      <c r="AE14" s="23">
        <f ca="1">IF(M14="","",[1]!hks_fa_roa2(M14,[1]!s_fa_latelyrd_bt(M14,V14)))</f>
        <v>10.869199999999999</v>
      </c>
      <c r="AF14" s="23">
        <f ca="1">IF(M14="","",[1]!hks_fa_roe(M14,[1]!s_fa_latelyrd_bt(M14,V14)))</f>
        <v>10.6608</v>
      </c>
      <c r="AG14" s="23">
        <f ca="1">IF(M14="","",[1]!s_share_total(M14,V14,100000000))</f>
        <v>10.07282534</v>
      </c>
      <c r="AH14" s="23">
        <f ca="1">IF(M14="","",[1]!hks_share_total(M14,V14,100000000))</f>
        <v>10.07282534</v>
      </c>
      <c r="AI14" s="23">
        <f ca="1">IF(M14="","",[1]!hks_share_totala(M14,V14,100000000))</f>
        <v>10.07282534</v>
      </c>
      <c r="AJ14" s="23">
        <f ca="1">IF(M14="","",[1]!hks_share_totalb(M14,V14,100000000))</f>
        <v>0</v>
      </c>
      <c r="AK14" s="23">
        <f ca="1">IF(M14="","",[1]!hks_share_h(M14,V14,100000000))</f>
        <v>0</v>
      </c>
      <c r="AL14" s="23">
        <f ca="1">IF(M14="","",[1]!hks_share_oversea(M14,V14,100000000))</f>
        <v>0</v>
      </c>
      <c r="AM14" s="23" t="str">
        <f ca="1">IF(M14="","",[1]!hks_holder_name(M14,V14,1))</f>
        <v>中国国际贸易中心有限公司</v>
      </c>
      <c r="AN14" s="23">
        <f ca="1">IF(M14="","",[1]!hks_holder_quantity(M14,V14,1,10000))</f>
        <v>81236.024099999995</v>
      </c>
      <c r="AO14" s="23">
        <f ca="1">IF(M14="","",[1]!hks_holder_pct(M14,V14,1))</f>
        <v>80.650001525878906</v>
      </c>
      <c r="AP14" s="23" t="str">
        <f ca="1">IF(M14="","",[1]!s_esg_rating_wind(M14,V14))</f>
        <v>B</v>
      </c>
      <c r="AQ14" s="23">
        <f ca="1">IF(M14="","",[1]!s_esg_score_wind(M14,V14))</f>
        <v>4.62</v>
      </c>
      <c r="AR14" s="6"/>
    </row>
    <row r="15" spans="1:86" s="2" customFormat="1" x14ac:dyDescent="0.2">
      <c r="C15" s="30"/>
      <c r="D15" s="30"/>
      <c r="E15" s="30"/>
      <c r="F15" s="30"/>
      <c r="G15" s="30"/>
      <c r="H15" s="30"/>
      <c r="I15" s="30"/>
      <c r="L15" s="6"/>
      <c r="M15" s="28" t="s">
        <v>223</v>
      </c>
      <c r="N15" s="19" t="str">
        <f>IF(M15="","",[1]!hks_info_name(M15))</f>
        <v>中国移动</v>
      </c>
      <c r="O15" s="18" t="str">
        <f>IF(M15="","",[1]!s_ipo_listeddate(M15))</f>
        <v>2022-01-05</v>
      </c>
      <c r="P15" s="19" t="str">
        <f>IF(M15="","",[1]!s_info_exchmarket(M15))</f>
        <v>上海</v>
      </c>
      <c r="Q15" s="19" t="str">
        <f>IF(M15="","",[1]!s_info_mkt(M15))</f>
        <v>主板</v>
      </c>
      <c r="R15" s="19" t="str">
        <f>IF(M15="","",[1]!hks_info_isincode(M15))</f>
        <v>CNE1000055G1</v>
      </c>
      <c r="S15" s="19" t="str">
        <f>IF(M15="","",[1]!s_info_province(M15))</f>
        <v>北京</v>
      </c>
      <c r="T15" s="19" t="str">
        <f>IF(M15="","",[1]!s_info_city(M15))</f>
        <v>北京市</v>
      </c>
      <c r="U15" s="19" t="str">
        <f>IF(M15="","",[1]!s_info_industry_gics(M15,9))</f>
        <v>电信服务--电信服务Ⅱ--多元电信服务--综合电信服务</v>
      </c>
      <c r="V15" s="21" t="str">
        <f ca="1">IF(M15="","",[1]!lastradeday_s(M15,$D$7))</f>
        <v>2024-12-09</v>
      </c>
      <c r="W15" s="23">
        <f ca="1">IF(M15="","",[1]!s_dq_close(M15,V15,3))</f>
        <v>107.29</v>
      </c>
      <c r="X15" s="25">
        <f ca="1">IF(M15="","",[1]!s_dq_pctchange(M15,V15))</f>
        <v>6.5286327177765474E-2</v>
      </c>
      <c r="Y15" s="23">
        <f ca="1">IF(M15="","",[1]!hks_val_ev(M15,V15,"",100000000))</f>
        <v>14793.59400094271</v>
      </c>
      <c r="Z15" s="23">
        <f ca="1">IF(M15="","",[1]!hks_val_mv_ard(M15,V15,"",100000000))</f>
        <v>23053.510444028405</v>
      </c>
      <c r="AA15" s="23">
        <f ca="1">IF(M15="","",[1]!hks_fa_eps_basic(M15,[1]!s_fa_latelyrd_bt(M15,V15),""))</f>
        <v>5.18</v>
      </c>
      <c r="AB15" s="23">
        <f ca="1">IF(M15="","",[1]!hks_val_pe_ttm(M15,V15))</f>
        <v>16.810079574584961</v>
      </c>
      <c r="AC15" s="23">
        <f ca="1">IF(M15="","",[1]!pb_mrq(M15,V15))</f>
        <v>1.7395738009542734</v>
      </c>
      <c r="AD15" s="23">
        <f ca="1">IF(M15="","",[1]!s_val_evtoebitda2(M15,V15))</f>
        <v>4.012343717219208</v>
      </c>
      <c r="AE15" s="23">
        <f ca="1">IF(M15="","",[1]!hks_fa_roa2(M15,[1]!s_fa_latelyrd_bt(M15,V15)))</f>
        <v>6.42</v>
      </c>
      <c r="AF15" s="23">
        <f ca="1">IF(M15="","",[1]!hks_fa_roe(M15,[1]!s_fa_latelyrd_bt(M15,V15)))</f>
        <v>8.2065000000000001</v>
      </c>
      <c r="AG15" s="23">
        <f ca="1">IF(M15="","",[1]!s_share_total(M15,V15,100000000))</f>
        <v>214.87100795999999</v>
      </c>
      <c r="AH15" s="23">
        <f ca="1">IF(M15="","",[1]!hks_share_total(M15,V15,100000000))</f>
        <v>214.87100795999999</v>
      </c>
      <c r="AI15" s="23">
        <f ca="1">IF(M15="","",[1]!hks_share_totala(M15,V15,100000000))</f>
        <v>9.0276786700000002</v>
      </c>
      <c r="AJ15" s="23">
        <f ca="1">IF(M15="","",[1]!hks_share_totalb(M15,V15,100000000))</f>
        <v>0</v>
      </c>
      <c r="AK15" s="23">
        <f ca="1">IF(M15="","",[1]!hks_share_h(M15,V15,100000000))</f>
        <v>205.84332929000001</v>
      </c>
      <c r="AL15" s="23">
        <f ca="1">IF(M15="","",[1]!hks_share_oversea(M15,V15,100000000))</f>
        <v>0</v>
      </c>
      <c r="AM15" s="23" t="str">
        <f ca="1">IF(M15="","",[1]!hks_holder_name(M15,V15,1))</f>
        <v>中国移动香港(BVI)有限公司</v>
      </c>
      <c r="AN15" s="23">
        <f ca="1">IF(M15="","",[1]!hks_holder_quantity(M15,V15,1,10000))</f>
        <v>1489011.6842</v>
      </c>
      <c r="AO15" s="23">
        <f ca="1">IF(M15="","",[1]!hks_holder_pct(M15,V15,1))</f>
        <v>69.349998474121094</v>
      </c>
      <c r="AP15" s="23" t="str">
        <f ca="1">IF(M15="","",[1]!s_esg_rating_wind(M15,V15))</f>
        <v>AA</v>
      </c>
      <c r="AQ15" s="23">
        <f ca="1">IF(M15="","",[1]!s_esg_score_wind(M15,V15))</f>
        <v>8.48</v>
      </c>
      <c r="AR15" s="6"/>
    </row>
    <row r="16" spans="1:86" s="2" customFormat="1" x14ac:dyDescent="0.2">
      <c r="C16" s="30"/>
      <c r="D16" s="30"/>
      <c r="E16" s="30"/>
      <c r="F16" s="30"/>
      <c r="G16" s="30"/>
      <c r="H16" s="30"/>
      <c r="I16" s="30"/>
      <c r="L16" s="6"/>
      <c r="M16" s="28" t="s">
        <v>227</v>
      </c>
      <c r="N16" s="19" t="str">
        <f>IF(M16="","",[1]!hks_info_name(M16))</f>
        <v>汇顶科技</v>
      </c>
      <c r="O16" s="18" t="str">
        <f>IF(M16="","",[1]!s_ipo_listeddate(M16))</f>
        <v>2016-10-17</v>
      </c>
      <c r="P16" s="19" t="str">
        <f>IF(M16="","",[1]!s_info_exchmarket(M16))</f>
        <v>上海</v>
      </c>
      <c r="Q16" s="19" t="str">
        <f>IF(M16="","",[1]!s_info_mkt(M16))</f>
        <v>主板</v>
      </c>
      <c r="R16" s="19" t="str">
        <f>IF(M16="","",[1]!hks_info_isincode(M16))</f>
        <v>CNE100002G84</v>
      </c>
      <c r="S16" s="19" t="str">
        <f>IF(M16="","",[1]!s_info_province(M16))</f>
        <v>广东省</v>
      </c>
      <c r="T16" s="19" t="str">
        <f>IF(M16="","",[1]!s_info_city(M16))</f>
        <v>深圳市</v>
      </c>
      <c r="U16" s="19" t="str">
        <f>IF(M16="","",[1]!s_info_industry_gics(M16,9))</f>
        <v>信息技术--半导体与半导体生产设备--半导体产品与半导体设备--半导体产品</v>
      </c>
      <c r="V16" s="21" t="str">
        <f ca="1">IF(M16="","",[1]!lastradeday_s(M16,$D$7))</f>
        <v>2024-12-09</v>
      </c>
      <c r="W16" s="23">
        <f ca="1">IF(M16="","",[1]!s_dq_close(M16,V16,3))</f>
        <v>89.98</v>
      </c>
      <c r="X16" s="25">
        <f ca="1">IF(M16="","",[1]!s_dq_pctchange(M16,V16))</f>
        <v>10.000000000000004</v>
      </c>
      <c r="Y16" s="23">
        <f ca="1">IF(M16="","",[1]!hks_val_ev(M16,V16,"",100000000))</f>
        <v>412.34754884400002</v>
      </c>
      <c r="Z16" s="23">
        <f ca="1">IF(M16="","",[1]!hks_val_mv_ard(M16,V16,"",100000000))</f>
        <v>412.34754884400002</v>
      </c>
      <c r="AA16" s="23">
        <f ca="1">IF(M16="","",[1]!hks_fa_eps_basic(M16,[1]!s_fa_latelyrd_bt(M16,V16),""))</f>
        <v>0.98</v>
      </c>
      <c r="AB16" s="23">
        <f ca="1">IF(M16="","",[1]!hks_val_pe_ttm(M16,V16))</f>
        <v>68.642333984375</v>
      </c>
      <c r="AC16" s="23">
        <f ca="1">IF(M16="","",[1]!pb_mrq(M16,V16))</f>
        <v>4.8911094946230866</v>
      </c>
      <c r="AD16" s="23">
        <f ca="1">IF(M16="","",[1]!s_val_evtoebitda2(M16,V16))</f>
        <v>70.516107507885579</v>
      </c>
      <c r="AE16" s="23">
        <f ca="1">IF(M16="","",[1]!hks_fa_roa2(M16,[1]!s_fa_latelyrd_bt(M16,V16)))</f>
        <v>5.3144999999999998</v>
      </c>
      <c r="AF16" s="23">
        <f ca="1">IF(M16="","",[1]!hks_fa_roe(M16,[1]!s_fa_latelyrd_bt(M16,V16)))</f>
        <v>5.4397000000000002</v>
      </c>
      <c r="AG16" s="23">
        <f ca="1">IF(M16="","",[1]!s_share_total(M16,V16,100000000))</f>
        <v>4.5826577999999998</v>
      </c>
      <c r="AH16" s="23">
        <f ca="1">IF(M16="","",[1]!hks_share_total(M16,V16,100000000))</f>
        <v>4.5826577999999998</v>
      </c>
      <c r="AI16" s="23">
        <f ca="1">IF(M16="","",[1]!hks_share_totala(M16,V16,100000000))</f>
        <v>4.5826577999999998</v>
      </c>
      <c r="AJ16" s="23">
        <f ca="1">IF(M16="","",[1]!hks_share_totalb(M16,V16,100000000))</f>
        <v>0</v>
      </c>
      <c r="AK16" s="23">
        <f ca="1">IF(M16="","",[1]!hks_share_h(M16,V16,100000000))</f>
        <v>0</v>
      </c>
      <c r="AL16" s="23">
        <f ca="1">IF(M16="","",[1]!hks_share_oversea(M16,V16,100000000))</f>
        <v>0</v>
      </c>
      <c r="AM16" s="23" t="str">
        <f ca="1">IF(M16="","",[1]!hks_holder_name(M16,V16,1))</f>
        <v>张帆</v>
      </c>
      <c r="AN16" s="23">
        <f ca="1">IF(M16="","",[1]!hks_holder_quantity(M16,V16,1,10000))</f>
        <v>20629.637599999998</v>
      </c>
      <c r="AO16" s="23">
        <f ca="1">IF(M16="","",[1]!hks_holder_pct(M16,V16,1))</f>
        <v>45.016799926757813</v>
      </c>
      <c r="AP16" s="23" t="str">
        <f ca="1">IF(M16="","",[1]!s_esg_rating_wind(M16,V16))</f>
        <v>B</v>
      </c>
      <c r="AQ16" s="23">
        <f ca="1">IF(M16="","",[1]!s_esg_score_wind(M16,V16))</f>
        <v>4.6399999999999997</v>
      </c>
      <c r="AR16" s="6"/>
    </row>
    <row r="17" spans="3:44" s="2" customFormat="1" x14ac:dyDescent="0.2">
      <c r="C17" s="30"/>
      <c r="D17" s="30"/>
      <c r="E17" s="30"/>
      <c r="F17" s="30"/>
      <c r="G17" s="30"/>
      <c r="H17" s="30"/>
      <c r="I17" s="30"/>
      <c r="L17" s="6"/>
      <c r="M17" s="28" t="s">
        <v>228</v>
      </c>
      <c r="N17" s="19" t="str">
        <f>IF(M17="","",[1]!hks_info_name(M17))</f>
        <v>金山办公</v>
      </c>
      <c r="O17" s="18" t="str">
        <f>IF(M17="","",[1]!s_ipo_listeddate(M17))</f>
        <v>2019-11-18</v>
      </c>
      <c r="P17" s="19" t="str">
        <f>IF(M17="","",[1]!s_info_exchmarket(M17))</f>
        <v>上海</v>
      </c>
      <c r="Q17" s="19" t="str">
        <f>IF(M17="","",[1]!s_info_mkt(M17))</f>
        <v>科创板</v>
      </c>
      <c r="R17" s="19" t="str">
        <f>IF(M17="","",[1]!hks_info_isincode(M17))</f>
        <v>CNE100003PM2</v>
      </c>
      <c r="S17" s="19" t="str">
        <f>IF(M17="","",[1]!s_info_province(M17))</f>
        <v>北京</v>
      </c>
      <c r="T17" s="19" t="str">
        <f>IF(M17="","",[1]!s_info_city(M17))</f>
        <v>北京市</v>
      </c>
      <c r="U17" s="19" t="str">
        <f>IF(M17="","",[1]!s_info_industry_gics(M17,9))</f>
        <v>信息技术--软件与服务--软件--应用软件</v>
      </c>
      <c r="V17" s="21" t="str">
        <f ca="1">IF(M17="","",[1]!lastradeday_s(M17,$D$7))</f>
        <v>2024-12-09</v>
      </c>
      <c r="W17" s="23">
        <f ca="1">IF(M17="","",[1]!s_dq_close(M17,V17,3))</f>
        <v>312.60000000000002</v>
      </c>
      <c r="X17" s="25">
        <f ca="1">IF(M17="","",[1]!s_dq_pctchange(M17,V17))</f>
        <v>4.1895810418958321</v>
      </c>
      <c r="Y17" s="23">
        <f ca="1">IF(M17="","",[1]!hks_val_ev(M17,V17,"",100000000))</f>
        <v>1445.8551600180001</v>
      </c>
      <c r="Z17" s="23">
        <f ca="1">IF(M17="","",[1]!hks_val_mv_ard(M17,V17,"",100000000))</f>
        <v>1445.8551600180001</v>
      </c>
      <c r="AA17" s="23">
        <f ca="1">IF(M17="","",[1]!hks_fa_eps_basic(M17,[1]!s_fa_latelyrd_bt(M17,V17),""))</f>
        <v>2.25</v>
      </c>
      <c r="AB17" s="23">
        <f ca="1">IF(M17="","",[1]!hks_val_pe_ttm(M17,V17))</f>
        <v>98.737564086914063</v>
      </c>
      <c r="AC17" s="23">
        <f ca="1">IF(M17="","",[1]!pb_mrq(M17,V17))</f>
        <v>13.507144933234633</v>
      </c>
      <c r="AD17" s="23">
        <f ca="1">IF(M17="","",[1]!s_val_evtoebitda2(M17,V17))</f>
        <v>118.53598644763592</v>
      </c>
      <c r="AE17" s="23">
        <f ca="1">IF(M17="","",[1]!hks_fa_roa2(M17,[1]!s_fa_latelyrd_bt(M17,V17)))</f>
        <v>7.6847000000000003</v>
      </c>
      <c r="AF17" s="23">
        <f ca="1">IF(M17="","",[1]!hks_fa_roe(M17,[1]!s_fa_latelyrd_bt(M17,V17)))</f>
        <v>10.069900000000001</v>
      </c>
      <c r="AG17" s="23">
        <f ca="1">IF(M17="","",[1]!s_share_total(M17,V17,100000000))</f>
        <v>4.6252564300000003</v>
      </c>
      <c r="AH17" s="23">
        <f ca="1">IF(M17="","",[1]!hks_share_total(M17,V17,100000000))</f>
        <v>4.6252564300000003</v>
      </c>
      <c r="AI17" s="23">
        <f ca="1">IF(M17="","",[1]!hks_share_totala(M17,V17,100000000))</f>
        <v>4.6252564300000003</v>
      </c>
      <c r="AJ17" s="23">
        <f ca="1">IF(M17="","",[1]!hks_share_totalb(M17,V17,100000000))</f>
        <v>0</v>
      </c>
      <c r="AK17" s="23">
        <f ca="1">IF(M17="","",[1]!hks_share_h(M17,V17,100000000))</f>
        <v>0</v>
      </c>
      <c r="AL17" s="23">
        <f ca="1">IF(M17="","",[1]!hks_share_oversea(M17,V17,100000000))</f>
        <v>0</v>
      </c>
      <c r="AM17" s="23" t="str">
        <f ca="1">IF(M17="","",[1]!hks_holder_name(M17,V17,1))</f>
        <v>Kingsoft WPS Corporation Limited</v>
      </c>
      <c r="AN17" s="23">
        <f ca="1">IF(M17="","",[1]!hks_holder_quantity(M17,V17,1,10000))</f>
        <v>23838.735100000002</v>
      </c>
      <c r="AO17" s="23">
        <f ca="1">IF(M17="","",[1]!hks_holder_pct(M17,V17,1))</f>
        <v>51.540000915527344</v>
      </c>
      <c r="AP17" s="23" t="str">
        <f ca="1">IF(M17="","",[1]!s_esg_rating_wind(M17,V17))</f>
        <v>AA</v>
      </c>
      <c r="AQ17" s="23">
        <f ca="1">IF(M17="","",[1]!s_esg_score_wind(M17,V17))</f>
        <v>8.4</v>
      </c>
      <c r="AR17" s="6"/>
    </row>
    <row r="18" spans="3:44" s="2" customFormat="1" x14ac:dyDescent="0.2">
      <c r="C18" s="30"/>
      <c r="D18" s="30"/>
      <c r="E18" s="30"/>
      <c r="F18" s="30"/>
      <c r="G18" s="30"/>
      <c r="H18" s="30"/>
      <c r="I18" s="30"/>
      <c r="L18" s="6"/>
      <c r="M18" s="29" t="s">
        <v>172</v>
      </c>
      <c r="N18" s="19" t="str">
        <f>IF(M18="","",[1]!hks_info_name(M18))</f>
        <v>腾讯控股</v>
      </c>
      <c r="O18" s="18" t="str">
        <f>IF(M18="","",[1]!s_ipo_listeddate(M18))</f>
        <v>2004-06-16</v>
      </c>
      <c r="P18" s="19" t="str">
        <f>IF(M18="","",[1]!s_info_exchmarket(M18))</f>
        <v>香港联交所</v>
      </c>
      <c r="Q18" s="19" t="str">
        <f>IF(M18="","",[1]!s_info_mkt(M18))</f>
        <v>主板</v>
      </c>
      <c r="R18" s="19" t="str">
        <f>IF(M18="","",[1]!hks_info_isincode(M18))</f>
        <v>KYG875721634</v>
      </c>
      <c r="S18" s="19" t="str">
        <f>IF(M18="","",[1]!s_info_province(M18))</f>
        <v>广东省</v>
      </c>
      <c r="T18" s="19" t="str">
        <f>IF(M18="","",[1]!s_info_city(M18))</f>
        <v>深圳市</v>
      </c>
      <c r="U18" s="19" t="str">
        <f>IF(M18="","",[1]!s_info_industry_gics(M18,9))</f>
        <v>信息技术--软件与服务--互联网软件与服务Ⅲ--互联网软件与服务</v>
      </c>
      <c r="V18" s="21" t="str">
        <f ca="1">IF(M18="","",[1]!lastradeday_s(M18,$D$7))</f>
        <v>2024-12-06</v>
      </c>
      <c r="W18" s="23">
        <f ca="1">IF(M18="","",[1]!s_dq_close(M18,V18,3))</f>
        <v>412.6</v>
      </c>
      <c r="X18" s="25">
        <f ca="1">IF(M18="","",[1]!s_dq_pctchange(M18,V18))</f>
        <v>1.8262586377097805</v>
      </c>
      <c r="Y18" s="23">
        <f ca="1">IF(M18="","",[1]!hks_val_ev(M18,V18,"",100000000))</f>
        <v>38237.595042100002</v>
      </c>
      <c r="Z18" s="23">
        <f ca="1">IF(M18="","",[1]!hks_val_mv_ard(M18,V18,"",100000000))</f>
        <v>38237.595042100002</v>
      </c>
      <c r="AA18" s="23">
        <f ca="1">IF(M18="","",[1]!hks_fa_eps_basic(M18,[1]!s_fa_latelyrd_bt(M18,V18),""))</f>
        <v>15.346</v>
      </c>
      <c r="AB18" s="23">
        <f ca="1">IF(M18="","",[1]!hks_val_pe_ttm(M18,V18))</f>
        <v>20.310695648193359</v>
      </c>
      <c r="AC18" s="23">
        <f ca="1">IF(M18="","",[1]!pb_mrq(M18,V18))</f>
        <v>3.8682324452563059</v>
      </c>
      <c r="AD18" s="23">
        <f ca="1">IF(M18="","",[1]!s_val_evtoebitda2(M18,V18))</f>
        <v>17.197140748144172</v>
      </c>
      <c r="AE18" s="23">
        <f ca="1">IF(M18="","",[1]!hks_fa_roa2(M18,[1]!s_fa_latelyrd_bt(M18,V18)))</f>
        <v>10.6412</v>
      </c>
      <c r="AF18" s="23">
        <f ca="1">IF(M18="","",[1]!hks_fa_roe(M18,[1]!s_fa_latelyrd_bt(M18,V18)))</f>
        <v>16.587399999999999</v>
      </c>
      <c r="AG18" s="23">
        <f ca="1">IF(M18="","",[1]!s_share_total(M18,V18,100000000))</f>
        <v>92.674733500000002</v>
      </c>
      <c r="AH18" s="23">
        <f ca="1">IF(M18="","",[1]!hks_share_total(M18,V18,100000000))</f>
        <v>92.674733500000002</v>
      </c>
      <c r="AI18" s="23">
        <f ca="1">IF(M18="","",[1]!hks_share_totala(M18,V18,100000000))</f>
        <v>0</v>
      </c>
      <c r="AJ18" s="23">
        <f ca="1">IF(M18="","",[1]!hks_share_totalb(M18,V18,100000000))</f>
        <v>0</v>
      </c>
      <c r="AK18" s="23">
        <f ca="1">IF(M18="","",[1]!hks_share_h(M18,V18,100000000))</f>
        <v>92.674733500000002</v>
      </c>
      <c r="AL18" s="23">
        <f ca="1">IF(M18="","",[1]!hks_share_oversea(M18,V18,100000000))</f>
        <v>0</v>
      </c>
      <c r="AM18" s="23" t="str">
        <f ca="1">IF(M18="","",[1]!hks_holder_name(M18,V18,1))</f>
        <v>MIH Internet Holdings B.V.</v>
      </c>
      <c r="AN18" s="23">
        <f ca="1">IF(M18="","",[1]!hks_holder_quantity(M18,V18,1,10000))</f>
        <v>228503.13</v>
      </c>
      <c r="AO18" s="23">
        <f ca="1">IF(M18="","",[1]!hks_holder_pct(M18,V18,1))</f>
        <v>24.43</v>
      </c>
      <c r="AP18" s="23" t="str">
        <f ca="1">IF(M18="","",[1]!s_esg_rating_wind(M18,V18))</f>
        <v>AA</v>
      </c>
      <c r="AQ18" s="23">
        <f ca="1">IF(M18="","",[1]!s_esg_score_wind(M18,V18))</f>
        <v>8.14</v>
      </c>
      <c r="AR18" s="6"/>
    </row>
    <row r="19" spans="3:44" s="2" customFormat="1" x14ac:dyDescent="0.2">
      <c r="C19" s="30"/>
      <c r="D19" s="30"/>
      <c r="E19" s="30"/>
      <c r="F19" s="30"/>
      <c r="G19" s="30"/>
      <c r="H19" s="30"/>
      <c r="I19" s="30"/>
      <c r="L19" s="6"/>
      <c r="M19" s="29" t="s">
        <v>229</v>
      </c>
      <c r="N19" s="19" t="str">
        <f>IF(M19="","",[1]!hks_info_name(M19))</f>
        <v>名创优品</v>
      </c>
      <c r="O19" s="18" t="str">
        <f>IF(M19="","",[1]!s_ipo_listeddate(M19))</f>
        <v>2022-07-13</v>
      </c>
      <c r="P19" s="19" t="str">
        <f>IF(M19="","",[1]!s_info_exchmarket(M19))</f>
        <v>香港联交所</v>
      </c>
      <c r="Q19" s="19" t="str">
        <f>IF(M19="","",[1]!s_info_mkt(M19))</f>
        <v>主板</v>
      </c>
      <c r="R19" s="19" t="str">
        <f>IF(M19="","",[1]!hks_info_isincode(M19))</f>
        <v>KYG6180F1081</v>
      </c>
      <c r="S19" s="19" t="str">
        <f>IF(M19="","",[1]!s_info_province(M19))</f>
        <v>广东省</v>
      </c>
      <c r="T19" s="19" t="str">
        <f>IF(M19="","",[1]!s_info_city(M19))</f>
        <v>广州市</v>
      </c>
      <c r="U19" s="19" t="str">
        <f>IF(M19="","",[1]!s_info_industry_gics(M19,9))</f>
        <v>可选消费--零售业--多元化零售--百货商店</v>
      </c>
      <c r="V19" s="21" t="str">
        <f ca="1">IF(M19="","",[1]!lastradeday_s(M19,$D$7))</f>
        <v>2024-12-06</v>
      </c>
      <c r="W19" s="23">
        <f ca="1">IF(M19="","",[1]!s_dq_close(M19,V19,3))</f>
        <v>47.4</v>
      </c>
      <c r="X19" s="25">
        <f ca="1">IF(M19="","",[1]!s_dq_pctchange(M19,V19))</f>
        <v>0.74388947927737703</v>
      </c>
      <c r="Y19" s="23">
        <f ca="1">IF(M19="","",[1]!hks_val_ev(M19,V19,"",100000000))</f>
        <v>595.47673753799995</v>
      </c>
      <c r="Z19" s="23">
        <f ca="1">IF(M19="","",[1]!hks_val_mv_ard(M19,V19,"",100000000))</f>
        <v>595.47673754000004</v>
      </c>
      <c r="AA19" s="23">
        <f ca="1">IF(M19="","",[1]!hks_fa_eps_basic(M19,[1]!s_fa_latelyrd_bt(M19,V19),""))</f>
        <v>1.46</v>
      </c>
      <c r="AB19" s="23">
        <f ca="1">IF(M19="","",[1]!hks_val_pe_ttm(M19,V19))</f>
        <v>22.843326568603516</v>
      </c>
      <c r="AC19" s="23">
        <f ca="1">IF(M19="","",[1]!pb_mrq(M19,V19))</f>
        <v>5.7716712334513778</v>
      </c>
      <c r="AD19" s="23">
        <f ca="1">IF(M19="","",[1]!s_val_evtoebitda2(M19,V19))</f>
        <v>0</v>
      </c>
      <c r="AE19" s="23">
        <f ca="1">IF(M19="","",[1]!hks_fa_roa2(M19,[1]!s_fa_latelyrd_bt(M19,V19)))</f>
        <v>15.620699999999999</v>
      </c>
      <c r="AF19" s="23">
        <f ca="1">IF(M19="","",[1]!hks_fa_roe(M19,[1]!s_fa_latelyrd_bt(M19,V19)))</f>
        <v>19.385400000000001</v>
      </c>
      <c r="AG19" s="23">
        <f ca="1">IF(M19="","",[1]!s_share_total(M19,V19,100000000))</f>
        <v>12.56280037</v>
      </c>
      <c r="AH19" s="23">
        <f ca="1">IF(M19="","",[1]!hks_share_total(M19,V19,100000000))</f>
        <v>12.56280037</v>
      </c>
      <c r="AI19" s="23">
        <f ca="1">IF(M19="","",[1]!hks_share_totala(M19,V19,100000000))</f>
        <v>0</v>
      </c>
      <c r="AJ19" s="23">
        <f ca="1">IF(M19="","",[1]!hks_share_totalb(M19,V19,100000000))</f>
        <v>0</v>
      </c>
      <c r="AK19" s="23">
        <f ca="1">IF(M19="","",[1]!hks_share_h(M19,V19,100000000))</f>
        <v>12.56280037</v>
      </c>
      <c r="AL19" s="23">
        <f ca="1">IF(M19="","",[1]!hks_share_oversea(M19,V19,100000000))</f>
        <v>0</v>
      </c>
      <c r="AM19" s="23" t="str">
        <f ca="1">IF(M19="","",[1]!hks_holder_name(M19,V19,1))</f>
        <v>Mini Investment Limited</v>
      </c>
      <c r="AN19" s="23">
        <f ca="1">IF(M19="","",[1]!hks_holder_quantity(M19,V19,1,10000))</f>
        <v>32829.048199999997</v>
      </c>
      <c r="AO19" s="23">
        <f ca="1">IF(M19="","",[1]!hks_holder_pct(M19,V19,1))</f>
        <v>26.1</v>
      </c>
      <c r="AP19" s="23" t="str">
        <f ca="1">IF(M19="","",[1]!s_esg_rating_wind(M19,V19))</f>
        <v>AA</v>
      </c>
      <c r="AQ19" s="23">
        <f ca="1">IF(M19="","",[1]!s_esg_score_wind(M19,V19))</f>
        <v>7.97</v>
      </c>
      <c r="AR19" s="6"/>
    </row>
    <row r="20" spans="3:44" s="2" customFormat="1" x14ac:dyDescent="0.2">
      <c r="C20" s="30"/>
      <c r="D20" s="30"/>
      <c r="E20" s="30"/>
      <c r="F20" s="30"/>
      <c r="G20" s="30"/>
      <c r="H20" s="30"/>
      <c r="I20" s="30"/>
      <c r="L20" s="6"/>
      <c r="M20" s="29" t="s">
        <v>232</v>
      </c>
      <c r="N20" s="19" t="str">
        <f>IF(M20="","",[1]!hks_info_name(M20))</f>
        <v>网易-S</v>
      </c>
      <c r="O20" s="18" t="str">
        <f>IF(M20="","",[1]!s_ipo_listeddate(M20))</f>
        <v>2020-06-11</v>
      </c>
      <c r="P20" s="19" t="str">
        <f>IF(M20="","",[1]!s_info_exchmarket(M20))</f>
        <v>香港联交所</v>
      </c>
      <c r="Q20" s="19" t="str">
        <f>IF(M20="","",[1]!s_info_mkt(M20))</f>
        <v>主板</v>
      </c>
      <c r="R20" s="19" t="str">
        <f>IF(M20="","",[1]!hks_info_isincode(M20))</f>
        <v>KYG6427A1022</v>
      </c>
      <c r="S20" s="19" t="str">
        <f>IF(M20="","",[1]!s_info_province(M20))</f>
        <v>浙江省</v>
      </c>
      <c r="T20" s="19" t="str">
        <f>IF(M20="","",[1]!s_info_city(M20))</f>
        <v>杭州市</v>
      </c>
      <c r="U20" s="19" t="str">
        <f>IF(M20="","",[1]!s_info_industry_gics(M20,9))</f>
        <v>信息技术--软件与服务--互联网软件与服务Ⅲ--互联网软件与服务</v>
      </c>
      <c r="V20" s="21" t="str">
        <f ca="1">IF(M20="","",[1]!lastradeday_s(M20,$D$7))</f>
        <v>2024-12-09</v>
      </c>
      <c r="W20" s="23">
        <f ca="1">IF(M20="","",[1]!s_dq_close(M20,V20,3))</f>
        <v>150.9</v>
      </c>
      <c r="X20" s="25">
        <f ca="1">IF(M20="","",[1]!s_dq_pctchange(M20,V20))</f>
        <v>6.0435699226985236</v>
      </c>
      <c r="Y20" s="23">
        <f ca="1">IF(M20="","",[1]!hks_val_ev(M20,V20,"",100000000))</f>
        <v>4845.071759769</v>
      </c>
      <c r="Z20" s="23">
        <f ca="1">IF(M20="","",[1]!hks_val_mv_ard(M20,V20,"",100000000))</f>
        <v>0</v>
      </c>
      <c r="AA20" s="23">
        <f ca="1">IF(M20="","",[1]!hks_fa_eps_basic(M20,[1]!s_fa_latelyrd_bt(M20,V20),""))</f>
        <v>6.52</v>
      </c>
      <c r="AB20" s="23">
        <f ca="1">IF(M20="","",[1]!hks_val_pe_ttm(M20,V20))</f>
        <v>0</v>
      </c>
      <c r="AC20" s="23">
        <f ca="1">IF(M20="","",[1]!pb_mrq(M20,V20))</f>
        <v>0</v>
      </c>
      <c r="AD20" s="23">
        <f ca="1">IF(M20="","",[1]!s_val_evtoebitda2(M20,V20))</f>
        <v>13.972752819489912</v>
      </c>
      <c r="AE20" s="23">
        <f ca="1">IF(M20="","",[1]!hks_fa_roa2(M20,[1]!s_fa_latelyrd_bt(M20,V20)))</f>
        <v>13.706799999999999</v>
      </c>
      <c r="AF20" s="23">
        <f ca="1">IF(M20="","",[1]!hks_fa_roe(M20,[1]!s_fa_latelyrd_bt(M20,V20)))</f>
        <v>16.3246</v>
      </c>
      <c r="AG20" s="23">
        <f ca="1">IF(M20="","",[1]!s_share_total(M20,V20,100000000))</f>
        <v>32.107831410000003</v>
      </c>
      <c r="AH20" s="23">
        <f ca="1">IF(M20="","",[1]!hks_share_total(M20,V20,100000000))</f>
        <v>32.107831410000003</v>
      </c>
      <c r="AI20" s="23">
        <f ca="1">IF(M20="","",[1]!hks_share_totala(M20,V20,100000000))</f>
        <v>0</v>
      </c>
      <c r="AJ20" s="23">
        <f ca="1">IF(M20="","",[1]!hks_share_totalb(M20,V20,100000000))</f>
        <v>0</v>
      </c>
      <c r="AK20" s="23">
        <f ca="1">IF(M20="","",[1]!hks_share_h(M20,V20,100000000))</f>
        <v>32.107831410000003</v>
      </c>
      <c r="AL20" s="23">
        <f ca="1">IF(M20="","",[1]!hks_share_oversea(M20,V20,100000000))</f>
        <v>0</v>
      </c>
      <c r="AM20" s="23" t="str">
        <f ca="1">IF(M20="","",[1]!hks_holder_name(M20,V20,1))</f>
        <v>Shining Globe International Limited</v>
      </c>
      <c r="AN20" s="23">
        <f ca="1">IF(M20="","",[1]!hks_holder_quantity(M20,V20,1,10000))</f>
        <v>145030</v>
      </c>
      <c r="AO20" s="23">
        <f ca="1">IF(M20="","",[1]!hks_holder_pct(M20,V20,1))</f>
        <v>45</v>
      </c>
      <c r="AP20" s="23" t="str">
        <f ca="1">IF(M20="","",[1]!s_esg_rating_wind(M20,V20))</f>
        <v>BB</v>
      </c>
      <c r="AQ20" s="23">
        <f ca="1">IF(M20="","",[1]!s_esg_score_wind(M20,V20))</f>
        <v>6.05</v>
      </c>
      <c r="AR20" s="6"/>
    </row>
    <row r="21" spans="3:44" s="2" customFormat="1" x14ac:dyDescent="0.2">
      <c r="C21" s="30"/>
      <c r="D21" s="30"/>
      <c r="E21" s="30"/>
      <c r="F21" s="30"/>
      <c r="G21" s="30"/>
      <c r="H21" s="30"/>
      <c r="I21" s="30"/>
      <c r="L21" s="6"/>
      <c r="M21" s="29"/>
      <c r="N21" s="19" t="str">
        <f>IF(M21="","",[1]!hks_info_name(M21))</f>
        <v/>
      </c>
      <c r="O21" s="18" t="str">
        <f>IF(M21="","",[1]!s_ipo_listeddate(M21))</f>
        <v/>
      </c>
      <c r="P21" s="19" t="str">
        <f>IF(M21="","",[1]!s_info_exchmarket(M21))</f>
        <v/>
      </c>
      <c r="Q21" s="19" t="str">
        <f>IF(M21="","",[1]!s_info_mkt(M21))</f>
        <v/>
      </c>
      <c r="R21" s="19" t="str">
        <f>IF(M21="","",[1]!hks_info_isincode(M21))</f>
        <v/>
      </c>
      <c r="S21" s="19" t="str">
        <f>IF(M21="","",[1]!s_info_province(M21))</f>
        <v/>
      </c>
      <c r="T21" s="19" t="str">
        <f>IF(M21="","",[1]!s_info_city(M21))</f>
        <v/>
      </c>
      <c r="U21" s="19" t="str">
        <f>IF(M21="","",[1]!s_info_industry_gics(M21,9))</f>
        <v/>
      </c>
      <c r="V21" s="21" t="str">
        <f>IF(M21="","",[1]!lastradeday_s(M21,$D$7))</f>
        <v/>
      </c>
      <c r="W21" s="23" t="str">
        <f>IF(M21="","",[1]!s_dq_close(M21,V21,3))</f>
        <v/>
      </c>
      <c r="X21" s="25" t="str">
        <f>IF(M21="","",[1]!s_dq_pctchange(M21,V21))</f>
        <v/>
      </c>
      <c r="Y21" s="23" t="str">
        <f>IF(M21="","",[1]!hks_val_ev(M21,V21,"",100000000))</f>
        <v/>
      </c>
      <c r="Z21" s="23" t="str">
        <f>IF(M21="","",[1]!hks_val_mv_ard(M21,V21,"",100000000))</f>
        <v/>
      </c>
      <c r="AA21" s="23" t="str">
        <f>IF(M21="","",[1]!hks_fa_eps_basic(M21,[1]!s_fa_latelyrd_bt(M21,V21),""))</f>
        <v/>
      </c>
      <c r="AB21" s="23" t="str">
        <f>IF(M21="","",[1]!hks_val_pe_ttm(M21,V21))</f>
        <v/>
      </c>
      <c r="AC21" s="23" t="str">
        <f>IF(M21="","",[1]!pb_mrq(M21,V21))</f>
        <v/>
      </c>
      <c r="AD21" s="23" t="str">
        <f>IF(M21="","",[1]!s_val_evtoebitda2(M21,V21))</f>
        <v/>
      </c>
      <c r="AE21" s="23" t="str">
        <f>IF(M21="","",[1]!hks_fa_roa2(M21,[1]!s_fa_latelyrd_bt(M21,V21)))</f>
        <v/>
      </c>
      <c r="AF21" s="23" t="str">
        <f>IF(M21="","",[1]!hks_fa_roe(M21,[1]!s_fa_latelyrd_bt(M21,V21)))</f>
        <v/>
      </c>
      <c r="AG21" s="23" t="str">
        <f>IF(M21="","",[1]!s_share_total(M21,V21,100000000))</f>
        <v/>
      </c>
      <c r="AH21" s="23" t="str">
        <f>IF(M21="","",[1]!hks_share_total(M21,V21,100000000))</f>
        <v/>
      </c>
      <c r="AI21" s="23" t="str">
        <f>IF(M21="","",[1]!hks_share_totala(M21,V21,100000000))</f>
        <v/>
      </c>
      <c r="AJ21" s="23" t="str">
        <f>IF(M21="","",[1]!hks_share_totalb(M21,V21,100000000))</f>
        <v/>
      </c>
      <c r="AK21" s="23" t="str">
        <f>IF(M21="","",[1]!hks_share_h(M21,V21,100000000))</f>
        <v/>
      </c>
      <c r="AL21" s="23" t="str">
        <f>IF(M21="","",[1]!hks_share_oversea(M21,V21,100000000))</f>
        <v/>
      </c>
      <c r="AM21" s="23" t="str">
        <f>IF(M21="","",[1]!hks_holder_name(M21,V21,1))</f>
        <v/>
      </c>
      <c r="AN21" s="23" t="str">
        <f>IF(M21="","",[1]!hks_holder_quantity(M21,V21,1,10000))</f>
        <v/>
      </c>
      <c r="AO21" s="23" t="str">
        <f>IF(M21="","",[1]!hks_holder_pct(M21,V21,1))</f>
        <v/>
      </c>
      <c r="AP21" s="23" t="str">
        <f>IF(M21="","",[1]!s_esg_rating_wind(M21,V21))</f>
        <v/>
      </c>
      <c r="AQ21" s="23" t="str">
        <f>IF(M21="","",[1]!s_esg_score_wind(M21,V21))</f>
        <v/>
      </c>
      <c r="AR21" s="6"/>
    </row>
    <row r="22" spans="3:44" s="2" customFormat="1" x14ac:dyDescent="0.2">
      <c r="C22" s="30"/>
      <c r="D22" s="30"/>
      <c r="E22" s="30"/>
      <c r="F22" s="30"/>
      <c r="G22" s="30"/>
      <c r="H22" s="30"/>
      <c r="I22" s="30"/>
      <c r="L22" s="6"/>
      <c r="M22" s="29"/>
      <c r="N22" s="19" t="str">
        <f>IF(M22="","",[1]!hks_info_name(M22))</f>
        <v/>
      </c>
      <c r="O22" s="18" t="str">
        <f>IF(M22="","",[1]!s_ipo_listeddate(M22))</f>
        <v/>
      </c>
      <c r="P22" s="19" t="str">
        <f>IF(M22="","",[1]!s_info_exchmarket(M22))</f>
        <v/>
      </c>
      <c r="Q22" s="19" t="str">
        <f>IF(M22="","",[1]!s_info_mkt(M22))</f>
        <v/>
      </c>
      <c r="R22" s="19" t="str">
        <f>IF(M22="","",[1]!hks_info_isincode(M22))</f>
        <v/>
      </c>
      <c r="S22" s="19" t="str">
        <f>IF(M22="","",[1]!s_info_province(M22))</f>
        <v/>
      </c>
      <c r="T22" s="19" t="str">
        <f>IF(M22="","",[1]!s_info_city(M22))</f>
        <v/>
      </c>
      <c r="U22" s="19" t="str">
        <f>IF(M22="","",[1]!s_info_industry_gics(M22,9))</f>
        <v/>
      </c>
      <c r="V22" s="21" t="str">
        <f>IF(M22="","",[1]!lastradeday_s(M22,$D$7))</f>
        <v/>
      </c>
      <c r="W22" s="23" t="str">
        <f>IF(M22="","",[1]!s_dq_close(M22,V22,3))</f>
        <v/>
      </c>
      <c r="X22" s="25" t="str">
        <f>IF(M22="","",[1]!s_dq_pctchange(M22,V22))</f>
        <v/>
      </c>
      <c r="Y22" s="23" t="str">
        <f>IF(M22="","",[1]!hks_val_ev(M22,V22,"",100000000))</f>
        <v/>
      </c>
      <c r="Z22" s="23" t="str">
        <f>IF(M22="","",[1]!hks_val_mv_ard(M22,V22,"",100000000))</f>
        <v/>
      </c>
      <c r="AA22" s="23" t="str">
        <f>IF(M22="","",[1]!hks_fa_eps_basic(M22,[1]!s_fa_latelyrd_bt(M22,V22),""))</f>
        <v/>
      </c>
      <c r="AB22" s="23" t="str">
        <f>IF(M22="","",[1]!hks_val_pe_ttm(M22,V22))</f>
        <v/>
      </c>
      <c r="AC22" s="23" t="str">
        <f>IF(M22="","",[1]!pb_mrq(M22,V22))</f>
        <v/>
      </c>
      <c r="AD22" s="23" t="str">
        <f>IF(M22="","",[1]!s_val_evtoebitda2(M22,V22))</f>
        <v/>
      </c>
      <c r="AE22" s="23" t="str">
        <f>IF(M22="","",[1]!hks_fa_roa2(M22,[1]!s_fa_latelyrd_bt(M22,V22)))</f>
        <v/>
      </c>
      <c r="AF22" s="23" t="str">
        <f>IF(M22="","",[1]!hks_fa_roe(M22,[1]!s_fa_latelyrd_bt(M22,V22)))</f>
        <v/>
      </c>
      <c r="AG22" s="23" t="str">
        <f>IF(M22="","",[1]!s_share_total(M22,V22,100000000))</f>
        <v/>
      </c>
      <c r="AH22" s="23" t="str">
        <f>IF(M22="","",[1]!hks_share_total(M22,V22,100000000))</f>
        <v/>
      </c>
      <c r="AI22" s="23" t="str">
        <f>IF(M22="","",[1]!hks_share_totala(M22,V22,100000000))</f>
        <v/>
      </c>
      <c r="AJ22" s="23" t="str">
        <f>IF(M22="","",[1]!hks_share_totalb(M22,V22,100000000))</f>
        <v/>
      </c>
      <c r="AK22" s="23" t="str">
        <f>IF(M22="","",[1]!hks_share_h(M22,V22,100000000))</f>
        <v/>
      </c>
      <c r="AL22" s="23" t="str">
        <f>IF(M22="","",[1]!hks_share_oversea(M22,V22,100000000))</f>
        <v/>
      </c>
      <c r="AM22" s="23" t="str">
        <f>IF(M22="","",[1]!hks_holder_name(M22,V22,1))</f>
        <v/>
      </c>
      <c r="AN22" s="23" t="str">
        <f>IF(M22="","",[1]!hks_holder_quantity(M22,V22,1,10000))</f>
        <v/>
      </c>
      <c r="AO22" s="23" t="str">
        <f>IF(M22="","",[1]!hks_holder_pct(M22,V22,1))</f>
        <v/>
      </c>
      <c r="AP22" s="23" t="str">
        <f>IF(M22="","",[1]!s_esg_rating_wind(M22,V22))</f>
        <v/>
      </c>
      <c r="AQ22" s="23" t="str">
        <f>IF(M22="","",[1]!s_esg_score_wind(M22,V22))</f>
        <v/>
      </c>
      <c r="AR22" s="6"/>
    </row>
    <row r="23" spans="3:44" s="2" customFormat="1" x14ac:dyDescent="0.2">
      <c r="C23" s="30"/>
      <c r="D23" s="30"/>
      <c r="E23" s="30"/>
      <c r="F23" s="30"/>
      <c r="G23" s="30"/>
      <c r="H23" s="30"/>
      <c r="I23" s="30"/>
      <c r="L23" s="6"/>
      <c r="M23" s="29"/>
      <c r="N23" s="19" t="str">
        <f>IF(M23="","",[1]!hks_info_name(M23))</f>
        <v/>
      </c>
      <c r="O23" s="18" t="str">
        <f>IF(M23="","",[1]!s_ipo_listeddate(M23))</f>
        <v/>
      </c>
      <c r="P23" s="19" t="str">
        <f>IF(M23="","",[1]!s_info_exchmarket(M23))</f>
        <v/>
      </c>
      <c r="Q23" s="19" t="str">
        <f>IF(M23="","",[1]!s_info_mkt(M23))</f>
        <v/>
      </c>
      <c r="R23" s="19" t="str">
        <f>IF(M23="","",[1]!hks_info_isincode(M23))</f>
        <v/>
      </c>
      <c r="S23" s="19" t="str">
        <f>IF(M23="","",[1]!s_info_province(M23))</f>
        <v/>
      </c>
      <c r="T23" s="19" t="str">
        <f>IF(M23="","",[1]!s_info_city(M23))</f>
        <v/>
      </c>
      <c r="U23" s="19" t="str">
        <f>IF(M23="","",[1]!s_info_industry_gics(M23,9))</f>
        <v/>
      </c>
      <c r="V23" s="21" t="str">
        <f>IF(M23="","",[1]!lastradeday_s(M23,$D$7))</f>
        <v/>
      </c>
      <c r="W23" s="23" t="str">
        <f>IF(M23="","",[1]!s_dq_close(M23,V23,3))</f>
        <v/>
      </c>
      <c r="X23" s="25" t="str">
        <f>IF(M23="","",[1]!s_dq_pctchange(M23,V23))</f>
        <v/>
      </c>
      <c r="Y23" s="23" t="str">
        <f>IF(M23="","",[1]!hks_val_ev(M23,V23,"",100000000))</f>
        <v/>
      </c>
      <c r="Z23" s="23" t="str">
        <f>IF(M23="","",[1]!hks_val_mv_ard(M23,V23,"",100000000))</f>
        <v/>
      </c>
      <c r="AA23" s="23" t="str">
        <f>IF(M23="","",[1]!hks_fa_eps_basic(M23,[1]!s_fa_latelyrd_bt(M23,V23),""))</f>
        <v/>
      </c>
      <c r="AB23" s="23" t="str">
        <f>IF(M23="","",[1]!hks_val_pe_ttm(M23,V23))</f>
        <v/>
      </c>
      <c r="AC23" s="23" t="str">
        <f>IF(M23="","",[1]!pb_mrq(M23,V23))</f>
        <v/>
      </c>
      <c r="AD23" s="23" t="str">
        <f>IF(M23="","",[1]!s_val_evtoebitda2(M23,V23))</f>
        <v/>
      </c>
      <c r="AE23" s="23" t="str">
        <f>IF(M23="","",[1]!hks_fa_roa2(M23,[1]!s_fa_latelyrd_bt(M23,V23)))</f>
        <v/>
      </c>
      <c r="AF23" s="23" t="str">
        <f>IF(M23="","",[1]!hks_fa_roe(M23,[1]!s_fa_latelyrd_bt(M23,V23)))</f>
        <v/>
      </c>
      <c r="AG23" s="23" t="str">
        <f>IF(M23="","",[1]!s_share_total(M23,V23,100000000))</f>
        <v/>
      </c>
      <c r="AH23" s="23" t="str">
        <f>IF(M23="","",[1]!hks_share_total(M23,V23,100000000))</f>
        <v/>
      </c>
      <c r="AI23" s="23" t="str">
        <f>IF(M23="","",[1]!hks_share_totala(M23,V23,100000000))</f>
        <v/>
      </c>
      <c r="AJ23" s="23" t="str">
        <f>IF(M23="","",[1]!hks_share_totalb(M23,V23,100000000))</f>
        <v/>
      </c>
      <c r="AK23" s="23" t="str">
        <f>IF(M23="","",[1]!hks_share_h(M23,V23,100000000))</f>
        <v/>
      </c>
      <c r="AL23" s="23" t="str">
        <f>IF(M23="","",[1]!hks_share_oversea(M23,V23,100000000))</f>
        <v/>
      </c>
      <c r="AM23" s="23" t="str">
        <f>IF(M23="","",[1]!hks_holder_name(M23,V23,1))</f>
        <v/>
      </c>
      <c r="AN23" s="23" t="str">
        <f>IF(M23="","",[1]!hks_holder_quantity(M23,V23,1,10000))</f>
        <v/>
      </c>
      <c r="AO23" s="23" t="str">
        <f>IF(M23="","",[1]!hks_holder_pct(M23,V23,1))</f>
        <v/>
      </c>
      <c r="AP23" s="23" t="str">
        <f>IF(M23="","",[1]!s_esg_rating_wind(M23,V23))</f>
        <v/>
      </c>
      <c r="AQ23" s="23" t="str">
        <f>IF(M23="","",[1]!s_esg_score_wind(M23,V23))</f>
        <v/>
      </c>
      <c r="AR23" s="6"/>
    </row>
    <row r="24" spans="3:44" s="2" customFormat="1" x14ac:dyDescent="0.2">
      <c r="C24" s="30"/>
      <c r="D24" s="30"/>
      <c r="E24" s="30"/>
      <c r="F24" s="30"/>
      <c r="G24" s="30"/>
      <c r="H24" s="30"/>
      <c r="I24" s="30"/>
      <c r="L24" s="6"/>
      <c r="M24" s="29"/>
      <c r="N24" s="19" t="str">
        <f>IF(M24="","",[1]!hks_info_name(M24))</f>
        <v/>
      </c>
      <c r="O24" s="18" t="str">
        <f>IF(M24="","",[1]!s_ipo_listeddate(M24))</f>
        <v/>
      </c>
      <c r="P24" s="19" t="str">
        <f>IF(M24="","",[1]!s_info_exchmarket(M24))</f>
        <v/>
      </c>
      <c r="Q24" s="19" t="str">
        <f>IF(M24="","",[1]!s_info_mkt(M24))</f>
        <v/>
      </c>
      <c r="R24" s="19" t="str">
        <f>IF(M24="","",[1]!hks_info_isincode(M24))</f>
        <v/>
      </c>
      <c r="S24" s="19" t="str">
        <f>IF(M24="","",[1]!s_info_province(M24))</f>
        <v/>
      </c>
      <c r="T24" s="19" t="str">
        <f>IF(M24="","",[1]!s_info_city(M24))</f>
        <v/>
      </c>
      <c r="U24" s="19" t="str">
        <f>IF(M24="","",[1]!s_info_industry_gics(M24,9))</f>
        <v/>
      </c>
      <c r="V24" s="21" t="str">
        <f>IF(M24="","",[1]!lastradeday_s(M24,$D$7))</f>
        <v/>
      </c>
      <c r="W24" s="23" t="str">
        <f>IF(M24="","",[1]!s_dq_close(M24,V24,3))</f>
        <v/>
      </c>
      <c r="X24" s="25" t="str">
        <f>IF(M24="","",[1]!s_dq_pctchange(M24,V24))</f>
        <v/>
      </c>
      <c r="Y24" s="23" t="str">
        <f>IF(M24="","",[1]!hks_val_ev(M24,V24,"",100000000))</f>
        <v/>
      </c>
      <c r="Z24" s="23" t="str">
        <f>IF(M24="","",[1]!hks_val_mv_ard(M24,V24,"",100000000))</f>
        <v/>
      </c>
      <c r="AA24" s="23" t="str">
        <f>IF(M24="","",[1]!hks_fa_eps_basic(M24,[1]!s_fa_latelyrd_bt(M24,V24),""))</f>
        <v/>
      </c>
      <c r="AB24" s="23" t="str">
        <f>IF(M24="","",[1]!hks_val_pe_ttm(M24,V24))</f>
        <v/>
      </c>
      <c r="AC24" s="23" t="str">
        <f>IF(M24="","",[1]!pb_mrq(M24,V24))</f>
        <v/>
      </c>
      <c r="AD24" s="23" t="str">
        <f>IF(M24="","",[1]!s_val_evtoebitda2(M24,V24))</f>
        <v/>
      </c>
      <c r="AE24" s="23" t="str">
        <f>IF(M24="","",[1]!hks_fa_roa2(M24,[1]!s_fa_latelyrd_bt(M24,V24)))</f>
        <v/>
      </c>
      <c r="AF24" s="23" t="str">
        <f>IF(M24="","",[1]!hks_fa_roe(M24,[1]!s_fa_latelyrd_bt(M24,V24)))</f>
        <v/>
      </c>
      <c r="AG24" s="23" t="str">
        <f>IF(M24="","",[1]!s_share_total(M24,V24,100000000))</f>
        <v/>
      </c>
      <c r="AH24" s="23" t="str">
        <f>IF(M24="","",[1]!hks_share_total(M24,V24,100000000))</f>
        <v/>
      </c>
      <c r="AI24" s="23" t="str">
        <f>IF(M24="","",[1]!hks_share_totala(M24,V24,100000000))</f>
        <v/>
      </c>
      <c r="AJ24" s="23" t="str">
        <f>IF(M24="","",[1]!hks_share_totalb(M24,V24,100000000))</f>
        <v/>
      </c>
      <c r="AK24" s="23" t="str">
        <f>IF(M24="","",[1]!hks_share_h(M24,V24,100000000))</f>
        <v/>
      </c>
      <c r="AL24" s="23" t="str">
        <f>IF(M24="","",[1]!hks_share_oversea(M24,V24,100000000))</f>
        <v/>
      </c>
      <c r="AM24" s="23" t="str">
        <f>IF(M24="","",[1]!hks_holder_name(M24,V24,1))</f>
        <v/>
      </c>
      <c r="AN24" s="23" t="str">
        <f>IF(M24="","",[1]!hks_holder_quantity(M24,V24,1,10000))</f>
        <v/>
      </c>
      <c r="AO24" s="23" t="str">
        <f>IF(M24="","",[1]!hks_holder_pct(M24,V24,1))</f>
        <v/>
      </c>
      <c r="AP24" s="23" t="str">
        <f>IF(M24="","",[1]!s_esg_rating_wind(M24,V24))</f>
        <v/>
      </c>
      <c r="AQ24" s="23" t="str">
        <f>IF(M24="","",[1]!s_esg_score_wind(M24,V24))</f>
        <v/>
      </c>
      <c r="AR24" s="6"/>
    </row>
    <row r="25" spans="3:44" s="2" customFormat="1" x14ac:dyDescent="0.2">
      <c r="C25" s="30"/>
      <c r="D25" s="30"/>
      <c r="E25" s="30"/>
      <c r="F25" s="30"/>
      <c r="G25" s="30"/>
      <c r="H25" s="30"/>
      <c r="I25" s="30"/>
      <c r="L25" s="6"/>
      <c r="M25" s="29"/>
      <c r="N25" s="19" t="str">
        <f>IF(M25="","",[1]!hks_info_name(M25))</f>
        <v/>
      </c>
      <c r="O25" s="18" t="str">
        <f>IF(M25="","",[1]!s_ipo_listeddate(M25))</f>
        <v/>
      </c>
      <c r="P25" s="19" t="str">
        <f>IF(M25="","",[1]!s_info_exchmarket(M25))</f>
        <v/>
      </c>
      <c r="Q25" s="19" t="str">
        <f>IF(M25="","",[1]!s_info_mkt(M25))</f>
        <v/>
      </c>
      <c r="R25" s="19" t="str">
        <f>IF(M25="","",[1]!hks_info_isincode(M25))</f>
        <v/>
      </c>
      <c r="S25" s="19" t="str">
        <f>IF(M25="","",[1]!s_info_province(M25))</f>
        <v/>
      </c>
      <c r="T25" s="19" t="str">
        <f>IF(M25="","",[1]!s_info_city(M25))</f>
        <v/>
      </c>
      <c r="U25" s="19" t="str">
        <f>IF(M25="","",[1]!s_info_industry_gics(M25,9))</f>
        <v/>
      </c>
      <c r="V25" s="21" t="str">
        <f>IF(M25="","",[1]!lastradeday_s(M25,$D$7))</f>
        <v/>
      </c>
      <c r="W25" s="23" t="str">
        <f>IF(M25="","",[1]!s_dq_close(M25,V25,3))</f>
        <v/>
      </c>
      <c r="X25" s="25" t="str">
        <f>IF(M25="","",[1]!s_dq_pctchange(M25,V25))</f>
        <v/>
      </c>
      <c r="Y25" s="23" t="str">
        <f>IF(M25="","",[1]!hks_val_ev(M25,V25,"",100000000))</f>
        <v/>
      </c>
      <c r="Z25" s="23" t="str">
        <f>IF(M25="","",[1]!hks_val_mv_ard(M25,V25,"",100000000))</f>
        <v/>
      </c>
      <c r="AA25" s="23" t="str">
        <f>IF(M25="","",[1]!hks_fa_eps_basic(M25,[1]!s_fa_latelyrd_bt(M25,V25),""))</f>
        <v/>
      </c>
      <c r="AB25" s="23" t="str">
        <f>IF(M25="","",[1]!hks_val_pe_ttm(M25,V25))</f>
        <v/>
      </c>
      <c r="AC25" s="23" t="str">
        <f>IF(M25="","",[1]!pb_mrq(M25,V25))</f>
        <v/>
      </c>
      <c r="AD25" s="23" t="str">
        <f>IF(M25="","",[1]!s_val_evtoebitda2(M25,V25))</f>
        <v/>
      </c>
      <c r="AE25" s="23" t="str">
        <f>IF(M25="","",[1]!hks_fa_roa2(M25,[1]!s_fa_latelyrd_bt(M25,V25)))</f>
        <v/>
      </c>
      <c r="AF25" s="23" t="str">
        <f>IF(M25="","",[1]!hks_fa_roe(M25,[1]!s_fa_latelyrd_bt(M25,V25)))</f>
        <v/>
      </c>
      <c r="AG25" s="23" t="str">
        <f>IF(M25="","",[1]!s_share_total(M25,V25,100000000))</f>
        <v/>
      </c>
      <c r="AH25" s="23" t="str">
        <f>IF(M25="","",[1]!hks_share_total(M25,V25,100000000))</f>
        <v/>
      </c>
      <c r="AI25" s="23" t="str">
        <f>IF(M25="","",[1]!hks_share_totala(M25,V25,100000000))</f>
        <v/>
      </c>
      <c r="AJ25" s="23" t="str">
        <f>IF(M25="","",[1]!hks_share_totalb(M25,V25,100000000))</f>
        <v/>
      </c>
      <c r="AK25" s="23" t="str">
        <f>IF(M25="","",[1]!hks_share_h(M25,V25,100000000))</f>
        <v/>
      </c>
      <c r="AL25" s="23" t="str">
        <f>IF(M25="","",[1]!hks_share_oversea(M25,V25,100000000))</f>
        <v/>
      </c>
      <c r="AM25" s="23" t="str">
        <f>IF(M25="","",[1]!hks_holder_name(M25,V25,1))</f>
        <v/>
      </c>
      <c r="AN25" s="23" t="str">
        <f>IF(M25="","",[1]!hks_holder_quantity(M25,V25,1,10000))</f>
        <v/>
      </c>
      <c r="AO25" s="23" t="str">
        <f>IF(M25="","",[1]!hks_holder_pct(M25,V25,1))</f>
        <v/>
      </c>
      <c r="AP25" s="23" t="str">
        <f>IF(M25="","",[1]!s_esg_rating_wind(M25,V25))</f>
        <v/>
      </c>
      <c r="AQ25" s="23" t="str">
        <f>IF(M25="","",[1]!s_esg_score_wind(M25,V25))</f>
        <v/>
      </c>
      <c r="AR25" s="6"/>
    </row>
    <row r="26" spans="3:44" s="2" customFormat="1" x14ac:dyDescent="0.2">
      <c r="C26" s="30"/>
      <c r="D26" s="30"/>
      <c r="E26" s="30"/>
      <c r="F26" s="30"/>
      <c r="G26" s="30"/>
      <c r="H26" s="30"/>
      <c r="I26" s="30"/>
      <c r="L26" s="6"/>
      <c r="M26" s="29"/>
      <c r="N26" s="19" t="str">
        <f>IF(M26="","",[1]!hks_info_name(M26))</f>
        <v/>
      </c>
      <c r="O26" s="18" t="str">
        <f>IF(M26="","",[1]!s_ipo_listeddate(M26))</f>
        <v/>
      </c>
      <c r="P26" s="19" t="str">
        <f>IF(M26="","",[1]!s_info_exchmarket(M26))</f>
        <v/>
      </c>
      <c r="Q26" s="19" t="str">
        <f>IF(M26="","",[1]!s_info_mkt(M26))</f>
        <v/>
      </c>
      <c r="R26" s="19" t="str">
        <f>IF(M26="","",[1]!hks_info_isincode(M26))</f>
        <v/>
      </c>
      <c r="S26" s="19" t="str">
        <f>IF(M26="","",[1]!s_info_province(M26))</f>
        <v/>
      </c>
      <c r="T26" s="19" t="str">
        <f>IF(M26="","",[1]!s_info_city(M26))</f>
        <v/>
      </c>
      <c r="U26" s="19" t="str">
        <f>IF(M26="","",[1]!s_info_industry_gics(M26,9))</f>
        <v/>
      </c>
      <c r="V26" s="21" t="str">
        <f>IF(M26="","",[1]!lastradeday_s(M26,$D$7))</f>
        <v/>
      </c>
      <c r="W26" s="23" t="str">
        <f>IF(M26="","",[1]!s_dq_close(M26,V26,3))</f>
        <v/>
      </c>
      <c r="X26" s="25" t="str">
        <f>IF(M26="","",[1]!s_dq_pctchange(M26,V26))</f>
        <v/>
      </c>
      <c r="Y26" s="23" t="str">
        <f>IF(M26="","",[1]!hks_val_ev(M26,V26,"",100000000))</f>
        <v/>
      </c>
      <c r="Z26" s="23" t="str">
        <f>IF(M26="","",[1]!hks_val_mv_ard(M26,V26,"",100000000))</f>
        <v/>
      </c>
      <c r="AA26" s="23" t="str">
        <f>IF(M26="","",[1]!hks_fa_eps_basic(M26,[1]!s_fa_latelyrd_bt(M26,V26),""))</f>
        <v/>
      </c>
      <c r="AB26" s="23" t="str">
        <f>IF(M26="","",[1]!hks_val_pe_ttm(M26,V26))</f>
        <v/>
      </c>
      <c r="AC26" s="23" t="str">
        <f>IF(M26="","",[1]!pb_mrq(M26,V26))</f>
        <v/>
      </c>
      <c r="AD26" s="23" t="str">
        <f>IF(M26="","",[1]!s_val_evtoebitda2(M26,V26))</f>
        <v/>
      </c>
      <c r="AE26" s="23" t="str">
        <f>IF(M26="","",[1]!hks_fa_roa2(M26,[1]!s_fa_latelyrd_bt(M26,V26)))</f>
        <v/>
      </c>
      <c r="AF26" s="23" t="str">
        <f>IF(M26="","",[1]!hks_fa_roe(M26,[1]!s_fa_latelyrd_bt(M26,V26)))</f>
        <v/>
      </c>
      <c r="AG26" s="23" t="str">
        <f>IF(M26="","",[1]!s_share_total(M26,V26,100000000))</f>
        <v/>
      </c>
      <c r="AH26" s="23" t="str">
        <f>IF(M26="","",[1]!hks_share_total(M26,V26,100000000))</f>
        <v/>
      </c>
      <c r="AI26" s="23" t="str">
        <f>IF(M26="","",[1]!hks_share_totala(M26,V26,100000000))</f>
        <v/>
      </c>
      <c r="AJ26" s="23" t="str">
        <f>IF(M26="","",[1]!hks_share_totalb(M26,V26,100000000))</f>
        <v/>
      </c>
      <c r="AK26" s="23" t="str">
        <f>IF(M26="","",[1]!hks_share_h(M26,V26,100000000))</f>
        <v/>
      </c>
      <c r="AL26" s="23" t="str">
        <f>IF(M26="","",[1]!hks_share_oversea(M26,V26,100000000))</f>
        <v/>
      </c>
      <c r="AM26" s="23" t="str">
        <f>IF(M26="","",[1]!hks_holder_name(M26,V26,1))</f>
        <v/>
      </c>
      <c r="AN26" s="23" t="str">
        <f>IF(M26="","",[1]!hks_holder_quantity(M26,V26,1,10000))</f>
        <v/>
      </c>
      <c r="AO26" s="23" t="str">
        <f>IF(M26="","",[1]!hks_holder_pct(M26,V26,1))</f>
        <v/>
      </c>
      <c r="AP26" s="23" t="str">
        <f>IF(M26="","",[1]!s_esg_rating_wind(M26,V26))</f>
        <v/>
      </c>
      <c r="AQ26" s="23" t="str">
        <f>IF(M26="","",[1]!s_esg_score_wind(M26,V26))</f>
        <v/>
      </c>
      <c r="AR26" s="6"/>
    </row>
    <row r="27" spans="3:44" s="2" customFormat="1" x14ac:dyDescent="0.2">
      <c r="C27" s="30"/>
      <c r="D27" s="30"/>
      <c r="E27" s="30"/>
      <c r="F27" s="30"/>
      <c r="G27" s="30"/>
      <c r="H27" s="30"/>
      <c r="I27" s="30"/>
      <c r="L27" s="6"/>
      <c r="M27" s="29"/>
      <c r="N27" s="19" t="str">
        <f>IF(M27="","",[1]!hks_info_name(M27))</f>
        <v/>
      </c>
      <c r="O27" s="18" t="str">
        <f>IF(M27="","",[1]!s_ipo_listeddate(M27))</f>
        <v/>
      </c>
      <c r="P27" s="19" t="str">
        <f>IF(M27="","",[1]!s_info_exchmarket(M27))</f>
        <v/>
      </c>
      <c r="Q27" s="19" t="str">
        <f>IF(M27="","",[1]!s_info_mkt(M27))</f>
        <v/>
      </c>
      <c r="R27" s="19" t="str">
        <f>IF(M27="","",[1]!hks_info_isincode(M27))</f>
        <v/>
      </c>
      <c r="S27" s="19" t="str">
        <f>IF(M27="","",[1]!s_info_province(M27))</f>
        <v/>
      </c>
      <c r="T27" s="19" t="str">
        <f>IF(M27="","",[1]!s_info_city(M27))</f>
        <v/>
      </c>
      <c r="U27" s="19" t="str">
        <f>IF(M27="","",[1]!s_info_industry_gics(M27,9))</f>
        <v/>
      </c>
      <c r="V27" s="21" t="str">
        <f>IF(M27="","",[1]!lastradeday_s(M27,$D$7))</f>
        <v/>
      </c>
      <c r="W27" s="23" t="str">
        <f>IF(M27="","",[1]!s_dq_close(M27,V27,3))</f>
        <v/>
      </c>
      <c r="X27" s="25" t="str">
        <f>IF(M27="","",[1]!s_dq_pctchange(M27,V27))</f>
        <v/>
      </c>
      <c r="Y27" s="23" t="str">
        <f>IF(M27="","",[1]!hks_val_ev(M27,V27,"",100000000))</f>
        <v/>
      </c>
      <c r="Z27" s="23" t="str">
        <f>IF(M27="","",[1]!hks_val_mv_ard(M27,V27,"",100000000))</f>
        <v/>
      </c>
      <c r="AA27" s="23" t="str">
        <f>IF(M27="","",[1]!hks_fa_eps_basic(M27,[1]!s_fa_latelyrd_bt(M27,V27),""))</f>
        <v/>
      </c>
      <c r="AB27" s="23" t="str">
        <f>IF(M27="","",[1]!hks_val_pe_ttm(M27,V27))</f>
        <v/>
      </c>
      <c r="AC27" s="23" t="str">
        <f>IF(M27="","",[1]!pb_mrq(M27,V27))</f>
        <v/>
      </c>
      <c r="AD27" s="23" t="str">
        <f>IF(M27="","",[1]!s_val_evtoebitda2(M27,V27))</f>
        <v/>
      </c>
      <c r="AE27" s="23" t="str">
        <f>IF(M27="","",[1]!hks_fa_roa2(M27,[1]!s_fa_latelyrd_bt(M27,V27)))</f>
        <v/>
      </c>
      <c r="AF27" s="23" t="str">
        <f>IF(M27="","",[1]!hks_fa_roe(M27,[1]!s_fa_latelyrd_bt(M27,V27)))</f>
        <v/>
      </c>
      <c r="AG27" s="23" t="str">
        <f>IF(M27="","",[1]!s_share_total(M27,V27,100000000))</f>
        <v/>
      </c>
      <c r="AH27" s="23" t="str">
        <f>IF(M27="","",[1]!hks_share_total(M27,V27,100000000))</f>
        <v/>
      </c>
      <c r="AI27" s="23" t="str">
        <f>IF(M27="","",[1]!hks_share_totala(M27,V27,100000000))</f>
        <v/>
      </c>
      <c r="AJ27" s="23" t="str">
        <f>IF(M27="","",[1]!hks_share_totalb(M27,V27,100000000))</f>
        <v/>
      </c>
      <c r="AK27" s="23" t="str">
        <f>IF(M27="","",[1]!hks_share_h(M27,V27,100000000))</f>
        <v/>
      </c>
      <c r="AL27" s="23" t="str">
        <f>IF(M27="","",[1]!hks_share_oversea(M27,V27,100000000))</f>
        <v/>
      </c>
      <c r="AM27" s="23" t="str">
        <f>IF(M27="","",[1]!hks_holder_name(M27,V27,1))</f>
        <v/>
      </c>
      <c r="AN27" s="23" t="str">
        <f>IF(M27="","",[1]!hks_holder_quantity(M27,V27,1,10000))</f>
        <v/>
      </c>
      <c r="AO27" s="23" t="str">
        <f>IF(M27="","",[1]!hks_holder_pct(M27,V27,1))</f>
        <v/>
      </c>
      <c r="AP27" s="23" t="str">
        <f>IF(M27="","",[1]!s_esg_rating_wind(M27,V27))</f>
        <v/>
      </c>
      <c r="AQ27" s="23" t="str">
        <f>IF(M27="","",[1]!s_esg_score_wind(M27,V27))</f>
        <v/>
      </c>
      <c r="AR27" s="6"/>
    </row>
    <row r="28" spans="3:44" s="2" customFormat="1" x14ac:dyDescent="0.2">
      <c r="C28" s="30"/>
      <c r="D28" s="30"/>
      <c r="E28" s="30"/>
      <c r="F28" s="30"/>
      <c r="G28" s="30"/>
      <c r="H28" s="30"/>
      <c r="I28" s="30"/>
      <c r="L28" s="6"/>
      <c r="M28" s="29"/>
      <c r="N28" s="19" t="str">
        <f>IF(M28="","",[1]!hks_info_name(M28))</f>
        <v/>
      </c>
      <c r="O28" s="18" t="str">
        <f>IF(M28="","",[1]!s_ipo_listeddate(M28))</f>
        <v/>
      </c>
      <c r="P28" s="19" t="str">
        <f>IF(M28="","",[1]!s_info_exchmarket(M28))</f>
        <v/>
      </c>
      <c r="Q28" s="19" t="str">
        <f>IF(M28="","",[1]!s_info_mkt(M28))</f>
        <v/>
      </c>
      <c r="R28" s="19" t="str">
        <f>IF(M28="","",[1]!hks_info_isincode(M28))</f>
        <v/>
      </c>
      <c r="S28" s="19" t="str">
        <f>IF(M28="","",[1]!s_info_province(M28))</f>
        <v/>
      </c>
      <c r="T28" s="19" t="str">
        <f>IF(M28="","",[1]!s_info_city(M28))</f>
        <v/>
      </c>
      <c r="U28" s="19" t="str">
        <f>IF(M28="","",[1]!s_info_industry_gics(M28,9))</f>
        <v/>
      </c>
      <c r="V28" s="21" t="str">
        <f>IF(M28="","",[1]!lastradeday_s(M28,$D$7))</f>
        <v/>
      </c>
      <c r="W28" s="23" t="str">
        <f>IF(M28="","",[1]!s_dq_close(M28,V28,3))</f>
        <v/>
      </c>
      <c r="X28" s="25" t="str">
        <f>IF(M28="","",[1]!s_dq_pctchange(M28,V28))</f>
        <v/>
      </c>
      <c r="Y28" s="23" t="str">
        <f>IF(M28="","",[1]!hks_val_ev(M28,V28,"",100000000))</f>
        <v/>
      </c>
      <c r="Z28" s="23" t="str">
        <f>IF(M28="","",[1]!hks_val_mv_ard(M28,V28,"",100000000))</f>
        <v/>
      </c>
      <c r="AA28" s="23" t="str">
        <f>IF(M28="","",[1]!hks_fa_eps_basic(M28,[1]!s_fa_latelyrd_bt(M28,V28),""))</f>
        <v/>
      </c>
      <c r="AB28" s="23" t="str">
        <f>IF(M28="","",[1]!hks_val_pe_ttm(M28,V28))</f>
        <v/>
      </c>
      <c r="AC28" s="23" t="str">
        <f>IF(M28="","",[1]!pb_mrq(M28,V28))</f>
        <v/>
      </c>
      <c r="AD28" s="23" t="str">
        <f>IF(M28="","",[1]!s_val_evtoebitda2(M28,V28))</f>
        <v/>
      </c>
      <c r="AE28" s="23" t="str">
        <f>IF(M28="","",[1]!hks_fa_roa2(M28,[1]!s_fa_latelyrd_bt(M28,V28)))</f>
        <v/>
      </c>
      <c r="AF28" s="23" t="str">
        <f>IF(M28="","",[1]!hks_fa_roe(M28,[1]!s_fa_latelyrd_bt(M28,V28)))</f>
        <v/>
      </c>
      <c r="AG28" s="23" t="str">
        <f>IF(M28="","",[1]!s_share_total(M28,V28,100000000))</f>
        <v/>
      </c>
      <c r="AH28" s="23" t="str">
        <f>IF(M28="","",[1]!hks_share_total(M28,V28,100000000))</f>
        <v/>
      </c>
      <c r="AI28" s="23" t="str">
        <f>IF(M28="","",[1]!hks_share_totala(M28,V28,100000000))</f>
        <v/>
      </c>
      <c r="AJ28" s="23" t="str">
        <f>IF(M28="","",[1]!hks_share_totalb(M28,V28,100000000))</f>
        <v/>
      </c>
      <c r="AK28" s="23" t="str">
        <f>IF(M28="","",[1]!hks_share_h(M28,V28,100000000))</f>
        <v/>
      </c>
      <c r="AL28" s="23" t="str">
        <f>IF(M28="","",[1]!hks_share_oversea(M28,V28,100000000))</f>
        <v/>
      </c>
      <c r="AM28" s="23" t="str">
        <f>IF(M28="","",[1]!hks_holder_name(M28,V28,1))</f>
        <v/>
      </c>
      <c r="AN28" s="23" t="str">
        <f>IF(M28="","",[1]!hks_holder_quantity(M28,V28,1,10000))</f>
        <v/>
      </c>
      <c r="AO28" s="23" t="str">
        <f>IF(M28="","",[1]!hks_holder_pct(M28,V28,1))</f>
        <v/>
      </c>
      <c r="AP28" s="23" t="str">
        <f>IF(M28="","",[1]!s_esg_rating_wind(M28,V28))</f>
        <v/>
      </c>
      <c r="AQ28" s="23" t="str">
        <f>IF(M28="","",[1]!s_esg_score_wind(M28,V28))</f>
        <v/>
      </c>
      <c r="AR28" s="6"/>
    </row>
    <row r="29" spans="3:44" s="2" customFormat="1" x14ac:dyDescent="0.2">
      <c r="C29" s="30"/>
      <c r="D29" s="30"/>
      <c r="E29" s="30"/>
      <c r="F29" s="30"/>
      <c r="G29" s="30"/>
      <c r="H29" s="30"/>
      <c r="I29" s="30"/>
      <c r="L29" s="6"/>
      <c r="M29" s="29"/>
      <c r="N29" s="19" t="str">
        <f>IF(M29="","",[1]!hks_info_name(M29))</f>
        <v/>
      </c>
      <c r="O29" s="18" t="str">
        <f>IF(M29="","",[1]!s_ipo_listeddate(M29))</f>
        <v/>
      </c>
      <c r="P29" s="19" t="str">
        <f>IF(M29="","",[1]!s_info_exchmarket(M29))</f>
        <v/>
      </c>
      <c r="Q29" s="19" t="str">
        <f>IF(M29="","",[1]!s_info_mkt(M29))</f>
        <v/>
      </c>
      <c r="R29" s="19" t="str">
        <f>IF(M29="","",[1]!hks_info_isincode(M29))</f>
        <v/>
      </c>
      <c r="S29" s="19" t="str">
        <f>IF(M29="","",[1]!s_info_province(M29))</f>
        <v/>
      </c>
      <c r="T29" s="19" t="str">
        <f>IF(M29="","",[1]!s_info_city(M29))</f>
        <v/>
      </c>
      <c r="U29" s="19" t="str">
        <f>IF(M29="","",[1]!s_info_industry_gics(M29,9))</f>
        <v/>
      </c>
      <c r="V29" s="21" t="str">
        <f>IF(M29="","",[1]!lastradeday_s(M29,$D$7))</f>
        <v/>
      </c>
      <c r="W29" s="23" t="str">
        <f>IF(M29="","",[1]!s_dq_close(M29,V29,3))</f>
        <v/>
      </c>
      <c r="X29" s="25" t="str">
        <f>IF(M29="","",[1]!s_dq_pctchange(M29,V29))</f>
        <v/>
      </c>
      <c r="Y29" s="23" t="str">
        <f>IF(M29="","",[1]!hks_val_ev(M29,V29,"",100000000))</f>
        <v/>
      </c>
      <c r="Z29" s="23" t="str">
        <f>IF(M29="","",[1]!hks_val_mv_ard(M29,V29,"",100000000))</f>
        <v/>
      </c>
      <c r="AA29" s="23" t="str">
        <f>IF(M29="","",[1]!hks_fa_eps_basic(M29,[1]!s_fa_latelyrd_bt(M29,V29),""))</f>
        <v/>
      </c>
      <c r="AB29" s="23" t="str">
        <f>IF(M29="","",[1]!hks_val_pe_ttm(M29,V29))</f>
        <v/>
      </c>
      <c r="AC29" s="23" t="str">
        <f>IF(M29="","",[1]!pb_mrq(M29,V29))</f>
        <v/>
      </c>
      <c r="AD29" s="23" t="str">
        <f>IF(M29="","",[1]!s_val_evtoebitda2(M29,V29))</f>
        <v/>
      </c>
      <c r="AE29" s="23" t="str">
        <f>IF(M29="","",[1]!hks_fa_roa2(M29,[1]!s_fa_latelyrd_bt(M29,V29)))</f>
        <v/>
      </c>
      <c r="AF29" s="23" t="str">
        <f>IF(M29="","",[1]!hks_fa_roe(M29,[1]!s_fa_latelyrd_bt(M29,V29)))</f>
        <v/>
      </c>
      <c r="AG29" s="23" t="str">
        <f>IF(M29="","",[1]!s_share_total(M29,V29,100000000))</f>
        <v/>
      </c>
      <c r="AH29" s="23" t="str">
        <f>IF(M29="","",[1]!hks_share_total(M29,V29,100000000))</f>
        <v/>
      </c>
      <c r="AI29" s="23" t="str">
        <f>IF(M29="","",[1]!hks_share_totala(M29,V29,100000000))</f>
        <v/>
      </c>
      <c r="AJ29" s="23" t="str">
        <f>IF(M29="","",[1]!hks_share_totalb(M29,V29,100000000))</f>
        <v/>
      </c>
      <c r="AK29" s="23" t="str">
        <f>IF(M29="","",[1]!hks_share_h(M29,V29,100000000))</f>
        <v/>
      </c>
      <c r="AL29" s="23" t="str">
        <f>IF(M29="","",[1]!hks_share_oversea(M29,V29,100000000))</f>
        <v/>
      </c>
      <c r="AM29" s="23" t="str">
        <f>IF(M29="","",[1]!hks_holder_name(M29,V29,1))</f>
        <v/>
      </c>
      <c r="AN29" s="23" t="str">
        <f>IF(M29="","",[1]!hks_holder_quantity(M29,V29,1,10000))</f>
        <v/>
      </c>
      <c r="AO29" s="23" t="str">
        <f>IF(M29="","",[1]!hks_holder_pct(M29,V29,1))</f>
        <v/>
      </c>
      <c r="AP29" s="23" t="str">
        <f>IF(M29="","",[1]!s_esg_rating_wind(M29,V29))</f>
        <v/>
      </c>
      <c r="AQ29" s="23" t="str">
        <f>IF(M29="","",[1]!s_esg_score_wind(M29,V29))</f>
        <v/>
      </c>
      <c r="AR29" s="6"/>
    </row>
    <row r="30" spans="3:44" s="2" customFormat="1" x14ac:dyDescent="0.2">
      <c r="C30" s="30"/>
      <c r="D30" s="30"/>
      <c r="E30" s="30"/>
      <c r="F30" s="30"/>
      <c r="G30" s="30"/>
      <c r="H30" s="30"/>
      <c r="I30" s="30"/>
      <c r="L30" s="6"/>
      <c r="M30" s="29"/>
      <c r="N30" s="19" t="str">
        <f>IF(M30="","",[1]!hks_info_name(M30))</f>
        <v/>
      </c>
      <c r="O30" s="18" t="str">
        <f>IF(M30="","",[1]!s_ipo_listeddate(M30))</f>
        <v/>
      </c>
      <c r="P30" s="19" t="str">
        <f>IF(M30="","",[1]!s_info_exchmarket(M30))</f>
        <v/>
      </c>
      <c r="Q30" s="19" t="str">
        <f>IF(M30="","",[1]!s_info_mkt(M30))</f>
        <v/>
      </c>
      <c r="R30" s="19" t="str">
        <f>IF(M30="","",[1]!hks_info_isincode(M30))</f>
        <v/>
      </c>
      <c r="S30" s="19" t="str">
        <f>IF(M30="","",[1]!s_info_province(M30))</f>
        <v/>
      </c>
      <c r="T30" s="19" t="str">
        <f>IF(M30="","",[1]!s_info_city(M30))</f>
        <v/>
      </c>
      <c r="U30" s="19" t="str">
        <f>IF(M30="","",[1]!s_info_industry_gics(M30,9))</f>
        <v/>
      </c>
      <c r="V30" s="21" t="str">
        <f>IF(M30="","",[1]!lastradeday_s(M30,$D$7))</f>
        <v/>
      </c>
      <c r="W30" s="23" t="str">
        <f>IF(M30="","",[1]!s_dq_close(M30,V30,3))</f>
        <v/>
      </c>
      <c r="X30" s="25" t="str">
        <f>IF(M30="","",[1]!s_dq_pctchange(M30,V30))</f>
        <v/>
      </c>
      <c r="Y30" s="23" t="str">
        <f>IF(M30="","",[1]!hks_val_ev(M30,V30,"",100000000))</f>
        <v/>
      </c>
      <c r="Z30" s="23" t="str">
        <f>IF(M30="","",[1]!hks_val_mv_ard(M30,V30,"",100000000))</f>
        <v/>
      </c>
      <c r="AA30" s="23" t="str">
        <f>IF(M30="","",[1]!hks_fa_eps_basic(M30,[1]!s_fa_latelyrd_bt(M30,V30),""))</f>
        <v/>
      </c>
      <c r="AB30" s="23" t="str">
        <f>IF(M30="","",[1]!hks_val_pe_ttm(M30,V30))</f>
        <v/>
      </c>
      <c r="AC30" s="23" t="str">
        <f>IF(M30="","",[1]!pb_mrq(M30,V30))</f>
        <v/>
      </c>
      <c r="AD30" s="23" t="str">
        <f>IF(M30="","",[1]!s_val_evtoebitda2(M30,V30))</f>
        <v/>
      </c>
      <c r="AE30" s="23" t="str">
        <f>IF(M30="","",[1]!hks_fa_roa2(M30,[1]!s_fa_latelyrd_bt(M30,V30)))</f>
        <v/>
      </c>
      <c r="AF30" s="23" t="str">
        <f>IF(M30="","",[1]!hks_fa_roe(M30,[1]!s_fa_latelyrd_bt(M30,V30)))</f>
        <v/>
      </c>
      <c r="AG30" s="23" t="str">
        <f>IF(M30="","",[1]!s_share_total(M30,V30,100000000))</f>
        <v/>
      </c>
      <c r="AH30" s="23" t="str">
        <f>IF(M30="","",[1]!hks_share_total(M30,V30,100000000))</f>
        <v/>
      </c>
      <c r="AI30" s="23" t="str">
        <f>IF(M30="","",[1]!hks_share_totala(M30,V30,100000000))</f>
        <v/>
      </c>
      <c r="AJ30" s="23" t="str">
        <f>IF(M30="","",[1]!hks_share_totalb(M30,V30,100000000))</f>
        <v/>
      </c>
      <c r="AK30" s="23" t="str">
        <f>IF(M30="","",[1]!hks_share_h(M30,V30,100000000))</f>
        <v/>
      </c>
      <c r="AL30" s="23" t="str">
        <f>IF(M30="","",[1]!hks_share_oversea(M30,V30,100000000))</f>
        <v/>
      </c>
      <c r="AM30" s="23" t="str">
        <f>IF(M30="","",[1]!hks_holder_name(M30,V30,1))</f>
        <v/>
      </c>
      <c r="AN30" s="23" t="str">
        <f>IF(M30="","",[1]!hks_holder_quantity(M30,V30,1,10000))</f>
        <v/>
      </c>
      <c r="AO30" s="23" t="str">
        <f>IF(M30="","",[1]!hks_holder_pct(M30,V30,1))</f>
        <v/>
      </c>
      <c r="AP30" s="23" t="str">
        <f>IF(M30="","",[1]!s_esg_rating_wind(M30,V30))</f>
        <v/>
      </c>
      <c r="AQ30" s="23" t="str">
        <f>IF(M30="","",[1]!s_esg_score_wind(M30,V30))</f>
        <v/>
      </c>
      <c r="AR30" s="6"/>
    </row>
    <row r="31" spans="3:44" s="2" customFormat="1" x14ac:dyDescent="0.2">
      <c r="C31" s="30"/>
      <c r="D31" s="30"/>
      <c r="E31" s="30"/>
      <c r="F31" s="30"/>
      <c r="G31" s="30"/>
      <c r="H31" s="30"/>
      <c r="I31" s="30"/>
      <c r="L31" s="6"/>
      <c r="M31" s="29"/>
      <c r="N31" s="19" t="str">
        <f>IF(M31="","",[1]!hks_info_name(M31))</f>
        <v/>
      </c>
      <c r="O31" s="18" t="str">
        <f>IF(M31="","",[1]!s_ipo_listeddate(M31))</f>
        <v/>
      </c>
      <c r="P31" s="19" t="str">
        <f>IF(M31="","",[1]!s_info_exchmarket(M31))</f>
        <v/>
      </c>
      <c r="Q31" s="19" t="str">
        <f>IF(M31="","",[1]!s_info_mkt(M31))</f>
        <v/>
      </c>
      <c r="R31" s="19" t="str">
        <f>IF(M31="","",[1]!hks_info_isincode(M31))</f>
        <v/>
      </c>
      <c r="S31" s="19" t="str">
        <f>IF(M31="","",[1]!s_info_province(M31))</f>
        <v/>
      </c>
      <c r="T31" s="19" t="str">
        <f>IF(M31="","",[1]!s_info_city(M31))</f>
        <v/>
      </c>
      <c r="U31" s="19" t="str">
        <f>IF(M31="","",[1]!s_info_industry_gics(M31,9))</f>
        <v/>
      </c>
      <c r="V31" s="21" t="str">
        <f>IF(M31="","",[1]!lastradeday_s(M31,$D$7))</f>
        <v/>
      </c>
      <c r="W31" s="23" t="str">
        <f>IF(M31="","",[1]!s_dq_close(M31,V31,3))</f>
        <v/>
      </c>
      <c r="X31" s="25" t="str">
        <f>IF(M31="","",[1]!s_dq_pctchange(M31,V31))</f>
        <v/>
      </c>
      <c r="Y31" s="23" t="str">
        <f>IF(M31="","",[1]!hks_val_ev(M31,V31,"",100000000))</f>
        <v/>
      </c>
      <c r="Z31" s="23" t="str">
        <f>IF(M31="","",[1]!hks_val_mv_ard(M31,V31,"",100000000))</f>
        <v/>
      </c>
      <c r="AA31" s="23" t="str">
        <f>IF(M31="","",[1]!hks_fa_eps_basic(M31,[1]!s_fa_latelyrd_bt(M31,V31),""))</f>
        <v/>
      </c>
      <c r="AB31" s="23" t="str">
        <f>IF(M31="","",[1]!hks_val_pe_ttm(M31,V31))</f>
        <v/>
      </c>
      <c r="AC31" s="23" t="str">
        <f>IF(M31="","",[1]!pb_mrq(M31,V31))</f>
        <v/>
      </c>
      <c r="AD31" s="23" t="str">
        <f>IF(M31="","",[1]!s_val_evtoebitda2(M31,V31))</f>
        <v/>
      </c>
      <c r="AE31" s="23" t="str">
        <f>IF(M31="","",[1]!hks_fa_roa2(M31,[1]!s_fa_latelyrd_bt(M31,V31)))</f>
        <v/>
      </c>
      <c r="AF31" s="23" t="str">
        <f>IF(M31="","",[1]!hks_fa_roe(M31,[1]!s_fa_latelyrd_bt(M31,V31)))</f>
        <v/>
      </c>
      <c r="AG31" s="23" t="str">
        <f>IF(M31="","",[1]!s_share_total(M31,V31,100000000))</f>
        <v/>
      </c>
      <c r="AH31" s="23" t="str">
        <f>IF(M31="","",[1]!hks_share_total(M31,V31,100000000))</f>
        <v/>
      </c>
      <c r="AI31" s="23" t="str">
        <f>IF(M31="","",[1]!hks_share_totala(M31,V31,100000000))</f>
        <v/>
      </c>
      <c r="AJ31" s="23" t="str">
        <f>IF(M31="","",[1]!hks_share_totalb(M31,V31,100000000))</f>
        <v/>
      </c>
      <c r="AK31" s="23" t="str">
        <f>IF(M31="","",[1]!hks_share_h(M31,V31,100000000))</f>
        <v/>
      </c>
      <c r="AL31" s="23" t="str">
        <f>IF(M31="","",[1]!hks_share_oversea(M31,V31,100000000))</f>
        <v/>
      </c>
      <c r="AM31" s="23" t="str">
        <f>IF(M31="","",[1]!hks_holder_name(M31,V31,1))</f>
        <v/>
      </c>
      <c r="AN31" s="23" t="str">
        <f>IF(M31="","",[1]!hks_holder_quantity(M31,V31,1,10000))</f>
        <v/>
      </c>
      <c r="AO31" s="23" t="str">
        <f>IF(M31="","",[1]!hks_holder_pct(M31,V31,1))</f>
        <v/>
      </c>
      <c r="AP31" s="23" t="str">
        <f>IF(M31="","",[1]!s_esg_rating_wind(M31,V31))</f>
        <v/>
      </c>
      <c r="AQ31" s="23" t="str">
        <f>IF(M31="","",[1]!s_esg_score_wind(M31,V31))</f>
        <v/>
      </c>
      <c r="AR31" s="6"/>
    </row>
    <row r="32" spans="3:44" s="2" customFormat="1" x14ac:dyDescent="0.2">
      <c r="C32" s="30"/>
      <c r="D32" s="30"/>
      <c r="E32" s="30"/>
      <c r="F32" s="30"/>
      <c r="G32" s="30"/>
      <c r="H32" s="30"/>
      <c r="I32" s="30"/>
      <c r="L32" s="6"/>
      <c r="M32" s="29"/>
      <c r="N32" s="19" t="str">
        <f>IF(M32="","",[1]!hks_info_name(M32))</f>
        <v/>
      </c>
      <c r="O32" s="18" t="str">
        <f>IF(M32="","",[1]!s_ipo_listeddate(M32))</f>
        <v/>
      </c>
      <c r="P32" s="19" t="str">
        <f>IF(M32="","",[1]!s_info_exchmarket(M32))</f>
        <v/>
      </c>
      <c r="Q32" s="19" t="str">
        <f>IF(M32="","",[1]!s_info_mkt(M32))</f>
        <v/>
      </c>
      <c r="R32" s="19" t="str">
        <f>IF(M32="","",[1]!hks_info_isincode(M32))</f>
        <v/>
      </c>
      <c r="S32" s="19" t="str">
        <f>IF(M32="","",[1]!s_info_province(M32))</f>
        <v/>
      </c>
      <c r="T32" s="19" t="str">
        <f>IF(M32="","",[1]!s_info_city(M32))</f>
        <v/>
      </c>
      <c r="U32" s="19" t="str">
        <f>IF(M32="","",[1]!s_info_industry_gics(M32,9))</f>
        <v/>
      </c>
      <c r="V32" s="21" t="str">
        <f>IF(M32="","",[1]!lastradeday_s(M32,$D$7))</f>
        <v/>
      </c>
      <c r="W32" s="23" t="str">
        <f>IF(M32="","",[1]!s_dq_close(M32,V32,3))</f>
        <v/>
      </c>
      <c r="X32" s="25" t="str">
        <f>IF(M32="","",[1]!s_dq_pctchange(M32,V32))</f>
        <v/>
      </c>
      <c r="Y32" s="23" t="str">
        <f>IF(M32="","",[1]!hks_val_ev(M32,V32,"",100000000))</f>
        <v/>
      </c>
      <c r="Z32" s="23" t="str">
        <f>IF(M32="","",[1]!hks_val_mv_ard(M32,V32,"",100000000))</f>
        <v/>
      </c>
      <c r="AA32" s="23" t="str">
        <f>IF(M32="","",[1]!hks_fa_eps_basic(M32,[1]!s_fa_latelyrd_bt(M32,V32),""))</f>
        <v/>
      </c>
      <c r="AB32" s="23" t="str">
        <f>IF(M32="","",[1]!hks_val_pe_ttm(M32,V32))</f>
        <v/>
      </c>
      <c r="AC32" s="23" t="str">
        <f>IF(M32="","",[1]!pb_mrq(M32,V32))</f>
        <v/>
      </c>
      <c r="AD32" s="23" t="str">
        <f>IF(M32="","",[1]!s_val_evtoebitda2(M32,V32))</f>
        <v/>
      </c>
      <c r="AE32" s="23" t="str">
        <f>IF(M32="","",[1]!hks_fa_roa2(M32,[1]!s_fa_latelyrd_bt(M32,V32)))</f>
        <v/>
      </c>
      <c r="AF32" s="23" t="str">
        <f>IF(M32="","",[1]!hks_fa_roe(M32,[1]!s_fa_latelyrd_bt(M32,V32)))</f>
        <v/>
      </c>
      <c r="AG32" s="23" t="str">
        <f>IF(M32="","",[1]!s_share_total(M32,V32,100000000))</f>
        <v/>
      </c>
      <c r="AH32" s="23" t="str">
        <f>IF(M32="","",[1]!hks_share_total(M32,V32,100000000))</f>
        <v/>
      </c>
      <c r="AI32" s="23" t="str">
        <f>IF(M32="","",[1]!hks_share_totala(M32,V32,100000000))</f>
        <v/>
      </c>
      <c r="AJ32" s="23" t="str">
        <f>IF(M32="","",[1]!hks_share_totalb(M32,V32,100000000))</f>
        <v/>
      </c>
      <c r="AK32" s="23" t="str">
        <f>IF(M32="","",[1]!hks_share_h(M32,V32,100000000))</f>
        <v/>
      </c>
      <c r="AL32" s="23" t="str">
        <f>IF(M32="","",[1]!hks_share_oversea(M32,V32,100000000))</f>
        <v/>
      </c>
      <c r="AM32" s="23" t="str">
        <f>IF(M32="","",[1]!hks_holder_name(M32,V32,1))</f>
        <v/>
      </c>
      <c r="AN32" s="23" t="str">
        <f>IF(M32="","",[1]!hks_holder_quantity(M32,V32,1,10000))</f>
        <v/>
      </c>
      <c r="AO32" s="23" t="str">
        <f>IF(M32="","",[1]!hks_holder_pct(M32,V32,1))</f>
        <v/>
      </c>
      <c r="AP32" s="23" t="str">
        <f>IF(M32="","",[1]!s_esg_rating_wind(M32,V32))</f>
        <v/>
      </c>
      <c r="AQ32" s="23" t="str">
        <f>IF(M32="","",[1]!s_esg_score_wind(M32,V32))</f>
        <v/>
      </c>
      <c r="AR32" s="6"/>
    </row>
    <row r="33" spans="3:44" s="2" customFormat="1" x14ac:dyDescent="0.2">
      <c r="C33" s="30"/>
      <c r="D33" s="30"/>
      <c r="E33" s="30"/>
      <c r="F33" s="30"/>
      <c r="G33" s="30"/>
      <c r="H33" s="30"/>
      <c r="I33" s="30"/>
      <c r="L33" s="6"/>
      <c r="M33" s="29"/>
      <c r="N33" s="19" t="str">
        <f>IF(M33="","",[1]!hks_info_name(M33))</f>
        <v/>
      </c>
      <c r="O33" s="18" t="str">
        <f>IF(M33="","",[1]!s_ipo_listeddate(M33))</f>
        <v/>
      </c>
      <c r="P33" s="19" t="str">
        <f>IF(M33="","",[1]!s_info_exchmarket(M33))</f>
        <v/>
      </c>
      <c r="Q33" s="19" t="str">
        <f>IF(M33="","",[1]!s_info_mkt(M33))</f>
        <v/>
      </c>
      <c r="R33" s="19" t="str">
        <f>IF(M33="","",[1]!hks_info_isincode(M33))</f>
        <v/>
      </c>
      <c r="S33" s="19" t="str">
        <f>IF(M33="","",[1]!s_info_province(M33))</f>
        <v/>
      </c>
      <c r="T33" s="19" t="str">
        <f>IF(M33="","",[1]!s_info_city(M33))</f>
        <v/>
      </c>
      <c r="U33" s="19" t="str">
        <f>IF(M33="","",[1]!s_info_industry_gics(M33,9))</f>
        <v/>
      </c>
      <c r="V33" s="21" t="str">
        <f>IF(M33="","",[1]!lastradeday_s(M33,$D$7))</f>
        <v/>
      </c>
      <c r="W33" s="23" t="str">
        <f>IF(M33="","",[1]!s_dq_close(M33,V33,3))</f>
        <v/>
      </c>
      <c r="X33" s="25" t="str">
        <f>IF(M33="","",[1]!s_dq_pctchange(M33,V33))</f>
        <v/>
      </c>
      <c r="Y33" s="23" t="str">
        <f>IF(M33="","",[1]!hks_val_ev(M33,V33,"",100000000))</f>
        <v/>
      </c>
      <c r="Z33" s="23" t="str">
        <f>IF(M33="","",[1]!hks_val_mv_ard(M33,V33,"",100000000))</f>
        <v/>
      </c>
      <c r="AA33" s="23" t="str">
        <f>IF(M33="","",[1]!hks_fa_eps_basic(M33,[1]!s_fa_latelyrd_bt(M33,V33),""))</f>
        <v/>
      </c>
      <c r="AB33" s="23" t="str">
        <f>IF(M33="","",[1]!hks_val_pe_ttm(M33,V33))</f>
        <v/>
      </c>
      <c r="AC33" s="23" t="str">
        <f>IF(M33="","",[1]!pb_mrq(M33,V33))</f>
        <v/>
      </c>
      <c r="AD33" s="23" t="str">
        <f>IF(M33="","",[1]!s_val_evtoebitda2(M33,V33))</f>
        <v/>
      </c>
      <c r="AE33" s="23" t="str">
        <f>IF(M33="","",[1]!hks_fa_roa2(M33,[1]!s_fa_latelyrd_bt(M33,V33)))</f>
        <v/>
      </c>
      <c r="AF33" s="23" t="str">
        <f>IF(M33="","",[1]!hks_fa_roe(M33,[1]!s_fa_latelyrd_bt(M33,V33)))</f>
        <v/>
      </c>
      <c r="AG33" s="23" t="str">
        <f>IF(M33="","",[1]!s_share_total(M33,V33,100000000))</f>
        <v/>
      </c>
      <c r="AH33" s="23" t="str">
        <f>IF(M33="","",[1]!hks_share_total(M33,V33,100000000))</f>
        <v/>
      </c>
      <c r="AI33" s="23" t="str">
        <f>IF(M33="","",[1]!hks_share_totala(M33,V33,100000000))</f>
        <v/>
      </c>
      <c r="AJ33" s="23" t="str">
        <f>IF(M33="","",[1]!hks_share_totalb(M33,V33,100000000))</f>
        <v/>
      </c>
      <c r="AK33" s="23" t="str">
        <f>IF(M33="","",[1]!hks_share_h(M33,V33,100000000))</f>
        <v/>
      </c>
      <c r="AL33" s="23" t="str">
        <f>IF(M33="","",[1]!hks_share_oversea(M33,V33,100000000))</f>
        <v/>
      </c>
      <c r="AM33" s="23" t="str">
        <f>IF(M33="","",[1]!hks_holder_name(M33,V33,1))</f>
        <v/>
      </c>
      <c r="AN33" s="23" t="str">
        <f>IF(M33="","",[1]!hks_holder_quantity(M33,V33,1,10000))</f>
        <v/>
      </c>
      <c r="AO33" s="23" t="str">
        <f>IF(M33="","",[1]!hks_holder_pct(M33,V33,1))</f>
        <v/>
      </c>
      <c r="AP33" s="23" t="str">
        <f>IF(M33="","",[1]!s_esg_rating_wind(M33,V33))</f>
        <v/>
      </c>
      <c r="AQ33" s="23" t="str">
        <f>IF(M33="","",[1]!s_esg_score_wind(M33,V33))</f>
        <v/>
      </c>
      <c r="AR33" s="6"/>
    </row>
    <row r="34" spans="3:44" s="2" customFormat="1" x14ac:dyDescent="0.2">
      <c r="C34" s="30"/>
      <c r="D34" s="30"/>
      <c r="E34" s="30"/>
      <c r="F34" s="30"/>
      <c r="G34" s="30"/>
      <c r="H34" s="30"/>
      <c r="I34" s="30"/>
      <c r="L34" s="6"/>
      <c r="M34" s="29"/>
      <c r="N34" s="19" t="str">
        <f>IF(M34="","",[1]!hks_info_name(M34))</f>
        <v/>
      </c>
      <c r="O34" s="18" t="str">
        <f>IF(M34="","",[1]!s_ipo_listeddate(M34))</f>
        <v/>
      </c>
      <c r="P34" s="19" t="str">
        <f>IF(M34="","",[1]!s_info_exchmarket(M34))</f>
        <v/>
      </c>
      <c r="Q34" s="19" t="str">
        <f>IF(M34="","",[1]!s_info_mkt(M34))</f>
        <v/>
      </c>
      <c r="R34" s="19" t="str">
        <f>IF(M34="","",[1]!hks_info_isincode(M34))</f>
        <v/>
      </c>
      <c r="S34" s="19" t="str">
        <f>IF(M34="","",[1]!s_info_province(M34))</f>
        <v/>
      </c>
      <c r="T34" s="19" t="str">
        <f>IF(M34="","",[1]!s_info_city(M34))</f>
        <v/>
      </c>
      <c r="U34" s="19" t="str">
        <f>IF(M34="","",[1]!s_info_industry_gics(M34,9))</f>
        <v/>
      </c>
      <c r="V34" s="21" t="str">
        <f>IF(M34="","",[1]!lastradeday_s(M34,$D$7))</f>
        <v/>
      </c>
      <c r="W34" s="23" t="str">
        <f>IF(M34="","",[1]!s_dq_close(M34,V34,3))</f>
        <v/>
      </c>
      <c r="X34" s="25" t="str">
        <f>IF(M34="","",[1]!s_dq_pctchange(M34,V34))</f>
        <v/>
      </c>
      <c r="Y34" s="23" t="str">
        <f>IF(M34="","",[1]!hks_val_ev(M34,V34,"",100000000))</f>
        <v/>
      </c>
      <c r="Z34" s="23" t="str">
        <f>IF(M34="","",[1]!hks_val_mv_ard(M34,V34,"",100000000))</f>
        <v/>
      </c>
      <c r="AA34" s="23" t="str">
        <f>IF(M34="","",[1]!hks_fa_eps_basic(M34,[1]!s_fa_latelyrd_bt(M34,V34),""))</f>
        <v/>
      </c>
      <c r="AB34" s="23" t="str">
        <f>IF(M34="","",[1]!hks_val_pe_ttm(M34,V34))</f>
        <v/>
      </c>
      <c r="AC34" s="23" t="str">
        <f>IF(M34="","",[1]!pb_mrq(M34,V34))</f>
        <v/>
      </c>
      <c r="AD34" s="23" t="str">
        <f>IF(M34="","",[1]!s_val_evtoebitda2(M34,V34))</f>
        <v/>
      </c>
      <c r="AE34" s="23" t="str">
        <f>IF(M34="","",[1]!hks_fa_roa2(M34,[1]!s_fa_latelyrd_bt(M34,V34)))</f>
        <v/>
      </c>
      <c r="AF34" s="23" t="str">
        <f>IF(M34="","",[1]!hks_fa_roe(M34,[1]!s_fa_latelyrd_bt(M34,V34)))</f>
        <v/>
      </c>
      <c r="AG34" s="23" t="str">
        <f>IF(M34="","",[1]!s_share_total(M34,V34,100000000))</f>
        <v/>
      </c>
      <c r="AH34" s="23" t="str">
        <f>IF(M34="","",[1]!hks_share_total(M34,V34,100000000))</f>
        <v/>
      </c>
      <c r="AI34" s="23" t="str">
        <f>IF(M34="","",[1]!hks_share_totala(M34,V34,100000000))</f>
        <v/>
      </c>
      <c r="AJ34" s="23" t="str">
        <f>IF(M34="","",[1]!hks_share_totalb(M34,V34,100000000))</f>
        <v/>
      </c>
      <c r="AK34" s="23" t="str">
        <f>IF(M34="","",[1]!hks_share_h(M34,V34,100000000))</f>
        <v/>
      </c>
      <c r="AL34" s="23" t="str">
        <f>IF(M34="","",[1]!hks_share_oversea(M34,V34,100000000))</f>
        <v/>
      </c>
      <c r="AM34" s="23" t="str">
        <f>IF(M34="","",[1]!hks_holder_name(M34,V34,1))</f>
        <v/>
      </c>
      <c r="AN34" s="23" t="str">
        <f>IF(M34="","",[1]!hks_holder_quantity(M34,V34,1,10000))</f>
        <v/>
      </c>
      <c r="AO34" s="23" t="str">
        <f>IF(M34="","",[1]!hks_holder_pct(M34,V34,1))</f>
        <v/>
      </c>
      <c r="AP34" s="23" t="str">
        <f>IF(M34="","",[1]!s_esg_rating_wind(M34,V34))</f>
        <v/>
      </c>
      <c r="AQ34" s="23" t="str">
        <f>IF(M34="","",[1]!s_esg_score_wind(M34,V34))</f>
        <v/>
      </c>
      <c r="AR34" s="6"/>
    </row>
    <row r="35" spans="3:44" s="2" customFormat="1" x14ac:dyDescent="0.2">
      <c r="C35" s="30"/>
      <c r="D35" s="30"/>
      <c r="E35" s="30"/>
      <c r="F35" s="30"/>
      <c r="G35" s="30"/>
      <c r="H35" s="30"/>
      <c r="I35" s="30"/>
      <c r="L35" s="6"/>
      <c r="M35" s="29"/>
      <c r="N35" s="19" t="str">
        <f>IF(M35="","",[1]!hks_info_name(M35))</f>
        <v/>
      </c>
      <c r="O35" s="18" t="str">
        <f>IF(M35="","",[1]!s_ipo_listeddate(M35))</f>
        <v/>
      </c>
      <c r="P35" s="19" t="str">
        <f>IF(M35="","",[1]!s_info_exchmarket(M35))</f>
        <v/>
      </c>
      <c r="Q35" s="19" t="str">
        <f>IF(M35="","",[1]!s_info_mkt(M35))</f>
        <v/>
      </c>
      <c r="R35" s="19" t="str">
        <f>IF(M35="","",[1]!hks_info_isincode(M35))</f>
        <v/>
      </c>
      <c r="S35" s="19" t="str">
        <f>IF(M35="","",[1]!s_info_province(M35))</f>
        <v/>
      </c>
      <c r="T35" s="19" t="str">
        <f>IF(M35="","",[1]!s_info_city(M35))</f>
        <v/>
      </c>
      <c r="U35" s="19" t="str">
        <f>IF(M35="","",[1]!s_info_industry_gics(M35,9))</f>
        <v/>
      </c>
      <c r="V35" s="21" t="str">
        <f>IF(M35="","",[1]!lastradeday_s(M35,$D$7))</f>
        <v/>
      </c>
      <c r="W35" s="23" t="str">
        <f>IF(M35="","",[1]!s_dq_close(M35,V35,3))</f>
        <v/>
      </c>
      <c r="X35" s="25" t="str">
        <f>IF(M35="","",[1]!s_dq_pctchange(M35,V35))</f>
        <v/>
      </c>
      <c r="Y35" s="23" t="str">
        <f>IF(M35="","",[1]!hks_val_ev(M35,V35,"",100000000))</f>
        <v/>
      </c>
      <c r="Z35" s="23" t="str">
        <f>IF(M35="","",[1]!hks_val_mv_ard(M35,V35,"",100000000))</f>
        <v/>
      </c>
      <c r="AA35" s="23" t="str">
        <f>IF(M35="","",[1]!hks_fa_eps_basic(M35,[1]!s_fa_latelyrd_bt(M35,V35),""))</f>
        <v/>
      </c>
      <c r="AB35" s="23" t="str">
        <f>IF(M35="","",[1]!hks_val_pe_ttm(M35,V35))</f>
        <v/>
      </c>
      <c r="AC35" s="23" t="str">
        <f>IF(M35="","",[1]!pb_mrq(M35,V35))</f>
        <v/>
      </c>
      <c r="AD35" s="23" t="str">
        <f>IF(M35="","",[1]!s_val_evtoebitda2(M35,V35))</f>
        <v/>
      </c>
      <c r="AE35" s="23" t="str">
        <f>IF(M35="","",[1]!hks_fa_roa2(M35,[1]!s_fa_latelyrd_bt(M35,V35)))</f>
        <v/>
      </c>
      <c r="AF35" s="23" t="str">
        <f>IF(M35="","",[1]!hks_fa_roe(M35,[1]!s_fa_latelyrd_bt(M35,V35)))</f>
        <v/>
      </c>
      <c r="AG35" s="23" t="str">
        <f>IF(M35="","",[1]!s_share_total(M35,V35,100000000))</f>
        <v/>
      </c>
      <c r="AH35" s="23" t="str">
        <f>IF(M35="","",[1]!hks_share_total(M35,V35,100000000))</f>
        <v/>
      </c>
      <c r="AI35" s="23" t="str">
        <f>IF(M35="","",[1]!hks_share_totala(M35,V35,100000000))</f>
        <v/>
      </c>
      <c r="AJ35" s="23" t="str">
        <f>IF(M35="","",[1]!hks_share_totalb(M35,V35,100000000))</f>
        <v/>
      </c>
      <c r="AK35" s="23" t="str">
        <f>IF(M35="","",[1]!hks_share_h(M35,V35,100000000))</f>
        <v/>
      </c>
      <c r="AL35" s="23" t="str">
        <f>IF(M35="","",[1]!hks_share_oversea(M35,V35,100000000))</f>
        <v/>
      </c>
      <c r="AM35" s="23" t="str">
        <f>IF(M35="","",[1]!hks_holder_name(M35,V35,1))</f>
        <v/>
      </c>
      <c r="AN35" s="23" t="str">
        <f>IF(M35="","",[1]!hks_holder_quantity(M35,V35,1,10000))</f>
        <v/>
      </c>
      <c r="AO35" s="23" t="str">
        <f>IF(M35="","",[1]!hks_holder_pct(M35,V35,1))</f>
        <v/>
      </c>
      <c r="AP35" s="23" t="str">
        <f>IF(M35="","",[1]!s_esg_rating_wind(M35,V35))</f>
        <v/>
      </c>
      <c r="AQ35" s="23" t="str">
        <f>IF(M35="","",[1]!s_esg_score_wind(M35,V35))</f>
        <v/>
      </c>
      <c r="AR35" s="6"/>
    </row>
    <row r="36" spans="3:44" s="2" customFormat="1" x14ac:dyDescent="0.2">
      <c r="C36" s="30"/>
      <c r="D36" s="30"/>
      <c r="E36" s="30"/>
      <c r="F36" s="30"/>
      <c r="G36" s="30"/>
      <c r="H36" s="30"/>
      <c r="I36" s="30"/>
      <c r="L36" s="6"/>
      <c r="M36" s="29"/>
      <c r="N36" s="19" t="str">
        <f>IF(M36="","",[1]!hks_info_name(M36))</f>
        <v/>
      </c>
      <c r="O36" s="18" t="str">
        <f>IF(M36="","",[1]!s_ipo_listeddate(M36))</f>
        <v/>
      </c>
      <c r="P36" s="19" t="str">
        <f>IF(M36="","",[1]!s_info_exchmarket(M36))</f>
        <v/>
      </c>
      <c r="Q36" s="19" t="str">
        <f>IF(M36="","",[1]!s_info_mkt(M36))</f>
        <v/>
      </c>
      <c r="R36" s="19" t="str">
        <f>IF(M36="","",[1]!hks_info_isincode(M36))</f>
        <v/>
      </c>
      <c r="S36" s="19" t="str">
        <f>IF(M36="","",[1]!s_info_province(M36))</f>
        <v/>
      </c>
      <c r="T36" s="19" t="str">
        <f>IF(M36="","",[1]!s_info_city(M36))</f>
        <v/>
      </c>
      <c r="U36" s="19" t="str">
        <f>IF(M36="","",[1]!s_info_industry_gics(M36,9))</f>
        <v/>
      </c>
      <c r="V36" s="21" t="str">
        <f>IF(M36="","",[1]!lastradeday_s(M36,$D$7))</f>
        <v/>
      </c>
      <c r="W36" s="23" t="str">
        <f>IF(M36="","",[1]!s_dq_close(M36,V36,3))</f>
        <v/>
      </c>
      <c r="X36" s="25" t="str">
        <f>IF(M36="","",[1]!s_dq_pctchange(M36,V36))</f>
        <v/>
      </c>
      <c r="Y36" s="23" t="str">
        <f>IF(M36="","",[1]!hks_val_ev(M36,V36,"",100000000))</f>
        <v/>
      </c>
      <c r="Z36" s="23" t="str">
        <f>IF(M36="","",[1]!hks_val_mv_ard(M36,V36,"",100000000))</f>
        <v/>
      </c>
      <c r="AA36" s="23" t="str">
        <f>IF(M36="","",[1]!hks_fa_eps_basic(M36,[1]!s_fa_latelyrd_bt(M36,V36),""))</f>
        <v/>
      </c>
      <c r="AB36" s="23" t="str">
        <f>IF(M36="","",[1]!hks_val_pe_ttm(M36,V36))</f>
        <v/>
      </c>
      <c r="AC36" s="23" t="str">
        <f>IF(M36="","",[1]!pb_mrq(M36,V36))</f>
        <v/>
      </c>
      <c r="AD36" s="23" t="str">
        <f>IF(M36="","",[1]!s_val_evtoebitda2(M36,V36))</f>
        <v/>
      </c>
      <c r="AE36" s="23" t="str">
        <f>IF(M36="","",[1]!hks_fa_roa2(M36,[1]!s_fa_latelyrd_bt(M36,V36)))</f>
        <v/>
      </c>
      <c r="AF36" s="23" t="str">
        <f>IF(M36="","",[1]!hks_fa_roe(M36,[1]!s_fa_latelyrd_bt(M36,V36)))</f>
        <v/>
      </c>
      <c r="AG36" s="23" t="str">
        <f>IF(M36="","",[1]!s_share_total(M36,V36,100000000))</f>
        <v/>
      </c>
      <c r="AH36" s="23" t="str">
        <f>IF(M36="","",[1]!hks_share_total(M36,V36,100000000))</f>
        <v/>
      </c>
      <c r="AI36" s="23" t="str">
        <f>IF(M36="","",[1]!hks_share_totala(M36,V36,100000000))</f>
        <v/>
      </c>
      <c r="AJ36" s="23" t="str">
        <f>IF(M36="","",[1]!hks_share_totalb(M36,V36,100000000))</f>
        <v/>
      </c>
      <c r="AK36" s="23" t="str">
        <f>IF(M36="","",[1]!hks_share_h(M36,V36,100000000))</f>
        <v/>
      </c>
      <c r="AL36" s="23" t="str">
        <f>IF(M36="","",[1]!hks_share_oversea(M36,V36,100000000))</f>
        <v/>
      </c>
      <c r="AM36" s="23" t="str">
        <f>IF(M36="","",[1]!hks_holder_name(M36,V36,1))</f>
        <v/>
      </c>
      <c r="AN36" s="23" t="str">
        <f>IF(M36="","",[1]!hks_holder_quantity(M36,V36,1,10000))</f>
        <v/>
      </c>
      <c r="AO36" s="23" t="str">
        <f>IF(M36="","",[1]!hks_holder_pct(M36,V36,1))</f>
        <v/>
      </c>
      <c r="AP36" s="23" t="str">
        <f>IF(M36="","",[1]!s_esg_rating_wind(M36,V36))</f>
        <v/>
      </c>
      <c r="AQ36" s="23" t="str">
        <f>IF(M36="","",[1]!s_esg_score_wind(M36,V36))</f>
        <v/>
      </c>
      <c r="AR36" s="6"/>
    </row>
    <row r="37" spans="3:44" s="2" customFormat="1" x14ac:dyDescent="0.2">
      <c r="C37" s="30"/>
      <c r="D37" s="30"/>
      <c r="E37" s="30"/>
      <c r="F37" s="30"/>
      <c r="G37" s="30"/>
      <c r="H37" s="30"/>
      <c r="I37" s="30"/>
      <c r="L37" s="6"/>
      <c r="M37" s="29"/>
      <c r="N37" s="19" t="str">
        <f>IF(M37="","",[1]!hks_info_name(M37))</f>
        <v/>
      </c>
      <c r="O37" s="18" t="str">
        <f>IF(M37="","",[1]!s_ipo_listeddate(M37))</f>
        <v/>
      </c>
      <c r="P37" s="19" t="str">
        <f>IF(M37="","",[1]!s_info_exchmarket(M37))</f>
        <v/>
      </c>
      <c r="Q37" s="19" t="str">
        <f>IF(M37="","",[1]!s_info_mkt(M37))</f>
        <v/>
      </c>
      <c r="R37" s="19" t="str">
        <f>IF(M37="","",[1]!hks_info_isincode(M37))</f>
        <v/>
      </c>
      <c r="S37" s="19" t="str">
        <f>IF(M37="","",[1]!s_info_province(M37))</f>
        <v/>
      </c>
      <c r="T37" s="19" t="str">
        <f>IF(M37="","",[1]!s_info_city(M37))</f>
        <v/>
      </c>
      <c r="U37" s="19" t="str">
        <f>IF(M37="","",[1]!s_info_industry_gics(M37,9))</f>
        <v/>
      </c>
      <c r="V37" s="21" t="str">
        <f>IF(M37="","",[1]!lastradeday_s(M37,$D$7))</f>
        <v/>
      </c>
      <c r="W37" s="23" t="str">
        <f>IF(M37="","",[1]!s_dq_close(M37,V37,3))</f>
        <v/>
      </c>
      <c r="X37" s="25" t="str">
        <f>IF(M37="","",[1]!s_dq_pctchange(M37,V37))</f>
        <v/>
      </c>
      <c r="Y37" s="23" t="str">
        <f>IF(M37="","",[1]!hks_val_ev(M37,V37,"",100000000))</f>
        <v/>
      </c>
      <c r="Z37" s="23" t="str">
        <f>IF(M37="","",[1]!hks_val_mv_ard(M37,V37,"",100000000))</f>
        <v/>
      </c>
      <c r="AA37" s="23" t="str">
        <f>IF(M37="","",[1]!hks_fa_eps_basic(M37,[1]!s_fa_latelyrd_bt(M37,V37),""))</f>
        <v/>
      </c>
      <c r="AB37" s="23" t="str">
        <f>IF(M37="","",[1]!hks_val_pe_ttm(M37,V37))</f>
        <v/>
      </c>
      <c r="AC37" s="23" t="str">
        <f>IF(M37="","",[1]!pb_mrq(M37,V37))</f>
        <v/>
      </c>
      <c r="AD37" s="23" t="str">
        <f>IF(M37="","",[1]!s_val_evtoebitda2(M37,V37))</f>
        <v/>
      </c>
      <c r="AE37" s="23" t="str">
        <f>IF(M37="","",[1]!hks_fa_roa2(M37,[1]!s_fa_latelyrd_bt(M37,V37)))</f>
        <v/>
      </c>
      <c r="AF37" s="23" t="str">
        <f>IF(M37="","",[1]!hks_fa_roe(M37,[1]!s_fa_latelyrd_bt(M37,V37)))</f>
        <v/>
      </c>
      <c r="AG37" s="23" t="str">
        <f>IF(M37="","",[1]!s_share_total(M37,V37,100000000))</f>
        <v/>
      </c>
      <c r="AH37" s="23" t="str">
        <f>IF(M37="","",[1]!hks_share_total(M37,V37,100000000))</f>
        <v/>
      </c>
      <c r="AI37" s="23" t="str">
        <f>IF(M37="","",[1]!hks_share_totala(M37,V37,100000000))</f>
        <v/>
      </c>
      <c r="AJ37" s="23" t="str">
        <f>IF(M37="","",[1]!hks_share_totalb(M37,V37,100000000))</f>
        <v/>
      </c>
      <c r="AK37" s="23" t="str">
        <f>IF(M37="","",[1]!hks_share_h(M37,V37,100000000))</f>
        <v/>
      </c>
      <c r="AL37" s="23" t="str">
        <f>IF(M37="","",[1]!hks_share_oversea(M37,V37,100000000))</f>
        <v/>
      </c>
      <c r="AM37" s="23" t="str">
        <f>IF(M37="","",[1]!hks_holder_name(M37,V37,1))</f>
        <v/>
      </c>
      <c r="AN37" s="23" t="str">
        <f>IF(M37="","",[1]!hks_holder_quantity(M37,V37,1,10000))</f>
        <v/>
      </c>
      <c r="AO37" s="23" t="str">
        <f>IF(M37="","",[1]!hks_holder_pct(M37,V37,1))</f>
        <v/>
      </c>
      <c r="AP37" s="23" t="str">
        <f>IF(M37="","",[1]!s_esg_rating_wind(M37,V37))</f>
        <v/>
      </c>
      <c r="AQ37" s="23" t="str">
        <f>IF(M37="","",[1]!s_esg_score_wind(M37,V37))</f>
        <v/>
      </c>
      <c r="AR37" s="6"/>
    </row>
    <row r="38" spans="3:44" s="2" customFormat="1" x14ac:dyDescent="0.2">
      <c r="C38" s="30"/>
      <c r="D38" s="30"/>
      <c r="E38" s="30"/>
      <c r="F38" s="30"/>
      <c r="G38" s="30"/>
      <c r="H38" s="30"/>
      <c r="I38" s="30"/>
      <c r="L38" s="6"/>
      <c r="M38" s="29"/>
      <c r="N38" s="19" t="str">
        <f>IF(M38="","",[1]!hks_info_name(M38))</f>
        <v/>
      </c>
      <c r="O38" s="18" t="str">
        <f>IF(M38="","",[1]!s_ipo_listeddate(M38))</f>
        <v/>
      </c>
      <c r="P38" s="19" t="str">
        <f>IF(M38="","",[1]!s_info_exchmarket(M38))</f>
        <v/>
      </c>
      <c r="Q38" s="19" t="str">
        <f>IF(M38="","",[1]!s_info_mkt(M38))</f>
        <v/>
      </c>
      <c r="R38" s="19" t="str">
        <f>IF(M38="","",[1]!hks_info_isincode(M38))</f>
        <v/>
      </c>
      <c r="S38" s="19" t="str">
        <f>IF(M38="","",[1]!s_info_province(M38))</f>
        <v/>
      </c>
      <c r="T38" s="19" t="str">
        <f>IF(M38="","",[1]!s_info_city(M38))</f>
        <v/>
      </c>
      <c r="U38" s="19" t="str">
        <f>IF(M38="","",[1]!s_info_industry_gics(M38,9))</f>
        <v/>
      </c>
      <c r="V38" s="21" t="str">
        <f>IF(M38="","",[1]!lastradeday_s(M38,$D$7))</f>
        <v/>
      </c>
      <c r="W38" s="23" t="str">
        <f>IF(M38="","",[1]!s_dq_close(M38,V38,3))</f>
        <v/>
      </c>
      <c r="X38" s="25" t="str">
        <f>IF(M38="","",[1]!s_dq_pctchange(M38,V38))</f>
        <v/>
      </c>
      <c r="Y38" s="23" t="str">
        <f>IF(M38="","",[1]!hks_val_ev(M38,V38,"",100000000))</f>
        <v/>
      </c>
      <c r="Z38" s="23" t="str">
        <f>IF(M38="","",[1]!hks_val_mv_ard(M38,V38,"",100000000))</f>
        <v/>
      </c>
      <c r="AA38" s="23" t="str">
        <f>IF(M38="","",[1]!hks_fa_eps_basic(M38,[1]!s_fa_latelyrd_bt(M38,V38),""))</f>
        <v/>
      </c>
      <c r="AB38" s="23" t="str">
        <f>IF(M38="","",[1]!hks_val_pe_ttm(M38,V38))</f>
        <v/>
      </c>
      <c r="AC38" s="23" t="str">
        <f>IF(M38="","",[1]!pb_mrq(M38,V38))</f>
        <v/>
      </c>
      <c r="AD38" s="23" t="str">
        <f>IF(M38="","",[1]!s_val_evtoebitda2(M38,V38))</f>
        <v/>
      </c>
      <c r="AE38" s="23" t="str">
        <f>IF(M38="","",[1]!hks_fa_roa2(M38,[1]!s_fa_latelyrd_bt(M38,V38)))</f>
        <v/>
      </c>
      <c r="AF38" s="23" t="str">
        <f>IF(M38="","",[1]!hks_fa_roe(M38,[1]!s_fa_latelyrd_bt(M38,V38)))</f>
        <v/>
      </c>
      <c r="AG38" s="23" t="str">
        <f>IF(M38="","",[1]!s_share_total(M38,V38,100000000))</f>
        <v/>
      </c>
      <c r="AH38" s="23" t="str">
        <f>IF(M38="","",[1]!hks_share_total(M38,V38,100000000))</f>
        <v/>
      </c>
      <c r="AI38" s="23" t="str">
        <f>IF(M38="","",[1]!hks_share_totala(M38,V38,100000000))</f>
        <v/>
      </c>
      <c r="AJ38" s="23" t="str">
        <f>IF(M38="","",[1]!hks_share_totalb(M38,V38,100000000))</f>
        <v/>
      </c>
      <c r="AK38" s="23" t="str">
        <f>IF(M38="","",[1]!hks_share_h(M38,V38,100000000))</f>
        <v/>
      </c>
      <c r="AL38" s="23" t="str">
        <f>IF(M38="","",[1]!hks_share_oversea(M38,V38,100000000))</f>
        <v/>
      </c>
      <c r="AM38" s="23" t="str">
        <f>IF(M38="","",[1]!hks_holder_name(M38,V38,1))</f>
        <v/>
      </c>
      <c r="AN38" s="23" t="str">
        <f>IF(M38="","",[1]!hks_holder_quantity(M38,V38,1,10000))</f>
        <v/>
      </c>
      <c r="AO38" s="23" t="str">
        <f>IF(M38="","",[1]!hks_holder_pct(M38,V38,1))</f>
        <v/>
      </c>
      <c r="AP38" s="23" t="str">
        <f>IF(M38="","",[1]!s_esg_rating_wind(M38,V38))</f>
        <v/>
      </c>
      <c r="AQ38" s="23" t="str">
        <f>IF(M38="","",[1]!s_esg_score_wind(M38,V38))</f>
        <v/>
      </c>
      <c r="AR38" s="6"/>
    </row>
    <row r="39" spans="3:44" s="2" customFormat="1" x14ac:dyDescent="0.2">
      <c r="C39" s="30"/>
      <c r="D39" s="30"/>
      <c r="E39" s="30"/>
      <c r="F39" s="30"/>
      <c r="G39" s="30"/>
      <c r="H39" s="30"/>
      <c r="I39" s="30"/>
      <c r="L39" s="6"/>
      <c r="M39" s="29"/>
      <c r="N39" s="19" t="str">
        <f>IF(M39="","",[1]!hks_info_name(M39))</f>
        <v/>
      </c>
      <c r="O39" s="18" t="str">
        <f>IF(M39="","",[1]!s_ipo_listeddate(M39))</f>
        <v/>
      </c>
      <c r="P39" s="19" t="str">
        <f>IF(M39="","",[1]!s_info_exchmarket(M39))</f>
        <v/>
      </c>
      <c r="Q39" s="19" t="str">
        <f>IF(M39="","",[1]!s_info_mkt(M39))</f>
        <v/>
      </c>
      <c r="R39" s="19" t="str">
        <f>IF(M39="","",[1]!hks_info_isincode(M39))</f>
        <v/>
      </c>
      <c r="S39" s="19" t="str">
        <f>IF(M39="","",[1]!s_info_province(M39))</f>
        <v/>
      </c>
      <c r="T39" s="19" t="str">
        <f>IF(M39="","",[1]!s_info_city(M39))</f>
        <v/>
      </c>
      <c r="U39" s="19" t="str">
        <f>IF(M39="","",[1]!s_info_industry_gics(M39,9))</f>
        <v/>
      </c>
      <c r="V39" s="21" t="str">
        <f>IF(M39="","",[1]!lastradeday_s(M39,$D$7))</f>
        <v/>
      </c>
      <c r="W39" s="23" t="str">
        <f>IF(M39="","",[1]!s_dq_close(M39,V39,3))</f>
        <v/>
      </c>
      <c r="X39" s="25" t="str">
        <f>IF(M39="","",[1]!s_dq_pctchange(M39,V39))</f>
        <v/>
      </c>
      <c r="Y39" s="23" t="str">
        <f>IF(M39="","",[1]!hks_val_ev(M39,V39,"",100000000))</f>
        <v/>
      </c>
      <c r="Z39" s="23" t="str">
        <f>IF(M39="","",[1]!hks_val_mv_ard(M39,V39,"",100000000))</f>
        <v/>
      </c>
      <c r="AA39" s="23" t="str">
        <f>IF(M39="","",[1]!hks_fa_eps_basic(M39,[1]!s_fa_latelyrd_bt(M39,V39),""))</f>
        <v/>
      </c>
      <c r="AB39" s="23" t="str">
        <f>IF(M39="","",[1]!hks_val_pe_ttm(M39,V39))</f>
        <v/>
      </c>
      <c r="AC39" s="23" t="str">
        <f>IF(M39="","",[1]!pb_mrq(M39,V39))</f>
        <v/>
      </c>
      <c r="AD39" s="23" t="str">
        <f>IF(M39="","",[1]!s_val_evtoebitda2(M39,V39))</f>
        <v/>
      </c>
      <c r="AE39" s="23" t="str">
        <f>IF(M39="","",[1]!hks_fa_roa2(M39,[1]!s_fa_latelyrd_bt(M39,V39)))</f>
        <v/>
      </c>
      <c r="AF39" s="23" t="str">
        <f>IF(M39="","",[1]!hks_fa_roe(M39,[1]!s_fa_latelyrd_bt(M39,V39)))</f>
        <v/>
      </c>
      <c r="AG39" s="23" t="str">
        <f>IF(M39="","",[1]!s_share_total(M39,V39,100000000))</f>
        <v/>
      </c>
      <c r="AH39" s="23" t="str">
        <f>IF(M39="","",[1]!hks_share_total(M39,V39,100000000))</f>
        <v/>
      </c>
      <c r="AI39" s="23" t="str">
        <f>IF(M39="","",[1]!hks_share_totala(M39,V39,100000000))</f>
        <v/>
      </c>
      <c r="AJ39" s="23" t="str">
        <f>IF(M39="","",[1]!hks_share_totalb(M39,V39,100000000))</f>
        <v/>
      </c>
      <c r="AK39" s="23" t="str">
        <f>IF(M39="","",[1]!hks_share_h(M39,V39,100000000))</f>
        <v/>
      </c>
      <c r="AL39" s="23" t="str">
        <f>IF(M39="","",[1]!hks_share_oversea(M39,V39,100000000))</f>
        <v/>
      </c>
      <c r="AM39" s="23" t="str">
        <f>IF(M39="","",[1]!hks_holder_name(M39,V39,1))</f>
        <v/>
      </c>
      <c r="AN39" s="23" t="str">
        <f>IF(M39="","",[1]!hks_holder_quantity(M39,V39,1,10000))</f>
        <v/>
      </c>
      <c r="AO39" s="23" t="str">
        <f>IF(M39="","",[1]!hks_holder_pct(M39,V39,1))</f>
        <v/>
      </c>
      <c r="AP39" s="23" t="str">
        <f>IF(M39="","",[1]!s_esg_rating_wind(M39,V39))</f>
        <v/>
      </c>
      <c r="AQ39" s="23" t="str">
        <f>IF(M39="","",[1]!s_esg_score_wind(M39,V39))</f>
        <v/>
      </c>
      <c r="AR39" s="6"/>
    </row>
    <row r="40" spans="3:44" s="2" customFormat="1" x14ac:dyDescent="0.2">
      <c r="C40" s="30"/>
      <c r="D40" s="30"/>
      <c r="E40" s="30"/>
      <c r="F40" s="30"/>
      <c r="G40" s="30"/>
      <c r="H40" s="30"/>
      <c r="I40" s="30"/>
      <c r="L40" s="6"/>
      <c r="M40" s="29"/>
      <c r="N40" s="19" t="str">
        <f>IF(M40="","",[1]!hks_info_name(M40))</f>
        <v/>
      </c>
      <c r="O40" s="18" t="str">
        <f>IF(M40="","",[1]!s_ipo_listeddate(M40))</f>
        <v/>
      </c>
      <c r="P40" s="19" t="str">
        <f>IF(M40="","",[1]!s_info_exchmarket(M40))</f>
        <v/>
      </c>
      <c r="Q40" s="19" t="str">
        <f>IF(M40="","",[1]!s_info_mkt(M40))</f>
        <v/>
      </c>
      <c r="R40" s="19" t="str">
        <f>IF(M40="","",[1]!hks_info_isincode(M40))</f>
        <v/>
      </c>
      <c r="S40" s="19" t="str">
        <f>IF(M40="","",[1]!s_info_province(M40))</f>
        <v/>
      </c>
      <c r="T40" s="19" t="str">
        <f>IF(M40="","",[1]!s_info_city(M40))</f>
        <v/>
      </c>
      <c r="U40" s="19" t="str">
        <f>IF(M40="","",[1]!s_info_industry_gics(M40,9))</f>
        <v/>
      </c>
      <c r="V40" s="21" t="str">
        <f>IF(M40="","",[1]!lastradeday_s(M40,$D$7))</f>
        <v/>
      </c>
      <c r="W40" s="23" t="str">
        <f>IF(M40="","",[1]!s_dq_close(M40,V40,3))</f>
        <v/>
      </c>
      <c r="X40" s="25" t="str">
        <f>IF(M40="","",[1]!s_dq_pctchange(M40,V40))</f>
        <v/>
      </c>
      <c r="Y40" s="23" t="str">
        <f>IF(M40="","",[1]!hks_val_ev(M40,V40,"",100000000))</f>
        <v/>
      </c>
      <c r="Z40" s="23" t="str">
        <f>IF(M40="","",[1]!hks_val_mv_ard(M40,V40,"",100000000))</f>
        <v/>
      </c>
      <c r="AA40" s="23" t="str">
        <f>IF(M40="","",[1]!hks_fa_eps_basic(M40,[1]!s_fa_latelyrd_bt(M40,V40),""))</f>
        <v/>
      </c>
      <c r="AB40" s="23" t="str">
        <f>IF(M40="","",[1]!hks_val_pe_ttm(M40,V40))</f>
        <v/>
      </c>
      <c r="AC40" s="23" t="str">
        <f>IF(M40="","",[1]!pb_mrq(M40,V40))</f>
        <v/>
      </c>
      <c r="AD40" s="23" t="str">
        <f>IF(M40="","",[1]!s_val_evtoebitda2(M40,V40))</f>
        <v/>
      </c>
      <c r="AE40" s="23" t="str">
        <f>IF(M40="","",[1]!hks_fa_roa2(M40,[1]!s_fa_latelyrd_bt(M40,V40)))</f>
        <v/>
      </c>
      <c r="AF40" s="23" t="str">
        <f>IF(M40="","",[1]!hks_fa_roe(M40,[1]!s_fa_latelyrd_bt(M40,V40)))</f>
        <v/>
      </c>
      <c r="AG40" s="23" t="str">
        <f>IF(M40="","",[1]!s_share_total(M40,V40,100000000))</f>
        <v/>
      </c>
      <c r="AH40" s="23" t="str">
        <f>IF(M40="","",[1]!hks_share_total(M40,V40,100000000))</f>
        <v/>
      </c>
      <c r="AI40" s="23" t="str">
        <f>IF(M40="","",[1]!hks_share_totala(M40,V40,100000000))</f>
        <v/>
      </c>
      <c r="AJ40" s="23" t="str">
        <f>IF(M40="","",[1]!hks_share_totalb(M40,V40,100000000))</f>
        <v/>
      </c>
      <c r="AK40" s="23" t="str">
        <f>IF(M40="","",[1]!hks_share_h(M40,V40,100000000))</f>
        <v/>
      </c>
      <c r="AL40" s="23" t="str">
        <f>IF(M40="","",[1]!hks_share_oversea(M40,V40,100000000))</f>
        <v/>
      </c>
      <c r="AM40" s="23" t="str">
        <f>IF(M40="","",[1]!hks_holder_name(M40,V40,1))</f>
        <v/>
      </c>
      <c r="AN40" s="23" t="str">
        <f>IF(M40="","",[1]!hks_holder_quantity(M40,V40,1,10000))</f>
        <v/>
      </c>
      <c r="AO40" s="23" t="str">
        <f>IF(M40="","",[1]!hks_holder_pct(M40,V40,1))</f>
        <v/>
      </c>
      <c r="AP40" s="23" t="str">
        <f>IF(M40="","",[1]!s_esg_rating_wind(M40,V40))</f>
        <v/>
      </c>
      <c r="AQ40" s="23" t="str">
        <f>IF(M40="","",[1]!s_esg_score_wind(M40,V40))</f>
        <v/>
      </c>
      <c r="AR40" s="6"/>
    </row>
    <row r="41" spans="3:44" s="2" customFormat="1" x14ac:dyDescent="0.2">
      <c r="C41" s="30"/>
      <c r="D41" s="30"/>
      <c r="E41" s="30"/>
      <c r="F41" s="30"/>
      <c r="G41" s="30"/>
      <c r="H41" s="30"/>
      <c r="I41" s="30"/>
      <c r="L41" s="6"/>
      <c r="M41" s="29"/>
      <c r="N41" s="19" t="str">
        <f>IF(M41="","",[1]!hks_info_name(M41))</f>
        <v/>
      </c>
      <c r="O41" s="18" t="str">
        <f>IF(M41="","",[1]!s_ipo_listeddate(M41))</f>
        <v/>
      </c>
      <c r="P41" s="19" t="str">
        <f>IF(M41="","",[1]!s_info_exchmarket(M41))</f>
        <v/>
      </c>
      <c r="Q41" s="19" t="str">
        <f>IF(M41="","",[1]!s_info_mkt(M41))</f>
        <v/>
      </c>
      <c r="R41" s="19" t="str">
        <f>IF(M41="","",[1]!hks_info_isincode(M41))</f>
        <v/>
      </c>
      <c r="S41" s="19" t="str">
        <f>IF(M41="","",[1]!s_info_province(M41))</f>
        <v/>
      </c>
      <c r="T41" s="19" t="str">
        <f>IF(M41="","",[1]!s_info_city(M41))</f>
        <v/>
      </c>
      <c r="U41" s="19" t="str">
        <f>IF(M41="","",[1]!s_info_industry_gics(M41,9))</f>
        <v/>
      </c>
      <c r="V41" s="21" t="str">
        <f>IF(M41="","",[1]!lastradeday_s(M41,$D$7))</f>
        <v/>
      </c>
      <c r="W41" s="23" t="str">
        <f>IF(M41="","",[1]!s_dq_close(M41,V41,3))</f>
        <v/>
      </c>
      <c r="X41" s="25" t="str">
        <f>IF(M41="","",[1]!s_dq_pctchange(M41,V41))</f>
        <v/>
      </c>
      <c r="Y41" s="23" t="str">
        <f>IF(M41="","",[1]!hks_val_ev(M41,V41,"",100000000))</f>
        <v/>
      </c>
      <c r="Z41" s="23" t="str">
        <f>IF(M41="","",[1]!hks_val_mv_ard(M41,V41,"",100000000))</f>
        <v/>
      </c>
      <c r="AA41" s="23" t="str">
        <f>IF(M41="","",[1]!hks_fa_eps_basic(M41,[1]!s_fa_latelyrd_bt(M41,V41),""))</f>
        <v/>
      </c>
      <c r="AB41" s="23" t="str">
        <f>IF(M41="","",[1]!hks_val_pe_ttm(M41,V41))</f>
        <v/>
      </c>
      <c r="AC41" s="23" t="str">
        <f>IF(M41="","",[1]!pb_mrq(M41,V41))</f>
        <v/>
      </c>
      <c r="AD41" s="23" t="str">
        <f>IF(M41="","",[1]!s_val_evtoebitda2(M41,V41))</f>
        <v/>
      </c>
      <c r="AE41" s="23" t="str">
        <f>IF(M41="","",[1]!hks_fa_roa2(M41,[1]!s_fa_latelyrd_bt(M41,V41)))</f>
        <v/>
      </c>
      <c r="AF41" s="23" t="str">
        <f>IF(M41="","",[1]!hks_fa_roe(M41,[1]!s_fa_latelyrd_bt(M41,V41)))</f>
        <v/>
      </c>
      <c r="AG41" s="23" t="str">
        <f>IF(M41="","",[1]!s_share_total(M41,V41,100000000))</f>
        <v/>
      </c>
      <c r="AH41" s="23" t="str">
        <f>IF(M41="","",[1]!hks_share_total(M41,V41,100000000))</f>
        <v/>
      </c>
      <c r="AI41" s="23" t="str">
        <f>IF(M41="","",[1]!hks_share_totala(M41,V41,100000000))</f>
        <v/>
      </c>
      <c r="AJ41" s="23" t="str">
        <f>IF(M41="","",[1]!hks_share_totalb(M41,V41,100000000))</f>
        <v/>
      </c>
      <c r="AK41" s="23" t="str">
        <f>IF(M41="","",[1]!hks_share_h(M41,V41,100000000))</f>
        <v/>
      </c>
      <c r="AL41" s="23" t="str">
        <f>IF(M41="","",[1]!hks_share_oversea(M41,V41,100000000))</f>
        <v/>
      </c>
      <c r="AM41" s="23" t="str">
        <f>IF(M41="","",[1]!hks_holder_name(M41,V41,1))</f>
        <v/>
      </c>
      <c r="AN41" s="23" t="str">
        <f>IF(M41="","",[1]!hks_holder_quantity(M41,V41,1,10000))</f>
        <v/>
      </c>
      <c r="AO41" s="23" t="str">
        <f>IF(M41="","",[1]!hks_holder_pct(M41,V41,1))</f>
        <v/>
      </c>
      <c r="AP41" s="23" t="str">
        <f>IF(M41="","",[1]!s_esg_rating_wind(M41,V41))</f>
        <v/>
      </c>
      <c r="AQ41" s="23" t="str">
        <f>IF(M41="","",[1]!s_esg_score_wind(M41,V41))</f>
        <v/>
      </c>
      <c r="AR41" s="6"/>
    </row>
    <row r="42" spans="3:44" s="2" customFormat="1" x14ac:dyDescent="0.2">
      <c r="C42" s="30"/>
      <c r="D42" s="75"/>
      <c r="E42" s="30"/>
      <c r="F42" s="30"/>
      <c r="G42" s="30"/>
      <c r="H42" s="30"/>
      <c r="I42" s="30"/>
      <c r="L42" s="6"/>
      <c r="M42" s="29"/>
      <c r="N42" s="19" t="str">
        <f>IF(M42="","",[1]!hks_info_name(M42))</f>
        <v/>
      </c>
      <c r="O42" s="18" t="str">
        <f>IF(M42="","",[1]!s_ipo_listeddate(M42))</f>
        <v/>
      </c>
      <c r="P42" s="19" t="str">
        <f>IF(M42="","",[1]!s_info_exchmarket(M42))</f>
        <v/>
      </c>
      <c r="Q42" s="19" t="str">
        <f>IF(M42="","",[1]!s_info_mkt(M42))</f>
        <v/>
      </c>
      <c r="R42" s="19" t="str">
        <f>IF(M42="","",[1]!hks_info_isincode(M42))</f>
        <v/>
      </c>
      <c r="S42" s="19" t="str">
        <f>IF(M42="","",[1]!s_info_province(M42))</f>
        <v/>
      </c>
      <c r="T42" s="19" t="str">
        <f>IF(M42="","",[1]!s_info_city(M42))</f>
        <v/>
      </c>
      <c r="U42" s="19" t="str">
        <f>IF(M42="","",[1]!s_info_industry_gics(M42,9))</f>
        <v/>
      </c>
      <c r="V42" s="21" t="str">
        <f>IF(M42="","",[1]!lastradeday_s(M42,$D$7))</f>
        <v/>
      </c>
      <c r="W42" s="23" t="str">
        <f>IF(M42="","",[1]!s_dq_close(M42,V42,3))</f>
        <v/>
      </c>
      <c r="X42" s="25" t="str">
        <f>IF(M42="","",[1]!s_dq_pctchange(M42,V42))</f>
        <v/>
      </c>
      <c r="Y42" s="23" t="str">
        <f>IF(M42="","",[1]!hks_val_ev(M42,V42,"",100000000))</f>
        <v/>
      </c>
      <c r="Z42" s="23" t="str">
        <f>IF(M42="","",[1]!hks_val_mv_ard(M42,V42,"",100000000))</f>
        <v/>
      </c>
      <c r="AA42" s="23" t="str">
        <f>IF(M42="","",[1]!hks_fa_eps_basic(M42,[1]!s_fa_latelyrd_bt(M42,V42),""))</f>
        <v/>
      </c>
      <c r="AB42" s="23" t="str">
        <f>IF(M42="","",[1]!hks_val_pe_ttm(M42,V42))</f>
        <v/>
      </c>
      <c r="AC42" s="23" t="str">
        <f>IF(M42="","",[1]!pb_mrq(M42,V42))</f>
        <v/>
      </c>
      <c r="AD42" s="23" t="str">
        <f>IF(M42="","",[1]!s_val_evtoebitda2(M42,V42))</f>
        <v/>
      </c>
      <c r="AE42" s="23" t="str">
        <f>IF(M42="","",[1]!hks_fa_roa2(M42,[1]!s_fa_latelyrd_bt(M42,V42)))</f>
        <v/>
      </c>
      <c r="AF42" s="23" t="str">
        <f>IF(M42="","",[1]!hks_fa_roe(M42,[1]!s_fa_latelyrd_bt(M42,V42)))</f>
        <v/>
      </c>
      <c r="AG42" s="23" t="str">
        <f>IF(M42="","",[1]!s_share_total(M42,V42,100000000))</f>
        <v/>
      </c>
      <c r="AH42" s="23" t="str">
        <f>IF(M42="","",[1]!hks_share_total(M42,V42,100000000))</f>
        <v/>
      </c>
      <c r="AI42" s="23" t="str">
        <f>IF(M42="","",[1]!hks_share_totala(M42,V42,100000000))</f>
        <v/>
      </c>
      <c r="AJ42" s="23" t="str">
        <f>IF(M42="","",[1]!hks_share_totalb(M42,V42,100000000))</f>
        <v/>
      </c>
      <c r="AK42" s="23" t="str">
        <f>IF(M42="","",[1]!hks_share_h(M42,V42,100000000))</f>
        <v/>
      </c>
      <c r="AL42" s="23" t="str">
        <f>IF(M42="","",[1]!hks_share_oversea(M42,V42,100000000))</f>
        <v/>
      </c>
      <c r="AM42" s="23" t="str">
        <f>IF(M42="","",[1]!hks_holder_name(M42,V42,1))</f>
        <v/>
      </c>
      <c r="AN42" s="23" t="str">
        <f>IF(M42="","",[1]!hks_holder_quantity(M42,V42,1,10000))</f>
        <v/>
      </c>
      <c r="AO42" s="23" t="str">
        <f>IF(M42="","",[1]!hks_holder_pct(M42,V42,1))</f>
        <v/>
      </c>
      <c r="AP42" s="23" t="str">
        <f>IF(M42="","",[1]!s_esg_rating_wind(M42,V42))</f>
        <v/>
      </c>
      <c r="AQ42" s="23" t="str">
        <f>IF(M42="","",[1]!s_esg_score_wind(M42,V42))</f>
        <v/>
      </c>
      <c r="AR42" s="6"/>
    </row>
    <row r="43" spans="3:44" s="2" customFormat="1" x14ac:dyDescent="0.2">
      <c r="C43" s="30"/>
      <c r="D43" s="30"/>
      <c r="E43" s="30"/>
      <c r="F43" s="30"/>
      <c r="G43" s="30"/>
      <c r="H43" s="30"/>
      <c r="I43" s="30"/>
      <c r="L43" s="6"/>
      <c r="M43" s="29"/>
      <c r="N43" s="19" t="str">
        <f>IF(M43="","",[1]!hks_info_name(M43))</f>
        <v/>
      </c>
      <c r="O43" s="18" t="str">
        <f>IF(M43="","",[1]!s_ipo_listeddate(M43))</f>
        <v/>
      </c>
      <c r="P43" s="19" t="str">
        <f>IF(M43="","",[1]!s_info_exchmarket(M43))</f>
        <v/>
      </c>
      <c r="Q43" s="19" t="str">
        <f>IF(M43="","",[1]!s_info_mkt(M43))</f>
        <v/>
      </c>
      <c r="R43" s="19" t="str">
        <f>IF(M43="","",[1]!hks_info_isincode(M43))</f>
        <v/>
      </c>
      <c r="S43" s="19" t="str">
        <f>IF(M43="","",[1]!s_info_province(M43))</f>
        <v/>
      </c>
      <c r="T43" s="19" t="str">
        <f>IF(M43="","",[1]!s_info_city(M43))</f>
        <v/>
      </c>
      <c r="U43" s="19" t="str">
        <f>IF(M43="","",[1]!s_info_industry_gics(M43,9))</f>
        <v/>
      </c>
      <c r="V43" s="21" t="str">
        <f>IF(M43="","",[1]!lastradeday_s(M43,$D$7))</f>
        <v/>
      </c>
      <c r="W43" s="23" t="str">
        <f>IF(M43="","",[1]!s_dq_close(M43,V43,3))</f>
        <v/>
      </c>
      <c r="X43" s="25" t="str">
        <f>IF(M43="","",[1]!s_dq_pctchange(M43,V43))</f>
        <v/>
      </c>
      <c r="Y43" s="23" t="str">
        <f>IF(M43="","",[1]!hks_val_ev(M43,V43,"",100000000))</f>
        <v/>
      </c>
      <c r="Z43" s="23" t="str">
        <f>IF(M43="","",[1]!hks_val_mv_ard(M43,V43,"",100000000))</f>
        <v/>
      </c>
      <c r="AA43" s="23" t="str">
        <f>IF(M43="","",[1]!hks_fa_eps_basic(M43,[1]!s_fa_latelyrd_bt(M43,V43),""))</f>
        <v/>
      </c>
      <c r="AB43" s="23" t="str">
        <f>IF(M43="","",[1]!hks_val_pe_ttm(M43,V43))</f>
        <v/>
      </c>
      <c r="AC43" s="23" t="str">
        <f>IF(M43="","",[1]!pb_mrq(M43,V43))</f>
        <v/>
      </c>
      <c r="AD43" s="23" t="str">
        <f>IF(M43="","",[1]!s_val_evtoebitda2(M43,V43))</f>
        <v/>
      </c>
      <c r="AE43" s="23" t="str">
        <f>IF(M43="","",[1]!hks_fa_roa2(M43,[1]!s_fa_latelyrd_bt(M43,V43)))</f>
        <v/>
      </c>
      <c r="AF43" s="23" t="str">
        <f>IF(M43="","",[1]!hks_fa_roe(M43,[1]!s_fa_latelyrd_bt(M43,V43)))</f>
        <v/>
      </c>
      <c r="AG43" s="23" t="str">
        <f>IF(M43="","",[1]!s_share_total(M43,V43,100000000))</f>
        <v/>
      </c>
      <c r="AH43" s="23" t="str">
        <f>IF(M43="","",[1]!hks_share_total(M43,V43,100000000))</f>
        <v/>
      </c>
      <c r="AI43" s="23" t="str">
        <f>IF(M43="","",[1]!hks_share_totala(M43,V43,100000000))</f>
        <v/>
      </c>
      <c r="AJ43" s="23" t="str">
        <f>IF(M43="","",[1]!hks_share_totalb(M43,V43,100000000))</f>
        <v/>
      </c>
      <c r="AK43" s="23" t="str">
        <f>IF(M43="","",[1]!hks_share_h(M43,V43,100000000))</f>
        <v/>
      </c>
      <c r="AL43" s="23" t="str">
        <f>IF(M43="","",[1]!hks_share_oversea(M43,V43,100000000))</f>
        <v/>
      </c>
      <c r="AM43" s="23" t="str">
        <f>IF(M43="","",[1]!hks_holder_name(M43,V43,1))</f>
        <v/>
      </c>
      <c r="AN43" s="23" t="str">
        <f>IF(M43="","",[1]!hks_holder_quantity(M43,V43,1,10000))</f>
        <v/>
      </c>
      <c r="AO43" s="23" t="str">
        <f>IF(M43="","",[1]!hks_holder_pct(M43,V43,1))</f>
        <v/>
      </c>
      <c r="AP43" s="23" t="str">
        <f>IF(M43="","",[1]!s_esg_rating_wind(M43,V43))</f>
        <v/>
      </c>
      <c r="AQ43" s="23" t="str">
        <f>IF(M43="","",[1]!s_esg_score_wind(M43,V43))</f>
        <v/>
      </c>
      <c r="AR43" s="6"/>
    </row>
    <row r="44" spans="3:44" s="2" customFormat="1" x14ac:dyDescent="0.2">
      <c r="C44" s="30"/>
      <c r="D44" s="30"/>
      <c r="E44" s="30"/>
      <c r="F44" s="30"/>
      <c r="G44" s="30"/>
      <c r="H44" s="30"/>
      <c r="I44" s="30"/>
      <c r="L44" s="6"/>
      <c r="M44" s="29"/>
      <c r="N44" s="19" t="str">
        <f>IF(M44="","",[1]!hks_info_name(M44))</f>
        <v/>
      </c>
      <c r="O44" s="18" t="str">
        <f>IF(M44="","",[1]!s_ipo_listeddate(M44))</f>
        <v/>
      </c>
      <c r="P44" s="19" t="str">
        <f>IF(M44="","",[1]!s_info_exchmarket(M44))</f>
        <v/>
      </c>
      <c r="Q44" s="19" t="str">
        <f>IF(M44="","",[1]!s_info_mkt(M44))</f>
        <v/>
      </c>
      <c r="R44" s="19" t="str">
        <f>IF(M44="","",[1]!hks_info_isincode(M44))</f>
        <v/>
      </c>
      <c r="S44" s="19" t="str">
        <f>IF(M44="","",[1]!s_info_province(M44))</f>
        <v/>
      </c>
      <c r="T44" s="19" t="str">
        <f>IF(M44="","",[1]!s_info_city(M44))</f>
        <v/>
      </c>
      <c r="U44" s="19" t="str">
        <f>IF(M44="","",[1]!s_info_industry_gics(M44,9))</f>
        <v/>
      </c>
      <c r="V44" s="21" t="str">
        <f>IF(M44="","",[1]!lastradeday_s(M44,$D$7))</f>
        <v/>
      </c>
      <c r="W44" s="23" t="str">
        <f>IF(M44="","",[1]!s_dq_close(M44,V44,3))</f>
        <v/>
      </c>
      <c r="X44" s="25" t="str">
        <f>IF(M44="","",[1]!s_dq_pctchange(M44,V44))</f>
        <v/>
      </c>
      <c r="Y44" s="23" t="str">
        <f>IF(M44="","",[1]!hks_val_ev(M44,V44,"",100000000))</f>
        <v/>
      </c>
      <c r="Z44" s="23" t="str">
        <f>IF(M44="","",[1]!hks_val_mv_ard(M44,V44,"",100000000))</f>
        <v/>
      </c>
      <c r="AA44" s="23" t="str">
        <f>IF(M44="","",[1]!hks_fa_eps_basic(M44,[1]!s_fa_latelyrd_bt(M44,V44),""))</f>
        <v/>
      </c>
      <c r="AB44" s="23" t="str">
        <f>IF(M44="","",[1]!hks_val_pe_ttm(M44,V44))</f>
        <v/>
      </c>
      <c r="AC44" s="23" t="str">
        <f>IF(M44="","",[1]!pb_mrq(M44,V44))</f>
        <v/>
      </c>
      <c r="AD44" s="23" t="str">
        <f>IF(M44="","",[1]!s_val_evtoebitda2(M44,V44))</f>
        <v/>
      </c>
      <c r="AE44" s="23" t="str">
        <f>IF(M44="","",[1]!hks_fa_roa2(M44,[1]!s_fa_latelyrd_bt(M44,V44)))</f>
        <v/>
      </c>
      <c r="AF44" s="23" t="str">
        <f>IF(M44="","",[1]!hks_fa_roe(M44,[1]!s_fa_latelyrd_bt(M44,V44)))</f>
        <v/>
      </c>
      <c r="AG44" s="23" t="str">
        <f>IF(M44="","",[1]!s_share_total(M44,V44,100000000))</f>
        <v/>
      </c>
      <c r="AH44" s="23" t="str">
        <f>IF(M44="","",[1]!hks_share_total(M44,V44,100000000))</f>
        <v/>
      </c>
      <c r="AI44" s="23" t="str">
        <f>IF(M44="","",[1]!hks_share_totala(M44,V44,100000000))</f>
        <v/>
      </c>
      <c r="AJ44" s="23" t="str">
        <f>IF(M44="","",[1]!hks_share_totalb(M44,V44,100000000))</f>
        <v/>
      </c>
      <c r="AK44" s="23" t="str">
        <f>IF(M44="","",[1]!hks_share_h(M44,V44,100000000))</f>
        <v/>
      </c>
      <c r="AL44" s="23" t="str">
        <f>IF(M44="","",[1]!hks_share_oversea(M44,V44,100000000))</f>
        <v/>
      </c>
      <c r="AM44" s="23" t="str">
        <f>IF(M44="","",[1]!hks_holder_name(M44,V44,1))</f>
        <v/>
      </c>
      <c r="AN44" s="23" t="str">
        <f>IF(M44="","",[1]!hks_holder_quantity(M44,V44,1,10000))</f>
        <v/>
      </c>
      <c r="AO44" s="23" t="str">
        <f>IF(M44="","",[1]!hks_holder_pct(M44,V44,1))</f>
        <v/>
      </c>
      <c r="AP44" s="23" t="str">
        <f>IF(M44="","",[1]!s_esg_rating_wind(M44,V44))</f>
        <v/>
      </c>
      <c r="AQ44" s="23" t="str">
        <f>IF(M44="","",[1]!s_esg_score_wind(M44,V44))</f>
        <v/>
      </c>
      <c r="AR44" s="6"/>
    </row>
    <row r="45" spans="3:44" s="2" customFormat="1" x14ac:dyDescent="0.2">
      <c r="C45" s="30"/>
      <c r="D45" s="30"/>
      <c r="E45" s="30"/>
      <c r="F45" s="30"/>
      <c r="G45" s="30"/>
      <c r="H45" s="30"/>
      <c r="I45" s="30"/>
      <c r="L45" s="6"/>
      <c r="M45" s="29"/>
      <c r="N45" s="19" t="str">
        <f>IF(M45="","",[1]!hks_info_name(M45))</f>
        <v/>
      </c>
      <c r="O45" s="18" t="str">
        <f>IF(M45="","",[1]!s_ipo_listeddate(M45))</f>
        <v/>
      </c>
      <c r="P45" s="19" t="str">
        <f>IF(M45="","",[1]!s_info_exchmarket(M45))</f>
        <v/>
      </c>
      <c r="Q45" s="19" t="str">
        <f>IF(M45="","",[1]!s_info_mkt(M45))</f>
        <v/>
      </c>
      <c r="R45" s="19" t="str">
        <f>IF(M45="","",[1]!hks_info_isincode(M45))</f>
        <v/>
      </c>
      <c r="S45" s="19" t="str">
        <f>IF(M45="","",[1]!s_info_province(M45))</f>
        <v/>
      </c>
      <c r="T45" s="19" t="str">
        <f>IF(M45="","",[1]!s_info_city(M45))</f>
        <v/>
      </c>
      <c r="U45" s="19" t="str">
        <f>IF(M45="","",[1]!s_info_industry_gics(M45,9))</f>
        <v/>
      </c>
      <c r="V45" s="21" t="str">
        <f>IF(M45="","",[1]!lastradeday_s(M45,$D$7))</f>
        <v/>
      </c>
      <c r="W45" s="23" t="str">
        <f>IF(M45="","",[1]!s_dq_close(M45,V45,3))</f>
        <v/>
      </c>
      <c r="X45" s="25" t="str">
        <f>IF(M45="","",[1]!s_dq_pctchange(M45,V45))</f>
        <v/>
      </c>
      <c r="Y45" s="23" t="str">
        <f>IF(M45="","",[1]!hks_val_ev(M45,V45,"",100000000))</f>
        <v/>
      </c>
      <c r="Z45" s="23" t="str">
        <f>IF(M45="","",[1]!hks_val_mv_ard(M45,V45,"",100000000))</f>
        <v/>
      </c>
      <c r="AA45" s="23" t="str">
        <f>IF(M45="","",[1]!hks_fa_eps_basic(M45,[1]!s_fa_latelyrd_bt(M45,V45),""))</f>
        <v/>
      </c>
      <c r="AB45" s="23" t="str">
        <f>IF(M45="","",[1]!hks_val_pe_ttm(M45,V45))</f>
        <v/>
      </c>
      <c r="AC45" s="23" t="str">
        <f>IF(M45="","",[1]!pb_mrq(M45,V45))</f>
        <v/>
      </c>
      <c r="AD45" s="23" t="str">
        <f>IF(M45="","",[1]!s_val_evtoebitda2(M45,V45))</f>
        <v/>
      </c>
      <c r="AE45" s="23" t="str">
        <f>IF(M45="","",[1]!hks_fa_roa2(M45,[1]!s_fa_latelyrd_bt(M45,V45)))</f>
        <v/>
      </c>
      <c r="AF45" s="23" t="str">
        <f>IF(M45="","",[1]!hks_fa_roe(M45,[1]!s_fa_latelyrd_bt(M45,V45)))</f>
        <v/>
      </c>
      <c r="AG45" s="23" t="str">
        <f>IF(M45="","",[1]!s_share_total(M45,V45,100000000))</f>
        <v/>
      </c>
      <c r="AH45" s="23" t="str">
        <f>IF(M45="","",[1]!hks_share_total(M45,V45,100000000))</f>
        <v/>
      </c>
      <c r="AI45" s="23" t="str">
        <f>IF(M45="","",[1]!hks_share_totala(M45,V45,100000000))</f>
        <v/>
      </c>
      <c r="AJ45" s="23" t="str">
        <f>IF(M45="","",[1]!hks_share_totalb(M45,V45,100000000))</f>
        <v/>
      </c>
      <c r="AK45" s="23" t="str">
        <f>IF(M45="","",[1]!hks_share_h(M45,V45,100000000))</f>
        <v/>
      </c>
      <c r="AL45" s="23" t="str">
        <f>IF(M45="","",[1]!hks_share_oversea(M45,V45,100000000))</f>
        <v/>
      </c>
      <c r="AM45" s="23" t="str">
        <f>IF(M45="","",[1]!hks_holder_name(M45,V45,1))</f>
        <v/>
      </c>
      <c r="AN45" s="23" t="str">
        <f>IF(M45="","",[1]!hks_holder_quantity(M45,V45,1,10000))</f>
        <v/>
      </c>
      <c r="AO45" s="23" t="str">
        <f>IF(M45="","",[1]!hks_holder_pct(M45,V45,1))</f>
        <v/>
      </c>
      <c r="AP45" s="23" t="str">
        <f>IF(M45="","",[1]!s_esg_rating_wind(M45,V45))</f>
        <v/>
      </c>
      <c r="AQ45" s="23" t="str">
        <f>IF(M45="","",[1]!s_esg_score_wind(M45,V45))</f>
        <v/>
      </c>
      <c r="AR45" s="6"/>
    </row>
    <row r="46" spans="3:44" s="2" customFormat="1" x14ac:dyDescent="0.2">
      <c r="C46" s="30"/>
      <c r="D46" s="30"/>
      <c r="E46" s="30"/>
      <c r="F46" s="30"/>
      <c r="G46" s="30"/>
      <c r="H46" s="30"/>
      <c r="I46" s="30"/>
      <c r="L46" s="6"/>
      <c r="M46" s="29"/>
      <c r="N46" s="19" t="str">
        <f>IF(M46="","",[1]!hks_info_name(M46))</f>
        <v/>
      </c>
      <c r="O46" s="18" t="str">
        <f>IF(M46="","",[1]!s_ipo_listeddate(M46))</f>
        <v/>
      </c>
      <c r="P46" s="19" t="str">
        <f>IF(M46="","",[1]!s_info_exchmarket(M46))</f>
        <v/>
      </c>
      <c r="Q46" s="19" t="str">
        <f>IF(M46="","",[1]!s_info_mkt(M46))</f>
        <v/>
      </c>
      <c r="R46" s="19" t="str">
        <f>IF(M46="","",[1]!hks_info_isincode(M46))</f>
        <v/>
      </c>
      <c r="S46" s="19" t="str">
        <f>IF(M46="","",[1]!s_info_province(M46))</f>
        <v/>
      </c>
      <c r="T46" s="19" t="str">
        <f>IF(M46="","",[1]!s_info_city(M46))</f>
        <v/>
      </c>
      <c r="U46" s="19" t="str">
        <f>IF(M46="","",[1]!s_info_industry_gics(M46,9))</f>
        <v/>
      </c>
      <c r="V46" s="21" t="str">
        <f>IF(M46="","",[1]!lastradeday_s(M46,$D$7))</f>
        <v/>
      </c>
      <c r="W46" s="23" t="str">
        <f>IF(M46="","",[1]!s_dq_close(M46,V46,3))</f>
        <v/>
      </c>
      <c r="X46" s="25" t="str">
        <f>IF(M46="","",[1]!s_dq_pctchange(M46,V46))</f>
        <v/>
      </c>
      <c r="Y46" s="23" t="str">
        <f>IF(M46="","",[1]!hks_val_ev(M46,V46,"",100000000))</f>
        <v/>
      </c>
      <c r="Z46" s="23" t="str">
        <f>IF(M46="","",[1]!hks_val_mv_ard(M46,V46,"",100000000))</f>
        <v/>
      </c>
      <c r="AA46" s="23" t="str">
        <f>IF(M46="","",[1]!hks_fa_eps_basic(M46,[1]!s_fa_latelyrd_bt(M46,V46),""))</f>
        <v/>
      </c>
      <c r="AB46" s="23" t="str">
        <f>IF(M46="","",[1]!hks_val_pe_ttm(M46,V46))</f>
        <v/>
      </c>
      <c r="AC46" s="23" t="str">
        <f>IF(M46="","",[1]!pb_mrq(M46,V46))</f>
        <v/>
      </c>
      <c r="AD46" s="23" t="str">
        <f>IF(M46="","",[1]!s_val_evtoebitda2(M46,V46))</f>
        <v/>
      </c>
      <c r="AE46" s="23" t="str">
        <f>IF(M46="","",[1]!hks_fa_roa2(M46,[1]!s_fa_latelyrd_bt(M46,V46)))</f>
        <v/>
      </c>
      <c r="AF46" s="23" t="str">
        <f>IF(M46="","",[1]!hks_fa_roe(M46,[1]!s_fa_latelyrd_bt(M46,V46)))</f>
        <v/>
      </c>
      <c r="AG46" s="23" t="str">
        <f>IF(M46="","",[1]!s_share_total(M46,V46,100000000))</f>
        <v/>
      </c>
      <c r="AH46" s="23" t="str">
        <f>IF(M46="","",[1]!hks_share_total(M46,V46,100000000))</f>
        <v/>
      </c>
      <c r="AI46" s="23" t="str">
        <f>IF(M46="","",[1]!hks_share_totala(M46,V46,100000000))</f>
        <v/>
      </c>
      <c r="AJ46" s="23" t="str">
        <f>IF(M46="","",[1]!hks_share_totalb(M46,V46,100000000))</f>
        <v/>
      </c>
      <c r="AK46" s="23" t="str">
        <f>IF(M46="","",[1]!hks_share_h(M46,V46,100000000))</f>
        <v/>
      </c>
      <c r="AL46" s="23" t="str">
        <f>IF(M46="","",[1]!hks_share_oversea(M46,V46,100000000))</f>
        <v/>
      </c>
      <c r="AM46" s="23" t="str">
        <f>IF(M46="","",[1]!hks_holder_name(M46,V46,1))</f>
        <v/>
      </c>
      <c r="AN46" s="23" t="str">
        <f>IF(M46="","",[1]!hks_holder_quantity(M46,V46,1,10000))</f>
        <v/>
      </c>
      <c r="AO46" s="23" t="str">
        <f>IF(M46="","",[1]!hks_holder_pct(M46,V46,1))</f>
        <v/>
      </c>
      <c r="AP46" s="23" t="str">
        <f>IF(M46="","",[1]!s_esg_rating_wind(M46,V46))</f>
        <v/>
      </c>
      <c r="AQ46" s="23" t="str">
        <f>IF(M46="","",[1]!s_esg_score_wind(M46,V46))</f>
        <v/>
      </c>
      <c r="AR46" s="6"/>
    </row>
    <row r="47" spans="3:44" s="2" customFormat="1" x14ac:dyDescent="0.2">
      <c r="C47" s="30"/>
      <c r="D47" s="30"/>
      <c r="E47" s="30"/>
      <c r="F47" s="30"/>
      <c r="G47" s="30"/>
      <c r="H47" s="30"/>
      <c r="I47" s="30"/>
      <c r="L47" s="6"/>
      <c r="M47" s="29"/>
      <c r="N47" s="19" t="str">
        <f>IF(M47="","",[1]!hks_info_name(M47))</f>
        <v/>
      </c>
      <c r="O47" s="18" t="str">
        <f>IF(M47="","",[1]!s_ipo_listeddate(M47))</f>
        <v/>
      </c>
      <c r="P47" s="19" t="str">
        <f>IF(M47="","",[1]!s_info_exchmarket(M47))</f>
        <v/>
      </c>
      <c r="Q47" s="19" t="str">
        <f>IF(M47="","",[1]!s_info_mkt(M47))</f>
        <v/>
      </c>
      <c r="R47" s="19" t="str">
        <f>IF(M47="","",[1]!hks_info_isincode(M47))</f>
        <v/>
      </c>
      <c r="S47" s="19" t="str">
        <f>IF(M47="","",[1]!s_info_province(M47))</f>
        <v/>
      </c>
      <c r="T47" s="19" t="str">
        <f>IF(M47="","",[1]!s_info_city(M47))</f>
        <v/>
      </c>
      <c r="U47" s="19" t="str">
        <f>IF(M47="","",[1]!s_info_industry_gics(M47,9))</f>
        <v/>
      </c>
      <c r="V47" s="21" t="str">
        <f>IF(M47="","",[1]!lastradeday_s(M47,$D$7))</f>
        <v/>
      </c>
      <c r="W47" s="23" t="str">
        <f>IF(M47="","",[1]!s_dq_close(M47,V47,3))</f>
        <v/>
      </c>
      <c r="X47" s="25" t="str">
        <f>IF(M47="","",[1]!s_dq_pctchange(M47,V47))</f>
        <v/>
      </c>
      <c r="Y47" s="23" t="str">
        <f>IF(M47="","",[1]!hks_val_ev(M47,V47,"",100000000))</f>
        <v/>
      </c>
      <c r="Z47" s="23" t="str">
        <f>IF(M47="","",[1]!hks_val_mv_ard(M47,V47,"",100000000))</f>
        <v/>
      </c>
      <c r="AA47" s="23" t="str">
        <f>IF(M47="","",[1]!hks_fa_eps_basic(M47,[1]!s_fa_latelyrd_bt(M47,V47),""))</f>
        <v/>
      </c>
      <c r="AB47" s="23" t="str">
        <f>IF(M47="","",[1]!hks_val_pe_ttm(M47,V47))</f>
        <v/>
      </c>
      <c r="AC47" s="23" t="str">
        <f>IF(M47="","",[1]!pb_mrq(M47,V47))</f>
        <v/>
      </c>
      <c r="AD47" s="23" t="str">
        <f>IF(M47="","",[1]!s_val_evtoebitda2(M47,V47))</f>
        <v/>
      </c>
      <c r="AE47" s="23" t="str">
        <f>IF(M47="","",[1]!hks_fa_roa2(M47,[1]!s_fa_latelyrd_bt(M47,V47)))</f>
        <v/>
      </c>
      <c r="AF47" s="23" t="str">
        <f>IF(M47="","",[1]!hks_fa_roe(M47,[1]!s_fa_latelyrd_bt(M47,V47)))</f>
        <v/>
      </c>
      <c r="AG47" s="23" t="str">
        <f>IF(M47="","",[1]!s_share_total(M47,V47,100000000))</f>
        <v/>
      </c>
      <c r="AH47" s="23" t="str">
        <f>IF(M47="","",[1]!hks_share_total(M47,V47,100000000))</f>
        <v/>
      </c>
      <c r="AI47" s="23" t="str">
        <f>IF(M47="","",[1]!hks_share_totala(M47,V47,100000000))</f>
        <v/>
      </c>
      <c r="AJ47" s="23" t="str">
        <f>IF(M47="","",[1]!hks_share_totalb(M47,V47,100000000))</f>
        <v/>
      </c>
      <c r="AK47" s="23" t="str">
        <f>IF(M47="","",[1]!hks_share_h(M47,V47,100000000))</f>
        <v/>
      </c>
      <c r="AL47" s="23" t="str">
        <f>IF(M47="","",[1]!hks_share_oversea(M47,V47,100000000))</f>
        <v/>
      </c>
      <c r="AM47" s="23" t="str">
        <f>IF(M47="","",[1]!hks_holder_name(M47,V47,1))</f>
        <v/>
      </c>
      <c r="AN47" s="23" t="str">
        <f>IF(M47="","",[1]!hks_holder_quantity(M47,V47,1,10000))</f>
        <v/>
      </c>
      <c r="AO47" s="23" t="str">
        <f>IF(M47="","",[1]!hks_holder_pct(M47,V47,1))</f>
        <v/>
      </c>
      <c r="AP47" s="23" t="str">
        <f>IF(M47="","",[1]!s_esg_rating_wind(M47,V47))</f>
        <v/>
      </c>
      <c r="AQ47" s="23" t="str">
        <f>IF(M47="","",[1]!s_esg_score_wind(M47,V47))</f>
        <v/>
      </c>
      <c r="AR47" s="6"/>
    </row>
    <row r="48" spans="3:44" s="2" customFormat="1" x14ac:dyDescent="0.2">
      <c r="C48" s="30"/>
      <c r="D48" s="30"/>
      <c r="E48" s="30"/>
      <c r="F48" s="30"/>
      <c r="G48" s="30"/>
      <c r="H48" s="30"/>
      <c r="I48" s="30"/>
      <c r="L48" s="6"/>
      <c r="M48" s="29"/>
      <c r="N48" s="19" t="str">
        <f>IF(M48="","",[1]!hks_info_name(M48))</f>
        <v/>
      </c>
      <c r="O48" s="18" t="str">
        <f>IF(M48="","",[1]!s_ipo_listeddate(M48))</f>
        <v/>
      </c>
      <c r="P48" s="19" t="str">
        <f>IF(M48="","",[1]!s_info_exchmarket(M48))</f>
        <v/>
      </c>
      <c r="Q48" s="19" t="str">
        <f>IF(M48="","",[1]!s_info_mkt(M48))</f>
        <v/>
      </c>
      <c r="R48" s="19" t="str">
        <f>IF(M48="","",[1]!hks_info_isincode(M48))</f>
        <v/>
      </c>
      <c r="S48" s="19" t="str">
        <f>IF(M48="","",[1]!s_info_province(M48))</f>
        <v/>
      </c>
      <c r="T48" s="19" t="str">
        <f>IF(M48="","",[1]!s_info_city(M48))</f>
        <v/>
      </c>
      <c r="U48" s="19" t="str">
        <f>IF(M48="","",[1]!s_info_industry_gics(M48,9))</f>
        <v/>
      </c>
      <c r="V48" s="21" t="str">
        <f>IF(M48="","",[1]!lastradeday_s(M48,$D$7))</f>
        <v/>
      </c>
      <c r="W48" s="23" t="str">
        <f>IF(M48="","",[1]!s_dq_close(M48,V48,3))</f>
        <v/>
      </c>
      <c r="X48" s="25" t="str">
        <f>IF(M48="","",[1]!s_dq_pctchange(M48,V48))</f>
        <v/>
      </c>
      <c r="Y48" s="23" t="str">
        <f>IF(M48="","",[1]!hks_val_ev(M48,V48,"",100000000))</f>
        <v/>
      </c>
      <c r="Z48" s="23" t="str">
        <f>IF(M48="","",[1]!hks_val_mv_ard(M48,V48,"",100000000))</f>
        <v/>
      </c>
      <c r="AA48" s="23" t="str">
        <f>IF(M48="","",[1]!hks_fa_eps_basic(M48,[1]!s_fa_latelyrd_bt(M48,V48),""))</f>
        <v/>
      </c>
      <c r="AB48" s="23" t="str">
        <f>IF(M48="","",[1]!hks_val_pe_ttm(M48,V48))</f>
        <v/>
      </c>
      <c r="AC48" s="23" t="str">
        <f>IF(M48="","",[1]!pb_mrq(M48,V48))</f>
        <v/>
      </c>
      <c r="AD48" s="23" t="str">
        <f>IF(M48="","",[1]!s_val_evtoebitda2(M48,V48))</f>
        <v/>
      </c>
      <c r="AE48" s="23" t="str">
        <f>IF(M48="","",[1]!hks_fa_roa2(M48,[1]!s_fa_latelyrd_bt(M48,V48)))</f>
        <v/>
      </c>
      <c r="AF48" s="23" t="str">
        <f>IF(M48="","",[1]!hks_fa_roe(M48,[1]!s_fa_latelyrd_bt(M48,V48)))</f>
        <v/>
      </c>
      <c r="AG48" s="23" t="str">
        <f>IF(M48="","",[1]!s_share_total(M48,V48,100000000))</f>
        <v/>
      </c>
      <c r="AH48" s="23" t="str">
        <f>IF(M48="","",[1]!hks_share_total(M48,V48,100000000))</f>
        <v/>
      </c>
      <c r="AI48" s="23" t="str">
        <f>IF(M48="","",[1]!hks_share_totala(M48,V48,100000000))</f>
        <v/>
      </c>
      <c r="AJ48" s="23" t="str">
        <f>IF(M48="","",[1]!hks_share_totalb(M48,V48,100000000))</f>
        <v/>
      </c>
      <c r="AK48" s="23" t="str">
        <f>IF(M48="","",[1]!hks_share_h(M48,V48,100000000))</f>
        <v/>
      </c>
      <c r="AL48" s="23" t="str">
        <f>IF(M48="","",[1]!hks_share_oversea(M48,V48,100000000))</f>
        <v/>
      </c>
      <c r="AM48" s="23" t="str">
        <f>IF(M48="","",[1]!hks_holder_name(M48,V48,1))</f>
        <v/>
      </c>
      <c r="AN48" s="23" t="str">
        <f>IF(M48="","",[1]!hks_holder_quantity(M48,V48,1,10000))</f>
        <v/>
      </c>
      <c r="AO48" s="23" t="str">
        <f>IF(M48="","",[1]!hks_holder_pct(M48,V48,1))</f>
        <v/>
      </c>
      <c r="AP48" s="23" t="str">
        <f>IF(M48="","",[1]!s_esg_rating_wind(M48,V48))</f>
        <v/>
      </c>
      <c r="AQ48" s="23" t="str">
        <f>IF(M48="","",[1]!s_esg_score_wind(M48,V48))</f>
        <v/>
      </c>
      <c r="AR48" s="6"/>
    </row>
    <row r="49" spans="3:44" s="2" customFormat="1" x14ac:dyDescent="0.2">
      <c r="C49" s="30"/>
      <c r="D49" s="30"/>
      <c r="E49" s="30"/>
      <c r="F49" s="30"/>
      <c r="G49" s="30"/>
      <c r="H49" s="30"/>
      <c r="I49" s="30"/>
      <c r="L49" s="6"/>
      <c r="M49" s="29"/>
      <c r="N49" s="19" t="str">
        <f>IF(M49="","",[1]!hks_info_name(M49))</f>
        <v/>
      </c>
      <c r="O49" s="18" t="str">
        <f>IF(M49="","",[1]!s_ipo_listeddate(M49))</f>
        <v/>
      </c>
      <c r="P49" s="19" t="str">
        <f>IF(M49="","",[1]!s_info_exchmarket(M49))</f>
        <v/>
      </c>
      <c r="Q49" s="19" t="str">
        <f>IF(M49="","",[1]!s_info_mkt(M49))</f>
        <v/>
      </c>
      <c r="R49" s="19" t="str">
        <f>IF(M49="","",[1]!hks_info_isincode(M49))</f>
        <v/>
      </c>
      <c r="S49" s="19" t="str">
        <f>IF(M49="","",[1]!s_info_province(M49))</f>
        <v/>
      </c>
      <c r="T49" s="19" t="str">
        <f>IF(M49="","",[1]!s_info_city(M49))</f>
        <v/>
      </c>
      <c r="U49" s="19" t="str">
        <f>IF(M49="","",[1]!s_info_industry_gics(M49,9))</f>
        <v/>
      </c>
      <c r="V49" s="21" t="str">
        <f>IF(M49="","",[1]!lastradeday_s(M49,$D$7))</f>
        <v/>
      </c>
      <c r="W49" s="23" t="str">
        <f>IF(M49="","",[1]!s_dq_close(M49,V49,3))</f>
        <v/>
      </c>
      <c r="X49" s="25" t="str">
        <f>IF(M49="","",[1]!s_dq_pctchange(M49,V49))</f>
        <v/>
      </c>
      <c r="Y49" s="23" t="str">
        <f>IF(M49="","",[1]!hks_val_ev(M49,V49,"",100000000))</f>
        <v/>
      </c>
      <c r="Z49" s="23" t="str">
        <f>IF(M49="","",[1]!hks_val_mv_ard(M49,V49,"",100000000))</f>
        <v/>
      </c>
      <c r="AA49" s="23" t="str">
        <f>IF(M49="","",[1]!hks_fa_eps_basic(M49,[1]!s_fa_latelyrd_bt(M49,V49),""))</f>
        <v/>
      </c>
      <c r="AB49" s="23" t="str">
        <f>IF(M49="","",[1]!hks_val_pe_ttm(M49,V49))</f>
        <v/>
      </c>
      <c r="AC49" s="23" t="str">
        <f>IF(M49="","",[1]!pb_mrq(M49,V49))</f>
        <v/>
      </c>
      <c r="AD49" s="23" t="str">
        <f>IF(M49="","",[1]!s_val_evtoebitda2(M49,V49))</f>
        <v/>
      </c>
      <c r="AE49" s="23" t="str">
        <f>IF(M49="","",[1]!hks_fa_roa2(M49,[1]!s_fa_latelyrd_bt(M49,V49)))</f>
        <v/>
      </c>
      <c r="AF49" s="23" t="str">
        <f>IF(M49="","",[1]!hks_fa_roe(M49,[1]!s_fa_latelyrd_bt(M49,V49)))</f>
        <v/>
      </c>
      <c r="AG49" s="23" t="str">
        <f>IF(M49="","",[1]!s_share_total(M49,V49,100000000))</f>
        <v/>
      </c>
      <c r="AH49" s="23" t="str">
        <f>IF(M49="","",[1]!hks_share_total(M49,V49,100000000))</f>
        <v/>
      </c>
      <c r="AI49" s="23" t="str">
        <f>IF(M49="","",[1]!hks_share_totala(M49,V49,100000000))</f>
        <v/>
      </c>
      <c r="AJ49" s="23" t="str">
        <f>IF(M49="","",[1]!hks_share_totalb(M49,V49,100000000))</f>
        <v/>
      </c>
      <c r="AK49" s="23" t="str">
        <f>IF(M49="","",[1]!hks_share_h(M49,V49,100000000))</f>
        <v/>
      </c>
      <c r="AL49" s="23" t="str">
        <f>IF(M49="","",[1]!hks_share_oversea(M49,V49,100000000))</f>
        <v/>
      </c>
      <c r="AM49" s="23" t="str">
        <f>IF(M49="","",[1]!hks_holder_name(M49,V49,1))</f>
        <v/>
      </c>
      <c r="AN49" s="23" t="str">
        <f>IF(M49="","",[1]!hks_holder_quantity(M49,V49,1,10000))</f>
        <v/>
      </c>
      <c r="AO49" s="23" t="str">
        <f>IF(M49="","",[1]!hks_holder_pct(M49,V49,1))</f>
        <v/>
      </c>
      <c r="AP49" s="23" t="str">
        <f>IF(M49="","",[1]!s_esg_rating_wind(M49,V49))</f>
        <v/>
      </c>
      <c r="AQ49" s="23" t="str">
        <f>IF(M49="","",[1]!s_esg_score_wind(M49,V49))</f>
        <v/>
      </c>
      <c r="AR49" s="6"/>
    </row>
    <row r="50" spans="3:44" s="2" customFormat="1" x14ac:dyDescent="0.2">
      <c r="C50" s="30"/>
      <c r="D50" s="30"/>
      <c r="E50" s="30"/>
      <c r="F50" s="30"/>
      <c r="G50" s="30"/>
      <c r="H50" s="30"/>
      <c r="I50" s="30"/>
      <c r="L50" s="6"/>
      <c r="M50" s="29"/>
      <c r="N50" s="19" t="str">
        <f>IF(M50="","",[1]!hks_info_name(M50))</f>
        <v/>
      </c>
      <c r="O50" s="18" t="str">
        <f>IF(M50="","",[1]!s_ipo_listeddate(M50))</f>
        <v/>
      </c>
      <c r="P50" s="19" t="str">
        <f>IF(M50="","",[1]!s_info_exchmarket(M50))</f>
        <v/>
      </c>
      <c r="Q50" s="19" t="str">
        <f>IF(M50="","",[1]!s_info_mkt(M50))</f>
        <v/>
      </c>
      <c r="R50" s="19" t="str">
        <f>IF(M50="","",[1]!hks_info_isincode(M50))</f>
        <v/>
      </c>
      <c r="S50" s="19" t="str">
        <f>IF(M50="","",[1]!s_info_province(M50))</f>
        <v/>
      </c>
      <c r="T50" s="19" t="str">
        <f>IF(M50="","",[1]!s_info_city(M50))</f>
        <v/>
      </c>
      <c r="U50" s="19" t="str">
        <f>IF(M50="","",[1]!s_info_industry_gics(M50,9))</f>
        <v/>
      </c>
      <c r="V50" s="21" t="str">
        <f>IF(M50="","",[1]!lastradeday_s(M50,$D$7))</f>
        <v/>
      </c>
      <c r="W50" s="23" t="str">
        <f>IF(M50="","",[1]!s_dq_close(M50,V50,3))</f>
        <v/>
      </c>
      <c r="X50" s="25" t="str">
        <f>IF(M50="","",[1]!s_dq_pctchange(M50,V50))</f>
        <v/>
      </c>
      <c r="Y50" s="23" t="str">
        <f>IF(M50="","",[1]!hks_val_ev(M50,V50,"",100000000))</f>
        <v/>
      </c>
      <c r="Z50" s="23" t="str">
        <f>IF(M50="","",[1]!hks_val_mv_ard(M50,V50,"",100000000))</f>
        <v/>
      </c>
      <c r="AA50" s="23" t="str">
        <f>IF(M50="","",[1]!hks_fa_eps_basic(M50,[1]!s_fa_latelyrd_bt(M50,V50),""))</f>
        <v/>
      </c>
      <c r="AB50" s="23" t="str">
        <f>IF(M50="","",[1]!hks_val_pe_ttm(M50,V50))</f>
        <v/>
      </c>
      <c r="AC50" s="23" t="str">
        <f>IF(M50="","",[1]!pb_mrq(M50,V50))</f>
        <v/>
      </c>
      <c r="AD50" s="23" t="str">
        <f>IF(M50="","",[1]!s_val_evtoebitda2(M50,V50))</f>
        <v/>
      </c>
      <c r="AE50" s="23" t="str">
        <f>IF(M50="","",[1]!hks_fa_roa2(M50,[1]!s_fa_latelyrd_bt(M50,V50)))</f>
        <v/>
      </c>
      <c r="AF50" s="23" t="str">
        <f>IF(M50="","",[1]!hks_fa_roe(M50,[1]!s_fa_latelyrd_bt(M50,V50)))</f>
        <v/>
      </c>
      <c r="AG50" s="23" t="str">
        <f>IF(M50="","",[1]!s_share_total(M50,V50,100000000))</f>
        <v/>
      </c>
      <c r="AH50" s="23" t="str">
        <f>IF(M50="","",[1]!hks_share_total(M50,V50,100000000))</f>
        <v/>
      </c>
      <c r="AI50" s="23" t="str">
        <f>IF(M50="","",[1]!hks_share_totala(M50,V50,100000000))</f>
        <v/>
      </c>
      <c r="AJ50" s="23" t="str">
        <f>IF(M50="","",[1]!hks_share_totalb(M50,V50,100000000))</f>
        <v/>
      </c>
      <c r="AK50" s="23" t="str">
        <f>IF(M50="","",[1]!hks_share_h(M50,V50,100000000))</f>
        <v/>
      </c>
      <c r="AL50" s="23" t="str">
        <f>IF(M50="","",[1]!hks_share_oversea(M50,V50,100000000))</f>
        <v/>
      </c>
      <c r="AM50" s="23" t="str">
        <f>IF(M50="","",[1]!hks_holder_name(M50,V50,1))</f>
        <v/>
      </c>
      <c r="AN50" s="23" t="str">
        <f>IF(M50="","",[1]!hks_holder_quantity(M50,V50,1,10000))</f>
        <v/>
      </c>
      <c r="AO50" s="23" t="str">
        <f>IF(M50="","",[1]!hks_holder_pct(M50,V50,1))</f>
        <v/>
      </c>
      <c r="AP50" s="23" t="str">
        <f>IF(M50="","",[1]!s_esg_rating_wind(M50,V50))</f>
        <v/>
      </c>
      <c r="AQ50" s="23" t="str">
        <f>IF(M50="","",[1]!s_esg_score_wind(M50,V50))</f>
        <v/>
      </c>
      <c r="AR50" s="6"/>
    </row>
    <row r="51" spans="3:44" s="2" customFormat="1" x14ac:dyDescent="0.2">
      <c r="C51" s="30"/>
      <c r="D51" s="30"/>
      <c r="E51" s="30"/>
      <c r="F51" s="30"/>
      <c r="G51" s="30"/>
      <c r="H51" s="30"/>
      <c r="I51" s="30"/>
      <c r="L51" s="6"/>
      <c r="M51" s="29"/>
      <c r="N51" s="19" t="str">
        <f>IF(M51="","",[1]!hks_info_name(M51))</f>
        <v/>
      </c>
      <c r="O51" s="18" t="str">
        <f>IF(M51="","",[1]!s_ipo_listeddate(M51))</f>
        <v/>
      </c>
      <c r="P51" s="19" t="str">
        <f>IF(M51="","",[1]!s_info_exchmarket(M51))</f>
        <v/>
      </c>
      <c r="Q51" s="19" t="str">
        <f>IF(M51="","",[1]!s_info_mkt(M51))</f>
        <v/>
      </c>
      <c r="R51" s="19" t="str">
        <f>IF(M51="","",[1]!hks_info_isincode(M51))</f>
        <v/>
      </c>
      <c r="S51" s="19" t="str">
        <f>IF(M51="","",[1]!s_info_province(M51))</f>
        <v/>
      </c>
      <c r="T51" s="19" t="str">
        <f>IF(M51="","",[1]!s_info_city(M51))</f>
        <v/>
      </c>
      <c r="U51" s="19" t="str">
        <f>IF(M51="","",[1]!s_info_industry_gics(M51,9))</f>
        <v/>
      </c>
      <c r="V51" s="21" t="str">
        <f>IF(M51="","",[1]!lastradeday_s(M51,$D$7))</f>
        <v/>
      </c>
      <c r="W51" s="23" t="str">
        <f>IF(M51="","",[1]!s_dq_close(M51,V51,3))</f>
        <v/>
      </c>
      <c r="X51" s="25" t="str">
        <f>IF(M51="","",[1]!s_dq_pctchange(M51,V51))</f>
        <v/>
      </c>
      <c r="Y51" s="23" t="str">
        <f>IF(M51="","",[1]!hks_val_ev(M51,V51,"",100000000))</f>
        <v/>
      </c>
      <c r="Z51" s="23" t="str">
        <f>IF(M51="","",[1]!hks_val_mv_ard(M51,V51,"",100000000))</f>
        <v/>
      </c>
      <c r="AA51" s="23" t="str">
        <f>IF(M51="","",[1]!hks_fa_eps_basic(M51,[1]!s_fa_latelyrd_bt(M51,V51),""))</f>
        <v/>
      </c>
      <c r="AB51" s="23" t="str">
        <f>IF(M51="","",[1]!hks_val_pe_ttm(M51,V51))</f>
        <v/>
      </c>
      <c r="AC51" s="23" t="str">
        <f>IF(M51="","",[1]!pb_mrq(M51,V51))</f>
        <v/>
      </c>
      <c r="AD51" s="23" t="str">
        <f>IF(M51="","",[1]!s_val_evtoebitda2(M51,V51))</f>
        <v/>
      </c>
      <c r="AE51" s="23" t="str">
        <f>IF(M51="","",[1]!hks_fa_roa2(M51,[1]!s_fa_latelyrd_bt(M51,V51)))</f>
        <v/>
      </c>
      <c r="AF51" s="23" t="str">
        <f>IF(M51="","",[1]!hks_fa_roe(M51,[1]!s_fa_latelyrd_bt(M51,V51)))</f>
        <v/>
      </c>
      <c r="AG51" s="23" t="str">
        <f>IF(M51="","",[1]!s_share_total(M51,V51,100000000))</f>
        <v/>
      </c>
      <c r="AH51" s="23" t="str">
        <f>IF(M51="","",[1]!hks_share_total(M51,V51,100000000))</f>
        <v/>
      </c>
      <c r="AI51" s="23" t="str">
        <f>IF(M51="","",[1]!hks_share_totala(M51,V51,100000000))</f>
        <v/>
      </c>
      <c r="AJ51" s="23" t="str">
        <f>IF(M51="","",[1]!hks_share_totalb(M51,V51,100000000))</f>
        <v/>
      </c>
      <c r="AK51" s="23" t="str">
        <f>IF(M51="","",[1]!hks_share_h(M51,V51,100000000))</f>
        <v/>
      </c>
      <c r="AL51" s="23" t="str">
        <f>IF(M51="","",[1]!hks_share_oversea(M51,V51,100000000))</f>
        <v/>
      </c>
      <c r="AM51" s="23" t="str">
        <f>IF(M51="","",[1]!hks_holder_name(M51,V51,1))</f>
        <v/>
      </c>
      <c r="AN51" s="23" t="str">
        <f>IF(M51="","",[1]!hks_holder_quantity(M51,V51,1,10000))</f>
        <v/>
      </c>
      <c r="AO51" s="23" t="str">
        <f>IF(M51="","",[1]!hks_holder_pct(M51,V51,1))</f>
        <v/>
      </c>
      <c r="AP51" s="23" t="str">
        <f>IF(M51="","",[1]!s_esg_rating_wind(M51,V51))</f>
        <v/>
      </c>
      <c r="AQ51" s="23" t="str">
        <f>IF(M51="","",[1]!s_esg_score_wind(M51,V51))</f>
        <v/>
      </c>
      <c r="AR51" s="6"/>
    </row>
    <row r="52" spans="3:44" s="2" customFormat="1" x14ac:dyDescent="0.2">
      <c r="C52" s="30"/>
      <c r="D52" s="30"/>
      <c r="E52" s="30"/>
      <c r="F52" s="30"/>
      <c r="G52" s="30"/>
      <c r="H52" s="30"/>
      <c r="I52" s="30"/>
      <c r="L52" s="6"/>
      <c r="M52" s="29"/>
      <c r="N52" s="19" t="str">
        <f>IF(M52="","",[1]!hks_info_name(M52))</f>
        <v/>
      </c>
      <c r="O52" s="18" t="str">
        <f>IF(M52="","",[1]!s_ipo_listeddate(M52))</f>
        <v/>
      </c>
      <c r="P52" s="19" t="str">
        <f>IF(M52="","",[1]!s_info_exchmarket(M52))</f>
        <v/>
      </c>
      <c r="Q52" s="19" t="str">
        <f>IF(M52="","",[1]!s_info_mkt(M52))</f>
        <v/>
      </c>
      <c r="R52" s="19" t="str">
        <f>IF(M52="","",[1]!hks_info_isincode(M52))</f>
        <v/>
      </c>
      <c r="S52" s="19" t="str">
        <f>IF(M52="","",[1]!s_info_province(M52))</f>
        <v/>
      </c>
      <c r="T52" s="19" t="str">
        <f>IF(M52="","",[1]!s_info_city(M52))</f>
        <v/>
      </c>
      <c r="U52" s="19" t="str">
        <f>IF(M52="","",[1]!s_info_industry_gics(M52,9))</f>
        <v/>
      </c>
      <c r="V52" s="21" t="str">
        <f>IF(M52="","",[1]!lastradeday_s(M52,$D$7))</f>
        <v/>
      </c>
      <c r="W52" s="23" t="str">
        <f>IF(M52="","",[1]!s_dq_close(M52,V52,3))</f>
        <v/>
      </c>
      <c r="X52" s="25" t="str">
        <f>IF(M52="","",[1]!s_dq_pctchange(M52,V52))</f>
        <v/>
      </c>
      <c r="Y52" s="23" t="str">
        <f>IF(M52="","",[1]!hks_val_ev(M52,V52,"",100000000))</f>
        <v/>
      </c>
      <c r="Z52" s="23" t="str">
        <f>IF(M52="","",[1]!hks_val_mv_ard(M52,V52,"",100000000))</f>
        <v/>
      </c>
      <c r="AA52" s="23" t="str">
        <f>IF(M52="","",[1]!hks_fa_eps_basic(M52,[1]!s_fa_latelyrd_bt(M52,V52),""))</f>
        <v/>
      </c>
      <c r="AB52" s="23" t="str">
        <f>IF(M52="","",[1]!hks_val_pe_ttm(M52,V52))</f>
        <v/>
      </c>
      <c r="AC52" s="23" t="str">
        <f>IF(M52="","",[1]!pb_mrq(M52,V52))</f>
        <v/>
      </c>
      <c r="AD52" s="23" t="str">
        <f>IF(M52="","",[1]!s_val_evtoebitda2(M52,V52))</f>
        <v/>
      </c>
      <c r="AE52" s="23" t="str">
        <f>IF(M52="","",[1]!hks_fa_roa2(M52,[1]!s_fa_latelyrd_bt(M52,V52)))</f>
        <v/>
      </c>
      <c r="AF52" s="23" t="str">
        <f>IF(M52="","",[1]!hks_fa_roe(M52,[1]!s_fa_latelyrd_bt(M52,V52)))</f>
        <v/>
      </c>
      <c r="AG52" s="23" t="str">
        <f>IF(M52="","",[1]!s_share_total(M52,V52,100000000))</f>
        <v/>
      </c>
      <c r="AH52" s="23" t="str">
        <f>IF(M52="","",[1]!hks_share_total(M52,V52,100000000))</f>
        <v/>
      </c>
      <c r="AI52" s="23" t="str">
        <f>IF(M52="","",[1]!hks_share_totala(M52,V52,100000000))</f>
        <v/>
      </c>
      <c r="AJ52" s="23" t="str">
        <f>IF(M52="","",[1]!hks_share_totalb(M52,V52,100000000))</f>
        <v/>
      </c>
      <c r="AK52" s="23" t="str">
        <f>IF(M52="","",[1]!hks_share_h(M52,V52,100000000))</f>
        <v/>
      </c>
      <c r="AL52" s="23" t="str">
        <f>IF(M52="","",[1]!hks_share_oversea(M52,V52,100000000))</f>
        <v/>
      </c>
      <c r="AM52" s="23" t="str">
        <f>IF(M52="","",[1]!hks_holder_name(M52,V52,1))</f>
        <v/>
      </c>
      <c r="AN52" s="23" t="str">
        <f>IF(M52="","",[1]!hks_holder_quantity(M52,V52,1,10000))</f>
        <v/>
      </c>
      <c r="AO52" s="23" t="str">
        <f>IF(M52="","",[1]!hks_holder_pct(M52,V52,1))</f>
        <v/>
      </c>
      <c r="AP52" s="23" t="str">
        <f>IF(M52="","",[1]!s_esg_rating_wind(M52,V52))</f>
        <v/>
      </c>
      <c r="AQ52" s="23" t="str">
        <f>IF(M52="","",[1]!s_esg_score_wind(M52,V52))</f>
        <v/>
      </c>
      <c r="AR52" s="6"/>
    </row>
    <row r="53" spans="3:44" s="2" customFormat="1" x14ac:dyDescent="0.2">
      <c r="C53" s="30"/>
      <c r="D53" s="30"/>
      <c r="E53" s="30"/>
      <c r="F53" s="30"/>
      <c r="G53" s="30"/>
      <c r="H53" s="30"/>
      <c r="I53" s="30"/>
      <c r="L53" s="6"/>
      <c r="M53" s="29"/>
      <c r="N53" s="19" t="str">
        <f>IF(M53="","",[1]!hks_info_name(M53))</f>
        <v/>
      </c>
      <c r="O53" s="18" t="str">
        <f>IF(M53="","",[1]!s_ipo_listeddate(M53))</f>
        <v/>
      </c>
      <c r="P53" s="19" t="str">
        <f>IF(M53="","",[1]!s_info_exchmarket(M53))</f>
        <v/>
      </c>
      <c r="Q53" s="19" t="str">
        <f>IF(M53="","",[1]!s_info_mkt(M53))</f>
        <v/>
      </c>
      <c r="R53" s="19" t="str">
        <f>IF(M53="","",[1]!hks_info_isincode(M53))</f>
        <v/>
      </c>
      <c r="S53" s="19" t="str">
        <f>IF(M53="","",[1]!s_info_province(M53))</f>
        <v/>
      </c>
      <c r="T53" s="19" t="str">
        <f>IF(M53="","",[1]!s_info_city(M53))</f>
        <v/>
      </c>
      <c r="U53" s="19" t="str">
        <f>IF(M53="","",[1]!s_info_industry_gics(M53,9))</f>
        <v/>
      </c>
      <c r="V53" s="21" t="str">
        <f>IF(M53="","",[1]!lastradeday_s(M53,$D$7))</f>
        <v/>
      </c>
      <c r="W53" s="23" t="str">
        <f>IF(M53="","",[1]!s_dq_close(M53,V53,3))</f>
        <v/>
      </c>
      <c r="X53" s="25" t="str">
        <f>IF(M53="","",[1]!s_dq_pctchange(M53,V53))</f>
        <v/>
      </c>
      <c r="Y53" s="23" t="str">
        <f>IF(M53="","",[1]!hks_val_ev(M53,V53,"",100000000))</f>
        <v/>
      </c>
      <c r="Z53" s="23" t="str">
        <f>IF(M53="","",[1]!hks_val_mv_ard(M53,V53,"",100000000))</f>
        <v/>
      </c>
      <c r="AA53" s="23" t="str">
        <f>IF(M53="","",[1]!hks_fa_eps_basic(M53,[1]!s_fa_latelyrd_bt(M53,V53),""))</f>
        <v/>
      </c>
      <c r="AB53" s="23" t="str">
        <f>IF(M53="","",[1]!hks_val_pe_ttm(M53,V53))</f>
        <v/>
      </c>
      <c r="AC53" s="23" t="str">
        <f>IF(M53="","",[1]!pb_mrq(M53,V53))</f>
        <v/>
      </c>
      <c r="AD53" s="23" t="str">
        <f>IF(M53="","",[1]!s_val_evtoebitda2(M53,V53))</f>
        <v/>
      </c>
      <c r="AE53" s="23" t="str">
        <f>IF(M53="","",[1]!hks_fa_roa2(M53,[1]!s_fa_latelyrd_bt(M53,V53)))</f>
        <v/>
      </c>
      <c r="AF53" s="23" t="str">
        <f>IF(M53="","",[1]!hks_fa_roe(M53,[1]!s_fa_latelyrd_bt(M53,V53)))</f>
        <v/>
      </c>
      <c r="AG53" s="23" t="str">
        <f>IF(M53="","",[1]!s_share_total(M53,V53,100000000))</f>
        <v/>
      </c>
      <c r="AH53" s="23" t="str">
        <f>IF(M53="","",[1]!hks_share_total(M53,V53,100000000))</f>
        <v/>
      </c>
      <c r="AI53" s="23" t="str">
        <f>IF(M53="","",[1]!hks_share_totala(M53,V53,100000000))</f>
        <v/>
      </c>
      <c r="AJ53" s="23" t="str">
        <f>IF(M53="","",[1]!hks_share_totalb(M53,V53,100000000))</f>
        <v/>
      </c>
      <c r="AK53" s="23" t="str">
        <f>IF(M53="","",[1]!hks_share_h(M53,V53,100000000))</f>
        <v/>
      </c>
      <c r="AL53" s="23" t="str">
        <f>IF(M53="","",[1]!hks_share_oversea(M53,V53,100000000))</f>
        <v/>
      </c>
      <c r="AM53" s="23" t="str">
        <f>IF(M53="","",[1]!hks_holder_name(M53,V53,1))</f>
        <v/>
      </c>
      <c r="AN53" s="23" t="str">
        <f>IF(M53="","",[1]!hks_holder_quantity(M53,V53,1,10000))</f>
        <v/>
      </c>
      <c r="AO53" s="23" t="str">
        <f>IF(M53="","",[1]!hks_holder_pct(M53,V53,1))</f>
        <v/>
      </c>
      <c r="AP53" s="23" t="str">
        <f>IF(M53="","",[1]!s_esg_rating_wind(M53,V53))</f>
        <v/>
      </c>
      <c r="AQ53" s="23" t="str">
        <f>IF(M53="","",[1]!s_esg_score_wind(M53,V53))</f>
        <v/>
      </c>
      <c r="AR53" s="6"/>
    </row>
    <row r="54" spans="3:44" s="2" customFormat="1" x14ac:dyDescent="0.2">
      <c r="C54" s="30"/>
      <c r="D54" s="30"/>
      <c r="E54" s="30"/>
      <c r="F54" s="30"/>
      <c r="G54" s="30"/>
      <c r="H54" s="30"/>
      <c r="I54" s="30"/>
      <c r="L54" s="6"/>
      <c r="M54" s="29"/>
      <c r="N54" s="19" t="str">
        <f>IF(M54="","",[1]!hks_info_name(M54))</f>
        <v/>
      </c>
      <c r="O54" s="18" t="str">
        <f>IF(M54="","",[1]!s_ipo_listeddate(M54))</f>
        <v/>
      </c>
      <c r="P54" s="19" t="str">
        <f>IF(M54="","",[1]!s_info_exchmarket(M54))</f>
        <v/>
      </c>
      <c r="Q54" s="19" t="str">
        <f>IF(M54="","",[1]!s_info_mkt(M54))</f>
        <v/>
      </c>
      <c r="R54" s="19" t="str">
        <f>IF(M54="","",[1]!hks_info_isincode(M54))</f>
        <v/>
      </c>
      <c r="S54" s="19" t="str">
        <f>IF(M54="","",[1]!s_info_province(M54))</f>
        <v/>
      </c>
      <c r="T54" s="19" t="str">
        <f>IF(M54="","",[1]!s_info_city(M54))</f>
        <v/>
      </c>
      <c r="U54" s="19" t="str">
        <f>IF(M54="","",[1]!s_info_industry_gics(M54,9))</f>
        <v/>
      </c>
      <c r="V54" s="21" t="str">
        <f>IF(M54="","",[1]!lastradeday_s(M54,$D$7))</f>
        <v/>
      </c>
      <c r="W54" s="23" t="str">
        <f>IF(M54="","",[1]!s_dq_close(M54,V54,3))</f>
        <v/>
      </c>
      <c r="X54" s="25" t="str">
        <f>IF(M54="","",[1]!s_dq_pctchange(M54,V54))</f>
        <v/>
      </c>
      <c r="Y54" s="23" t="str">
        <f>IF(M54="","",[1]!hks_val_ev(M54,V54,"",100000000))</f>
        <v/>
      </c>
      <c r="Z54" s="23" t="str">
        <f>IF(M54="","",[1]!hks_val_mv_ard(M54,V54,"",100000000))</f>
        <v/>
      </c>
      <c r="AA54" s="23" t="str">
        <f>IF(M54="","",[1]!hks_fa_eps_basic(M54,[1]!s_fa_latelyrd_bt(M54,V54),""))</f>
        <v/>
      </c>
      <c r="AB54" s="23" t="str">
        <f>IF(M54="","",[1]!hks_val_pe_ttm(M54,V54))</f>
        <v/>
      </c>
      <c r="AC54" s="23" t="str">
        <f>IF(M54="","",[1]!pb_mrq(M54,V54))</f>
        <v/>
      </c>
      <c r="AD54" s="23" t="str">
        <f>IF(M54="","",[1]!s_val_evtoebitda2(M54,V54))</f>
        <v/>
      </c>
      <c r="AE54" s="23" t="str">
        <f>IF(M54="","",[1]!hks_fa_roa2(M54,[1]!s_fa_latelyrd_bt(M54,V54)))</f>
        <v/>
      </c>
      <c r="AF54" s="23" t="str">
        <f>IF(M54="","",[1]!hks_fa_roe(M54,[1]!s_fa_latelyrd_bt(M54,V54)))</f>
        <v/>
      </c>
      <c r="AG54" s="23" t="str">
        <f>IF(M54="","",[1]!s_share_total(M54,V54,100000000))</f>
        <v/>
      </c>
      <c r="AH54" s="23" t="str">
        <f>IF(M54="","",[1]!hks_share_total(M54,V54,100000000))</f>
        <v/>
      </c>
      <c r="AI54" s="23" t="str">
        <f>IF(M54="","",[1]!hks_share_totala(M54,V54,100000000))</f>
        <v/>
      </c>
      <c r="AJ54" s="23" t="str">
        <f>IF(M54="","",[1]!hks_share_totalb(M54,V54,100000000))</f>
        <v/>
      </c>
      <c r="AK54" s="23" t="str">
        <f>IF(M54="","",[1]!hks_share_h(M54,V54,100000000))</f>
        <v/>
      </c>
      <c r="AL54" s="23" t="str">
        <f>IF(M54="","",[1]!hks_share_oversea(M54,V54,100000000))</f>
        <v/>
      </c>
      <c r="AM54" s="23" t="str">
        <f>IF(M54="","",[1]!hks_holder_name(M54,V54,1))</f>
        <v/>
      </c>
      <c r="AN54" s="23" t="str">
        <f>IF(M54="","",[1]!hks_holder_quantity(M54,V54,1,10000))</f>
        <v/>
      </c>
      <c r="AO54" s="23" t="str">
        <f>IF(M54="","",[1]!hks_holder_pct(M54,V54,1))</f>
        <v/>
      </c>
      <c r="AP54" s="23" t="str">
        <f>IF(M54="","",[1]!s_esg_rating_wind(M54,V54))</f>
        <v/>
      </c>
      <c r="AQ54" s="23" t="str">
        <f>IF(M54="","",[1]!s_esg_score_wind(M54,V54))</f>
        <v/>
      </c>
      <c r="AR54" s="6"/>
    </row>
    <row r="55" spans="3:44" s="2" customFormat="1" x14ac:dyDescent="0.2">
      <c r="C55" s="30"/>
      <c r="D55" s="30"/>
      <c r="E55" s="30"/>
      <c r="F55" s="30"/>
      <c r="G55" s="30"/>
      <c r="H55" s="30"/>
      <c r="I55" s="30"/>
      <c r="L55" s="6"/>
      <c r="M55" s="29"/>
      <c r="N55" s="19" t="str">
        <f>IF(M55="","",[1]!hks_info_name(M55))</f>
        <v/>
      </c>
      <c r="O55" s="18" t="str">
        <f>IF(M55="","",[1]!s_ipo_listeddate(M55))</f>
        <v/>
      </c>
      <c r="P55" s="19" t="str">
        <f>IF(M55="","",[1]!s_info_exchmarket(M55))</f>
        <v/>
      </c>
      <c r="Q55" s="19" t="str">
        <f>IF(M55="","",[1]!s_info_mkt(M55))</f>
        <v/>
      </c>
      <c r="R55" s="19" t="str">
        <f>IF(M55="","",[1]!hks_info_isincode(M55))</f>
        <v/>
      </c>
      <c r="S55" s="19" t="str">
        <f>IF(M55="","",[1]!s_info_province(M55))</f>
        <v/>
      </c>
      <c r="T55" s="19" t="str">
        <f>IF(M55="","",[1]!s_info_city(M55))</f>
        <v/>
      </c>
      <c r="U55" s="19" t="str">
        <f>IF(M55="","",[1]!s_info_industry_gics(M55,9))</f>
        <v/>
      </c>
      <c r="V55" s="21" t="str">
        <f>IF(M55="","",[1]!lastradeday_s(M55,$D$7))</f>
        <v/>
      </c>
      <c r="W55" s="23" t="str">
        <f>IF(M55="","",[1]!s_dq_close(M55,V55,3))</f>
        <v/>
      </c>
      <c r="X55" s="25" t="str">
        <f>IF(M55="","",[1]!s_dq_pctchange(M55,V55))</f>
        <v/>
      </c>
      <c r="Y55" s="23" t="str">
        <f>IF(M55="","",[1]!hks_val_ev(M55,V55,"",100000000))</f>
        <v/>
      </c>
      <c r="Z55" s="23" t="str">
        <f>IF(M55="","",[1]!hks_val_mv_ard(M55,V55,"",100000000))</f>
        <v/>
      </c>
      <c r="AA55" s="23" t="str">
        <f>IF(M55="","",[1]!hks_fa_eps_basic(M55,[1]!s_fa_latelyrd_bt(M55,V55),""))</f>
        <v/>
      </c>
      <c r="AB55" s="23" t="str">
        <f>IF(M55="","",[1]!hks_val_pe_ttm(M55,V55))</f>
        <v/>
      </c>
      <c r="AC55" s="23" t="str">
        <f>IF(M55="","",[1]!pb_mrq(M55,V55))</f>
        <v/>
      </c>
      <c r="AD55" s="23" t="str">
        <f>IF(M55="","",[1]!s_val_evtoebitda2(M55,V55))</f>
        <v/>
      </c>
      <c r="AE55" s="23" t="str">
        <f>IF(M55="","",[1]!hks_fa_roa2(M55,[1]!s_fa_latelyrd_bt(M55,V55)))</f>
        <v/>
      </c>
      <c r="AF55" s="23" t="str">
        <f>IF(M55="","",[1]!hks_fa_roe(M55,[1]!s_fa_latelyrd_bt(M55,V55)))</f>
        <v/>
      </c>
      <c r="AG55" s="23" t="str">
        <f>IF(M55="","",[1]!s_share_total(M55,V55,100000000))</f>
        <v/>
      </c>
      <c r="AH55" s="23" t="str">
        <f>IF(M55="","",[1]!hks_share_total(M55,V55,100000000))</f>
        <v/>
      </c>
      <c r="AI55" s="23" t="str">
        <f>IF(M55="","",[1]!hks_share_totala(M55,V55,100000000))</f>
        <v/>
      </c>
      <c r="AJ55" s="23" t="str">
        <f>IF(M55="","",[1]!hks_share_totalb(M55,V55,100000000))</f>
        <v/>
      </c>
      <c r="AK55" s="23" t="str">
        <f>IF(M55="","",[1]!hks_share_h(M55,V55,100000000))</f>
        <v/>
      </c>
      <c r="AL55" s="23" t="str">
        <f>IF(M55="","",[1]!hks_share_oversea(M55,V55,100000000))</f>
        <v/>
      </c>
      <c r="AM55" s="23" t="str">
        <f>IF(M55="","",[1]!hks_holder_name(M55,V55,1))</f>
        <v/>
      </c>
      <c r="AN55" s="23" t="str">
        <f>IF(M55="","",[1]!hks_holder_quantity(M55,V55,1,10000))</f>
        <v/>
      </c>
      <c r="AO55" s="23" t="str">
        <f>IF(M55="","",[1]!hks_holder_pct(M55,V55,1))</f>
        <v/>
      </c>
      <c r="AP55" s="23" t="str">
        <f>IF(M55="","",[1]!s_esg_rating_wind(M55,V55))</f>
        <v/>
      </c>
      <c r="AQ55" s="23" t="str">
        <f>IF(M55="","",[1]!s_esg_score_wind(M55,V55))</f>
        <v/>
      </c>
      <c r="AR55" s="6"/>
    </row>
    <row r="56" spans="3:44" s="2" customFormat="1" x14ac:dyDescent="0.2">
      <c r="C56" s="30"/>
      <c r="D56" s="30"/>
      <c r="E56" s="30"/>
      <c r="F56" s="30"/>
      <c r="G56" s="30"/>
      <c r="H56" s="30"/>
      <c r="I56" s="30"/>
      <c r="L56" s="6"/>
      <c r="M56" s="29"/>
      <c r="N56" s="19" t="str">
        <f>IF(M56="","",[1]!hks_info_name(M56))</f>
        <v/>
      </c>
      <c r="O56" s="18" t="str">
        <f>IF(M56="","",[1]!s_ipo_listeddate(M56))</f>
        <v/>
      </c>
      <c r="P56" s="19" t="str">
        <f>IF(M56="","",[1]!s_info_exchmarket(M56))</f>
        <v/>
      </c>
      <c r="Q56" s="19" t="str">
        <f>IF(M56="","",[1]!s_info_mkt(M56))</f>
        <v/>
      </c>
      <c r="R56" s="19" t="str">
        <f>IF(M56="","",[1]!hks_info_isincode(M56))</f>
        <v/>
      </c>
      <c r="S56" s="19" t="str">
        <f>IF(M56="","",[1]!s_info_province(M56))</f>
        <v/>
      </c>
      <c r="T56" s="19" t="str">
        <f>IF(M56="","",[1]!s_info_city(M56))</f>
        <v/>
      </c>
      <c r="U56" s="19" t="str">
        <f>IF(M56="","",[1]!s_info_industry_gics(M56,9))</f>
        <v/>
      </c>
      <c r="V56" s="21" t="str">
        <f>IF(M56="","",[1]!lastradeday_s(M56,$D$7))</f>
        <v/>
      </c>
      <c r="W56" s="23" t="str">
        <f>IF(M56="","",[1]!s_dq_close(M56,V56,3))</f>
        <v/>
      </c>
      <c r="X56" s="25" t="str">
        <f>IF(M56="","",[1]!s_dq_pctchange(M56,V56))</f>
        <v/>
      </c>
      <c r="Y56" s="23" t="str">
        <f>IF(M56="","",[1]!hks_val_ev(M56,V56,"",100000000))</f>
        <v/>
      </c>
      <c r="Z56" s="23" t="str">
        <f>IF(M56="","",[1]!hks_val_mv_ard(M56,V56,"",100000000))</f>
        <v/>
      </c>
      <c r="AA56" s="23" t="str">
        <f>IF(M56="","",[1]!hks_fa_eps_basic(M56,[1]!s_fa_latelyrd_bt(M56,V56),""))</f>
        <v/>
      </c>
      <c r="AB56" s="23" t="str">
        <f>IF(M56="","",[1]!hks_val_pe_ttm(M56,V56))</f>
        <v/>
      </c>
      <c r="AC56" s="23" t="str">
        <f>IF(M56="","",[1]!pb_mrq(M56,V56))</f>
        <v/>
      </c>
      <c r="AD56" s="23" t="str">
        <f>IF(M56="","",[1]!s_val_evtoebitda2(M56,V56))</f>
        <v/>
      </c>
      <c r="AE56" s="23" t="str">
        <f>IF(M56="","",[1]!hks_fa_roa2(M56,[1]!s_fa_latelyrd_bt(M56,V56)))</f>
        <v/>
      </c>
      <c r="AF56" s="23" t="str">
        <f>IF(M56="","",[1]!hks_fa_roe(M56,[1]!s_fa_latelyrd_bt(M56,V56)))</f>
        <v/>
      </c>
      <c r="AG56" s="23" t="str">
        <f>IF(M56="","",[1]!s_share_total(M56,V56,100000000))</f>
        <v/>
      </c>
      <c r="AH56" s="23" t="str">
        <f>IF(M56="","",[1]!hks_share_total(M56,V56,100000000))</f>
        <v/>
      </c>
      <c r="AI56" s="23" t="str">
        <f>IF(M56="","",[1]!hks_share_totala(M56,V56,100000000))</f>
        <v/>
      </c>
      <c r="AJ56" s="23" t="str">
        <f>IF(M56="","",[1]!hks_share_totalb(M56,V56,100000000))</f>
        <v/>
      </c>
      <c r="AK56" s="23" t="str">
        <f>IF(M56="","",[1]!hks_share_h(M56,V56,100000000))</f>
        <v/>
      </c>
      <c r="AL56" s="23" t="str">
        <f>IF(M56="","",[1]!hks_share_oversea(M56,V56,100000000))</f>
        <v/>
      </c>
      <c r="AM56" s="23" t="str">
        <f>IF(M56="","",[1]!hks_holder_name(M56,V56,1))</f>
        <v/>
      </c>
      <c r="AN56" s="23" t="str">
        <f>IF(M56="","",[1]!hks_holder_quantity(M56,V56,1,10000))</f>
        <v/>
      </c>
      <c r="AO56" s="23" t="str">
        <f>IF(M56="","",[1]!hks_holder_pct(M56,V56,1))</f>
        <v/>
      </c>
      <c r="AP56" s="23" t="str">
        <f>IF(M56="","",[1]!s_esg_rating_wind(M56,V56))</f>
        <v/>
      </c>
      <c r="AQ56" s="23" t="str">
        <f>IF(M56="","",[1]!s_esg_score_wind(M56,V56))</f>
        <v/>
      </c>
      <c r="AR56" s="6"/>
    </row>
    <row r="57" spans="3:44" s="2" customFormat="1" x14ac:dyDescent="0.2">
      <c r="C57" s="30"/>
      <c r="D57" s="30"/>
      <c r="E57" s="30"/>
      <c r="F57" s="30"/>
      <c r="G57" s="30"/>
      <c r="H57" s="30"/>
      <c r="I57" s="30"/>
      <c r="L57" s="6"/>
      <c r="M57" s="29"/>
      <c r="N57" s="19" t="str">
        <f>IF(M57="","",[1]!hks_info_name(M57))</f>
        <v/>
      </c>
      <c r="O57" s="18" t="str">
        <f>IF(M57="","",[1]!s_ipo_listeddate(M57))</f>
        <v/>
      </c>
      <c r="P57" s="19" t="str">
        <f>IF(M57="","",[1]!s_info_exchmarket(M57))</f>
        <v/>
      </c>
      <c r="Q57" s="19" t="str">
        <f>IF(M57="","",[1]!s_info_mkt(M57))</f>
        <v/>
      </c>
      <c r="R57" s="19" t="str">
        <f>IF(M57="","",[1]!hks_info_isincode(M57))</f>
        <v/>
      </c>
      <c r="S57" s="19" t="str">
        <f>IF(M57="","",[1]!s_info_province(M57))</f>
        <v/>
      </c>
      <c r="T57" s="19" t="str">
        <f>IF(M57="","",[1]!s_info_city(M57))</f>
        <v/>
      </c>
      <c r="U57" s="19" t="str">
        <f>IF(M57="","",[1]!s_info_industry_gics(M57,9))</f>
        <v/>
      </c>
      <c r="V57" s="21" t="str">
        <f>IF(M57="","",[1]!lastradeday_s(M57,$D$7))</f>
        <v/>
      </c>
      <c r="W57" s="23" t="str">
        <f>IF(M57="","",[1]!s_dq_close(M57,V57,3))</f>
        <v/>
      </c>
      <c r="X57" s="25" t="str">
        <f>IF(M57="","",[1]!s_dq_pctchange(M57,V57))</f>
        <v/>
      </c>
      <c r="Y57" s="23" t="str">
        <f>IF(M57="","",[1]!hks_val_ev(M57,V57,"",100000000))</f>
        <v/>
      </c>
      <c r="Z57" s="23" t="str">
        <f>IF(M57="","",[1]!hks_val_mv_ard(M57,V57,"",100000000))</f>
        <v/>
      </c>
      <c r="AA57" s="23" t="str">
        <f>IF(M57="","",[1]!hks_fa_eps_basic(M57,[1]!s_fa_latelyrd_bt(M57,V57),""))</f>
        <v/>
      </c>
      <c r="AB57" s="23" t="str">
        <f>IF(M57="","",[1]!hks_val_pe_ttm(M57,V57))</f>
        <v/>
      </c>
      <c r="AC57" s="23" t="str">
        <f>IF(M57="","",[1]!pb_mrq(M57,V57))</f>
        <v/>
      </c>
      <c r="AD57" s="23" t="str">
        <f>IF(M57="","",[1]!s_val_evtoebitda2(M57,V57))</f>
        <v/>
      </c>
      <c r="AE57" s="23" t="str">
        <f>IF(M57="","",[1]!hks_fa_roa2(M57,[1]!s_fa_latelyrd_bt(M57,V57)))</f>
        <v/>
      </c>
      <c r="AF57" s="23" t="str">
        <f>IF(M57="","",[1]!hks_fa_roe(M57,[1]!s_fa_latelyrd_bt(M57,V57)))</f>
        <v/>
      </c>
      <c r="AG57" s="23" t="str">
        <f>IF(M57="","",[1]!s_share_total(M57,V57,100000000))</f>
        <v/>
      </c>
      <c r="AH57" s="23" t="str">
        <f>IF(M57="","",[1]!hks_share_total(M57,V57,100000000))</f>
        <v/>
      </c>
      <c r="AI57" s="23" t="str">
        <f>IF(M57="","",[1]!hks_share_totala(M57,V57,100000000))</f>
        <v/>
      </c>
      <c r="AJ57" s="23" t="str">
        <f>IF(M57="","",[1]!hks_share_totalb(M57,V57,100000000))</f>
        <v/>
      </c>
      <c r="AK57" s="23" t="str">
        <f>IF(M57="","",[1]!hks_share_h(M57,V57,100000000))</f>
        <v/>
      </c>
      <c r="AL57" s="23" t="str">
        <f>IF(M57="","",[1]!hks_share_oversea(M57,V57,100000000))</f>
        <v/>
      </c>
      <c r="AM57" s="23" t="str">
        <f>IF(M57="","",[1]!hks_holder_name(M57,V57,1))</f>
        <v/>
      </c>
      <c r="AN57" s="23" t="str">
        <f>IF(M57="","",[1]!hks_holder_quantity(M57,V57,1,10000))</f>
        <v/>
      </c>
      <c r="AO57" s="23" t="str">
        <f>IF(M57="","",[1]!hks_holder_pct(M57,V57,1))</f>
        <v/>
      </c>
      <c r="AP57" s="23" t="str">
        <f>IF(M57="","",[1]!s_esg_rating_wind(M57,V57))</f>
        <v/>
      </c>
      <c r="AQ57" s="23" t="str">
        <f>IF(M57="","",[1]!s_esg_score_wind(M57,V57))</f>
        <v/>
      </c>
      <c r="AR57" s="6"/>
    </row>
    <row r="58" spans="3:44" s="2" customFormat="1" x14ac:dyDescent="0.2">
      <c r="C58" s="30"/>
      <c r="D58" s="30"/>
      <c r="E58" s="30"/>
      <c r="F58" s="30"/>
      <c r="G58" s="30"/>
      <c r="H58" s="30"/>
      <c r="I58" s="30"/>
      <c r="L58" s="6"/>
      <c r="M58" s="29"/>
      <c r="N58" s="19" t="str">
        <f>IF(M58="","",[1]!hks_info_name(M58))</f>
        <v/>
      </c>
      <c r="O58" s="18" t="str">
        <f>IF(M58="","",[1]!s_ipo_listeddate(M58))</f>
        <v/>
      </c>
      <c r="P58" s="19" t="str">
        <f>IF(M58="","",[1]!s_info_exchmarket(M58))</f>
        <v/>
      </c>
      <c r="Q58" s="19" t="str">
        <f>IF(M58="","",[1]!s_info_mkt(M58))</f>
        <v/>
      </c>
      <c r="R58" s="19" t="str">
        <f>IF(M58="","",[1]!hks_info_isincode(M58))</f>
        <v/>
      </c>
      <c r="S58" s="19" t="str">
        <f>IF(M58="","",[1]!s_info_province(M58))</f>
        <v/>
      </c>
      <c r="T58" s="19" t="str">
        <f>IF(M58="","",[1]!s_info_city(M58))</f>
        <v/>
      </c>
      <c r="U58" s="19" t="str">
        <f>IF(M58="","",[1]!s_info_industry_gics(M58,9))</f>
        <v/>
      </c>
      <c r="V58" s="21" t="str">
        <f>IF(M58="","",[1]!lastradeday_s(M58,$D$7))</f>
        <v/>
      </c>
      <c r="W58" s="23" t="str">
        <f>IF(M58="","",[1]!s_dq_close(M58,V58,3))</f>
        <v/>
      </c>
      <c r="X58" s="25" t="str">
        <f>IF(M58="","",[1]!s_dq_pctchange(M58,V58))</f>
        <v/>
      </c>
      <c r="Y58" s="23" t="str">
        <f>IF(M58="","",[1]!hks_val_ev(M58,V58,"",100000000))</f>
        <v/>
      </c>
      <c r="Z58" s="23" t="str">
        <f>IF(M58="","",[1]!hks_val_mv_ard(M58,V58,"",100000000))</f>
        <v/>
      </c>
      <c r="AA58" s="23" t="str">
        <f>IF(M58="","",[1]!hks_fa_eps_basic(M58,[1]!s_fa_latelyrd_bt(M58,V58),""))</f>
        <v/>
      </c>
      <c r="AB58" s="23" t="str">
        <f>IF(M58="","",[1]!hks_val_pe_ttm(M58,V58))</f>
        <v/>
      </c>
      <c r="AC58" s="23" t="str">
        <f>IF(M58="","",[1]!pb_mrq(M58,V58))</f>
        <v/>
      </c>
      <c r="AD58" s="23" t="str">
        <f>IF(M58="","",[1]!s_val_evtoebitda2(M58,V58))</f>
        <v/>
      </c>
      <c r="AE58" s="23" t="str">
        <f>IF(M58="","",[1]!hks_fa_roa2(M58,[1]!s_fa_latelyrd_bt(M58,V58)))</f>
        <v/>
      </c>
      <c r="AF58" s="23" t="str">
        <f>IF(M58="","",[1]!hks_fa_roe(M58,[1]!s_fa_latelyrd_bt(M58,V58)))</f>
        <v/>
      </c>
      <c r="AG58" s="23" t="str">
        <f>IF(M58="","",[1]!s_share_total(M58,V58,100000000))</f>
        <v/>
      </c>
      <c r="AH58" s="23" t="str">
        <f>IF(M58="","",[1]!hks_share_total(M58,V58,100000000))</f>
        <v/>
      </c>
      <c r="AI58" s="23" t="str">
        <f>IF(M58="","",[1]!hks_share_totala(M58,V58,100000000))</f>
        <v/>
      </c>
      <c r="AJ58" s="23" t="str">
        <f>IF(M58="","",[1]!hks_share_totalb(M58,V58,100000000))</f>
        <v/>
      </c>
      <c r="AK58" s="23" t="str">
        <f>IF(M58="","",[1]!hks_share_h(M58,V58,100000000))</f>
        <v/>
      </c>
      <c r="AL58" s="23" t="str">
        <f>IF(M58="","",[1]!hks_share_oversea(M58,V58,100000000))</f>
        <v/>
      </c>
      <c r="AM58" s="23" t="str">
        <f>IF(M58="","",[1]!hks_holder_name(M58,V58,1))</f>
        <v/>
      </c>
      <c r="AN58" s="23" t="str">
        <f>IF(M58="","",[1]!hks_holder_quantity(M58,V58,1,10000))</f>
        <v/>
      </c>
      <c r="AO58" s="23" t="str">
        <f>IF(M58="","",[1]!hks_holder_pct(M58,V58,1))</f>
        <v/>
      </c>
      <c r="AP58" s="23" t="str">
        <f>IF(M58="","",[1]!s_esg_rating_wind(M58,V58))</f>
        <v/>
      </c>
      <c r="AQ58" s="23" t="str">
        <f>IF(M58="","",[1]!s_esg_score_wind(M58,V58))</f>
        <v/>
      </c>
      <c r="AR58" s="6"/>
    </row>
    <row r="59" spans="3:44" s="2" customFormat="1" x14ac:dyDescent="0.2">
      <c r="C59" s="30"/>
      <c r="D59" s="30"/>
      <c r="E59" s="30"/>
      <c r="F59" s="30"/>
      <c r="G59" s="30"/>
      <c r="H59" s="30"/>
      <c r="I59" s="30"/>
      <c r="L59" s="6"/>
      <c r="M59" s="29"/>
      <c r="N59" s="19" t="str">
        <f>IF(M59="","",[1]!hks_info_name(M59))</f>
        <v/>
      </c>
      <c r="O59" s="18" t="str">
        <f>IF(M59="","",[1]!s_ipo_listeddate(M59))</f>
        <v/>
      </c>
      <c r="P59" s="19" t="str">
        <f>IF(M59="","",[1]!s_info_exchmarket(M59))</f>
        <v/>
      </c>
      <c r="Q59" s="19" t="str">
        <f>IF(M59="","",[1]!s_info_mkt(M59))</f>
        <v/>
      </c>
      <c r="R59" s="19" t="str">
        <f>IF(M59="","",[1]!hks_info_isincode(M59))</f>
        <v/>
      </c>
      <c r="S59" s="19" t="str">
        <f>IF(M59="","",[1]!s_info_province(M59))</f>
        <v/>
      </c>
      <c r="T59" s="19" t="str">
        <f>IF(M59="","",[1]!s_info_city(M59))</f>
        <v/>
      </c>
      <c r="U59" s="19" t="str">
        <f>IF(M59="","",[1]!s_info_industry_gics(M59,9))</f>
        <v/>
      </c>
      <c r="V59" s="21" t="str">
        <f>IF(M59="","",[1]!lastradeday_s(M59,$D$7))</f>
        <v/>
      </c>
      <c r="W59" s="23" t="str">
        <f>IF(M59="","",[1]!s_dq_close(M59,V59,3))</f>
        <v/>
      </c>
      <c r="X59" s="25" t="str">
        <f>IF(M59="","",[1]!s_dq_pctchange(M59,V59))</f>
        <v/>
      </c>
      <c r="Y59" s="23" t="str">
        <f>IF(M59="","",[1]!hks_val_ev(M59,V59,"",100000000))</f>
        <v/>
      </c>
      <c r="Z59" s="23" t="str">
        <f>IF(M59="","",[1]!hks_val_mv_ard(M59,V59,"",100000000))</f>
        <v/>
      </c>
      <c r="AA59" s="23" t="str">
        <f>IF(M59="","",[1]!hks_fa_eps_basic(M59,[1]!s_fa_latelyrd_bt(M59,V59),""))</f>
        <v/>
      </c>
      <c r="AB59" s="23" t="str">
        <f>IF(M59="","",[1]!hks_val_pe_ttm(M59,V59))</f>
        <v/>
      </c>
      <c r="AC59" s="23" t="str">
        <f>IF(M59="","",[1]!pb_mrq(M59,V59))</f>
        <v/>
      </c>
      <c r="AD59" s="23" t="str">
        <f>IF(M59="","",[1]!s_val_evtoebitda2(M59,V59))</f>
        <v/>
      </c>
      <c r="AE59" s="23" t="str">
        <f>IF(M59="","",[1]!hks_fa_roa2(M59,[1]!s_fa_latelyrd_bt(M59,V59)))</f>
        <v/>
      </c>
      <c r="AF59" s="23" t="str">
        <f>IF(M59="","",[1]!hks_fa_roe(M59,[1]!s_fa_latelyrd_bt(M59,V59)))</f>
        <v/>
      </c>
      <c r="AG59" s="23" t="str">
        <f>IF(M59="","",[1]!s_share_total(M59,V59,100000000))</f>
        <v/>
      </c>
      <c r="AH59" s="23" t="str">
        <f>IF(M59="","",[1]!hks_share_total(M59,V59,100000000))</f>
        <v/>
      </c>
      <c r="AI59" s="23" t="str">
        <f>IF(M59="","",[1]!hks_share_totala(M59,V59,100000000))</f>
        <v/>
      </c>
      <c r="AJ59" s="23" t="str">
        <f>IF(M59="","",[1]!hks_share_totalb(M59,V59,100000000))</f>
        <v/>
      </c>
      <c r="AK59" s="23" t="str">
        <f>IF(M59="","",[1]!hks_share_h(M59,V59,100000000))</f>
        <v/>
      </c>
      <c r="AL59" s="23" t="str">
        <f>IF(M59="","",[1]!hks_share_oversea(M59,V59,100000000))</f>
        <v/>
      </c>
      <c r="AM59" s="23" t="str">
        <f>IF(M59="","",[1]!hks_holder_name(M59,V59,1))</f>
        <v/>
      </c>
      <c r="AN59" s="23" t="str">
        <f>IF(M59="","",[1]!hks_holder_quantity(M59,V59,1,10000))</f>
        <v/>
      </c>
      <c r="AO59" s="23" t="str">
        <f>IF(M59="","",[1]!hks_holder_pct(M59,V59,1))</f>
        <v/>
      </c>
      <c r="AP59" s="23" t="str">
        <f>IF(M59="","",[1]!s_esg_rating_wind(M59,V59))</f>
        <v/>
      </c>
      <c r="AQ59" s="23" t="str">
        <f>IF(M59="","",[1]!s_esg_score_wind(M59,V59))</f>
        <v/>
      </c>
      <c r="AR59" s="6"/>
    </row>
    <row r="60" spans="3:44" s="2" customFormat="1" x14ac:dyDescent="0.2">
      <c r="C60" s="30"/>
      <c r="D60" s="30"/>
      <c r="E60" s="30"/>
      <c r="F60" s="30"/>
      <c r="G60" s="30"/>
      <c r="H60" s="30"/>
      <c r="I60" s="30"/>
      <c r="L60" s="6"/>
      <c r="M60" s="29"/>
      <c r="N60" s="19" t="str">
        <f>IF(M60="","",[1]!hks_info_name(M60))</f>
        <v/>
      </c>
      <c r="O60" s="18" t="str">
        <f>IF(M60="","",[1]!s_ipo_listeddate(M60))</f>
        <v/>
      </c>
      <c r="P60" s="19" t="str">
        <f>IF(M60="","",[1]!s_info_exchmarket(M60))</f>
        <v/>
      </c>
      <c r="Q60" s="19" t="str">
        <f>IF(M60="","",[1]!s_info_mkt(M60))</f>
        <v/>
      </c>
      <c r="R60" s="19" t="str">
        <f>IF(M60="","",[1]!hks_info_isincode(M60))</f>
        <v/>
      </c>
      <c r="S60" s="19" t="str">
        <f>IF(M60="","",[1]!s_info_province(M60))</f>
        <v/>
      </c>
      <c r="T60" s="19" t="str">
        <f>IF(M60="","",[1]!s_info_city(M60))</f>
        <v/>
      </c>
      <c r="U60" s="19" t="str">
        <f>IF(M60="","",[1]!s_info_industry_gics(M60,9))</f>
        <v/>
      </c>
      <c r="V60" s="21" t="str">
        <f>IF(M60="","",[1]!lastradeday_s(M60,$D$7))</f>
        <v/>
      </c>
      <c r="W60" s="23" t="str">
        <f>IF(M60="","",[1]!s_dq_close(M60,V60,3))</f>
        <v/>
      </c>
      <c r="X60" s="25" t="str">
        <f>IF(M60="","",[1]!s_dq_pctchange(M60,V60))</f>
        <v/>
      </c>
      <c r="Y60" s="23" t="str">
        <f>IF(M60="","",[1]!hks_val_ev(M60,V60,"",100000000))</f>
        <v/>
      </c>
      <c r="Z60" s="23" t="str">
        <f>IF(M60="","",[1]!hks_val_mv_ard(M60,V60,"",100000000))</f>
        <v/>
      </c>
      <c r="AA60" s="23" t="str">
        <f>IF(M60="","",[1]!hks_fa_eps_basic(M60,[1]!s_fa_latelyrd_bt(M60,V60),""))</f>
        <v/>
      </c>
      <c r="AB60" s="23" t="str">
        <f>IF(M60="","",[1]!hks_val_pe_ttm(M60,V60))</f>
        <v/>
      </c>
      <c r="AC60" s="23" t="str">
        <f>IF(M60="","",[1]!pb_mrq(M60,V60))</f>
        <v/>
      </c>
      <c r="AD60" s="23" t="str">
        <f>IF(M60="","",[1]!s_val_evtoebitda2(M60,V60))</f>
        <v/>
      </c>
      <c r="AE60" s="23" t="str">
        <f>IF(M60="","",[1]!hks_fa_roa2(M60,[1]!s_fa_latelyrd_bt(M60,V60)))</f>
        <v/>
      </c>
      <c r="AF60" s="23" t="str">
        <f>IF(M60="","",[1]!hks_fa_roe(M60,[1]!s_fa_latelyrd_bt(M60,V60)))</f>
        <v/>
      </c>
      <c r="AG60" s="23" t="str">
        <f>IF(M60="","",[1]!s_share_total(M60,V60,100000000))</f>
        <v/>
      </c>
      <c r="AH60" s="23" t="str">
        <f>IF(M60="","",[1]!hks_share_total(M60,V60,100000000))</f>
        <v/>
      </c>
      <c r="AI60" s="23" t="str">
        <f>IF(M60="","",[1]!hks_share_totala(M60,V60,100000000))</f>
        <v/>
      </c>
      <c r="AJ60" s="23" t="str">
        <f>IF(M60="","",[1]!hks_share_totalb(M60,V60,100000000))</f>
        <v/>
      </c>
      <c r="AK60" s="23" t="str">
        <f>IF(M60="","",[1]!hks_share_h(M60,V60,100000000))</f>
        <v/>
      </c>
      <c r="AL60" s="23" t="str">
        <f>IF(M60="","",[1]!hks_share_oversea(M60,V60,100000000))</f>
        <v/>
      </c>
      <c r="AM60" s="23" t="str">
        <f>IF(M60="","",[1]!hks_holder_name(M60,V60,1))</f>
        <v/>
      </c>
      <c r="AN60" s="23" t="str">
        <f>IF(M60="","",[1]!hks_holder_quantity(M60,V60,1,10000))</f>
        <v/>
      </c>
      <c r="AO60" s="23" t="str">
        <f>IF(M60="","",[1]!hks_holder_pct(M60,V60,1))</f>
        <v/>
      </c>
      <c r="AP60" s="23" t="str">
        <f>IF(M60="","",[1]!s_esg_rating_wind(M60,V60))</f>
        <v/>
      </c>
      <c r="AQ60" s="23" t="str">
        <f>IF(M60="","",[1]!s_esg_score_wind(M60,V60))</f>
        <v/>
      </c>
      <c r="AR60" s="6"/>
    </row>
    <row r="61" spans="3:44" s="2" customFormat="1" x14ac:dyDescent="0.2">
      <c r="C61" s="30"/>
      <c r="D61" s="30"/>
      <c r="E61" s="30"/>
      <c r="F61" s="30"/>
      <c r="G61" s="30"/>
      <c r="H61" s="30"/>
      <c r="I61" s="30"/>
      <c r="L61" s="6"/>
      <c r="M61" s="29"/>
      <c r="N61" s="19" t="str">
        <f>IF(M61="","",[1]!hks_info_name(M61))</f>
        <v/>
      </c>
      <c r="O61" s="18" t="str">
        <f>IF(M61="","",[1]!s_ipo_listeddate(M61))</f>
        <v/>
      </c>
      <c r="P61" s="19" t="str">
        <f>IF(M61="","",[1]!s_info_exchmarket(M61))</f>
        <v/>
      </c>
      <c r="Q61" s="19" t="str">
        <f>IF(M61="","",[1]!s_info_mkt(M61))</f>
        <v/>
      </c>
      <c r="R61" s="19" t="str">
        <f>IF(M61="","",[1]!hks_info_isincode(M61))</f>
        <v/>
      </c>
      <c r="S61" s="19" t="str">
        <f>IF(M61="","",[1]!s_info_province(M61))</f>
        <v/>
      </c>
      <c r="T61" s="19" t="str">
        <f>IF(M61="","",[1]!s_info_city(M61))</f>
        <v/>
      </c>
      <c r="U61" s="19" t="str">
        <f>IF(M61="","",[1]!s_info_industry_gics(M61,9))</f>
        <v/>
      </c>
      <c r="V61" s="21" t="str">
        <f>IF(M61="","",[1]!lastradeday_s(M61,$D$7))</f>
        <v/>
      </c>
      <c r="W61" s="23" t="str">
        <f>IF(M61="","",[1]!s_dq_close(M61,V61,3))</f>
        <v/>
      </c>
      <c r="X61" s="25" t="str">
        <f>IF(M61="","",[1]!s_dq_pctchange(M61,V61))</f>
        <v/>
      </c>
      <c r="Y61" s="23" t="str">
        <f>IF(M61="","",[1]!hks_val_ev(M61,V61,"",100000000))</f>
        <v/>
      </c>
      <c r="Z61" s="23" t="str">
        <f>IF(M61="","",[1]!hks_val_mv_ard(M61,V61,"",100000000))</f>
        <v/>
      </c>
      <c r="AA61" s="23" t="str">
        <f>IF(M61="","",[1]!hks_fa_eps_basic(M61,[1]!s_fa_latelyrd_bt(M61,V61),""))</f>
        <v/>
      </c>
      <c r="AB61" s="23" t="str">
        <f>IF(M61="","",[1]!hks_val_pe_ttm(M61,V61))</f>
        <v/>
      </c>
      <c r="AC61" s="23" t="str">
        <f>IF(M61="","",[1]!pb_mrq(M61,V61))</f>
        <v/>
      </c>
      <c r="AD61" s="23" t="str">
        <f>IF(M61="","",[1]!s_val_evtoebitda2(M61,V61))</f>
        <v/>
      </c>
      <c r="AE61" s="23" t="str">
        <f>IF(M61="","",[1]!hks_fa_roa2(M61,[1]!s_fa_latelyrd_bt(M61,V61)))</f>
        <v/>
      </c>
      <c r="AF61" s="23" t="str">
        <f>IF(M61="","",[1]!hks_fa_roe(M61,[1]!s_fa_latelyrd_bt(M61,V61)))</f>
        <v/>
      </c>
      <c r="AG61" s="23" t="str">
        <f>IF(M61="","",[1]!s_share_total(M61,V61,100000000))</f>
        <v/>
      </c>
      <c r="AH61" s="23" t="str">
        <f>IF(M61="","",[1]!hks_share_total(M61,V61,100000000))</f>
        <v/>
      </c>
      <c r="AI61" s="23" t="str">
        <f>IF(M61="","",[1]!hks_share_totala(M61,V61,100000000))</f>
        <v/>
      </c>
      <c r="AJ61" s="23" t="str">
        <f>IF(M61="","",[1]!hks_share_totalb(M61,V61,100000000))</f>
        <v/>
      </c>
      <c r="AK61" s="23" t="str">
        <f>IF(M61="","",[1]!hks_share_h(M61,V61,100000000))</f>
        <v/>
      </c>
      <c r="AL61" s="23" t="str">
        <f>IF(M61="","",[1]!hks_share_oversea(M61,V61,100000000))</f>
        <v/>
      </c>
      <c r="AM61" s="23" t="str">
        <f>IF(M61="","",[1]!hks_holder_name(M61,V61,1))</f>
        <v/>
      </c>
      <c r="AN61" s="23" t="str">
        <f>IF(M61="","",[1]!hks_holder_quantity(M61,V61,1,10000))</f>
        <v/>
      </c>
      <c r="AO61" s="23" t="str">
        <f>IF(M61="","",[1]!hks_holder_pct(M61,V61,1))</f>
        <v/>
      </c>
      <c r="AP61" s="23" t="str">
        <f>IF(M61="","",[1]!s_esg_rating_wind(M61,V61))</f>
        <v/>
      </c>
      <c r="AQ61" s="23" t="str">
        <f>IF(M61="","",[1]!s_esg_score_wind(M61,V61))</f>
        <v/>
      </c>
      <c r="AR61" s="6"/>
    </row>
    <row r="62" spans="3:44" s="2" customFormat="1" x14ac:dyDescent="0.2">
      <c r="C62" s="30"/>
      <c r="D62" s="30"/>
      <c r="E62" s="30"/>
      <c r="F62" s="30"/>
      <c r="G62" s="30"/>
      <c r="H62" s="30"/>
      <c r="I62" s="30"/>
      <c r="L62" s="6"/>
      <c r="M62" s="29"/>
      <c r="N62" s="19" t="str">
        <f>IF(M62="","",[1]!hks_info_name(M62))</f>
        <v/>
      </c>
      <c r="O62" s="18" t="str">
        <f>IF(M62="","",[1]!s_ipo_listeddate(M62))</f>
        <v/>
      </c>
      <c r="P62" s="19" t="str">
        <f>IF(M62="","",[1]!s_info_exchmarket(M62))</f>
        <v/>
      </c>
      <c r="Q62" s="19" t="str">
        <f>IF(M62="","",[1]!s_info_mkt(M62))</f>
        <v/>
      </c>
      <c r="R62" s="19" t="str">
        <f>IF(M62="","",[1]!hks_info_isincode(M62))</f>
        <v/>
      </c>
      <c r="S62" s="19" t="str">
        <f>IF(M62="","",[1]!s_info_province(M62))</f>
        <v/>
      </c>
      <c r="T62" s="19" t="str">
        <f>IF(M62="","",[1]!s_info_city(M62))</f>
        <v/>
      </c>
      <c r="U62" s="19" t="str">
        <f>IF(M62="","",[1]!s_info_industry_gics(M62,9))</f>
        <v/>
      </c>
      <c r="V62" s="21" t="str">
        <f>IF(M62="","",[1]!lastradeday_s(M62,$D$7))</f>
        <v/>
      </c>
      <c r="W62" s="23" t="str">
        <f>IF(M62="","",[1]!s_dq_close(M62,V62,3))</f>
        <v/>
      </c>
      <c r="X62" s="25" t="str">
        <f>IF(M62="","",[1]!s_dq_pctchange(M62,V62))</f>
        <v/>
      </c>
      <c r="Y62" s="23" t="str">
        <f>IF(M62="","",[1]!hks_val_ev(M62,V62,"",100000000))</f>
        <v/>
      </c>
      <c r="Z62" s="23" t="str">
        <f>IF(M62="","",[1]!hks_val_mv_ard(M62,V62,"",100000000))</f>
        <v/>
      </c>
      <c r="AA62" s="23" t="str">
        <f>IF(M62="","",[1]!hks_fa_eps_basic(M62,[1]!s_fa_latelyrd_bt(M62,V62),""))</f>
        <v/>
      </c>
      <c r="AB62" s="23" t="str">
        <f>IF(M62="","",[1]!hks_val_pe_ttm(M62,V62))</f>
        <v/>
      </c>
      <c r="AC62" s="23" t="str">
        <f>IF(M62="","",[1]!pb_mrq(M62,V62))</f>
        <v/>
      </c>
      <c r="AD62" s="23" t="str">
        <f>IF(M62="","",[1]!s_val_evtoebitda2(M62,V62))</f>
        <v/>
      </c>
      <c r="AE62" s="23" t="str">
        <f>IF(M62="","",[1]!hks_fa_roa2(M62,[1]!s_fa_latelyrd_bt(M62,V62)))</f>
        <v/>
      </c>
      <c r="AF62" s="23" t="str">
        <f>IF(M62="","",[1]!hks_fa_roe(M62,[1]!s_fa_latelyrd_bt(M62,V62)))</f>
        <v/>
      </c>
      <c r="AG62" s="23" t="str">
        <f>IF(M62="","",[1]!s_share_total(M62,V62,100000000))</f>
        <v/>
      </c>
      <c r="AH62" s="23" t="str">
        <f>IF(M62="","",[1]!hks_share_total(M62,V62,100000000))</f>
        <v/>
      </c>
      <c r="AI62" s="23" t="str">
        <f>IF(M62="","",[1]!hks_share_totala(M62,V62,100000000))</f>
        <v/>
      </c>
      <c r="AJ62" s="23" t="str">
        <f>IF(M62="","",[1]!hks_share_totalb(M62,V62,100000000))</f>
        <v/>
      </c>
      <c r="AK62" s="23" t="str">
        <f>IF(M62="","",[1]!hks_share_h(M62,V62,100000000))</f>
        <v/>
      </c>
      <c r="AL62" s="23" t="str">
        <f>IF(M62="","",[1]!hks_share_oversea(M62,V62,100000000))</f>
        <v/>
      </c>
      <c r="AM62" s="23" t="str">
        <f>IF(M62="","",[1]!hks_holder_name(M62,V62,1))</f>
        <v/>
      </c>
      <c r="AN62" s="23" t="str">
        <f>IF(M62="","",[1]!hks_holder_quantity(M62,V62,1,10000))</f>
        <v/>
      </c>
      <c r="AO62" s="23" t="str">
        <f>IF(M62="","",[1]!hks_holder_pct(M62,V62,1))</f>
        <v/>
      </c>
      <c r="AP62" s="23" t="str">
        <f>IF(M62="","",[1]!s_esg_rating_wind(M62,V62))</f>
        <v/>
      </c>
      <c r="AQ62" s="23" t="str">
        <f>IF(M62="","",[1]!s_esg_score_wind(M62,V62))</f>
        <v/>
      </c>
      <c r="AR62" s="6"/>
    </row>
    <row r="63" spans="3:44" s="2" customFormat="1" x14ac:dyDescent="0.2">
      <c r="C63" s="30"/>
      <c r="D63" s="30"/>
      <c r="E63" s="30"/>
      <c r="F63" s="30"/>
      <c r="G63" s="30"/>
      <c r="H63" s="30"/>
      <c r="I63" s="30"/>
      <c r="L63" s="6"/>
      <c r="M63" s="29"/>
      <c r="N63" s="19" t="str">
        <f>IF(M63="","",[1]!hks_info_name(M63))</f>
        <v/>
      </c>
      <c r="O63" s="18" t="str">
        <f>IF(M63="","",[1]!s_ipo_listeddate(M63))</f>
        <v/>
      </c>
      <c r="P63" s="19" t="str">
        <f>IF(M63="","",[1]!s_info_exchmarket(M63))</f>
        <v/>
      </c>
      <c r="Q63" s="19" t="str">
        <f>IF(M63="","",[1]!s_info_mkt(M63))</f>
        <v/>
      </c>
      <c r="R63" s="19" t="str">
        <f>IF(M63="","",[1]!hks_info_isincode(M63))</f>
        <v/>
      </c>
      <c r="S63" s="19" t="str">
        <f>IF(M63="","",[1]!s_info_province(M63))</f>
        <v/>
      </c>
      <c r="T63" s="19" t="str">
        <f>IF(M63="","",[1]!s_info_city(M63))</f>
        <v/>
      </c>
      <c r="U63" s="19" t="str">
        <f>IF(M63="","",[1]!s_info_industry_gics(M63,9))</f>
        <v/>
      </c>
      <c r="V63" s="21" t="str">
        <f>IF(M63="","",[1]!lastradeday_s(M63,$D$7))</f>
        <v/>
      </c>
      <c r="W63" s="23" t="str">
        <f>IF(M63="","",[1]!s_dq_close(M63,V63,3))</f>
        <v/>
      </c>
      <c r="X63" s="25" t="str">
        <f>IF(M63="","",[1]!s_dq_pctchange(M63,V63))</f>
        <v/>
      </c>
      <c r="Y63" s="23" t="str">
        <f>IF(M63="","",[1]!hks_val_ev(M63,V63,"",100000000))</f>
        <v/>
      </c>
      <c r="Z63" s="23" t="str">
        <f>IF(M63="","",[1]!hks_val_mv_ard(M63,V63,"",100000000))</f>
        <v/>
      </c>
      <c r="AA63" s="23" t="str">
        <f>IF(M63="","",[1]!hks_fa_eps_basic(M63,[1]!s_fa_latelyrd_bt(M63,V63),""))</f>
        <v/>
      </c>
      <c r="AB63" s="23" t="str">
        <f>IF(M63="","",[1]!hks_val_pe_ttm(M63,V63))</f>
        <v/>
      </c>
      <c r="AC63" s="23" t="str">
        <f>IF(M63="","",[1]!pb_mrq(M63,V63))</f>
        <v/>
      </c>
      <c r="AD63" s="23" t="str">
        <f>IF(M63="","",[1]!s_val_evtoebitda2(M63,V63))</f>
        <v/>
      </c>
      <c r="AE63" s="23" t="str">
        <f>IF(M63="","",[1]!hks_fa_roa2(M63,[1]!s_fa_latelyrd_bt(M63,V63)))</f>
        <v/>
      </c>
      <c r="AF63" s="23" t="str">
        <f>IF(M63="","",[1]!hks_fa_roe(M63,[1]!s_fa_latelyrd_bt(M63,V63)))</f>
        <v/>
      </c>
      <c r="AG63" s="23" t="str">
        <f>IF(M63="","",[1]!s_share_total(M63,V63,100000000))</f>
        <v/>
      </c>
      <c r="AH63" s="23" t="str">
        <f>IF(M63="","",[1]!hks_share_total(M63,V63,100000000))</f>
        <v/>
      </c>
      <c r="AI63" s="23" t="str">
        <f>IF(M63="","",[1]!hks_share_totala(M63,V63,100000000))</f>
        <v/>
      </c>
      <c r="AJ63" s="23" t="str">
        <f>IF(M63="","",[1]!hks_share_totalb(M63,V63,100000000))</f>
        <v/>
      </c>
      <c r="AK63" s="23" t="str">
        <f>IF(M63="","",[1]!hks_share_h(M63,V63,100000000))</f>
        <v/>
      </c>
      <c r="AL63" s="23" t="str">
        <f>IF(M63="","",[1]!hks_share_oversea(M63,V63,100000000))</f>
        <v/>
      </c>
      <c r="AM63" s="23" t="str">
        <f>IF(M63="","",[1]!hks_holder_name(M63,V63,1))</f>
        <v/>
      </c>
      <c r="AN63" s="23" t="str">
        <f>IF(M63="","",[1]!hks_holder_quantity(M63,V63,1,10000))</f>
        <v/>
      </c>
      <c r="AO63" s="23" t="str">
        <f>IF(M63="","",[1]!hks_holder_pct(M63,V63,1))</f>
        <v/>
      </c>
      <c r="AP63" s="23" t="str">
        <f>IF(M63="","",[1]!s_esg_rating_wind(M63,V63))</f>
        <v/>
      </c>
      <c r="AQ63" s="23" t="str">
        <f>IF(M63="","",[1]!s_esg_score_wind(M63,V63))</f>
        <v/>
      </c>
      <c r="AR63" s="6"/>
    </row>
    <row r="64" spans="3:44" s="2" customFormat="1" x14ac:dyDescent="0.2">
      <c r="C64" s="30"/>
      <c r="D64" s="30"/>
      <c r="E64" s="30"/>
      <c r="F64" s="30"/>
      <c r="G64" s="30"/>
      <c r="H64" s="30"/>
      <c r="I64" s="30"/>
      <c r="L64" s="6"/>
      <c r="M64" s="29"/>
      <c r="N64" s="19" t="str">
        <f>IF(M64="","",[1]!hks_info_name(M64))</f>
        <v/>
      </c>
      <c r="O64" s="18" t="str">
        <f>IF(M64="","",[1]!s_ipo_listeddate(M64))</f>
        <v/>
      </c>
      <c r="P64" s="19" t="str">
        <f>IF(M64="","",[1]!s_info_exchmarket(M64))</f>
        <v/>
      </c>
      <c r="Q64" s="19" t="str">
        <f>IF(M64="","",[1]!s_info_mkt(M64))</f>
        <v/>
      </c>
      <c r="R64" s="19" t="str">
        <f>IF(M64="","",[1]!hks_info_isincode(M64))</f>
        <v/>
      </c>
      <c r="S64" s="19" t="str">
        <f>IF(M64="","",[1]!s_info_province(M64))</f>
        <v/>
      </c>
      <c r="T64" s="19" t="str">
        <f>IF(M64="","",[1]!s_info_city(M64))</f>
        <v/>
      </c>
      <c r="U64" s="19" t="str">
        <f>IF(M64="","",[1]!s_info_industry_gics(M64,9))</f>
        <v/>
      </c>
      <c r="V64" s="21" t="str">
        <f>IF(M64="","",[1]!lastradeday_s(M64,$D$7))</f>
        <v/>
      </c>
      <c r="W64" s="23" t="str">
        <f>IF(M64="","",[1]!s_dq_close(M64,V64,3))</f>
        <v/>
      </c>
      <c r="X64" s="25" t="str">
        <f>IF(M64="","",[1]!s_dq_pctchange(M64,V64))</f>
        <v/>
      </c>
      <c r="Y64" s="23" t="str">
        <f>IF(M64="","",[1]!hks_val_ev(M64,V64,"",100000000))</f>
        <v/>
      </c>
      <c r="Z64" s="23" t="str">
        <f>IF(M64="","",[1]!hks_val_mv_ard(M64,V64,"",100000000))</f>
        <v/>
      </c>
      <c r="AA64" s="23" t="str">
        <f>IF(M64="","",[1]!hks_fa_eps_basic(M64,[1]!s_fa_latelyrd_bt(M64,V64),""))</f>
        <v/>
      </c>
      <c r="AB64" s="23" t="str">
        <f>IF(M64="","",[1]!hks_val_pe_ttm(M64,V64))</f>
        <v/>
      </c>
      <c r="AC64" s="23" t="str">
        <f>IF(M64="","",[1]!pb_mrq(M64,V64))</f>
        <v/>
      </c>
      <c r="AD64" s="23" t="str">
        <f>IF(M64="","",[1]!s_val_evtoebitda2(M64,V64))</f>
        <v/>
      </c>
      <c r="AE64" s="23" t="str">
        <f>IF(M64="","",[1]!hks_fa_roa2(M64,[1]!s_fa_latelyrd_bt(M64,V64)))</f>
        <v/>
      </c>
      <c r="AF64" s="23" t="str">
        <f>IF(M64="","",[1]!hks_fa_roe(M64,[1]!s_fa_latelyrd_bt(M64,V64)))</f>
        <v/>
      </c>
      <c r="AG64" s="23" t="str">
        <f>IF(M64="","",[1]!s_share_total(M64,V64,100000000))</f>
        <v/>
      </c>
      <c r="AH64" s="23" t="str">
        <f>IF(M64="","",[1]!hks_share_total(M64,V64,100000000))</f>
        <v/>
      </c>
      <c r="AI64" s="23" t="str">
        <f>IF(M64="","",[1]!hks_share_totala(M64,V64,100000000))</f>
        <v/>
      </c>
      <c r="AJ64" s="23" t="str">
        <f>IF(M64="","",[1]!hks_share_totalb(M64,V64,100000000))</f>
        <v/>
      </c>
      <c r="AK64" s="23" t="str">
        <f>IF(M64="","",[1]!hks_share_h(M64,V64,100000000))</f>
        <v/>
      </c>
      <c r="AL64" s="23" t="str">
        <f>IF(M64="","",[1]!hks_share_oversea(M64,V64,100000000))</f>
        <v/>
      </c>
      <c r="AM64" s="23" t="str">
        <f>IF(M64="","",[1]!hks_holder_name(M64,V64,1))</f>
        <v/>
      </c>
      <c r="AN64" s="23" t="str">
        <f>IF(M64="","",[1]!hks_holder_quantity(M64,V64,1,10000))</f>
        <v/>
      </c>
      <c r="AO64" s="23" t="str">
        <f>IF(M64="","",[1]!hks_holder_pct(M64,V64,1))</f>
        <v/>
      </c>
      <c r="AP64" s="23" t="str">
        <f>IF(M64="","",[1]!s_esg_rating_wind(M64,V64))</f>
        <v/>
      </c>
      <c r="AQ64" s="23" t="str">
        <f>IF(M64="","",[1]!s_esg_score_wind(M64,V64))</f>
        <v/>
      </c>
      <c r="AR64" s="6"/>
    </row>
    <row r="65" spans="3:44" s="2" customFormat="1" x14ac:dyDescent="0.2">
      <c r="C65" s="30"/>
      <c r="D65" s="30"/>
      <c r="E65" s="30"/>
      <c r="F65" s="30"/>
      <c r="G65" s="30"/>
      <c r="H65" s="30"/>
      <c r="I65" s="30"/>
      <c r="L65" s="6"/>
      <c r="M65" s="29"/>
      <c r="N65" s="19" t="str">
        <f>IF(M65="","",[1]!hks_info_name(M65))</f>
        <v/>
      </c>
      <c r="O65" s="18" t="str">
        <f>IF(M65="","",[1]!s_ipo_listeddate(M65))</f>
        <v/>
      </c>
      <c r="P65" s="19" t="str">
        <f>IF(M65="","",[1]!s_info_exchmarket(M65))</f>
        <v/>
      </c>
      <c r="Q65" s="19" t="str">
        <f>IF(M65="","",[1]!s_info_mkt(M65))</f>
        <v/>
      </c>
      <c r="R65" s="19" t="str">
        <f>IF(M65="","",[1]!hks_info_isincode(M65))</f>
        <v/>
      </c>
      <c r="S65" s="19" t="str">
        <f>IF(M65="","",[1]!s_info_province(M65))</f>
        <v/>
      </c>
      <c r="T65" s="19" t="str">
        <f>IF(M65="","",[1]!s_info_city(M65))</f>
        <v/>
      </c>
      <c r="U65" s="19" t="str">
        <f>IF(M65="","",[1]!s_info_industry_gics(M65,9))</f>
        <v/>
      </c>
      <c r="V65" s="21" t="str">
        <f>IF(M65="","",[1]!lastradeday_s(M65,$D$7))</f>
        <v/>
      </c>
      <c r="W65" s="23" t="str">
        <f>IF(M65="","",[1]!s_dq_close(M65,V65,3))</f>
        <v/>
      </c>
      <c r="X65" s="25" t="str">
        <f>IF(M65="","",[1]!s_dq_pctchange(M65,V65))</f>
        <v/>
      </c>
      <c r="Y65" s="23" t="str">
        <f>IF(M65="","",[1]!hks_val_ev(M65,V65,"",100000000))</f>
        <v/>
      </c>
      <c r="Z65" s="23" t="str">
        <f>IF(M65="","",[1]!hks_val_mv_ard(M65,V65,"",100000000))</f>
        <v/>
      </c>
      <c r="AA65" s="23" t="str">
        <f>IF(M65="","",[1]!hks_fa_eps_basic(M65,[1]!s_fa_latelyrd_bt(M65,V65),""))</f>
        <v/>
      </c>
      <c r="AB65" s="23" t="str">
        <f>IF(M65="","",[1]!hks_val_pe_ttm(M65,V65))</f>
        <v/>
      </c>
      <c r="AC65" s="23" t="str">
        <f>IF(M65="","",[1]!pb_mrq(M65,V65))</f>
        <v/>
      </c>
      <c r="AD65" s="23" t="str">
        <f>IF(M65="","",[1]!s_val_evtoebitda2(M65,V65))</f>
        <v/>
      </c>
      <c r="AE65" s="23" t="str">
        <f>IF(M65="","",[1]!hks_fa_roa2(M65,[1]!s_fa_latelyrd_bt(M65,V65)))</f>
        <v/>
      </c>
      <c r="AF65" s="23" t="str">
        <f>IF(M65="","",[1]!hks_fa_roe(M65,[1]!s_fa_latelyrd_bt(M65,V65)))</f>
        <v/>
      </c>
      <c r="AG65" s="23" t="str">
        <f>IF(M65="","",[1]!s_share_total(M65,V65,100000000))</f>
        <v/>
      </c>
      <c r="AH65" s="23" t="str">
        <f>IF(M65="","",[1]!hks_share_total(M65,V65,100000000))</f>
        <v/>
      </c>
      <c r="AI65" s="23" t="str">
        <f>IF(M65="","",[1]!hks_share_totala(M65,V65,100000000))</f>
        <v/>
      </c>
      <c r="AJ65" s="23" t="str">
        <f>IF(M65="","",[1]!hks_share_totalb(M65,V65,100000000))</f>
        <v/>
      </c>
      <c r="AK65" s="23" t="str">
        <f>IF(M65="","",[1]!hks_share_h(M65,V65,100000000))</f>
        <v/>
      </c>
      <c r="AL65" s="23" t="str">
        <f>IF(M65="","",[1]!hks_share_oversea(M65,V65,100000000))</f>
        <v/>
      </c>
      <c r="AM65" s="23" t="str">
        <f>IF(M65="","",[1]!hks_holder_name(M65,V65,1))</f>
        <v/>
      </c>
      <c r="AN65" s="23" t="str">
        <f>IF(M65="","",[1]!hks_holder_quantity(M65,V65,1,10000))</f>
        <v/>
      </c>
      <c r="AO65" s="23" t="str">
        <f>IF(M65="","",[1]!hks_holder_pct(M65,V65,1))</f>
        <v/>
      </c>
      <c r="AP65" s="23" t="str">
        <f>IF(M65="","",[1]!s_esg_rating_wind(M65,V65))</f>
        <v/>
      </c>
      <c r="AQ65" s="23" t="str">
        <f>IF(M65="","",[1]!s_esg_score_wind(M65,V65))</f>
        <v/>
      </c>
      <c r="AR65" s="6"/>
    </row>
    <row r="66" spans="3:44" s="2" customFormat="1" x14ac:dyDescent="0.2">
      <c r="C66" s="30"/>
      <c r="D66" s="30"/>
      <c r="E66" s="30"/>
      <c r="F66" s="30"/>
      <c r="G66" s="30"/>
      <c r="H66" s="30"/>
      <c r="I66" s="30"/>
      <c r="L66" s="6"/>
      <c r="M66" s="29"/>
      <c r="N66" s="19" t="str">
        <f>IF(M66="","",[1]!hks_info_name(M66))</f>
        <v/>
      </c>
      <c r="O66" s="18" t="str">
        <f>IF(M66="","",[1]!s_ipo_listeddate(M66))</f>
        <v/>
      </c>
      <c r="P66" s="19" t="str">
        <f>IF(M66="","",[1]!s_info_exchmarket(M66))</f>
        <v/>
      </c>
      <c r="Q66" s="19" t="str">
        <f>IF(M66="","",[1]!s_info_mkt(M66))</f>
        <v/>
      </c>
      <c r="R66" s="19" t="str">
        <f>IF(M66="","",[1]!hks_info_isincode(M66))</f>
        <v/>
      </c>
      <c r="S66" s="19" t="str">
        <f>IF(M66="","",[1]!s_info_province(M66))</f>
        <v/>
      </c>
      <c r="T66" s="19" t="str">
        <f>IF(M66="","",[1]!s_info_city(M66))</f>
        <v/>
      </c>
      <c r="U66" s="19" t="str">
        <f>IF(M66="","",[1]!s_info_industry_gics(M66,9))</f>
        <v/>
      </c>
      <c r="V66" s="21" t="str">
        <f>IF(M66="","",[1]!lastradeday_s(M66,$D$7))</f>
        <v/>
      </c>
      <c r="W66" s="23" t="str">
        <f>IF(M66="","",[1]!s_dq_close(M66,V66,3))</f>
        <v/>
      </c>
      <c r="X66" s="25" t="str">
        <f>IF(M66="","",[1]!s_dq_pctchange(M66,V66))</f>
        <v/>
      </c>
      <c r="Y66" s="23" t="str">
        <f>IF(M66="","",[1]!hks_val_ev(M66,V66,"",100000000))</f>
        <v/>
      </c>
      <c r="Z66" s="23" t="str">
        <f>IF(M66="","",[1]!hks_val_mv_ard(M66,V66,"",100000000))</f>
        <v/>
      </c>
      <c r="AA66" s="23" t="str">
        <f>IF(M66="","",[1]!hks_fa_eps_basic(M66,[1]!s_fa_latelyrd_bt(M66,V66),""))</f>
        <v/>
      </c>
      <c r="AB66" s="23" t="str">
        <f>IF(M66="","",[1]!hks_val_pe_ttm(M66,V66))</f>
        <v/>
      </c>
      <c r="AC66" s="23" t="str">
        <f>IF(M66="","",[1]!pb_mrq(M66,V66))</f>
        <v/>
      </c>
      <c r="AD66" s="23" t="str">
        <f>IF(M66="","",[1]!s_val_evtoebitda2(M66,V66))</f>
        <v/>
      </c>
      <c r="AE66" s="23" t="str">
        <f>IF(M66="","",[1]!hks_fa_roa2(M66,[1]!s_fa_latelyrd_bt(M66,V66)))</f>
        <v/>
      </c>
      <c r="AF66" s="23" t="str">
        <f>IF(M66="","",[1]!hks_fa_roe(M66,[1]!s_fa_latelyrd_bt(M66,V66)))</f>
        <v/>
      </c>
      <c r="AG66" s="23" t="str">
        <f>IF(M66="","",[1]!s_share_total(M66,V66,100000000))</f>
        <v/>
      </c>
      <c r="AH66" s="23" t="str">
        <f>IF(M66="","",[1]!hks_share_total(M66,V66,100000000))</f>
        <v/>
      </c>
      <c r="AI66" s="23" t="str">
        <f>IF(M66="","",[1]!hks_share_totala(M66,V66,100000000))</f>
        <v/>
      </c>
      <c r="AJ66" s="23" t="str">
        <f>IF(M66="","",[1]!hks_share_totalb(M66,V66,100000000))</f>
        <v/>
      </c>
      <c r="AK66" s="23" t="str">
        <f>IF(M66="","",[1]!hks_share_h(M66,V66,100000000))</f>
        <v/>
      </c>
      <c r="AL66" s="23" t="str">
        <f>IF(M66="","",[1]!hks_share_oversea(M66,V66,100000000))</f>
        <v/>
      </c>
      <c r="AM66" s="23" t="str">
        <f>IF(M66="","",[1]!hks_holder_name(M66,V66,1))</f>
        <v/>
      </c>
      <c r="AN66" s="23" t="str">
        <f>IF(M66="","",[1]!hks_holder_quantity(M66,V66,1,10000))</f>
        <v/>
      </c>
      <c r="AO66" s="23" t="str">
        <f>IF(M66="","",[1]!hks_holder_pct(M66,V66,1))</f>
        <v/>
      </c>
      <c r="AP66" s="23" t="str">
        <f>IF(M66="","",[1]!s_esg_rating_wind(M66,V66))</f>
        <v/>
      </c>
      <c r="AQ66" s="23" t="str">
        <f>IF(M66="","",[1]!s_esg_score_wind(M66,V66))</f>
        <v/>
      </c>
      <c r="AR66" s="6"/>
    </row>
    <row r="67" spans="3:44" s="2" customFormat="1" x14ac:dyDescent="0.2">
      <c r="C67" s="30"/>
      <c r="D67" s="30"/>
      <c r="E67" s="30"/>
      <c r="F67" s="30"/>
      <c r="G67" s="30"/>
      <c r="H67" s="30"/>
      <c r="I67" s="30"/>
      <c r="L67" s="6"/>
      <c r="M67" s="29"/>
      <c r="N67" s="19" t="str">
        <f>IF(M67="","",[1]!hks_info_name(M67))</f>
        <v/>
      </c>
      <c r="O67" s="18" t="str">
        <f>IF(M67="","",[1]!s_ipo_listeddate(M67))</f>
        <v/>
      </c>
      <c r="P67" s="19" t="str">
        <f>IF(M67="","",[1]!s_info_exchmarket(M67))</f>
        <v/>
      </c>
      <c r="Q67" s="19" t="str">
        <f>IF(M67="","",[1]!s_info_mkt(M67))</f>
        <v/>
      </c>
      <c r="R67" s="19" t="str">
        <f>IF(M67="","",[1]!hks_info_isincode(M67))</f>
        <v/>
      </c>
      <c r="S67" s="19" t="str">
        <f>IF(M67="","",[1]!s_info_province(M67))</f>
        <v/>
      </c>
      <c r="T67" s="19" t="str">
        <f>IF(M67="","",[1]!s_info_city(M67))</f>
        <v/>
      </c>
      <c r="U67" s="19" t="str">
        <f>IF(M67="","",[1]!s_info_industry_gics(M67,9))</f>
        <v/>
      </c>
      <c r="V67" s="21" t="str">
        <f>IF(M67="","",[1]!lastradeday_s(M67,$D$7))</f>
        <v/>
      </c>
      <c r="W67" s="23" t="str">
        <f>IF(M67="","",[1]!s_dq_close(M67,V67,3))</f>
        <v/>
      </c>
      <c r="X67" s="25" t="str">
        <f>IF(M67="","",[1]!s_dq_pctchange(M67,V67))</f>
        <v/>
      </c>
      <c r="Y67" s="23" t="str">
        <f>IF(M67="","",[1]!hks_val_ev(M67,V67,"",100000000))</f>
        <v/>
      </c>
      <c r="Z67" s="23" t="str">
        <f>IF(M67="","",[1]!hks_val_mv_ard(M67,V67,"",100000000))</f>
        <v/>
      </c>
      <c r="AA67" s="23" t="str">
        <f>IF(M67="","",[1]!hks_fa_eps_basic(M67,[1]!s_fa_latelyrd_bt(M67,V67),""))</f>
        <v/>
      </c>
      <c r="AB67" s="23" t="str">
        <f>IF(M67="","",[1]!hks_val_pe_ttm(M67,V67))</f>
        <v/>
      </c>
      <c r="AC67" s="23" t="str">
        <f>IF(M67="","",[1]!pb_mrq(M67,V67))</f>
        <v/>
      </c>
      <c r="AD67" s="23" t="str">
        <f>IF(M67="","",[1]!s_val_evtoebitda2(M67,V67))</f>
        <v/>
      </c>
      <c r="AE67" s="23" t="str">
        <f>IF(M67="","",[1]!hks_fa_roa2(M67,[1]!s_fa_latelyrd_bt(M67,V67)))</f>
        <v/>
      </c>
      <c r="AF67" s="23" t="str">
        <f>IF(M67="","",[1]!hks_fa_roe(M67,[1]!s_fa_latelyrd_bt(M67,V67)))</f>
        <v/>
      </c>
      <c r="AG67" s="23" t="str">
        <f>IF(M67="","",[1]!s_share_total(M67,V67,100000000))</f>
        <v/>
      </c>
      <c r="AH67" s="23" t="str">
        <f>IF(M67="","",[1]!hks_share_total(M67,V67,100000000))</f>
        <v/>
      </c>
      <c r="AI67" s="23" t="str">
        <f>IF(M67="","",[1]!hks_share_totala(M67,V67,100000000))</f>
        <v/>
      </c>
      <c r="AJ67" s="23" t="str">
        <f>IF(M67="","",[1]!hks_share_totalb(M67,V67,100000000))</f>
        <v/>
      </c>
      <c r="AK67" s="23" t="str">
        <f>IF(M67="","",[1]!hks_share_h(M67,V67,100000000))</f>
        <v/>
      </c>
      <c r="AL67" s="23" t="str">
        <f>IF(M67="","",[1]!hks_share_oversea(M67,V67,100000000))</f>
        <v/>
      </c>
      <c r="AM67" s="23" t="str">
        <f>IF(M67="","",[1]!hks_holder_name(M67,V67,1))</f>
        <v/>
      </c>
      <c r="AN67" s="23" t="str">
        <f>IF(M67="","",[1]!hks_holder_quantity(M67,V67,1,10000))</f>
        <v/>
      </c>
      <c r="AO67" s="23" t="str">
        <f>IF(M67="","",[1]!hks_holder_pct(M67,V67,1))</f>
        <v/>
      </c>
      <c r="AP67" s="23" t="str">
        <f>IF(M67="","",[1]!s_esg_rating_wind(M67,V67))</f>
        <v/>
      </c>
      <c r="AQ67" s="23" t="str">
        <f>IF(M67="","",[1]!s_esg_score_wind(M67,V67))</f>
        <v/>
      </c>
      <c r="AR67" s="6"/>
    </row>
    <row r="68" spans="3:44" s="2" customFormat="1" x14ac:dyDescent="0.2">
      <c r="C68" s="30"/>
      <c r="D68" s="30"/>
      <c r="E68" s="30"/>
      <c r="F68" s="30"/>
      <c r="G68" s="30"/>
      <c r="H68" s="30"/>
      <c r="I68" s="30"/>
      <c r="L68" s="6"/>
      <c r="M68" s="29"/>
      <c r="N68" s="19" t="str">
        <f>IF(M68="","",[1]!hks_info_name(M68))</f>
        <v/>
      </c>
      <c r="O68" s="18" t="str">
        <f>IF(M68="","",[1]!s_ipo_listeddate(M68))</f>
        <v/>
      </c>
      <c r="P68" s="19" t="str">
        <f>IF(M68="","",[1]!s_info_exchmarket(M68))</f>
        <v/>
      </c>
      <c r="Q68" s="19" t="str">
        <f>IF(M68="","",[1]!s_info_mkt(M68))</f>
        <v/>
      </c>
      <c r="R68" s="19" t="str">
        <f>IF(M68="","",[1]!hks_info_isincode(M68))</f>
        <v/>
      </c>
      <c r="S68" s="19" t="str">
        <f>IF(M68="","",[1]!s_info_province(M68))</f>
        <v/>
      </c>
      <c r="T68" s="19" t="str">
        <f>IF(M68="","",[1]!s_info_city(M68))</f>
        <v/>
      </c>
      <c r="U68" s="19" t="str">
        <f>IF(M68="","",[1]!s_info_industry_gics(M68,9))</f>
        <v/>
      </c>
      <c r="V68" s="21" t="str">
        <f>IF(M68="","",[1]!lastradeday_s(M68,$D$7))</f>
        <v/>
      </c>
      <c r="W68" s="23" t="str">
        <f>IF(M68="","",[1]!s_dq_close(M68,V68,3))</f>
        <v/>
      </c>
      <c r="X68" s="25" t="str">
        <f>IF(M68="","",[1]!s_dq_pctchange(M68,V68))</f>
        <v/>
      </c>
      <c r="Y68" s="23" t="str">
        <f>IF(M68="","",[1]!hks_val_ev(M68,V68,"",100000000))</f>
        <v/>
      </c>
      <c r="Z68" s="23" t="str">
        <f>IF(M68="","",[1]!hks_val_mv_ard(M68,V68,"",100000000))</f>
        <v/>
      </c>
      <c r="AA68" s="23" t="str">
        <f>IF(M68="","",[1]!hks_fa_eps_basic(M68,[1]!s_fa_latelyrd_bt(M68,V68),""))</f>
        <v/>
      </c>
      <c r="AB68" s="23" t="str">
        <f>IF(M68="","",[1]!hks_val_pe_ttm(M68,V68))</f>
        <v/>
      </c>
      <c r="AC68" s="23" t="str">
        <f>IF(M68="","",[1]!pb_mrq(M68,V68))</f>
        <v/>
      </c>
      <c r="AD68" s="23" t="str">
        <f>IF(M68="","",[1]!s_val_evtoebitda2(M68,V68))</f>
        <v/>
      </c>
      <c r="AE68" s="23" t="str">
        <f>IF(M68="","",[1]!hks_fa_roa2(M68,[1]!s_fa_latelyrd_bt(M68,V68)))</f>
        <v/>
      </c>
      <c r="AF68" s="23" t="str">
        <f>IF(M68="","",[1]!hks_fa_roe(M68,[1]!s_fa_latelyrd_bt(M68,V68)))</f>
        <v/>
      </c>
      <c r="AG68" s="23" t="str">
        <f>IF(M68="","",[1]!s_share_total(M68,V68,100000000))</f>
        <v/>
      </c>
      <c r="AH68" s="23" t="str">
        <f>IF(M68="","",[1]!hks_share_total(M68,V68,100000000))</f>
        <v/>
      </c>
      <c r="AI68" s="23" t="str">
        <f>IF(M68="","",[1]!hks_share_totala(M68,V68,100000000))</f>
        <v/>
      </c>
      <c r="AJ68" s="23" t="str">
        <f>IF(M68="","",[1]!hks_share_totalb(M68,V68,100000000))</f>
        <v/>
      </c>
      <c r="AK68" s="23" t="str">
        <f>IF(M68="","",[1]!hks_share_h(M68,V68,100000000))</f>
        <v/>
      </c>
      <c r="AL68" s="23" t="str">
        <f>IF(M68="","",[1]!hks_share_oversea(M68,V68,100000000))</f>
        <v/>
      </c>
      <c r="AM68" s="23" t="str">
        <f>IF(M68="","",[1]!hks_holder_name(M68,V68,1))</f>
        <v/>
      </c>
      <c r="AN68" s="23" t="str">
        <f>IF(M68="","",[1]!hks_holder_quantity(M68,V68,1,10000))</f>
        <v/>
      </c>
      <c r="AO68" s="23" t="str">
        <f>IF(M68="","",[1]!hks_holder_pct(M68,V68,1))</f>
        <v/>
      </c>
      <c r="AP68" s="23" t="str">
        <f>IF(M68="","",[1]!s_esg_rating_wind(M68,V68))</f>
        <v/>
      </c>
      <c r="AQ68" s="23" t="str">
        <f>IF(M68="","",[1]!s_esg_score_wind(M68,V68))</f>
        <v/>
      </c>
      <c r="AR68" s="6"/>
    </row>
    <row r="69" spans="3:44" s="2" customFormat="1" x14ac:dyDescent="0.2">
      <c r="C69" s="30"/>
      <c r="D69" s="30"/>
      <c r="E69" s="30"/>
      <c r="F69" s="30"/>
      <c r="G69" s="30"/>
      <c r="H69" s="30"/>
      <c r="I69" s="30"/>
      <c r="L69" s="6"/>
      <c r="M69" s="29"/>
      <c r="N69" s="19" t="str">
        <f>IF(M69="","",[1]!hks_info_name(M69))</f>
        <v/>
      </c>
      <c r="O69" s="18" t="str">
        <f>IF(M69="","",[1]!s_ipo_listeddate(M69))</f>
        <v/>
      </c>
      <c r="P69" s="19" t="str">
        <f>IF(M69="","",[1]!s_info_exchmarket(M69))</f>
        <v/>
      </c>
      <c r="Q69" s="19" t="str">
        <f>IF(M69="","",[1]!s_info_mkt(M69))</f>
        <v/>
      </c>
      <c r="R69" s="19" t="str">
        <f>IF(M69="","",[1]!hks_info_isincode(M69))</f>
        <v/>
      </c>
      <c r="S69" s="19" t="str">
        <f>IF(M69="","",[1]!s_info_province(M69))</f>
        <v/>
      </c>
      <c r="T69" s="19" t="str">
        <f>IF(M69="","",[1]!s_info_city(M69))</f>
        <v/>
      </c>
      <c r="U69" s="19" t="str">
        <f>IF(M69="","",[1]!s_info_industry_gics(M69,9))</f>
        <v/>
      </c>
      <c r="V69" s="21" t="str">
        <f>IF(M69="","",[1]!lastradeday_s(M69,$D$7))</f>
        <v/>
      </c>
      <c r="W69" s="23" t="str">
        <f>IF(M69="","",[1]!s_dq_close(M69,V69,3))</f>
        <v/>
      </c>
      <c r="X69" s="25" t="str">
        <f>IF(M69="","",[1]!s_dq_pctchange(M69,V69))</f>
        <v/>
      </c>
      <c r="Y69" s="23" t="str">
        <f>IF(M69="","",[1]!hks_val_ev(M69,V69,"",100000000))</f>
        <v/>
      </c>
      <c r="Z69" s="23" t="str">
        <f>IF(M69="","",[1]!hks_val_mv_ard(M69,V69,"",100000000))</f>
        <v/>
      </c>
      <c r="AA69" s="23" t="str">
        <f>IF(M69="","",[1]!hks_fa_eps_basic(M69,[1]!s_fa_latelyrd_bt(M69,V69),""))</f>
        <v/>
      </c>
      <c r="AB69" s="23" t="str">
        <f>IF(M69="","",[1]!hks_val_pe_ttm(M69,V69))</f>
        <v/>
      </c>
      <c r="AC69" s="23" t="str">
        <f>IF(M69="","",[1]!pb_mrq(M69,V69))</f>
        <v/>
      </c>
      <c r="AD69" s="23" t="str">
        <f>IF(M69="","",[1]!s_val_evtoebitda2(M69,V69))</f>
        <v/>
      </c>
      <c r="AE69" s="23" t="str">
        <f>IF(M69="","",[1]!hks_fa_roa2(M69,[1]!s_fa_latelyrd_bt(M69,V69)))</f>
        <v/>
      </c>
      <c r="AF69" s="23" t="str">
        <f>IF(M69="","",[1]!hks_fa_roe(M69,[1]!s_fa_latelyrd_bt(M69,V69)))</f>
        <v/>
      </c>
      <c r="AG69" s="23" t="str">
        <f>IF(M69="","",[1]!s_share_total(M69,V69,100000000))</f>
        <v/>
      </c>
      <c r="AH69" s="23" t="str">
        <f>IF(M69="","",[1]!hks_share_total(M69,V69,100000000))</f>
        <v/>
      </c>
      <c r="AI69" s="23" t="str">
        <f>IF(M69="","",[1]!hks_share_totala(M69,V69,100000000))</f>
        <v/>
      </c>
      <c r="AJ69" s="23" t="str">
        <f>IF(M69="","",[1]!hks_share_totalb(M69,V69,100000000))</f>
        <v/>
      </c>
      <c r="AK69" s="23" t="str">
        <f>IF(M69="","",[1]!hks_share_h(M69,V69,100000000))</f>
        <v/>
      </c>
      <c r="AL69" s="23" t="str">
        <f>IF(M69="","",[1]!hks_share_oversea(M69,V69,100000000))</f>
        <v/>
      </c>
      <c r="AM69" s="23" t="str">
        <f>IF(M69="","",[1]!hks_holder_name(M69,V69,1))</f>
        <v/>
      </c>
      <c r="AN69" s="23" t="str">
        <f>IF(M69="","",[1]!hks_holder_quantity(M69,V69,1,10000))</f>
        <v/>
      </c>
      <c r="AO69" s="23" t="str">
        <f>IF(M69="","",[1]!hks_holder_pct(M69,V69,1))</f>
        <v/>
      </c>
      <c r="AP69" s="23" t="str">
        <f>IF(M69="","",[1]!s_esg_rating_wind(M69,V69))</f>
        <v/>
      </c>
      <c r="AQ69" s="23" t="str">
        <f>IF(M69="","",[1]!s_esg_score_wind(M69,V69))</f>
        <v/>
      </c>
      <c r="AR69" s="6"/>
    </row>
    <row r="70" spans="3:44" s="2" customFormat="1" x14ac:dyDescent="0.2">
      <c r="C70" s="30"/>
      <c r="D70" s="30"/>
      <c r="E70" s="30"/>
      <c r="F70" s="30"/>
      <c r="G70" s="30"/>
      <c r="H70" s="30"/>
      <c r="I70" s="30"/>
      <c r="L70" s="6"/>
      <c r="M70" s="29"/>
      <c r="N70" s="19" t="str">
        <f>IF(M70="","",[1]!hks_info_name(M70))</f>
        <v/>
      </c>
      <c r="O70" s="18" t="str">
        <f>IF(M70="","",[1]!s_ipo_listeddate(M70))</f>
        <v/>
      </c>
      <c r="P70" s="19" t="str">
        <f>IF(M70="","",[1]!s_info_exchmarket(M70))</f>
        <v/>
      </c>
      <c r="Q70" s="19" t="str">
        <f>IF(M70="","",[1]!s_info_mkt(M70))</f>
        <v/>
      </c>
      <c r="R70" s="19" t="str">
        <f>IF(M70="","",[1]!hks_info_isincode(M70))</f>
        <v/>
      </c>
      <c r="S70" s="19" t="str">
        <f>IF(M70="","",[1]!s_info_province(M70))</f>
        <v/>
      </c>
      <c r="T70" s="19" t="str">
        <f>IF(M70="","",[1]!s_info_city(M70))</f>
        <v/>
      </c>
      <c r="U70" s="19" t="str">
        <f>IF(M70="","",[1]!s_info_industry_gics(M70,9))</f>
        <v/>
      </c>
      <c r="V70" s="21" t="str">
        <f>IF(M70="","",[1]!lastradeday_s(M70,$D$7))</f>
        <v/>
      </c>
      <c r="W70" s="23" t="str">
        <f>IF(M70="","",[1]!s_dq_close(M70,V70,3))</f>
        <v/>
      </c>
      <c r="X70" s="25" t="str">
        <f>IF(M70="","",[1]!s_dq_pctchange(M70,V70))</f>
        <v/>
      </c>
      <c r="Y70" s="23" t="str">
        <f>IF(M70="","",[1]!hks_val_ev(M70,V70,"",100000000))</f>
        <v/>
      </c>
      <c r="Z70" s="23" t="str">
        <f>IF(M70="","",[1]!hks_val_mv_ard(M70,V70,"",100000000))</f>
        <v/>
      </c>
      <c r="AA70" s="23" t="str">
        <f>IF(M70="","",[1]!hks_fa_eps_basic(M70,[1]!s_fa_latelyrd_bt(M70,V70),""))</f>
        <v/>
      </c>
      <c r="AB70" s="23" t="str">
        <f>IF(M70="","",[1]!hks_val_pe_ttm(M70,V70))</f>
        <v/>
      </c>
      <c r="AC70" s="23" t="str">
        <f>IF(M70="","",[1]!pb_mrq(M70,V70))</f>
        <v/>
      </c>
      <c r="AD70" s="23" t="str">
        <f>IF(M70="","",[1]!s_val_evtoebitda2(M70,V70))</f>
        <v/>
      </c>
      <c r="AE70" s="23" t="str">
        <f>IF(M70="","",[1]!hks_fa_roa2(M70,[1]!s_fa_latelyrd_bt(M70,V70)))</f>
        <v/>
      </c>
      <c r="AF70" s="23" t="str">
        <f>IF(M70="","",[1]!hks_fa_roe(M70,[1]!s_fa_latelyrd_bt(M70,V70)))</f>
        <v/>
      </c>
      <c r="AG70" s="23" t="str">
        <f>IF(M70="","",[1]!s_share_total(M70,V70,100000000))</f>
        <v/>
      </c>
      <c r="AH70" s="23" t="str">
        <f>IF(M70="","",[1]!hks_share_total(M70,V70,100000000))</f>
        <v/>
      </c>
      <c r="AI70" s="23" t="str">
        <f>IF(M70="","",[1]!hks_share_totala(M70,V70,100000000))</f>
        <v/>
      </c>
      <c r="AJ70" s="23" t="str">
        <f>IF(M70="","",[1]!hks_share_totalb(M70,V70,100000000))</f>
        <v/>
      </c>
      <c r="AK70" s="23" t="str">
        <f>IF(M70="","",[1]!hks_share_h(M70,V70,100000000))</f>
        <v/>
      </c>
      <c r="AL70" s="23" t="str">
        <f>IF(M70="","",[1]!hks_share_oversea(M70,V70,100000000))</f>
        <v/>
      </c>
      <c r="AM70" s="23" t="str">
        <f>IF(M70="","",[1]!hks_holder_name(M70,V70,1))</f>
        <v/>
      </c>
      <c r="AN70" s="23" t="str">
        <f>IF(M70="","",[1]!hks_holder_quantity(M70,V70,1,10000))</f>
        <v/>
      </c>
      <c r="AO70" s="23" t="str">
        <f>IF(M70="","",[1]!hks_holder_pct(M70,V70,1))</f>
        <v/>
      </c>
      <c r="AP70" s="23" t="str">
        <f>IF(M70="","",[1]!s_esg_rating_wind(M70,V70))</f>
        <v/>
      </c>
      <c r="AQ70" s="23" t="str">
        <f>IF(M70="","",[1]!s_esg_score_wind(M70,V70))</f>
        <v/>
      </c>
      <c r="AR70" s="6"/>
    </row>
    <row r="71" spans="3:44" s="2" customFormat="1" x14ac:dyDescent="0.2">
      <c r="C71" s="30"/>
      <c r="D71" s="30"/>
      <c r="E71" s="30"/>
      <c r="F71" s="30"/>
      <c r="G71" s="30"/>
      <c r="H71" s="30"/>
      <c r="I71" s="30"/>
      <c r="L71" s="6"/>
      <c r="M71" s="29"/>
      <c r="N71" s="19" t="str">
        <f>IF(M71="","",[1]!hks_info_name(M71))</f>
        <v/>
      </c>
      <c r="O71" s="18" t="str">
        <f>IF(M71="","",[1]!s_ipo_listeddate(M71))</f>
        <v/>
      </c>
      <c r="P71" s="19" t="str">
        <f>IF(M71="","",[1]!s_info_exchmarket(M71))</f>
        <v/>
      </c>
      <c r="Q71" s="19" t="str">
        <f>IF(M71="","",[1]!s_info_mkt(M71))</f>
        <v/>
      </c>
      <c r="R71" s="19" t="str">
        <f>IF(M71="","",[1]!hks_info_isincode(M71))</f>
        <v/>
      </c>
      <c r="S71" s="19" t="str">
        <f>IF(M71="","",[1]!s_info_province(M71))</f>
        <v/>
      </c>
      <c r="T71" s="19" t="str">
        <f>IF(M71="","",[1]!s_info_city(M71))</f>
        <v/>
      </c>
      <c r="U71" s="19" t="str">
        <f>IF(M71="","",[1]!s_info_industry_gics(M71,9))</f>
        <v/>
      </c>
      <c r="V71" s="21" t="str">
        <f>IF(M71="","",[1]!lastradeday_s(M71,$D$7))</f>
        <v/>
      </c>
      <c r="W71" s="23" t="str">
        <f>IF(M71="","",[1]!s_dq_close(M71,V71,3))</f>
        <v/>
      </c>
      <c r="X71" s="25" t="str">
        <f>IF(M71="","",[1]!s_dq_pctchange(M71,V71))</f>
        <v/>
      </c>
      <c r="Y71" s="23" t="str">
        <f>IF(M71="","",[1]!hks_val_ev(M71,V71,"",100000000))</f>
        <v/>
      </c>
      <c r="Z71" s="23" t="str">
        <f>IF(M71="","",[1]!hks_val_mv_ard(M71,V71,"",100000000))</f>
        <v/>
      </c>
      <c r="AA71" s="23" t="str">
        <f>IF(M71="","",[1]!hks_fa_eps_basic(M71,[1]!s_fa_latelyrd_bt(M71,V71),""))</f>
        <v/>
      </c>
      <c r="AB71" s="23" t="str">
        <f>IF(M71="","",[1]!hks_val_pe_ttm(M71,V71))</f>
        <v/>
      </c>
      <c r="AC71" s="23" t="str">
        <f>IF(M71="","",[1]!pb_mrq(M71,V71))</f>
        <v/>
      </c>
      <c r="AD71" s="23" t="str">
        <f>IF(M71="","",[1]!s_val_evtoebitda2(M71,V71))</f>
        <v/>
      </c>
      <c r="AE71" s="23" t="str">
        <f>IF(M71="","",[1]!hks_fa_roa2(M71,[1]!s_fa_latelyrd_bt(M71,V71)))</f>
        <v/>
      </c>
      <c r="AF71" s="23" t="str">
        <f>IF(M71="","",[1]!hks_fa_roe(M71,[1]!s_fa_latelyrd_bt(M71,V71)))</f>
        <v/>
      </c>
      <c r="AG71" s="23" t="str">
        <f>IF(M71="","",[1]!s_share_total(M71,V71,100000000))</f>
        <v/>
      </c>
      <c r="AH71" s="23" t="str">
        <f>IF(M71="","",[1]!hks_share_total(M71,V71,100000000))</f>
        <v/>
      </c>
      <c r="AI71" s="23" t="str">
        <f>IF(M71="","",[1]!hks_share_totala(M71,V71,100000000))</f>
        <v/>
      </c>
      <c r="AJ71" s="23" t="str">
        <f>IF(M71="","",[1]!hks_share_totalb(M71,V71,100000000))</f>
        <v/>
      </c>
      <c r="AK71" s="23" t="str">
        <f>IF(M71="","",[1]!hks_share_h(M71,V71,100000000))</f>
        <v/>
      </c>
      <c r="AL71" s="23" t="str">
        <f>IF(M71="","",[1]!hks_share_oversea(M71,V71,100000000))</f>
        <v/>
      </c>
      <c r="AM71" s="23" t="str">
        <f>IF(M71="","",[1]!hks_holder_name(M71,V71,1))</f>
        <v/>
      </c>
      <c r="AN71" s="23" t="str">
        <f>IF(M71="","",[1]!hks_holder_quantity(M71,V71,1,10000))</f>
        <v/>
      </c>
      <c r="AO71" s="23" t="str">
        <f>IF(M71="","",[1]!hks_holder_pct(M71,V71,1))</f>
        <v/>
      </c>
      <c r="AP71" s="23" t="str">
        <f>IF(M71="","",[1]!s_esg_rating_wind(M71,V71))</f>
        <v/>
      </c>
      <c r="AQ71" s="23" t="str">
        <f>IF(M71="","",[1]!s_esg_score_wind(M71,V71))</f>
        <v/>
      </c>
      <c r="AR71" s="6"/>
    </row>
    <row r="72" spans="3:44" s="2" customFormat="1" x14ac:dyDescent="0.2">
      <c r="C72" s="30"/>
      <c r="D72" s="30"/>
      <c r="E72" s="30"/>
      <c r="F72" s="30"/>
      <c r="G72" s="30"/>
      <c r="H72" s="30"/>
      <c r="I72" s="30"/>
      <c r="L72" s="6"/>
      <c r="M72" s="29"/>
      <c r="N72" s="19" t="str">
        <f>IF(M72="","",[1]!hks_info_name(M72))</f>
        <v/>
      </c>
      <c r="O72" s="18" t="str">
        <f>IF(M72="","",[1]!s_ipo_listeddate(M72))</f>
        <v/>
      </c>
      <c r="P72" s="19" t="str">
        <f>IF(M72="","",[1]!s_info_exchmarket(M72))</f>
        <v/>
      </c>
      <c r="Q72" s="19" t="str">
        <f>IF(M72="","",[1]!s_info_mkt(M72))</f>
        <v/>
      </c>
      <c r="R72" s="19" t="str">
        <f>IF(M72="","",[1]!hks_info_isincode(M72))</f>
        <v/>
      </c>
      <c r="S72" s="19" t="str">
        <f>IF(M72="","",[1]!s_info_province(M72))</f>
        <v/>
      </c>
      <c r="T72" s="19" t="str">
        <f>IF(M72="","",[1]!s_info_city(M72))</f>
        <v/>
      </c>
      <c r="U72" s="19" t="str">
        <f>IF(M72="","",[1]!s_info_industry_gics(M72,9))</f>
        <v/>
      </c>
      <c r="V72" s="21" t="str">
        <f>IF(M72="","",[1]!lastradeday_s(M72,$D$7))</f>
        <v/>
      </c>
      <c r="W72" s="23" t="str">
        <f>IF(M72="","",[1]!s_dq_close(M72,V72,3))</f>
        <v/>
      </c>
      <c r="X72" s="25" t="str">
        <f>IF(M72="","",[1]!s_dq_pctchange(M72,V72))</f>
        <v/>
      </c>
      <c r="Y72" s="23" t="str">
        <f>IF(M72="","",[1]!hks_val_ev(M72,V72,"",100000000))</f>
        <v/>
      </c>
      <c r="Z72" s="23" t="str">
        <f>IF(M72="","",[1]!hks_val_mv_ard(M72,V72,"",100000000))</f>
        <v/>
      </c>
      <c r="AA72" s="23" t="str">
        <f>IF(M72="","",[1]!hks_fa_eps_basic(M72,[1]!s_fa_latelyrd_bt(M72,V72),""))</f>
        <v/>
      </c>
      <c r="AB72" s="23" t="str">
        <f>IF(M72="","",[1]!hks_val_pe_ttm(M72,V72))</f>
        <v/>
      </c>
      <c r="AC72" s="23" t="str">
        <f>IF(M72="","",[1]!pb_mrq(M72,V72))</f>
        <v/>
      </c>
      <c r="AD72" s="23" t="str">
        <f>IF(M72="","",[1]!s_val_evtoebitda2(M72,V72))</f>
        <v/>
      </c>
      <c r="AE72" s="23" t="str">
        <f>IF(M72="","",[1]!hks_fa_roa2(M72,[1]!s_fa_latelyrd_bt(M72,V72)))</f>
        <v/>
      </c>
      <c r="AF72" s="23" t="str">
        <f>IF(M72="","",[1]!hks_fa_roe(M72,[1]!s_fa_latelyrd_bt(M72,V72)))</f>
        <v/>
      </c>
      <c r="AG72" s="23" t="str">
        <f>IF(M72="","",[1]!s_share_total(M72,V72,100000000))</f>
        <v/>
      </c>
      <c r="AH72" s="23" t="str">
        <f>IF(M72="","",[1]!hks_share_total(M72,V72,100000000))</f>
        <v/>
      </c>
      <c r="AI72" s="23" t="str">
        <f>IF(M72="","",[1]!hks_share_totala(M72,V72,100000000))</f>
        <v/>
      </c>
      <c r="AJ72" s="23" t="str">
        <f>IF(M72="","",[1]!hks_share_totalb(M72,V72,100000000))</f>
        <v/>
      </c>
      <c r="AK72" s="23" t="str">
        <f>IF(M72="","",[1]!hks_share_h(M72,V72,100000000))</f>
        <v/>
      </c>
      <c r="AL72" s="23" t="str">
        <f>IF(M72="","",[1]!hks_share_oversea(M72,V72,100000000))</f>
        <v/>
      </c>
      <c r="AM72" s="23" t="str">
        <f>IF(M72="","",[1]!hks_holder_name(M72,V72,1))</f>
        <v/>
      </c>
      <c r="AN72" s="23" t="str">
        <f>IF(M72="","",[1]!hks_holder_quantity(M72,V72,1,10000))</f>
        <v/>
      </c>
      <c r="AO72" s="23" t="str">
        <f>IF(M72="","",[1]!hks_holder_pct(M72,V72,1))</f>
        <v/>
      </c>
      <c r="AP72" s="23" t="str">
        <f>IF(M72="","",[1]!s_esg_rating_wind(M72,V72))</f>
        <v/>
      </c>
      <c r="AQ72" s="23" t="str">
        <f>IF(M72="","",[1]!s_esg_score_wind(M72,V72))</f>
        <v/>
      </c>
      <c r="AR72" s="6"/>
    </row>
    <row r="73" spans="3:44" s="2" customFormat="1" x14ac:dyDescent="0.2">
      <c r="C73" s="30"/>
      <c r="D73" s="30"/>
      <c r="E73" s="30"/>
      <c r="F73" s="30"/>
      <c r="G73" s="30"/>
      <c r="H73" s="30"/>
      <c r="I73" s="30"/>
      <c r="L73" s="6"/>
      <c r="M73" s="29"/>
      <c r="N73" s="19" t="str">
        <f>IF(M73="","",[1]!hks_info_name(M73))</f>
        <v/>
      </c>
      <c r="O73" s="18" t="str">
        <f>IF(M73="","",[1]!s_ipo_listeddate(M73))</f>
        <v/>
      </c>
      <c r="P73" s="19" t="str">
        <f>IF(M73="","",[1]!s_info_exchmarket(M73))</f>
        <v/>
      </c>
      <c r="Q73" s="19" t="str">
        <f>IF(M73="","",[1]!s_info_mkt(M73))</f>
        <v/>
      </c>
      <c r="R73" s="19" t="str">
        <f>IF(M73="","",[1]!hks_info_isincode(M73))</f>
        <v/>
      </c>
      <c r="S73" s="19" t="str">
        <f>IF(M73="","",[1]!s_info_province(M73))</f>
        <v/>
      </c>
      <c r="T73" s="19" t="str">
        <f>IF(M73="","",[1]!s_info_city(M73))</f>
        <v/>
      </c>
      <c r="U73" s="19" t="str">
        <f>IF(M73="","",[1]!s_info_industry_gics(M73,9))</f>
        <v/>
      </c>
      <c r="V73" s="21" t="str">
        <f>IF(M73="","",[1]!lastradeday_s(M73,$D$7))</f>
        <v/>
      </c>
      <c r="W73" s="23" t="str">
        <f>IF(M73="","",[1]!s_dq_close(M73,V73,3))</f>
        <v/>
      </c>
      <c r="X73" s="25" t="str">
        <f>IF(M73="","",[1]!s_dq_pctchange(M73,V73))</f>
        <v/>
      </c>
      <c r="Y73" s="23" t="str">
        <f>IF(M73="","",[1]!hks_val_ev(M73,V73,"",100000000))</f>
        <v/>
      </c>
      <c r="Z73" s="23" t="str">
        <f>IF(M73="","",[1]!hks_val_mv_ard(M73,V73,"",100000000))</f>
        <v/>
      </c>
      <c r="AA73" s="23" t="str">
        <f>IF(M73="","",[1]!hks_fa_eps_basic(M73,[1]!s_fa_latelyrd_bt(M73,V73),""))</f>
        <v/>
      </c>
      <c r="AB73" s="23" t="str">
        <f>IF(M73="","",[1]!hks_val_pe_ttm(M73,V73))</f>
        <v/>
      </c>
      <c r="AC73" s="23" t="str">
        <f>IF(M73="","",[1]!pb_mrq(M73,V73))</f>
        <v/>
      </c>
      <c r="AD73" s="23" t="str">
        <f>IF(M73="","",[1]!s_val_evtoebitda2(M73,V73))</f>
        <v/>
      </c>
      <c r="AE73" s="23" t="str">
        <f>IF(M73="","",[1]!hks_fa_roa2(M73,[1]!s_fa_latelyrd_bt(M73,V73)))</f>
        <v/>
      </c>
      <c r="AF73" s="23" t="str">
        <f>IF(M73="","",[1]!hks_fa_roe(M73,[1]!s_fa_latelyrd_bt(M73,V73)))</f>
        <v/>
      </c>
      <c r="AG73" s="23" t="str">
        <f>IF(M73="","",[1]!s_share_total(M73,V73,100000000))</f>
        <v/>
      </c>
      <c r="AH73" s="23" t="str">
        <f>IF(M73="","",[1]!hks_share_total(M73,V73,100000000))</f>
        <v/>
      </c>
      <c r="AI73" s="23" t="str">
        <f>IF(M73="","",[1]!hks_share_totala(M73,V73,100000000))</f>
        <v/>
      </c>
      <c r="AJ73" s="23" t="str">
        <f>IF(M73="","",[1]!hks_share_totalb(M73,V73,100000000))</f>
        <v/>
      </c>
      <c r="AK73" s="23" t="str">
        <f>IF(M73="","",[1]!hks_share_h(M73,V73,100000000))</f>
        <v/>
      </c>
      <c r="AL73" s="23" t="str">
        <f>IF(M73="","",[1]!hks_share_oversea(M73,V73,100000000))</f>
        <v/>
      </c>
      <c r="AM73" s="23" t="str">
        <f>IF(M73="","",[1]!hks_holder_name(M73,V73,1))</f>
        <v/>
      </c>
      <c r="AN73" s="23" t="str">
        <f>IF(M73="","",[1]!hks_holder_quantity(M73,V73,1,10000))</f>
        <v/>
      </c>
      <c r="AO73" s="23" t="str">
        <f>IF(M73="","",[1]!hks_holder_pct(M73,V73,1))</f>
        <v/>
      </c>
      <c r="AP73" s="23" t="str">
        <f>IF(M73="","",[1]!s_esg_rating_wind(M73,V73))</f>
        <v/>
      </c>
      <c r="AQ73" s="23" t="str">
        <f>IF(M73="","",[1]!s_esg_score_wind(M73,V73))</f>
        <v/>
      </c>
      <c r="AR73" s="6"/>
    </row>
    <row r="74" spans="3:44" s="2" customFormat="1" x14ac:dyDescent="0.2">
      <c r="C74" s="30"/>
      <c r="D74" s="30"/>
      <c r="E74" s="30"/>
      <c r="F74" s="30"/>
      <c r="G74" s="30"/>
      <c r="H74" s="30"/>
      <c r="I74" s="30"/>
      <c r="L74" s="6"/>
      <c r="M74" s="29"/>
      <c r="N74" s="19" t="str">
        <f>IF(M74="","",[1]!hks_info_name(M74))</f>
        <v/>
      </c>
      <c r="O74" s="18" t="str">
        <f>IF(M74="","",[1]!s_ipo_listeddate(M74))</f>
        <v/>
      </c>
      <c r="P74" s="19" t="str">
        <f>IF(M74="","",[1]!s_info_exchmarket(M74))</f>
        <v/>
      </c>
      <c r="Q74" s="19" t="str">
        <f>IF(M74="","",[1]!s_info_mkt(M74))</f>
        <v/>
      </c>
      <c r="R74" s="19" t="str">
        <f>IF(M74="","",[1]!hks_info_isincode(M74))</f>
        <v/>
      </c>
      <c r="S74" s="19" t="str">
        <f>IF(M74="","",[1]!s_info_province(M74))</f>
        <v/>
      </c>
      <c r="T74" s="19" t="str">
        <f>IF(M74="","",[1]!s_info_city(M74))</f>
        <v/>
      </c>
      <c r="U74" s="19" t="str">
        <f>IF(M74="","",[1]!s_info_industry_gics(M74,9))</f>
        <v/>
      </c>
      <c r="V74" s="21" t="str">
        <f>IF(M74="","",[1]!lastradeday_s(M74,$D$7))</f>
        <v/>
      </c>
      <c r="W74" s="23" t="str">
        <f>IF(M74="","",[1]!s_dq_close(M74,V74,3))</f>
        <v/>
      </c>
      <c r="X74" s="25" t="str">
        <f>IF(M74="","",[1]!s_dq_pctchange(M74,V74))</f>
        <v/>
      </c>
      <c r="Y74" s="23" t="str">
        <f>IF(M74="","",[1]!hks_val_ev(M74,V74,"",100000000))</f>
        <v/>
      </c>
      <c r="Z74" s="23" t="str">
        <f>IF(M74="","",[1]!hks_val_mv_ard(M74,V74,"",100000000))</f>
        <v/>
      </c>
      <c r="AA74" s="23" t="str">
        <f>IF(M74="","",[1]!hks_fa_eps_basic(M74,[1]!s_fa_latelyrd_bt(M74,V74),""))</f>
        <v/>
      </c>
      <c r="AB74" s="23" t="str">
        <f>IF(M74="","",[1]!hks_val_pe_ttm(M74,V74))</f>
        <v/>
      </c>
      <c r="AC74" s="23" t="str">
        <f>IF(M74="","",[1]!pb_mrq(M74,V74))</f>
        <v/>
      </c>
      <c r="AD74" s="23" t="str">
        <f>IF(M74="","",[1]!s_val_evtoebitda2(M74,V74))</f>
        <v/>
      </c>
      <c r="AE74" s="23" t="str">
        <f>IF(M74="","",[1]!hks_fa_roa2(M74,[1]!s_fa_latelyrd_bt(M74,V74)))</f>
        <v/>
      </c>
      <c r="AF74" s="23" t="str">
        <f>IF(M74="","",[1]!hks_fa_roe(M74,[1]!s_fa_latelyrd_bt(M74,V74)))</f>
        <v/>
      </c>
      <c r="AG74" s="23" t="str">
        <f>IF(M74="","",[1]!s_share_total(M74,V74,100000000))</f>
        <v/>
      </c>
      <c r="AH74" s="23" t="str">
        <f>IF(M74="","",[1]!hks_share_total(M74,V74,100000000))</f>
        <v/>
      </c>
      <c r="AI74" s="23" t="str">
        <f>IF(M74="","",[1]!hks_share_totala(M74,V74,100000000))</f>
        <v/>
      </c>
      <c r="AJ74" s="23" t="str">
        <f>IF(M74="","",[1]!hks_share_totalb(M74,V74,100000000))</f>
        <v/>
      </c>
      <c r="AK74" s="23" t="str">
        <f>IF(M74="","",[1]!hks_share_h(M74,V74,100000000))</f>
        <v/>
      </c>
      <c r="AL74" s="23" t="str">
        <f>IF(M74="","",[1]!hks_share_oversea(M74,V74,100000000))</f>
        <v/>
      </c>
      <c r="AM74" s="23" t="str">
        <f>IF(M74="","",[1]!hks_holder_name(M74,V74,1))</f>
        <v/>
      </c>
      <c r="AN74" s="23" t="str">
        <f>IF(M74="","",[1]!hks_holder_quantity(M74,V74,1,10000))</f>
        <v/>
      </c>
      <c r="AO74" s="23" t="str">
        <f>IF(M74="","",[1]!hks_holder_pct(M74,V74,1))</f>
        <v/>
      </c>
      <c r="AP74" s="23" t="str">
        <f>IF(M74="","",[1]!s_esg_rating_wind(M74,V74))</f>
        <v/>
      </c>
      <c r="AQ74" s="23" t="str">
        <f>IF(M74="","",[1]!s_esg_score_wind(M74,V74))</f>
        <v/>
      </c>
      <c r="AR74" s="6"/>
    </row>
    <row r="75" spans="3:44" s="2" customFormat="1" x14ac:dyDescent="0.2">
      <c r="C75" s="30"/>
      <c r="D75" s="30"/>
      <c r="E75" s="30"/>
      <c r="F75" s="30"/>
      <c r="G75" s="30"/>
      <c r="H75" s="30"/>
      <c r="I75" s="30"/>
      <c r="L75" s="6"/>
      <c r="M75" s="29"/>
      <c r="N75" s="19" t="str">
        <f>IF(M75="","",[1]!hks_info_name(M75))</f>
        <v/>
      </c>
      <c r="O75" s="18" t="str">
        <f>IF(M75="","",[1]!s_ipo_listeddate(M75))</f>
        <v/>
      </c>
      <c r="P75" s="19" t="str">
        <f>IF(M75="","",[1]!s_info_exchmarket(M75))</f>
        <v/>
      </c>
      <c r="Q75" s="19" t="str">
        <f>IF(M75="","",[1]!s_info_mkt(M75))</f>
        <v/>
      </c>
      <c r="R75" s="19" t="str">
        <f>IF(M75="","",[1]!hks_info_isincode(M75))</f>
        <v/>
      </c>
      <c r="S75" s="19" t="str">
        <f>IF(M75="","",[1]!s_info_province(M75))</f>
        <v/>
      </c>
      <c r="T75" s="19" t="str">
        <f>IF(M75="","",[1]!s_info_city(M75))</f>
        <v/>
      </c>
      <c r="U75" s="19" t="str">
        <f>IF(M75="","",[1]!s_info_industry_gics(M75,9))</f>
        <v/>
      </c>
      <c r="V75" s="21" t="str">
        <f>IF(M75="","",[1]!lastradeday_s(M75,$D$7))</f>
        <v/>
      </c>
      <c r="W75" s="23" t="str">
        <f>IF(M75="","",[1]!s_dq_close(M75,V75,3))</f>
        <v/>
      </c>
      <c r="X75" s="25" t="str">
        <f>IF(M75="","",[1]!s_dq_pctchange(M75,V75))</f>
        <v/>
      </c>
      <c r="Y75" s="23" t="str">
        <f>IF(M75="","",[1]!hks_val_ev(M75,V75,"",100000000))</f>
        <v/>
      </c>
      <c r="Z75" s="23" t="str">
        <f>IF(M75="","",[1]!hks_val_mv_ard(M75,V75,"",100000000))</f>
        <v/>
      </c>
      <c r="AA75" s="23" t="str">
        <f>IF(M75="","",[1]!hks_fa_eps_basic(M75,[1]!s_fa_latelyrd_bt(M75,V75),""))</f>
        <v/>
      </c>
      <c r="AB75" s="23" t="str">
        <f>IF(M75="","",[1]!hks_val_pe_ttm(M75,V75))</f>
        <v/>
      </c>
      <c r="AC75" s="23" t="str">
        <f>IF(M75="","",[1]!pb_mrq(M75,V75))</f>
        <v/>
      </c>
      <c r="AD75" s="23" t="str">
        <f>IF(M75="","",[1]!s_val_evtoebitda2(M75,V75))</f>
        <v/>
      </c>
      <c r="AE75" s="23" t="str">
        <f>IF(M75="","",[1]!hks_fa_roa2(M75,[1]!s_fa_latelyrd_bt(M75,V75)))</f>
        <v/>
      </c>
      <c r="AF75" s="23" t="str">
        <f>IF(M75="","",[1]!hks_fa_roe(M75,[1]!s_fa_latelyrd_bt(M75,V75)))</f>
        <v/>
      </c>
      <c r="AG75" s="23" t="str">
        <f>IF(M75="","",[1]!s_share_total(M75,V75,100000000))</f>
        <v/>
      </c>
      <c r="AH75" s="23" t="str">
        <f>IF(M75="","",[1]!hks_share_total(M75,V75,100000000))</f>
        <v/>
      </c>
      <c r="AI75" s="23" t="str">
        <f>IF(M75="","",[1]!hks_share_totala(M75,V75,100000000))</f>
        <v/>
      </c>
      <c r="AJ75" s="23" t="str">
        <f>IF(M75="","",[1]!hks_share_totalb(M75,V75,100000000))</f>
        <v/>
      </c>
      <c r="AK75" s="23" t="str">
        <f>IF(M75="","",[1]!hks_share_h(M75,V75,100000000))</f>
        <v/>
      </c>
      <c r="AL75" s="23" t="str">
        <f>IF(M75="","",[1]!hks_share_oversea(M75,V75,100000000))</f>
        <v/>
      </c>
      <c r="AM75" s="23" t="str">
        <f>IF(M75="","",[1]!hks_holder_name(M75,V75,1))</f>
        <v/>
      </c>
      <c r="AN75" s="23" t="str">
        <f>IF(M75="","",[1]!hks_holder_quantity(M75,V75,1,10000))</f>
        <v/>
      </c>
      <c r="AO75" s="23" t="str">
        <f>IF(M75="","",[1]!hks_holder_pct(M75,V75,1))</f>
        <v/>
      </c>
      <c r="AP75" s="23" t="str">
        <f>IF(M75="","",[1]!s_esg_rating_wind(M75,V75))</f>
        <v/>
      </c>
      <c r="AQ75" s="23" t="str">
        <f>IF(M75="","",[1]!s_esg_score_wind(M75,V75))</f>
        <v/>
      </c>
      <c r="AR75" s="6"/>
    </row>
    <row r="76" spans="3:44" s="2" customFormat="1" x14ac:dyDescent="0.2">
      <c r="C76" s="30"/>
      <c r="D76" s="30"/>
      <c r="E76" s="30"/>
      <c r="F76" s="30"/>
      <c r="G76" s="30"/>
      <c r="H76" s="30"/>
      <c r="I76" s="30"/>
      <c r="L76" s="6"/>
      <c r="M76" s="29"/>
      <c r="N76" s="19" t="str">
        <f>IF(M76="","",[1]!hks_info_name(M76))</f>
        <v/>
      </c>
      <c r="O76" s="18" t="str">
        <f>IF(M76="","",[1]!s_ipo_listeddate(M76))</f>
        <v/>
      </c>
      <c r="P76" s="19" t="str">
        <f>IF(M76="","",[1]!s_info_exchmarket(M76))</f>
        <v/>
      </c>
      <c r="Q76" s="19" t="str">
        <f>IF(M76="","",[1]!s_info_mkt(M76))</f>
        <v/>
      </c>
      <c r="R76" s="19" t="str">
        <f>IF(M76="","",[1]!hks_info_isincode(M76))</f>
        <v/>
      </c>
      <c r="S76" s="19" t="str">
        <f>IF(M76="","",[1]!s_info_province(M76))</f>
        <v/>
      </c>
      <c r="T76" s="19" t="str">
        <f>IF(M76="","",[1]!s_info_city(M76))</f>
        <v/>
      </c>
      <c r="U76" s="19" t="str">
        <f>IF(M76="","",[1]!s_info_industry_gics(M76,9))</f>
        <v/>
      </c>
      <c r="V76" s="21" t="str">
        <f>IF(M76="","",[1]!lastradeday_s(M76,$D$7))</f>
        <v/>
      </c>
      <c r="W76" s="23" t="str">
        <f>IF(M76="","",[1]!s_dq_close(M76,V76,3))</f>
        <v/>
      </c>
      <c r="X76" s="25" t="str">
        <f>IF(M76="","",[1]!s_dq_pctchange(M76,V76))</f>
        <v/>
      </c>
      <c r="Y76" s="23" t="str">
        <f>IF(M76="","",[1]!hks_val_ev(M76,V76,"",100000000))</f>
        <v/>
      </c>
      <c r="Z76" s="23" t="str">
        <f>IF(M76="","",[1]!hks_val_mv_ard(M76,V76,"",100000000))</f>
        <v/>
      </c>
      <c r="AA76" s="23" t="str">
        <f>IF(M76="","",[1]!hks_fa_eps_basic(M76,[1]!s_fa_latelyrd_bt(M76,V76),""))</f>
        <v/>
      </c>
      <c r="AB76" s="23" t="str">
        <f>IF(M76="","",[1]!hks_val_pe_ttm(M76,V76))</f>
        <v/>
      </c>
      <c r="AC76" s="23" t="str">
        <f>IF(M76="","",[1]!pb_mrq(M76,V76))</f>
        <v/>
      </c>
      <c r="AD76" s="23" t="str">
        <f>IF(M76="","",[1]!s_val_evtoebitda2(M76,V76))</f>
        <v/>
      </c>
      <c r="AE76" s="23" t="str">
        <f>IF(M76="","",[1]!hks_fa_roa2(M76,[1]!s_fa_latelyrd_bt(M76,V76)))</f>
        <v/>
      </c>
      <c r="AF76" s="23" t="str">
        <f>IF(M76="","",[1]!hks_fa_roe(M76,[1]!s_fa_latelyrd_bt(M76,V76)))</f>
        <v/>
      </c>
      <c r="AG76" s="23" t="str">
        <f>IF(M76="","",[1]!s_share_total(M76,V76,100000000))</f>
        <v/>
      </c>
      <c r="AH76" s="23" t="str">
        <f>IF(M76="","",[1]!hks_share_total(M76,V76,100000000))</f>
        <v/>
      </c>
      <c r="AI76" s="23" t="str">
        <f>IF(M76="","",[1]!hks_share_totala(M76,V76,100000000))</f>
        <v/>
      </c>
      <c r="AJ76" s="23" t="str">
        <f>IF(M76="","",[1]!hks_share_totalb(M76,V76,100000000))</f>
        <v/>
      </c>
      <c r="AK76" s="23" t="str">
        <f>IF(M76="","",[1]!hks_share_h(M76,V76,100000000))</f>
        <v/>
      </c>
      <c r="AL76" s="23" t="str">
        <f>IF(M76="","",[1]!hks_share_oversea(M76,V76,100000000))</f>
        <v/>
      </c>
      <c r="AM76" s="23" t="str">
        <f>IF(M76="","",[1]!hks_holder_name(M76,V76,1))</f>
        <v/>
      </c>
      <c r="AN76" s="23" t="str">
        <f>IF(M76="","",[1]!hks_holder_quantity(M76,V76,1,10000))</f>
        <v/>
      </c>
      <c r="AO76" s="23" t="str">
        <f>IF(M76="","",[1]!hks_holder_pct(M76,V76,1))</f>
        <v/>
      </c>
      <c r="AP76" s="23" t="str">
        <f>IF(M76="","",[1]!s_esg_rating_wind(M76,V76))</f>
        <v/>
      </c>
      <c r="AQ76" s="23" t="str">
        <f>IF(M76="","",[1]!s_esg_score_wind(M76,V76))</f>
        <v/>
      </c>
      <c r="AR76" s="6"/>
    </row>
    <row r="77" spans="3:44" s="2" customFormat="1" x14ac:dyDescent="0.2">
      <c r="C77" s="30"/>
      <c r="D77" s="30"/>
      <c r="E77" s="30"/>
      <c r="F77" s="30"/>
      <c r="G77" s="30"/>
      <c r="H77" s="30"/>
      <c r="I77" s="30"/>
      <c r="L77" s="6"/>
      <c r="M77" s="29"/>
      <c r="N77" s="19" t="str">
        <f>IF(M77="","",[1]!hks_info_name(M77))</f>
        <v/>
      </c>
      <c r="O77" s="18" t="str">
        <f>IF(M77="","",[1]!s_ipo_listeddate(M77))</f>
        <v/>
      </c>
      <c r="P77" s="19" t="str">
        <f>IF(M77="","",[1]!s_info_exchmarket(M77))</f>
        <v/>
      </c>
      <c r="Q77" s="19" t="str">
        <f>IF(M77="","",[1]!s_info_mkt(M77))</f>
        <v/>
      </c>
      <c r="R77" s="19" t="str">
        <f>IF(M77="","",[1]!hks_info_isincode(M77))</f>
        <v/>
      </c>
      <c r="S77" s="19" t="str">
        <f>IF(M77="","",[1]!s_info_province(M77))</f>
        <v/>
      </c>
      <c r="T77" s="19" t="str">
        <f>IF(M77="","",[1]!s_info_city(M77))</f>
        <v/>
      </c>
      <c r="U77" s="19" t="str">
        <f>IF(M77="","",[1]!s_info_industry_gics(M77,9))</f>
        <v/>
      </c>
      <c r="V77" s="21" t="str">
        <f>IF(M77="","",[1]!lastradeday_s(M77,$D$7))</f>
        <v/>
      </c>
      <c r="W77" s="23" t="str">
        <f>IF(M77="","",[1]!s_dq_close(M77,V77,3))</f>
        <v/>
      </c>
      <c r="X77" s="25" t="str">
        <f>IF(M77="","",[1]!s_dq_pctchange(M77,V77))</f>
        <v/>
      </c>
      <c r="Y77" s="23" t="str">
        <f>IF(M77="","",[1]!hks_val_ev(M77,V77,"",100000000))</f>
        <v/>
      </c>
      <c r="Z77" s="23" t="str">
        <f>IF(M77="","",[1]!hks_val_mv_ard(M77,V77,"",100000000))</f>
        <v/>
      </c>
      <c r="AA77" s="23" t="str">
        <f>IF(M77="","",[1]!hks_fa_eps_basic(M77,[1]!s_fa_latelyrd_bt(M77,V77),""))</f>
        <v/>
      </c>
      <c r="AB77" s="23" t="str">
        <f>IF(M77="","",[1]!hks_val_pe_ttm(M77,V77))</f>
        <v/>
      </c>
      <c r="AC77" s="23" t="str">
        <f>IF(M77="","",[1]!pb_mrq(M77,V77))</f>
        <v/>
      </c>
      <c r="AD77" s="23" t="str">
        <f>IF(M77="","",[1]!s_val_evtoebitda2(M77,V77))</f>
        <v/>
      </c>
      <c r="AE77" s="23" t="str">
        <f>IF(M77="","",[1]!hks_fa_roa2(M77,[1]!s_fa_latelyrd_bt(M77,V77)))</f>
        <v/>
      </c>
      <c r="AF77" s="23" t="str">
        <f>IF(M77="","",[1]!hks_fa_roe(M77,[1]!s_fa_latelyrd_bt(M77,V77)))</f>
        <v/>
      </c>
      <c r="AG77" s="23" t="str">
        <f>IF(M77="","",[1]!s_share_total(M77,V77,100000000))</f>
        <v/>
      </c>
      <c r="AH77" s="23" t="str">
        <f>IF(M77="","",[1]!hks_share_total(M77,V77,100000000))</f>
        <v/>
      </c>
      <c r="AI77" s="23" t="str">
        <f>IF(M77="","",[1]!hks_share_totala(M77,V77,100000000))</f>
        <v/>
      </c>
      <c r="AJ77" s="23" t="str">
        <f>IF(M77="","",[1]!hks_share_totalb(M77,V77,100000000))</f>
        <v/>
      </c>
      <c r="AK77" s="23" t="str">
        <f>IF(M77="","",[1]!hks_share_h(M77,V77,100000000))</f>
        <v/>
      </c>
      <c r="AL77" s="23" t="str">
        <f>IF(M77="","",[1]!hks_share_oversea(M77,V77,100000000))</f>
        <v/>
      </c>
      <c r="AM77" s="23" t="str">
        <f>IF(M77="","",[1]!hks_holder_name(M77,V77,1))</f>
        <v/>
      </c>
      <c r="AN77" s="23" t="str">
        <f>IF(M77="","",[1]!hks_holder_quantity(M77,V77,1,10000))</f>
        <v/>
      </c>
      <c r="AO77" s="23" t="str">
        <f>IF(M77="","",[1]!hks_holder_pct(M77,V77,1))</f>
        <v/>
      </c>
      <c r="AP77" s="23" t="str">
        <f>IF(M77="","",[1]!s_esg_rating_wind(M77,V77))</f>
        <v/>
      </c>
      <c r="AQ77" s="23" t="str">
        <f>IF(M77="","",[1]!s_esg_score_wind(M77,V77))</f>
        <v/>
      </c>
      <c r="AR77" s="6"/>
    </row>
    <row r="78" spans="3:44" s="2" customFormat="1" x14ac:dyDescent="0.2">
      <c r="C78" s="30"/>
      <c r="D78" s="30"/>
      <c r="E78" s="30"/>
      <c r="F78" s="30"/>
      <c r="G78" s="30"/>
      <c r="H78" s="30"/>
      <c r="I78" s="30"/>
      <c r="L78" s="6"/>
      <c r="M78" s="29"/>
      <c r="N78" s="19" t="str">
        <f>IF(M78="","",[1]!hks_info_name(M78))</f>
        <v/>
      </c>
      <c r="O78" s="18" t="str">
        <f>IF(M78="","",[1]!s_ipo_listeddate(M78))</f>
        <v/>
      </c>
      <c r="P78" s="19" t="str">
        <f>IF(M78="","",[1]!s_info_exchmarket(M78))</f>
        <v/>
      </c>
      <c r="Q78" s="19" t="str">
        <f>IF(M78="","",[1]!s_info_mkt(M78))</f>
        <v/>
      </c>
      <c r="R78" s="19" t="str">
        <f>IF(M78="","",[1]!hks_info_isincode(M78))</f>
        <v/>
      </c>
      <c r="S78" s="19" t="str">
        <f>IF(M78="","",[1]!s_info_province(M78))</f>
        <v/>
      </c>
      <c r="T78" s="19" t="str">
        <f>IF(M78="","",[1]!s_info_city(M78))</f>
        <v/>
      </c>
      <c r="U78" s="19" t="str">
        <f>IF(M78="","",[1]!s_info_industry_gics(M78,9))</f>
        <v/>
      </c>
      <c r="V78" s="21" t="str">
        <f>IF(M78="","",[1]!lastradeday_s(M78,$D$7))</f>
        <v/>
      </c>
      <c r="W78" s="23" t="str">
        <f>IF(M78="","",[1]!s_dq_close(M78,V78,3))</f>
        <v/>
      </c>
      <c r="X78" s="25" t="str">
        <f>IF(M78="","",[1]!s_dq_pctchange(M78,V78))</f>
        <v/>
      </c>
      <c r="Y78" s="23" t="str">
        <f>IF(M78="","",[1]!hks_val_ev(M78,V78,"",100000000))</f>
        <v/>
      </c>
      <c r="Z78" s="23" t="str">
        <f>IF(M78="","",[1]!hks_val_mv_ard(M78,V78,"",100000000))</f>
        <v/>
      </c>
      <c r="AA78" s="23" t="str">
        <f>IF(M78="","",[1]!hks_fa_eps_basic(M78,[1]!s_fa_latelyrd_bt(M78,V78),""))</f>
        <v/>
      </c>
      <c r="AB78" s="23" t="str">
        <f>IF(M78="","",[1]!hks_val_pe_ttm(M78,V78))</f>
        <v/>
      </c>
      <c r="AC78" s="23" t="str">
        <f>IF(M78="","",[1]!pb_mrq(M78,V78))</f>
        <v/>
      </c>
      <c r="AD78" s="23" t="str">
        <f>IF(M78="","",[1]!s_val_evtoebitda2(M78,V78))</f>
        <v/>
      </c>
      <c r="AE78" s="23" t="str">
        <f>IF(M78="","",[1]!hks_fa_roa2(M78,[1]!s_fa_latelyrd_bt(M78,V78)))</f>
        <v/>
      </c>
      <c r="AF78" s="23" t="str">
        <f>IF(M78="","",[1]!hks_fa_roe(M78,[1]!s_fa_latelyrd_bt(M78,V78)))</f>
        <v/>
      </c>
      <c r="AG78" s="23" t="str">
        <f>IF(M78="","",[1]!s_share_total(M78,V78,100000000))</f>
        <v/>
      </c>
      <c r="AH78" s="23" t="str">
        <f>IF(M78="","",[1]!hks_share_total(M78,V78,100000000))</f>
        <v/>
      </c>
      <c r="AI78" s="23" t="str">
        <f>IF(M78="","",[1]!hks_share_totala(M78,V78,100000000))</f>
        <v/>
      </c>
      <c r="AJ78" s="23" t="str">
        <f>IF(M78="","",[1]!hks_share_totalb(M78,V78,100000000))</f>
        <v/>
      </c>
      <c r="AK78" s="23" t="str">
        <f>IF(M78="","",[1]!hks_share_h(M78,V78,100000000))</f>
        <v/>
      </c>
      <c r="AL78" s="23" t="str">
        <f>IF(M78="","",[1]!hks_share_oversea(M78,V78,100000000))</f>
        <v/>
      </c>
      <c r="AM78" s="23" t="str">
        <f>IF(M78="","",[1]!hks_holder_name(M78,V78,1))</f>
        <v/>
      </c>
      <c r="AN78" s="23" t="str">
        <f>IF(M78="","",[1]!hks_holder_quantity(M78,V78,1,10000))</f>
        <v/>
      </c>
      <c r="AO78" s="23" t="str">
        <f>IF(M78="","",[1]!hks_holder_pct(M78,V78,1))</f>
        <v/>
      </c>
      <c r="AP78" s="23" t="str">
        <f>IF(M78="","",[1]!s_esg_rating_wind(M78,V78))</f>
        <v/>
      </c>
      <c r="AQ78" s="23" t="str">
        <f>IF(M78="","",[1]!s_esg_score_wind(M78,V78))</f>
        <v/>
      </c>
      <c r="AR78" s="6"/>
    </row>
    <row r="79" spans="3:44" s="2" customFormat="1" x14ac:dyDescent="0.2">
      <c r="C79" s="30"/>
      <c r="D79" s="30"/>
      <c r="E79" s="30"/>
      <c r="F79" s="30"/>
      <c r="G79" s="30"/>
      <c r="H79" s="30"/>
      <c r="I79" s="30"/>
      <c r="L79" s="6"/>
      <c r="M79" s="29"/>
      <c r="N79" s="19" t="str">
        <f>IF(M79="","",[1]!hks_info_name(M79))</f>
        <v/>
      </c>
      <c r="O79" s="18" t="str">
        <f>IF(M79="","",[1]!s_ipo_listeddate(M79))</f>
        <v/>
      </c>
      <c r="P79" s="19" t="str">
        <f>IF(M79="","",[1]!s_info_exchmarket(M79))</f>
        <v/>
      </c>
      <c r="Q79" s="19" t="str">
        <f>IF(M79="","",[1]!s_info_mkt(M79))</f>
        <v/>
      </c>
      <c r="R79" s="19" t="str">
        <f>IF(M79="","",[1]!hks_info_isincode(M79))</f>
        <v/>
      </c>
      <c r="S79" s="19" t="str">
        <f>IF(M79="","",[1]!s_info_province(M79))</f>
        <v/>
      </c>
      <c r="T79" s="19" t="str">
        <f>IF(M79="","",[1]!s_info_city(M79))</f>
        <v/>
      </c>
      <c r="U79" s="19" t="str">
        <f>IF(M79="","",[1]!s_info_industry_gics(M79,9))</f>
        <v/>
      </c>
      <c r="V79" s="21" t="str">
        <f>IF(M79="","",[1]!lastradeday_s(M79,$D$7))</f>
        <v/>
      </c>
      <c r="W79" s="23" t="str">
        <f>IF(M79="","",[1]!s_dq_close(M79,V79,3))</f>
        <v/>
      </c>
      <c r="X79" s="25" t="str">
        <f>IF(M79="","",[1]!s_dq_pctchange(M79,V79))</f>
        <v/>
      </c>
      <c r="Y79" s="23" t="str">
        <f>IF(M79="","",[1]!hks_val_ev(M79,V79,"",100000000))</f>
        <v/>
      </c>
      <c r="Z79" s="23" t="str">
        <f>IF(M79="","",[1]!hks_val_mv_ard(M79,V79,"",100000000))</f>
        <v/>
      </c>
      <c r="AA79" s="23" t="str">
        <f>IF(M79="","",[1]!hks_fa_eps_basic(M79,[1]!s_fa_latelyrd_bt(M79,V79),""))</f>
        <v/>
      </c>
      <c r="AB79" s="23" t="str">
        <f>IF(M79="","",[1]!hks_val_pe_ttm(M79,V79))</f>
        <v/>
      </c>
      <c r="AC79" s="23" t="str">
        <f>IF(M79="","",[1]!pb_mrq(M79,V79))</f>
        <v/>
      </c>
      <c r="AD79" s="23" t="str">
        <f>IF(M79="","",[1]!s_val_evtoebitda2(M79,V79))</f>
        <v/>
      </c>
      <c r="AE79" s="23" t="str">
        <f>IF(M79="","",[1]!hks_fa_roa2(M79,[1]!s_fa_latelyrd_bt(M79,V79)))</f>
        <v/>
      </c>
      <c r="AF79" s="23" t="str">
        <f>IF(M79="","",[1]!hks_fa_roe(M79,[1]!s_fa_latelyrd_bt(M79,V79)))</f>
        <v/>
      </c>
      <c r="AG79" s="23" t="str">
        <f>IF(M79="","",[1]!s_share_total(M79,V79,100000000))</f>
        <v/>
      </c>
      <c r="AH79" s="23" t="str">
        <f>IF(M79="","",[1]!hks_share_total(M79,V79,100000000))</f>
        <v/>
      </c>
      <c r="AI79" s="23" t="str">
        <f>IF(M79="","",[1]!hks_share_totala(M79,V79,100000000))</f>
        <v/>
      </c>
      <c r="AJ79" s="23" t="str">
        <f>IF(M79="","",[1]!hks_share_totalb(M79,V79,100000000))</f>
        <v/>
      </c>
      <c r="AK79" s="23" t="str">
        <f>IF(M79="","",[1]!hks_share_h(M79,V79,100000000))</f>
        <v/>
      </c>
      <c r="AL79" s="23" t="str">
        <f>IF(M79="","",[1]!hks_share_oversea(M79,V79,100000000))</f>
        <v/>
      </c>
      <c r="AM79" s="23" t="str">
        <f>IF(M79="","",[1]!hks_holder_name(M79,V79,1))</f>
        <v/>
      </c>
      <c r="AN79" s="23" t="str">
        <f>IF(M79="","",[1]!hks_holder_quantity(M79,V79,1,10000))</f>
        <v/>
      </c>
      <c r="AO79" s="23" t="str">
        <f>IF(M79="","",[1]!hks_holder_pct(M79,V79,1))</f>
        <v/>
      </c>
      <c r="AP79" s="23" t="str">
        <f>IF(M79="","",[1]!s_esg_rating_wind(M79,V79))</f>
        <v/>
      </c>
      <c r="AQ79" s="23" t="str">
        <f>IF(M79="","",[1]!s_esg_score_wind(M79,V79))</f>
        <v/>
      </c>
      <c r="AR79" s="6"/>
    </row>
    <row r="80" spans="3:44" s="2" customFormat="1" x14ac:dyDescent="0.2">
      <c r="C80" s="30"/>
      <c r="D80" s="30"/>
      <c r="E80" s="30"/>
      <c r="F80" s="30"/>
      <c r="G80" s="30"/>
      <c r="H80" s="30"/>
      <c r="I80" s="30"/>
      <c r="L80" s="6"/>
      <c r="M80" s="29"/>
      <c r="N80" s="19" t="str">
        <f>IF(M80="","",[1]!hks_info_name(M80))</f>
        <v/>
      </c>
      <c r="O80" s="18" t="str">
        <f>IF(M80="","",[1]!s_ipo_listeddate(M80))</f>
        <v/>
      </c>
      <c r="P80" s="19" t="str">
        <f>IF(M80="","",[1]!s_info_exchmarket(M80))</f>
        <v/>
      </c>
      <c r="Q80" s="19" t="str">
        <f>IF(M80="","",[1]!s_info_mkt(M80))</f>
        <v/>
      </c>
      <c r="R80" s="19" t="str">
        <f>IF(M80="","",[1]!hks_info_isincode(M80))</f>
        <v/>
      </c>
      <c r="S80" s="19" t="str">
        <f>IF(M80="","",[1]!s_info_province(M80))</f>
        <v/>
      </c>
      <c r="T80" s="19" t="str">
        <f>IF(M80="","",[1]!s_info_city(M80))</f>
        <v/>
      </c>
      <c r="U80" s="19" t="str">
        <f>IF(M80="","",[1]!s_info_industry_gics(M80,9))</f>
        <v/>
      </c>
      <c r="V80" s="21" t="str">
        <f>IF(M80="","",[1]!lastradeday_s(M80,$D$7))</f>
        <v/>
      </c>
      <c r="W80" s="23" t="str">
        <f>IF(M80="","",[1]!s_dq_close(M80,V80,3))</f>
        <v/>
      </c>
      <c r="X80" s="25" t="str">
        <f>IF(M80="","",[1]!s_dq_pctchange(M80,V80))</f>
        <v/>
      </c>
      <c r="Y80" s="23" t="str">
        <f>IF(M80="","",[1]!hks_val_ev(M80,V80,"",100000000))</f>
        <v/>
      </c>
      <c r="Z80" s="23" t="str">
        <f>IF(M80="","",[1]!hks_val_mv_ard(M80,V80,"",100000000))</f>
        <v/>
      </c>
      <c r="AA80" s="23" t="str">
        <f>IF(M80="","",[1]!hks_fa_eps_basic(M80,[1]!s_fa_latelyrd_bt(M80,V80),""))</f>
        <v/>
      </c>
      <c r="AB80" s="23" t="str">
        <f>IF(M80="","",[1]!hks_val_pe_ttm(M80,V80))</f>
        <v/>
      </c>
      <c r="AC80" s="23" t="str">
        <f>IF(M80="","",[1]!pb_mrq(M80,V80))</f>
        <v/>
      </c>
      <c r="AD80" s="23" t="str">
        <f>IF(M80="","",[1]!s_val_evtoebitda2(M80,V80))</f>
        <v/>
      </c>
      <c r="AE80" s="23" t="str">
        <f>IF(M80="","",[1]!hks_fa_roa2(M80,[1]!s_fa_latelyrd_bt(M80,V80)))</f>
        <v/>
      </c>
      <c r="AF80" s="23" t="str">
        <f>IF(M80="","",[1]!hks_fa_roe(M80,[1]!s_fa_latelyrd_bt(M80,V80)))</f>
        <v/>
      </c>
      <c r="AG80" s="23" t="str">
        <f>IF(M80="","",[1]!s_share_total(M80,V80,100000000))</f>
        <v/>
      </c>
      <c r="AH80" s="23" t="str">
        <f>IF(M80="","",[1]!hks_share_total(M80,V80,100000000))</f>
        <v/>
      </c>
      <c r="AI80" s="23" t="str">
        <f>IF(M80="","",[1]!hks_share_totala(M80,V80,100000000))</f>
        <v/>
      </c>
      <c r="AJ80" s="23" t="str">
        <f>IF(M80="","",[1]!hks_share_totalb(M80,V80,100000000))</f>
        <v/>
      </c>
      <c r="AK80" s="23" t="str">
        <f>IF(M80="","",[1]!hks_share_h(M80,V80,100000000))</f>
        <v/>
      </c>
      <c r="AL80" s="23" t="str">
        <f>IF(M80="","",[1]!hks_share_oversea(M80,V80,100000000))</f>
        <v/>
      </c>
      <c r="AM80" s="23" t="str">
        <f>IF(M80="","",[1]!hks_holder_name(M80,V80,1))</f>
        <v/>
      </c>
      <c r="AN80" s="23" t="str">
        <f>IF(M80="","",[1]!hks_holder_quantity(M80,V80,1,10000))</f>
        <v/>
      </c>
      <c r="AO80" s="23" t="str">
        <f>IF(M80="","",[1]!hks_holder_pct(M80,V80,1))</f>
        <v/>
      </c>
      <c r="AP80" s="23" t="str">
        <f>IF(M80="","",[1]!s_esg_rating_wind(M80,V80))</f>
        <v/>
      </c>
      <c r="AQ80" s="23" t="str">
        <f>IF(M80="","",[1]!s_esg_score_wind(M80,V80))</f>
        <v/>
      </c>
      <c r="AR80" s="6"/>
    </row>
    <row r="81" spans="3:44" s="2" customFormat="1" x14ac:dyDescent="0.2">
      <c r="C81" s="30"/>
      <c r="D81" s="30"/>
      <c r="E81" s="30"/>
      <c r="F81" s="30"/>
      <c r="G81" s="30"/>
      <c r="H81" s="30"/>
      <c r="I81" s="30"/>
      <c r="L81" s="6"/>
      <c r="M81" s="29"/>
      <c r="N81" s="19" t="str">
        <f>IF(M81="","",[1]!hks_info_name(M81))</f>
        <v/>
      </c>
      <c r="O81" s="18" t="str">
        <f>IF(M81="","",[1]!s_ipo_listeddate(M81))</f>
        <v/>
      </c>
      <c r="P81" s="19" t="str">
        <f>IF(M81="","",[1]!s_info_exchmarket(M81))</f>
        <v/>
      </c>
      <c r="Q81" s="19" t="str">
        <f>IF(M81="","",[1]!s_info_mkt(M81))</f>
        <v/>
      </c>
      <c r="R81" s="19" t="str">
        <f>IF(M81="","",[1]!hks_info_isincode(M81))</f>
        <v/>
      </c>
      <c r="S81" s="19" t="str">
        <f>IF(M81="","",[1]!s_info_province(M81))</f>
        <v/>
      </c>
      <c r="T81" s="19" t="str">
        <f>IF(M81="","",[1]!s_info_city(M81))</f>
        <v/>
      </c>
      <c r="U81" s="19" t="str">
        <f>IF(M81="","",[1]!s_info_industry_gics(M81,9))</f>
        <v/>
      </c>
      <c r="V81" s="21" t="str">
        <f>IF(M81="","",[1]!lastradeday_s(M81,$D$7))</f>
        <v/>
      </c>
      <c r="W81" s="23" t="str">
        <f>IF(M81="","",[1]!s_dq_close(M81,V81,3))</f>
        <v/>
      </c>
      <c r="X81" s="25" t="str">
        <f>IF(M81="","",[1]!s_dq_pctchange(M81,V81))</f>
        <v/>
      </c>
      <c r="Y81" s="23" t="str">
        <f>IF(M81="","",[1]!hks_val_ev(M81,V81,"",100000000))</f>
        <v/>
      </c>
      <c r="Z81" s="23" t="str">
        <f>IF(M81="","",[1]!hks_val_mv_ard(M81,V81,"",100000000))</f>
        <v/>
      </c>
      <c r="AA81" s="23" t="str">
        <f>IF(M81="","",[1]!hks_fa_eps_basic(M81,[1]!s_fa_latelyrd_bt(M81,V81),""))</f>
        <v/>
      </c>
      <c r="AB81" s="23" t="str">
        <f>IF(M81="","",[1]!hks_val_pe_ttm(M81,V81))</f>
        <v/>
      </c>
      <c r="AC81" s="23" t="str">
        <f>IF(M81="","",[1]!pb_mrq(M81,V81))</f>
        <v/>
      </c>
      <c r="AD81" s="23" t="str">
        <f>IF(M81="","",[1]!s_val_evtoebitda2(M81,V81))</f>
        <v/>
      </c>
      <c r="AE81" s="23" t="str">
        <f>IF(M81="","",[1]!hks_fa_roa2(M81,[1]!s_fa_latelyrd_bt(M81,V81)))</f>
        <v/>
      </c>
      <c r="AF81" s="23" t="str">
        <f>IF(M81="","",[1]!hks_fa_roe(M81,[1]!s_fa_latelyrd_bt(M81,V81)))</f>
        <v/>
      </c>
      <c r="AG81" s="23" t="str">
        <f>IF(M81="","",[1]!s_share_total(M81,V81,100000000))</f>
        <v/>
      </c>
      <c r="AH81" s="23" t="str">
        <f>IF(M81="","",[1]!hks_share_total(M81,V81,100000000))</f>
        <v/>
      </c>
      <c r="AI81" s="23" t="str">
        <f>IF(M81="","",[1]!hks_share_totala(M81,V81,100000000))</f>
        <v/>
      </c>
      <c r="AJ81" s="23" t="str">
        <f>IF(M81="","",[1]!hks_share_totalb(M81,V81,100000000))</f>
        <v/>
      </c>
      <c r="AK81" s="23" t="str">
        <f>IF(M81="","",[1]!hks_share_h(M81,V81,100000000))</f>
        <v/>
      </c>
      <c r="AL81" s="23" t="str">
        <f>IF(M81="","",[1]!hks_share_oversea(M81,V81,100000000))</f>
        <v/>
      </c>
      <c r="AM81" s="23" t="str">
        <f>IF(M81="","",[1]!hks_holder_name(M81,V81,1))</f>
        <v/>
      </c>
      <c r="AN81" s="23" t="str">
        <f>IF(M81="","",[1]!hks_holder_quantity(M81,V81,1,10000))</f>
        <v/>
      </c>
      <c r="AO81" s="23" t="str">
        <f>IF(M81="","",[1]!hks_holder_pct(M81,V81,1))</f>
        <v/>
      </c>
      <c r="AP81" s="23" t="str">
        <f>IF(M81="","",[1]!s_esg_rating_wind(M81,V81))</f>
        <v/>
      </c>
      <c r="AQ81" s="23" t="str">
        <f>IF(M81="","",[1]!s_esg_score_wind(M81,V81))</f>
        <v/>
      </c>
      <c r="AR81" s="6"/>
    </row>
    <row r="82" spans="3:44" s="2" customFormat="1" x14ac:dyDescent="0.2">
      <c r="C82" s="30"/>
      <c r="D82" s="30"/>
      <c r="E82" s="30"/>
      <c r="F82" s="30"/>
      <c r="G82" s="30"/>
      <c r="H82" s="30"/>
      <c r="I82" s="30"/>
      <c r="L82" s="6"/>
      <c r="M82" s="29"/>
      <c r="N82" s="19" t="str">
        <f>IF(M82="","",[1]!hks_info_name(M82))</f>
        <v/>
      </c>
      <c r="O82" s="18" t="str">
        <f>IF(M82="","",[1]!s_ipo_listeddate(M82))</f>
        <v/>
      </c>
      <c r="P82" s="19" t="str">
        <f>IF(M82="","",[1]!s_info_exchmarket(M82))</f>
        <v/>
      </c>
      <c r="Q82" s="19" t="str">
        <f>IF(M82="","",[1]!s_info_mkt(M82))</f>
        <v/>
      </c>
      <c r="R82" s="19" t="str">
        <f>IF(M82="","",[1]!hks_info_isincode(M82))</f>
        <v/>
      </c>
      <c r="S82" s="19" t="str">
        <f>IF(M82="","",[1]!s_info_province(M82))</f>
        <v/>
      </c>
      <c r="T82" s="19" t="str">
        <f>IF(M82="","",[1]!s_info_city(M82))</f>
        <v/>
      </c>
      <c r="U82" s="19" t="str">
        <f>IF(M82="","",[1]!s_info_industry_gics(M82,9))</f>
        <v/>
      </c>
      <c r="V82" s="21" t="str">
        <f>IF(M82="","",[1]!lastradeday_s(M82,$D$7))</f>
        <v/>
      </c>
      <c r="W82" s="23" t="str">
        <f>IF(M82="","",[1]!s_dq_close(M82,V82,3))</f>
        <v/>
      </c>
      <c r="X82" s="25" t="str">
        <f>IF(M82="","",[1]!s_dq_pctchange(M82,V82))</f>
        <v/>
      </c>
      <c r="Y82" s="23" t="str">
        <f>IF(M82="","",[1]!hks_val_ev(M82,V82,"",100000000))</f>
        <v/>
      </c>
      <c r="Z82" s="23" t="str">
        <f>IF(M82="","",[1]!hks_val_mv_ard(M82,V82,"",100000000))</f>
        <v/>
      </c>
      <c r="AA82" s="23" t="str">
        <f>IF(M82="","",[1]!hks_fa_eps_basic(M82,[1]!s_fa_latelyrd_bt(M82,V82),""))</f>
        <v/>
      </c>
      <c r="AB82" s="23" t="str">
        <f>IF(M82="","",[1]!hks_val_pe_ttm(M82,V82))</f>
        <v/>
      </c>
      <c r="AC82" s="23" t="str">
        <f>IF(M82="","",[1]!pb_mrq(M82,V82))</f>
        <v/>
      </c>
      <c r="AD82" s="23" t="str">
        <f>IF(M82="","",[1]!s_val_evtoebitda2(M82,V82))</f>
        <v/>
      </c>
      <c r="AE82" s="23" t="str">
        <f>IF(M82="","",[1]!hks_fa_roa2(M82,[1]!s_fa_latelyrd_bt(M82,V82)))</f>
        <v/>
      </c>
      <c r="AF82" s="23" t="str">
        <f>IF(M82="","",[1]!hks_fa_roe(M82,[1]!s_fa_latelyrd_bt(M82,V82)))</f>
        <v/>
      </c>
      <c r="AG82" s="23" t="str">
        <f>IF(M82="","",[1]!s_share_total(M82,V82,100000000))</f>
        <v/>
      </c>
      <c r="AH82" s="23" t="str">
        <f>IF(M82="","",[1]!hks_share_total(M82,V82,100000000))</f>
        <v/>
      </c>
      <c r="AI82" s="23" t="str">
        <f>IF(M82="","",[1]!hks_share_totala(M82,V82,100000000))</f>
        <v/>
      </c>
      <c r="AJ82" s="23" t="str">
        <f>IF(M82="","",[1]!hks_share_totalb(M82,V82,100000000))</f>
        <v/>
      </c>
      <c r="AK82" s="23" t="str">
        <f>IF(M82="","",[1]!hks_share_h(M82,V82,100000000))</f>
        <v/>
      </c>
      <c r="AL82" s="23" t="str">
        <f>IF(M82="","",[1]!hks_share_oversea(M82,V82,100000000))</f>
        <v/>
      </c>
      <c r="AM82" s="23" t="str">
        <f>IF(M82="","",[1]!hks_holder_name(M82,V82,1))</f>
        <v/>
      </c>
      <c r="AN82" s="23" t="str">
        <f>IF(M82="","",[1]!hks_holder_quantity(M82,V82,1,10000))</f>
        <v/>
      </c>
      <c r="AO82" s="23" t="str">
        <f>IF(M82="","",[1]!hks_holder_pct(M82,V82,1))</f>
        <v/>
      </c>
      <c r="AP82" s="23" t="str">
        <f>IF(M82="","",[1]!s_esg_rating_wind(M82,V82))</f>
        <v/>
      </c>
      <c r="AQ82" s="23" t="str">
        <f>IF(M82="","",[1]!s_esg_score_wind(M82,V82))</f>
        <v/>
      </c>
      <c r="AR82" s="6"/>
    </row>
    <row r="83" spans="3:44" s="2" customFormat="1" x14ac:dyDescent="0.2">
      <c r="C83" s="30"/>
      <c r="D83" s="30"/>
      <c r="E83" s="30"/>
      <c r="F83" s="30"/>
      <c r="G83" s="30"/>
      <c r="H83" s="30"/>
      <c r="I83" s="30"/>
      <c r="L83" s="6"/>
      <c r="M83" s="29"/>
      <c r="N83" s="19" t="str">
        <f>IF(M83="","",[1]!hks_info_name(M83))</f>
        <v/>
      </c>
      <c r="O83" s="18" t="str">
        <f>IF(M83="","",[1]!s_ipo_listeddate(M83))</f>
        <v/>
      </c>
      <c r="P83" s="19" t="str">
        <f>IF(M83="","",[1]!s_info_exchmarket(M83))</f>
        <v/>
      </c>
      <c r="Q83" s="19" t="str">
        <f>IF(M83="","",[1]!s_info_mkt(M83))</f>
        <v/>
      </c>
      <c r="R83" s="19" t="str">
        <f>IF(M83="","",[1]!hks_info_isincode(M83))</f>
        <v/>
      </c>
      <c r="S83" s="19" t="str">
        <f>IF(M83="","",[1]!s_info_province(M83))</f>
        <v/>
      </c>
      <c r="T83" s="19" t="str">
        <f>IF(M83="","",[1]!s_info_city(M83))</f>
        <v/>
      </c>
      <c r="U83" s="19" t="str">
        <f>IF(M83="","",[1]!s_info_industry_gics(M83,9))</f>
        <v/>
      </c>
      <c r="V83" s="21" t="str">
        <f>IF(M83="","",[1]!lastradeday_s(M83,$D$7))</f>
        <v/>
      </c>
      <c r="W83" s="23" t="str">
        <f>IF(M83="","",[1]!s_dq_close(M83,V83,3))</f>
        <v/>
      </c>
      <c r="X83" s="25" t="str">
        <f>IF(M83="","",[1]!s_dq_pctchange(M83,V83))</f>
        <v/>
      </c>
      <c r="Y83" s="23" t="str">
        <f>IF(M83="","",[1]!hks_val_ev(M83,V83,"",100000000))</f>
        <v/>
      </c>
      <c r="Z83" s="23" t="str">
        <f>IF(M83="","",[1]!hks_val_mv_ard(M83,V83,"",100000000))</f>
        <v/>
      </c>
      <c r="AA83" s="23" t="str">
        <f>IF(M83="","",[1]!hks_fa_eps_basic(M83,[1]!s_fa_latelyrd_bt(M83,V83),""))</f>
        <v/>
      </c>
      <c r="AB83" s="23" t="str">
        <f>IF(M83="","",[1]!hks_val_pe_ttm(M83,V83))</f>
        <v/>
      </c>
      <c r="AC83" s="23" t="str">
        <f>IF(M83="","",[1]!pb_mrq(M83,V83))</f>
        <v/>
      </c>
      <c r="AD83" s="23" t="str">
        <f>IF(M83="","",[1]!s_val_evtoebitda2(M83,V83))</f>
        <v/>
      </c>
      <c r="AE83" s="23" t="str">
        <f>IF(M83="","",[1]!hks_fa_roa2(M83,[1]!s_fa_latelyrd_bt(M83,V83)))</f>
        <v/>
      </c>
      <c r="AF83" s="23" t="str">
        <f>IF(M83="","",[1]!hks_fa_roe(M83,[1]!s_fa_latelyrd_bt(M83,V83)))</f>
        <v/>
      </c>
      <c r="AG83" s="23" t="str">
        <f>IF(M83="","",[1]!s_share_total(M83,V83,100000000))</f>
        <v/>
      </c>
      <c r="AH83" s="23" t="str">
        <f>IF(M83="","",[1]!hks_share_total(M83,V83,100000000))</f>
        <v/>
      </c>
      <c r="AI83" s="23" t="str">
        <f>IF(M83="","",[1]!hks_share_totala(M83,V83,100000000))</f>
        <v/>
      </c>
      <c r="AJ83" s="23" t="str">
        <f>IF(M83="","",[1]!hks_share_totalb(M83,V83,100000000))</f>
        <v/>
      </c>
      <c r="AK83" s="23" t="str">
        <f>IF(M83="","",[1]!hks_share_h(M83,V83,100000000))</f>
        <v/>
      </c>
      <c r="AL83" s="23" t="str">
        <f>IF(M83="","",[1]!hks_share_oversea(M83,V83,100000000))</f>
        <v/>
      </c>
      <c r="AM83" s="23" t="str">
        <f>IF(M83="","",[1]!hks_holder_name(M83,V83,1))</f>
        <v/>
      </c>
      <c r="AN83" s="23" t="str">
        <f>IF(M83="","",[1]!hks_holder_quantity(M83,V83,1,10000))</f>
        <v/>
      </c>
      <c r="AO83" s="23" t="str">
        <f>IF(M83="","",[1]!hks_holder_pct(M83,V83,1))</f>
        <v/>
      </c>
      <c r="AP83" s="23" t="str">
        <f>IF(M83="","",[1]!s_esg_rating_wind(M83,V83))</f>
        <v/>
      </c>
      <c r="AQ83" s="23" t="str">
        <f>IF(M83="","",[1]!s_esg_score_wind(M83,V83))</f>
        <v/>
      </c>
      <c r="AR83" s="6"/>
    </row>
    <row r="84" spans="3:44" s="2" customFormat="1" x14ac:dyDescent="0.2">
      <c r="C84" s="30"/>
      <c r="D84" s="30"/>
      <c r="E84" s="30"/>
      <c r="F84" s="30"/>
      <c r="G84" s="30"/>
      <c r="H84" s="30"/>
      <c r="I84" s="30"/>
      <c r="L84" s="6"/>
      <c r="M84" s="29"/>
      <c r="N84" s="19" t="str">
        <f>IF(M84="","",[1]!hks_info_name(M84))</f>
        <v/>
      </c>
      <c r="O84" s="18" t="str">
        <f>IF(M84="","",[1]!s_ipo_listeddate(M84))</f>
        <v/>
      </c>
      <c r="P84" s="19" t="str">
        <f>IF(M84="","",[1]!s_info_exchmarket(M84))</f>
        <v/>
      </c>
      <c r="Q84" s="19" t="str">
        <f>IF(M84="","",[1]!s_info_mkt(M84))</f>
        <v/>
      </c>
      <c r="R84" s="19" t="str">
        <f>IF(M84="","",[1]!hks_info_isincode(M84))</f>
        <v/>
      </c>
      <c r="S84" s="19" t="str">
        <f>IF(M84="","",[1]!s_info_province(M84))</f>
        <v/>
      </c>
      <c r="T84" s="19" t="str">
        <f>IF(M84="","",[1]!s_info_city(M84))</f>
        <v/>
      </c>
      <c r="U84" s="19" t="str">
        <f>IF(M84="","",[1]!s_info_industry_gics(M84,9))</f>
        <v/>
      </c>
      <c r="V84" s="21" t="str">
        <f>IF(M84="","",[1]!lastradeday_s(M84,$D$7))</f>
        <v/>
      </c>
      <c r="W84" s="23" t="str">
        <f>IF(M84="","",[1]!s_dq_close(M84,V84,3))</f>
        <v/>
      </c>
      <c r="X84" s="25" t="str">
        <f>IF(M84="","",[1]!s_dq_pctchange(M84,V84))</f>
        <v/>
      </c>
      <c r="Y84" s="23" t="str">
        <f>IF(M84="","",[1]!hks_val_ev(M84,V84,"",100000000))</f>
        <v/>
      </c>
      <c r="Z84" s="23" t="str">
        <f>IF(M84="","",[1]!hks_val_mv_ard(M84,V84,"",100000000))</f>
        <v/>
      </c>
      <c r="AA84" s="23" t="str">
        <f>IF(M84="","",[1]!hks_fa_eps_basic(M84,[1]!s_fa_latelyrd_bt(M84,V84),""))</f>
        <v/>
      </c>
      <c r="AB84" s="23" t="str">
        <f>IF(M84="","",[1]!hks_val_pe_ttm(M84,V84))</f>
        <v/>
      </c>
      <c r="AC84" s="23" t="str">
        <f>IF(M84="","",[1]!pb_mrq(M84,V84))</f>
        <v/>
      </c>
      <c r="AD84" s="23" t="str">
        <f>IF(M84="","",[1]!s_val_evtoebitda2(M84,V84))</f>
        <v/>
      </c>
      <c r="AE84" s="23" t="str">
        <f>IF(M84="","",[1]!hks_fa_roa2(M84,[1]!s_fa_latelyrd_bt(M84,V84)))</f>
        <v/>
      </c>
      <c r="AF84" s="23" t="str">
        <f>IF(M84="","",[1]!hks_fa_roe(M84,[1]!s_fa_latelyrd_bt(M84,V84)))</f>
        <v/>
      </c>
      <c r="AG84" s="23" t="str">
        <f>IF(M84="","",[1]!s_share_total(M84,V84,100000000))</f>
        <v/>
      </c>
      <c r="AH84" s="23" t="str">
        <f>IF(M84="","",[1]!hks_share_total(M84,V84,100000000))</f>
        <v/>
      </c>
      <c r="AI84" s="23" t="str">
        <f>IF(M84="","",[1]!hks_share_totala(M84,V84,100000000))</f>
        <v/>
      </c>
      <c r="AJ84" s="23" t="str">
        <f>IF(M84="","",[1]!hks_share_totalb(M84,V84,100000000))</f>
        <v/>
      </c>
      <c r="AK84" s="23" t="str">
        <f>IF(M84="","",[1]!hks_share_h(M84,V84,100000000))</f>
        <v/>
      </c>
      <c r="AL84" s="23" t="str">
        <f>IF(M84="","",[1]!hks_share_oversea(M84,V84,100000000))</f>
        <v/>
      </c>
      <c r="AM84" s="23" t="str">
        <f>IF(M84="","",[1]!hks_holder_name(M84,V84,1))</f>
        <v/>
      </c>
      <c r="AN84" s="23" t="str">
        <f>IF(M84="","",[1]!hks_holder_quantity(M84,V84,1,10000))</f>
        <v/>
      </c>
      <c r="AO84" s="23" t="str">
        <f>IF(M84="","",[1]!hks_holder_pct(M84,V84,1))</f>
        <v/>
      </c>
      <c r="AP84" s="23" t="str">
        <f>IF(M84="","",[1]!s_esg_rating_wind(M84,V84))</f>
        <v/>
      </c>
      <c r="AQ84" s="23" t="str">
        <f>IF(M84="","",[1]!s_esg_score_wind(M84,V84))</f>
        <v/>
      </c>
      <c r="AR84" s="6"/>
    </row>
    <row r="85" spans="3:44" s="2" customFormat="1" x14ac:dyDescent="0.2">
      <c r="C85" s="30"/>
      <c r="D85" s="30"/>
      <c r="E85" s="30"/>
      <c r="F85" s="30"/>
      <c r="G85" s="30"/>
      <c r="H85" s="30"/>
      <c r="I85" s="30"/>
      <c r="L85" s="6"/>
      <c r="M85" s="29"/>
      <c r="N85" s="19" t="str">
        <f>IF(M85="","",[1]!hks_info_name(M85))</f>
        <v/>
      </c>
      <c r="O85" s="18" t="str">
        <f>IF(M85="","",[1]!s_ipo_listeddate(M85))</f>
        <v/>
      </c>
      <c r="P85" s="19" t="str">
        <f>IF(M85="","",[1]!s_info_exchmarket(M85))</f>
        <v/>
      </c>
      <c r="Q85" s="19" t="str">
        <f>IF(M85="","",[1]!s_info_mkt(M85))</f>
        <v/>
      </c>
      <c r="R85" s="19" t="str">
        <f>IF(M85="","",[1]!hks_info_isincode(M85))</f>
        <v/>
      </c>
      <c r="S85" s="19" t="str">
        <f>IF(M85="","",[1]!s_info_province(M85))</f>
        <v/>
      </c>
      <c r="T85" s="19" t="str">
        <f>IF(M85="","",[1]!s_info_city(M85))</f>
        <v/>
      </c>
      <c r="U85" s="19" t="str">
        <f>IF(M85="","",[1]!s_info_industry_gics(M85,9))</f>
        <v/>
      </c>
      <c r="V85" s="21" t="str">
        <f>IF(M85="","",[1]!lastradeday_s(M85,$D$7))</f>
        <v/>
      </c>
      <c r="W85" s="23" t="str">
        <f>IF(M85="","",[1]!s_dq_close(M85,V85,3))</f>
        <v/>
      </c>
      <c r="X85" s="25" t="str">
        <f>IF(M85="","",[1]!s_dq_pctchange(M85,V85))</f>
        <v/>
      </c>
      <c r="Y85" s="23" t="str">
        <f>IF(M85="","",[1]!hks_val_ev(M85,V85,"",100000000))</f>
        <v/>
      </c>
      <c r="Z85" s="23" t="str">
        <f>IF(M85="","",[1]!hks_val_mv_ard(M85,V85,"",100000000))</f>
        <v/>
      </c>
      <c r="AA85" s="23" t="str">
        <f>IF(M85="","",[1]!hks_fa_eps_basic(M85,[1]!s_fa_latelyrd_bt(M85,V85),""))</f>
        <v/>
      </c>
      <c r="AB85" s="23" t="str">
        <f>IF(M85="","",[1]!hks_val_pe_ttm(M85,V85))</f>
        <v/>
      </c>
      <c r="AC85" s="23" t="str">
        <f>IF(M85="","",[1]!pb_mrq(M85,V85))</f>
        <v/>
      </c>
      <c r="AD85" s="23" t="str">
        <f>IF(M85="","",[1]!s_val_evtoebitda2(M85,V85))</f>
        <v/>
      </c>
      <c r="AE85" s="23" t="str">
        <f>IF(M85="","",[1]!hks_fa_roa2(M85,[1]!s_fa_latelyrd_bt(M85,V85)))</f>
        <v/>
      </c>
      <c r="AF85" s="23" t="str">
        <f>IF(M85="","",[1]!hks_fa_roe(M85,[1]!s_fa_latelyrd_bt(M85,V85)))</f>
        <v/>
      </c>
      <c r="AG85" s="23" t="str">
        <f>IF(M85="","",[1]!s_share_total(M85,V85,100000000))</f>
        <v/>
      </c>
      <c r="AH85" s="23" t="str">
        <f>IF(M85="","",[1]!hks_share_total(M85,V85,100000000))</f>
        <v/>
      </c>
      <c r="AI85" s="23" t="str">
        <f>IF(M85="","",[1]!hks_share_totala(M85,V85,100000000))</f>
        <v/>
      </c>
      <c r="AJ85" s="23" t="str">
        <f>IF(M85="","",[1]!hks_share_totalb(M85,V85,100000000))</f>
        <v/>
      </c>
      <c r="AK85" s="23" t="str">
        <f>IF(M85="","",[1]!hks_share_h(M85,V85,100000000))</f>
        <v/>
      </c>
      <c r="AL85" s="23" t="str">
        <f>IF(M85="","",[1]!hks_share_oversea(M85,V85,100000000))</f>
        <v/>
      </c>
      <c r="AM85" s="23" t="str">
        <f>IF(M85="","",[1]!hks_holder_name(M85,V85,1))</f>
        <v/>
      </c>
      <c r="AN85" s="23" t="str">
        <f>IF(M85="","",[1]!hks_holder_quantity(M85,V85,1,10000))</f>
        <v/>
      </c>
      <c r="AO85" s="23" t="str">
        <f>IF(M85="","",[1]!hks_holder_pct(M85,V85,1))</f>
        <v/>
      </c>
      <c r="AP85" s="23" t="str">
        <f>IF(M85="","",[1]!s_esg_rating_wind(M85,V85))</f>
        <v/>
      </c>
      <c r="AQ85" s="23" t="str">
        <f>IF(M85="","",[1]!s_esg_score_wind(M85,V85))</f>
        <v/>
      </c>
      <c r="AR85" s="6"/>
    </row>
    <row r="86" spans="3:44" s="2" customFormat="1" x14ac:dyDescent="0.2">
      <c r="C86" s="30"/>
      <c r="D86" s="30"/>
      <c r="E86" s="30"/>
      <c r="F86" s="30"/>
      <c r="G86" s="30"/>
      <c r="H86" s="30"/>
      <c r="I86" s="30"/>
      <c r="L86" s="6"/>
      <c r="M86" s="29"/>
      <c r="N86" s="19" t="str">
        <f>IF(M86="","",[1]!hks_info_name(M86))</f>
        <v/>
      </c>
      <c r="O86" s="18" t="str">
        <f>IF(M86="","",[1]!s_ipo_listeddate(M86))</f>
        <v/>
      </c>
      <c r="P86" s="19" t="str">
        <f>IF(M86="","",[1]!s_info_exchmarket(M86))</f>
        <v/>
      </c>
      <c r="Q86" s="19" t="str">
        <f>IF(M86="","",[1]!s_info_mkt(M86))</f>
        <v/>
      </c>
      <c r="R86" s="19" t="str">
        <f>IF(M86="","",[1]!hks_info_isincode(M86))</f>
        <v/>
      </c>
      <c r="S86" s="19" t="str">
        <f>IF(M86="","",[1]!s_info_province(M86))</f>
        <v/>
      </c>
      <c r="T86" s="19" t="str">
        <f>IF(M86="","",[1]!s_info_city(M86))</f>
        <v/>
      </c>
      <c r="U86" s="19" t="str">
        <f>IF(M86="","",[1]!s_info_industry_gics(M86,9))</f>
        <v/>
      </c>
      <c r="V86" s="21" t="str">
        <f>IF(M86="","",[1]!lastradeday_s(M86,$D$7))</f>
        <v/>
      </c>
      <c r="W86" s="23" t="str">
        <f>IF(M86="","",[1]!s_dq_close(M86,V86,3))</f>
        <v/>
      </c>
      <c r="X86" s="25" t="str">
        <f>IF(M86="","",[1]!s_dq_pctchange(M86,V86))</f>
        <v/>
      </c>
      <c r="Y86" s="23" t="str">
        <f>IF(M86="","",[1]!hks_val_ev(M86,V86,"",100000000))</f>
        <v/>
      </c>
      <c r="Z86" s="23" t="str">
        <f>IF(M86="","",[1]!hks_val_mv_ard(M86,V86,"",100000000))</f>
        <v/>
      </c>
      <c r="AA86" s="23" t="str">
        <f>IF(M86="","",[1]!hks_fa_eps_basic(M86,[1]!s_fa_latelyrd_bt(M86,V86),""))</f>
        <v/>
      </c>
      <c r="AB86" s="23" t="str">
        <f>IF(M86="","",[1]!hks_val_pe_ttm(M86,V86))</f>
        <v/>
      </c>
      <c r="AC86" s="23" t="str">
        <f>IF(M86="","",[1]!pb_mrq(M86,V86))</f>
        <v/>
      </c>
      <c r="AD86" s="23" t="str">
        <f>IF(M86="","",[1]!s_val_evtoebitda2(M86,V86))</f>
        <v/>
      </c>
      <c r="AE86" s="23" t="str">
        <f>IF(M86="","",[1]!hks_fa_roa2(M86,[1]!s_fa_latelyrd_bt(M86,V86)))</f>
        <v/>
      </c>
      <c r="AF86" s="23" t="str">
        <f>IF(M86="","",[1]!hks_fa_roe(M86,[1]!s_fa_latelyrd_bt(M86,V86)))</f>
        <v/>
      </c>
      <c r="AG86" s="23" t="str">
        <f>IF(M86="","",[1]!s_share_total(M86,V86,100000000))</f>
        <v/>
      </c>
      <c r="AH86" s="23" t="str">
        <f>IF(M86="","",[1]!hks_share_total(M86,V86,100000000))</f>
        <v/>
      </c>
      <c r="AI86" s="23" t="str">
        <f>IF(M86="","",[1]!hks_share_totala(M86,V86,100000000))</f>
        <v/>
      </c>
      <c r="AJ86" s="23" t="str">
        <f>IF(M86="","",[1]!hks_share_totalb(M86,V86,100000000))</f>
        <v/>
      </c>
      <c r="AK86" s="23" t="str">
        <f>IF(M86="","",[1]!hks_share_h(M86,V86,100000000))</f>
        <v/>
      </c>
      <c r="AL86" s="23" t="str">
        <f>IF(M86="","",[1]!hks_share_oversea(M86,V86,100000000))</f>
        <v/>
      </c>
      <c r="AM86" s="23" t="str">
        <f>IF(M86="","",[1]!hks_holder_name(M86,V86,1))</f>
        <v/>
      </c>
      <c r="AN86" s="23" t="str">
        <f>IF(M86="","",[1]!hks_holder_quantity(M86,V86,1,10000))</f>
        <v/>
      </c>
      <c r="AO86" s="23" t="str">
        <f>IF(M86="","",[1]!hks_holder_pct(M86,V86,1))</f>
        <v/>
      </c>
      <c r="AP86" s="23" t="str">
        <f>IF(M86="","",[1]!s_esg_rating_wind(M86,V86))</f>
        <v/>
      </c>
      <c r="AQ86" s="23" t="str">
        <f>IF(M86="","",[1]!s_esg_score_wind(M86,V86))</f>
        <v/>
      </c>
      <c r="AR86" s="6"/>
    </row>
    <row r="87" spans="3:44" s="2" customFormat="1" x14ac:dyDescent="0.2">
      <c r="C87" s="30"/>
      <c r="D87" s="30"/>
      <c r="E87" s="30"/>
      <c r="F87" s="30"/>
      <c r="G87" s="30"/>
      <c r="H87" s="30"/>
      <c r="I87" s="30"/>
      <c r="L87" s="6"/>
      <c r="M87" s="29"/>
      <c r="N87" s="19" t="str">
        <f>IF(M87="","",[1]!hks_info_name(M87))</f>
        <v/>
      </c>
      <c r="O87" s="18" t="str">
        <f>IF(M87="","",[1]!s_ipo_listeddate(M87))</f>
        <v/>
      </c>
      <c r="P87" s="19" t="str">
        <f>IF(M87="","",[1]!s_info_exchmarket(M87))</f>
        <v/>
      </c>
      <c r="Q87" s="19" t="str">
        <f>IF(M87="","",[1]!s_info_mkt(M87))</f>
        <v/>
      </c>
      <c r="R87" s="19" t="str">
        <f>IF(M87="","",[1]!hks_info_isincode(M87))</f>
        <v/>
      </c>
      <c r="S87" s="19" t="str">
        <f>IF(M87="","",[1]!s_info_province(M87))</f>
        <v/>
      </c>
      <c r="T87" s="19" t="str">
        <f>IF(M87="","",[1]!s_info_city(M87))</f>
        <v/>
      </c>
      <c r="U87" s="19" t="str">
        <f>IF(M87="","",[1]!s_info_industry_gics(M87,9))</f>
        <v/>
      </c>
      <c r="V87" s="21" t="str">
        <f>IF(M87="","",[1]!lastradeday_s(M87,$D$7))</f>
        <v/>
      </c>
      <c r="W87" s="23" t="str">
        <f>IF(M87="","",[1]!s_dq_close(M87,V87,3))</f>
        <v/>
      </c>
      <c r="X87" s="25" t="str">
        <f>IF(M87="","",[1]!s_dq_pctchange(M87,V87))</f>
        <v/>
      </c>
      <c r="Y87" s="23" t="str">
        <f>IF(M87="","",[1]!hks_val_ev(M87,V87,"",100000000))</f>
        <v/>
      </c>
      <c r="Z87" s="23" t="str">
        <f>IF(M87="","",[1]!hks_val_mv_ard(M87,V87,"",100000000))</f>
        <v/>
      </c>
      <c r="AA87" s="23" t="str">
        <f>IF(M87="","",[1]!hks_fa_eps_basic(M87,[1]!s_fa_latelyrd_bt(M87,V87),""))</f>
        <v/>
      </c>
      <c r="AB87" s="23" t="str">
        <f>IF(M87="","",[1]!hks_val_pe_ttm(M87,V87))</f>
        <v/>
      </c>
      <c r="AC87" s="23" t="str">
        <f>IF(M87="","",[1]!pb_mrq(M87,V87))</f>
        <v/>
      </c>
      <c r="AD87" s="23" t="str">
        <f>IF(M87="","",[1]!s_val_evtoebitda2(M87,V87))</f>
        <v/>
      </c>
      <c r="AE87" s="23" t="str">
        <f>IF(M87="","",[1]!hks_fa_roa2(M87,[1]!s_fa_latelyrd_bt(M87,V87)))</f>
        <v/>
      </c>
      <c r="AF87" s="23" t="str">
        <f>IF(M87="","",[1]!hks_fa_roe(M87,[1]!s_fa_latelyrd_bt(M87,V87)))</f>
        <v/>
      </c>
      <c r="AG87" s="23" t="str">
        <f>IF(M87="","",[1]!s_share_total(M87,V87,100000000))</f>
        <v/>
      </c>
      <c r="AH87" s="23" t="str">
        <f>IF(M87="","",[1]!hks_share_total(M87,V87,100000000))</f>
        <v/>
      </c>
      <c r="AI87" s="23" t="str">
        <f>IF(M87="","",[1]!hks_share_totala(M87,V87,100000000))</f>
        <v/>
      </c>
      <c r="AJ87" s="23" t="str">
        <f>IF(M87="","",[1]!hks_share_totalb(M87,V87,100000000))</f>
        <v/>
      </c>
      <c r="AK87" s="23" t="str">
        <f>IF(M87="","",[1]!hks_share_h(M87,V87,100000000))</f>
        <v/>
      </c>
      <c r="AL87" s="23" t="str">
        <f>IF(M87="","",[1]!hks_share_oversea(M87,V87,100000000))</f>
        <v/>
      </c>
      <c r="AM87" s="23" t="str">
        <f>IF(M87="","",[1]!hks_holder_name(M87,V87,1))</f>
        <v/>
      </c>
      <c r="AN87" s="23" t="str">
        <f>IF(M87="","",[1]!hks_holder_quantity(M87,V87,1,10000))</f>
        <v/>
      </c>
      <c r="AO87" s="23" t="str">
        <f>IF(M87="","",[1]!hks_holder_pct(M87,V87,1))</f>
        <v/>
      </c>
      <c r="AP87" s="23" t="str">
        <f>IF(M87="","",[1]!s_esg_rating_wind(M87,V87))</f>
        <v/>
      </c>
      <c r="AQ87" s="23" t="str">
        <f>IF(M87="","",[1]!s_esg_score_wind(M87,V87))</f>
        <v/>
      </c>
      <c r="AR87" s="6"/>
    </row>
    <row r="88" spans="3:44" s="2" customFormat="1" x14ac:dyDescent="0.2">
      <c r="C88" s="30"/>
      <c r="D88" s="30"/>
      <c r="E88" s="30"/>
      <c r="F88" s="30"/>
      <c r="G88" s="30"/>
      <c r="H88" s="30"/>
      <c r="I88" s="30"/>
      <c r="L88" s="6"/>
      <c r="M88" s="29"/>
      <c r="N88" s="19" t="str">
        <f>IF(M88="","",[1]!hks_info_name(M88))</f>
        <v/>
      </c>
      <c r="O88" s="18" t="str">
        <f>IF(M88="","",[1]!s_ipo_listeddate(M88))</f>
        <v/>
      </c>
      <c r="P88" s="19" t="str">
        <f>IF(M88="","",[1]!s_info_exchmarket(M88))</f>
        <v/>
      </c>
      <c r="Q88" s="19" t="str">
        <f>IF(M88="","",[1]!s_info_mkt(M88))</f>
        <v/>
      </c>
      <c r="R88" s="19" t="str">
        <f>IF(M88="","",[1]!hks_info_isincode(M88))</f>
        <v/>
      </c>
      <c r="S88" s="19" t="str">
        <f>IF(M88="","",[1]!s_info_province(M88))</f>
        <v/>
      </c>
      <c r="T88" s="19" t="str">
        <f>IF(M88="","",[1]!s_info_city(M88))</f>
        <v/>
      </c>
      <c r="U88" s="19" t="str">
        <f>IF(M88="","",[1]!s_info_industry_gics(M88,9))</f>
        <v/>
      </c>
      <c r="V88" s="21" t="str">
        <f>IF(M88="","",[1]!lastradeday_s(M88,$D$7))</f>
        <v/>
      </c>
      <c r="W88" s="23" t="str">
        <f>IF(M88="","",[1]!s_dq_close(M88,V88,3))</f>
        <v/>
      </c>
      <c r="X88" s="25" t="str">
        <f>IF(M88="","",[1]!s_dq_pctchange(M88,V88))</f>
        <v/>
      </c>
      <c r="Y88" s="23" t="str">
        <f>IF(M88="","",[1]!hks_val_ev(M88,V88,"",100000000))</f>
        <v/>
      </c>
      <c r="Z88" s="23" t="str">
        <f>IF(M88="","",[1]!hks_val_mv_ard(M88,V88,"",100000000))</f>
        <v/>
      </c>
      <c r="AA88" s="23" t="str">
        <f>IF(M88="","",[1]!hks_fa_eps_basic(M88,[1]!s_fa_latelyrd_bt(M88,V88),""))</f>
        <v/>
      </c>
      <c r="AB88" s="23" t="str">
        <f>IF(M88="","",[1]!hks_val_pe_ttm(M88,V88))</f>
        <v/>
      </c>
      <c r="AC88" s="23" t="str">
        <f>IF(M88="","",[1]!pb_mrq(M88,V88))</f>
        <v/>
      </c>
      <c r="AD88" s="23" t="str">
        <f>IF(M88="","",[1]!s_val_evtoebitda2(M88,V88))</f>
        <v/>
      </c>
      <c r="AE88" s="23" t="str">
        <f>IF(M88="","",[1]!hks_fa_roa2(M88,[1]!s_fa_latelyrd_bt(M88,V88)))</f>
        <v/>
      </c>
      <c r="AF88" s="23" t="str">
        <f>IF(M88="","",[1]!hks_fa_roe(M88,[1]!s_fa_latelyrd_bt(M88,V88)))</f>
        <v/>
      </c>
      <c r="AG88" s="23" t="str">
        <f>IF(M88="","",[1]!s_share_total(M88,V88,100000000))</f>
        <v/>
      </c>
      <c r="AH88" s="23" t="str">
        <f>IF(M88="","",[1]!hks_share_total(M88,V88,100000000))</f>
        <v/>
      </c>
      <c r="AI88" s="23" t="str">
        <f>IF(M88="","",[1]!hks_share_totala(M88,V88,100000000))</f>
        <v/>
      </c>
      <c r="AJ88" s="23" t="str">
        <f>IF(M88="","",[1]!hks_share_totalb(M88,V88,100000000))</f>
        <v/>
      </c>
      <c r="AK88" s="23" t="str">
        <f>IF(M88="","",[1]!hks_share_h(M88,V88,100000000))</f>
        <v/>
      </c>
      <c r="AL88" s="23" t="str">
        <f>IF(M88="","",[1]!hks_share_oversea(M88,V88,100000000))</f>
        <v/>
      </c>
      <c r="AM88" s="23" t="str">
        <f>IF(M88="","",[1]!hks_holder_name(M88,V88,1))</f>
        <v/>
      </c>
      <c r="AN88" s="23" t="str">
        <f>IF(M88="","",[1]!hks_holder_quantity(M88,V88,1,10000))</f>
        <v/>
      </c>
      <c r="AO88" s="23" t="str">
        <f>IF(M88="","",[1]!hks_holder_pct(M88,V88,1))</f>
        <v/>
      </c>
      <c r="AP88" s="23" t="str">
        <f>IF(M88="","",[1]!s_esg_rating_wind(M88,V88))</f>
        <v/>
      </c>
      <c r="AQ88" s="23" t="str">
        <f>IF(M88="","",[1]!s_esg_score_wind(M88,V88))</f>
        <v/>
      </c>
      <c r="AR88" s="6"/>
    </row>
    <row r="89" spans="3:44" s="2" customFormat="1" x14ac:dyDescent="0.2">
      <c r="C89" s="30"/>
      <c r="D89" s="30"/>
      <c r="E89" s="30"/>
      <c r="F89" s="30"/>
      <c r="G89" s="30"/>
      <c r="H89" s="30"/>
      <c r="I89" s="30"/>
      <c r="L89" s="6"/>
      <c r="M89" s="29"/>
      <c r="N89" s="19" t="str">
        <f>IF(M89="","",[1]!hks_info_name(M89))</f>
        <v/>
      </c>
      <c r="O89" s="18" t="str">
        <f>IF(M89="","",[1]!s_ipo_listeddate(M89))</f>
        <v/>
      </c>
      <c r="P89" s="19" t="str">
        <f>IF(M89="","",[1]!s_info_exchmarket(M89))</f>
        <v/>
      </c>
      <c r="Q89" s="19" t="str">
        <f>IF(M89="","",[1]!s_info_mkt(M89))</f>
        <v/>
      </c>
      <c r="R89" s="19" t="str">
        <f>IF(M89="","",[1]!hks_info_isincode(M89))</f>
        <v/>
      </c>
      <c r="S89" s="19" t="str">
        <f>IF(M89="","",[1]!s_info_province(M89))</f>
        <v/>
      </c>
      <c r="T89" s="19" t="str">
        <f>IF(M89="","",[1]!s_info_city(M89))</f>
        <v/>
      </c>
      <c r="U89" s="19" t="str">
        <f>IF(M89="","",[1]!s_info_industry_gics(M89,9))</f>
        <v/>
      </c>
      <c r="V89" s="21" t="str">
        <f>IF(M89="","",[1]!lastradeday_s(M89,$D$7))</f>
        <v/>
      </c>
      <c r="W89" s="23" t="str">
        <f>IF(M89="","",[1]!s_dq_close(M89,V89,3))</f>
        <v/>
      </c>
      <c r="X89" s="25" t="str">
        <f>IF(M89="","",[1]!s_dq_pctchange(M89,V89))</f>
        <v/>
      </c>
      <c r="Y89" s="23" t="str">
        <f>IF(M89="","",[1]!hks_val_ev(M89,V89,"",100000000))</f>
        <v/>
      </c>
      <c r="Z89" s="23" t="str">
        <f>IF(M89="","",[1]!hks_val_mv_ard(M89,V89,"",100000000))</f>
        <v/>
      </c>
      <c r="AA89" s="23" t="str">
        <f>IF(M89="","",[1]!hks_fa_eps_basic(M89,[1]!s_fa_latelyrd_bt(M89,V89),""))</f>
        <v/>
      </c>
      <c r="AB89" s="23" t="str">
        <f>IF(M89="","",[1]!hks_val_pe_ttm(M89,V89))</f>
        <v/>
      </c>
      <c r="AC89" s="23" t="str">
        <f>IF(M89="","",[1]!pb_mrq(M89,V89))</f>
        <v/>
      </c>
      <c r="AD89" s="23" t="str">
        <f>IF(M89="","",[1]!s_val_evtoebitda2(M89,V89))</f>
        <v/>
      </c>
      <c r="AE89" s="23" t="str">
        <f>IF(M89="","",[1]!hks_fa_roa2(M89,[1]!s_fa_latelyrd_bt(M89,V89)))</f>
        <v/>
      </c>
      <c r="AF89" s="23" t="str">
        <f>IF(M89="","",[1]!hks_fa_roe(M89,[1]!s_fa_latelyrd_bt(M89,V89)))</f>
        <v/>
      </c>
      <c r="AG89" s="23" t="str">
        <f>IF(M89="","",[1]!s_share_total(M89,V89,100000000))</f>
        <v/>
      </c>
      <c r="AH89" s="23" t="str">
        <f>IF(M89="","",[1]!hks_share_total(M89,V89,100000000))</f>
        <v/>
      </c>
      <c r="AI89" s="23" t="str">
        <f>IF(M89="","",[1]!hks_share_totala(M89,V89,100000000))</f>
        <v/>
      </c>
      <c r="AJ89" s="23" t="str">
        <f>IF(M89="","",[1]!hks_share_totalb(M89,V89,100000000))</f>
        <v/>
      </c>
      <c r="AK89" s="23" t="str">
        <f>IF(M89="","",[1]!hks_share_h(M89,V89,100000000))</f>
        <v/>
      </c>
      <c r="AL89" s="23" t="str">
        <f>IF(M89="","",[1]!hks_share_oversea(M89,V89,100000000))</f>
        <v/>
      </c>
      <c r="AM89" s="23" t="str">
        <f>IF(M89="","",[1]!hks_holder_name(M89,V89,1))</f>
        <v/>
      </c>
      <c r="AN89" s="23" t="str">
        <f>IF(M89="","",[1]!hks_holder_quantity(M89,V89,1,10000))</f>
        <v/>
      </c>
      <c r="AO89" s="23" t="str">
        <f>IF(M89="","",[1]!hks_holder_pct(M89,V89,1))</f>
        <v/>
      </c>
      <c r="AP89" s="23" t="str">
        <f>IF(M89="","",[1]!s_esg_rating_wind(M89,V89))</f>
        <v/>
      </c>
      <c r="AQ89" s="23" t="str">
        <f>IF(M89="","",[1]!s_esg_score_wind(M89,V89))</f>
        <v/>
      </c>
      <c r="AR89" s="6"/>
    </row>
    <row r="90" spans="3:44" s="2" customFormat="1" x14ac:dyDescent="0.2">
      <c r="C90" s="30"/>
      <c r="D90" s="30"/>
      <c r="E90" s="30"/>
      <c r="F90" s="30"/>
      <c r="G90" s="30"/>
      <c r="H90" s="30"/>
      <c r="I90" s="30"/>
      <c r="L90" s="6"/>
      <c r="M90" s="29"/>
      <c r="N90" s="19" t="str">
        <f>IF(M90="","",[1]!hks_info_name(M90))</f>
        <v/>
      </c>
      <c r="O90" s="18" t="str">
        <f>IF(M90="","",[1]!s_ipo_listeddate(M90))</f>
        <v/>
      </c>
      <c r="P90" s="19" t="str">
        <f>IF(M90="","",[1]!s_info_exchmarket(M90))</f>
        <v/>
      </c>
      <c r="Q90" s="19" t="str">
        <f>IF(M90="","",[1]!s_info_mkt(M90))</f>
        <v/>
      </c>
      <c r="R90" s="19" t="str">
        <f>IF(M90="","",[1]!hks_info_isincode(M90))</f>
        <v/>
      </c>
      <c r="S90" s="19" t="str">
        <f>IF(M90="","",[1]!s_info_province(M90))</f>
        <v/>
      </c>
      <c r="T90" s="19" t="str">
        <f>IF(M90="","",[1]!s_info_city(M90))</f>
        <v/>
      </c>
      <c r="U90" s="19" t="str">
        <f>IF(M90="","",[1]!s_info_industry_gics(M90,9))</f>
        <v/>
      </c>
      <c r="V90" s="21" t="str">
        <f>IF(M90="","",[1]!lastradeday_s(M90,$D$7))</f>
        <v/>
      </c>
      <c r="W90" s="23" t="str">
        <f>IF(M90="","",[1]!s_dq_close(M90,V90,3))</f>
        <v/>
      </c>
      <c r="X90" s="25" t="str">
        <f>IF(M90="","",[1]!s_dq_pctchange(M90,V90))</f>
        <v/>
      </c>
      <c r="Y90" s="23" t="str">
        <f>IF(M90="","",[1]!hks_val_ev(M90,V90,"",100000000))</f>
        <v/>
      </c>
      <c r="Z90" s="23" t="str">
        <f>IF(M90="","",[1]!hks_val_mv_ard(M90,V90,"",100000000))</f>
        <v/>
      </c>
      <c r="AA90" s="23" t="str">
        <f>IF(M90="","",[1]!hks_fa_eps_basic(M90,[1]!s_fa_latelyrd_bt(M90,V90),""))</f>
        <v/>
      </c>
      <c r="AB90" s="23" t="str">
        <f>IF(M90="","",[1]!hks_val_pe_ttm(M90,V90))</f>
        <v/>
      </c>
      <c r="AC90" s="23" t="str">
        <f>IF(M90="","",[1]!pb_mrq(M90,V90))</f>
        <v/>
      </c>
      <c r="AD90" s="23" t="str">
        <f>IF(M90="","",[1]!s_val_evtoebitda2(M90,V90))</f>
        <v/>
      </c>
      <c r="AE90" s="23" t="str">
        <f>IF(M90="","",[1]!hks_fa_roa2(M90,[1]!s_fa_latelyrd_bt(M90,V90)))</f>
        <v/>
      </c>
      <c r="AF90" s="23" t="str">
        <f>IF(M90="","",[1]!hks_fa_roe(M90,[1]!s_fa_latelyrd_bt(M90,V90)))</f>
        <v/>
      </c>
      <c r="AG90" s="23" t="str">
        <f>IF(M90="","",[1]!s_share_total(M90,V90,100000000))</f>
        <v/>
      </c>
      <c r="AH90" s="23" t="str">
        <f>IF(M90="","",[1]!hks_share_total(M90,V90,100000000))</f>
        <v/>
      </c>
      <c r="AI90" s="23" t="str">
        <f>IF(M90="","",[1]!hks_share_totala(M90,V90,100000000))</f>
        <v/>
      </c>
      <c r="AJ90" s="23" t="str">
        <f>IF(M90="","",[1]!hks_share_totalb(M90,V90,100000000))</f>
        <v/>
      </c>
      <c r="AK90" s="23" t="str">
        <f>IF(M90="","",[1]!hks_share_h(M90,V90,100000000))</f>
        <v/>
      </c>
      <c r="AL90" s="23" t="str">
        <f>IF(M90="","",[1]!hks_share_oversea(M90,V90,100000000))</f>
        <v/>
      </c>
      <c r="AM90" s="23" t="str">
        <f>IF(M90="","",[1]!hks_holder_name(M90,V90,1))</f>
        <v/>
      </c>
      <c r="AN90" s="23" t="str">
        <f>IF(M90="","",[1]!hks_holder_quantity(M90,V90,1,10000))</f>
        <v/>
      </c>
      <c r="AO90" s="23" t="str">
        <f>IF(M90="","",[1]!hks_holder_pct(M90,V90,1))</f>
        <v/>
      </c>
      <c r="AP90" s="23" t="str">
        <f>IF(M90="","",[1]!s_esg_rating_wind(M90,V90))</f>
        <v/>
      </c>
      <c r="AQ90" s="23" t="str">
        <f>IF(M90="","",[1]!s_esg_score_wind(M90,V90))</f>
        <v/>
      </c>
      <c r="AR90" s="6"/>
    </row>
    <row r="91" spans="3:44" s="2" customFormat="1" x14ac:dyDescent="0.2">
      <c r="C91" s="30"/>
      <c r="D91" s="30"/>
      <c r="E91" s="30"/>
      <c r="F91" s="30"/>
      <c r="G91" s="30"/>
      <c r="H91" s="30"/>
      <c r="I91" s="30"/>
      <c r="L91" s="6"/>
      <c r="M91" s="29"/>
      <c r="N91" s="19" t="str">
        <f>IF(M91="","",[1]!hks_info_name(M91))</f>
        <v/>
      </c>
      <c r="O91" s="18" t="str">
        <f>IF(M91="","",[1]!s_ipo_listeddate(M91))</f>
        <v/>
      </c>
      <c r="P91" s="19" t="str">
        <f>IF(M91="","",[1]!s_info_exchmarket(M91))</f>
        <v/>
      </c>
      <c r="Q91" s="19" t="str">
        <f>IF(M91="","",[1]!s_info_mkt(M91))</f>
        <v/>
      </c>
      <c r="R91" s="19" t="str">
        <f>IF(M91="","",[1]!hks_info_isincode(M91))</f>
        <v/>
      </c>
      <c r="S91" s="19" t="str">
        <f>IF(M91="","",[1]!s_info_province(M91))</f>
        <v/>
      </c>
      <c r="T91" s="19" t="str">
        <f>IF(M91="","",[1]!s_info_city(M91))</f>
        <v/>
      </c>
      <c r="U91" s="19" t="str">
        <f>IF(M91="","",[1]!s_info_industry_gics(M91,9))</f>
        <v/>
      </c>
      <c r="V91" s="21" t="str">
        <f>IF(M91="","",[1]!lastradeday_s(M91,$D$7))</f>
        <v/>
      </c>
      <c r="W91" s="23" t="str">
        <f>IF(M91="","",[1]!s_dq_close(M91,V91,3))</f>
        <v/>
      </c>
      <c r="X91" s="25" t="str">
        <f>IF(M91="","",[1]!s_dq_pctchange(M91,V91))</f>
        <v/>
      </c>
      <c r="Y91" s="23" t="str">
        <f>IF(M91="","",[1]!hks_val_ev(M91,V91,"",100000000))</f>
        <v/>
      </c>
      <c r="Z91" s="23" t="str">
        <f>IF(M91="","",[1]!hks_val_mv_ard(M91,V91,"",100000000))</f>
        <v/>
      </c>
      <c r="AA91" s="23" t="str">
        <f>IF(M91="","",[1]!hks_fa_eps_basic(M91,[1]!s_fa_latelyrd_bt(M91,V91),""))</f>
        <v/>
      </c>
      <c r="AB91" s="23" t="str">
        <f>IF(M91="","",[1]!hks_val_pe_ttm(M91,V91))</f>
        <v/>
      </c>
      <c r="AC91" s="23" t="str">
        <f>IF(M91="","",[1]!pb_mrq(M91,V91))</f>
        <v/>
      </c>
      <c r="AD91" s="23" t="str">
        <f>IF(M91="","",[1]!s_val_evtoebitda2(M91,V91))</f>
        <v/>
      </c>
      <c r="AE91" s="23" t="str">
        <f>IF(M91="","",[1]!hks_fa_roa2(M91,[1]!s_fa_latelyrd_bt(M91,V91)))</f>
        <v/>
      </c>
      <c r="AF91" s="23" t="str">
        <f>IF(M91="","",[1]!hks_fa_roe(M91,[1]!s_fa_latelyrd_bt(M91,V91)))</f>
        <v/>
      </c>
      <c r="AG91" s="23" t="str">
        <f>IF(M91="","",[1]!s_share_total(M91,V91,100000000))</f>
        <v/>
      </c>
      <c r="AH91" s="23" t="str">
        <f>IF(M91="","",[1]!hks_share_total(M91,V91,100000000))</f>
        <v/>
      </c>
      <c r="AI91" s="23" t="str">
        <f>IF(M91="","",[1]!hks_share_totala(M91,V91,100000000))</f>
        <v/>
      </c>
      <c r="AJ91" s="23" t="str">
        <f>IF(M91="","",[1]!hks_share_totalb(M91,V91,100000000))</f>
        <v/>
      </c>
      <c r="AK91" s="23" t="str">
        <f>IF(M91="","",[1]!hks_share_h(M91,V91,100000000))</f>
        <v/>
      </c>
      <c r="AL91" s="23" t="str">
        <f>IF(M91="","",[1]!hks_share_oversea(M91,V91,100000000))</f>
        <v/>
      </c>
      <c r="AM91" s="23" t="str">
        <f>IF(M91="","",[1]!hks_holder_name(M91,V91,1))</f>
        <v/>
      </c>
      <c r="AN91" s="23" t="str">
        <f>IF(M91="","",[1]!hks_holder_quantity(M91,V91,1,10000))</f>
        <v/>
      </c>
      <c r="AO91" s="23" t="str">
        <f>IF(M91="","",[1]!hks_holder_pct(M91,V91,1))</f>
        <v/>
      </c>
      <c r="AP91" s="23" t="str">
        <f>IF(M91="","",[1]!s_esg_rating_wind(M91,V91))</f>
        <v/>
      </c>
      <c r="AQ91" s="23" t="str">
        <f>IF(M91="","",[1]!s_esg_score_wind(M91,V91))</f>
        <v/>
      </c>
      <c r="AR91" s="6"/>
    </row>
    <row r="92" spans="3:44" s="2" customFormat="1" x14ac:dyDescent="0.2">
      <c r="C92" s="30"/>
      <c r="D92" s="30"/>
      <c r="E92" s="30"/>
      <c r="F92" s="30"/>
      <c r="G92" s="30"/>
      <c r="H92" s="30"/>
      <c r="I92" s="30"/>
      <c r="L92" s="6"/>
      <c r="M92" s="29"/>
      <c r="N92" s="19" t="str">
        <f>IF(M92="","",[1]!hks_info_name(M92))</f>
        <v/>
      </c>
      <c r="O92" s="18" t="str">
        <f>IF(M92="","",[1]!s_ipo_listeddate(M92))</f>
        <v/>
      </c>
      <c r="P92" s="19" t="str">
        <f>IF(M92="","",[1]!s_info_exchmarket(M92))</f>
        <v/>
      </c>
      <c r="Q92" s="19" t="str">
        <f>IF(M92="","",[1]!s_info_mkt(M92))</f>
        <v/>
      </c>
      <c r="R92" s="19" t="str">
        <f>IF(M92="","",[1]!hks_info_isincode(M92))</f>
        <v/>
      </c>
      <c r="S92" s="19" t="str">
        <f>IF(M92="","",[1]!s_info_province(M92))</f>
        <v/>
      </c>
      <c r="T92" s="19" t="str">
        <f>IF(M92="","",[1]!s_info_city(M92))</f>
        <v/>
      </c>
      <c r="U92" s="19" t="str">
        <f>IF(M92="","",[1]!s_info_industry_gics(M92,9))</f>
        <v/>
      </c>
      <c r="V92" s="21" t="str">
        <f>IF(M92="","",[1]!lastradeday_s(M92,$D$7))</f>
        <v/>
      </c>
      <c r="W92" s="23" t="str">
        <f>IF(M92="","",[1]!s_dq_close(M92,V92,3))</f>
        <v/>
      </c>
      <c r="X92" s="25" t="str">
        <f>IF(M92="","",[1]!s_dq_pctchange(M92,V92))</f>
        <v/>
      </c>
      <c r="Y92" s="23" t="str">
        <f>IF(M92="","",[1]!hks_val_ev(M92,V92,"",100000000))</f>
        <v/>
      </c>
      <c r="Z92" s="23" t="str">
        <f>IF(M92="","",[1]!hks_val_mv_ard(M92,V92,"",100000000))</f>
        <v/>
      </c>
      <c r="AA92" s="23" t="str">
        <f>IF(M92="","",[1]!hks_fa_eps_basic(M92,[1]!s_fa_latelyrd_bt(M92,V92),""))</f>
        <v/>
      </c>
      <c r="AB92" s="23" t="str">
        <f>IF(M92="","",[1]!hks_val_pe_ttm(M92,V92))</f>
        <v/>
      </c>
      <c r="AC92" s="23" t="str">
        <f>IF(M92="","",[1]!pb_mrq(M92,V92))</f>
        <v/>
      </c>
      <c r="AD92" s="23" t="str">
        <f>IF(M92="","",[1]!s_val_evtoebitda2(M92,V92))</f>
        <v/>
      </c>
      <c r="AE92" s="23" t="str">
        <f>IF(M92="","",[1]!hks_fa_roa2(M92,[1]!s_fa_latelyrd_bt(M92,V92)))</f>
        <v/>
      </c>
      <c r="AF92" s="23" t="str">
        <f>IF(M92="","",[1]!hks_fa_roe(M92,[1]!s_fa_latelyrd_bt(M92,V92)))</f>
        <v/>
      </c>
      <c r="AG92" s="23" t="str">
        <f>IF(M92="","",[1]!s_share_total(M92,V92,100000000))</f>
        <v/>
      </c>
      <c r="AH92" s="23" t="str">
        <f>IF(M92="","",[1]!hks_share_total(M92,V92,100000000))</f>
        <v/>
      </c>
      <c r="AI92" s="23" t="str">
        <f>IF(M92="","",[1]!hks_share_totala(M92,V92,100000000))</f>
        <v/>
      </c>
      <c r="AJ92" s="23" t="str">
        <f>IF(M92="","",[1]!hks_share_totalb(M92,V92,100000000))</f>
        <v/>
      </c>
      <c r="AK92" s="23" t="str">
        <f>IF(M92="","",[1]!hks_share_h(M92,V92,100000000))</f>
        <v/>
      </c>
      <c r="AL92" s="23" t="str">
        <f>IF(M92="","",[1]!hks_share_oversea(M92,V92,100000000))</f>
        <v/>
      </c>
      <c r="AM92" s="23" t="str">
        <f>IF(M92="","",[1]!hks_holder_name(M92,V92,1))</f>
        <v/>
      </c>
      <c r="AN92" s="23" t="str">
        <f>IF(M92="","",[1]!hks_holder_quantity(M92,V92,1,10000))</f>
        <v/>
      </c>
      <c r="AO92" s="23" t="str">
        <f>IF(M92="","",[1]!hks_holder_pct(M92,V92,1))</f>
        <v/>
      </c>
      <c r="AP92" s="23" t="str">
        <f>IF(M92="","",[1]!s_esg_rating_wind(M92,V92))</f>
        <v/>
      </c>
      <c r="AQ92" s="23" t="str">
        <f>IF(M92="","",[1]!s_esg_score_wind(M92,V92))</f>
        <v/>
      </c>
      <c r="AR92" s="6"/>
    </row>
    <row r="93" spans="3:44" s="2" customFormat="1" x14ac:dyDescent="0.2">
      <c r="C93" s="30"/>
      <c r="D93" s="30"/>
      <c r="E93" s="30"/>
      <c r="F93" s="30"/>
      <c r="G93" s="30"/>
      <c r="H93" s="30"/>
      <c r="I93" s="30"/>
      <c r="L93" s="6"/>
      <c r="M93" s="29"/>
      <c r="N93" s="19" t="str">
        <f>IF(M93="","",[1]!hks_info_name(M93))</f>
        <v/>
      </c>
      <c r="O93" s="18" t="str">
        <f>IF(M93="","",[1]!s_ipo_listeddate(M93))</f>
        <v/>
      </c>
      <c r="P93" s="19" t="str">
        <f>IF(M93="","",[1]!s_info_exchmarket(M93))</f>
        <v/>
      </c>
      <c r="Q93" s="19" t="str">
        <f>IF(M93="","",[1]!s_info_mkt(M93))</f>
        <v/>
      </c>
      <c r="R93" s="19" t="str">
        <f>IF(M93="","",[1]!hks_info_isincode(M93))</f>
        <v/>
      </c>
      <c r="S93" s="19" t="str">
        <f>IF(M93="","",[1]!s_info_province(M93))</f>
        <v/>
      </c>
      <c r="T93" s="19" t="str">
        <f>IF(M93="","",[1]!s_info_city(M93))</f>
        <v/>
      </c>
      <c r="U93" s="19" t="str">
        <f>IF(M93="","",[1]!s_info_industry_gics(M93,9))</f>
        <v/>
      </c>
      <c r="V93" s="21" t="str">
        <f>IF(M93="","",[1]!lastradeday_s(M93,$D$7))</f>
        <v/>
      </c>
      <c r="W93" s="23" t="str">
        <f>IF(M93="","",[1]!s_dq_close(M93,V93,3))</f>
        <v/>
      </c>
      <c r="X93" s="25" t="str">
        <f>IF(M93="","",[1]!s_dq_pctchange(M93,V93))</f>
        <v/>
      </c>
      <c r="Y93" s="23" t="str">
        <f>IF(M93="","",[1]!hks_val_ev(M93,V93,"",100000000))</f>
        <v/>
      </c>
      <c r="Z93" s="23" t="str">
        <f>IF(M93="","",[1]!hks_val_mv_ard(M93,V93,"",100000000))</f>
        <v/>
      </c>
      <c r="AA93" s="23" t="str">
        <f>IF(M93="","",[1]!hks_fa_eps_basic(M93,[1]!s_fa_latelyrd_bt(M93,V93),""))</f>
        <v/>
      </c>
      <c r="AB93" s="23" t="str">
        <f>IF(M93="","",[1]!hks_val_pe_ttm(M93,V93))</f>
        <v/>
      </c>
      <c r="AC93" s="23" t="str">
        <f>IF(M93="","",[1]!pb_mrq(M93,V93))</f>
        <v/>
      </c>
      <c r="AD93" s="23" t="str">
        <f>IF(M93="","",[1]!s_val_evtoebitda2(M93,V93))</f>
        <v/>
      </c>
      <c r="AE93" s="23" t="str">
        <f>IF(M93="","",[1]!hks_fa_roa2(M93,[1]!s_fa_latelyrd_bt(M93,V93)))</f>
        <v/>
      </c>
      <c r="AF93" s="23" t="str">
        <f>IF(M93="","",[1]!hks_fa_roe(M93,[1]!s_fa_latelyrd_bt(M93,V93)))</f>
        <v/>
      </c>
      <c r="AG93" s="23" t="str">
        <f>IF(M93="","",[1]!s_share_total(M93,V93,100000000))</f>
        <v/>
      </c>
      <c r="AH93" s="23" t="str">
        <f>IF(M93="","",[1]!hks_share_total(M93,V93,100000000))</f>
        <v/>
      </c>
      <c r="AI93" s="23" t="str">
        <f>IF(M93="","",[1]!hks_share_totala(M93,V93,100000000))</f>
        <v/>
      </c>
      <c r="AJ93" s="23" t="str">
        <f>IF(M93="","",[1]!hks_share_totalb(M93,V93,100000000))</f>
        <v/>
      </c>
      <c r="AK93" s="23" t="str">
        <f>IF(M93="","",[1]!hks_share_h(M93,V93,100000000))</f>
        <v/>
      </c>
      <c r="AL93" s="23" t="str">
        <f>IF(M93="","",[1]!hks_share_oversea(M93,V93,100000000))</f>
        <v/>
      </c>
      <c r="AM93" s="23" t="str">
        <f>IF(M93="","",[1]!hks_holder_name(M93,V93,1))</f>
        <v/>
      </c>
      <c r="AN93" s="23" t="str">
        <f>IF(M93="","",[1]!hks_holder_quantity(M93,V93,1,10000))</f>
        <v/>
      </c>
      <c r="AO93" s="23" t="str">
        <f>IF(M93="","",[1]!hks_holder_pct(M93,V93,1))</f>
        <v/>
      </c>
      <c r="AP93" s="23" t="str">
        <f>IF(M93="","",[1]!s_esg_rating_wind(M93,V93))</f>
        <v/>
      </c>
      <c r="AQ93" s="23" t="str">
        <f>IF(M93="","",[1]!s_esg_score_wind(M93,V93))</f>
        <v/>
      </c>
      <c r="AR93" s="6"/>
    </row>
    <row r="94" spans="3:44" s="2" customFormat="1" x14ac:dyDescent="0.2">
      <c r="C94" s="30"/>
      <c r="D94" s="30"/>
      <c r="E94" s="30"/>
      <c r="F94" s="30"/>
      <c r="G94" s="30"/>
      <c r="H94" s="30"/>
      <c r="I94" s="30"/>
      <c r="L94" s="6"/>
      <c r="M94" s="29"/>
      <c r="N94" s="19" t="str">
        <f>IF(M94="","",[1]!hks_info_name(M94))</f>
        <v/>
      </c>
      <c r="O94" s="18" t="str">
        <f>IF(M94="","",[1]!s_ipo_listeddate(M94))</f>
        <v/>
      </c>
      <c r="P94" s="19" t="str">
        <f>IF(M94="","",[1]!s_info_exchmarket(M94))</f>
        <v/>
      </c>
      <c r="Q94" s="19" t="str">
        <f>IF(M94="","",[1]!s_info_mkt(M94))</f>
        <v/>
      </c>
      <c r="R94" s="19" t="str">
        <f>IF(M94="","",[1]!hks_info_isincode(M94))</f>
        <v/>
      </c>
      <c r="S94" s="19" t="str">
        <f>IF(M94="","",[1]!s_info_province(M94))</f>
        <v/>
      </c>
      <c r="T94" s="19" t="str">
        <f>IF(M94="","",[1]!s_info_city(M94))</f>
        <v/>
      </c>
      <c r="U94" s="19" t="str">
        <f>IF(M94="","",[1]!s_info_industry_gics(M94,9))</f>
        <v/>
      </c>
      <c r="V94" s="21" t="str">
        <f>IF(M94="","",[1]!lastradeday_s(M94,$D$7))</f>
        <v/>
      </c>
      <c r="W94" s="23" t="str">
        <f>IF(M94="","",[1]!s_dq_close(M94,V94,3))</f>
        <v/>
      </c>
      <c r="X94" s="25" t="str">
        <f>IF(M94="","",[1]!s_dq_pctchange(M94,V94))</f>
        <v/>
      </c>
      <c r="Y94" s="23" t="str">
        <f>IF(M94="","",[1]!hks_val_ev(M94,V94,"",100000000))</f>
        <v/>
      </c>
      <c r="Z94" s="23" t="str">
        <f>IF(M94="","",[1]!hks_val_mv_ard(M94,V94,"",100000000))</f>
        <v/>
      </c>
      <c r="AA94" s="23" t="str">
        <f>IF(M94="","",[1]!hks_fa_eps_basic(M94,[1]!s_fa_latelyrd_bt(M94,V94),""))</f>
        <v/>
      </c>
      <c r="AB94" s="23" t="str">
        <f>IF(M94="","",[1]!hks_val_pe_ttm(M94,V94))</f>
        <v/>
      </c>
      <c r="AC94" s="23" t="str">
        <f>IF(M94="","",[1]!pb_mrq(M94,V94))</f>
        <v/>
      </c>
      <c r="AD94" s="23" t="str">
        <f>IF(M94="","",[1]!s_val_evtoebitda2(M94,V94))</f>
        <v/>
      </c>
      <c r="AE94" s="23" t="str">
        <f>IF(M94="","",[1]!hks_fa_roa2(M94,[1]!s_fa_latelyrd_bt(M94,V94)))</f>
        <v/>
      </c>
      <c r="AF94" s="23" t="str">
        <f>IF(M94="","",[1]!hks_fa_roe(M94,[1]!s_fa_latelyrd_bt(M94,V94)))</f>
        <v/>
      </c>
      <c r="AG94" s="23" t="str">
        <f>IF(M94="","",[1]!s_share_total(M94,V94,100000000))</f>
        <v/>
      </c>
      <c r="AH94" s="23" t="str">
        <f>IF(M94="","",[1]!hks_share_total(M94,V94,100000000))</f>
        <v/>
      </c>
      <c r="AI94" s="23" t="str">
        <f>IF(M94="","",[1]!hks_share_totala(M94,V94,100000000))</f>
        <v/>
      </c>
      <c r="AJ94" s="23" t="str">
        <f>IF(M94="","",[1]!hks_share_totalb(M94,V94,100000000))</f>
        <v/>
      </c>
      <c r="AK94" s="23" t="str">
        <f>IF(M94="","",[1]!hks_share_h(M94,V94,100000000))</f>
        <v/>
      </c>
      <c r="AL94" s="23" t="str">
        <f>IF(M94="","",[1]!hks_share_oversea(M94,V94,100000000))</f>
        <v/>
      </c>
      <c r="AM94" s="23" t="str">
        <f>IF(M94="","",[1]!hks_holder_name(M94,V94,1))</f>
        <v/>
      </c>
      <c r="AN94" s="23" t="str">
        <f>IF(M94="","",[1]!hks_holder_quantity(M94,V94,1,10000))</f>
        <v/>
      </c>
      <c r="AO94" s="23" t="str">
        <f>IF(M94="","",[1]!hks_holder_pct(M94,V94,1))</f>
        <v/>
      </c>
      <c r="AP94" s="23" t="str">
        <f>IF(M94="","",[1]!s_esg_rating_wind(M94,V94))</f>
        <v/>
      </c>
      <c r="AQ94" s="23" t="str">
        <f>IF(M94="","",[1]!s_esg_score_wind(M94,V94))</f>
        <v/>
      </c>
      <c r="AR94" s="6"/>
    </row>
    <row r="95" spans="3:44" s="2" customFormat="1" x14ac:dyDescent="0.2">
      <c r="C95" s="30"/>
      <c r="D95" s="30"/>
      <c r="E95" s="30"/>
      <c r="F95" s="30"/>
      <c r="G95" s="30"/>
      <c r="H95" s="30"/>
      <c r="I95" s="30"/>
      <c r="L95" s="6"/>
      <c r="M95" s="29"/>
      <c r="N95" s="19" t="str">
        <f>IF(M95="","",[1]!hks_info_name(M95))</f>
        <v/>
      </c>
      <c r="O95" s="18" t="str">
        <f>IF(M95="","",[1]!s_ipo_listeddate(M95))</f>
        <v/>
      </c>
      <c r="P95" s="19" t="str">
        <f>IF(M95="","",[1]!s_info_exchmarket(M95))</f>
        <v/>
      </c>
      <c r="Q95" s="19" t="str">
        <f>IF(M95="","",[1]!s_info_mkt(M95))</f>
        <v/>
      </c>
      <c r="R95" s="19" t="str">
        <f>IF(M95="","",[1]!hks_info_isincode(M95))</f>
        <v/>
      </c>
      <c r="S95" s="19" t="str">
        <f>IF(M95="","",[1]!s_info_province(M95))</f>
        <v/>
      </c>
      <c r="T95" s="19" t="str">
        <f>IF(M95="","",[1]!s_info_city(M95))</f>
        <v/>
      </c>
      <c r="U95" s="19" t="str">
        <f>IF(M95="","",[1]!s_info_industry_gics(M95,9))</f>
        <v/>
      </c>
      <c r="V95" s="21" t="str">
        <f>IF(M95="","",[1]!lastradeday_s(M95,$D$7))</f>
        <v/>
      </c>
      <c r="W95" s="23" t="str">
        <f>IF(M95="","",[1]!s_dq_close(M95,V95,3))</f>
        <v/>
      </c>
      <c r="X95" s="25" t="str">
        <f>IF(M95="","",[1]!s_dq_pctchange(M95,V95))</f>
        <v/>
      </c>
      <c r="Y95" s="23" t="str">
        <f>IF(M95="","",[1]!hks_val_ev(M95,V95,"",100000000))</f>
        <v/>
      </c>
      <c r="Z95" s="23" t="str">
        <f>IF(M95="","",[1]!hks_val_mv_ard(M95,V95,"",100000000))</f>
        <v/>
      </c>
      <c r="AA95" s="23" t="str">
        <f>IF(M95="","",[1]!hks_fa_eps_basic(M95,[1]!s_fa_latelyrd_bt(M95,V95),""))</f>
        <v/>
      </c>
      <c r="AB95" s="23" t="str">
        <f>IF(M95="","",[1]!hks_val_pe_ttm(M95,V95))</f>
        <v/>
      </c>
      <c r="AC95" s="23" t="str">
        <f>IF(M95="","",[1]!pb_mrq(M95,V95))</f>
        <v/>
      </c>
      <c r="AD95" s="23" t="str">
        <f>IF(M95="","",[1]!s_val_evtoebitda2(M95,V95))</f>
        <v/>
      </c>
      <c r="AE95" s="23" t="str">
        <f>IF(M95="","",[1]!hks_fa_roa2(M95,[1]!s_fa_latelyrd_bt(M95,V95)))</f>
        <v/>
      </c>
      <c r="AF95" s="23" t="str">
        <f>IF(M95="","",[1]!hks_fa_roe(M95,[1]!s_fa_latelyrd_bt(M95,V95)))</f>
        <v/>
      </c>
      <c r="AG95" s="23" t="str">
        <f>IF(M95="","",[1]!s_share_total(M95,V95,100000000))</f>
        <v/>
      </c>
      <c r="AH95" s="23" t="str">
        <f>IF(M95="","",[1]!hks_share_total(M95,V95,100000000))</f>
        <v/>
      </c>
      <c r="AI95" s="23" t="str">
        <f>IF(M95="","",[1]!hks_share_totala(M95,V95,100000000))</f>
        <v/>
      </c>
      <c r="AJ95" s="23" t="str">
        <f>IF(M95="","",[1]!hks_share_totalb(M95,V95,100000000))</f>
        <v/>
      </c>
      <c r="AK95" s="23" t="str">
        <f>IF(M95="","",[1]!hks_share_h(M95,V95,100000000))</f>
        <v/>
      </c>
      <c r="AL95" s="23" t="str">
        <f>IF(M95="","",[1]!hks_share_oversea(M95,V95,100000000))</f>
        <v/>
      </c>
      <c r="AM95" s="23" t="str">
        <f>IF(M95="","",[1]!hks_holder_name(M95,V95,1))</f>
        <v/>
      </c>
      <c r="AN95" s="23" t="str">
        <f>IF(M95="","",[1]!hks_holder_quantity(M95,V95,1,10000))</f>
        <v/>
      </c>
      <c r="AO95" s="23" t="str">
        <f>IF(M95="","",[1]!hks_holder_pct(M95,V95,1))</f>
        <v/>
      </c>
      <c r="AP95" s="23" t="str">
        <f>IF(M95="","",[1]!s_esg_rating_wind(M95,V95))</f>
        <v/>
      </c>
      <c r="AQ95" s="23" t="str">
        <f>IF(M95="","",[1]!s_esg_score_wind(M95,V95))</f>
        <v/>
      </c>
      <c r="AR95" s="6"/>
    </row>
    <row r="96" spans="3:44" s="2" customFormat="1" x14ac:dyDescent="0.2">
      <c r="C96" s="30"/>
      <c r="D96" s="30"/>
      <c r="E96" s="30"/>
      <c r="F96" s="30"/>
      <c r="G96" s="30"/>
      <c r="H96" s="30"/>
      <c r="I96" s="30"/>
      <c r="L96" s="6"/>
      <c r="M96" s="29"/>
      <c r="N96" s="19" t="str">
        <f>IF(M96="","",[1]!hks_info_name(M96))</f>
        <v/>
      </c>
      <c r="O96" s="18" t="str">
        <f>IF(M96="","",[1]!s_ipo_listeddate(M96))</f>
        <v/>
      </c>
      <c r="P96" s="19" t="str">
        <f>IF(M96="","",[1]!s_info_exchmarket(M96))</f>
        <v/>
      </c>
      <c r="Q96" s="19" t="str">
        <f>IF(M96="","",[1]!s_info_mkt(M96))</f>
        <v/>
      </c>
      <c r="R96" s="19" t="str">
        <f>IF(M96="","",[1]!hks_info_isincode(M96))</f>
        <v/>
      </c>
      <c r="S96" s="19" t="str">
        <f>IF(M96="","",[1]!s_info_province(M96))</f>
        <v/>
      </c>
      <c r="T96" s="19" t="str">
        <f>IF(M96="","",[1]!s_info_city(M96))</f>
        <v/>
      </c>
      <c r="U96" s="19" t="str">
        <f>IF(M96="","",[1]!s_info_industry_gics(M96,9))</f>
        <v/>
      </c>
      <c r="V96" s="21" t="str">
        <f>IF(M96="","",[1]!lastradeday_s(M96,$D$7))</f>
        <v/>
      </c>
      <c r="W96" s="23" t="str">
        <f>IF(M96="","",[1]!s_dq_close(M96,V96,3))</f>
        <v/>
      </c>
      <c r="X96" s="25" t="str">
        <f>IF(M96="","",[1]!s_dq_pctchange(M96,V96))</f>
        <v/>
      </c>
      <c r="Y96" s="23" t="str">
        <f>IF(M96="","",[1]!hks_val_ev(M96,V96,"",100000000))</f>
        <v/>
      </c>
      <c r="Z96" s="23" t="str">
        <f>IF(M96="","",[1]!hks_val_mv_ard(M96,V96,"",100000000))</f>
        <v/>
      </c>
      <c r="AA96" s="23" t="str">
        <f>IF(M96="","",[1]!hks_fa_eps_basic(M96,[1]!s_fa_latelyrd_bt(M96,V96),""))</f>
        <v/>
      </c>
      <c r="AB96" s="23" t="str">
        <f>IF(M96="","",[1]!hks_val_pe_ttm(M96,V96))</f>
        <v/>
      </c>
      <c r="AC96" s="23" t="str">
        <f>IF(M96="","",[1]!pb_mrq(M96,V96))</f>
        <v/>
      </c>
      <c r="AD96" s="23" t="str">
        <f>IF(M96="","",[1]!s_val_evtoebitda2(M96,V96))</f>
        <v/>
      </c>
      <c r="AE96" s="23" t="str">
        <f>IF(M96="","",[1]!hks_fa_roa2(M96,[1]!s_fa_latelyrd_bt(M96,V96)))</f>
        <v/>
      </c>
      <c r="AF96" s="23" t="str">
        <f>IF(M96="","",[1]!hks_fa_roe(M96,[1]!s_fa_latelyrd_bt(M96,V96)))</f>
        <v/>
      </c>
      <c r="AG96" s="23" t="str">
        <f>IF(M96="","",[1]!s_share_total(M96,V96,100000000))</f>
        <v/>
      </c>
      <c r="AH96" s="23" t="str">
        <f>IF(M96="","",[1]!hks_share_total(M96,V96,100000000))</f>
        <v/>
      </c>
      <c r="AI96" s="23" t="str">
        <f>IF(M96="","",[1]!hks_share_totala(M96,V96,100000000))</f>
        <v/>
      </c>
      <c r="AJ96" s="23" t="str">
        <f>IF(M96="","",[1]!hks_share_totalb(M96,V96,100000000))</f>
        <v/>
      </c>
      <c r="AK96" s="23" t="str">
        <f>IF(M96="","",[1]!hks_share_h(M96,V96,100000000))</f>
        <v/>
      </c>
      <c r="AL96" s="23" t="str">
        <f>IF(M96="","",[1]!hks_share_oversea(M96,V96,100000000))</f>
        <v/>
      </c>
      <c r="AM96" s="23" t="str">
        <f>IF(M96="","",[1]!hks_holder_name(M96,V96,1))</f>
        <v/>
      </c>
      <c r="AN96" s="23" t="str">
        <f>IF(M96="","",[1]!hks_holder_quantity(M96,V96,1,10000))</f>
        <v/>
      </c>
      <c r="AO96" s="23" t="str">
        <f>IF(M96="","",[1]!hks_holder_pct(M96,V96,1))</f>
        <v/>
      </c>
      <c r="AP96" s="23" t="str">
        <f>IF(M96="","",[1]!s_esg_rating_wind(M96,V96))</f>
        <v/>
      </c>
      <c r="AQ96" s="23" t="str">
        <f>IF(M96="","",[1]!s_esg_score_wind(M96,V96))</f>
        <v/>
      </c>
      <c r="AR96" s="6"/>
    </row>
    <row r="97" spans="3:44" s="2" customFormat="1" x14ac:dyDescent="0.2">
      <c r="C97" s="30"/>
      <c r="D97" s="30"/>
      <c r="E97" s="30"/>
      <c r="F97" s="30"/>
      <c r="G97" s="30"/>
      <c r="H97" s="30"/>
      <c r="I97" s="30"/>
      <c r="L97" s="6"/>
      <c r="M97" s="29"/>
      <c r="N97" s="19" t="str">
        <f>IF(M97="","",[1]!hks_info_name(M97))</f>
        <v/>
      </c>
      <c r="O97" s="18" t="str">
        <f>IF(M97="","",[1]!s_ipo_listeddate(M97))</f>
        <v/>
      </c>
      <c r="P97" s="19" t="str">
        <f>IF(M97="","",[1]!s_info_exchmarket(M97))</f>
        <v/>
      </c>
      <c r="Q97" s="19" t="str">
        <f>IF(M97="","",[1]!s_info_mkt(M97))</f>
        <v/>
      </c>
      <c r="R97" s="19" t="str">
        <f>IF(M97="","",[1]!hks_info_isincode(M97))</f>
        <v/>
      </c>
      <c r="S97" s="19" t="str">
        <f>IF(M97="","",[1]!s_info_province(M97))</f>
        <v/>
      </c>
      <c r="T97" s="19" t="str">
        <f>IF(M97="","",[1]!s_info_city(M97))</f>
        <v/>
      </c>
      <c r="U97" s="19" t="str">
        <f>IF(M97="","",[1]!s_info_industry_gics(M97,9))</f>
        <v/>
      </c>
      <c r="V97" s="21" t="str">
        <f>IF(M97="","",[1]!lastradeday_s(M97,$D$7))</f>
        <v/>
      </c>
      <c r="W97" s="23" t="str">
        <f>IF(M97="","",[1]!s_dq_close(M97,V97,3))</f>
        <v/>
      </c>
      <c r="X97" s="25" t="str">
        <f>IF(M97="","",[1]!s_dq_pctchange(M97,V97))</f>
        <v/>
      </c>
      <c r="Y97" s="23" t="str">
        <f>IF(M97="","",[1]!hks_val_ev(M97,V97,"",100000000))</f>
        <v/>
      </c>
      <c r="Z97" s="23" t="str">
        <f>IF(M97="","",[1]!hks_val_mv_ard(M97,V97,"",100000000))</f>
        <v/>
      </c>
      <c r="AA97" s="23" t="str">
        <f>IF(M97="","",[1]!hks_fa_eps_basic(M97,[1]!s_fa_latelyrd_bt(M97,V97),""))</f>
        <v/>
      </c>
      <c r="AB97" s="23" t="str">
        <f>IF(M97="","",[1]!hks_val_pe_ttm(M97,V97))</f>
        <v/>
      </c>
      <c r="AC97" s="23" t="str">
        <f>IF(M97="","",[1]!pb_mrq(M97,V97))</f>
        <v/>
      </c>
      <c r="AD97" s="23" t="str">
        <f>IF(M97="","",[1]!s_val_evtoebitda2(M97,V97))</f>
        <v/>
      </c>
      <c r="AE97" s="23" t="str">
        <f>IF(M97="","",[1]!hks_fa_roa2(M97,[1]!s_fa_latelyrd_bt(M97,V97)))</f>
        <v/>
      </c>
      <c r="AF97" s="23" t="str">
        <f>IF(M97="","",[1]!hks_fa_roe(M97,[1]!s_fa_latelyrd_bt(M97,V97)))</f>
        <v/>
      </c>
      <c r="AG97" s="23" t="str">
        <f>IF(M97="","",[1]!s_share_total(M97,V97,100000000))</f>
        <v/>
      </c>
      <c r="AH97" s="23" t="str">
        <f>IF(M97="","",[1]!hks_share_total(M97,V97,100000000))</f>
        <v/>
      </c>
      <c r="AI97" s="23" t="str">
        <f>IF(M97="","",[1]!hks_share_totala(M97,V97,100000000))</f>
        <v/>
      </c>
      <c r="AJ97" s="23" t="str">
        <f>IF(M97="","",[1]!hks_share_totalb(M97,V97,100000000))</f>
        <v/>
      </c>
      <c r="AK97" s="23" t="str">
        <f>IF(M97="","",[1]!hks_share_h(M97,V97,100000000))</f>
        <v/>
      </c>
      <c r="AL97" s="23" t="str">
        <f>IF(M97="","",[1]!hks_share_oversea(M97,V97,100000000))</f>
        <v/>
      </c>
      <c r="AM97" s="23" t="str">
        <f>IF(M97="","",[1]!hks_holder_name(M97,V97,1))</f>
        <v/>
      </c>
      <c r="AN97" s="23" t="str">
        <f>IF(M97="","",[1]!hks_holder_quantity(M97,V97,1,10000))</f>
        <v/>
      </c>
      <c r="AO97" s="23" t="str">
        <f>IF(M97="","",[1]!hks_holder_pct(M97,V97,1))</f>
        <v/>
      </c>
      <c r="AP97" s="23" t="str">
        <f>IF(M97="","",[1]!s_esg_rating_wind(M97,V97))</f>
        <v/>
      </c>
      <c r="AQ97" s="23" t="str">
        <f>IF(M97="","",[1]!s_esg_score_wind(M97,V97))</f>
        <v/>
      </c>
      <c r="AR97" s="6"/>
    </row>
    <row r="98" spans="3:44" s="2" customFormat="1" x14ac:dyDescent="0.2">
      <c r="C98" s="30"/>
      <c r="D98" s="30"/>
      <c r="E98" s="30"/>
      <c r="F98" s="30"/>
      <c r="G98" s="30"/>
      <c r="H98" s="30"/>
      <c r="I98" s="30"/>
      <c r="L98" s="6"/>
      <c r="M98" s="29"/>
      <c r="N98" s="19" t="str">
        <f>IF(M98="","",[1]!hks_info_name(M98))</f>
        <v/>
      </c>
      <c r="O98" s="18" t="str">
        <f>IF(M98="","",[1]!s_ipo_listeddate(M98))</f>
        <v/>
      </c>
      <c r="P98" s="19" t="str">
        <f>IF(M98="","",[1]!s_info_exchmarket(M98))</f>
        <v/>
      </c>
      <c r="Q98" s="19" t="str">
        <f>IF(M98="","",[1]!s_info_mkt(M98))</f>
        <v/>
      </c>
      <c r="R98" s="19" t="str">
        <f>IF(M98="","",[1]!hks_info_isincode(M98))</f>
        <v/>
      </c>
      <c r="S98" s="19" t="str">
        <f>IF(M98="","",[1]!s_info_province(M98))</f>
        <v/>
      </c>
      <c r="T98" s="19" t="str">
        <f>IF(M98="","",[1]!s_info_city(M98))</f>
        <v/>
      </c>
      <c r="U98" s="19" t="str">
        <f>IF(M98="","",[1]!s_info_industry_gics(M98,9))</f>
        <v/>
      </c>
      <c r="V98" s="21" t="str">
        <f>IF(M98="","",[1]!lastradeday_s(M98,$D$7))</f>
        <v/>
      </c>
      <c r="W98" s="23" t="str">
        <f>IF(M98="","",[1]!s_dq_close(M98,V98,3))</f>
        <v/>
      </c>
      <c r="X98" s="25" t="str">
        <f>IF(M98="","",[1]!s_dq_pctchange(M98,V98))</f>
        <v/>
      </c>
      <c r="Y98" s="23" t="str">
        <f>IF(M98="","",[1]!hks_val_ev(M98,V98,"",100000000))</f>
        <v/>
      </c>
      <c r="Z98" s="23" t="str">
        <f>IF(M98="","",[1]!hks_val_mv_ard(M98,V98,"",100000000))</f>
        <v/>
      </c>
      <c r="AA98" s="23" t="str">
        <f>IF(M98="","",[1]!hks_fa_eps_basic(M98,[1]!s_fa_latelyrd_bt(M98,V98),""))</f>
        <v/>
      </c>
      <c r="AB98" s="23" t="str">
        <f>IF(M98="","",[1]!hks_val_pe_ttm(M98,V98))</f>
        <v/>
      </c>
      <c r="AC98" s="23" t="str">
        <f>IF(M98="","",[1]!pb_mrq(M98,V98))</f>
        <v/>
      </c>
      <c r="AD98" s="23" t="str">
        <f>IF(M98="","",[1]!s_val_evtoebitda2(M98,V98))</f>
        <v/>
      </c>
      <c r="AE98" s="23" t="str">
        <f>IF(M98="","",[1]!hks_fa_roa2(M98,[1]!s_fa_latelyrd_bt(M98,V98)))</f>
        <v/>
      </c>
      <c r="AF98" s="23" t="str">
        <f>IF(M98="","",[1]!hks_fa_roe(M98,[1]!s_fa_latelyrd_bt(M98,V98)))</f>
        <v/>
      </c>
      <c r="AG98" s="23" t="str">
        <f>IF(M98="","",[1]!s_share_total(M98,V98,100000000))</f>
        <v/>
      </c>
      <c r="AH98" s="23" t="str">
        <f>IF(M98="","",[1]!hks_share_total(M98,V98,100000000))</f>
        <v/>
      </c>
      <c r="AI98" s="23" t="str">
        <f>IF(M98="","",[1]!hks_share_totala(M98,V98,100000000))</f>
        <v/>
      </c>
      <c r="AJ98" s="23" t="str">
        <f>IF(M98="","",[1]!hks_share_totalb(M98,V98,100000000))</f>
        <v/>
      </c>
      <c r="AK98" s="23" t="str">
        <f>IF(M98="","",[1]!hks_share_h(M98,V98,100000000))</f>
        <v/>
      </c>
      <c r="AL98" s="23" t="str">
        <f>IF(M98="","",[1]!hks_share_oversea(M98,V98,100000000))</f>
        <v/>
      </c>
      <c r="AM98" s="23" t="str">
        <f>IF(M98="","",[1]!hks_holder_name(M98,V98,1))</f>
        <v/>
      </c>
      <c r="AN98" s="23" t="str">
        <f>IF(M98="","",[1]!hks_holder_quantity(M98,V98,1,10000))</f>
        <v/>
      </c>
      <c r="AO98" s="23" t="str">
        <f>IF(M98="","",[1]!hks_holder_pct(M98,V98,1))</f>
        <v/>
      </c>
      <c r="AP98" s="23" t="str">
        <f>IF(M98="","",[1]!s_esg_rating_wind(M98,V98))</f>
        <v/>
      </c>
      <c r="AQ98" s="23" t="str">
        <f>IF(M98="","",[1]!s_esg_score_wind(M98,V98))</f>
        <v/>
      </c>
      <c r="AR98" s="6"/>
    </row>
    <row r="99" spans="3:44" s="2" customFormat="1" x14ac:dyDescent="0.2">
      <c r="C99" s="30"/>
      <c r="D99" s="30"/>
      <c r="E99" s="30"/>
      <c r="F99" s="30"/>
      <c r="G99" s="30"/>
      <c r="H99" s="30"/>
      <c r="I99" s="30"/>
      <c r="L99" s="6"/>
      <c r="M99" s="29"/>
      <c r="N99" s="19" t="str">
        <f>IF(M99="","",[1]!hks_info_name(M99))</f>
        <v/>
      </c>
      <c r="O99" s="18" t="str">
        <f>IF(M99="","",[1]!s_ipo_listeddate(M99))</f>
        <v/>
      </c>
      <c r="P99" s="19" t="str">
        <f>IF(M99="","",[1]!s_info_exchmarket(M99))</f>
        <v/>
      </c>
      <c r="Q99" s="19" t="str">
        <f>IF(M99="","",[1]!s_info_mkt(M99))</f>
        <v/>
      </c>
      <c r="R99" s="19" t="str">
        <f>IF(M99="","",[1]!hks_info_isincode(M99))</f>
        <v/>
      </c>
      <c r="S99" s="19" t="str">
        <f>IF(M99="","",[1]!s_info_province(M99))</f>
        <v/>
      </c>
      <c r="T99" s="19" t="str">
        <f>IF(M99="","",[1]!s_info_city(M99))</f>
        <v/>
      </c>
      <c r="U99" s="19" t="str">
        <f>IF(M99="","",[1]!s_info_industry_gics(M99,9))</f>
        <v/>
      </c>
      <c r="V99" s="21" t="str">
        <f>IF(M99="","",[1]!lastradeday_s(M99,$D$7))</f>
        <v/>
      </c>
      <c r="W99" s="23" t="str">
        <f>IF(M99="","",[1]!s_dq_close(M99,V99,3))</f>
        <v/>
      </c>
      <c r="X99" s="25" t="str">
        <f>IF(M99="","",[1]!s_dq_pctchange(M99,V99))</f>
        <v/>
      </c>
      <c r="Y99" s="23" t="str">
        <f>IF(M99="","",[1]!hks_val_ev(M99,V99,"",100000000))</f>
        <v/>
      </c>
      <c r="Z99" s="23" t="str">
        <f>IF(M99="","",[1]!hks_val_mv_ard(M99,V99,"",100000000))</f>
        <v/>
      </c>
      <c r="AA99" s="23" t="str">
        <f>IF(M99="","",[1]!hks_fa_eps_basic(M99,[1]!s_fa_latelyrd_bt(M99,V99),""))</f>
        <v/>
      </c>
      <c r="AB99" s="23" t="str">
        <f>IF(M99="","",[1]!hks_val_pe_ttm(M99,V99))</f>
        <v/>
      </c>
      <c r="AC99" s="23" t="str">
        <f>IF(M99="","",[1]!pb_mrq(M99,V99))</f>
        <v/>
      </c>
      <c r="AD99" s="23" t="str">
        <f>IF(M99="","",[1]!s_val_evtoebitda2(M99,V99))</f>
        <v/>
      </c>
      <c r="AE99" s="23" t="str">
        <f>IF(M99="","",[1]!hks_fa_roa2(M99,[1]!s_fa_latelyrd_bt(M99,V99)))</f>
        <v/>
      </c>
      <c r="AF99" s="23" t="str">
        <f>IF(M99="","",[1]!hks_fa_roe(M99,[1]!s_fa_latelyrd_bt(M99,V99)))</f>
        <v/>
      </c>
      <c r="AG99" s="23" t="str">
        <f>IF(M99="","",[1]!s_share_total(M99,V99,100000000))</f>
        <v/>
      </c>
      <c r="AH99" s="23" t="str">
        <f>IF(M99="","",[1]!hks_share_total(M99,V99,100000000))</f>
        <v/>
      </c>
      <c r="AI99" s="23" t="str">
        <f>IF(M99="","",[1]!hks_share_totala(M99,V99,100000000))</f>
        <v/>
      </c>
      <c r="AJ99" s="23" t="str">
        <f>IF(M99="","",[1]!hks_share_totalb(M99,V99,100000000))</f>
        <v/>
      </c>
      <c r="AK99" s="23" t="str">
        <f>IF(M99="","",[1]!hks_share_h(M99,V99,100000000))</f>
        <v/>
      </c>
      <c r="AL99" s="23" t="str">
        <f>IF(M99="","",[1]!hks_share_oversea(M99,V99,100000000))</f>
        <v/>
      </c>
      <c r="AM99" s="23" t="str">
        <f>IF(M99="","",[1]!hks_holder_name(M99,V99,1))</f>
        <v/>
      </c>
      <c r="AN99" s="23" t="str">
        <f>IF(M99="","",[1]!hks_holder_quantity(M99,V99,1,10000))</f>
        <v/>
      </c>
      <c r="AO99" s="23" t="str">
        <f>IF(M99="","",[1]!hks_holder_pct(M99,V99,1))</f>
        <v/>
      </c>
      <c r="AP99" s="23" t="str">
        <f>IF(M99="","",[1]!s_esg_rating_wind(M99,V99))</f>
        <v/>
      </c>
      <c r="AQ99" s="23" t="str">
        <f>IF(M99="","",[1]!s_esg_score_wind(M99,V99))</f>
        <v/>
      </c>
      <c r="AR99" s="6"/>
    </row>
    <row r="100" spans="3:44" s="2" customFormat="1" x14ac:dyDescent="0.2">
      <c r="C100" s="30"/>
      <c r="D100" s="30"/>
      <c r="E100" s="30"/>
      <c r="F100" s="30"/>
      <c r="G100" s="30"/>
      <c r="H100" s="30"/>
      <c r="I100" s="30"/>
      <c r="L100" s="6"/>
      <c r="M100" s="29"/>
      <c r="N100" s="19" t="str">
        <f>IF(M100="","",[1]!hks_info_name(M100))</f>
        <v/>
      </c>
      <c r="O100" s="18" t="str">
        <f>IF(M100="","",[1]!s_ipo_listeddate(M100))</f>
        <v/>
      </c>
      <c r="P100" s="19" t="str">
        <f>IF(M100="","",[1]!s_info_exchmarket(M100))</f>
        <v/>
      </c>
      <c r="Q100" s="19" t="str">
        <f>IF(M100="","",[1]!s_info_mkt(M100))</f>
        <v/>
      </c>
      <c r="R100" s="19" t="str">
        <f>IF(M100="","",[1]!hks_info_isincode(M100))</f>
        <v/>
      </c>
      <c r="S100" s="19" t="str">
        <f>IF(M100="","",[1]!s_info_province(M100))</f>
        <v/>
      </c>
      <c r="T100" s="19" t="str">
        <f>IF(M100="","",[1]!s_info_city(M100))</f>
        <v/>
      </c>
      <c r="U100" s="19" t="str">
        <f>IF(M100="","",[1]!s_info_industry_gics(M100,9))</f>
        <v/>
      </c>
      <c r="V100" s="21" t="str">
        <f>IF(M100="","",[1]!lastradeday_s(M100,$D$7))</f>
        <v/>
      </c>
      <c r="W100" s="23" t="str">
        <f>IF(M100="","",[1]!s_dq_close(M100,V100,3))</f>
        <v/>
      </c>
      <c r="X100" s="25" t="str">
        <f>IF(M100="","",[1]!s_dq_pctchange(M100,V100))</f>
        <v/>
      </c>
      <c r="Y100" s="23" t="str">
        <f>IF(M100="","",[1]!hks_val_ev(M100,V100,"",100000000))</f>
        <v/>
      </c>
      <c r="Z100" s="23" t="str">
        <f>IF(M100="","",[1]!hks_val_mv_ard(M100,V100,"",100000000))</f>
        <v/>
      </c>
      <c r="AA100" s="23" t="str">
        <f>IF(M100="","",[1]!hks_fa_eps_basic(M100,[1]!s_fa_latelyrd_bt(M100,V100),""))</f>
        <v/>
      </c>
      <c r="AB100" s="23" t="str">
        <f>IF(M100="","",[1]!hks_val_pe_ttm(M100,V100))</f>
        <v/>
      </c>
      <c r="AC100" s="23" t="str">
        <f>IF(M100="","",[1]!pb_mrq(M100,V100))</f>
        <v/>
      </c>
      <c r="AD100" s="23" t="str">
        <f>IF(M100="","",[1]!s_val_evtoebitda2(M100,V100))</f>
        <v/>
      </c>
      <c r="AE100" s="23" t="str">
        <f>IF(M100="","",[1]!hks_fa_roa2(M100,[1]!s_fa_latelyrd_bt(M100,V100)))</f>
        <v/>
      </c>
      <c r="AF100" s="23" t="str">
        <f>IF(M100="","",[1]!hks_fa_roe(M100,[1]!s_fa_latelyrd_bt(M100,V100)))</f>
        <v/>
      </c>
      <c r="AG100" s="23" t="str">
        <f>IF(M100="","",[1]!s_share_total(M100,V100,100000000))</f>
        <v/>
      </c>
      <c r="AH100" s="23" t="str">
        <f>IF(M100="","",[1]!hks_share_total(M100,V100,100000000))</f>
        <v/>
      </c>
      <c r="AI100" s="23" t="str">
        <f>IF(M100="","",[1]!hks_share_totala(M100,V100,100000000))</f>
        <v/>
      </c>
      <c r="AJ100" s="23" t="str">
        <f>IF(M100="","",[1]!hks_share_totalb(M100,V100,100000000))</f>
        <v/>
      </c>
      <c r="AK100" s="23" t="str">
        <f>IF(M100="","",[1]!hks_share_h(M100,V100,100000000))</f>
        <v/>
      </c>
      <c r="AL100" s="23" t="str">
        <f>IF(M100="","",[1]!hks_share_oversea(M100,V100,100000000))</f>
        <v/>
      </c>
      <c r="AM100" s="23" t="str">
        <f>IF(M100="","",[1]!hks_holder_name(M100,V100,1))</f>
        <v/>
      </c>
      <c r="AN100" s="23" t="str">
        <f>IF(M100="","",[1]!hks_holder_quantity(M100,V100,1,10000))</f>
        <v/>
      </c>
      <c r="AO100" s="23" t="str">
        <f>IF(M100="","",[1]!hks_holder_pct(M100,V100,1))</f>
        <v/>
      </c>
      <c r="AP100" s="23" t="str">
        <f>IF(M100="","",[1]!s_esg_rating_wind(M100,V100))</f>
        <v/>
      </c>
      <c r="AQ100" s="23" t="str">
        <f>IF(M100="","",[1]!s_esg_score_wind(M100,V100))</f>
        <v/>
      </c>
      <c r="AR100" s="6"/>
    </row>
    <row r="101" spans="3:44" s="2" customFormat="1" ht="9" customHeight="1" x14ac:dyDescent="0.2">
      <c r="C101" s="30"/>
      <c r="D101" s="30"/>
      <c r="E101" s="30"/>
      <c r="F101" s="30"/>
      <c r="G101" s="30"/>
      <c r="H101" s="30"/>
      <c r="I101" s="30"/>
      <c r="L101" s="6"/>
      <c r="M101" s="8"/>
      <c r="N101" s="8"/>
      <c r="O101" s="33"/>
      <c r="P101" s="8"/>
      <c r="Q101" s="8"/>
      <c r="R101" s="8"/>
      <c r="S101" s="8"/>
      <c r="T101" s="8"/>
      <c r="U101" s="8"/>
      <c r="V101" s="8"/>
      <c r="W101" s="34"/>
      <c r="X101" s="34"/>
      <c r="Y101" s="34"/>
      <c r="Z101" s="34"/>
      <c r="AA101" s="34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6"/>
    </row>
    <row r="102" spans="3:44" s="2" customFormat="1" x14ac:dyDescent="0.2">
      <c r="C102" s="30"/>
      <c r="D102" s="30"/>
      <c r="E102" s="30"/>
      <c r="F102" s="30"/>
      <c r="G102" s="30"/>
      <c r="H102" s="30"/>
      <c r="I102" s="30"/>
      <c r="M102" s="30"/>
      <c r="N102" s="30"/>
      <c r="O102" s="31"/>
      <c r="P102" s="30"/>
      <c r="Q102" s="30"/>
      <c r="R102" s="30"/>
      <c r="S102" s="30"/>
      <c r="T102" s="30"/>
      <c r="U102" s="30"/>
      <c r="V102" s="30"/>
      <c r="W102" s="32"/>
      <c r="X102" s="32"/>
      <c r="Y102" s="32"/>
      <c r="Z102" s="32"/>
      <c r="AA102" s="32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</row>
  </sheetData>
  <mergeCells count="20">
    <mergeCell ref="M1:T1"/>
    <mergeCell ref="AG6:AO6"/>
    <mergeCell ref="U6:U7"/>
    <mergeCell ref="AA6:AA7"/>
    <mergeCell ref="AP6:AQ6"/>
    <mergeCell ref="M6:M7"/>
    <mergeCell ref="N6:N7"/>
    <mergeCell ref="O6:O7"/>
    <mergeCell ref="P6:P7"/>
    <mergeCell ref="Q6:Q7"/>
    <mergeCell ref="AD6:AD7"/>
    <mergeCell ref="AE6:AE7"/>
    <mergeCell ref="AF6:AF7"/>
    <mergeCell ref="R6:R7"/>
    <mergeCell ref="AB6:AB7"/>
    <mergeCell ref="AC6:AC7"/>
    <mergeCell ref="V6:X6"/>
    <mergeCell ref="Y6:Z6"/>
    <mergeCell ref="S6:S7"/>
    <mergeCell ref="T6:T7"/>
  </mergeCells>
  <phoneticPr fontId="3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63636D"/>
    <pageSetUpPr autoPageBreaks="0"/>
  </sheetPr>
  <dimension ref="A1:BN102"/>
  <sheetViews>
    <sheetView showGridLines="0" workbookViewId="0"/>
  </sheetViews>
  <sheetFormatPr defaultRowHeight="14.25" x14ac:dyDescent="0.2"/>
  <cols>
    <col min="1" max="1" width="2.125" style="3" customWidth="1"/>
    <col min="2" max="2" width="1.5" style="3" customWidth="1"/>
    <col min="3" max="3" width="10" style="37" customWidth="1"/>
    <col min="4" max="4" width="9" style="37" customWidth="1"/>
    <col min="5" max="6" width="13" style="37" customWidth="1"/>
    <col min="7" max="7" width="12.875" style="37" customWidth="1"/>
    <col min="8" max="11" width="12.25" style="37" customWidth="1"/>
    <col min="12" max="12" width="20.375" style="37" bestFit="1" customWidth="1"/>
    <col min="13" max="13" width="11.375" style="37" bestFit="1" customWidth="1"/>
    <col min="14" max="14" width="9" style="37"/>
    <col min="15" max="15" width="11.25" style="37" bestFit="1" customWidth="1"/>
    <col min="16" max="16" width="14" style="37" bestFit="1" customWidth="1"/>
    <col min="17" max="17" width="15.125" style="37" bestFit="1" customWidth="1"/>
    <col min="18" max="19" width="11.75" style="37" customWidth="1"/>
    <col min="20" max="20" width="13.25" style="37" bestFit="1" customWidth="1"/>
    <col min="21" max="21" width="11.5" style="37" bestFit="1" customWidth="1"/>
    <col min="22" max="22" width="12.875" style="37" bestFit="1" customWidth="1"/>
    <col min="23" max="26" width="15.125" style="37" customWidth="1"/>
    <col min="27" max="27" width="19.375" style="37" customWidth="1"/>
    <col min="28" max="28" width="16.75" style="37" bestFit="1" customWidth="1"/>
    <col min="29" max="29" width="9.625" style="37" bestFit="1" customWidth="1"/>
    <col min="30" max="31" width="16.75" style="37" bestFit="1" customWidth="1"/>
    <col min="32" max="33" width="22.25" style="37" bestFit="1" customWidth="1"/>
    <col min="34" max="34" width="1.5" style="37" customWidth="1"/>
    <col min="35" max="16384" width="9" style="37"/>
  </cols>
  <sheetData>
    <row r="1" spans="1:66" s="5" customFormat="1" ht="27.75" x14ac:dyDescent="0.3">
      <c r="A1" s="4"/>
      <c r="B1" s="4"/>
      <c r="D1" s="87" t="s">
        <v>40</v>
      </c>
      <c r="E1" s="87"/>
      <c r="F1" s="87"/>
      <c r="G1" s="87"/>
      <c r="H1" s="87"/>
      <c r="I1" s="87"/>
      <c r="J1" s="87"/>
      <c r="K1" s="87"/>
      <c r="L1" s="8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s="2" customFormat="1" ht="9" customHeight="1" x14ac:dyDescent="0.2"/>
    <row r="3" spans="1:66" s="2" customFormat="1" ht="9" customHeight="1" x14ac:dyDescent="0.2">
      <c r="B3" s="6"/>
      <c r="C3" s="6"/>
      <c r="D3" s="6"/>
      <c r="E3" s="1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66" s="2" customFormat="1" ht="17.25" x14ac:dyDescent="0.2">
      <c r="B4" s="6"/>
      <c r="C4" s="7" t="s">
        <v>225</v>
      </c>
      <c r="D4" s="7"/>
      <c r="E4" s="1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6"/>
    </row>
    <row r="5" spans="1:66" s="2" customFormat="1" ht="9" customHeight="1" x14ac:dyDescent="0.2"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66" s="36" customFormat="1" ht="16.5" customHeight="1" x14ac:dyDescent="0.35">
      <c r="A6" s="2"/>
      <c r="B6" s="6"/>
      <c r="C6" s="78" t="s">
        <v>0</v>
      </c>
      <c r="D6" s="80" t="s">
        <v>6</v>
      </c>
      <c r="E6" s="91" t="s">
        <v>154</v>
      </c>
      <c r="F6" s="91" t="s">
        <v>53</v>
      </c>
      <c r="G6" s="91" t="s">
        <v>71</v>
      </c>
      <c r="H6" s="88" t="s">
        <v>175</v>
      </c>
      <c r="I6" s="89"/>
      <c r="J6" s="89"/>
      <c r="K6" s="89"/>
      <c r="L6" s="89"/>
      <c r="M6" s="89"/>
      <c r="N6" s="89"/>
      <c r="O6" s="89"/>
      <c r="P6" s="90"/>
      <c r="Q6" s="84" t="s">
        <v>179</v>
      </c>
      <c r="R6" s="85"/>
      <c r="S6" s="85"/>
      <c r="T6" s="85"/>
      <c r="U6" s="85"/>
      <c r="V6" s="85"/>
      <c r="W6" s="85"/>
      <c r="X6" s="85"/>
      <c r="Y6" s="85"/>
      <c r="Z6" s="85"/>
      <c r="AA6" s="86"/>
      <c r="AB6" s="84" t="s">
        <v>183</v>
      </c>
      <c r="AC6" s="85"/>
      <c r="AD6" s="85"/>
      <c r="AE6" s="85"/>
      <c r="AF6" s="85"/>
      <c r="AG6" s="85"/>
      <c r="AH6" s="35"/>
    </row>
    <row r="7" spans="1:66" s="36" customFormat="1" ht="16.5" x14ac:dyDescent="0.35">
      <c r="A7" s="2"/>
      <c r="B7" s="6"/>
      <c r="C7" s="79"/>
      <c r="D7" s="81"/>
      <c r="E7" s="92"/>
      <c r="F7" s="92"/>
      <c r="G7" s="92"/>
      <c r="H7" s="40" t="s">
        <v>155</v>
      </c>
      <c r="I7" s="41" t="s">
        <v>156</v>
      </c>
      <c r="J7" s="41" t="s">
        <v>157</v>
      </c>
      <c r="K7" s="22" t="s">
        <v>158</v>
      </c>
      <c r="L7" s="22" t="s">
        <v>171</v>
      </c>
      <c r="M7" s="22" t="s">
        <v>159</v>
      </c>
      <c r="N7" s="22" t="s">
        <v>160</v>
      </c>
      <c r="O7" s="22" t="s">
        <v>173</v>
      </c>
      <c r="P7" s="24" t="s">
        <v>174</v>
      </c>
      <c r="Q7" s="26" t="s">
        <v>177</v>
      </c>
      <c r="R7" s="22" t="s">
        <v>176</v>
      </c>
      <c r="S7" s="22" t="s">
        <v>161</v>
      </c>
      <c r="T7" s="22" t="s">
        <v>178</v>
      </c>
      <c r="U7" s="22" t="s">
        <v>180</v>
      </c>
      <c r="V7" s="22" t="s">
        <v>162</v>
      </c>
      <c r="W7" s="22" t="s">
        <v>163</v>
      </c>
      <c r="X7" s="22" t="s">
        <v>164</v>
      </c>
      <c r="Y7" s="22" t="s">
        <v>165</v>
      </c>
      <c r="Z7" s="22" t="s">
        <v>166</v>
      </c>
      <c r="AA7" s="24" t="s">
        <v>167</v>
      </c>
      <c r="AB7" s="26" t="s">
        <v>181</v>
      </c>
      <c r="AC7" s="22" t="s">
        <v>182</v>
      </c>
      <c r="AD7" s="22" t="s">
        <v>168</v>
      </c>
      <c r="AE7" s="22" t="s">
        <v>169</v>
      </c>
      <c r="AF7" s="22" t="s">
        <v>184</v>
      </c>
      <c r="AG7" s="38" t="s">
        <v>185</v>
      </c>
      <c r="AH7" s="35"/>
    </row>
    <row r="8" spans="1:66" s="36" customFormat="1" ht="16.5" x14ac:dyDescent="0.2">
      <c r="A8" s="2"/>
      <c r="B8" s="6"/>
      <c r="C8" s="28" t="str">
        <f>IF(表1[[#This Row],[列1]]="","",表1[[#This Row],[列1]])</f>
        <v>000001.SZ</v>
      </c>
      <c r="D8" s="19" t="str">
        <f>IF(C8="","",[1]!hks_info_name(C8))</f>
        <v>平安银行</v>
      </c>
      <c r="E8" s="18" t="str">
        <f ca="1">IF(C8="","",[1]!lastradeday_s(C8,TODAY()))</f>
        <v>2024-12-09</v>
      </c>
      <c r="F8" s="19" t="str">
        <f ca="1">IF(C8="","",IF(OR([1]!s_stm_rpt_e(C8,基本资料!$I$8,0)="#N/A",[1]!s_stm_rpt_e(C8,基本资料!$I$8,0)="",[1]!s_stm_rpt_e(C8,基本资料!$I$8,0)=0),[1]!s_stm_rpt_e(C8,基本资料!$I$9,0),[1]!s_stm_rpt_e(C8,基本资料!$I$8,0)))</f>
        <v>2023-12-31</v>
      </c>
      <c r="G8" s="19" t="str">
        <f ca="1">IF(C8="","",[1]!hks_info_cur2(C8,F8))</f>
        <v>CNY</v>
      </c>
      <c r="H8" s="27">
        <f ca="1">IF(C8="","",[1]!hks_stm_is(C8,"83",F8,1,"",100000000))</f>
        <v>1629.81</v>
      </c>
      <c r="I8" s="23">
        <f ca="1">IF(C8="","",[1]!hks_stm_is(C8,"1032",F8,1,"",100000000))</f>
        <v>1050.53</v>
      </c>
      <c r="J8" s="23">
        <f ca="1">IF(C8="","",[1]!hks_stm_is(C8,"1041",F8,1,"",100000000))</f>
        <v>579.28</v>
      </c>
      <c r="K8" s="23">
        <f ca="1">IF(C8="","",[1]!hks_stm_is(C8,"61",F8,1,"",100000000))</f>
        <v>464.55</v>
      </c>
      <c r="L8" s="23">
        <f ca="1">IF(C8="","",[1]!hks_stm_is(C8,"1075",F8,1,"",100000000))</f>
        <v>464.55</v>
      </c>
      <c r="M8" s="23">
        <f ca="1">IF(C8="","",[1]!hks_stm_is(C8,"1077",F8,1,"",100000000))</f>
        <v>-5.64</v>
      </c>
      <c r="N8" s="23">
        <f ca="1">IF(C8="","",[1]!hks_stm_is(C8,"1030",F8,1,"",100000000))</f>
        <v>0</v>
      </c>
      <c r="O8" s="23">
        <f ca="1">IF(C8="","",[1]!hks_fa_ebit(C8,F8,1,"",100000000))</f>
        <v>0</v>
      </c>
      <c r="P8" s="25">
        <f ca="1">IF(C8="","",[1]!hks_fa_ebitda(C8,F8,1,"",100000000))</f>
        <v>0</v>
      </c>
      <c r="Q8" s="25">
        <f ca="1">IF(C8="","",[1]!hks_stm_bs(C8,"9",F8,1,"",100000000))</f>
        <v>0</v>
      </c>
      <c r="R8" s="25">
        <f ca="1">IF(C8="","",[1]!hks_stm_bs(C8,"25",F8,1,"",100000000))</f>
        <v>0</v>
      </c>
      <c r="S8" s="25">
        <f ca="1">IF(C8="","",[1]!hks_stm_bs(C8,"1088",F8,1,"",100000000))</f>
        <v>0</v>
      </c>
      <c r="T8" s="25">
        <f ca="1">IF(C8="","",[1]!hks_stm_bs(C8,"46",F8,1,"",100000000))</f>
        <v>0</v>
      </c>
      <c r="U8" s="25">
        <f ca="1">IF(C8="","",[1]!hks_stm_bs(C8,"29",F8,1,"",100000000))</f>
        <v>0</v>
      </c>
      <c r="V8" s="25">
        <f ca="1">IF(C8="","",[1]!hks_stm_bs(C8,"74",F8,1,"",100000000))</f>
        <v>55871.16</v>
      </c>
      <c r="W8" s="25">
        <f ca="1">IF(C8="","",[1]!hks_stm_bs(C8,"93",F8,1,"",100000000))</f>
        <v>0</v>
      </c>
      <c r="X8" s="25">
        <f ca="1">IF(C8="","",[1]!hks_stm_bs(C8,"1017",F8,1,"",100000000))</f>
        <v>0</v>
      </c>
      <c r="Y8" s="25">
        <f ca="1">IF(C8="","",[1]!hks_stm_bs(C8,"128",F8,1,"",100000000))</f>
        <v>51147.88</v>
      </c>
      <c r="Z8" s="25">
        <f ca="1">IF(C8="","",[1]!hks_stm_bs(C8,"145",F8,1,"",100000000))</f>
        <v>4723.28</v>
      </c>
      <c r="AA8" s="25">
        <f ca="1">IF(C8="","",[1]!hks_stm_bs(C8,"140",F8,1,"",100000000))</f>
        <v>4723.28</v>
      </c>
      <c r="AB8" s="25">
        <f ca="1">IF(C8="","",[1]!hks_stm_cs(C8,"39",F8,1,"",100000000))</f>
        <v>924.61</v>
      </c>
      <c r="AC8" s="25">
        <f ca="1">IF(C8="","",[1]!hks_stm_cs(C8,"1020",F8,1,"",100000000))</f>
        <v>30.96</v>
      </c>
      <c r="AD8" s="25">
        <f ca="1">IF(C8="","",[1]!hks_stm_cs(C8,"59",F8,1,"",100000000))</f>
        <v>-261.42</v>
      </c>
      <c r="AE8" s="25">
        <f ca="1">IF(C8="","",[1]!hks_stm_cs(C8,"77",F8,1,"",100000000))</f>
        <v>80.89</v>
      </c>
      <c r="AF8" s="25">
        <f ca="1">IF(C8="","",[1]!hks_stm_cs(C8,"82",F8,1,"",100000000))</f>
        <v>758.93</v>
      </c>
      <c r="AG8" s="25">
        <f ca="1">IF(C8="","",[1]!hks_stm_cs(C8,"84",F8,1,"",100000000))</f>
        <v>2982.19</v>
      </c>
      <c r="AH8" s="35"/>
    </row>
    <row r="9" spans="1:66" s="36" customFormat="1" ht="16.5" x14ac:dyDescent="0.2">
      <c r="A9" s="2"/>
      <c r="B9" s="6"/>
      <c r="C9" s="28" t="str">
        <f>IF(表1[[#This Row],[列1]]="","",表1[[#This Row],[列1]])</f>
        <v>000002.SZ</v>
      </c>
      <c r="D9" s="19" t="str">
        <f>IF(C9="","",[1]!hks_info_name(C9))</f>
        <v>万科A</v>
      </c>
      <c r="E9" s="18" t="str">
        <f ca="1">IF(C9="","",[1]!lastradeday_s(C9,TODAY()))</f>
        <v>2024-12-09</v>
      </c>
      <c r="F9" s="19" t="str">
        <f ca="1">IF(C9="","",IF(OR([1]!s_stm_rpt_e(C9,基本资料!$I$8,0)="#N/A",[1]!s_stm_rpt_e(C9,基本资料!$I$8,0)="",[1]!s_stm_rpt_e(C9,基本资料!$I$8,0)=0),[1]!s_stm_rpt_e(C9,基本资料!$I$9,0),[1]!s_stm_rpt_e(C9,基本资料!$I$8,0)))</f>
        <v>2023-12-31</v>
      </c>
      <c r="G9" s="19" t="str">
        <f ca="1">IF(C9="","",[1]!hks_info_cur2(C9,F9))</f>
        <v>CNY</v>
      </c>
      <c r="H9" s="27">
        <f ca="1">IF(C9="","",[1]!hks_stm_is(C9,"83",F9,1,"",100000000))</f>
        <v>4663.5415400000002</v>
      </c>
      <c r="I9" s="23">
        <f ca="1">IF(C9="","",[1]!hks_stm_is(C9,"1032",F9,1,"",100000000))</f>
        <v>4225.5718800000004</v>
      </c>
      <c r="J9" s="23">
        <f ca="1">IF(C9="","",[1]!hks_stm_is(C9,"1041",F9,1,"",100000000))</f>
        <v>437.96965999999998</v>
      </c>
      <c r="K9" s="23">
        <f ca="1">IF(C9="","",[1]!hks_stm_is(C9,"61",F9,1,"",100000000))</f>
        <v>121.62684</v>
      </c>
      <c r="L9" s="23">
        <f ca="1">IF(C9="","",[1]!hks_stm_is(C9,"1075",F9,1,"",100000000))</f>
        <v>121.62684</v>
      </c>
      <c r="M9" s="23">
        <f ca="1">IF(C9="","",[1]!hks_stm_is(C9,"1077",F9,1,"",100000000))</f>
        <v>34.676740000000002</v>
      </c>
      <c r="N9" s="23">
        <f ca="1">IF(C9="","",[1]!hks_stm_is(C9,"1030",F9,1,"",100000000))</f>
        <v>0</v>
      </c>
      <c r="O9" s="23">
        <f ca="1">IF(C9="","",[1]!hks_fa_ebit(C9,F9,1,"",100000000))</f>
        <v>468.16806000000003</v>
      </c>
      <c r="P9" s="25">
        <f ca="1">IF(C9="","",[1]!hks_fa_ebitda(C9,F9,1,"",100000000))</f>
        <v>558.97600999999997</v>
      </c>
      <c r="Q9" s="25">
        <f ca="1">IF(C9="","",[1]!hks_stm_bs(C9,"9",F9,1,"",100000000))</f>
        <v>969.42577000000006</v>
      </c>
      <c r="R9" s="25">
        <f ca="1">IF(C9="","",[1]!hks_stm_bs(C9,"25",F9,1,"",100000000))</f>
        <v>11502.820540000001</v>
      </c>
      <c r="S9" s="25">
        <f ca="1">IF(C9="","",[1]!hks_stm_bs(C9,"1088",F9,1,"",100000000))</f>
        <v>0</v>
      </c>
      <c r="T9" s="25">
        <f ca="1">IF(C9="","",[1]!hks_stm_bs(C9,"46",F9,1,"",100000000))</f>
        <v>3545.9011</v>
      </c>
      <c r="U9" s="25">
        <f ca="1">IF(C9="","",[1]!hks_stm_bs(C9,"29",F9,1,"",100000000))</f>
        <v>1305.6253099999999</v>
      </c>
      <c r="V9" s="25">
        <f ca="1">IF(C9="","",[1]!hks_stm_bs(C9,"74",F9,1,"",100000000))</f>
        <v>15048.72164</v>
      </c>
      <c r="W9" s="25">
        <f ca="1">IF(C9="","",[1]!hks_stm_bs(C9,"93",F9,1,"",100000000))</f>
        <v>8217.8525800000007</v>
      </c>
      <c r="X9" s="25">
        <f ca="1">IF(C9="","",[1]!hks_stm_bs(C9,"1017",F9,1,"",100000000))</f>
        <v>2801.5337500000001</v>
      </c>
      <c r="Y9" s="25">
        <f ca="1">IF(C9="","",[1]!hks_stm_bs(C9,"128",F9,1,"",100000000))</f>
        <v>11019.386329999999</v>
      </c>
      <c r="Z9" s="25">
        <f ca="1">IF(C9="","",[1]!hks_stm_bs(C9,"145",F9,1,"",100000000))</f>
        <v>4029.3353099999999</v>
      </c>
      <c r="AA9" s="25">
        <f ca="1">IF(C9="","",[1]!hks_stm_bs(C9,"140",F9,1,"",100000000))</f>
        <v>2507.8461299999999</v>
      </c>
      <c r="AB9" s="25">
        <f ca="1">IF(C9="","",[1]!hks_stm_cs(C9,"39",F9,1,"",100000000))</f>
        <v>39.12323</v>
      </c>
      <c r="AC9" s="25">
        <f ca="1">IF(C9="","",[1]!hks_stm_cs(C9,"1020",F9,1,"",100000000))</f>
        <v>83.341530000000006</v>
      </c>
      <c r="AD9" s="25">
        <f ca="1">IF(C9="","",[1]!hks_stm_cs(C9,"59",F9,1,"",100000000))</f>
        <v>-46.156419999999997</v>
      </c>
      <c r="AE9" s="25">
        <f ca="1">IF(C9="","",[1]!hks_stm_cs(C9,"77",F9,1,"",100000000))</f>
        <v>-368.13164</v>
      </c>
      <c r="AF9" s="25">
        <f ca="1">IF(C9="","",[1]!hks_stm_cs(C9,"82",F9,1,"",100000000))</f>
        <v>-374.82092999999998</v>
      </c>
      <c r="AG9" s="25">
        <f ca="1">IF(C9="","",[1]!hks_stm_cs(C9,"84",F9,1,"",100000000))</f>
        <v>969.42577000000006</v>
      </c>
      <c r="AH9" s="35"/>
    </row>
    <row r="10" spans="1:66" s="36" customFormat="1" ht="16.5" x14ac:dyDescent="0.2">
      <c r="A10" s="2"/>
      <c r="B10" s="6"/>
      <c r="C10" s="28" t="str">
        <f>IF(表1[[#This Row],[列1]]="","",表1[[#This Row],[列1]])</f>
        <v>002123.SZ</v>
      </c>
      <c r="D10" s="19" t="str">
        <f>IF(C10="","",[1]!hks_info_name(C10))</f>
        <v>梦网科技</v>
      </c>
      <c r="E10" s="18" t="str">
        <f ca="1">IF(C10="","",[1]!lastradeday_s(C10,TODAY()))</f>
        <v>2024-12-09</v>
      </c>
      <c r="F10" s="19" t="str">
        <f ca="1">IF(C10="","",IF(OR([1]!s_stm_rpt_e(C10,基本资料!$I$8,0)="#N/A",[1]!s_stm_rpt_e(C10,基本资料!$I$8,0)="",[1]!s_stm_rpt_e(C10,基本资料!$I$8,0)=0),[1]!s_stm_rpt_e(C10,基本资料!$I$9,0),[1]!s_stm_rpt_e(C10,基本资料!$I$8,0)))</f>
        <v>2023-12-31</v>
      </c>
      <c r="G10" s="19" t="str">
        <f ca="1">IF(C10="","",[1]!hks_info_cur2(C10,F10))</f>
        <v>CNY</v>
      </c>
      <c r="H10" s="27">
        <f ca="1">IF(C10="","",[1]!hks_stm_is(C10,"83",F10,1,"",100000000))</f>
        <v>52.268649708500007</v>
      </c>
      <c r="I10" s="23">
        <f ca="1">IF(C10="","",[1]!hks_stm_is(C10,"1032",F10,1,"",100000000))</f>
        <v>87.476582647099988</v>
      </c>
      <c r="J10" s="23">
        <f ca="1">IF(C10="","",[1]!hks_stm_is(C10,"1041",F10,1,"",100000000))</f>
        <v>-35.207932938600003</v>
      </c>
      <c r="K10" s="23">
        <f ca="1">IF(C10="","",[1]!hks_stm_is(C10,"61",F10,1,"",100000000))</f>
        <v>-18.2248542554</v>
      </c>
      <c r="L10" s="23">
        <f ca="1">IF(C10="","",[1]!hks_stm_is(C10,"1075",F10,1,"",100000000))</f>
        <v>-18.2248542554</v>
      </c>
      <c r="M10" s="23">
        <f ca="1">IF(C10="","",[1]!hks_stm_is(C10,"1077",F10,1,"",100000000))</f>
        <v>-8.2948485700000005E-2</v>
      </c>
      <c r="N10" s="23">
        <f ca="1">IF(C10="","",[1]!hks_stm_is(C10,"1030",F10,1,"",100000000))</f>
        <v>0</v>
      </c>
      <c r="O10" s="23">
        <f ca="1">IF(C10="","",[1]!hks_fa_ebit(C10,F10,1,"",100000000))</f>
        <v>-18.3247603704</v>
      </c>
      <c r="P10" s="25">
        <f ca="1">IF(C10="","",[1]!hks_fa_ebitda(C10,F10,1,"",100000000))</f>
        <v>-17.900584480599999</v>
      </c>
      <c r="Q10" s="25">
        <f ca="1">IF(C10="","",[1]!hks_stm_bs(C10,"9",F10,1,"",100000000))</f>
        <v>3.7838149107999999</v>
      </c>
      <c r="R10" s="25">
        <f ca="1">IF(C10="","",[1]!hks_stm_bs(C10,"25",F10,1,"",100000000))</f>
        <v>34.6420155271</v>
      </c>
      <c r="S10" s="25">
        <f ca="1">IF(C10="","",[1]!hks_stm_bs(C10,"1088",F10,1,"",100000000))</f>
        <v>0</v>
      </c>
      <c r="T10" s="25">
        <f ca="1">IF(C10="","",[1]!hks_stm_bs(C10,"46",F10,1,"",100000000))</f>
        <v>8.8545092626000006</v>
      </c>
      <c r="U10" s="25">
        <f ca="1">IF(C10="","",[1]!hks_stm_bs(C10,"29",F10,1,"",100000000))</f>
        <v>0.99310165169999998</v>
      </c>
      <c r="V10" s="25">
        <f ca="1">IF(C10="","",[1]!hks_stm_bs(C10,"74",F10,1,"",100000000))</f>
        <v>43.496524789700004</v>
      </c>
      <c r="W10" s="25">
        <f ca="1">IF(C10="","",[1]!hks_stm_bs(C10,"93",F10,1,"",100000000))</f>
        <v>25.122498660300003</v>
      </c>
      <c r="X10" s="25">
        <f ca="1">IF(C10="","",[1]!hks_stm_bs(C10,"1017",F10,1,"",100000000))</f>
        <v>2.067311251</v>
      </c>
      <c r="Y10" s="25">
        <f ca="1">IF(C10="","",[1]!hks_stm_bs(C10,"128",F10,1,"",100000000))</f>
        <v>27.189809911300003</v>
      </c>
      <c r="Z10" s="25">
        <f ca="1">IF(C10="","",[1]!hks_stm_bs(C10,"145",F10,1,"",100000000))</f>
        <v>16.306714878399998</v>
      </c>
      <c r="AA10" s="25">
        <f ca="1">IF(C10="","",[1]!hks_stm_bs(C10,"140",F10,1,"",100000000))</f>
        <v>16.253356657499999</v>
      </c>
      <c r="AB10" s="25">
        <f ca="1">IF(C10="","",[1]!hks_stm_cs(C10,"39",F10,1,"",100000000))</f>
        <v>-3.9893285989999998</v>
      </c>
      <c r="AC10" s="25">
        <f ca="1">IF(C10="","",[1]!hks_stm_cs(C10,"1020",F10,1,"",100000000))</f>
        <v>9.9886009999999997E-2</v>
      </c>
      <c r="AD10" s="25">
        <f ca="1">IF(C10="","",[1]!hks_stm_cs(C10,"59",F10,1,"",100000000))</f>
        <v>3.9889926343000002</v>
      </c>
      <c r="AE10" s="25">
        <f ca="1">IF(C10="","",[1]!hks_stm_cs(C10,"77",F10,1,"",100000000))</f>
        <v>-1.4448183069999998</v>
      </c>
      <c r="AF10" s="25">
        <f ca="1">IF(C10="","",[1]!hks_stm_cs(C10,"82",F10,1,"",100000000))</f>
        <v>-1.4129896447999999</v>
      </c>
      <c r="AG10" s="25">
        <f ca="1">IF(C10="","",[1]!hks_stm_cs(C10,"84",F10,1,"",100000000))</f>
        <v>3.7838149107999999</v>
      </c>
      <c r="AH10" s="35"/>
    </row>
    <row r="11" spans="1:66" s="36" customFormat="1" ht="16.5" x14ac:dyDescent="0.2">
      <c r="A11" s="2"/>
      <c r="B11" s="6"/>
      <c r="C11" s="28" t="str">
        <f>IF(表1[[#This Row],[列1]]="","",表1[[#This Row],[列1]])</f>
        <v>002230.SZ</v>
      </c>
      <c r="D11" s="19" t="str">
        <f>IF(C11="","",[1]!hks_info_name(C11))</f>
        <v>科大讯飞</v>
      </c>
      <c r="E11" s="18" t="str">
        <f ca="1">IF(C11="","",[1]!lastradeday_s(C11,TODAY()))</f>
        <v>2024-12-09</v>
      </c>
      <c r="F11" s="19" t="str">
        <f ca="1">IF(C11="","",IF(OR([1]!s_stm_rpt_e(C11,基本资料!$I$8,0)="#N/A",[1]!s_stm_rpt_e(C11,基本资料!$I$8,0)="",[1]!s_stm_rpt_e(C11,基本资料!$I$8,0)=0),[1]!s_stm_rpt_e(C11,基本资料!$I$9,0),[1]!s_stm_rpt_e(C11,基本资料!$I$8,0)))</f>
        <v>2023-12-31</v>
      </c>
      <c r="G11" s="19" t="str">
        <f ca="1">IF(C11="","",[1]!hks_info_cur2(C11,F11))</f>
        <v>CNY</v>
      </c>
      <c r="H11" s="27">
        <f ca="1">IF(C11="","",[1]!hks_stm_is(C11,"83",F11,1,"",100000000))</f>
        <v>195.238814373</v>
      </c>
      <c r="I11" s="23">
        <f ca="1">IF(C11="","",[1]!hks_stm_is(C11,"1032",F11,1,"",100000000))</f>
        <v>205.4905392604</v>
      </c>
      <c r="J11" s="23">
        <f ca="1">IF(C11="","",[1]!hks_stm_is(C11,"1041",F11,1,"",100000000))</f>
        <v>-10.2517248874</v>
      </c>
      <c r="K11" s="23">
        <f ca="1">IF(C11="","",[1]!hks_stm_is(C11,"61",F11,1,"",100000000))</f>
        <v>6.5731290824000004</v>
      </c>
      <c r="L11" s="23">
        <f ca="1">IF(C11="","",[1]!hks_stm_is(C11,"1075",F11,1,"",100000000))</f>
        <v>6.5731290824000004</v>
      </c>
      <c r="M11" s="23">
        <f ca="1">IF(C11="","",[1]!hks_stm_is(C11,"1077",F11,1,"",100000000))</f>
        <v>0.70491983480000009</v>
      </c>
      <c r="N11" s="23">
        <f ca="1">IF(C11="","",[1]!hks_stm_is(C11,"1030",F11,1,"",100000000))</f>
        <v>0</v>
      </c>
      <c r="O11" s="23">
        <f ca="1">IF(C11="","",[1]!hks_fa_ebit(C11,F11,1,"",100000000))</f>
        <v>4.1977100270999994</v>
      </c>
      <c r="P11" s="25">
        <f ca="1">IF(C11="","",[1]!hks_fa_ebitda(C11,F11,1,"",100000000))</f>
        <v>22.151206587899999</v>
      </c>
      <c r="Q11" s="25">
        <f ca="1">IF(C11="","",[1]!hks_stm_bs(C11,"9",F11,1,"",100000000))</f>
        <v>33.829103246199999</v>
      </c>
      <c r="R11" s="25">
        <f ca="1">IF(C11="","",[1]!hks_stm_bs(C11,"25",F11,1,"",100000000))</f>
        <v>211.99919044080002</v>
      </c>
      <c r="S11" s="25">
        <f ca="1">IF(C11="","",[1]!hks_stm_bs(C11,"1088",F11,1,"",100000000))</f>
        <v>0</v>
      </c>
      <c r="T11" s="25">
        <f ca="1">IF(C11="","",[1]!hks_stm_bs(C11,"46",F11,1,"",100000000))</f>
        <v>166.31203934070001</v>
      </c>
      <c r="U11" s="25">
        <f ca="1">IF(C11="","",[1]!hks_stm_bs(C11,"29",F11,1,"",100000000))</f>
        <v>14.371789559100002</v>
      </c>
      <c r="V11" s="25">
        <f ca="1">IF(C11="","",[1]!hks_stm_bs(C11,"74",F11,1,"",100000000))</f>
        <v>378.3112297815</v>
      </c>
      <c r="W11" s="25">
        <f ca="1">IF(C11="","",[1]!hks_stm_bs(C11,"93",F11,1,"",100000000))</f>
        <v>129.07582473470001</v>
      </c>
      <c r="X11" s="25">
        <f ca="1">IF(C11="","",[1]!hks_stm_bs(C11,"1017",F11,1,"",100000000))</f>
        <v>71.915068830600006</v>
      </c>
      <c r="Y11" s="25">
        <f ca="1">IF(C11="","",[1]!hks_stm_bs(C11,"128",F11,1,"",100000000))</f>
        <v>200.99089356529998</v>
      </c>
      <c r="Z11" s="25">
        <f ca="1">IF(C11="","",[1]!hks_stm_bs(C11,"145",F11,1,"",100000000))</f>
        <v>177.32033621619999</v>
      </c>
      <c r="AA11" s="25">
        <f ca="1">IF(C11="","",[1]!hks_stm_bs(C11,"140",F11,1,"",100000000))</f>
        <v>170.32284511719999</v>
      </c>
      <c r="AB11" s="25">
        <f ca="1">IF(C11="","",[1]!hks_stm_cs(C11,"39",F11,1,"",100000000))</f>
        <v>3.4975781454999999</v>
      </c>
      <c r="AC11" s="25">
        <f ca="1">IF(C11="","",[1]!hks_stm_cs(C11,"1020",F11,1,"",100000000))</f>
        <v>40.818576005799997</v>
      </c>
      <c r="AD11" s="25">
        <f ca="1">IF(C11="","",[1]!hks_stm_cs(C11,"59",F11,1,"",100000000))</f>
        <v>-39.7872825623</v>
      </c>
      <c r="AE11" s="25">
        <f ca="1">IF(C11="","",[1]!hks_stm_cs(C11,"77",F11,1,"",100000000))</f>
        <v>28.2970442369</v>
      </c>
      <c r="AF11" s="25">
        <f ca="1">IF(C11="","",[1]!hks_stm_cs(C11,"82",F11,1,"",100000000))</f>
        <v>-7.8994421170000004</v>
      </c>
      <c r="AG11" s="25">
        <f ca="1">IF(C11="","",[1]!hks_stm_cs(C11,"84",F11,1,"",100000000))</f>
        <v>33.829103246199999</v>
      </c>
      <c r="AH11" s="35"/>
    </row>
    <row r="12" spans="1:66" s="36" customFormat="1" ht="16.5" x14ac:dyDescent="0.2">
      <c r="A12" s="2"/>
      <c r="B12" s="6"/>
      <c r="C12" s="28" t="str">
        <f>IF(表1[[#This Row],[列1]]="","",表1[[#This Row],[列1]])</f>
        <v>600004.SH</v>
      </c>
      <c r="D12" s="19" t="str">
        <f>IF(C12="","",[1]!hks_info_name(C12))</f>
        <v>白云机场</v>
      </c>
      <c r="E12" s="18" t="str">
        <f ca="1">IF(C12="","",[1]!lastradeday_s(C12,TODAY()))</f>
        <v>2024-12-09</v>
      </c>
      <c r="F12" s="19" t="str">
        <f ca="1">IF(C12="","",IF(OR([1]!s_stm_rpt_e(C12,基本资料!$I$8,0)="#N/A",[1]!s_stm_rpt_e(C12,基本资料!$I$8,0)="",[1]!s_stm_rpt_e(C12,基本资料!$I$8,0)=0),[1]!s_stm_rpt_e(C12,基本资料!$I$9,0),[1]!s_stm_rpt_e(C12,基本资料!$I$8,0)))</f>
        <v>2023-12-31</v>
      </c>
      <c r="G12" s="19" t="str">
        <f ca="1">IF(C12="","",[1]!hks_info_cur2(C12,F12))</f>
        <v>CNY</v>
      </c>
      <c r="H12" s="27">
        <f ca="1">IF(C12="","",[1]!hks_stm_is(C12,"83",F12,1,"",100000000))</f>
        <v>62.767889882600002</v>
      </c>
      <c r="I12" s="23">
        <f ca="1">IF(C12="","",[1]!hks_stm_is(C12,"1032",F12,1,"",100000000))</f>
        <v>56.785817802399997</v>
      </c>
      <c r="J12" s="23">
        <f ca="1">IF(C12="","",[1]!hks_stm_is(C12,"1041",F12,1,"",100000000))</f>
        <v>5.9820720802</v>
      </c>
      <c r="K12" s="23">
        <f ca="1">IF(C12="","",[1]!hks_stm_is(C12,"61",F12,1,"",100000000))</f>
        <v>4.4190571528999998</v>
      </c>
      <c r="L12" s="23">
        <f ca="1">IF(C12="","",[1]!hks_stm_is(C12,"1075",F12,1,"",100000000))</f>
        <v>4.4190571528999998</v>
      </c>
      <c r="M12" s="23">
        <f ca="1">IF(C12="","",[1]!hks_stm_is(C12,"1077",F12,1,"",100000000))</f>
        <v>6.4274749300000003E-2</v>
      </c>
      <c r="N12" s="23">
        <f ca="1">IF(C12="","",[1]!hks_stm_is(C12,"1030",F12,1,"",100000000))</f>
        <v>0</v>
      </c>
      <c r="O12" s="23">
        <f ca="1">IF(C12="","",[1]!hks_fa_ebit(C12,F12,1,"",100000000))</f>
        <v>6.7778002164000002</v>
      </c>
      <c r="P12" s="25">
        <f ca="1">IF(C12="","",[1]!hks_fa_ebitda(C12,F12,1,"",100000000))</f>
        <v>21.1089645102</v>
      </c>
      <c r="Q12" s="25">
        <f ca="1">IF(C12="","",[1]!hks_stm_bs(C12,"9",F12,1,"",100000000))</f>
        <v>25.215467082499998</v>
      </c>
      <c r="R12" s="25">
        <f ca="1">IF(C12="","",[1]!hks_stm_bs(C12,"25",F12,1,"",100000000))</f>
        <v>40.2623359038</v>
      </c>
      <c r="S12" s="25">
        <f ca="1">IF(C12="","",[1]!hks_stm_bs(C12,"1088",F12,1,"",100000000))</f>
        <v>0</v>
      </c>
      <c r="T12" s="25">
        <f ca="1">IF(C12="","",[1]!hks_stm_bs(C12,"46",F12,1,"",100000000))</f>
        <v>221.63812040830001</v>
      </c>
      <c r="U12" s="25">
        <f ca="1">IF(C12="","",[1]!hks_stm_bs(C12,"29",F12,1,"",100000000))</f>
        <v>6.4919657163000002</v>
      </c>
      <c r="V12" s="25">
        <f ca="1">IF(C12="","",[1]!hks_stm_bs(C12,"74",F12,1,"",100000000))</f>
        <v>261.9004563121</v>
      </c>
      <c r="W12" s="25">
        <f ca="1">IF(C12="","",[1]!hks_stm_bs(C12,"93",F12,1,"",100000000))</f>
        <v>59.045466764099999</v>
      </c>
      <c r="X12" s="25">
        <f ca="1">IF(C12="","",[1]!hks_stm_bs(C12,"1017",F12,1,"",100000000))</f>
        <v>24.7915607069</v>
      </c>
      <c r="Y12" s="25">
        <f ca="1">IF(C12="","",[1]!hks_stm_bs(C12,"128",F12,1,"",100000000))</f>
        <v>83.837027470999999</v>
      </c>
      <c r="Z12" s="25">
        <f ca="1">IF(C12="","",[1]!hks_stm_bs(C12,"145",F12,1,"",100000000))</f>
        <v>178.06342884110001</v>
      </c>
      <c r="AA12" s="25">
        <f ca="1">IF(C12="","",[1]!hks_stm_bs(C12,"140",F12,1,"",100000000))</f>
        <v>175.93268620810002</v>
      </c>
      <c r="AB12" s="25">
        <f ca="1">IF(C12="","",[1]!hks_stm_cs(C12,"39",F12,1,"",100000000))</f>
        <v>23.596651239</v>
      </c>
      <c r="AC12" s="25">
        <f ca="1">IF(C12="","",[1]!hks_stm_cs(C12,"1020",F12,1,"",100000000))</f>
        <v>5.9723829401000001</v>
      </c>
      <c r="AD12" s="25">
        <f ca="1">IF(C12="","",[1]!hks_stm_cs(C12,"59",F12,1,"",100000000))</f>
        <v>-5.5174124235999997</v>
      </c>
      <c r="AE12" s="25">
        <f ca="1">IF(C12="","",[1]!hks_stm_cs(C12,"77",F12,1,"",100000000))</f>
        <v>-15.0556062671</v>
      </c>
      <c r="AF12" s="25">
        <f ca="1">IF(C12="","",[1]!hks_stm_cs(C12,"82",F12,1,"",100000000))</f>
        <v>3.0239912448999999</v>
      </c>
      <c r="AG12" s="25">
        <f ca="1">IF(C12="","",[1]!hks_stm_cs(C12,"84",F12,1,"",100000000))</f>
        <v>25.215467082499998</v>
      </c>
      <c r="AH12" s="35"/>
    </row>
    <row r="13" spans="1:66" s="36" customFormat="1" ht="16.5" x14ac:dyDescent="0.2">
      <c r="A13" s="2"/>
      <c r="B13" s="6"/>
      <c r="C13" s="28" t="str">
        <f>IF(表1[[#This Row],[列1]]="","",表1[[#This Row],[列1]])</f>
        <v>600006.SH</v>
      </c>
      <c r="D13" s="19" t="str">
        <f>IF(C13="","",[1]!hks_info_name(C13))</f>
        <v>东风股份</v>
      </c>
      <c r="E13" s="18" t="str">
        <f ca="1">IF(C13="","",[1]!lastradeday_s(C13,TODAY()))</f>
        <v>2024-12-09</v>
      </c>
      <c r="F13" s="19" t="str">
        <f ca="1">IF(C13="","",IF(OR([1]!s_stm_rpt_e(C13,基本资料!$I$8,0)="#N/A",[1]!s_stm_rpt_e(C13,基本资料!$I$8,0)="",[1]!s_stm_rpt_e(C13,基本资料!$I$8,0)=0),[1]!s_stm_rpt_e(C13,基本资料!$I$9,0),[1]!s_stm_rpt_e(C13,基本资料!$I$8,0)))</f>
        <v>2023-12-31</v>
      </c>
      <c r="G13" s="19" t="str">
        <f ca="1">IF(C13="","",[1]!hks_info_cur2(C13,F13))</f>
        <v>CNY</v>
      </c>
      <c r="H13" s="27">
        <f ca="1">IF(C13="","",[1]!hks_stm_is(C13,"83",F13,1,"",100000000))</f>
        <v>119.66827175600001</v>
      </c>
      <c r="I13" s="23">
        <f ca="1">IF(C13="","",[1]!hks_stm_is(C13,"1032",F13,1,"",100000000))</f>
        <v>127.7397797965</v>
      </c>
      <c r="J13" s="23">
        <f ca="1">IF(C13="","",[1]!hks_stm_is(C13,"1041",F13,1,"",100000000))</f>
        <v>-8.0715080404999995</v>
      </c>
      <c r="K13" s="23">
        <f ca="1">IF(C13="","",[1]!hks_stm_is(C13,"61",F13,1,"",100000000))</f>
        <v>2.0004117146999998</v>
      </c>
      <c r="L13" s="23">
        <f ca="1">IF(C13="","",[1]!hks_stm_is(C13,"1075",F13,1,"",100000000))</f>
        <v>2.0004117146999998</v>
      </c>
      <c r="M13" s="23">
        <f ca="1">IF(C13="","",[1]!hks_stm_is(C13,"1077",F13,1,"",100000000))</f>
        <v>3.4884019299999999E-2</v>
      </c>
      <c r="N13" s="23">
        <f ca="1">IF(C13="","",[1]!hks_stm_is(C13,"1030",F13,1,"",100000000))</f>
        <v>0</v>
      </c>
      <c r="O13" s="23">
        <f ca="1">IF(C13="","",[1]!hks_fa_ebit(C13,F13,1,"",100000000))</f>
        <v>2.0562678709000002</v>
      </c>
      <c r="P13" s="25">
        <f ca="1">IF(C13="","",[1]!hks_fa_ebitda(C13,F13,1,"",100000000))</f>
        <v>4.9567803554000003</v>
      </c>
      <c r="Q13" s="25">
        <f ca="1">IF(C13="","",[1]!hks_stm_bs(C13,"9",F13,1,"",100000000))</f>
        <v>48.640321926099993</v>
      </c>
      <c r="R13" s="25">
        <f ca="1">IF(C13="","",[1]!hks_stm_bs(C13,"25",F13,1,"",100000000))</f>
        <v>146.1068842837</v>
      </c>
      <c r="S13" s="25">
        <f ca="1">IF(C13="","",[1]!hks_stm_bs(C13,"1088",F13,1,"",100000000))</f>
        <v>0</v>
      </c>
      <c r="T13" s="25">
        <f ca="1">IF(C13="","",[1]!hks_stm_bs(C13,"46",F13,1,"",100000000))</f>
        <v>45.611976539799997</v>
      </c>
      <c r="U13" s="25">
        <f ca="1">IF(C13="","",[1]!hks_stm_bs(C13,"29",F13,1,"",100000000))</f>
        <v>15.486994003</v>
      </c>
      <c r="V13" s="25">
        <f ca="1">IF(C13="","",[1]!hks_stm_bs(C13,"74",F13,1,"",100000000))</f>
        <v>191.71886082349999</v>
      </c>
      <c r="W13" s="25">
        <f ca="1">IF(C13="","",[1]!hks_stm_bs(C13,"93",F13,1,"",100000000))</f>
        <v>97.287481805599995</v>
      </c>
      <c r="X13" s="25">
        <f ca="1">IF(C13="","",[1]!hks_stm_bs(C13,"1017",F13,1,"",100000000))</f>
        <v>8.4510965380999998</v>
      </c>
      <c r="Y13" s="25">
        <f ca="1">IF(C13="","",[1]!hks_stm_bs(C13,"128",F13,1,"",100000000))</f>
        <v>105.73857834370001</v>
      </c>
      <c r="Z13" s="25">
        <f ca="1">IF(C13="","",[1]!hks_stm_bs(C13,"145",F13,1,"",100000000))</f>
        <v>85.980282479799996</v>
      </c>
      <c r="AA13" s="25">
        <f ca="1">IF(C13="","",[1]!hks_stm_bs(C13,"140",F13,1,"",100000000))</f>
        <v>83.09637417399999</v>
      </c>
      <c r="AB13" s="25">
        <f ca="1">IF(C13="","",[1]!hks_stm_cs(C13,"39",F13,1,"",100000000))</f>
        <v>-2.6555485055000001</v>
      </c>
      <c r="AC13" s="25">
        <f ca="1">IF(C13="","",[1]!hks_stm_cs(C13,"1020",F13,1,"",100000000))</f>
        <v>2.0320085332</v>
      </c>
      <c r="AD13" s="25">
        <f ca="1">IF(C13="","",[1]!hks_stm_cs(C13,"59",F13,1,"",100000000))</f>
        <v>-2.5577558853999998</v>
      </c>
      <c r="AE13" s="25">
        <f ca="1">IF(C13="","",[1]!hks_stm_cs(C13,"77",F13,1,"",100000000))</f>
        <v>-0.98847044939999995</v>
      </c>
      <c r="AF13" s="25">
        <f ca="1">IF(C13="","",[1]!hks_stm_cs(C13,"82",F13,1,"",100000000))</f>
        <v>-6.1973938538999995</v>
      </c>
      <c r="AG13" s="25">
        <f ca="1">IF(C13="","",[1]!hks_stm_cs(C13,"84",F13,1,"",100000000))</f>
        <v>48.640321926099993</v>
      </c>
      <c r="AH13" s="35"/>
    </row>
    <row r="14" spans="1:66" s="36" customFormat="1" ht="16.5" x14ac:dyDescent="0.2">
      <c r="A14" s="2"/>
      <c r="B14" s="6"/>
      <c r="C14" s="28" t="str">
        <f>IF(表1[[#This Row],[列1]]="","",表1[[#This Row],[列1]])</f>
        <v>600007.SH</v>
      </c>
      <c r="D14" s="19" t="str">
        <f>IF(C14="","",[1]!hks_info_name(C14))</f>
        <v>中国国贸</v>
      </c>
      <c r="E14" s="18" t="str">
        <f ca="1">IF(C14="","",[1]!lastradeday_s(C14,TODAY()))</f>
        <v>2024-12-09</v>
      </c>
      <c r="F14" s="19" t="str">
        <f ca="1">IF(C14="","",IF(OR([1]!s_stm_rpt_e(C14,基本资料!$I$8,0)="#N/A",[1]!s_stm_rpt_e(C14,基本资料!$I$8,0)="",[1]!s_stm_rpt_e(C14,基本资料!$I$8,0)=0),[1]!s_stm_rpt_e(C14,基本资料!$I$9,0),[1]!s_stm_rpt_e(C14,基本资料!$I$8,0)))</f>
        <v>2023-12-31</v>
      </c>
      <c r="G14" s="19" t="str">
        <f ca="1">IF(C14="","",[1]!hks_info_cur2(C14,F14))</f>
        <v>CNY</v>
      </c>
      <c r="H14" s="27">
        <f ca="1">IF(C14="","",[1]!hks_stm_is(C14,"83",F14,1,"",100000000))</f>
        <v>35.694647070000002</v>
      </c>
      <c r="I14" s="23">
        <f ca="1">IF(C14="","",[1]!hks_stm_is(C14,"1032",F14,1,"",100000000))</f>
        <v>18.673463869999999</v>
      </c>
      <c r="J14" s="23">
        <f ca="1">IF(C14="","",[1]!hks_stm_is(C14,"1041",F14,1,"",100000000))</f>
        <v>17.021183199999999</v>
      </c>
      <c r="K14" s="23">
        <f ca="1">IF(C14="","",[1]!hks_stm_is(C14,"61",F14,1,"",100000000))</f>
        <v>12.592013270000001</v>
      </c>
      <c r="L14" s="23">
        <f ca="1">IF(C14="","",[1]!hks_stm_is(C14,"1075",F14,1,"",100000000))</f>
        <v>12.592013270000001</v>
      </c>
      <c r="M14" s="23">
        <f ca="1">IF(C14="","",[1]!hks_stm_is(C14,"1077",F14,1,"",100000000))</f>
        <v>7.7582639999999994E-2</v>
      </c>
      <c r="N14" s="23">
        <f ca="1">IF(C14="","",[1]!hks_stm_is(C14,"1030",F14,1,"",100000000))</f>
        <v>0</v>
      </c>
      <c r="O14" s="23">
        <f ca="1">IF(C14="","",[1]!hks_fa_ebit(C14,F14,1,"",100000000))</f>
        <v>16.802588249999999</v>
      </c>
      <c r="P14" s="25">
        <f ca="1">IF(C14="","",[1]!hks_fa_ebitda(C14,F14,1,"",100000000))</f>
        <v>21.51875566</v>
      </c>
      <c r="Q14" s="25">
        <f ca="1">IF(C14="","",[1]!hks_stm_bs(C14,"9",F14,1,"",100000000))</f>
        <v>38.901691159999999</v>
      </c>
      <c r="R14" s="25">
        <f ca="1">IF(C14="","",[1]!hks_stm_bs(C14,"25",F14,1,"",100000000))</f>
        <v>44.24155769</v>
      </c>
      <c r="S14" s="25">
        <f ca="1">IF(C14="","",[1]!hks_stm_bs(C14,"1088",F14,1,"",100000000))</f>
        <v>0</v>
      </c>
      <c r="T14" s="25">
        <f ca="1">IF(C14="","",[1]!hks_stm_bs(C14,"46",F14,1,"",100000000))</f>
        <v>84.569792660000005</v>
      </c>
      <c r="U14" s="25">
        <f ca="1">IF(C14="","",[1]!hks_stm_bs(C14,"29",F14,1,"",100000000))</f>
        <v>0.29422110000000001</v>
      </c>
      <c r="V14" s="25">
        <f ca="1">IF(C14="","",[1]!hks_stm_bs(C14,"74",F14,1,"",100000000))</f>
        <v>128.81135035</v>
      </c>
      <c r="W14" s="25">
        <f ca="1">IF(C14="","",[1]!hks_stm_bs(C14,"93",F14,1,"",100000000))</f>
        <v>20.543555059999999</v>
      </c>
      <c r="X14" s="25">
        <f ca="1">IF(C14="","",[1]!hks_stm_bs(C14,"1017",F14,1,"",100000000))</f>
        <v>11.22795541</v>
      </c>
      <c r="Y14" s="25">
        <f ca="1">IF(C14="","",[1]!hks_stm_bs(C14,"128",F14,1,"",100000000))</f>
        <v>31.771510469999999</v>
      </c>
      <c r="Z14" s="25">
        <f ca="1">IF(C14="","",[1]!hks_stm_bs(C14,"145",F14,1,"",100000000))</f>
        <v>97.039839880000002</v>
      </c>
      <c r="AA14" s="25">
        <f ca="1">IF(C14="","",[1]!hks_stm_bs(C14,"140",F14,1,"",100000000))</f>
        <v>97.001583269999998</v>
      </c>
      <c r="AB14" s="25">
        <f ca="1">IF(C14="","",[1]!hks_stm_cs(C14,"39",F14,1,"",100000000))</f>
        <v>19.18660921</v>
      </c>
      <c r="AC14" s="25">
        <f ca="1">IF(C14="","",[1]!hks_stm_cs(C14,"1020",F14,1,"",100000000))</f>
        <v>0.66012132999999995</v>
      </c>
      <c r="AD14" s="25">
        <f ca="1">IF(C14="","",[1]!hks_stm_cs(C14,"59",F14,1,"",100000000))</f>
        <v>-0.64835794000000002</v>
      </c>
      <c r="AE14" s="25">
        <f ca="1">IF(C14="","",[1]!hks_stm_cs(C14,"77",F14,1,"",100000000))</f>
        <v>-12.89833762</v>
      </c>
      <c r="AF14" s="25">
        <f ca="1">IF(C14="","",[1]!hks_stm_cs(C14,"82",F14,1,"",100000000))</f>
        <v>5.6361681600000004</v>
      </c>
      <c r="AG14" s="25">
        <f ca="1">IF(C14="","",[1]!hks_stm_cs(C14,"84",F14,1,"",100000000))</f>
        <v>38.901691159999999</v>
      </c>
      <c r="AH14" s="35"/>
    </row>
    <row r="15" spans="1:66" s="36" customFormat="1" ht="16.5" x14ac:dyDescent="0.2">
      <c r="A15" s="2"/>
      <c r="B15" s="6"/>
      <c r="C15" s="28" t="str">
        <f>IF(表1[[#This Row],[列1]]="","",表1[[#This Row],[列1]])</f>
        <v>600941.SH</v>
      </c>
      <c r="D15" s="19" t="str">
        <f>IF(C15="","",[1]!hks_info_name(C15))</f>
        <v>中国移动</v>
      </c>
      <c r="E15" s="18" t="str">
        <f ca="1">IF(C15="","",[1]!lastradeday_s(C15,TODAY()))</f>
        <v>2024-12-09</v>
      </c>
      <c r="F15" s="19" t="str">
        <f ca="1">IF(C15="","",IF(OR([1]!s_stm_rpt_e(C15,基本资料!$I$8,0)="#N/A",[1]!s_stm_rpt_e(C15,基本资料!$I$8,0)="",[1]!s_stm_rpt_e(C15,基本资料!$I$8,0)=0),[1]!s_stm_rpt_e(C15,基本资料!$I$9,0),[1]!s_stm_rpt_e(C15,基本资料!$I$8,0)))</f>
        <v>2023-12-31</v>
      </c>
      <c r="G15" s="19" t="str">
        <f ca="1">IF(C15="","",[1]!hks_info_cur2(C15,F15))</f>
        <v>CNY</v>
      </c>
      <c r="H15" s="27">
        <f ca="1">IF(C15="","",[1]!hks_stm_is(C15,"83",F15,1,"",100000000))</f>
        <v>10134.68</v>
      </c>
      <c r="I15" s="23">
        <f ca="1">IF(C15="","",[1]!hks_stm_is(C15,"1032",F15,1,"",100000000))</f>
        <v>8743.57</v>
      </c>
      <c r="J15" s="23">
        <f ca="1">IF(C15="","",[1]!hks_stm_is(C15,"1041",F15,1,"",100000000))</f>
        <v>1391.11</v>
      </c>
      <c r="K15" s="23">
        <f ca="1">IF(C15="","",[1]!hks_stm_is(C15,"61",F15,1,"",100000000))</f>
        <v>1317.66</v>
      </c>
      <c r="L15" s="23">
        <f ca="1">IF(C15="","",[1]!hks_stm_is(C15,"1075",F15,1,"",100000000))</f>
        <v>1317.66</v>
      </c>
      <c r="M15" s="23">
        <f ca="1">IF(C15="","",[1]!hks_stm_is(C15,"1077",F15,1,"",100000000))</f>
        <v>150.35</v>
      </c>
      <c r="N15" s="23">
        <f ca="1">IF(C15="","",[1]!hks_stm_is(C15,"1030",F15,1,"",100000000))</f>
        <v>68.150000000000006</v>
      </c>
      <c r="O15" s="23">
        <f ca="1">IF(C15="","",[1]!hks_fa_ebit(C15,F15,1,"",100000000))</f>
        <v>1667.51</v>
      </c>
      <c r="P15" s="25">
        <f ca="1">IF(C15="","",[1]!hks_fa_ebitda(C15,F15,1,"",100000000))</f>
        <v>3738.83</v>
      </c>
      <c r="Q15" s="25">
        <f ca="1">IF(C15="","",[1]!hks_stm_bs(C15,"9",F15,1,"",100000000))</f>
        <v>1415.59</v>
      </c>
      <c r="R15" s="25">
        <f ca="1">IF(C15="","",[1]!hks_stm_bs(C15,"25",F15,1,"",100000000))</f>
        <v>4981.04</v>
      </c>
      <c r="S15" s="25">
        <f ca="1">IF(C15="","",[1]!hks_stm_bs(C15,"1088",F15,1,"",100000000))</f>
        <v>0</v>
      </c>
      <c r="T15" s="25">
        <f ca="1">IF(C15="","",[1]!hks_stm_bs(C15,"46",F15,1,"",100000000))</f>
        <v>14945.53</v>
      </c>
      <c r="U15" s="25">
        <f ca="1">IF(C15="","",[1]!hks_stm_bs(C15,"29",F15,1,"",100000000))</f>
        <v>1817.15</v>
      </c>
      <c r="V15" s="25">
        <f ca="1">IF(C15="","",[1]!hks_stm_bs(C15,"74",F15,1,"",100000000))</f>
        <v>19926.57</v>
      </c>
      <c r="W15" s="25">
        <f ca="1">IF(C15="","",[1]!hks_stm_bs(C15,"93",F15,1,"",100000000))</f>
        <v>5585.65</v>
      </c>
      <c r="X15" s="25">
        <f ca="1">IF(C15="","",[1]!hks_stm_bs(C15,"1017",F15,1,"",100000000))</f>
        <v>881.07</v>
      </c>
      <c r="Y15" s="25">
        <f ca="1">IF(C15="","",[1]!hks_stm_bs(C15,"128",F15,1,"",100000000))</f>
        <v>6466.72</v>
      </c>
      <c r="Z15" s="25">
        <f ca="1">IF(C15="","",[1]!hks_stm_bs(C15,"145",F15,1,"",100000000))</f>
        <v>13459.85</v>
      </c>
      <c r="AA15" s="25">
        <f ca="1">IF(C15="","",[1]!hks_stm_bs(C15,"140",F15,1,"",100000000))</f>
        <v>13417.32</v>
      </c>
      <c r="AB15" s="25">
        <f ca="1">IF(C15="","",[1]!hks_stm_cs(C15,"39",F15,1,"",100000000))</f>
        <v>3037.8</v>
      </c>
      <c r="AC15" s="25">
        <f ca="1">IF(C15="","",[1]!hks_stm_cs(C15,"1020",F15,1,"",100000000))</f>
        <v>1812.63</v>
      </c>
      <c r="AD15" s="25">
        <f ca="1">IF(C15="","",[1]!hks_stm_cs(C15,"59",F15,1,"",100000000))</f>
        <v>-2056.9899999999998</v>
      </c>
      <c r="AE15" s="25">
        <f ca="1">IF(C15="","",[1]!hks_stm_cs(C15,"77",F15,1,"",100000000))</f>
        <v>-1238.43</v>
      </c>
      <c r="AF15" s="25">
        <f ca="1">IF(C15="","",[1]!hks_stm_cs(C15,"82",F15,1,"",100000000))</f>
        <v>-255.47</v>
      </c>
      <c r="AG15" s="25">
        <f ca="1">IF(C15="","",[1]!hks_stm_cs(C15,"84",F15,1,"",100000000))</f>
        <v>1415.59</v>
      </c>
      <c r="AH15" s="35"/>
    </row>
    <row r="16" spans="1:66" s="36" customFormat="1" ht="16.5" x14ac:dyDescent="0.2">
      <c r="A16" s="2"/>
      <c r="B16" s="6"/>
      <c r="C16" s="28" t="str">
        <f>IF(表1[[#This Row],[列1]]="","",表1[[#This Row],[列1]])</f>
        <v>603160.SH</v>
      </c>
      <c r="D16" s="19" t="str">
        <f>IF(C16="","",[1]!hks_info_name(C16))</f>
        <v>汇顶科技</v>
      </c>
      <c r="E16" s="18" t="str">
        <f ca="1">IF(C16="","",[1]!lastradeday_s(C16,TODAY()))</f>
        <v>2024-12-09</v>
      </c>
      <c r="F16" s="19" t="str">
        <f ca="1">IF(C16="","",IF(OR([1]!s_stm_rpt_e(C16,基本资料!$I$8,0)="#N/A",[1]!s_stm_rpt_e(C16,基本资料!$I$8,0)="",[1]!s_stm_rpt_e(C16,基本资料!$I$8,0)=0),[1]!s_stm_rpt_e(C16,基本资料!$I$9,0),[1]!s_stm_rpt_e(C16,基本资料!$I$8,0)))</f>
        <v>2023-12-31</v>
      </c>
      <c r="G16" s="19" t="str">
        <f ca="1">IF(C16="","",[1]!hks_info_cur2(C16,F16))</f>
        <v>CNY</v>
      </c>
      <c r="H16" s="27">
        <f ca="1">IF(C16="","",[1]!hks_stm_is(C16,"83",F16,1,"",100000000))</f>
        <v>43.792759021499997</v>
      </c>
      <c r="I16" s="23">
        <f ca="1">IF(C16="","",[1]!hks_stm_is(C16,"1032",F16,1,"",100000000))</f>
        <v>48.570477873800002</v>
      </c>
      <c r="J16" s="23">
        <f ca="1">IF(C16="","",[1]!hks_stm_is(C16,"1041",F16,1,"",100000000))</f>
        <v>-4.7777188523000005</v>
      </c>
      <c r="K16" s="23">
        <f ca="1">IF(C16="","",[1]!hks_stm_is(C16,"61",F16,1,"",100000000))</f>
        <v>1.6505493306000001</v>
      </c>
      <c r="L16" s="23">
        <f ca="1">IF(C16="","",[1]!hks_stm_is(C16,"1075",F16,1,"",100000000))</f>
        <v>1.6505493306000001</v>
      </c>
      <c r="M16" s="23">
        <f ca="1">IF(C16="","",[1]!hks_stm_is(C16,"1077",F16,1,"",100000000))</f>
        <v>-0.27270092610000002</v>
      </c>
      <c r="N16" s="23">
        <f ca="1">IF(C16="","",[1]!hks_stm_is(C16,"1030",F16,1,"",100000000))</f>
        <v>0</v>
      </c>
      <c r="O16" s="23">
        <f ca="1">IF(C16="","",[1]!hks_fa_ebit(C16,F16,1,"",100000000))</f>
        <v>0.74234867069999988</v>
      </c>
      <c r="P16" s="25">
        <f ca="1">IF(C16="","",[1]!hks_fa_ebitda(C16,F16,1,"",100000000))</f>
        <v>3.7573116524999999</v>
      </c>
      <c r="Q16" s="25">
        <f ca="1">IF(C16="","",[1]!hks_stm_bs(C16,"9",F16,1,"",100000000))</f>
        <v>8.2883178919000002</v>
      </c>
      <c r="R16" s="25">
        <f ca="1">IF(C16="","",[1]!hks_stm_bs(C16,"25",F16,1,"",100000000))</f>
        <v>55.528055369499995</v>
      </c>
      <c r="S16" s="25">
        <f ca="1">IF(C16="","",[1]!hks_stm_bs(C16,"1088",F16,1,"",100000000))</f>
        <v>0</v>
      </c>
      <c r="T16" s="25">
        <f ca="1">IF(C16="","",[1]!hks_stm_bs(C16,"46",F16,1,"",100000000))</f>
        <v>41.742254429900001</v>
      </c>
      <c r="U16" s="25">
        <f ca="1">IF(C16="","",[1]!hks_stm_bs(C16,"29",F16,1,"",100000000))</f>
        <v>0</v>
      </c>
      <c r="V16" s="25">
        <f ca="1">IF(C16="","",[1]!hks_stm_bs(C16,"74",F16,1,"",100000000))</f>
        <v>97.27030979940001</v>
      </c>
      <c r="W16" s="25">
        <f ca="1">IF(C16="","",[1]!hks_stm_bs(C16,"93",F16,1,"",100000000))</f>
        <v>13.2527835203</v>
      </c>
      <c r="X16" s="25">
        <f ca="1">IF(C16="","",[1]!hks_stm_bs(C16,"1017",F16,1,"",100000000))</f>
        <v>3.5647203395</v>
      </c>
      <c r="Y16" s="25">
        <f ca="1">IF(C16="","",[1]!hks_stm_bs(C16,"128",F16,1,"",100000000))</f>
        <v>16.817503859799999</v>
      </c>
      <c r="Z16" s="25">
        <f ca="1">IF(C16="","",[1]!hks_stm_bs(C16,"145",F16,1,"",100000000))</f>
        <v>80.452805939599997</v>
      </c>
      <c r="AA16" s="25">
        <f ca="1">IF(C16="","",[1]!hks_stm_bs(C16,"140",F16,1,"",100000000))</f>
        <v>80.452797539900004</v>
      </c>
      <c r="AB16" s="25">
        <f ca="1">IF(C16="","",[1]!hks_stm_cs(C16,"39",F16,1,"",100000000))</f>
        <v>17.857707374500002</v>
      </c>
      <c r="AC16" s="25">
        <f ca="1">IF(C16="","",[1]!hks_stm_cs(C16,"1020",F16,1,"",100000000))</f>
        <v>4.3382634845999997</v>
      </c>
      <c r="AD16" s="25">
        <f ca="1">IF(C16="","",[1]!hks_stm_cs(C16,"59",F16,1,"",100000000))</f>
        <v>-17.2821521911</v>
      </c>
      <c r="AE16" s="25">
        <f ca="1">IF(C16="","",[1]!hks_stm_cs(C16,"77",F16,1,"",100000000))</f>
        <v>-3.0969067025000001</v>
      </c>
      <c r="AF16" s="25">
        <f ca="1">IF(C16="","",[1]!hks_stm_cs(C16,"82",F16,1,"",100000000))</f>
        <v>-2.3844304527000002</v>
      </c>
      <c r="AG16" s="25">
        <f ca="1">IF(C16="","",[1]!hks_stm_cs(C16,"84",F16,1,"",100000000))</f>
        <v>8.2883178919000002</v>
      </c>
      <c r="AH16" s="35"/>
    </row>
    <row r="17" spans="1:34" s="36" customFormat="1" ht="16.5" x14ac:dyDescent="0.2">
      <c r="A17" s="2"/>
      <c r="B17" s="6"/>
      <c r="C17" s="28" t="str">
        <f>IF(表1[[#This Row],[列1]]="","",表1[[#This Row],[列1]])</f>
        <v>688111.SH</v>
      </c>
      <c r="D17" s="19" t="str">
        <f>IF(C17="","",[1]!hks_info_name(C17))</f>
        <v>金山办公</v>
      </c>
      <c r="E17" s="18" t="str">
        <f ca="1">IF(C17="","",[1]!lastradeday_s(C17,TODAY()))</f>
        <v>2024-12-09</v>
      </c>
      <c r="F17" s="19" t="str">
        <f ca="1">IF(C17="","",IF(OR([1]!s_stm_rpt_e(C17,基本资料!$I$8,0)="#N/A",[1]!s_stm_rpt_e(C17,基本资料!$I$8,0)="",[1]!s_stm_rpt_e(C17,基本资料!$I$8,0)=0),[1]!s_stm_rpt_e(C17,基本资料!$I$9,0),[1]!s_stm_rpt_e(C17,基本资料!$I$8,0)))</f>
        <v>2023-12-31</v>
      </c>
      <c r="G17" s="19" t="str">
        <f ca="1">IF(C17="","",[1]!hks_info_cur2(C17,F17))</f>
        <v>CNY</v>
      </c>
      <c r="H17" s="27">
        <f ca="1">IF(C17="","",[1]!hks_stm_is(C17,"83",F17,1,"",100000000))</f>
        <v>45.188068590900002</v>
      </c>
      <c r="I17" s="23">
        <f ca="1">IF(C17="","",[1]!hks_stm_is(C17,"1032",F17,1,"",100000000))</f>
        <v>35.842021056299998</v>
      </c>
      <c r="J17" s="23">
        <f ca="1">IF(C17="","",[1]!hks_stm_is(C17,"1041",F17,1,"",100000000))</f>
        <v>9.3460475346000003</v>
      </c>
      <c r="K17" s="23">
        <f ca="1">IF(C17="","",[1]!hks_stm_is(C17,"61",F17,1,"",100000000))</f>
        <v>13.177370426900001</v>
      </c>
      <c r="L17" s="23">
        <f ca="1">IF(C17="","",[1]!hks_stm_is(C17,"1075",F17,1,"",100000000))</f>
        <v>13.177370426900001</v>
      </c>
      <c r="M17" s="23">
        <f ca="1">IF(C17="","",[1]!hks_stm_is(C17,"1077",F17,1,"",100000000))</f>
        <v>-0.13367833939999998</v>
      </c>
      <c r="N17" s="23">
        <f ca="1">IF(C17="","",[1]!hks_stm_is(C17,"1030",F17,1,"",100000000))</f>
        <v>0</v>
      </c>
      <c r="O17" s="23">
        <f ca="1">IF(C17="","",[1]!hks_fa_ebit(C17,F17,1,"",100000000))</f>
        <v>13.898394719700001</v>
      </c>
      <c r="P17" s="25">
        <f ca="1">IF(C17="","",[1]!hks_fa_ebitda(C17,F17,1,"",100000000))</f>
        <v>14.701951255799999</v>
      </c>
      <c r="Q17" s="25">
        <f ca="1">IF(C17="","",[1]!hks_stm_bs(C17,"9",F17,1,"",100000000))</f>
        <v>34.7392285452</v>
      </c>
      <c r="R17" s="25">
        <f ca="1">IF(C17="","",[1]!hks_stm_bs(C17,"25",F17,1,"",100000000))</f>
        <v>101.4696078249</v>
      </c>
      <c r="S17" s="25">
        <f ca="1">IF(C17="","",[1]!hks_stm_bs(C17,"1088",F17,1,"",100000000))</f>
        <v>0</v>
      </c>
      <c r="T17" s="25">
        <f ca="1">IF(C17="","",[1]!hks_stm_bs(C17,"46",F17,1,"",100000000))</f>
        <v>38.2706052546</v>
      </c>
      <c r="U17" s="25">
        <f ca="1">IF(C17="","",[1]!hks_stm_bs(C17,"29",F17,1,"",100000000))</f>
        <v>10.940629485100001</v>
      </c>
      <c r="V17" s="25">
        <f ca="1">IF(C17="","",[1]!hks_stm_bs(C17,"74",F17,1,"",100000000))</f>
        <v>139.74021307949999</v>
      </c>
      <c r="W17" s="25">
        <f ca="1">IF(C17="","",[1]!hks_stm_bs(C17,"93",F17,1,"",100000000))</f>
        <v>31.5378778619</v>
      </c>
      <c r="X17" s="25">
        <f ca="1">IF(C17="","",[1]!hks_stm_bs(C17,"1017",F17,1,"",100000000))</f>
        <v>8.0062728294000003</v>
      </c>
      <c r="Y17" s="25">
        <f ca="1">IF(C17="","",[1]!hks_stm_bs(C17,"128",F17,1,"",100000000))</f>
        <v>39.544150691300004</v>
      </c>
      <c r="Z17" s="25">
        <f ca="1">IF(C17="","",[1]!hks_stm_bs(C17,"145",F17,1,"",100000000))</f>
        <v>100.19606238819999</v>
      </c>
      <c r="AA17" s="25">
        <f ca="1">IF(C17="","",[1]!hks_stm_bs(C17,"140",F17,1,"",100000000))</f>
        <v>99.487977277499994</v>
      </c>
      <c r="AB17" s="25">
        <f ca="1">IF(C17="","",[1]!hks_stm_cs(C17,"39",F17,1,"",100000000))</f>
        <v>20.575470793000001</v>
      </c>
      <c r="AC17" s="25">
        <f ca="1">IF(C17="","",[1]!hks_stm_cs(C17,"1020",F17,1,"",100000000))</f>
        <v>1.6584837521</v>
      </c>
      <c r="AD17" s="25">
        <f ca="1">IF(C17="","",[1]!hks_stm_cs(C17,"59",F17,1,"",100000000))</f>
        <v>-52.099183751200002</v>
      </c>
      <c r="AE17" s="25">
        <f ca="1">IF(C17="","",[1]!hks_stm_cs(C17,"77",F17,1,"",100000000))</f>
        <v>-3.8453620269000002</v>
      </c>
      <c r="AF17" s="25">
        <f ca="1">IF(C17="","",[1]!hks_stm_cs(C17,"82",F17,1,"",100000000))</f>
        <v>-35.389349740900002</v>
      </c>
      <c r="AG17" s="25">
        <f ca="1">IF(C17="","",[1]!hks_stm_cs(C17,"84",F17,1,"",100000000))</f>
        <v>34.7392285452</v>
      </c>
      <c r="AH17" s="35"/>
    </row>
    <row r="18" spans="1:34" s="36" customFormat="1" ht="16.5" x14ac:dyDescent="0.2">
      <c r="A18" s="2"/>
      <c r="B18" s="6"/>
      <c r="C18" s="28" t="str">
        <f>IF(表1[[#This Row],[列1]]="","",表1[[#This Row],[列1]])</f>
        <v>0700.HK</v>
      </c>
      <c r="D18" s="19" t="str">
        <f>IF(C18="","",[1]!hks_info_name(C18))</f>
        <v>腾讯控股</v>
      </c>
      <c r="E18" s="18" t="str">
        <f ca="1">IF(C18="","",[1]!lastradeday_s(C18,TODAY()))</f>
        <v>2024-12-06</v>
      </c>
      <c r="F18" s="19" t="str">
        <f ca="1">IF(C18="","",IF(OR([1]!s_stm_rpt_e(C18,基本资料!$I$8,0)="#N/A",[1]!s_stm_rpt_e(C18,基本资料!$I$8,0)="",[1]!s_stm_rpt_e(C18,基本资料!$I$8,0)=0),[1]!s_stm_rpt_e(C18,基本资料!$I$9,0),[1]!s_stm_rpt_e(C18,基本资料!$I$8,0)))</f>
        <v>2023-12-31</v>
      </c>
      <c r="G18" s="19" t="str">
        <f ca="1">IF(C18="","",[1]!hks_info_cur2(C18,F18))</f>
        <v>CNY</v>
      </c>
      <c r="H18" s="27">
        <f ca="1">IF(C18="","",[1]!hks_stm_is(C18,"83",F18,1,"",100000000))</f>
        <v>6090.15</v>
      </c>
      <c r="I18" s="23">
        <f ca="1">IF(C18="","",[1]!hks_stm_is(C18,"1032",F18,1,"",100000000))</f>
        <v>4562.3100000000004</v>
      </c>
      <c r="J18" s="23">
        <f ca="1">IF(C18="","",[1]!hks_stm_is(C18,"1041",F18,1,"",100000000))</f>
        <v>1527.84</v>
      </c>
      <c r="K18" s="23">
        <f ca="1">IF(C18="","",[1]!hks_stm_is(C18,"61",F18,1,"",100000000))</f>
        <v>1152.1600000000001</v>
      </c>
      <c r="L18" s="23">
        <f ca="1">IF(C18="","",[1]!hks_stm_is(C18,"1075",F18,1,"",100000000))</f>
        <v>1152.1600000000001</v>
      </c>
      <c r="M18" s="23">
        <f ca="1">IF(C18="","",[1]!hks_stm_is(C18,"1077",F18,1,"",100000000))</f>
        <v>65.02</v>
      </c>
      <c r="N18" s="23">
        <f ca="1">IF(C18="","",[1]!hks_stm_is(C18,"1030",F18,1,"",100000000))</f>
        <v>640.78</v>
      </c>
      <c r="O18" s="23">
        <f ca="1">IF(C18="","",[1]!hks_fa_ebit(C18,F18,1,"",100000000))</f>
        <v>1594.01</v>
      </c>
      <c r="P18" s="25">
        <f ca="1">IF(C18="","",[1]!hks_fa_ebitda(C18,F18,1,"",100000000))</f>
        <v>2184.09</v>
      </c>
      <c r="Q18" s="25">
        <f ca="1">IF(C18="","",[1]!hks_stm_bs(C18,"9",F18,1,"",100000000))</f>
        <v>1723.2</v>
      </c>
      <c r="R18" s="25">
        <f ca="1">IF(C18="","",[1]!hks_stm_bs(C18,"25",F18,1,"",100000000))</f>
        <v>5184.46</v>
      </c>
      <c r="S18" s="25">
        <f ca="1">IF(C18="","",[1]!hks_stm_bs(C18,"1088",F18,1,"",100000000))</f>
        <v>0</v>
      </c>
      <c r="T18" s="25">
        <f ca="1">IF(C18="","",[1]!hks_stm_bs(C18,"46",F18,1,"",100000000))</f>
        <v>10588</v>
      </c>
      <c r="U18" s="25">
        <f ca="1">IF(C18="","",[1]!hks_stm_bs(C18,"29",F18,1,"",100000000))</f>
        <v>2616.65</v>
      </c>
      <c r="V18" s="25">
        <f ca="1">IF(C18="","",[1]!hks_stm_bs(C18,"74",F18,1,"",100000000))</f>
        <v>15772.46</v>
      </c>
      <c r="W18" s="25">
        <f ca="1">IF(C18="","",[1]!hks_stm_bs(C18,"93",F18,1,"",100000000))</f>
        <v>3521.57</v>
      </c>
      <c r="X18" s="25">
        <f ca="1">IF(C18="","",[1]!hks_stm_bs(C18,"1017",F18,1,"",100000000))</f>
        <v>3514.08</v>
      </c>
      <c r="Y18" s="25">
        <f ca="1">IF(C18="","",[1]!hks_stm_bs(C18,"128",F18,1,"",100000000))</f>
        <v>7035.65</v>
      </c>
      <c r="Z18" s="25">
        <f ca="1">IF(C18="","",[1]!hks_stm_bs(C18,"145",F18,1,"",100000000))</f>
        <v>8736.81</v>
      </c>
      <c r="AA18" s="25">
        <f ca="1">IF(C18="","",[1]!hks_stm_bs(C18,"140",F18,1,"",100000000))</f>
        <v>8085.91</v>
      </c>
      <c r="AB18" s="25">
        <f ca="1">IF(C18="","",[1]!hks_stm_cs(C18,"39",F18,1,"",100000000))</f>
        <v>2219.62</v>
      </c>
      <c r="AC18" s="25">
        <f ca="1">IF(C18="","",[1]!hks_stm_cs(C18,"1020",F18,1,"",100000000))</f>
        <v>474.07</v>
      </c>
      <c r="AD18" s="25">
        <f ca="1">IF(C18="","",[1]!hks_stm_cs(C18,"59",F18,1,"",100000000))</f>
        <v>-1251.6099999999999</v>
      </c>
      <c r="AE18" s="25">
        <f ca="1">IF(C18="","",[1]!hks_stm_cs(C18,"77",F18,1,"",100000000))</f>
        <v>-825.73</v>
      </c>
      <c r="AF18" s="25">
        <f ca="1">IF(C18="","",[1]!hks_stm_cs(C18,"82",F18,1,"",100000000))</f>
        <v>155.81</v>
      </c>
      <c r="AG18" s="25">
        <f ca="1">IF(C18="","",[1]!hks_stm_cs(C18,"84",F18,1,"",100000000))</f>
        <v>1723.2</v>
      </c>
      <c r="AH18" s="35"/>
    </row>
    <row r="19" spans="1:34" s="36" customFormat="1" ht="16.5" x14ac:dyDescent="0.2">
      <c r="A19" s="2"/>
      <c r="B19" s="6"/>
      <c r="C19" s="28" t="str">
        <f>IF(表1[[#This Row],[列1]]="","",表1[[#This Row],[列1]])</f>
        <v>9896.HK</v>
      </c>
      <c r="D19" s="19" t="str">
        <f>IF(C19="","",[1]!hks_info_name(C19))</f>
        <v>名创优品</v>
      </c>
      <c r="E19" s="18" t="str">
        <f ca="1">IF(C19="","",[1]!lastradeday_s(C19,TODAY()))</f>
        <v>2024-12-06</v>
      </c>
      <c r="F19" s="19" t="str">
        <f ca="1">IF(C19="","",IF(OR([1]!s_stm_rpt_e(C19,基本资料!$I$8,0)="#N/A",[1]!s_stm_rpt_e(C19,基本资料!$I$8,0)="",[1]!s_stm_rpt_e(C19,基本资料!$I$8,0)=0),[1]!s_stm_rpt_e(C19,基本资料!$I$9,0),[1]!s_stm_rpt_e(C19,基本资料!$I$8,0)))</f>
        <v>2023-06-30</v>
      </c>
      <c r="G19" s="19" t="str">
        <f ca="1">IF(C19="","",[1]!hks_info_cur2(C19,F19))</f>
        <v>CNY</v>
      </c>
      <c r="H19" s="27">
        <f ca="1">IF(C19="","",[1]!hks_stm_is(C19,"83",F19,1,"",100000000))</f>
        <v>52.668779999999998</v>
      </c>
      <c r="I19" s="23">
        <f ca="1">IF(C19="","",[1]!hks_stm_is(C19,"1032",F19,1,"",100000000))</f>
        <v>43.93253</v>
      </c>
      <c r="J19" s="23">
        <f ca="1">IF(C19="","",[1]!hks_stm_is(C19,"1041",F19,1,"",100000000))</f>
        <v>8.7362500000000001</v>
      </c>
      <c r="K19" s="23">
        <f ca="1">IF(C19="","",[1]!hks_stm_is(C19,"61",F19,1,"",100000000))</f>
        <v>7.6409000000000002</v>
      </c>
      <c r="L19" s="23">
        <f ca="1">IF(C19="","",[1]!hks_stm_is(C19,"1075",F19,1,"",100000000))</f>
        <v>7.6409000000000002</v>
      </c>
      <c r="M19" s="23">
        <f ca="1">IF(C19="","",[1]!hks_stm_is(C19,"1077",F19,1,"",100000000))</f>
        <v>-3.7159999999999999E-2</v>
      </c>
      <c r="N19" s="23">
        <f ca="1">IF(C19="","",[1]!hks_stm_is(C19,"1030",F19,1,"",100000000))</f>
        <v>0</v>
      </c>
      <c r="O19" s="23">
        <f ca="1">IF(C19="","",[1]!hks_fa_ebit(C19,F19,1,"",100000000))</f>
        <v>9.5707000000000004</v>
      </c>
      <c r="P19" s="25">
        <f ca="1">IF(C19="","",[1]!hks_fa_ebitda(C19,F19,1,"",100000000))</f>
        <v>0</v>
      </c>
      <c r="Q19" s="25">
        <f ca="1">IF(C19="","",[1]!hks_stm_bs(C19,"9",F19,1,"",100000000))</f>
        <v>51.866010000000003</v>
      </c>
      <c r="R19" s="25">
        <f ca="1">IF(C19="","",[1]!hks_stm_bs(C19,"25",F19,1,"",100000000))</f>
        <v>87.436920000000001</v>
      </c>
      <c r="S19" s="25">
        <f ca="1">IF(C19="","",[1]!hks_stm_bs(C19,"1088",F19,1,"",100000000))</f>
        <v>0</v>
      </c>
      <c r="T19" s="25">
        <f ca="1">IF(C19="","",[1]!hks_stm_bs(C19,"46",F19,1,"",100000000))</f>
        <v>32.536879999999996</v>
      </c>
      <c r="U19" s="25">
        <f ca="1">IF(C19="","",[1]!hks_stm_bs(C19,"29",F19,1,"",100000000))</f>
        <v>0</v>
      </c>
      <c r="V19" s="25">
        <f ca="1">IF(C19="","",[1]!hks_stm_bs(C19,"74",F19,1,"",100000000))</f>
        <v>119.9738</v>
      </c>
      <c r="W19" s="25">
        <f ca="1">IF(C19="","",[1]!hks_stm_bs(C19,"93",F19,1,"",100000000))</f>
        <v>37.115580000000001</v>
      </c>
      <c r="X19" s="25">
        <f ca="1">IF(C19="","",[1]!hks_stm_bs(C19,"1017",F19,1,"",100000000))</f>
        <v>4.7679499999999999</v>
      </c>
      <c r="Y19" s="25">
        <f ca="1">IF(C19="","",[1]!hks_stm_bs(C19,"128",F19,1,"",100000000))</f>
        <v>41.88353</v>
      </c>
      <c r="Z19" s="25">
        <f ca="1">IF(C19="","",[1]!hks_stm_bs(C19,"145",F19,1,"",100000000))</f>
        <v>78.090270000000004</v>
      </c>
      <c r="AA19" s="25">
        <f ca="1">IF(C19="","",[1]!hks_stm_bs(C19,"140",F19,1,"",100000000))</f>
        <v>78.074250000000006</v>
      </c>
      <c r="AB19" s="25">
        <f ca="1">IF(C19="","",[1]!hks_stm_cs(C19,"39",F19,1,"",100000000))</f>
        <v>4.33256</v>
      </c>
      <c r="AC19" s="25">
        <f ca="1">IF(C19="","",[1]!hks_stm_cs(C19,"1020",F19,1,"",100000000))</f>
        <v>0.78032000000000001</v>
      </c>
      <c r="AD19" s="25">
        <f ca="1">IF(C19="","",[1]!hks_stm_cs(C19,"59",F19,1,"",100000000))</f>
        <v>-4.8571900000000001</v>
      </c>
      <c r="AE19" s="25">
        <f ca="1">IF(C19="","",[1]!hks_stm_cs(C19,"77",F19,1,"",100000000))</f>
        <v>-1.4978899999999999</v>
      </c>
      <c r="AF19" s="25">
        <f ca="1">IF(C19="","",[1]!hks_stm_cs(C19,"82",F19,1,"",100000000))</f>
        <v>-1.6189100000000001</v>
      </c>
      <c r="AG19" s="25">
        <f ca="1">IF(C19="","",[1]!hks_stm_cs(C19,"84",F19,1,"",100000000))</f>
        <v>51.866010000000003</v>
      </c>
      <c r="AH19" s="35"/>
    </row>
    <row r="20" spans="1:34" s="36" customFormat="1" ht="16.5" x14ac:dyDescent="0.2">
      <c r="A20" s="2"/>
      <c r="B20" s="6"/>
      <c r="C20" s="28" t="str">
        <f>IF(表1[[#This Row],[列1]]="","",表1[[#This Row],[列1]])</f>
        <v>9999.HK</v>
      </c>
      <c r="D20" s="19" t="str">
        <f>IF(C20="","",[1]!hks_info_name(C20))</f>
        <v>网易-S</v>
      </c>
      <c r="E20" s="18" t="str">
        <f ca="1">IF(C20="","",[1]!lastradeday_s(C20,TODAY()))</f>
        <v>2024-12-09</v>
      </c>
      <c r="F20" s="19" t="str">
        <f ca="1">IF(C20="","",IF(OR([1]!s_stm_rpt_e(C20,基本资料!$I$8,0)="#N/A",[1]!s_stm_rpt_e(C20,基本资料!$I$8,0)="",[1]!s_stm_rpt_e(C20,基本资料!$I$8,0)=0),[1]!s_stm_rpt_e(C20,基本资料!$I$9,0),[1]!s_stm_rpt_e(C20,基本资料!$I$8,0)))</f>
        <v>2023-12-31</v>
      </c>
      <c r="G20" s="19" t="str">
        <f ca="1">IF(C20="","",[1]!hks_info_cur2(C20,F20))</f>
        <v>CNY</v>
      </c>
      <c r="H20" s="27">
        <f ca="1">IF(C20="","",[1]!hks_stm_is(C20,"83",F20,1,"",100000000))</f>
        <v>1034.6815899999999</v>
      </c>
      <c r="I20" s="23">
        <f ca="1">IF(C20="","",[1]!hks_stm_is(C20,"1032",F20,1,"",100000000))</f>
        <v>757.59014999999999</v>
      </c>
      <c r="J20" s="23">
        <f ca="1">IF(C20="","",[1]!hks_stm_is(C20,"1041",F20,1,"",100000000))</f>
        <v>277.09143999999998</v>
      </c>
      <c r="K20" s="23">
        <f ca="1">IF(C20="","",[1]!hks_stm_is(C20,"61",F20,1,"",100000000))</f>
        <v>294.16552000000001</v>
      </c>
      <c r="L20" s="23">
        <f ca="1">IF(C20="","",[1]!hks_stm_is(C20,"1075",F20,1,"",100000000))</f>
        <v>294.16552000000001</v>
      </c>
      <c r="M20" s="23">
        <f ca="1">IF(C20="","",[1]!hks_stm_is(C20,"1077",F20,1,"",100000000))</f>
        <v>0</v>
      </c>
      <c r="N20" s="23">
        <f ca="1">IF(C20="","",[1]!hks_stm_is(C20,"1030",F20,1,"",100000000))</f>
        <v>164.84909999999999</v>
      </c>
      <c r="O20" s="23">
        <f ca="1">IF(C20="","",[1]!hks_fa_ebit(C20,F20,1,"",100000000))</f>
        <v>340.56927000000002</v>
      </c>
      <c r="P20" s="25">
        <f ca="1">IF(C20="","",[1]!hks_fa_ebitda(C20,F20,1,"",100000000))</f>
        <v>371.12187</v>
      </c>
      <c r="Q20" s="25">
        <f ca="1">IF(C20="","",[1]!hks_stm_bs(C20,"9",F20,1,"",100000000))</f>
        <v>214.28901999999999</v>
      </c>
      <c r="R20" s="25">
        <f ca="1">IF(C20="","",[1]!hks_stm_bs(C20,"25",F20,1,"",100000000))</f>
        <v>1426.9258500000001</v>
      </c>
      <c r="S20" s="25">
        <f ca="1">IF(C20="","",[1]!hks_stm_bs(C20,"1088",F20,1,"",100000000))</f>
        <v>0</v>
      </c>
      <c r="T20" s="25">
        <f ca="1">IF(C20="","",[1]!hks_stm_bs(C20,"46",F20,1,"",100000000))</f>
        <v>432.32393000000002</v>
      </c>
      <c r="U20" s="25">
        <f ca="1">IF(C20="","",[1]!hks_stm_bs(C20,"29",F20,1,"",100000000))</f>
        <v>0</v>
      </c>
      <c r="V20" s="25">
        <f ca="1">IF(C20="","",[1]!hks_stm_bs(C20,"74",F20,1,"",100000000))</f>
        <v>1859.2497800000001</v>
      </c>
      <c r="W20" s="25">
        <f ca="1">IF(C20="","",[1]!hks_stm_bs(C20,"93",F20,1,"",100000000))</f>
        <v>538.42484000000002</v>
      </c>
      <c r="X20" s="25">
        <f ca="1">IF(C20="","",[1]!hks_stm_bs(C20,"1017",F20,1,"",100000000))</f>
        <v>39.98413</v>
      </c>
      <c r="Y20" s="25">
        <f ca="1">IF(C20="","",[1]!hks_stm_bs(C20,"128",F20,1,"",100000000))</f>
        <v>578.40896999999995</v>
      </c>
      <c r="Z20" s="25">
        <f ca="1">IF(C20="","",[1]!hks_stm_bs(C20,"145",F20,1,"",100000000))</f>
        <v>1280.8408099999999</v>
      </c>
      <c r="AA20" s="25">
        <f ca="1">IF(C20="","",[1]!hks_stm_bs(C20,"140",F20,1,"",100000000))</f>
        <v>1242.8577600000001</v>
      </c>
      <c r="AB20" s="25">
        <f ca="1">IF(C20="","",[1]!hks_stm_cs(C20,"39",F20,1,"",100000000))</f>
        <v>353.31274999999999</v>
      </c>
      <c r="AC20" s="25">
        <f ca="1">IF(C20="","",[1]!hks_stm_cs(C20,"1020",F20,1,"",100000000))</f>
        <v>42.758769999999998</v>
      </c>
      <c r="AD20" s="25">
        <f ca="1">IF(C20="","",[1]!hks_stm_cs(C20,"59",F20,1,"",100000000))</f>
        <v>-170.43431000000001</v>
      </c>
      <c r="AE20" s="25">
        <f ca="1">IF(C20="","",[1]!hks_stm_cs(C20,"77",F20,1,"",100000000))</f>
        <v>-214.67053999999999</v>
      </c>
      <c r="AF20" s="25">
        <f ca="1">IF(C20="","",[1]!hks_stm_cs(C20,"82",F20,1,"",100000000))</f>
        <v>-33.816670000000002</v>
      </c>
      <c r="AG20" s="25">
        <f ca="1">IF(C20="","",[1]!hks_stm_cs(C20,"84",F20,1,"",100000000))</f>
        <v>242.06657999999999</v>
      </c>
      <c r="AH20" s="35"/>
    </row>
    <row r="21" spans="1:34" s="36" customFormat="1" ht="16.5" x14ac:dyDescent="0.2">
      <c r="A21" s="2"/>
      <c r="B21" s="6"/>
      <c r="C21" s="28" t="str">
        <f>IF(表1[[#This Row],[列1]]="","",表1[[#This Row],[列1]])</f>
        <v/>
      </c>
      <c r="D21" s="19" t="str">
        <f>IF(C21="","",[1]!hks_info_name(C21))</f>
        <v/>
      </c>
      <c r="E21" s="18" t="str">
        <f ca="1">IF(C21="","",[1]!lastradeday_s(C21,TODAY()))</f>
        <v/>
      </c>
      <c r="F21" s="19" t="str">
        <f>IF(C21="","",IF(OR([1]!s_stm_rpt_e(C21,基本资料!$I$8,0)="#N/A",[1]!s_stm_rpt_e(C21,基本资料!$I$8,0)="",[1]!s_stm_rpt_e(C21,基本资料!$I$8,0)=0),[1]!s_stm_rpt_e(C21,基本资料!$I$9,0),[1]!s_stm_rpt_e(C21,基本资料!$I$8,0)))</f>
        <v/>
      </c>
      <c r="G21" s="19" t="str">
        <f>IF(C21="","",[1]!hks_info_cur2(C21,F21))</f>
        <v/>
      </c>
      <c r="H21" s="27" t="str">
        <f>IF(C21="","",[1]!hks_stm_is(C21,"83",F21,1,"",100000000))</f>
        <v/>
      </c>
      <c r="I21" s="23" t="str">
        <f>IF(C21="","",[1]!hks_stm_is(C21,"1032",F21,1,"",100000000))</f>
        <v/>
      </c>
      <c r="J21" s="23" t="str">
        <f>IF(C21="","",[1]!hks_stm_is(C21,"1041",F21,1,"",100000000))</f>
        <v/>
      </c>
      <c r="K21" s="23" t="str">
        <f>IF(C21="","",[1]!hks_stm_is(C21,"61",F21,1,"",100000000))</f>
        <v/>
      </c>
      <c r="L21" s="23" t="str">
        <f>IF(C21="","",[1]!hks_stm_is(C21,"1075",F21,1,"",100000000))</f>
        <v/>
      </c>
      <c r="M21" s="23" t="str">
        <f>IF(C21="","",[1]!hks_stm_is(C21,"1077",F21,1,"",100000000))</f>
        <v/>
      </c>
      <c r="N21" s="23" t="str">
        <f>IF(C21="","",[1]!hks_stm_is(C21,"1030",F21,1,"",100000000))</f>
        <v/>
      </c>
      <c r="O21" s="23" t="str">
        <f>IF(C21="","",[1]!hks_fa_ebit(C21,F21,1,"",100000000))</f>
        <v/>
      </c>
      <c r="P21" s="25" t="str">
        <f>IF(C21="","",[1]!hks_fa_ebitda(C21,F21,1,"",100000000))</f>
        <v/>
      </c>
      <c r="Q21" s="25" t="str">
        <f>IF(C21="","",[1]!hks_stm_bs(C21,"9",F21,1,"",100000000))</f>
        <v/>
      </c>
      <c r="R21" s="25" t="str">
        <f>IF(C21="","",[1]!hks_stm_bs(C21,"25",F21,1,"",100000000))</f>
        <v/>
      </c>
      <c r="S21" s="25" t="str">
        <f>IF(C21="","",[1]!hks_stm_bs(C21,"1088",F21,1,"",100000000))</f>
        <v/>
      </c>
      <c r="T21" s="25" t="str">
        <f>IF(C21="","",[1]!hks_stm_bs(C21,"46",F21,1,"",100000000))</f>
        <v/>
      </c>
      <c r="U21" s="25" t="str">
        <f>IF(C21="","",[1]!hks_stm_bs(C21,"29",F21,1,"",100000000))</f>
        <v/>
      </c>
      <c r="V21" s="25" t="str">
        <f>IF(C21="","",[1]!hks_stm_bs(C21,"74",F21,1,"",100000000))</f>
        <v/>
      </c>
      <c r="W21" s="25" t="str">
        <f>IF(C21="","",[1]!hks_stm_bs(C21,"93",F21,1,"",100000000))</f>
        <v/>
      </c>
      <c r="X21" s="25" t="str">
        <f>IF(C21="","",[1]!hks_stm_bs(C21,"1017",F21,1,"",100000000))</f>
        <v/>
      </c>
      <c r="Y21" s="25" t="str">
        <f>IF(C21="","",[1]!hks_stm_bs(C21,"128",F21,1,"",100000000))</f>
        <v/>
      </c>
      <c r="Z21" s="25" t="str">
        <f>IF(C21="","",[1]!hks_stm_bs(C21,"145",F21,1,"",100000000))</f>
        <v/>
      </c>
      <c r="AA21" s="25" t="str">
        <f>IF(C21="","",[1]!hks_stm_bs(C21,"140",F21,1,"",100000000))</f>
        <v/>
      </c>
      <c r="AB21" s="25" t="str">
        <f>IF(C21="","",[1]!hks_stm_cs(C21,"39",F21,1,"",100000000))</f>
        <v/>
      </c>
      <c r="AC21" s="25" t="str">
        <f>IF(C21="","",[1]!hks_stm_cs(C21,"1020",F21,1,"",100000000))</f>
        <v/>
      </c>
      <c r="AD21" s="25" t="str">
        <f>IF(C21="","",[1]!hks_stm_cs(C21,"59",F21,1,"",100000000))</f>
        <v/>
      </c>
      <c r="AE21" s="25" t="str">
        <f>IF(C21="","",[1]!hks_stm_cs(C21,"77",F21,1,"",100000000))</f>
        <v/>
      </c>
      <c r="AF21" s="25" t="str">
        <f>IF(C21="","",[1]!hks_stm_cs(C21,"82",F21,1,"",100000000))</f>
        <v/>
      </c>
      <c r="AG21" s="25" t="str">
        <f>IF(C21="","",[1]!hks_stm_cs(C21,"84",F21,1,"",100000000))</f>
        <v/>
      </c>
      <c r="AH21" s="35"/>
    </row>
    <row r="22" spans="1:34" s="36" customFormat="1" ht="16.5" x14ac:dyDescent="0.2">
      <c r="A22" s="2"/>
      <c r="B22" s="6"/>
      <c r="C22" s="28" t="str">
        <f>IF(表1[[#This Row],[列1]]="","",表1[[#This Row],[列1]])</f>
        <v/>
      </c>
      <c r="D22" s="19" t="str">
        <f>IF(C22="","",[1]!hks_info_name(C22))</f>
        <v/>
      </c>
      <c r="E22" s="18" t="str">
        <f ca="1">IF(C22="","",[1]!lastradeday_s(C22,TODAY()))</f>
        <v/>
      </c>
      <c r="F22" s="19" t="str">
        <f>IF(C22="","",IF(OR([1]!s_stm_rpt_e(C22,基本资料!$I$8,0)="#N/A",[1]!s_stm_rpt_e(C22,基本资料!$I$8,0)="",[1]!s_stm_rpt_e(C22,基本资料!$I$8,0)=0),[1]!s_stm_rpt_e(C22,基本资料!$I$9,0),[1]!s_stm_rpt_e(C22,基本资料!$I$8,0)))</f>
        <v/>
      </c>
      <c r="G22" s="19" t="str">
        <f>IF(C22="","",[1]!hks_info_cur2(C22,F22))</f>
        <v/>
      </c>
      <c r="H22" s="27" t="str">
        <f>IF(C22="","",[1]!hks_stm_is(C22,"83",F22,1,"",100000000))</f>
        <v/>
      </c>
      <c r="I22" s="23" t="str">
        <f>IF(C22="","",[1]!hks_stm_is(C22,"1032",F22,1,"",100000000))</f>
        <v/>
      </c>
      <c r="J22" s="23" t="str">
        <f>IF(C22="","",[1]!hks_stm_is(C22,"1041",F22,1,"",100000000))</f>
        <v/>
      </c>
      <c r="K22" s="23" t="str">
        <f>IF(C22="","",[1]!hks_stm_is(C22,"61",F22,1,"",100000000))</f>
        <v/>
      </c>
      <c r="L22" s="23" t="str">
        <f>IF(C22="","",[1]!hks_stm_is(C22,"1075",F22,1,"",100000000))</f>
        <v/>
      </c>
      <c r="M22" s="23" t="str">
        <f>IF(C22="","",[1]!hks_stm_is(C22,"1077",F22,1,"",100000000))</f>
        <v/>
      </c>
      <c r="N22" s="23" t="str">
        <f>IF(C22="","",[1]!hks_stm_is(C22,"1030",F22,1,"",100000000))</f>
        <v/>
      </c>
      <c r="O22" s="23" t="str">
        <f>IF(C22="","",[1]!hks_fa_ebit(C22,F22,1,"",100000000))</f>
        <v/>
      </c>
      <c r="P22" s="25" t="str">
        <f>IF(C22="","",[1]!hks_fa_ebitda(C22,F22,1,"",100000000))</f>
        <v/>
      </c>
      <c r="Q22" s="25" t="str">
        <f>IF(C22="","",[1]!hks_stm_bs(C22,"9",F22,1,"",100000000))</f>
        <v/>
      </c>
      <c r="R22" s="25" t="str">
        <f>IF(C22="","",[1]!hks_stm_bs(C22,"25",F22,1,"",100000000))</f>
        <v/>
      </c>
      <c r="S22" s="25" t="str">
        <f>IF(C22="","",[1]!hks_stm_bs(C22,"1088",F22,1,"",100000000))</f>
        <v/>
      </c>
      <c r="T22" s="25" t="str">
        <f>IF(C22="","",[1]!hks_stm_bs(C22,"46",F22,1,"",100000000))</f>
        <v/>
      </c>
      <c r="U22" s="25" t="str">
        <f>IF(C22="","",[1]!hks_stm_bs(C22,"29",F22,1,"",100000000))</f>
        <v/>
      </c>
      <c r="V22" s="25" t="str">
        <f>IF(C22="","",[1]!hks_stm_bs(C22,"74",F22,1,"",100000000))</f>
        <v/>
      </c>
      <c r="W22" s="25" t="str">
        <f>IF(C22="","",[1]!hks_stm_bs(C22,"93",F22,1,"",100000000))</f>
        <v/>
      </c>
      <c r="X22" s="25" t="str">
        <f>IF(C22="","",[1]!hks_stm_bs(C22,"1017",F22,1,"",100000000))</f>
        <v/>
      </c>
      <c r="Y22" s="25" t="str">
        <f>IF(C22="","",[1]!hks_stm_bs(C22,"128",F22,1,"",100000000))</f>
        <v/>
      </c>
      <c r="Z22" s="25" t="str">
        <f>IF(C22="","",[1]!hks_stm_bs(C22,"145",F22,1,"",100000000))</f>
        <v/>
      </c>
      <c r="AA22" s="25" t="str">
        <f>IF(C22="","",[1]!hks_stm_bs(C22,"140",F22,1,"",100000000))</f>
        <v/>
      </c>
      <c r="AB22" s="25" t="str">
        <f>IF(C22="","",[1]!hks_stm_cs(C22,"39",F22,1,"",100000000))</f>
        <v/>
      </c>
      <c r="AC22" s="25" t="str">
        <f>IF(C22="","",[1]!hks_stm_cs(C22,"1020",F22,1,"",100000000))</f>
        <v/>
      </c>
      <c r="AD22" s="25" t="str">
        <f>IF(C22="","",[1]!hks_stm_cs(C22,"59",F22,1,"",100000000))</f>
        <v/>
      </c>
      <c r="AE22" s="25" t="str">
        <f>IF(C22="","",[1]!hks_stm_cs(C22,"77",F22,1,"",100000000))</f>
        <v/>
      </c>
      <c r="AF22" s="25" t="str">
        <f>IF(C22="","",[1]!hks_stm_cs(C22,"82",F22,1,"",100000000))</f>
        <v/>
      </c>
      <c r="AG22" s="25" t="str">
        <f>IF(C22="","",[1]!hks_stm_cs(C22,"84",F22,1,"",100000000))</f>
        <v/>
      </c>
      <c r="AH22" s="35"/>
    </row>
    <row r="23" spans="1:34" s="36" customFormat="1" ht="16.5" x14ac:dyDescent="0.2">
      <c r="A23" s="2"/>
      <c r="B23" s="6"/>
      <c r="C23" s="28" t="str">
        <f>IF(表1[[#This Row],[列1]]="","",表1[[#This Row],[列1]])</f>
        <v/>
      </c>
      <c r="D23" s="19" t="str">
        <f>IF(C23="","",[1]!hks_info_name(C23))</f>
        <v/>
      </c>
      <c r="E23" s="18" t="str">
        <f ca="1">IF(C23="","",[1]!lastradeday_s(C23,TODAY()))</f>
        <v/>
      </c>
      <c r="F23" s="19" t="str">
        <f>IF(C23="","",IF(OR([1]!s_stm_rpt_e(C23,基本资料!$I$8,0)="#N/A",[1]!s_stm_rpt_e(C23,基本资料!$I$8,0)="",[1]!s_stm_rpt_e(C23,基本资料!$I$8,0)=0),[1]!s_stm_rpt_e(C23,基本资料!$I$9,0),[1]!s_stm_rpt_e(C23,基本资料!$I$8,0)))</f>
        <v/>
      </c>
      <c r="G23" s="19" t="str">
        <f>IF(C23="","",[1]!hks_info_cur2(C23,F23))</f>
        <v/>
      </c>
      <c r="H23" s="27" t="str">
        <f>IF(C23="","",[1]!hks_stm_is(C23,"83",F23,1,"",100000000))</f>
        <v/>
      </c>
      <c r="I23" s="23" t="str">
        <f>IF(C23="","",[1]!hks_stm_is(C23,"1032",F23,1,"",100000000))</f>
        <v/>
      </c>
      <c r="J23" s="23" t="str">
        <f>IF(C23="","",[1]!hks_stm_is(C23,"1041",F23,1,"",100000000))</f>
        <v/>
      </c>
      <c r="K23" s="23" t="str">
        <f>IF(C23="","",[1]!hks_stm_is(C23,"61",F23,1,"",100000000))</f>
        <v/>
      </c>
      <c r="L23" s="23" t="str">
        <f>IF(C23="","",[1]!hks_stm_is(C23,"1075",F23,1,"",100000000))</f>
        <v/>
      </c>
      <c r="M23" s="23" t="str">
        <f>IF(C23="","",[1]!hks_stm_is(C23,"1077",F23,1,"",100000000))</f>
        <v/>
      </c>
      <c r="N23" s="23" t="str">
        <f>IF(C23="","",[1]!hks_stm_is(C23,"1030",F23,1,"",100000000))</f>
        <v/>
      </c>
      <c r="O23" s="23" t="str">
        <f>IF(C23="","",[1]!hks_fa_ebit(C23,F23,1,"",100000000))</f>
        <v/>
      </c>
      <c r="P23" s="25" t="str">
        <f>IF(C23="","",[1]!hks_fa_ebitda(C23,F23,1,"",100000000))</f>
        <v/>
      </c>
      <c r="Q23" s="25" t="str">
        <f>IF(C23="","",[1]!hks_stm_bs(C23,"9",F23,1,"",100000000))</f>
        <v/>
      </c>
      <c r="R23" s="25" t="str">
        <f>IF(C23="","",[1]!hks_stm_bs(C23,"25",F23,1,"",100000000))</f>
        <v/>
      </c>
      <c r="S23" s="25" t="str">
        <f>IF(C23="","",[1]!hks_stm_bs(C23,"1088",F23,1,"",100000000))</f>
        <v/>
      </c>
      <c r="T23" s="25" t="str">
        <f>IF(C23="","",[1]!hks_stm_bs(C23,"46",F23,1,"",100000000))</f>
        <v/>
      </c>
      <c r="U23" s="25" t="str">
        <f>IF(C23="","",[1]!hks_stm_bs(C23,"29",F23,1,"",100000000))</f>
        <v/>
      </c>
      <c r="V23" s="25" t="str">
        <f>IF(C23="","",[1]!hks_stm_bs(C23,"74",F23,1,"",100000000))</f>
        <v/>
      </c>
      <c r="W23" s="25" t="str">
        <f>IF(C23="","",[1]!hks_stm_bs(C23,"93",F23,1,"",100000000))</f>
        <v/>
      </c>
      <c r="X23" s="25" t="str">
        <f>IF(C23="","",[1]!hks_stm_bs(C23,"1017",F23,1,"",100000000))</f>
        <v/>
      </c>
      <c r="Y23" s="25" t="str">
        <f>IF(C23="","",[1]!hks_stm_bs(C23,"128",F23,1,"",100000000))</f>
        <v/>
      </c>
      <c r="Z23" s="25" t="str">
        <f>IF(C23="","",[1]!hks_stm_bs(C23,"145",F23,1,"",100000000))</f>
        <v/>
      </c>
      <c r="AA23" s="25" t="str">
        <f>IF(C23="","",[1]!hks_stm_bs(C23,"140",F23,1,"",100000000))</f>
        <v/>
      </c>
      <c r="AB23" s="25" t="str">
        <f>IF(C23="","",[1]!hks_stm_cs(C23,"39",F23,1,"",100000000))</f>
        <v/>
      </c>
      <c r="AC23" s="25" t="str">
        <f>IF(C23="","",[1]!hks_stm_cs(C23,"1020",F23,1,"",100000000))</f>
        <v/>
      </c>
      <c r="AD23" s="25" t="str">
        <f>IF(C23="","",[1]!hks_stm_cs(C23,"59",F23,1,"",100000000))</f>
        <v/>
      </c>
      <c r="AE23" s="25" t="str">
        <f>IF(C23="","",[1]!hks_stm_cs(C23,"77",F23,1,"",100000000))</f>
        <v/>
      </c>
      <c r="AF23" s="25" t="str">
        <f>IF(C23="","",[1]!hks_stm_cs(C23,"82",F23,1,"",100000000))</f>
        <v/>
      </c>
      <c r="AG23" s="25" t="str">
        <f>IF(C23="","",[1]!hks_stm_cs(C23,"84",F23,1,"",100000000))</f>
        <v/>
      </c>
      <c r="AH23" s="35"/>
    </row>
    <row r="24" spans="1:34" s="36" customFormat="1" ht="16.5" x14ac:dyDescent="0.2">
      <c r="A24" s="2"/>
      <c r="B24" s="6"/>
      <c r="C24" s="28" t="str">
        <f>IF(表1[[#This Row],[列1]]="","",表1[[#This Row],[列1]])</f>
        <v/>
      </c>
      <c r="D24" s="19" t="str">
        <f>IF(C24="","",[1]!hks_info_name(C24))</f>
        <v/>
      </c>
      <c r="E24" s="18" t="str">
        <f ca="1">IF(C24="","",[1]!lastradeday_s(C24,TODAY()))</f>
        <v/>
      </c>
      <c r="F24" s="19" t="str">
        <f>IF(C24="","",IF(OR([1]!s_stm_rpt_e(C24,基本资料!$I$8,0)="#N/A",[1]!s_stm_rpt_e(C24,基本资料!$I$8,0)="",[1]!s_stm_rpt_e(C24,基本资料!$I$8,0)=0),[1]!s_stm_rpt_e(C24,基本资料!$I$9,0),[1]!s_stm_rpt_e(C24,基本资料!$I$8,0)))</f>
        <v/>
      </c>
      <c r="G24" s="19" t="str">
        <f>IF(C24="","",[1]!hks_info_cur2(C24,F24))</f>
        <v/>
      </c>
      <c r="H24" s="27" t="str">
        <f>IF(C24="","",[1]!hks_stm_is(C24,"83",F24,1,"",100000000))</f>
        <v/>
      </c>
      <c r="I24" s="23" t="str">
        <f>IF(C24="","",[1]!hks_stm_is(C24,"1032",F24,1,"",100000000))</f>
        <v/>
      </c>
      <c r="J24" s="23" t="str">
        <f>IF(C24="","",[1]!hks_stm_is(C24,"1041",F24,1,"",100000000))</f>
        <v/>
      </c>
      <c r="K24" s="23" t="str">
        <f>IF(C24="","",[1]!hks_stm_is(C24,"61",F24,1,"",100000000))</f>
        <v/>
      </c>
      <c r="L24" s="23" t="str">
        <f>IF(C24="","",[1]!hks_stm_is(C24,"1075",F24,1,"",100000000))</f>
        <v/>
      </c>
      <c r="M24" s="23" t="str">
        <f>IF(C24="","",[1]!hks_stm_is(C24,"1077",F24,1,"",100000000))</f>
        <v/>
      </c>
      <c r="N24" s="23" t="str">
        <f>IF(C24="","",[1]!hks_stm_is(C24,"1030",F24,1,"",100000000))</f>
        <v/>
      </c>
      <c r="O24" s="23" t="str">
        <f>IF(C24="","",[1]!hks_fa_ebit(C24,F24,1,"",100000000))</f>
        <v/>
      </c>
      <c r="P24" s="25" t="str">
        <f>IF(C24="","",[1]!hks_fa_ebitda(C24,F24,1,"",100000000))</f>
        <v/>
      </c>
      <c r="Q24" s="25" t="str">
        <f>IF(C24="","",[1]!hks_stm_bs(C24,"9",F24,1,"",100000000))</f>
        <v/>
      </c>
      <c r="R24" s="25" t="str">
        <f>IF(C24="","",[1]!hks_stm_bs(C24,"25",F24,1,"",100000000))</f>
        <v/>
      </c>
      <c r="S24" s="25" t="str">
        <f>IF(C24="","",[1]!hks_stm_bs(C24,"1088",F24,1,"",100000000))</f>
        <v/>
      </c>
      <c r="T24" s="25" t="str">
        <f>IF(C24="","",[1]!hks_stm_bs(C24,"46",F24,1,"",100000000))</f>
        <v/>
      </c>
      <c r="U24" s="25" t="str">
        <f>IF(C24="","",[1]!hks_stm_bs(C24,"29",F24,1,"",100000000))</f>
        <v/>
      </c>
      <c r="V24" s="25" t="str">
        <f>IF(C24="","",[1]!hks_stm_bs(C24,"74",F24,1,"",100000000))</f>
        <v/>
      </c>
      <c r="W24" s="25" t="str">
        <f>IF(C24="","",[1]!hks_stm_bs(C24,"93",F24,1,"",100000000))</f>
        <v/>
      </c>
      <c r="X24" s="25" t="str">
        <f>IF(C24="","",[1]!hks_stm_bs(C24,"1017",F24,1,"",100000000))</f>
        <v/>
      </c>
      <c r="Y24" s="25" t="str">
        <f>IF(C24="","",[1]!hks_stm_bs(C24,"128",F24,1,"",100000000))</f>
        <v/>
      </c>
      <c r="Z24" s="25" t="str">
        <f>IF(C24="","",[1]!hks_stm_bs(C24,"145",F24,1,"",100000000))</f>
        <v/>
      </c>
      <c r="AA24" s="25" t="str">
        <f>IF(C24="","",[1]!hks_stm_bs(C24,"140",F24,1,"",100000000))</f>
        <v/>
      </c>
      <c r="AB24" s="25" t="str">
        <f>IF(C24="","",[1]!hks_stm_cs(C24,"39",F24,1,"",100000000))</f>
        <v/>
      </c>
      <c r="AC24" s="25" t="str">
        <f>IF(C24="","",[1]!hks_stm_cs(C24,"1020",F24,1,"",100000000))</f>
        <v/>
      </c>
      <c r="AD24" s="25" t="str">
        <f>IF(C24="","",[1]!hks_stm_cs(C24,"59",F24,1,"",100000000))</f>
        <v/>
      </c>
      <c r="AE24" s="25" t="str">
        <f>IF(C24="","",[1]!hks_stm_cs(C24,"77",F24,1,"",100000000))</f>
        <v/>
      </c>
      <c r="AF24" s="25" t="str">
        <f>IF(C24="","",[1]!hks_stm_cs(C24,"82",F24,1,"",100000000))</f>
        <v/>
      </c>
      <c r="AG24" s="25" t="str">
        <f>IF(C24="","",[1]!hks_stm_cs(C24,"84",F24,1,"",100000000))</f>
        <v/>
      </c>
      <c r="AH24" s="35"/>
    </row>
    <row r="25" spans="1:34" s="36" customFormat="1" ht="16.5" x14ac:dyDescent="0.2">
      <c r="A25" s="2"/>
      <c r="B25" s="6"/>
      <c r="C25" s="28" t="str">
        <f>IF(表1[[#This Row],[列1]]="","",表1[[#This Row],[列1]])</f>
        <v/>
      </c>
      <c r="D25" s="19" t="str">
        <f>IF(C25="","",[1]!hks_info_name(C25))</f>
        <v/>
      </c>
      <c r="E25" s="18" t="str">
        <f ca="1">IF(C25="","",[1]!lastradeday_s(C25,TODAY()))</f>
        <v/>
      </c>
      <c r="F25" s="19" t="str">
        <f>IF(C25="","",IF(OR([1]!s_stm_rpt_e(C25,基本资料!$I$8,0)="#N/A",[1]!s_stm_rpt_e(C25,基本资料!$I$8,0)="",[1]!s_stm_rpt_e(C25,基本资料!$I$8,0)=0),[1]!s_stm_rpt_e(C25,基本资料!$I$9,0),[1]!s_stm_rpt_e(C25,基本资料!$I$8,0)))</f>
        <v/>
      </c>
      <c r="G25" s="19" t="str">
        <f>IF(C25="","",[1]!hks_info_cur2(C25,F25))</f>
        <v/>
      </c>
      <c r="H25" s="27" t="str">
        <f>IF(C25="","",[1]!hks_stm_is(C25,"83",F25,1,"",100000000))</f>
        <v/>
      </c>
      <c r="I25" s="23" t="str">
        <f>IF(C25="","",[1]!hks_stm_is(C25,"1032",F25,1,"",100000000))</f>
        <v/>
      </c>
      <c r="J25" s="23" t="str">
        <f>IF(C25="","",[1]!hks_stm_is(C25,"1041",F25,1,"",100000000))</f>
        <v/>
      </c>
      <c r="K25" s="23" t="str">
        <f>IF(C25="","",[1]!hks_stm_is(C25,"61",F25,1,"",100000000))</f>
        <v/>
      </c>
      <c r="L25" s="23" t="str">
        <f>IF(C25="","",[1]!hks_stm_is(C25,"1075",F25,1,"",100000000))</f>
        <v/>
      </c>
      <c r="M25" s="23" t="str">
        <f>IF(C25="","",[1]!hks_stm_is(C25,"1077",F25,1,"",100000000))</f>
        <v/>
      </c>
      <c r="N25" s="23" t="str">
        <f>IF(C25="","",[1]!hks_stm_is(C25,"1030",F25,1,"",100000000))</f>
        <v/>
      </c>
      <c r="O25" s="23" t="str">
        <f>IF(C25="","",[1]!hks_fa_ebit(C25,F25,1,"",100000000))</f>
        <v/>
      </c>
      <c r="P25" s="25" t="str">
        <f>IF(C25="","",[1]!hks_fa_ebitda(C25,F25,1,"",100000000))</f>
        <v/>
      </c>
      <c r="Q25" s="25" t="str">
        <f>IF(C25="","",[1]!hks_stm_bs(C25,"9",F25,1,"",100000000))</f>
        <v/>
      </c>
      <c r="R25" s="25" t="str">
        <f>IF(C25="","",[1]!hks_stm_bs(C25,"25",F25,1,"",100000000))</f>
        <v/>
      </c>
      <c r="S25" s="25" t="str">
        <f>IF(C25="","",[1]!hks_stm_bs(C25,"1088",F25,1,"",100000000))</f>
        <v/>
      </c>
      <c r="T25" s="25" t="str">
        <f>IF(C25="","",[1]!hks_stm_bs(C25,"46",F25,1,"",100000000))</f>
        <v/>
      </c>
      <c r="U25" s="25" t="str">
        <f>IF(C25="","",[1]!hks_stm_bs(C25,"29",F25,1,"",100000000))</f>
        <v/>
      </c>
      <c r="V25" s="25" t="str">
        <f>IF(C25="","",[1]!hks_stm_bs(C25,"74",F25,1,"",100000000))</f>
        <v/>
      </c>
      <c r="W25" s="25" t="str">
        <f>IF(C25="","",[1]!hks_stm_bs(C25,"93",F25,1,"",100000000))</f>
        <v/>
      </c>
      <c r="X25" s="25" t="str">
        <f>IF(C25="","",[1]!hks_stm_bs(C25,"1017",F25,1,"",100000000))</f>
        <v/>
      </c>
      <c r="Y25" s="25" t="str">
        <f>IF(C25="","",[1]!hks_stm_bs(C25,"128",F25,1,"",100000000))</f>
        <v/>
      </c>
      <c r="Z25" s="25" t="str">
        <f>IF(C25="","",[1]!hks_stm_bs(C25,"145",F25,1,"",100000000))</f>
        <v/>
      </c>
      <c r="AA25" s="25" t="str">
        <f>IF(C25="","",[1]!hks_stm_bs(C25,"140",F25,1,"",100000000))</f>
        <v/>
      </c>
      <c r="AB25" s="25" t="str">
        <f>IF(C25="","",[1]!hks_stm_cs(C25,"39",F25,1,"",100000000))</f>
        <v/>
      </c>
      <c r="AC25" s="25" t="str">
        <f>IF(C25="","",[1]!hks_stm_cs(C25,"1020",F25,1,"",100000000))</f>
        <v/>
      </c>
      <c r="AD25" s="25" t="str">
        <f>IF(C25="","",[1]!hks_stm_cs(C25,"59",F25,1,"",100000000))</f>
        <v/>
      </c>
      <c r="AE25" s="25" t="str">
        <f>IF(C25="","",[1]!hks_stm_cs(C25,"77",F25,1,"",100000000))</f>
        <v/>
      </c>
      <c r="AF25" s="25" t="str">
        <f>IF(C25="","",[1]!hks_stm_cs(C25,"82",F25,1,"",100000000))</f>
        <v/>
      </c>
      <c r="AG25" s="25" t="str">
        <f>IF(C25="","",[1]!hks_stm_cs(C25,"84",F25,1,"",100000000))</f>
        <v/>
      </c>
      <c r="AH25" s="35"/>
    </row>
    <row r="26" spans="1:34" s="36" customFormat="1" ht="16.5" x14ac:dyDescent="0.2">
      <c r="A26" s="2"/>
      <c r="B26" s="6"/>
      <c r="C26" s="28" t="str">
        <f>IF(表1[[#This Row],[列1]]="","",表1[[#This Row],[列1]])</f>
        <v/>
      </c>
      <c r="D26" s="19" t="str">
        <f>IF(C26="","",[1]!hks_info_name(C26))</f>
        <v/>
      </c>
      <c r="E26" s="18" t="str">
        <f ca="1">IF(C26="","",[1]!lastradeday_s(C26,TODAY()))</f>
        <v/>
      </c>
      <c r="F26" s="19" t="str">
        <f>IF(C26="","",IF(OR([1]!s_stm_rpt_e(C26,基本资料!$I$8,0)="#N/A",[1]!s_stm_rpt_e(C26,基本资料!$I$8,0)="",[1]!s_stm_rpt_e(C26,基本资料!$I$8,0)=0),[1]!s_stm_rpt_e(C26,基本资料!$I$9,0),[1]!s_stm_rpt_e(C26,基本资料!$I$8,0)))</f>
        <v/>
      </c>
      <c r="G26" s="19" t="str">
        <f>IF(C26="","",[1]!hks_info_cur2(C26,F26))</f>
        <v/>
      </c>
      <c r="H26" s="27" t="str">
        <f>IF(C26="","",[1]!hks_stm_is(C26,"83",F26,1,"",100000000))</f>
        <v/>
      </c>
      <c r="I26" s="23" t="str">
        <f>IF(C26="","",[1]!hks_stm_is(C26,"1032",F26,1,"",100000000))</f>
        <v/>
      </c>
      <c r="J26" s="23" t="str">
        <f>IF(C26="","",[1]!hks_stm_is(C26,"1041",F26,1,"",100000000))</f>
        <v/>
      </c>
      <c r="K26" s="23" t="str">
        <f>IF(C26="","",[1]!hks_stm_is(C26,"61",F26,1,"",100000000))</f>
        <v/>
      </c>
      <c r="L26" s="23" t="str">
        <f>IF(C26="","",[1]!hks_stm_is(C26,"1075",F26,1,"",100000000))</f>
        <v/>
      </c>
      <c r="M26" s="23" t="str">
        <f>IF(C26="","",[1]!hks_stm_is(C26,"1077",F26,1,"",100000000))</f>
        <v/>
      </c>
      <c r="N26" s="23" t="str">
        <f>IF(C26="","",[1]!hks_stm_is(C26,"1030",F26,1,"",100000000))</f>
        <v/>
      </c>
      <c r="O26" s="23" t="str">
        <f>IF(C26="","",[1]!hks_fa_ebit(C26,F26,1,"",100000000))</f>
        <v/>
      </c>
      <c r="P26" s="25" t="str">
        <f>IF(C26="","",[1]!hks_fa_ebitda(C26,F26,1,"",100000000))</f>
        <v/>
      </c>
      <c r="Q26" s="25" t="str">
        <f>IF(C26="","",[1]!hks_stm_bs(C26,"9",F26,1,"",100000000))</f>
        <v/>
      </c>
      <c r="R26" s="25" t="str">
        <f>IF(C26="","",[1]!hks_stm_bs(C26,"25",F26,1,"",100000000))</f>
        <v/>
      </c>
      <c r="S26" s="25" t="str">
        <f>IF(C26="","",[1]!hks_stm_bs(C26,"1088",F26,1,"",100000000))</f>
        <v/>
      </c>
      <c r="T26" s="25" t="str">
        <f>IF(C26="","",[1]!hks_stm_bs(C26,"46",F26,1,"",100000000))</f>
        <v/>
      </c>
      <c r="U26" s="25" t="str">
        <f>IF(C26="","",[1]!hks_stm_bs(C26,"29",F26,1,"",100000000))</f>
        <v/>
      </c>
      <c r="V26" s="25" t="str">
        <f>IF(C26="","",[1]!hks_stm_bs(C26,"74",F26,1,"",100000000))</f>
        <v/>
      </c>
      <c r="W26" s="25" t="str">
        <f>IF(C26="","",[1]!hks_stm_bs(C26,"93",F26,1,"",100000000))</f>
        <v/>
      </c>
      <c r="X26" s="25" t="str">
        <f>IF(C26="","",[1]!hks_stm_bs(C26,"1017",F26,1,"",100000000))</f>
        <v/>
      </c>
      <c r="Y26" s="25" t="str">
        <f>IF(C26="","",[1]!hks_stm_bs(C26,"128",F26,1,"",100000000))</f>
        <v/>
      </c>
      <c r="Z26" s="25" t="str">
        <f>IF(C26="","",[1]!hks_stm_bs(C26,"145",F26,1,"",100000000))</f>
        <v/>
      </c>
      <c r="AA26" s="25" t="str">
        <f>IF(C26="","",[1]!hks_stm_bs(C26,"140",F26,1,"",100000000))</f>
        <v/>
      </c>
      <c r="AB26" s="25" t="str">
        <f>IF(C26="","",[1]!hks_stm_cs(C26,"39",F26,1,"",100000000))</f>
        <v/>
      </c>
      <c r="AC26" s="25" t="str">
        <f>IF(C26="","",[1]!hks_stm_cs(C26,"1020",F26,1,"",100000000))</f>
        <v/>
      </c>
      <c r="AD26" s="25" t="str">
        <f>IF(C26="","",[1]!hks_stm_cs(C26,"59",F26,1,"",100000000))</f>
        <v/>
      </c>
      <c r="AE26" s="25" t="str">
        <f>IF(C26="","",[1]!hks_stm_cs(C26,"77",F26,1,"",100000000))</f>
        <v/>
      </c>
      <c r="AF26" s="25" t="str">
        <f>IF(C26="","",[1]!hks_stm_cs(C26,"82",F26,1,"",100000000))</f>
        <v/>
      </c>
      <c r="AG26" s="25" t="str">
        <f>IF(C26="","",[1]!hks_stm_cs(C26,"84",F26,1,"",100000000))</f>
        <v/>
      </c>
      <c r="AH26" s="35"/>
    </row>
    <row r="27" spans="1:34" s="36" customFormat="1" ht="16.5" x14ac:dyDescent="0.2">
      <c r="A27" s="2"/>
      <c r="B27" s="6"/>
      <c r="C27" s="28" t="str">
        <f>IF(表1[[#This Row],[列1]]="","",表1[[#This Row],[列1]])</f>
        <v/>
      </c>
      <c r="D27" s="19" t="str">
        <f>IF(C27="","",[1]!hks_info_name(C27))</f>
        <v/>
      </c>
      <c r="E27" s="18" t="str">
        <f ca="1">IF(C27="","",[1]!lastradeday_s(C27,TODAY()))</f>
        <v/>
      </c>
      <c r="F27" s="19" t="str">
        <f>IF(C27="","",IF(OR([1]!s_stm_rpt_e(C27,基本资料!$I$8,0)="#N/A",[1]!s_stm_rpt_e(C27,基本资料!$I$8,0)="",[1]!s_stm_rpt_e(C27,基本资料!$I$8,0)=0),[1]!s_stm_rpt_e(C27,基本资料!$I$9,0),[1]!s_stm_rpt_e(C27,基本资料!$I$8,0)))</f>
        <v/>
      </c>
      <c r="G27" s="19" t="str">
        <f>IF(C27="","",[1]!hks_info_cur2(C27,F27))</f>
        <v/>
      </c>
      <c r="H27" s="27" t="str">
        <f>IF(C27="","",[1]!hks_stm_is(C27,"83",F27,1,"",100000000))</f>
        <v/>
      </c>
      <c r="I27" s="23" t="str">
        <f>IF(C27="","",[1]!hks_stm_is(C27,"1032",F27,1,"",100000000))</f>
        <v/>
      </c>
      <c r="J27" s="23" t="str">
        <f>IF(C27="","",[1]!hks_stm_is(C27,"1041",F27,1,"",100000000))</f>
        <v/>
      </c>
      <c r="K27" s="23" t="str">
        <f>IF(C27="","",[1]!hks_stm_is(C27,"61",F27,1,"",100000000))</f>
        <v/>
      </c>
      <c r="L27" s="23" t="str">
        <f>IF(C27="","",[1]!hks_stm_is(C27,"1075",F27,1,"",100000000))</f>
        <v/>
      </c>
      <c r="M27" s="23" t="str">
        <f>IF(C27="","",[1]!hks_stm_is(C27,"1077",F27,1,"",100000000))</f>
        <v/>
      </c>
      <c r="N27" s="23" t="str">
        <f>IF(C27="","",[1]!hks_stm_is(C27,"1030",F27,1,"",100000000))</f>
        <v/>
      </c>
      <c r="O27" s="23" t="str">
        <f>IF(C27="","",[1]!hks_fa_ebit(C27,F27,1,"",100000000))</f>
        <v/>
      </c>
      <c r="P27" s="25" t="str">
        <f>IF(C27="","",[1]!hks_fa_ebitda(C27,F27,1,"",100000000))</f>
        <v/>
      </c>
      <c r="Q27" s="25" t="str">
        <f>IF(C27="","",[1]!hks_stm_bs(C27,"9",F27,1,"",100000000))</f>
        <v/>
      </c>
      <c r="R27" s="25" t="str">
        <f>IF(C27="","",[1]!hks_stm_bs(C27,"25",F27,1,"",100000000))</f>
        <v/>
      </c>
      <c r="S27" s="25" t="str">
        <f>IF(C27="","",[1]!hks_stm_bs(C27,"1088",F27,1,"",100000000))</f>
        <v/>
      </c>
      <c r="T27" s="25" t="str">
        <f>IF(C27="","",[1]!hks_stm_bs(C27,"46",F27,1,"",100000000))</f>
        <v/>
      </c>
      <c r="U27" s="25" t="str">
        <f>IF(C27="","",[1]!hks_stm_bs(C27,"29",F27,1,"",100000000))</f>
        <v/>
      </c>
      <c r="V27" s="25" t="str">
        <f>IF(C27="","",[1]!hks_stm_bs(C27,"74",F27,1,"",100000000))</f>
        <v/>
      </c>
      <c r="W27" s="25" t="str">
        <f>IF(C27="","",[1]!hks_stm_bs(C27,"93",F27,1,"",100000000))</f>
        <v/>
      </c>
      <c r="X27" s="25" t="str">
        <f>IF(C27="","",[1]!hks_stm_bs(C27,"1017",F27,1,"",100000000))</f>
        <v/>
      </c>
      <c r="Y27" s="25" t="str">
        <f>IF(C27="","",[1]!hks_stm_bs(C27,"128",F27,1,"",100000000))</f>
        <v/>
      </c>
      <c r="Z27" s="25" t="str">
        <f>IF(C27="","",[1]!hks_stm_bs(C27,"145",F27,1,"",100000000))</f>
        <v/>
      </c>
      <c r="AA27" s="25" t="str">
        <f>IF(C27="","",[1]!hks_stm_bs(C27,"140",F27,1,"",100000000))</f>
        <v/>
      </c>
      <c r="AB27" s="25" t="str">
        <f>IF(C27="","",[1]!hks_stm_cs(C27,"39",F27,1,"",100000000))</f>
        <v/>
      </c>
      <c r="AC27" s="25" t="str">
        <f>IF(C27="","",[1]!hks_stm_cs(C27,"1020",F27,1,"",100000000))</f>
        <v/>
      </c>
      <c r="AD27" s="25" t="str">
        <f>IF(C27="","",[1]!hks_stm_cs(C27,"59",F27,1,"",100000000))</f>
        <v/>
      </c>
      <c r="AE27" s="25" t="str">
        <f>IF(C27="","",[1]!hks_stm_cs(C27,"77",F27,1,"",100000000))</f>
        <v/>
      </c>
      <c r="AF27" s="25" t="str">
        <f>IF(C27="","",[1]!hks_stm_cs(C27,"82",F27,1,"",100000000))</f>
        <v/>
      </c>
      <c r="AG27" s="25" t="str">
        <f>IF(C27="","",[1]!hks_stm_cs(C27,"84",F27,1,"",100000000))</f>
        <v/>
      </c>
      <c r="AH27" s="35"/>
    </row>
    <row r="28" spans="1:34" s="36" customFormat="1" ht="16.5" x14ac:dyDescent="0.2">
      <c r="A28" s="2"/>
      <c r="B28" s="6"/>
      <c r="C28" s="28" t="str">
        <f>IF(表1[[#This Row],[列1]]="","",表1[[#This Row],[列1]])</f>
        <v/>
      </c>
      <c r="D28" s="19" t="str">
        <f>IF(C28="","",[1]!hks_info_name(C28))</f>
        <v/>
      </c>
      <c r="E28" s="18" t="str">
        <f ca="1">IF(C28="","",[1]!lastradeday_s(C28,TODAY()))</f>
        <v/>
      </c>
      <c r="F28" s="19" t="str">
        <f>IF(C28="","",IF(OR([1]!s_stm_rpt_e(C28,基本资料!$I$8,0)="#N/A",[1]!s_stm_rpt_e(C28,基本资料!$I$8,0)="",[1]!s_stm_rpt_e(C28,基本资料!$I$8,0)=0),[1]!s_stm_rpt_e(C28,基本资料!$I$9,0),[1]!s_stm_rpt_e(C28,基本资料!$I$8,0)))</f>
        <v/>
      </c>
      <c r="G28" s="19" t="str">
        <f>IF(C28="","",[1]!hks_info_cur2(C28,F28))</f>
        <v/>
      </c>
      <c r="H28" s="27" t="str">
        <f>IF(C28="","",[1]!hks_stm_is(C28,"83",F28,1,"",100000000))</f>
        <v/>
      </c>
      <c r="I28" s="23" t="str">
        <f>IF(C28="","",[1]!hks_stm_is(C28,"1032",F28,1,"",100000000))</f>
        <v/>
      </c>
      <c r="J28" s="23" t="str">
        <f>IF(C28="","",[1]!hks_stm_is(C28,"1041",F28,1,"",100000000))</f>
        <v/>
      </c>
      <c r="K28" s="23" t="str">
        <f>IF(C28="","",[1]!hks_stm_is(C28,"61",F28,1,"",100000000))</f>
        <v/>
      </c>
      <c r="L28" s="23" t="str">
        <f>IF(C28="","",[1]!hks_stm_is(C28,"1075",F28,1,"",100000000))</f>
        <v/>
      </c>
      <c r="M28" s="23" t="str">
        <f>IF(C28="","",[1]!hks_stm_is(C28,"1077",F28,1,"",100000000))</f>
        <v/>
      </c>
      <c r="N28" s="23" t="str">
        <f>IF(C28="","",[1]!hks_stm_is(C28,"1030",F28,1,"",100000000))</f>
        <v/>
      </c>
      <c r="O28" s="23" t="str">
        <f>IF(C28="","",[1]!hks_fa_ebit(C28,F28,1,"",100000000))</f>
        <v/>
      </c>
      <c r="P28" s="25" t="str">
        <f>IF(C28="","",[1]!hks_fa_ebitda(C28,F28,1,"",100000000))</f>
        <v/>
      </c>
      <c r="Q28" s="25" t="str">
        <f>IF(C28="","",[1]!hks_stm_bs(C28,"9",F28,1,"",100000000))</f>
        <v/>
      </c>
      <c r="R28" s="25" t="str">
        <f>IF(C28="","",[1]!hks_stm_bs(C28,"25",F28,1,"",100000000))</f>
        <v/>
      </c>
      <c r="S28" s="25" t="str">
        <f>IF(C28="","",[1]!hks_stm_bs(C28,"1088",F28,1,"",100000000))</f>
        <v/>
      </c>
      <c r="T28" s="25" t="str">
        <f>IF(C28="","",[1]!hks_stm_bs(C28,"46",F28,1,"",100000000))</f>
        <v/>
      </c>
      <c r="U28" s="25" t="str">
        <f>IF(C28="","",[1]!hks_stm_bs(C28,"29",F28,1,"",100000000))</f>
        <v/>
      </c>
      <c r="V28" s="25" t="str">
        <f>IF(C28="","",[1]!hks_stm_bs(C28,"74",F28,1,"",100000000))</f>
        <v/>
      </c>
      <c r="W28" s="25" t="str">
        <f>IF(C28="","",[1]!hks_stm_bs(C28,"93",F28,1,"",100000000))</f>
        <v/>
      </c>
      <c r="X28" s="25" t="str">
        <f>IF(C28="","",[1]!hks_stm_bs(C28,"1017",F28,1,"",100000000))</f>
        <v/>
      </c>
      <c r="Y28" s="25" t="str">
        <f>IF(C28="","",[1]!hks_stm_bs(C28,"128",F28,1,"",100000000))</f>
        <v/>
      </c>
      <c r="Z28" s="25" t="str">
        <f>IF(C28="","",[1]!hks_stm_bs(C28,"145",F28,1,"",100000000))</f>
        <v/>
      </c>
      <c r="AA28" s="25" t="str">
        <f>IF(C28="","",[1]!hks_stm_bs(C28,"140",F28,1,"",100000000))</f>
        <v/>
      </c>
      <c r="AB28" s="25" t="str">
        <f>IF(C28="","",[1]!hks_stm_cs(C28,"39",F28,1,"",100000000))</f>
        <v/>
      </c>
      <c r="AC28" s="25" t="str">
        <f>IF(C28="","",[1]!hks_stm_cs(C28,"1020",F28,1,"",100000000))</f>
        <v/>
      </c>
      <c r="AD28" s="25" t="str">
        <f>IF(C28="","",[1]!hks_stm_cs(C28,"59",F28,1,"",100000000))</f>
        <v/>
      </c>
      <c r="AE28" s="25" t="str">
        <f>IF(C28="","",[1]!hks_stm_cs(C28,"77",F28,1,"",100000000))</f>
        <v/>
      </c>
      <c r="AF28" s="25" t="str">
        <f>IF(C28="","",[1]!hks_stm_cs(C28,"82",F28,1,"",100000000))</f>
        <v/>
      </c>
      <c r="AG28" s="25" t="str">
        <f>IF(C28="","",[1]!hks_stm_cs(C28,"84",F28,1,"",100000000))</f>
        <v/>
      </c>
      <c r="AH28" s="35"/>
    </row>
    <row r="29" spans="1:34" s="36" customFormat="1" ht="16.5" x14ac:dyDescent="0.2">
      <c r="A29" s="2"/>
      <c r="B29" s="6"/>
      <c r="C29" s="28" t="str">
        <f>IF(表1[[#This Row],[列1]]="","",表1[[#This Row],[列1]])</f>
        <v/>
      </c>
      <c r="D29" s="19" t="str">
        <f>IF(C29="","",[1]!hks_info_name(C29))</f>
        <v/>
      </c>
      <c r="E29" s="18" t="str">
        <f ca="1">IF(C29="","",[1]!lastradeday_s(C29,TODAY()))</f>
        <v/>
      </c>
      <c r="F29" s="19" t="str">
        <f>IF(C29="","",IF(OR([1]!s_stm_rpt_e(C29,基本资料!$I$8,0)="#N/A",[1]!s_stm_rpt_e(C29,基本资料!$I$8,0)="",[1]!s_stm_rpt_e(C29,基本资料!$I$8,0)=0),[1]!s_stm_rpt_e(C29,基本资料!$I$9,0),[1]!s_stm_rpt_e(C29,基本资料!$I$8,0)))</f>
        <v/>
      </c>
      <c r="G29" s="19" t="str">
        <f>IF(C29="","",[1]!hks_info_cur2(C29,F29))</f>
        <v/>
      </c>
      <c r="H29" s="27" t="str">
        <f>IF(C29="","",[1]!hks_stm_is(C29,"83",F29,1,"",100000000))</f>
        <v/>
      </c>
      <c r="I29" s="23" t="str">
        <f>IF(C29="","",[1]!hks_stm_is(C29,"1032",F29,1,"",100000000))</f>
        <v/>
      </c>
      <c r="J29" s="23" t="str">
        <f>IF(C29="","",[1]!hks_stm_is(C29,"1041",F29,1,"",100000000))</f>
        <v/>
      </c>
      <c r="K29" s="23" t="str">
        <f>IF(C29="","",[1]!hks_stm_is(C29,"61",F29,1,"",100000000))</f>
        <v/>
      </c>
      <c r="L29" s="23" t="str">
        <f>IF(C29="","",[1]!hks_stm_is(C29,"1075",F29,1,"",100000000))</f>
        <v/>
      </c>
      <c r="M29" s="23" t="str">
        <f>IF(C29="","",[1]!hks_stm_is(C29,"1077",F29,1,"",100000000))</f>
        <v/>
      </c>
      <c r="N29" s="23" t="str">
        <f>IF(C29="","",[1]!hks_stm_is(C29,"1030",F29,1,"",100000000))</f>
        <v/>
      </c>
      <c r="O29" s="23" t="str">
        <f>IF(C29="","",[1]!hks_fa_ebit(C29,F29,1,"",100000000))</f>
        <v/>
      </c>
      <c r="P29" s="25" t="str">
        <f>IF(C29="","",[1]!hks_fa_ebitda(C29,F29,1,"",100000000))</f>
        <v/>
      </c>
      <c r="Q29" s="25" t="str">
        <f>IF(C29="","",[1]!hks_stm_bs(C29,"9",F29,1,"",100000000))</f>
        <v/>
      </c>
      <c r="R29" s="25" t="str">
        <f>IF(C29="","",[1]!hks_stm_bs(C29,"25",F29,1,"",100000000))</f>
        <v/>
      </c>
      <c r="S29" s="25" t="str">
        <f>IF(C29="","",[1]!hks_stm_bs(C29,"1088",F29,1,"",100000000))</f>
        <v/>
      </c>
      <c r="T29" s="25" t="str">
        <f>IF(C29="","",[1]!hks_stm_bs(C29,"46",F29,1,"",100000000))</f>
        <v/>
      </c>
      <c r="U29" s="25" t="str">
        <f>IF(C29="","",[1]!hks_stm_bs(C29,"29",F29,1,"",100000000))</f>
        <v/>
      </c>
      <c r="V29" s="25" t="str">
        <f>IF(C29="","",[1]!hks_stm_bs(C29,"74",F29,1,"",100000000))</f>
        <v/>
      </c>
      <c r="W29" s="25" t="str">
        <f>IF(C29="","",[1]!hks_stm_bs(C29,"93",F29,1,"",100000000))</f>
        <v/>
      </c>
      <c r="X29" s="25" t="str">
        <f>IF(C29="","",[1]!hks_stm_bs(C29,"1017",F29,1,"",100000000))</f>
        <v/>
      </c>
      <c r="Y29" s="25" t="str">
        <f>IF(C29="","",[1]!hks_stm_bs(C29,"128",F29,1,"",100000000))</f>
        <v/>
      </c>
      <c r="Z29" s="25" t="str">
        <f>IF(C29="","",[1]!hks_stm_bs(C29,"145",F29,1,"",100000000))</f>
        <v/>
      </c>
      <c r="AA29" s="25" t="str">
        <f>IF(C29="","",[1]!hks_stm_bs(C29,"140",F29,1,"",100000000))</f>
        <v/>
      </c>
      <c r="AB29" s="25" t="str">
        <f>IF(C29="","",[1]!hks_stm_cs(C29,"39",F29,1,"",100000000))</f>
        <v/>
      </c>
      <c r="AC29" s="25" t="str">
        <f>IF(C29="","",[1]!hks_stm_cs(C29,"1020",F29,1,"",100000000))</f>
        <v/>
      </c>
      <c r="AD29" s="25" t="str">
        <f>IF(C29="","",[1]!hks_stm_cs(C29,"59",F29,1,"",100000000))</f>
        <v/>
      </c>
      <c r="AE29" s="25" t="str">
        <f>IF(C29="","",[1]!hks_stm_cs(C29,"77",F29,1,"",100000000))</f>
        <v/>
      </c>
      <c r="AF29" s="25" t="str">
        <f>IF(C29="","",[1]!hks_stm_cs(C29,"82",F29,1,"",100000000))</f>
        <v/>
      </c>
      <c r="AG29" s="25" t="str">
        <f>IF(C29="","",[1]!hks_stm_cs(C29,"84",F29,1,"",100000000))</f>
        <v/>
      </c>
      <c r="AH29" s="35"/>
    </row>
    <row r="30" spans="1:34" s="36" customFormat="1" ht="16.5" x14ac:dyDescent="0.2">
      <c r="A30" s="2"/>
      <c r="B30" s="6"/>
      <c r="C30" s="28" t="str">
        <f>IF(表1[[#This Row],[列1]]="","",表1[[#This Row],[列1]])</f>
        <v/>
      </c>
      <c r="D30" s="19" t="str">
        <f>IF(C30="","",[1]!hks_info_name(C30))</f>
        <v/>
      </c>
      <c r="E30" s="18" t="str">
        <f ca="1">IF(C30="","",[1]!lastradeday_s(C30,TODAY()))</f>
        <v/>
      </c>
      <c r="F30" s="19" t="str">
        <f>IF(C30="","",IF(OR([1]!s_stm_rpt_e(C30,基本资料!$I$8,0)="#N/A",[1]!s_stm_rpt_e(C30,基本资料!$I$8,0)="",[1]!s_stm_rpt_e(C30,基本资料!$I$8,0)=0),[1]!s_stm_rpt_e(C30,基本资料!$I$9,0),[1]!s_stm_rpt_e(C30,基本资料!$I$8,0)))</f>
        <v/>
      </c>
      <c r="G30" s="19" t="str">
        <f>IF(C30="","",[1]!hks_info_cur2(C30,F30))</f>
        <v/>
      </c>
      <c r="H30" s="27" t="str">
        <f>IF(C30="","",[1]!hks_stm_is(C30,"83",F30,1,"",100000000))</f>
        <v/>
      </c>
      <c r="I30" s="23" t="str">
        <f>IF(C30="","",[1]!hks_stm_is(C30,"1032",F30,1,"",100000000))</f>
        <v/>
      </c>
      <c r="J30" s="23" t="str">
        <f>IF(C30="","",[1]!hks_stm_is(C30,"1041",F30,1,"",100000000))</f>
        <v/>
      </c>
      <c r="K30" s="23" t="str">
        <f>IF(C30="","",[1]!hks_stm_is(C30,"61",F30,1,"",100000000))</f>
        <v/>
      </c>
      <c r="L30" s="23" t="str">
        <f>IF(C30="","",[1]!hks_stm_is(C30,"1075",F30,1,"",100000000))</f>
        <v/>
      </c>
      <c r="M30" s="23" t="str">
        <f>IF(C30="","",[1]!hks_stm_is(C30,"1077",F30,1,"",100000000))</f>
        <v/>
      </c>
      <c r="N30" s="23" t="str">
        <f>IF(C30="","",[1]!hks_stm_is(C30,"1030",F30,1,"",100000000))</f>
        <v/>
      </c>
      <c r="O30" s="23" t="str">
        <f>IF(C30="","",[1]!hks_fa_ebit(C30,F30,1,"",100000000))</f>
        <v/>
      </c>
      <c r="P30" s="25" t="str">
        <f>IF(C30="","",[1]!hks_fa_ebitda(C30,F30,1,"",100000000))</f>
        <v/>
      </c>
      <c r="Q30" s="25" t="str">
        <f>IF(C30="","",[1]!hks_stm_bs(C30,"9",F30,1,"",100000000))</f>
        <v/>
      </c>
      <c r="R30" s="25" t="str">
        <f>IF(C30="","",[1]!hks_stm_bs(C30,"25",F30,1,"",100000000))</f>
        <v/>
      </c>
      <c r="S30" s="25" t="str">
        <f>IF(C30="","",[1]!hks_stm_bs(C30,"1088",F30,1,"",100000000))</f>
        <v/>
      </c>
      <c r="T30" s="25" t="str">
        <f>IF(C30="","",[1]!hks_stm_bs(C30,"46",F30,1,"",100000000))</f>
        <v/>
      </c>
      <c r="U30" s="25" t="str">
        <f>IF(C30="","",[1]!hks_stm_bs(C30,"29",F30,1,"",100000000))</f>
        <v/>
      </c>
      <c r="V30" s="25" t="str">
        <f>IF(C30="","",[1]!hks_stm_bs(C30,"74",F30,1,"",100000000))</f>
        <v/>
      </c>
      <c r="W30" s="25" t="str">
        <f>IF(C30="","",[1]!hks_stm_bs(C30,"93",F30,1,"",100000000))</f>
        <v/>
      </c>
      <c r="X30" s="25" t="str">
        <f>IF(C30="","",[1]!hks_stm_bs(C30,"1017",F30,1,"",100000000))</f>
        <v/>
      </c>
      <c r="Y30" s="25" t="str">
        <f>IF(C30="","",[1]!hks_stm_bs(C30,"128",F30,1,"",100000000))</f>
        <v/>
      </c>
      <c r="Z30" s="25" t="str">
        <f>IF(C30="","",[1]!hks_stm_bs(C30,"145",F30,1,"",100000000))</f>
        <v/>
      </c>
      <c r="AA30" s="25" t="str">
        <f>IF(C30="","",[1]!hks_stm_bs(C30,"140",F30,1,"",100000000))</f>
        <v/>
      </c>
      <c r="AB30" s="25" t="str">
        <f>IF(C30="","",[1]!hks_stm_cs(C30,"39",F30,1,"",100000000))</f>
        <v/>
      </c>
      <c r="AC30" s="25" t="str">
        <f>IF(C30="","",[1]!hks_stm_cs(C30,"1020",F30,1,"",100000000))</f>
        <v/>
      </c>
      <c r="AD30" s="25" t="str">
        <f>IF(C30="","",[1]!hks_stm_cs(C30,"59",F30,1,"",100000000))</f>
        <v/>
      </c>
      <c r="AE30" s="25" t="str">
        <f>IF(C30="","",[1]!hks_stm_cs(C30,"77",F30,1,"",100000000))</f>
        <v/>
      </c>
      <c r="AF30" s="25" t="str">
        <f>IF(C30="","",[1]!hks_stm_cs(C30,"82",F30,1,"",100000000))</f>
        <v/>
      </c>
      <c r="AG30" s="25" t="str">
        <f>IF(C30="","",[1]!hks_stm_cs(C30,"84",F30,1,"",100000000))</f>
        <v/>
      </c>
      <c r="AH30" s="35"/>
    </row>
    <row r="31" spans="1:34" s="36" customFormat="1" ht="16.5" x14ac:dyDescent="0.2">
      <c r="A31" s="2"/>
      <c r="B31" s="6"/>
      <c r="C31" s="28" t="str">
        <f>IF(表1[[#This Row],[列1]]="","",表1[[#This Row],[列1]])</f>
        <v/>
      </c>
      <c r="D31" s="19" t="str">
        <f>IF(C31="","",[1]!hks_info_name(C31))</f>
        <v/>
      </c>
      <c r="E31" s="18" t="str">
        <f ca="1">IF(C31="","",[1]!lastradeday_s(C31,TODAY()))</f>
        <v/>
      </c>
      <c r="F31" s="19" t="str">
        <f>IF(C31="","",IF(OR([1]!s_stm_rpt_e(C31,基本资料!$I$8,0)="#N/A",[1]!s_stm_rpt_e(C31,基本资料!$I$8,0)="",[1]!s_stm_rpt_e(C31,基本资料!$I$8,0)=0),[1]!s_stm_rpt_e(C31,基本资料!$I$9,0),[1]!s_stm_rpt_e(C31,基本资料!$I$8,0)))</f>
        <v/>
      </c>
      <c r="G31" s="19" t="str">
        <f>IF(C31="","",[1]!hks_info_cur2(C31,F31))</f>
        <v/>
      </c>
      <c r="H31" s="27" t="str">
        <f>IF(C31="","",[1]!hks_stm_is(C31,"83",F31,1,"",100000000))</f>
        <v/>
      </c>
      <c r="I31" s="23" t="str">
        <f>IF(C31="","",[1]!hks_stm_is(C31,"1032",F31,1,"",100000000))</f>
        <v/>
      </c>
      <c r="J31" s="23" t="str">
        <f>IF(C31="","",[1]!hks_stm_is(C31,"1041",F31,1,"",100000000))</f>
        <v/>
      </c>
      <c r="K31" s="23" t="str">
        <f>IF(C31="","",[1]!hks_stm_is(C31,"61",F31,1,"",100000000))</f>
        <v/>
      </c>
      <c r="L31" s="23" t="str">
        <f>IF(C31="","",[1]!hks_stm_is(C31,"1075",F31,1,"",100000000))</f>
        <v/>
      </c>
      <c r="M31" s="23" t="str">
        <f>IF(C31="","",[1]!hks_stm_is(C31,"1077",F31,1,"",100000000))</f>
        <v/>
      </c>
      <c r="N31" s="23" t="str">
        <f>IF(C31="","",[1]!hks_stm_is(C31,"1030",F31,1,"",100000000))</f>
        <v/>
      </c>
      <c r="O31" s="23" t="str">
        <f>IF(C31="","",[1]!hks_fa_ebit(C31,F31,1,"",100000000))</f>
        <v/>
      </c>
      <c r="P31" s="25" t="str">
        <f>IF(C31="","",[1]!hks_fa_ebitda(C31,F31,1,"",100000000))</f>
        <v/>
      </c>
      <c r="Q31" s="25" t="str">
        <f>IF(C31="","",[1]!hks_stm_bs(C31,"9",F31,1,"",100000000))</f>
        <v/>
      </c>
      <c r="R31" s="25" t="str">
        <f>IF(C31="","",[1]!hks_stm_bs(C31,"25",F31,1,"",100000000))</f>
        <v/>
      </c>
      <c r="S31" s="25" t="str">
        <f>IF(C31="","",[1]!hks_stm_bs(C31,"1088",F31,1,"",100000000))</f>
        <v/>
      </c>
      <c r="T31" s="25" t="str">
        <f>IF(C31="","",[1]!hks_stm_bs(C31,"46",F31,1,"",100000000))</f>
        <v/>
      </c>
      <c r="U31" s="25" t="str">
        <f>IF(C31="","",[1]!hks_stm_bs(C31,"29",F31,1,"",100000000))</f>
        <v/>
      </c>
      <c r="V31" s="25" t="str">
        <f>IF(C31="","",[1]!hks_stm_bs(C31,"74",F31,1,"",100000000))</f>
        <v/>
      </c>
      <c r="W31" s="25" t="str">
        <f>IF(C31="","",[1]!hks_stm_bs(C31,"93",F31,1,"",100000000))</f>
        <v/>
      </c>
      <c r="X31" s="25" t="str">
        <f>IF(C31="","",[1]!hks_stm_bs(C31,"1017",F31,1,"",100000000))</f>
        <v/>
      </c>
      <c r="Y31" s="25" t="str">
        <f>IF(C31="","",[1]!hks_stm_bs(C31,"128",F31,1,"",100000000))</f>
        <v/>
      </c>
      <c r="Z31" s="25" t="str">
        <f>IF(C31="","",[1]!hks_stm_bs(C31,"145",F31,1,"",100000000))</f>
        <v/>
      </c>
      <c r="AA31" s="25" t="str">
        <f>IF(C31="","",[1]!hks_stm_bs(C31,"140",F31,1,"",100000000))</f>
        <v/>
      </c>
      <c r="AB31" s="25" t="str">
        <f>IF(C31="","",[1]!hks_stm_cs(C31,"39",F31,1,"",100000000))</f>
        <v/>
      </c>
      <c r="AC31" s="25" t="str">
        <f>IF(C31="","",[1]!hks_stm_cs(C31,"1020",F31,1,"",100000000))</f>
        <v/>
      </c>
      <c r="AD31" s="25" t="str">
        <f>IF(C31="","",[1]!hks_stm_cs(C31,"59",F31,1,"",100000000))</f>
        <v/>
      </c>
      <c r="AE31" s="25" t="str">
        <f>IF(C31="","",[1]!hks_stm_cs(C31,"77",F31,1,"",100000000))</f>
        <v/>
      </c>
      <c r="AF31" s="25" t="str">
        <f>IF(C31="","",[1]!hks_stm_cs(C31,"82",F31,1,"",100000000))</f>
        <v/>
      </c>
      <c r="AG31" s="25" t="str">
        <f>IF(C31="","",[1]!hks_stm_cs(C31,"84",F31,1,"",100000000))</f>
        <v/>
      </c>
      <c r="AH31" s="35"/>
    </row>
    <row r="32" spans="1:34" s="36" customFormat="1" ht="16.5" x14ac:dyDescent="0.2">
      <c r="A32" s="2"/>
      <c r="B32" s="6"/>
      <c r="C32" s="28" t="str">
        <f>IF(表1[[#This Row],[列1]]="","",表1[[#This Row],[列1]])</f>
        <v/>
      </c>
      <c r="D32" s="19" t="str">
        <f>IF(C32="","",[1]!hks_info_name(C32))</f>
        <v/>
      </c>
      <c r="E32" s="18" t="str">
        <f ca="1">IF(C32="","",[1]!lastradeday_s(C32,TODAY()))</f>
        <v/>
      </c>
      <c r="F32" s="19" t="str">
        <f>IF(C32="","",IF(OR([1]!s_stm_rpt_e(C32,基本资料!$I$8,0)="#N/A",[1]!s_stm_rpt_e(C32,基本资料!$I$8,0)="",[1]!s_stm_rpt_e(C32,基本资料!$I$8,0)=0),[1]!s_stm_rpt_e(C32,基本资料!$I$9,0),[1]!s_stm_rpt_e(C32,基本资料!$I$8,0)))</f>
        <v/>
      </c>
      <c r="G32" s="19" t="str">
        <f>IF(C32="","",[1]!hks_info_cur2(C32,F32))</f>
        <v/>
      </c>
      <c r="H32" s="27" t="str">
        <f>IF(C32="","",[1]!hks_stm_is(C32,"83",F32,1,"",100000000))</f>
        <v/>
      </c>
      <c r="I32" s="23" t="str">
        <f>IF(C32="","",[1]!hks_stm_is(C32,"1032",F32,1,"",100000000))</f>
        <v/>
      </c>
      <c r="J32" s="23" t="str">
        <f>IF(C32="","",[1]!hks_stm_is(C32,"1041",F32,1,"",100000000))</f>
        <v/>
      </c>
      <c r="K32" s="23" t="str">
        <f>IF(C32="","",[1]!hks_stm_is(C32,"61",F32,1,"",100000000))</f>
        <v/>
      </c>
      <c r="L32" s="23" t="str">
        <f>IF(C32="","",[1]!hks_stm_is(C32,"1075",F32,1,"",100000000))</f>
        <v/>
      </c>
      <c r="M32" s="23" t="str">
        <f>IF(C32="","",[1]!hks_stm_is(C32,"1077",F32,1,"",100000000))</f>
        <v/>
      </c>
      <c r="N32" s="23" t="str">
        <f>IF(C32="","",[1]!hks_stm_is(C32,"1030",F32,1,"",100000000))</f>
        <v/>
      </c>
      <c r="O32" s="23" t="str">
        <f>IF(C32="","",[1]!hks_fa_ebit(C32,F32,1,"",100000000))</f>
        <v/>
      </c>
      <c r="P32" s="25" t="str">
        <f>IF(C32="","",[1]!hks_fa_ebitda(C32,F32,1,"",100000000))</f>
        <v/>
      </c>
      <c r="Q32" s="25" t="str">
        <f>IF(C32="","",[1]!hks_stm_bs(C32,"9",F32,1,"",100000000))</f>
        <v/>
      </c>
      <c r="R32" s="25" t="str">
        <f>IF(C32="","",[1]!hks_stm_bs(C32,"25",F32,1,"",100000000))</f>
        <v/>
      </c>
      <c r="S32" s="25" t="str">
        <f>IF(C32="","",[1]!hks_stm_bs(C32,"1088",F32,1,"",100000000))</f>
        <v/>
      </c>
      <c r="T32" s="25" t="str">
        <f>IF(C32="","",[1]!hks_stm_bs(C32,"46",F32,1,"",100000000))</f>
        <v/>
      </c>
      <c r="U32" s="25" t="str">
        <f>IF(C32="","",[1]!hks_stm_bs(C32,"29",F32,1,"",100000000))</f>
        <v/>
      </c>
      <c r="V32" s="25" t="str">
        <f>IF(C32="","",[1]!hks_stm_bs(C32,"74",F32,1,"",100000000))</f>
        <v/>
      </c>
      <c r="W32" s="25" t="str">
        <f>IF(C32="","",[1]!hks_stm_bs(C32,"93",F32,1,"",100000000))</f>
        <v/>
      </c>
      <c r="X32" s="25" t="str">
        <f>IF(C32="","",[1]!hks_stm_bs(C32,"1017",F32,1,"",100000000))</f>
        <v/>
      </c>
      <c r="Y32" s="25" t="str">
        <f>IF(C32="","",[1]!hks_stm_bs(C32,"128",F32,1,"",100000000))</f>
        <v/>
      </c>
      <c r="Z32" s="25" t="str">
        <f>IF(C32="","",[1]!hks_stm_bs(C32,"145",F32,1,"",100000000))</f>
        <v/>
      </c>
      <c r="AA32" s="25" t="str">
        <f>IF(C32="","",[1]!hks_stm_bs(C32,"140",F32,1,"",100000000))</f>
        <v/>
      </c>
      <c r="AB32" s="25" t="str">
        <f>IF(C32="","",[1]!hks_stm_cs(C32,"39",F32,1,"",100000000))</f>
        <v/>
      </c>
      <c r="AC32" s="25" t="str">
        <f>IF(C32="","",[1]!hks_stm_cs(C32,"1020",F32,1,"",100000000))</f>
        <v/>
      </c>
      <c r="AD32" s="25" t="str">
        <f>IF(C32="","",[1]!hks_stm_cs(C32,"59",F32,1,"",100000000))</f>
        <v/>
      </c>
      <c r="AE32" s="25" t="str">
        <f>IF(C32="","",[1]!hks_stm_cs(C32,"77",F32,1,"",100000000))</f>
        <v/>
      </c>
      <c r="AF32" s="25" t="str">
        <f>IF(C32="","",[1]!hks_stm_cs(C32,"82",F32,1,"",100000000))</f>
        <v/>
      </c>
      <c r="AG32" s="25" t="str">
        <f>IF(C32="","",[1]!hks_stm_cs(C32,"84",F32,1,"",100000000))</f>
        <v/>
      </c>
      <c r="AH32" s="35"/>
    </row>
    <row r="33" spans="1:34" s="36" customFormat="1" ht="16.5" x14ac:dyDescent="0.2">
      <c r="A33" s="2"/>
      <c r="B33" s="6"/>
      <c r="C33" s="28" t="str">
        <f>IF(表1[[#This Row],[列1]]="","",表1[[#This Row],[列1]])</f>
        <v/>
      </c>
      <c r="D33" s="19" t="str">
        <f>IF(C33="","",[1]!hks_info_name(C33))</f>
        <v/>
      </c>
      <c r="E33" s="18" t="str">
        <f ca="1">IF(C33="","",[1]!lastradeday_s(C33,TODAY()))</f>
        <v/>
      </c>
      <c r="F33" s="19" t="str">
        <f>IF(C33="","",IF(OR([1]!s_stm_rpt_e(C33,基本资料!$I$8,0)="#N/A",[1]!s_stm_rpt_e(C33,基本资料!$I$8,0)="",[1]!s_stm_rpt_e(C33,基本资料!$I$8,0)=0),[1]!s_stm_rpt_e(C33,基本资料!$I$9,0),[1]!s_stm_rpt_e(C33,基本资料!$I$8,0)))</f>
        <v/>
      </c>
      <c r="G33" s="19" t="str">
        <f>IF(C33="","",[1]!hks_info_cur2(C33,F33))</f>
        <v/>
      </c>
      <c r="H33" s="27" t="str">
        <f>IF(C33="","",[1]!hks_stm_is(C33,"83",F33,1,"",100000000))</f>
        <v/>
      </c>
      <c r="I33" s="23" t="str">
        <f>IF(C33="","",[1]!hks_stm_is(C33,"1032",F33,1,"",100000000))</f>
        <v/>
      </c>
      <c r="J33" s="23" t="str">
        <f>IF(C33="","",[1]!hks_stm_is(C33,"1041",F33,1,"",100000000))</f>
        <v/>
      </c>
      <c r="K33" s="23" t="str">
        <f>IF(C33="","",[1]!hks_stm_is(C33,"61",F33,1,"",100000000))</f>
        <v/>
      </c>
      <c r="L33" s="23" t="str">
        <f>IF(C33="","",[1]!hks_stm_is(C33,"1075",F33,1,"",100000000))</f>
        <v/>
      </c>
      <c r="M33" s="23" t="str">
        <f>IF(C33="","",[1]!hks_stm_is(C33,"1077",F33,1,"",100000000))</f>
        <v/>
      </c>
      <c r="N33" s="23" t="str">
        <f>IF(C33="","",[1]!hks_stm_is(C33,"1030",F33,1,"",100000000))</f>
        <v/>
      </c>
      <c r="O33" s="23" t="str">
        <f>IF(C33="","",[1]!hks_fa_ebit(C33,F33,1,"",100000000))</f>
        <v/>
      </c>
      <c r="P33" s="25" t="str">
        <f>IF(C33="","",[1]!hks_fa_ebitda(C33,F33,1,"",100000000))</f>
        <v/>
      </c>
      <c r="Q33" s="25" t="str">
        <f>IF(C33="","",[1]!hks_stm_bs(C33,"9",F33,1,"",100000000))</f>
        <v/>
      </c>
      <c r="R33" s="25" t="str">
        <f>IF(C33="","",[1]!hks_stm_bs(C33,"25",F33,1,"",100000000))</f>
        <v/>
      </c>
      <c r="S33" s="25" t="str">
        <f>IF(C33="","",[1]!hks_stm_bs(C33,"1088",F33,1,"",100000000))</f>
        <v/>
      </c>
      <c r="T33" s="25" t="str">
        <f>IF(C33="","",[1]!hks_stm_bs(C33,"46",F33,1,"",100000000))</f>
        <v/>
      </c>
      <c r="U33" s="25" t="str">
        <f>IF(C33="","",[1]!hks_stm_bs(C33,"29",F33,1,"",100000000))</f>
        <v/>
      </c>
      <c r="V33" s="25" t="str">
        <f>IF(C33="","",[1]!hks_stm_bs(C33,"74",F33,1,"",100000000))</f>
        <v/>
      </c>
      <c r="W33" s="25" t="str">
        <f>IF(C33="","",[1]!hks_stm_bs(C33,"93",F33,1,"",100000000))</f>
        <v/>
      </c>
      <c r="X33" s="25" t="str">
        <f>IF(C33="","",[1]!hks_stm_bs(C33,"1017",F33,1,"",100000000))</f>
        <v/>
      </c>
      <c r="Y33" s="25" t="str">
        <f>IF(C33="","",[1]!hks_stm_bs(C33,"128",F33,1,"",100000000))</f>
        <v/>
      </c>
      <c r="Z33" s="25" t="str">
        <f>IF(C33="","",[1]!hks_stm_bs(C33,"145",F33,1,"",100000000))</f>
        <v/>
      </c>
      <c r="AA33" s="25" t="str">
        <f>IF(C33="","",[1]!hks_stm_bs(C33,"140",F33,1,"",100000000))</f>
        <v/>
      </c>
      <c r="AB33" s="25" t="str">
        <f>IF(C33="","",[1]!hks_stm_cs(C33,"39",F33,1,"",100000000))</f>
        <v/>
      </c>
      <c r="AC33" s="25" t="str">
        <f>IF(C33="","",[1]!hks_stm_cs(C33,"1020",F33,1,"",100000000))</f>
        <v/>
      </c>
      <c r="AD33" s="25" t="str">
        <f>IF(C33="","",[1]!hks_stm_cs(C33,"59",F33,1,"",100000000))</f>
        <v/>
      </c>
      <c r="AE33" s="25" t="str">
        <f>IF(C33="","",[1]!hks_stm_cs(C33,"77",F33,1,"",100000000))</f>
        <v/>
      </c>
      <c r="AF33" s="25" t="str">
        <f>IF(C33="","",[1]!hks_stm_cs(C33,"82",F33,1,"",100000000))</f>
        <v/>
      </c>
      <c r="AG33" s="25" t="str">
        <f>IF(C33="","",[1]!hks_stm_cs(C33,"84",F33,1,"",100000000))</f>
        <v/>
      </c>
      <c r="AH33" s="35"/>
    </row>
    <row r="34" spans="1:34" s="36" customFormat="1" ht="16.5" x14ac:dyDescent="0.2">
      <c r="A34" s="2"/>
      <c r="B34" s="6"/>
      <c r="C34" s="28" t="str">
        <f>IF(表1[[#This Row],[列1]]="","",表1[[#This Row],[列1]])</f>
        <v/>
      </c>
      <c r="D34" s="19" t="str">
        <f>IF(C34="","",[1]!hks_info_name(C34))</f>
        <v/>
      </c>
      <c r="E34" s="18" t="str">
        <f ca="1">IF(C34="","",[1]!lastradeday_s(C34,TODAY()))</f>
        <v/>
      </c>
      <c r="F34" s="19" t="str">
        <f>IF(C34="","",IF(OR([1]!s_stm_rpt_e(C34,基本资料!$I$8,0)="#N/A",[1]!s_stm_rpt_e(C34,基本资料!$I$8,0)="",[1]!s_stm_rpt_e(C34,基本资料!$I$8,0)=0),[1]!s_stm_rpt_e(C34,基本资料!$I$9,0),[1]!s_stm_rpt_e(C34,基本资料!$I$8,0)))</f>
        <v/>
      </c>
      <c r="G34" s="19" t="str">
        <f>IF(C34="","",[1]!hks_info_cur2(C34,F34))</f>
        <v/>
      </c>
      <c r="H34" s="27" t="str">
        <f>IF(C34="","",[1]!hks_stm_is(C34,"83",F34,1,"",100000000))</f>
        <v/>
      </c>
      <c r="I34" s="23" t="str">
        <f>IF(C34="","",[1]!hks_stm_is(C34,"1032",F34,1,"",100000000))</f>
        <v/>
      </c>
      <c r="J34" s="23" t="str">
        <f>IF(C34="","",[1]!hks_stm_is(C34,"1041",F34,1,"",100000000))</f>
        <v/>
      </c>
      <c r="K34" s="23" t="str">
        <f>IF(C34="","",[1]!hks_stm_is(C34,"61",F34,1,"",100000000))</f>
        <v/>
      </c>
      <c r="L34" s="23" t="str">
        <f>IF(C34="","",[1]!hks_stm_is(C34,"1075",F34,1,"",100000000))</f>
        <v/>
      </c>
      <c r="M34" s="23" t="str">
        <f>IF(C34="","",[1]!hks_stm_is(C34,"1077",F34,1,"",100000000))</f>
        <v/>
      </c>
      <c r="N34" s="23" t="str">
        <f>IF(C34="","",[1]!hks_stm_is(C34,"1030",F34,1,"",100000000))</f>
        <v/>
      </c>
      <c r="O34" s="23" t="str">
        <f>IF(C34="","",[1]!hks_fa_ebit(C34,F34,1,"",100000000))</f>
        <v/>
      </c>
      <c r="P34" s="25" t="str">
        <f>IF(C34="","",[1]!hks_fa_ebitda(C34,F34,1,"",100000000))</f>
        <v/>
      </c>
      <c r="Q34" s="25" t="str">
        <f>IF(C34="","",[1]!hks_stm_bs(C34,"9",F34,1,"",100000000))</f>
        <v/>
      </c>
      <c r="R34" s="25" t="str">
        <f>IF(C34="","",[1]!hks_stm_bs(C34,"25",F34,1,"",100000000))</f>
        <v/>
      </c>
      <c r="S34" s="25" t="str">
        <f>IF(C34="","",[1]!hks_stm_bs(C34,"1088",F34,1,"",100000000))</f>
        <v/>
      </c>
      <c r="T34" s="25" t="str">
        <f>IF(C34="","",[1]!hks_stm_bs(C34,"46",F34,1,"",100000000))</f>
        <v/>
      </c>
      <c r="U34" s="25" t="str">
        <f>IF(C34="","",[1]!hks_stm_bs(C34,"29",F34,1,"",100000000))</f>
        <v/>
      </c>
      <c r="V34" s="25" t="str">
        <f>IF(C34="","",[1]!hks_stm_bs(C34,"74",F34,1,"",100000000))</f>
        <v/>
      </c>
      <c r="W34" s="25" t="str">
        <f>IF(C34="","",[1]!hks_stm_bs(C34,"93",F34,1,"",100000000))</f>
        <v/>
      </c>
      <c r="X34" s="25" t="str">
        <f>IF(C34="","",[1]!hks_stm_bs(C34,"1017",F34,1,"",100000000))</f>
        <v/>
      </c>
      <c r="Y34" s="25" t="str">
        <f>IF(C34="","",[1]!hks_stm_bs(C34,"128",F34,1,"",100000000))</f>
        <v/>
      </c>
      <c r="Z34" s="25" t="str">
        <f>IF(C34="","",[1]!hks_stm_bs(C34,"145",F34,1,"",100000000))</f>
        <v/>
      </c>
      <c r="AA34" s="25" t="str">
        <f>IF(C34="","",[1]!hks_stm_bs(C34,"140",F34,1,"",100000000))</f>
        <v/>
      </c>
      <c r="AB34" s="25" t="str">
        <f>IF(C34="","",[1]!hks_stm_cs(C34,"39",F34,1,"",100000000))</f>
        <v/>
      </c>
      <c r="AC34" s="25" t="str">
        <f>IF(C34="","",[1]!hks_stm_cs(C34,"1020",F34,1,"",100000000))</f>
        <v/>
      </c>
      <c r="AD34" s="25" t="str">
        <f>IF(C34="","",[1]!hks_stm_cs(C34,"59",F34,1,"",100000000))</f>
        <v/>
      </c>
      <c r="AE34" s="25" t="str">
        <f>IF(C34="","",[1]!hks_stm_cs(C34,"77",F34,1,"",100000000))</f>
        <v/>
      </c>
      <c r="AF34" s="25" t="str">
        <f>IF(C34="","",[1]!hks_stm_cs(C34,"82",F34,1,"",100000000))</f>
        <v/>
      </c>
      <c r="AG34" s="25" t="str">
        <f>IF(C34="","",[1]!hks_stm_cs(C34,"84",F34,1,"",100000000))</f>
        <v/>
      </c>
      <c r="AH34" s="35"/>
    </row>
    <row r="35" spans="1:34" s="36" customFormat="1" ht="16.5" x14ac:dyDescent="0.2">
      <c r="A35" s="2"/>
      <c r="B35" s="6"/>
      <c r="C35" s="28" t="str">
        <f>IF(表1[[#This Row],[列1]]="","",表1[[#This Row],[列1]])</f>
        <v/>
      </c>
      <c r="D35" s="19" t="str">
        <f>IF(C35="","",[1]!hks_info_name(C35))</f>
        <v/>
      </c>
      <c r="E35" s="18" t="str">
        <f ca="1">IF(C35="","",[1]!lastradeday_s(C35,TODAY()))</f>
        <v/>
      </c>
      <c r="F35" s="19" t="str">
        <f>IF(C35="","",IF(OR([1]!s_stm_rpt_e(C35,基本资料!$I$8,0)="#N/A",[1]!s_stm_rpt_e(C35,基本资料!$I$8,0)="",[1]!s_stm_rpt_e(C35,基本资料!$I$8,0)=0),[1]!s_stm_rpt_e(C35,基本资料!$I$9,0),[1]!s_stm_rpt_e(C35,基本资料!$I$8,0)))</f>
        <v/>
      </c>
      <c r="G35" s="19" t="str">
        <f>IF(C35="","",[1]!hks_info_cur2(C35,F35))</f>
        <v/>
      </c>
      <c r="H35" s="27" t="str">
        <f>IF(C35="","",[1]!hks_stm_is(C35,"83",F35,1,"",100000000))</f>
        <v/>
      </c>
      <c r="I35" s="23" t="str">
        <f>IF(C35="","",[1]!hks_stm_is(C35,"1032",F35,1,"",100000000))</f>
        <v/>
      </c>
      <c r="J35" s="23" t="str">
        <f>IF(C35="","",[1]!hks_stm_is(C35,"1041",F35,1,"",100000000))</f>
        <v/>
      </c>
      <c r="K35" s="23" t="str">
        <f>IF(C35="","",[1]!hks_stm_is(C35,"61",F35,1,"",100000000))</f>
        <v/>
      </c>
      <c r="L35" s="23" t="str">
        <f>IF(C35="","",[1]!hks_stm_is(C35,"1075",F35,1,"",100000000))</f>
        <v/>
      </c>
      <c r="M35" s="23" t="str">
        <f>IF(C35="","",[1]!hks_stm_is(C35,"1077",F35,1,"",100000000))</f>
        <v/>
      </c>
      <c r="N35" s="23" t="str">
        <f>IF(C35="","",[1]!hks_stm_is(C35,"1030",F35,1,"",100000000))</f>
        <v/>
      </c>
      <c r="O35" s="23" t="str">
        <f>IF(C35="","",[1]!hks_fa_ebit(C35,F35,1,"",100000000))</f>
        <v/>
      </c>
      <c r="P35" s="25" t="str">
        <f>IF(C35="","",[1]!hks_fa_ebitda(C35,F35,1,"",100000000))</f>
        <v/>
      </c>
      <c r="Q35" s="25" t="str">
        <f>IF(C35="","",[1]!hks_stm_bs(C35,"9",F35,1,"",100000000))</f>
        <v/>
      </c>
      <c r="R35" s="25" t="str">
        <f>IF(C35="","",[1]!hks_stm_bs(C35,"25",F35,1,"",100000000))</f>
        <v/>
      </c>
      <c r="S35" s="25" t="str">
        <f>IF(C35="","",[1]!hks_stm_bs(C35,"1088",F35,1,"",100000000))</f>
        <v/>
      </c>
      <c r="T35" s="25" t="str">
        <f>IF(C35="","",[1]!hks_stm_bs(C35,"46",F35,1,"",100000000))</f>
        <v/>
      </c>
      <c r="U35" s="25" t="str">
        <f>IF(C35="","",[1]!hks_stm_bs(C35,"29",F35,1,"",100000000))</f>
        <v/>
      </c>
      <c r="V35" s="25" t="str">
        <f>IF(C35="","",[1]!hks_stm_bs(C35,"74",F35,1,"",100000000))</f>
        <v/>
      </c>
      <c r="W35" s="25" t="str">
        <f>IF(C35="","",[1]!hks_stm_bs(C35,"93",F35,1,"",100000000))</f>
        <v/>
      </c>
      <c r="X35" s="25" t="str">
        <f>IF(C35="","",[1]!hks_stm_bs(C35,"1017",F35,1,"",100000000))</f>
        <v/>
      </c>
      <c r="Y35" s="25" t="str">
        <f>IF(C35="","",[1]!hks_stm_bs(C35,"128",F35,1,"",100000000))</f>
        <v/>
      </c>
      <c r="Z35" s="25" t="str">
        <f>IF(C35="","",[1]!hks_stm_bs(C35,"145",F35,1,"",100000000))</f>
        <v/>
      </c>
      <c r="AA35" s="25" t="str">
        <f>IF(C35="","",[1]!hks_stm_bs(C35,"140",F35,1,"",100000000))</f>
        <v/>
      </c>
      <c r="AB35" s="25" t="str">
        <f>IF(C35="","",[1]!hks_stm_cs(C35,"39",F35,1,"",100000000))</f>
        <v/>
      </c>
      <c r="AC35" s="25" t="str">
        <f>IF(C35="","",[1]!hks_stm_cs(C35,"1020",F35,1,"",100000000))</f>
        <v/>
      </c>
      <c r="AD35" s="25" t="str">
        <f>IF(C35="","",[1]!hks_stm_cs(C35,"59",F35,1,"",100000000))</f>
        <v/>
      </c>
      <c r="AE35" s="25" t="str">
        <f>IF(C35="","",[1]!hks_stm_cs(C35,"77",F35,1,"",100000000))</f>
        <v/>
      </c>
      <c r="AF35" s="25" t="str">
        <f>IF(C35="","",[1]!hks_stm_cs(C35,"82",F35,1,"",100000000))</f>
        <v/>
      </c>
      <c r="AG35" s="25" t="str">
        <f>IF(C35="","",[1]!hks_stm_cs(C35,"84",F35,1,"",100000000))</f>
        <v/>
      </c>
      <c r="AH35" s="35"/>
    </row>
    <row r="36" spans="1:34" s="36" customFormat="1" ht="16.5" x14ac:dyDescent="0.2">
      <c r="A36" s="2"/>
      <c r="B36" s="6"/>
      <c r="C36" s="28" t="str">
        <f>IF(表1[[#This Row],[列1]]="","",表1[[#This Row],[列1]])</f>
        <v/>
      </c>
      <c r="D36" s="19" t="str">
        <f>IF(C36="","",[1]!hks_info_name(C36))</f>
        <v/>
      </c>
      <c r="E36" s="18" t="str">
        <f ca="1">IF(C36="","",[1]!lastradeday_s(C36,TODAY()))</f>
        <v/>
      </c>
      <c r="F36" s="19" t="str">
        <f>IF(C36="","",IF(OR([1]!s_stm_rpt_e(C36,基本资料!$I$8,0)="#N/A",[1]!s_stm_rpt_e(C36,基本资料!$I$8,0)="",[1]!s_stm_rpt_e(C36,基本资料!$I$8,0)=0),[1]!s_stm_rpt_e(C36,基本资料!$I$9,0),[1]!s_stm_rpt_e(C36,基本资料!$I$8,0)))</f>
        <v/>
      </c>
      <c r="G36" s="19" t="str">
        <f>IF(C36="","",[1]!hks_info_cur2(C36,F36))</f>
        <v/>
      </c>
      <c r="H36" s="27" t="str">
        <f>IF(C36="","",[1]!hks_stm_is(C36,"83",F36,1,"",100000000))</f>
        <v/>
      </c>
      <c r="I36" s="23" t="str">
        <f>IF(C36="","",[1]!hks_stm_is(C36,"1032",F36,1,"",100000000))</f>
        <v/>
      </c>
      <c r="J36" s="23" t="str">
        <f>IF(C36="","",[1]!hks_stm_is(C36,"1041",F36,1,"",100000000))</f>
        <v/>
      </c>
      <c r="K36" s="23" t="str">
        <f>IF(C36="","",[1]!hks_stm_is(C36,"61",F36,1,"",100000000))</f>
        <v/>
      </c>
      <c r="L36" s="23" t="str">
        <f>IF(C36="","",[1]!hks_stm_is(C36,"1075",F36,1,"",100000000))</f>
        <v/>
      </c>
      <c r="M36" s="23" t="str">
        <f>IF(C36="","",[1]!hks_stm_is(C36,"1077",F36,1,"",100000000))</f>
        <v/>
      </c>
      <c r="N36" s="23" t="str">
        <f>IF(C36="","",[1]!hks_stm_is(C36,"1030",F36,1,"",100000000))</f>
        <v/>
      </c>
      <c r="O36" s="23" t="str">
        <f>IF(C36="","",[1]!hks_fa_ebit(C36,F36,1,"",100000000))</f>
        <v/>
      </c>
      <c r="P36" s="25" t="str">
        <f>IF(C36="","",[1]!hks_fa_ebitda(C36,F36,1,"",100000000))</f>
        <v/>
      </c>
      <c r="Q36" s="25" t="str">
        <f>IF(C36="","",[1]!hks_stm_bs(C36,"9",F36,1,"",100000000))</f>
        <v/>
      </c>
      <c r="R36" s="25" t="str">
        <f>IF(C36="","",[1]!hks_stm_bs(C36,"25",F36,1,"",100000000))</f>
        <v/>
      </c>
      <c r="S36" s="25" t="str">
        <f>IF(C36="","",[1]!hks_stm_bs(C36,"1088",F36,1,"",100000000))</f>
        <v/>
      </c>
      <c r="T36" s="25" t="str">
        <f>IF(C36="","",[1]!hks_stm_bs(C36,"46",F36,1,"",100000000))</f>
        <v/>
      </c>
      <c r="U36" s="25" t="str">
        <f>IF(C36="","",[1]!hks_stm_bs(C36,"29",F36,1,"",100000000))</f>
        <v/>
      </c>
      <c r="V36" s="25" t="str">
        <f>IF(C36="","",[1]!hks_stm_bs(C36,"74",F36,1,"",100000000))</f>
        <v/>
      </c>
      <c r="W36" s="25" t="str">
        <f>IF(C36="","",[1]!hks_stm_bs(C36,"93",F36,1,"",100000000))</f>
        <v/>
      </c>
      <c r="X36" s="25" t="str">
        <f>IF(C36="","",[1]!hks_stm_bs(C36,"1017",F36,1,"",100000000))</f>
        <v/>
      </c>
      <c r="Y36" s="25" t="str">
        <f>IF(C36="","",[1]!hks_stm_bs(C36,"128",F36,1,"",100000000))</f>
        <v/>
      </c>
      <c r="Z36" s="25" t="str">
        <f>IF(C36="","",[1]!hks_stm_bs(C36,"145",F36,1,"",100000000))</f>
        <v/>
      </c>
      <c r="AA36" s="25" t="str">
        <f>IF(C36="","",[1]!hks_stm_bs(C36,"140",F36,1,"",100000000))</f>
        <v/>
      </c>
      <c r="AB36" s="25" t="str">
        <f>IF(C36="","",[1]!hks_stm_cs(C36,"39",F36,1,"",100000000))</f>
        <v/>
      </c>
      <c r="AC36" s="25" t="str">
        <f>IF(C36="","",[1]!hks_stm_cs(C36,"1020",F36,1,"",100000000))</f>
        <v/>
      </c>
      <c r="AD36" s="25" t="str">
        <f>IF(C36="","",[1]!hks_stm_cs(C36,"59",F36,1,"",100000000))</f>
        <v/>
      </c>
      <c r="AE36" s="25" t="str">
        <f>IF(C36="","",[1]!hks_stm_cs(C36,"77",F36,1,"",100000000))</f>
        <v/>
      </c>
      <c r="AF36" s="25" t="str">
        <f>IF(C36="","",[1]!hks_stm_cs(C36,"82",F36,1,"",100000000))</f>
        <v/>
      </c>
      <c r="AG36" s="25" t="str">
        <f>IF(C36="","",[1]!hks_stm_cs(C36,"84",F36,1,"",100000000))</f>
        <v/>
      </c>
      <c r="AH36" s="35"/>
    </row>
    <row r="37" spans="1:34" s="36" customFormat="1" ht="16.5" x14ac:dyDescent="0.2">
      <c r="A37" s="2"/>
      <c r="B37" s="6"/>
      <c r="C37" s="28" t="str">
        <f>IF(表1[[#This Row],[列1]]="","",表1[[#This Row],[列1]])</f>
        <v/>
      </c>
      <c r="D37" s="19" t="str">
        <f>IF(C37="","",[1]!hks_info_name(C37))</f>
        <v/>
      </c>
      <c r="E37" s="18" t="str">
        <f ca="1">IF(C37="","",[1]!lastradeday_s(C37,TODAY()))</f>
        <v/>
      </c>
      <c r="F37" s="19" t="str">
        <f>IF(C37="","",IF(OR([1]!s_stm_rpt_e(C37,基本资料!$I$8,0)="#N/A",[1]!s_stm_rpt_e(C37,基本资料!$I$8,0)="",[1]!s_stm_rpt_e(C37,基本资料!$I$8,0)=0),[1]!s_stm_rpt_e(C37,基本资料!$I$9,0),[1]!s_stm_rpt_e(C37,基本资料!$I$8,0)))</f>
        <v/>
      </c>
      <c r="G37" s="19" t="str">
        <f>IF(C37="","",[1]!hks_info_cur2(C37,F37))</f>
        <v/>
      </c>
      <c r="H37" s="27" t="str">
        <f>IF(C37="","",[1]!hks_stm_is(C37,"83",F37,1,"",100000000))</f>
        <v/>
      </c>
      <c r="I37" s="23" t="str">
        <f>IF(C37="","",[1]!hks_stm_is(C37,"1032",F37,1,"",100000000))</f>
        <v/>
      </c>
      <c r="J37" s="23" t="str">
        <f>IF(C37="","",[1]!hks_stm_is(C37,"1041",F37,1,"",100000000))</f>
        <v/>
      </c>
      <c r="K37" s="23" t="str">
        <f>IF(C37="","",[1]!hks_stm_is(C37,"61",F37,1,"",100000000))</f>
        <v/>
      </c>
      <c r="L37" s="23" t="str">
        <f>IF(C37="","",[1]!hks_stm_is(C37,"1075",F37,1,"",100000000))</f>
        <v/>
      </c>
      <c r="M37" s="23" t="str">
        <f>IF(C37="","",[1]!hks_stm_is(C37,"1077",F37,1,"",100000000))</f>
        <v/>
      </c>
      <c r="N37" s="23" t="str">
        <f>IF(C37="","",[1]!hks_stm_is(C37,"1030",F37,1,"",100000000))</f>
        <v/>
      </c>
      <c r="O37" s="23" t="str">
        <f>IF(C37="","",[1]!hks_fa_ebit(C37,F37,1,"",100000000))</f>
        <v/>
      </c>
      <c r="P37" s="25" t="str">
        <f>IF(C37="","",[1]!hks_fa_ebitda(C37,F37,1,"",100000000))</f>
        <v/>
      </c>
      <c r="Q37" s="25" t="str">
        <f>IF(C37="","",[1]!hks_stm_bs(C37,"9",F37,1,"",100000000))</f>
        <v/>
      </c>
      <c r="R37" s="25" t="str">
        <f>IF(C37="","",[1]!hks_stm_bs(C37,"25",F37,1,"",100000000))</f>
        <v/>
      </c>
      <c r="S37" s="25" t="str">
        <f>IF(C37="","",[1]!hks_stm_bs(C37,"1088",F37,1,"",100000000))</f>
        <v/>
      </c>
      <c r="T37" s="25" t="str">
        <f>IF(C37="","",[1]!hks_stm_bs(C37,"46",F37,1,"",100000000))</f>
        <v/>
      </c>
      <c r="U37" s="25" t="str">
        <f>IF(C37="","",[1]!hks_stm_bs(C37,"29",F37,1,"",100000000))</f>
        <v/>
      </c>
      <c r="V37" s="25" t="str">
        <f>IF(C37="","",[1]!hks_stm_bs(C37,"74",F37,1,"",100000000))</f>
        <v/>
      </c>
      <c r="W37" s="25" t="str">
        <f>IF(C37="","",[1]!hks_stm_bs(C37,"93",F37,1,"",100000000))</f>
        <v/>
      </c>
      <c r="X37" s="25" t="str">
        <f>IF(C37="","",[1]!hks_stm_bs(C37,"1017",F37,1,"",100000000))</f>
        <v/>
      </c>
      <c r="Y37" s="25" t="str">
        <f>IF(C37="","",[1]!hks_stm_bs(C37,"128",F37,1,"",100000000))</f>
        <v/>
      </c>
      <c r="Z37" s="25" t="str">
        <f>IF(C37="","",[1]!hks_stm_bs(C37,"145",F37,1,"",100000000))</f>
        <v/>
      </c>
      <c r="AA37" s="25" t="str">
        <f>IF(C37="","",[1]!hks_stm_bs(C37,"140",F37,1,"",100000000))</f>
        <v/>
      </c>
      <c r="AB37" s="25" t="str">
        <f>IF(C37="","",[1]!hks_stm_cs(C37,"39",F37,1,"",100000000))</f>
        <v/>
      </c>
      <c r="AC37" s="25" t="str">
        <f>IF(C37="","",[1]!hks_stm_cs(C37,"1020",F37,1,"",100000000))</f>
        <v/>
      </c>
      <c r="AD37" s="25" t="str">
        <f>IF(C37="","",[1]!hks_stm_cs(C37,"59",F37,1,"",100000000))</f>
        <v/>
      </c>
      <c r="AE37" s="25" t="str">
        <f>IF(C37="","",[1]!hks_stm_cs(C37,"77",F37,1,"",100000000))</f>
        <v/>
      </c>
      <c r="AF37" s="25" t="str">
        <f>IF(C37="","",[1]!hks_stm_cs(C37,"82",F37,1,"",100000000))</f>
        <v/>
      </c>
      <c r="AG37" s="25" t="str">
        <f>IF(C37="","",[1]!hks_stm_cs(C37,"84",F37,1,"",100000000))</f>
        <v/>
      </c>
      <c r="AH37" s="35"/>
    </row>
    <row r="38" spans="1:34" s="36" customFormat="1" ht="16.5" x14ac:dyDescent="0.2">
      <c r="A38" s="2"/>
      <c r="B38" s="6"/>
      <c r="C38" s="28" t="str">
        <f>IF(表1[[#This Row],[列1]]="","",表1[[#This Row],[列1]])</f>
        <v/>
      </c>
      <c r="D38" s="19" t="str">
        <f>IF(C38="","",[1]!hks_info_name(C38))</f>
        <v/>
      </c>
      <c r="E38" s="18" t="str">
        <f ca="1">IF(C38="","",[1]!lastradeday_s(C38,TODAY()))</f>
        <v/>
      </c>
      <c r="F38" s="19" t="str">
        <f>IF(C38="","",IF(OR([1]!s_stm_rpt_e(C38,基本资料!$I$8,0)="#N/A",[1]!s_stm_rpt_e(C38,基本资料!$I$8,0)="",[1]!s_stm_rpt_e(C38,基本资料!$I$8,0)=0),[1]!s_stm_rpt_e(C38,基本资料!$I$9,0),[1]!s_stm_rpt_e(C38,基本资料!$I$8,0)))</f>
        <v/>
      </c>
      <c r="G38" s="19" t="str">
        <f>IF(C38="","",[1]!hks_info_cur2(C38,F38))</f>
        <v/>
      </c>
      <c r="H38" s="27" t="str">
        <f>IF(C38="","",[1]!hks_stm_is(C38,"83",F38,1,"",100000000))</f>
        <v/>
      </c>
      <c r="I38" s="23" t="str">
        <f>IF(C38="","",[1]!hks_stm_is(C38,"1032",F38,1,"",100000000))</f>
        <v/>
      </c>
      <c r="J38" s="23" t="str">
        <f>IF(C38="","",[1]!hks_stm_is(C38,"1041",F38,1,"",100000000))</f>
        <v/>
      </c>
      <c r="K38" s="23" t="str">
        <f>IF(C38="","",[1]!hks_stm_is(C38,"61",F38,1,"",100000000))</f>
        <v/>
      </c>
      <c r="L38" s="23" t="str">
        <f>IF(C38="","",[1]!hks_stm_is(C38,"1075",F38,1,"",100000000))</f>
        <v/>
      </c>
      <c r="M38" s="23" t="str">
        <f>IF(C38="","",[1]!hks_stm_is(C38,"1077",F38,1,"",100000000))</f>
        <v/>
      </c>
      <c r="N38" s="23" t="str">
        <f>IF(C38="","",[1]!hks_stm_is(C38,"1030",F38,1,"",100000000))</f>
        <v/>
      </c>
      <c r="O38" s="23" t="str">
        <f>IF(C38="","",[1]!hks_fa_ebit(C38,F38,1,"",100000000))</f>
        <v/>
      </c>
      <c r="P38" s="25" t="str">
        <f>IF(C38="","",[1]!hks_fa_ebitda(C38,F38,1,"",100000000))</f>
        <v/>
      </c>
      <c r="Q38" s="25" t="str">
        <f>IF(C38="","",[1]!hks_stm_bs(C38,"9",F38,1,"",100000000))</f>
        <v/>
      </c>
      <c r="R38" s="25" t="str">
        <f>IF(C38="","",[1]!hks_stm_bs(C38,"25",F38,1,"",100000000))</f>
        <v/>
      </c>
      <c r="S38" s="25" t="str">
        <f>IF(C38="","",[1]!hks_stm_bs(C38,"1088",F38,1,"",100000000))</f>
        <v/>
      </c>
      <c r="T38" s="25" t="str">
        <f>IF(C38="","",[1]!hks_stm_bs(C38,"46",F38,1,"",100000000))</f>
        <v/>
      </c>
      <c r="U38" s="25" t="str">
        <f>IF(C38="","",[1]!hks_stm_bs(C38,"29",F38,1,"",100000000))</f>
        <v/>
      </c>
      <c r="V38" s="25" t="str">
        <f>IF(C38="","",[1]!hks_stm_bs(C38,"74",F38,1,"",100000000))</f>
        <v/>
      </c>
      <c r="W38" s="25" t="str">
        <f>IF(C38="","",[1]!hks_stm_bs(C38,"93",F38,1,"",100000000))</f>
        <v/>
      </c>
      <c r="X38" s="25" t="str">
        <f>IF(C38="","",[1]!hks_stm_bs(C38,"1017",F38,1,"",100000000))</f>
        <v/>
      </c>
      <c r="Y38" s="25" t="str">
        <f>IF(C38="","",[1]!hks_stm_bs(C38,"128",F38,1,"",100000000))</f>
        <v/>
      </c>
      <c r="Z38" s="25" t="str">
        <f>IF(C38="","",[1]!hks_stm_bs(C38,"145",F38,1,"",100000000))</f>
        <v/>
      </c>
      <c r="AA38" s="25" t="str">
        <f>IF(C38="","",[1]!hks_stm_bs(C38,"140",F38,1,"",100000000))</f>
        <v/>
      </c>
      <c r="AB38" s="25" t="str">
        <f>IF(C38="","",[1]!hks_stm_cs(C38,"39",F38,1,"",100000000))</f>
        <v/>
      </c>
      <c r="AC38" s="25" t="str">
        <f>IF(C38="","",[1]!hks_stm_cs(C38,"1020",F38,1,"",100000000))</f>
        <v/>
      </c>
      <c r="AD38" s="25" t="str">
        <f>IF(C38="","",[1]!hks_stm_cs(C38,"59",F38,1,"",100000000))</f>
        <v/>
      </c>
      <c r="AE38" s="25" t="str">
        <f>IF(C38="","",[1]!hks_stm_cs(C38,"77",F38,1,"",100000000))</f>
        <v/>
      </c>
      <c r="AF38" s="25" t="str">
        <f>IF(C38="","",[1]!hks_stm_cs(C38,"82",F38,1,"",100000000))</f>
        <v/>
      </c>
      <c r="AG38" s="25" t="str">
        <f>IF(C38="","",[1]!hks_stm_cs(C38,"84",F38,1,"",100000000))</f>
        <v/>
      </c>
      <c r="AH38" s="35"/>
    </row>
    <row r="39" spans="1:34" s="36" customFormat="1" ht="16.5" x14ac:dyDescent="0.2">
      <c r="A39" s="2"/>
      <c r="B39" s="6"/>
      <c r="C39" s="28" t="str">
        <f>IF(表1[[#This Row],[列1]]="","",表1[[#This Row],[列1]])</f>
        <v/>
      </c>
      <c r="D39" s="19" t="str">
        <f>IF(C39="","",[1]!hks_info_name(C39))</f>
        <v/>
      </c>
      <c r="E39" s="18" t="str">
        <f ca="1">IF(C39="","",[1]!lastradeday_s(C39,TODAY()))</f>
        <v/>
      </c>
      <c r="F39" s="19" t="str">
        <f>IF(C39="","",IF(OR([1]!s_stm_rpt_e(C39,基本资料!$I$8,0)="#N/A",[1]!s_stm_rpt_e(C39,基本资料!$I$8,0)="",[1]!s_stm_rpt_e(C39,基本资料!$I$8,0)=0),[1]!s_stm_rpt_e(C39,基本资料!$I$9,0),[1]!s_stm_rpt_e(C39,基本资料!$I$8,0)))</f>
        <v/>
      </c>
      <c r="G39" s="19" t="str">
        <f>IF(C39="","",[1]!hks_info_cur2(C39,F39))</f>
        <v/>
      </c>
      <c r="H39" s="27" t="str">
        <f>IF(C39="","",[1]!hks_stm_is(C39,"83",F39,1,"",100000000))</f>
        <v/>
      </c>
      <c r="I39" s="23" t="str">
        <f>IF(C39="","",[1]!hks_stm_is(C39,"1032",F39,1,"",100000000))</f>
        <v/>
      </c>
      <c r="J39" s="23" t="str">
        <f>IF(C39="","",[1]!hks_stm_is(C39,"1041",F39,1,"",100000000))</f>
        <v/>
      </c>
      <c r="K39" s="23" t="str">
        <f>IF(C39="","",[1]!hks_stm_is(C39,"61",F39,1,"",100000000))</f>
        <v/>
      </c>
      <c r="L39" s="23" t="str">
        <f>IF(C39="","",[1]!hks_stm_is(C39,"1075",F39,1,"",100000000))</f>
        <v/>
      </c>
      <c r="M39" s="23" t="str">
        <f>IF(C39="","",[1]!hks_stm_is(C39,"1077",F39,1,"",100000000))</f>
        <v/>
      </c>
      <c r="N39" s="23" t="str">
        <f>IF(C39="","",[1]!hks_stm_is(C39,"1030",F39,1,"",100000000))</f>
        <v/>
      </c>
      <c r="O39" s="23" t="str">
        <f>IF(C39="","",[1]!hks_fa_ebit(C39,F39,1,"",100000000))</f>
        <v/>
      </c>
      <c r="P39" s="25" t="str">
        <f>IF(C39="","",[1]!hks_fa_ebitda(C39,F39,1,"",100000000))</f>
        <v/>
      </c>
      <c r="Q39" s="25" t="str">
        <f>IF(C39="","",[1]!hks_stm_bs(C39,"9",F39,1,"",100000000))</f>
        <v/>
      </c>
      <c r="R39" s="25" t="str">
        <f>IF(C39="","",[1]!hks_stm_bs(C39,"25",F39,1,"",100000000))</f>
        <v/>
      </c>
      <c r="S39" s="25" t="str">
        <f>IF(C39="","",[1]!hks_stm_bs(C39,"1088",F39,1,"",100000000))</f>
        <v/>
      </c>
      <c r="T39" s="25" t="str">
        <f>IF(C39="","",[1]!hks_stm_bs(C39,"46",F39,1,"",100000000))</f>
        <v/>
      </c>
      <c r="U39" s="25" t="str">
        <f>IF(C39="","",[1]!hks_stm_bs(C39,"29",F39,1,"",100000000))</f>
        <v/>
      </c>
      <c r="V39" s="25" t="str">
        <f>IF(C39="","",[1]!hks_stm_bs(C39,"74",F39,1,"",100000000))</f>
        <v/>
      </c>
      <c r="W39" s="25" t="str">
        <f>IF(C39="","",[1]!hks_stm_bs(C39,"93",F39,1,"",100000000))</f>
        <v/>
      </c>
      <c r="X39" s="25" t="str">
        <f>IF(C39="","",[1]!hks_stm_bs(C39,"1017",F39,1,"",100000000))</f>
        <v/>
      </c>
      <c r="Y39" s="25" t="str">
        <f>IF(C39="","",[1]!hks_stm_bs(C39,"128",F39,1,"",100000000))</f>
        <v/>
      </c>
      <c r="Z39" s="25" t="str">
        <f>IF(C39="","",[1]!hks_stm_bs(C39,"145",F39,1,"",100000000))</f>
        <v/>
      </c>
      <c r="AA39" s="25" t="str">
        <f>IF(C39="","",[1]!hks_stm_bs(C39,"140",F39,1,"",100000000))</f>
        <v/>
      </c>
      <c r="AB39" s="25" t="str">
        <f>IF(C39="","",[1]!hks_stm_cs(C39,"39",F39,1,"",100000000))</f>
        <v/>
      </c>
      <c r="AC39" s="25" t="str">
        <f>IF(C39="","",[1]!hks_stm_cs(C39,"1020",F39,1,"",100000000))</f>
        <v/>
      </c>
      <c r="AD39" s="25" t="str">
        <f>IF(C39="","",[1]!hks_stm_cs(C39,"59",F39,1,"",100000000))</f>
        <v/>
      </c>
      <c r="AE39" s="25" t="str">
        <f>IF(C39="","",[1]!hks_stm_cs(C39,"77",F39,1,"",100000000))</f>
        <v/>
      </c>
      <c r="AF39" s="25" t="str">
        <f>IF(C39="","",[1]!hks_stm_cs(C39,"82",F39,1,"",100000000))</f>
        <v/>
      </c>
      <c r="AG39" s="25" t="str">
        <f>IF(C39="","",[1]!hks_stm_cs(C39,"84",F39,1,"",100000000))</f>
        <v/>
      </c>
      <c r="AH39" s="35"/>
    </row>
    <row r="40" spans="1:34" s="36" customFormat="1" ht="16.5" x14ac:dyDescent="0.2">
      <c r="A40" s="2"/>
      <c r="B40" s="6"/>
      <c r="C40" s="28" t="str">
        <f>IF(表1[[#This Row],[列1]]="","",表1[[#This Row],[列1]])</f>
        <v/>
      </c>
      <c r="D40" s="19" t="str">
        <f>IF(C40="","",[1]!hks_info_name(C40))</f>
        <v/>
      </c>
      <c r="E40" s="18" t="str">
        <f ca="1">IF(C40="","",[1]!lastradeday_s(C40,TODAY()))</f>
        <v/>
      </c>
      <c r="F40" s="19" t="str">
        <f>IF(C40="","",IF(OR([1]!s_stm_rpt_e(C40,基本资料!$I$8,0)="#N/A",[1]!s_stm_rpt_e(C40,基本资料!$I$8,0)="",[1]!s_stm_rpt_e(C40,基本资料!$I$8,0)=0),[1]!s_stm_rpt_e(C40,基本资料!$I$9,0),[1]!s_stm_rpt_e(C40,基本资料!$I$8,0)))</f>
        <v/>
      </c>
      <c r="G40" s="19" t="str">
        <f>IF(C40="","",[1]!hks_info_cur2(C40,F40))</f>
        <v/>
      </c>
      <c r="H40" s="27" t="str">
        <f>IF(C40="","",[1]!hks_stm_is(C40,"83",F40,1,"",100000000))</f>
        <v/>
      </c>
      <c r="I40" s="23" t="str">
        <f>IF(C40="","",[1]!hks_stm_is(C40,"1032",F40,1,"",100000000))</f>
        <v/>
      </c>
      <c r="J40" s="23" t="str">
        <f>IF(C40="","",[1]!hks_stm_is(C40,"1041",F40,1,"",100000000))</f>
        <v/>
      </c>
      <c r="K40" s="23" t="str">
        <f>IF(C40="","",[1]!hks_stm_is(C40,"61",F40,1,"",100000000))</f>
        <v/>
      </c>
      <c r="L40" s="23" t="str">
        <f>IF(C40="","",[1]!hks_stm_is(C40,"1075",F40,1,"",100000000))</f>
        <v/>
      </c>
      <c r="M40" s="23" t="str">
        <f>IF(C40="","",[1]!hks_stm_is(C40,"1077",F40,1,"",100000000))</f>
        <v/>
      </c>
      <c r="N40" s="23" t="str">
        <f>IF(C40="","",[1]!hks_stm_is(C40,"1030",F40,1,"",100000000))</f>
        <v/>
      </c>
      <c r="O40" s="23" t="str">
        <f>IF(C40="","",[1]!hks_fa_ebit(C40,F40,1,"",100000000))</f>
        <v/>
      </c>
      <c r="P40" s="25" t="str">
        <f>IF(C40="","",[1]!hks_fa_ebitda(C40,F40,1,"",100000000))</f>
        <v/>
      </c>
      <c r="Q40" s="25" t="str">
        <f>IF(C40="","",[1]!hks_stm_bs(C40,"9",F40,1,"",100000000))</f>
        <v/>
      </c>
      <c r="R40" s="25" t="str">
        <f>IF(C40="","",[1]!hks_stm_bs(C40,"25",F40,1,"",100000000))</f>
        <v/>
      </c>
      <c r="S40" s="25" t="str">
        <f>IF(C40="","",[1]!hks_stm_bs(C40,"1088",F40,1,"",100000000))</f>
        <v/>
      </c>
      <c r="T40" s="25" t="str">
        <f>IF(C40="","",[1]!hks_stm_bs(C40,"46",F40,1,"",100000000))</f>
        <v/>
      </c>
      <c r="U40" s="25" t="str">
        <f>IF(C40="","",[1]!hks_stm_bs(C40,"29",F40,1,"",100000000))</f>
        <v/>
      </c>
      <c r="V40" s="25" t="str">
        <f>IF(C40="","",[1]!hks_stm_bs(C40,"74",F40,1,"",100000000))</f>
        <v/>
      </c>
      <c r="W40" s="25" t="str">
        <f>IF(C40="","",[1]!hks_stm_bs(C40,"93",F40,1,"",100000000))</f>
        <v/>
      </c>
      <c r="X40" s="25" t="str">
        <f>IF(C40="","",[1]!hks_stm_bs(C40,"1017",F40,1,"",100000000))</f>
        <v/>
      </c>
      <c r="Y40" s="25" t="str">
        <f>IF(C40="","",[1]!hks_stm_bs(C40,"128",F40,1,"",100000000))</f>
        <v/>
      </c>
      <c r="Z40" s="25" t="str">
        <f>IF(C40="","",[1]!hks_stm_bs(C40,"145",F40,1,"",100000000))</f>
        <v/>
      </c>
      <c r="AA40" s="25" t="str">
        <f>IF(C40="","",[1]!hks_stm_bs(C40,"140",F40,1,"",100000000))</f>
        <v/>
      </c>
      <c r="AB40" s="25" t="str">
        <f>IF(C40="","",[1]!hks_stm_cs(C40,"39",F40,1,"",100000000))</f>
        <v/>
      </c>
      <c r="AC40" s="25" t="str">
        <f>IF(C40="","",[1]!hks_stm_cs(C40,"1020",F40,1,"",100000000))</f>
        <v/>
      </c>
      <c r="AD40" s="25" t="str">
        <f>IF(C40="","",[1]!hks_stm_cs(C40,"59",F40,1,"",100000000))</f>
        <v/>
      </c>
      <c r="AE40" s="25" t="str">
        <f>IF(C40="","",[1]!hks_stm_cs(C40,"77",F40,1,"",100000000))</f>
        <v/>
      </c>
      <c r="AF40" s="25" t="str">
        <f>IF(C40="","",[1]!hks_stm_cs(C40,"82",F40,1,"",100000000))</f>
        <v/>
      </c>
      <c r="AG40" s="25" t="str">
        <f>IF(C40="","",[1]!hks_stm_cs(C40,"84",F40,1,"",100000000))</f>
        <v/>
      </c>
      <c r="AH40" s="35"/>
    </row>
    <row r="41" spans="1:34" s="36" customFormat="1" ht="16.5" x14ac:dyDescent="0.2">
      <c r="A41" s="2"/>
      <c r="B41" s="6"/>
      <c r="C41" s="28" t="str">
        <f>IF(表1[[#This Row],[列1]]="","",表1[[#This Row],[列1]])</f>
        <v/>
      </c>
      <c r="D41" s="19" t="str">
        <f>IF(C41="","",[1]!hks_info_name(C41))</f>
        <v/>
      </c>
      <c r="E41" s="18" t="str">
        <f ca="1">IF(C41="","",[1]!lastradeday_s(C41,TODAY()))</f>
        <v/>
      </c>
      <c r="F41" s="19" t="str">
        <f>IF(C41="","",IF(OR([1]!s_stm_rpt_e(C41,基本资料!$I$8,0)="#N/A",[1]!s_stm_rpt_e(C41,基本资料!$I$8,0)="",[1]!s_stm_rpt_e(C41,基本资料!$I$8,0)=0),[1]!s_stm_rpt_e(C41,基本资料!$I$9,0),[1]!s_stm_rpt_e(C41,基本资料!$I$8,0)))</f>
        <v/>
      </c>
      <c r="G41" s="19" t="str">
        <f>IF(C41="","",[1]!hks_info_cur2(C41,F41))</f>
        <v/>
      </c>
      <c r="H41" s="27" t="str">
        <f>IF(C41="","",[1]!hks_stm_is(C41,"83",F41,1,"",100000000))</f>
        <v/>
      </c>
      <c r="I41" s="23" t="str">
        <f>IF(C41="","",[1]!hks_stm_is(C41,"1032",F41,1,"",100000000))</f>
        <v/>
      </c>
      <c r="J41" s="23" t="str">
        <f>IF(C41="","",[1]!hks_stm_is(C41,"1041",F41,1,"",100000000))</f>
        <v/>
      </c>
      <c r="K41" s="23" t="str">
        <f>IF(C41="","",[1]!hks_stm_is(C41,"61",F41,1,"",100000000))</f>
        <v/>
      </c>
      <c r="L41" s="23" t="str">
        <f>IF(C41="","",[1]!hks_stm_is(C41,"1075",F41,1,"",100000000))</f>
        <v/>
      </c>
      <c r="M41" s="23" t="str">
        <f>IF(C41="","",[1]!hks_stm_is(C41,"1077",F41,1,"",100000000))</f>
        <v/>
      </c>
      <c r="N41" s="23" t="str">
        <f>IF(C41="","",[1]!hks_stm_is(C41,"1030",F41,1,"",100000000))</f>
        <v/>
      </c>
      <c r="O41" s="23" t="str">
        <f>IF(C41="","",[1]!hks_fa_ebit(C41,F41,1,"",100000000))</f>
        <v/>
      </c>
      <c r="P41" s="25" t="str">
        <f>IF(C41="","",[1]!hks_fa_ebitda(C41,F41,1,"",100000000))</f>
        <v/>
      </c>
      <c r="Q41" s="25" t="str">
        <f>IF(C41="","",[1]!hks_stm_bs(C41,"9",F41,1,"",100000000))</f>
        <v/>
      </c>
      <c r="R41" s="25" t="str">
        <f>IF(C41="","",[1]!hks_stm_bs(C41,"25",F41,1,"",100000000))</f>
        <v/>
      </c>
      <c r="S41" s="25" t="str">
        <f>IF(C41="","",[1]!hks_stm_bs(C41,"1088",F41,1,"",100000000))</f>
        <v/>
      </c>
      <c r="T41" s="25" t="str">
        <f>IF(C41="","",[1]!hks_stm_bs(C41,"46",F41,1,"",100000000))</f>
        <v/>
      </c>
      <c r="U41" s="25" t="str">
        <f>IF(C41="","",[1]!hks_stm_bs(C41,"29",F41,1,"",100000000))</f>
        <v/>
      </c>
      <c r="V41" s="25" t="str">
        <f>IF(C41="","",[1]!hks_stm_bs(C41,"74",F41,1,"",100000000))</f>
        <v/>
      </c>
      <c r="W41" s="25" t="str">
        <f>IF(C41="","",[1]!hks_stm_bs(C41,"93",F41,1,"",100000000))</f>
        <v/>
      </c>
      <c r="X41" s="25" t="str">
        <f>IF(C41="","",[1]!hks_stm_bs(C41,"1017",F41,1,"",100000000))</f>
        <v/>
      </c>
      <c r="Y41" s="25" t="str">
        <f>IF(C41="","",[1]!hks_stm_bs(C41,"128",F41,1,"",100000000))</f>
        <v/>
      </c>
      <c r="Z41" s="25" t="str">
        <f>IF(C41="","",[1]!hks_stm_bs(C41,"145",F41,1,"",100000000))</f>
        <v/>
      </c>
      <c r="AA41" s="25" t="str">
        <f>IF(C41="","",[1]!hks_stm_bs(C41,"140",F41,1,"",100000000))</f>
        <v/>
      </c>
      <c r="AB41" s="25" t="str">
        <f>IF(C41="","",[1]!hks_stm_cs(C41,"39",F41,1,"",100000000))</f>
        <v/>
      </c>
      <c r="AC41" s="25" t="str">
        <f>IF(C41="","",[1]!hks_stm_cs(C41,"1020",F41,1,"",100000000))</f>
        <v/>
      </c>
      <c r="AD41" s="25" t="str">
        <f>IF(C41="","",[1]!hks_stm_cs(C41,"59",F41,1,"",100000000))</f>
        <v/>
      </c>
      <c r="AE41" s="25" t="str">
        <f>IF(C41="","",[1]!hks_stm_cs(C41,"77",F41,1,"",100000000))</f>
        <v/>
      </c>
      <c r="AF41" s="25" t="str">
        <f>IF(C41="","",[1]!hks_stm_cs(C41,"82",F41,1,"",100000000))</f>
        <v/>
      </c>
      <c r="AG41" s="25" t="str">
        <f>IF(C41="","",[1]!hks_stm_cs(C41,"84",F41,1,"",100000000))</f>
        <v/>
      </c>
      <c r="AH41" s="35"/>
    </row>
    <row r="42" spans="1:34" s="36" customFormat="1" ht="16.5" x14ac:dyDescent="0.2">
      <c r="A42" s="2"/>
      <c r="B42" s="6"/>
      <c r="C42" s="28" t="str">
        <f>IF(表1[[#This Row],[列1]]="","",表1[[#This Row],[列1]])</f>
        <v/>
      </c>
      <c r="D42" s="19" t="str">
        <f>IF(C42="","",[1]!hks_info_name(C42))</f>
        <v/>
      </c>
      <c r="E42" s="18" t="str">
        <f ca="1">IF(C42="","",[1]!lastradeday_s(C42,TODAY()))</f>
        <v/>
      </c>
      <c r="F42" s="19" t="str">
        <f>IF(C42="","",IF(OR([1]!s_stm_rpt_e(C42,基本资料!$I$8,0)="#N/A",[1]!s_stm_rpt_e(C42,基本资料!$I$8,0)="",[1]!s_stm_rpt_e(C42,基本资料!$I$8,0)=0),[1]!s_stm_rpt_e(C42,基本资料!$I$9,0),[1]!s_stm_rpt_e(C42,基本资料!$I$8,0)))</f>
        <v/>
      </c>
      <c r="G42" s="19" t="str">
        <f>IF(C42="","",[1]!hks_info_cur2(C42,F42))</f>
        <v/>
      </c>
      <c r="H42" s="27" t="str">
        <f>IF(C42="","",[1]!hks_stm_is(C42,"83",F42,1,"",100000000))</f>
        <v/>
      </c>
      <c r="I42" s="23" t="str">
        <f>IF(C42="","",[1]!hks_stm_is(C42,"1032",F42,1,"",100000000))</f>
        <v/>
      </c>
      <c r="J42" s="23" t="str">
        <f>IF(C42="","",[1]!hks_stm_is(C42,"1041",F42,1,"",100000000))</f>
        <v/>
      </c>
      <c r="K42" s="23" t="str">
        <f>IF(C42="","",[1]!hks_stm_is(C42,"61",F42,1,"",100000000))</f>
        <v/>
      </c>
      <c r="L42" s="23" t="str">
        <f>IF(C42="","",[1]!hks_stm_is(C42,"1075",F42,1,"",100000000))</f>
        <v/>
      </c>
      <c r="M42" s="23" t="str">
        <f>IF(C42="","",[1]!hks_stm_is(C42,"1077",F42,1,"",100000000))</f>
        <v/>
      </c>
      <c r="N42" s="23" t="str">
        <f>IF(C42="","",[1]!hks_stm_is(C42,"1030",F42,1,"",100000000))</f>
        <v/>
      </c>
      <c r="O42" s="23" t="str">
        <f>IF(C42="","",[1]!hks_fa_ebit(C42,F42,1,"",100000000))</f>
        <v/>
      </c>
      <c r="P42" s="25" t="str">
        <f>IF(C42="","",[1]!hks_fa_ebitda(C42,F42,1,"",100000000))</f>
        <v/>
      </c>
      <c r="Q42" s="25" t="str">
        <f>IF(C42="","",[1]!hks_stm_bs(C42,"9",F42,1,"",100000000))</f>
        <v/>
      </c>
      <c r="R42" s="25" t="str">
        <f>IF(C42="","",[1]!hks_stm_bs(C42,"25",F42,1,"",100000000))</f>
        <v/>
      </c>
      <c r="S42" s="25" t="str">
        <f>IF(C42="","",[1]!hks_stm_bs(C42,"1088",F42,1,"",100000000))</f>
        <v/>
      </c>
      <c r="T42" s="25" t="str">
        <f>IF(C42="","",[1]!hks_stm_bs(C42,"46",F42,1,"",100000000))</f>
        <v/>
      </c>
      <c r="U42" s="25" t="str">
        <f>IF(C42="","",[1]!hks_stm_bs(C42,"29",F42,1,"",100000000))</f>
        <v/>
      </c>
      <c r="V42" s="25" t="str">
        <f>IF(C42="","",[1]!hks_stm_bs(C42,"74",F42,1,"",100000000))</f>
        <v/>
      </c>
      <c r="W42" s="25" t="str">
        <f>IF(C42="","",[1]!hks_stm_bs(C42,"93",F42,1,"",100000000))</f>
        <v/>
      </c>
      <c r="X42" s="25" t="str">
        <f>IF(C42="","",[1]!hks_stm_bs(C42,"1017",F42,1,"",100000000))</f>
        <v/>
      </c>
      <c r="Y42" s="25" t="str">
        <f>IF(C42="","",[1]!hks_stm_bs(C42,"128",F42,1,"",100000000))</f>
        <v/>
      </c>
      <c r="Z42" s="25" t="str">
        <f>IF(C42="","",[1]!hks_stm_bs(C42,"145",F42,1,"",100000000))</f>
        <v/>
      </c>
      <c r="AA42" s="25" t="str">
        <f>IF(C42="","",[1]!hks_stm_bs(C42,"140",F42,1,"",100000000))</f>
        <v/>
      </c>
      <c r="AB42" s="25" t="str">
        <f>IF(C42="","",[1]!hks_stm_cs(C42,"39",F42,1,"",100000000))</f>
        <v/>
      </c>
      <c r="AC42" s="25" t="str">
        <f>IF(C42="","",[1]!hks_stm_cs(C42,"1020",F42,1,"",100000000))</f>
        <v/>
      </c>
      <c r="AD42" s="25" t="str">
        <f>IF(C42="","",[1]!hks_stm_cs(C42,"59",F42,1,"",100000000))</f>
        <v/>
      </c>
      <c r="AE42" s="25" t="str">
        <f>IF(C42="","",[1]!hks_stm_cs(C42,"77",F42,1,"",100000000))</f>
        <v/>
      </c>
      <c r="AF42" s="25" t="str">
        <f>IF(C42="","",[1]!hks_stm_cs(C42,"82",F42,1,"",100000000))</f>
        <v/>
      </c>
      <c r="AG42" s="25" t="str">
        <f>IF(C42="","",[1]!hks_stm_cs(C42,"84",F42,1,"",100000000))</f>
        <v/>
      </c>
      <c r="AH42" s="35"/>
    </row>
    <row r="43" spans="1:34" s="36" customFormat="1" ht="16.5" x14ac:dyDescent="0.2">
      <c r="A43" s="2"/>
      <c r="B43" s="6"/>
      <c r="C43" s="28" t="str">
        <f>IF(表1[[#This Row],[列1]]="","",表1[[#This Row],[列1]])</f>
        <v/>
      </c>
      <c r="D43" s="19" t="str">
        <f>IF(C43="","",[1]!hks_info_name(C43))</f>
        <v/>
      </c>
      <c r="E43" s="18" t="str">
        <f ca="1">IF(C43="","",[1]!lastradeday_s(C43,TODAY()))</f>
        <v/>
      </c>
      <c r="F43" s="19" t="str">
        <f>IF(C43="","",IF(OR([1]!s_stm_rpt_e(C43,基本资料!$I$8,0)="#N/A",[1]!s_stm_rpt_e(C43,基本资料!$I$8,0)="",[1]!s_stm_rpt_e(C43,基本资料!$I$8,0)=0),[1]!s_stm_rpt_e(C43,基本资料!$I$9,0),[1]!s_stm_rpt_e(C43,基本资料!$I$8,0)))</f>
        <v/>
      </c>
      <c r="G43" s="19" t="str">
        <f>IF(C43="","",[1]!hks_info_cur2(C43,F43))</f>
        <v/>
      </c>
      <c r="H43" s="27" t="str">
        <f>IF(C43="","",[1]!hks_stm_is(C43,"83",F43,1,"",100000000))</f>
        <v/>
      </c>
      <c r="I43" s="23" t="str">
        <f>IF(C43="","",[1]!hks_stm_is(C43,"1032",F43,1,"",100000000))</f>
        <v/>
      </c>
      <c r="J43" s="23" t="str">
        <f>IF(C43="","",[1]!hks_stm_is(C43,"1041",F43,1,"",100000000))</f>
        <v/>
      </c>
      <c r="K43" s="23" t="str">
        <f>IF(C43="","",[1]!hks_stm_is(C43,"61",F43,1,"",100000000))</f>
        <v/>
      </c>
      <c r="L43" s="23" t="str">
        <f>IF(C43="","",[1]!hks_stm_is(C43,"1075",F43,1,"",100000000))</f>
        <v/>
      </c>
      <c r="M43" s="23" t="str">
        <f>IF(C43="","",[1]!hks_stm_is(C43,"1077",F43,1,"",100000000))</f>
        <v/>
      </c>
      <c r="N43" s="23" t="str">
        <f>IF(C43="","",[1]!hks_stm_is(C43,"1030",F43,1,"",100000000))</f>
        <v/>
      </c>
      <c r="O43" s="23" t="str">
        <f>IF(C43="","",[1]!hks_fa_ebit(C43,F43,1,"",100000000))</f>
        <v/>
      </c>
      <c r="P43" s="25" t="str">
        <f>IF(C43="","",[1]!hks_fa_ebitda(C43,F43,1,"",100000000))</f>
        <v/>
      </c>
      <c r="Q43" s="25" t="str">
        <f>IF(C43="","",[1]!hks_stm_bs(C43,"9",F43,1,"",100000000))</f>
        <v/>
      </c>
      <c r="R43" s="25" t="str">
        <f>IF(C43="","",[1]!hks_stm_bs(C43,"25",F43,1,"",100000000))</f>
        <v/>
      </c>
      <c r="S43" s="25" t="str">
        <f>IF(C43="","",[1]!hks_stm_bs(C43,"1088",F43,1,"",100000000))</f>
        <v/>
      </c>
      <c r="T43" s="25" t="str">
        <f>IF(C43="","",[1]!hks_stm_bs(C43,"46",F43,1,"",100000000))</f>
        <v/>
      </c>
      <c r="U43" s="25" t="str">
        <f>IF(C43="","",[1]!hks_stm_bs(C43,"29",F43,1,"",100000000))</f>
        <v/>
      </c>
      <c r="V43" s="25" t="str">
        <f>IF(C43="","",[1]!hks_stm_bs(C43,"74",F43,1,"",100000000))</f>
        <v/>
      </c>
      <c r="W43" s="25" t="str">
        <f>IF(C43="","",[1]!hks_stm_bs(C43,"93",F43,1,"",100000000))</f>
        <v/>
      </c>
      <c r="X43" s="25" t="str">
        <f>IF(C43="","",[1]!hks_stm_bs(C43,"1017",F43,1,"",100000000))</f>
        <v/>
      </c>
      <c r="Y43" s="25" t="str">
        <f>IF(C43="","",[1]!hks_stm_bs(C43,"128",F43,1,"",100000000))</f>
        <v/>
      </c>
      <c r="Z43" s="25" t="str">
        <f>IF(C43="","",[1]!hks_stm_bs(C43,"145",F43,1,"",100000000))</f>
        <v/>
      </c>
      <c r="AA43" s="25" t="str">
        <f>IF(C43="","",[1]!hks_stm_bs(C43,"140",F43,1,"",100000000))</f>
        <v/>
      </c>
      <c r="AB43" s="25" t="str">
        <f>IF(C43="","",[1]!hks_stm_cs(C43,"39",F43,1,"",100000000))</f>
        <v/>
      </c>
      <c r="AC43" s="25" t="str">
        <f>IF(C43="","",[1]!hks_stm_cs(C43,"1020",F43,1,"",100000000))</f>
        <v/>
      </c>
      <c r="AD43" s="25" t="str">
        <f>IF(C43="","",[1]!hks_stm_cs(C43,"59",F43,1,"",100000000))</f>
        <v/>
      </c>
      <c r="AE43" s="25" t="str">
        <f>IF(C43="","",[1]!hks_stm_cs(C43,"77",F43,1,"",100000000))</f>
        <v/>
      </c>
      <c r="AF43" s="25" t="str">
        <f>IF(C43="","",[1]!hks_stm_cs(C43,"82",F43,1,"",100000000))</f>
        <v/>
      </c>
      <c r="AG43" s="25" t="str">
        <f>IF(C43="","",[1]!hks_stm_cs(C43,"84",F43,1,"",100000000))</f>
        <v/>
      </c>
      <c r="AH43" s="35"/>
    </row>
    <row r="44" spans="1:34" s="36" customFormat="1" ht="16.5" x14ac:dyDescent="0.2">
      <c r="A44" s="2"/>
      <c r="B44" s="6"/>
      <c r="C44" s="28" t="str">
        <f>IF(表1[[#This Row],[列1]]="","",表1[[#This Row],[列1]])</f>
        <v/>
      </c>
      <c r="D44" s="19" t="str">
        <f>IF(C44="","",[1]!hks_info_name(C44))</f>
        <v/>
      </c>
      <c r="E44" s="18" t="str">
        <f ca="1">IF(C44="","",[1]!lastradeday_s(C44,TODAY()))</f>
        <v/>
      </c>
      <c r="F44" s="19" t="str">
        <f>IF(C44="","",IF(OR([1]!s_stm_rpt_e(C44,基本资料!$I$8,0)="#N/A",[1]!s_stm_rpt_e(C44,基本资料!$I$8,0)="",[1]!s_stm_rpt_e(C44,基本资料!$I$8,0)=0),[1]!s_stm_rpt_e(C44,基本资料!$I$9,0),[1]!s_stm_rpt_e(C44,基本资料!$I$8,0)))</f>
        <v/>
      </c>
      <c r="G44" s="19" t="str">
        <f>IF(C44="","",[1]!hks_info_cur2(C44,F44))</f>
        <v/>
      </c>
      <c r="H44" s="27" t="str">
        <f>IF(C44="","",[1]!hks_stm_is(C44,"83",F44,1,"",100000000))</f>
        <v/>
      </c>
      <c r="I44" s="23" t="str">
        <f>IF(C44="","",[1]!hks_stm_is(C44,"1032",F44,1,"",100000000))</f>
        <v/>
      </c>
      <c r="J44" s="23" t="str">
        <f>IF(C44="","",[1]!hks_stm_is(C44,"1041",F44,1,"",100000000))</f>
        <v/>
      </c>
      <c r="K44" s="23" t="str">
        <f>IF(C44="","",[1]!hks_stm_is(C44,"61",F44,1,"",100000000))</f>
        <v/>
      </c>
      <c r="L44" s="23" t="str">
        <f>IF(C44="","",[1]!hks_stm_is(C44,"1075",F44,1,"",100000000))</f>
        <v/>
      </c>
      <c r="M44" s="23" t="str">
        <f>IF(C44="","",[1]!hks_stm_is(C44,"1077",F44,1,"",100000000))</f>
        <v/>
      </c>
      <c r="N44" s="23" t="str">
        <f>IF(C44="","",[1]!hks_stm_is(C44,"1030",F44,1,"",100000000))</f>
        <v/>
      </c>
      <c r="O44" s="23" t="str">
        <f>IF(C44="","",[1]!hks_fa_ebit(C44,F44,1,"",100000000))</f>
        <v/>
      </c>
      <c r="P44" s="25" t="str">
        <f>IF(C44="","",[1]!hks_fa_ebitda(C44,F44,1,"",100000000))</f>
        <v/>
      </c>
      <c r="Q44" s="25" t="str">
        <f>IF(C44="","",[1]!hks_stm_bs(C44,"9",F44,1,"",100000000))</f>
        <v/>
      </c>
      <c r="R44" s="25" t="str">
        <f>IF(C44="","",[1]!hks_stm_bs(C44,"25",F44,1,"",100000000))</f>
        <v/>
      </c>
      <c r="S44" s="25" t="str">
        <f>IF(C44="","",[1]!hks_stm_bs(C44,"1088",F44,1,"",100000000))</f>
        <v/>
      </c>
      <c r="T44" s="25" t="str">
        <f>IF(C44="","",[1]!hks_stm_bs(C44,"46",F44,1,"",100000000))</f>
        <v/>
      </c>
      <c r="U44" s="25" t="str">
        <f>IF(C44="","",[1]!hks_stm_bs(C44,"29",F44,1,"",100000000))</f>
        <v/>
      </c>
      <c r="V44" s="25" t="str">
        <f>IF(C44="","",[1]!hks_stm_bs(C44,"74",F44,1,"",100000000))</f>
        <v/>
      </c>
      <c r="W44" s="25" t="str">
        <f>IF(C44="","",[1]!hks_stm_bs(C44,"93",F44,1,"",100000000))</f>
        <v/>
      </c>
      <c r="X44" s="25" t="str">
        <f>IF(C44="","",[1]!hks_stm_bs(C44,"1017",F44,1,"",100000000))</f>
        <v/>
      </c>
      <c r="Y44" s="25" t="str">
        <f>IF(C44="","",[1]!hks_stm_bs(C44,"128",F44,1,"",100000000))</f>
        <v/>
      </c>
      <c r="Z44" s="25" t="str">
        <f>IF(C44="","",[1]!hks_stm_bs(C44,"145",F44,1,"",100000000))</f>
        <v/>
      </c>
      <c r="AA44" s="25" t="str">
        <f>IF(C44="","",[1]!hks_stm_bs(C44,"140",F44,1,"",100000000))</f>
        <v/>
      </c>
      <c r="AB44" s="25" t="str">
        <f>IF(C44="","",[1]!hks_stm_cs(C44,"39",F44,1,"",100000000))</f>
        <v/>
      </c>
      <c r="AC44" s="25" t="str">
        <f>IF(C44="","",[1]!hks_stm_cs(C44,"1020",F44,1,"",100000000))</f>
        <v/>
      </c>
      <c r="AD44" s="25" t="str">
        <f>IF(C44="","",[1]!hks_stm_cs(C44,"59",F44,1,"",100000000))</f>
        <v/>
      </c>
      <c r="AE44" s="25" t="str">
        <f>IF(C44="","",[1]!hks_stm_cs(C44,"77",F44,1,"",100000000))</f>
        <v/>
      </c>
      <c r="AF44" s="25" t="str">
        <f>IF(C44="","",[1]!hks_stm_cs(C44,"82",F44,1,"",100000000))</f>
        <v/>
      </c>
      <c r="AG44" s="25" t="str">
        <f>IF(C44="","",[1]!hks_stm_cs(C44,"84",F44,1,"",100000000))</f>
        <v/>
      </c>
      <c r="AH44" s="35"/>
    </row>
    <row r="45" spans="1:34" s="36" customFormat="1" ht="16.5" x14ac:dyDescent="0.2">
      <c r="A45" s="2"/>
      <c r="B45" s="6"/>
      <c r="C45" s="28" t="str">
        <f>IF(表1[[#This Row],[列1]]="","",表1[[#This Row],[列1]])</f>
        <v/>
      </c>
      <c r="D45" s="19" t="str">
        <f>IF(C45="","",[1]!hks_info_name(C45))</f>
        <v/>
      </c>
      <c r="E45" s="18" t="str">
        <f ca="1">IF(C45="","",[1]!lastradeday_s(C45,TODAY()))</f>
        <v/>
      </c>
      <c r="F45" s="19" t="str">
        <f>IF(C45="","",IF(OR([1]!s_stm_rpt_e(C45,基本资料!$I$8,0)="#N/A",[1]!s_stm_rpt_e(C45,基本资料!$I$8,0)="",[1]!s_stm_rpt_e(C45,基本资料!$I$8,0)=0),[1]!s_stm_rpt_e(C45,基本资料!$I$9,0),[1]!s_stm_rpt_e(C45,基本资料!$I$8,0)))</f>
        <v/>
      </c>
      <c r="G45" s="19" t="str">
        <f>IF(C45="","",[1]!hks_info_cur2(C45,F45))</f>
        <v/>
      </c>
      <c r="H45" s="27" t="str">
        <f>IF(C45="","",[1]!hks_stm_is(C45,"83",F45,1,"",100000000))</f>
        <v/>
      </c>
      <c r="I45" s="23" t="str">
        <f>IF(C45="","",[1]!hks_stm_is(C45,"1032",F45,1,"",100000000))</f>
        <v/>
      </c>
      <c r="J45" s="23" t="str">
        <f>IF(C45="","",[1]!hks_stm_is(C45,"1041",F45,1,"",100000000))</f>
        <v/>
      </c>
      <c r="K45" s="23" t="str">
        <f>IF(C45="","",[1]!hks_stm_is(C45,"61",F45,1,"",100000000))</f>
        <v/>
      </c>
      <c r="L45" s="23" t="str">
        <f>IF(C45="","",[1]!hks_stm_is(C45,"1075",F45,1,"",100000000))</f>
        <v/>
      </c>
      <c r="M45" s="23" t="str">
        <f>IF(C45="","",[1]!hks_stm_is(C45,"1077",F45,1,"",100000000))</f>
        <v/>
      </c>
      <c r="N45" s="23" t="str">
        <f>IF(C45="","",[1]!hks_stm_is(C45,"1030",F45,1,"",100000000))</f>
        <v/>
      </c>
      <c r="O45" s="23" t="str">
        <f>IF(C45="","",[1]!hks_fa_ebit(C45,F45,1,"",100000000))</f>
        <v/>
      </c>
      <c r="P45" s="25" t="str">
        <f>IF(C45="","",[1]!hks_fa_ebitda(C45,F45,1,"",100000000))</f>
        <v/>
      </c>
      <c r="Q45" s="25" t="str">
        <f>IF(C45="","",[1]!hks_stm_bs(C45,"9",F45,1,"",100000000))</f>
        <v/>
      </c>
      <c r="R45" s="25" t="str">
        <f>IF(C45="","",[1]!hks_stm_bs(C45,"25",F45,1,"",100000000))</f>
        <v/>
      </c>
      <c r="S45" s="25" t="str">
        <f>IF(C45="","",[1]!hks_stm_bs(C45,"1088",F45,1,"",100000000))</f>
        <v/>
      </c>
      <c r="T45" s="25" t="str">
        <f>IF(C45="","",[1]!hks_stm_bs(C45,"46",F45,1,"",100000000))</f>
        <v/>
      </c>
      <c r="U45" s="25" t="str">
        <f>IF(C45="","",[1]!hks_stm_bs(C45,"29",F45,1,"",100000000))</f>
        <v/>
      </c>
      <c r="V45" s="25" t="str">
        <f>IF(C45="","",[1]!hks_stm_bs(C45,"74",F45,1,"",100000000))</f>
        <v/>
      </c>
      <c r="W45" s="25" t="str">
        <f>IF(C45="","",[1]!hks_stm_bs(C45,"93",F45,1,"",100000000))</f>
        <v/>
      </c>
      <c r="X45" s="25" t="str">
        <f>IF(C45="","",[1]!hks_stm_bs(C45,"1017",F45,1,"",100000000))</f>
        <v/>
      </c>
      <c r="Y45" s="25" t="str">
        <f>IF(C45="","",[1]!hks_stm_bs(C45,"128",F45,1,"",100000000))</f>
        <v/>
      </c>
      <c r="Z45" s="25" t="str">
        <f>IF(C45="","",[1]!hks_stm_bs(C45,"145",F45,1,"",100000000))</f>
        <v/>
      </c>
      <c r="AA45" s="25" t="str">
        <f>IF(C45="","",[1]!hks_stm_bs(C45,"140",F45,1,"",100000000))</f>
        <v/>
      </c>
      <c r="AB45" s="25" t="str">
        <f>IF(C45="","",[1]!hks_stm_cs(C45,"39",F45,1,"",100000000))</f>
        <v/>
      </c>
      <c r="AC45" s="25" t="str">
        <f>IF(C45="","",[1]!hks_stm_cs(C45,"1020",F45,1,"",100000000))</f>
        <v/>
      </c>
      <c r="AD45" s="25" t="str">
        <f>IF(C45="","",[1]!hks_stm_cs(C45,"59",F45,1,"",100000000))</f>
        <v/>
      </c>
      <c r="AE45" s="25" t="str">
        <f>IF(C45="","",[1]!hks_stm_cs(C45,"77",F45,1,"",100000000))</f>
        <v/>
      </c>
      <c r="AF45" s="25" t="str">
        <f>IF(C45="","",[1]!hks_stm_cs(C45,"82",F45,1,"",100000000))</f>
        <v/>
      </c>
      <c r="AG45" s="25" t="str">
        <f>IF(C45="","",[1]!hks_stm_cs(C45,"84",F45,1,"",100000000))</f>
        <v/>
      </c>
      <c r="AH45" s="35"/>
    </row>
    <row r="46" spans="1:34" s="36" customFormat="1" ht="16.5" x14ac:dyDescent="0.2">
      <c r="A46" s="2"/>
      <c r="B46" s="6"/>
      <c r="C46" s="28" t="str">
        <f>IF(表1[[#This Row],[列1]]="","",表1[[#This Row],[列1]])</f>
        <v/>
      </c>
      <c r="D46" s="19" t="str">
        <f>IF(C46="","",[1]!hks_info_name(C46))</f>
        <v/>
      </c>
      <c r="E46" s="18" t="str">
        <f ca="1">IF(C46="","",[1]!lastradeday_s(C46,TODAY()))</f>
        <v/>
      </c>
      <c r="F46" s="19" t="str">
        <f>IF(C46="","",IF(OR([1]!s_stm_rpt_e(C46,基本资料!$I$8,0)="#N/A",[1]!s_stm_rpt_e(C46,基本资料!$I$8,0)="",[1]!s_stm_rpt_e(C46,基本资料!$I$8,0)=0),[1]!s_stm_rpt_e(C46,基本资料!$I$9,0),[1]!s_stm_rpt_e(C46,基本资料!$I$8,0)))</f>
        <v/>
      </c>
      <c r="G46" s="19" t="str">
        <f>IF(C46="","",[1]!hks_info_cur2(C46,F46))</f>
        <v/>
      </c>
      <c r="H46" s="27" t="str">
        <f>IF(C46="","",[1]!hks_stm_is(C46,"83",F46,1,"",100000000))</f>
        <v/>
      </c>
      <c r="I46" s="23" t="str">
        <f>IF(C46="","",[1]!hks_stm_is(C46,"1032",F46,1,"",100000000))</f>
        <v/>
      </c>
      <c r="J46" s="23" t="str">
        <f>IF(C46="","",[1]!hks_stm_is(C46,"1041",F46,1,"",100000000))</f>
        <v/>
      </c>
      <c r="K46" s="23" t="str">
        <f>IF(C46="","",[1]!hks_stm_is(C46,"61",F46,1,"",100000000))</f>
        <v/>
      </c>
      <c r="L46" s="23" t="str">
        <f>IF(C46="","",[1]!hks_stm_is(C46,"1075",F46,1,"",100000000))</f>
        <v/>
      </c>
      <c r="M46" s="23" t="str">
        <f>IF(C46="","",[1]!hks_stm_is(C46,"1077",F46,1,"",100000000))</f>
        <v/>
      </c>
      <c r="N46" s="23" t="str">
        <f>IF(C46="","",[1]!hks_stm_is(C46,"1030",F46,1,"",100000000))</f>
        <v/>
      </c>
      <c r="O46" s="23" t="str">
        <f>IF(C46="","",[1]!hks_fa_ebit(C46,F46,1,"",100000000))</f>
        <v/>
      </c>
      <c r="P46" s="25" t="str">
        <f>IF(C46="","",[1]!hks_fa_ebitda(C46,F46,1,"",100000000))</f>
        <v/>
      </c>
      <c r="Q46" s="25" t="str">
        <f>IF(C46="","",[1]!hks_stm_bs(C46,"9",F46,1,"",100000000))</f>
        <v/>
      </c>
      <c r="R46" s="25" t="str">
        <f>IF(C46="","",[1]!hks_stm_bs(C46,"25",F46,1,"",100000000))</f>
        <v/>
      </c>
      <c r="S46" s="25" t="str">
        <f>IF(C46="","",[1]!hks_stm_bs(C46,"1088",F46,1,"",100000000))</f>
        <v/>
      </c>
      <c r="T46" s="25" t="str">
        <f>IF(C46="","",[1]!hks_stm_bs(C46,"46",F46,1,"",100000000))</f>
        <v/>
      </c>
      <c r="U46" s="25" t="str">
        <f>IF(C46="","",[1]!hks_stm_bs(C46,"29",F46,1,"",100000000))</f>
        <v/>
      </c>
      <c r="V46" s="25" t="str">
        <f>IF(C46="","",[1]!hks_stm_bs(C46,"74",F46,1,"",100000000))</f>
        <v/>
      </c>
      <c r="W46" s="25" t="str">
        <f>IF(C46="","",[1]!hks_stm_bs(C46,"93",F46,1,"",100000000))</f>
        <v/>
      </c>
      <c r="X46" s="25" t="str">
        <f>IF(C46="","",[1]!hks_stm_bs(C46,"1017",F46,1,"",100000000))</f>
        <v/>
      </c>
      <c r="Y46" s="25" t="str">
        <f>IF(C46="","",[1]!hks_stm_bs(C46,"128",F46,1,"",100000000))</f>
        <v/>
      </c>
      <c r="Z46" s="25" t="str">
        <f>IF(C46="","",[1]!hks_stm_bs(C46,"145",F46,1,"",100000000))</f>
        <v/>
      </c>
      <c r="AA46" s="25" t="str">
        <f>IF(C46="","",[1]!hks_stm_bs(C46,"140",F46,1,"",100000000))</f>
        <v/>
      </c>
      <c r="AB46" s="25" t="str">
        <f>IF(C46="","",[1]!hks_stm_cs(C46,"39",F46,1,"",100000000))</f>
        <v/>
      </c>
      <c r="AC46" s="25" t="str">
        <f>IF(C46="","",[1]!hks_stm_cs(C46,"1020",F46,1,"",100000000))</f>
        <v/>
      </c>
      <c r="AD46" s="25" t="str">
        <f>IF(C46="","",[1]!hks_stm_cs(C46,"59",F46,1,"",100000000))</f>
        <v/>
      </c>
      <c r="AE46" s="25" t="str">
        <f>IF(C46="","",[1]!hks_stm_cs(C46,"77",F46,1,"",100000000))</f>
        <v/>
      </c>
      <c r="AF46" s="25" t="str">
        <f>IF(C46="","",[1]!hks_stm_cs(C46,"82",F46,1,"",100000000))</f>
        <v/>
      </c>
      <c r="AG46" s="25" t="str">
        <f>IF(C46="","",[1]!hks_stm_cs(C46,"84",F46,1,"",100000000))</f>
        <v/>
      </c>
      <c r="AH46" s="35"/>
    </row>
    <row r="47" spans="1:34" s="36" customFormat="1" ht="16.5" x14ac:dyDescent="0.2">
      <c r="A47" s="2"/>
      <c r="B47" s="6"/>
      <c r="C47" s="28" t="str">
        <f>IF(表1[[#This Row],[列1]]="","",表1[[#This Row],[列1]])</f>
        <v/>
      </c>
      <c r="D47" s="19" t="str">
        <f>IF(C47="","",[1]!hks_info_name(C47))</f>
        <v/>
      </c>
      <c r="E47" s="18" t="str">
        <f ca="1">IF(C47="","",[1]!lastradeday_s(C47,TODAY()))</f>
        <v/>
      </c>
      <c r="F47" s="19" t="str">
        <f>IF(C47="","",IF(OR([1]!s_stm_rpt_e(C47,基本资料!$I$8,0)="#N/A",[1]!s_stm_rpt_e(C47,基本资料!$I$8,0)="",[1]!s_stm_rpt_e(C47,基本资料!$I$8,0)=0),[1]!s_stm_rpt_e(C47,基本资料!$I$9,0),[1]!s_stm_rpt_e(C47,基本资料!$I$8,0)))</f>
        <v/>
      </c>
      <c r="G47" s="19" t="str">
        <f>IF(C47="","",[1]!hks_info_cur2(C47,F47))</f>
        <v/>
      </c>
      <c r="H47" s="27" t="str">
        <f>IF(C47="","",[1]!hks_stm_is(C47,"83",F47,1,"",100000000))</f>
        <v/>
      </c>
      <c r="I47" s="23" t="str">
        <f>IF(C47="","",[1]!hks_stm_is(C47,"1032",F47,1,"",100000000))</f>
        <v/>
      </c>
      <c r="J47" s="23" t="str">
        <f>IF(C47="","",[1]!hks_stm_is(C47,"1041",F47,1,"",100000000))</f>
        <v/>
      </c>
      <c r="K47" s="23" t="str">
        <f>IF(C47="","",[1]!hks_stm_is(C47,"61",F47,1,"",100000000))</f>
        <v/>
      </c>
      <c r="L47" s="23" t="str">
        <f>IF(C47="","",[1]!hks_stm_is(C47,"1075",F47,1,"",100000000))</f>
        <v/>
      </c>
      <c r="M47" s="23" t="str">
        <f>IF(C47="","",[1]!hks_stm_is(C47,"1077",F47,1,"",100000000))</f>
        <v/>
      </c>
      <c r="N47" s="23" t="str">
        <f>IF(C47="","",[1]!hks_stm_is(C47,"1030",F47,1,"",100000000))</f>
        <v/>
      </c>
      <c r="O47" s="23" t="str">
        <f>IF(C47="","",[1]!hks_fa_ebit(C47,F47,1,"",100000000))</f>
        <v/>
      </c>
      <c r="P47" s="25" t="str">
        <f>IF(C47="","",[1]!hks_fa_ebitda(C47,F47,1,"",100000000))</f>
        <v/>
      </c>
      <c r="Q47" s="25" t="str">
        <f>IF(C47="","",[1]!hks_stm_bs(C47,"9",F47,1,"",100000000))</f>
        <v/>
      </c>
      <c r="R47" s="25" t="str">
        <f>IF(C47="","",[1]!hks_stm_bs(C47,"25",F47,1,"",100000000))</f>
        <v/>
      </c>
      <c r="S47" s="25" t="str">
        <f>IF(C47="","",[1]!hks_stm_bs(C47,"1088",F47,1,"",100000000))</f>
        <v/>
      </c>
      <c r="T47" s="25" t="str">
        <f>IF(C47="","",[1]!hks_stm_bs(C47,"46",F47,1,"",100000000))</f>
        <v/>
      </c>
      <c r="U47" s="25" t="str">
        <f>IF(C47="","",[1]!hks_stm_bs(C47,"29",F47,1,"",100000000))</f>
        <v/>
      </c>
      <c r="V47" s="25" t="str">
        <f>IF(C47="","",[1]!hks_stm_bs(C47,"74",F47,1,"",100000000))</f>
        <v/>
      </c>
      <c r="W47" s="25" t="str">
        <f>IF(C47="","",[1]!hks_stm_bs(C47,"93",F47,1,"",100000000))</f>
        <v/>
      </c>
      <c r="X47" s="25" t="str">
        <f>IF(C47="","",[1]!hks_stm_bs(C47,"1017",F47,1,"",100000000))</f>
        <v/>
      </c>
      <c r="Y47" s="25" t="str">
        <f>IF(C47="","",[1]!hks_stm_bs(C47,"128",F47,1,"",100000000))</f>
        <v/>
      </c>
      <c r="Z47" s="25" t="str">
        <f>IF(C47="","",[1]!hks_stm_bs(C47,"145",F47,1,"",100000000))</f>
        <v/>
      </c>
      <c r="AA47" s="25" t="str">
        <f>IF(C47="","",[1]!hks_stm_bs(C47,"140",F47,1,"",100000000))</f>
        <v/>
      </c>
      <c r="AB47" s="25" t="str">
        <f>IF(C47="","",[1]!hks_stm_cs(C47,"39",F47,1,"",100000000))</f>
        <v/>
      </c>
      <c r="AC47" s="25" t="str">
        <f>IF(C47="","",[1]!hks_stm_cs(C47,"1020",F47,1,"",100000000))</f>
        <v/>
      </c>
      <c r="AD47" s="25" t="str">
        <f>IF(C47="","",[1]!hks_stm_cs(C47,"59",F47,1,"",100000000))</f>
        <v/>
      </c>
      <c r="AE47" s="25" t="str">
        <f>IF(C47="","",[1]!hks_stm_cs(C47,"77",F47,1,"",100000000))</f>
        <v/>
      </c>
      <c r="AF47" s="25" t="str">
        <f>IF(C47="","",[1]!hks_stm_cs(C47,"82",F47,1,"",100000000))</f>
        <v/>
      </c>
      <c r="AG47" s="25" t="str">
        <f>IF(C47="","",[1]!hks_stm_cs(C47,"84",F47,1,"",100000000))</f>
        <v/>
      </c>
      <c r="AH47" s="35"/>
    </row>
    <row r="48" spans="1:34" s="36" customFormat="1" ht="16.5" x14ac:dyDescent="0.2">
      <c r="A48" s="2"/>
      <c r="B48" s="6"/>
      <c r="C48" s="28" t="str">
        <f>IF(表1[[#This Row],[列1]]="","",表1[[#This Row],[列1]])</f>
        <v/>
      </c>
      <c r="D48" s="19" t="str">
        <f>IF(C48="","",[1]!hks_info_name(C48))</f>
        <v/>
      </c>
      <c r="E48" s="18" t="str">
        <f ca="1">IF(C48="","",[1]!lastradeday_s(C48,TODAY()))</f>
        <v/>
      </c>
      <c r="F48" s="19" t="str">
        <f>IF(C48="","",IF(OR([1]!s_stm_rpt_e(C48,基本资料!$I$8,0)="#N/A",[1]!s_stm_rpt_e(C48,基本资料!$I$8,0)="",[1]!s_stm_rpt_e(C48,基本资料!$I$8,0)=0),[1]!s_stm_rpt_e(C48,基本资料!$I$9,0),[1]!s_stm_rpt_e(C48,基本资料!$I$8,0)))</f>
        <v/>
      </c>
      <c r="G48" s="19" t="str">
        <f>IF(C48="","",[1]!hks_info_cur2(C48,F48))</f>
        <v/>
      </c>
      <c r="H48" s="27" t="str">
        <f>IF(C48="","",[1]!hks_stm_is(C48,"83",F48,1,"",100000000))</f>
        <v/>
      </c>
      <c r="I48" s="23" t="str">
        <f>IF(C48="","",[1]!hks_stm_is(C48,"1032",F48,1,"",100000000))</f>
        <v/>
      </c>
      <c r="J48" s="23" t="str">
        <f>IF(C48="","",[1]!hks_stm_is(C48,"1041",F48,1,"",100000000))</f>
        <v/>
      </c>
      <c r="K48" s="23" t="str">
        <f>IF(C48="","",[1]!hks_stm_is(C48,"61",F48,1,"",100000000))</f>
        <v/>
      </c>
      <c r="L48" s="23" t="str">
        <f>IF(C48="","",[1]!hks_stm_is(C48,"1075",F48,1,"",100000000))</f>
        <v/>
      </c>
      <c r="M48" s="23" t="str">
        <f>IF(C48="","",[1]!hks_stm_is(C48,"1077",F48,1,"",100000000))</f>
        <v/>
      </c>
      <c r="N48" s="23" t="str">
        <f>IF(C48="","",[1]!hks_stm_is(C48,"1030",F48,1,"",100000000))</f>
        <v/>
      </c>
      <c r="O48" s="23" t="str">
        <f>IF(C48="","",[1]!hks_fa_ebit(C48,F48,1,"",100000000))</f>
        <v/>
      </c>
      <c r="P48" s="25" t="str">
        <f>IF(C48="","",[1]!hks_fa_ebitda(C48,F48,1,"",100000000))</f>
        <v/>
      </c>
      <c r="Q48" s="25" t="str">
        <f>IF(C48="","",[1]!hks_stm_bs(C48,"9",F48,1,"",100000000))</f>
        <v/>
      </c>
      <c r="R48" s="25" t="str">
        <f>IF(C48="","",[1]!hks_stm_bs(C48,"25",F48,1,"",100000000))</f>
        <v/>
      </c>
      <c r="S48" s="25" t="str">
        <f>IF(C48="","",[1]!hks_stm_bs(C48,"1088",F48,1,"",100000000))</f>
        <v/>
      </c>
      <c r="T48" s="25" t="str">
        <f>IF(C48="","",[1]!hks_stm_bs(C48,"46",F48,1,"",100000000))</f>
        <v/>
      </c>
      <c r="U48" s="25" t="str">
        <f>IF(C48="","",[1]!hks_stm_bs(C48,"29",F48,1,"",100000000))</f>
        <v/>
      </c>
      <c r="V48" s="25" t="str">
        <f>IF(C48="","",[1]!hks_stm_bs(C48,"74",F48,1,"",100000000))</f>
        <v/>
      </c>
      <c r="W48" s="25" t="str">
        <f>IF(C48="","",[1]!hks_stm_bs(C48,"93",F48,1,"",100000000))</f>
        <v/>
      </c>
      <c r="X48" s="25" t="str">
        <f>IF(C48="","",[1]!hks_stm_bs(C48,"1017",F48,1,"",100000000))</f>
        <v/>
      </c>
      <c r="Y48" s="25" t="str">
        <f>IF(C48="","",[1]!hks_stm_bs(C48,"128",F48,1,"",100000000))</f>
        <v/>
      </c>
      <c r="Z48" s="25" t="str">
        <f>IF(C48="","",[1]!hks_stm_bs(C48,"145",F48,1,"",100000000))</f>
        <v/>
      </c>
      <c r="AA48" s="25" t="str">
        <f>IF(C48="","",[1]!hks_stm_bs(C48,"140",F48,1,"",100000000))</f>
        <v/>
      </c>
      <c r="AB48" s="25" t="str">
        <f>IF(C48="","",[1]!hks_stm_cs(C48,"39",F48,1,"",100000000))</f>
        <v/>
      </c>
      <c r="AC48" s="25" t="str">
        <f>IF(C48="","",[1]!hks_stm_cs(C48,"1020",F48,1,"",100000000))</f>
        <v/>
      </c>
      <c r="AD48" s="25" t="str">
        <f>IF(C48="","",[1]!hks_stm_cs(C48,"59",F48,1,"",100000000))</f>
        <v/>
      </c>
      <c r="AE48" s="25" t="str">
        <f>IF(C48="","",[1]!hks_stm_cs(C48,"77",F48,1,"",100000000))</f>
        <v/>
      </c>
      <c r="AF48" s="25" t="str">
        <f>IF(C48="","",[1]!hks_stm_cs(C48,"82",F48,1,"",100000000))</f>
        <v/>
      </c>
      <c r="AG48" s="25" t="str">
        <f>IF(C48="","",[1]!hks_stm_cs(C48,"84",F48,1,"",100000000))</f>
        <v/>
      </c>
      <c r="AH48" s="35"/>
    </row>
    <row r="49" spans="1:34" s="36" customFormat="1" ht="16.5" x14ac:dyDescent="0.2">
      <c r="A49" s="2"/>
      <c r="B49" s="6"/>
      <c r="C49" s="28" t="str">
        <f>IF(表1[[#This Row],[列1]]="","",表1[[#This Row],[列1]])</f>
        <v/>
      </c>
      <c r="D49" s="19" t="str">
        <f>IF(C49="","",[1]!hks_info_name(C49))</f>
        <v/>
      </c>
      <c r="E49" s="18" t="str">
        <f ca="1">IF(C49="","",[1]!lastradeday_s(C49,TODAY()))</f>
        <v/>
      </c>
      <c r="F49" s="19" t="str">
        <f>IF(C49="","",IF(OR([1]!s_stm_rpt_e(C49,基本资料!$I$8,0)="#N/A",[1]!s_stm_rpt_e(C49,基本资料!$I$8,0)="",[1]!s_stm_rpt_e(C49,基本资料!$I$8,0)=0),[1]!s_stm_rpt_e(C49,基本资料!$I$9,0),[1]!s_stm_rpt_e(C49,基本资料!$I$8,0)))</f>
        <v/>
      </c>
      <c r="G49" s="19" t="str">
        <f>IF(C49="","",[1]!hks_info_cur2(C49,F49))</f>
        <v/>
      </c>
      <c r="H49" s="27" t="str">
        <f>IF(C49="","",[1]!hks_stm_is(C49,"83",F49,1,"",100000000))</f>
        <v/>
      </c>
      <c r="I49" s="23" t="str">
        <f>IF(C49="","",[1]!hks_stm_is(C49,"1032",F49,1,"",100000000))</f>
        <v/>
      </c>
      <c r="J49" s="23" t="str">
        <f>IF(C49="","",[1]!hks_stm_is(C49,"1041",F49,1,"",100000000))</f>
        <v/>
      </c>
      <c r="K49" s="23" t="str">
        <f>IF(C49="","",[1]!hks_stm_is(C49,"61",F49,1,"",100000000))</f>
        <v/>
      </c>
      <c r="L49" s="23" t="str">
        <f>IF(C49="","",[1]!hks_stm_is(C49,"1075",F49,1,"",100000000))</f>
        <v/>
      </c>
      <c r="M49" s="23" t="str">
        <f>IF(C49="","",[1]!hks_stm_is(C49,"1077",F49,1,"",100000000))</f>
        <v/>
      </c>
      <c r="N49" s="23" t="str">
        <f>IF(C49="","",[1]!hks_stm_is(C49,"1030",F49,1,"",100000000))</f>
        <v/>
      </c>
      <c r="O49" s="23" t="str">
        <f>IF(C49="","",[1]!hks_fa_ebit(C49,F49,1,"",100000000))</f>
        <v/>
      </c>
      <c r="P49" s="25" t="str">
        <f>IF(C49="","",[1]!hks_fa_ebitda(C49,F49,1,"",100000000))</f>
        <v/>
      </c>
      <c r="Q49" s="25" t="str">
        <f>IF(C49="","",[1]!hks_stm_bs(C49,"9",F49,1,"",100000000))</f>
        <v/>
      </c>
      <c r="R49" s="25" t="str">
        <f>IF(C49="","",[1]!hks_stm_bs(C49,"25",F49,1,"",100000000))</f>
        <v/>
      </c>
      <c r="S49" s="25" t="str">
        <f>IF(C49="","",[1]!hks_stm_bs(C49,"1088",F49,1,"",100000000))</f>
        <v/>
      </c>
      <c r="T49" s="25" t="str">
        <f>IF(C49="","",[1]!hks_stm_bs(C49,"46",F49,1,"",100000000))</f>
        <v/>
      </c>
      <c r="U49" s="25" t="str">
        <f>IF(C49="","",[1]!hks_stm_bs(C49,"29",F49,1,"",100000000))</f>
        <v/>
      </c>
      <c r="V49" s="25" t="str">
        <f>IF(C49="","",[1]!hks_stm_bs(C49,"74",F49,1,"",100000000))</f>
        <v/>
      </c>
      <c r="W49" s="25" t="str">
        <f>IF(C49="","",[1]!hks_stm_bs(C49,"93",F49,1,"",100000000))</f>
        <v/>
      </c>
      <c r="X49" s="25" t="str">
        <f>IF(C49="","",[1]!hks_stm_bs(C49,"1017",F49,1,"",100000000))</f>
        <v/>
      </c>
      <c r="Y49" s="25" t="str">
        <f>IF(C49="","",[1]!hks_stm_bs(C49,"128",F49,1,"",100000000))</f>
        <v/>
      </c>
      <c r="Z49" s="25" t="str">
        <f>IF(C49="","",[1]!hks_stm_bs(C49,"145",F49,1,"",100000000))</f>
        <v/>
      </c>
      <c r="AA49" s="25" t="str">
        <f>IF(C49="","",[1]!hks_stm_bs(C49,"140",F49,1,"",100000000))</f>
        <v/>
      </c>
      <c r="AB49" s="25" t="str">
        <f>IF(C49="","",[1]!hks_stm_cs(C49,"39",F49,1,"",100000000))</f>
        <v/>
      </c>
      <c r="AC49" s="25" t="str">
        <f>IF(C49="","",[1]!hks_stm_cs(C49,"1020",F49,1,"",100000000))</f>
        <v/>
      </c>
      <c r="AD49" s="25" t="str">
        <f>IF(C49="","",[1]!hks_stm_cs(C49,"59",F49,1,"",100000000))</f>
        <v/>
      </c>
      <c r="AE49" s="25" t="str">
        <f>IF(C49="","",[1]!hks_stm_cs(C49,"77",F49,1,"",100000000))</f>
        <v/>
      </c>
      <c r="AF49" s="25" t="str">
        <f>IF(C49="","",[1]!hks_stm_cs(C49,"82",F49,1,"",100000000))</f>
        <v/>
      </c>
      <c r="AG49" s="25" t="str">
        <f>IF(C49="","",[1]!hks_stm_cs(C49,"84",F49,1,"",100000000))</f>
        <v/>
      </c>
      <c r="AH49" s="35"/>
    </row>
    <row r="50" spans="1:34" s="36" customFormat="1" ht="16.5" x14ac:dyDescent="0.2">
      <c r="A50" s="2"/>
      <c r="B50" s="6"/>
      <c r="C50" s="28" t="str">
        <f>IF(表1[[#This Row],[列1]]="","",表1[[#This Row],[列1]])</f>
        <v/>
      </c>
      <c r="D50" s="19" t="str">
        <f>IF(C50="","",[1]!hks_info_name(C50))</f>
        <v/>
      </c>
      <c r="E50" s="18" t="str">
        <f ca="1">IF(C50="","",[1]!lastradeday_s(C50,TODAY()))</f>
        <v/>
      </c>
      <c r="F50" s="19" t="str">
        <f>IF(C50="","",IF(OR([1]!s_stm_rpt_e(C50,基本资料!$I$8,0)="#N/A",[1]!s_stm_rpt_e(C50,基本资料!$I$8,0)="",[1]!s_stm_rpt_e(C50,基本资料!$I$8,0)=0),[1]!s_stm_rpt_e(C50,基本资料!$I$9,0),[1]!s_stm_rpt_e(C50,基本资料!$I$8,0)))</f>
        <v/>
      </c>
      <c r="G50" s="19" t="str">
        <f>IF(C50="","",[1]!hks_info_cur2(C50,F50))</f>
        <v/>
      </c>
      <c r="H50" s="27" t="str">
        <f>IF(C50="","",[1]!hks_stm_is(C50,"83",F50,1,"",100000000))</f>
        <v/>
      </c>
      <c r="I50" s="23" t="str">
        <f>IF(C50="","",[1]!hks_stm_is(C50,"1032",F50,1,"",100000000))</f>
        <v/>
      </c>
      <c r="J50" s="23" t="str">
        <f>IF(C50="","",[1]!hks_stm_is(C50,"1041",F50,1,"",100000000))</f>
        <v/>
      </c>
      <c r="K50" s="23" t="str">
        <f>IF(C50="","",[1]!hks_stm_is(C50,"61",F50,1,"",100000000))</f>
        <v/>
      </c>
      <c r="L50" s="23" t="str">
        <f>IF(C50="","",[1]!hks_stm_is(C50,"1075",F50,1,"",100000000))</f>
        <v/>
      </c>
      <c r="M50" s="23" t="str">
        <f>IF(C50="","",[1]!hks_stm_is(C50,"1077",F50,1,"",100000000))</f>
        <v/>
      </c>
      <c r="N50" s="23" t="str">
        <f>IF(C50="","",[1]!hks_stm_is(C50,"1030",F50,1,"",100000000))</f>
        <v/>
      </c>
      <c r="O50" s="23" t="str">
        <f>IF(C50="","",[1]!hks_fa_ebit(C50,F50,1,"",100000000))</f>
        <v/>
      </c>
      <c r="P50" s="25" t="str">
        <f>IF(C50="","",[1]!hks_fa_ebitda(C50,F50,1,"",100000000))</f>
        <v/>
      </c>
      <c r="Q50" s="25" t="str">
        <f>IF(C50="","",[1]!hks_stm_bs(C50,"9",F50,1,"",100000000))</f>
        <v/>
      </c>
      <c r="R50" s="25" t="str">
        <f>IF(C50="","",[1]!hks_stm_bs(C50,"25",F50,1,"",100000000))</f>
        <v/>
      </c>
      <c r="S50" s="25" t="str">
        <f>IF(C50="","",[1]!hks_stm_bs(C50,"1088",F50,1,"",100000000))</f>
        <v/>
      </c>
      <c r="T50" s="25" t="str">
        <f>IF(C50="","",[1]!hks_stm_bs(C50,"46",F50,1,"",100000000))</f>
        <v/>
      </c>
      <c r="U50" s="25" t="str">
        <f>IF(C50="","",[1]!hks_stm_bs(C50,"29",F50,1,"",100000000))</f>
        <v/>
      </c>
      <c r="V50" s="25" t="str">
        <f>IF(C50="","",[1]!hks_stm_bs(C50,"74",F50,1,"",100000000))</f>
        <v/>
      </c>
      <c r="W50" s="25" t="str">
        <f>IF(C50="","",[1]!hks_stm_bs(C50,"93",F50,1,"",100000000))</f>
        <v/>
      </c>
      <c r="X50" s="25" t="str">
        <f>IF(C50="","",[1]!hks_stm_bs(C50,"1017",F50,1,"",100000000))</f>
        <v/>
      </c>
      <c r="Y50" s="25" t="str">
        <f>IF(C50="","",[1]!hks_stm_bs(C50,"128",F50,1,"",100000000))</f>
        <v/>
      </c>
      <c r="Z50" s="25" t="str">
        <f>IF(C50="","",[1]!hks_stm_bs(C50,"145",F50,1,"",100000000))</f>
        <v/>
      </c>
      <c r="AA50" s="25" t="str">
        <f>IF(C50="","",[1]!hks_stm_bs(C50,"140",F50,1,"",100000000))</f>
        <v/>
      </c>
      <c r="AB50" s="25" t="str">
        <f>IF(C50="","",[1]!hks_stm_cs(C50,"39",F50,1,"",100000000))</f>
        <v/>
      </c>
      <c r="AC50" s="25" t="str">
        <f>IF(C50="","",[1]!hks_stm_cs(C50,"1020",F50,1,"",100000000))</f>
        <v/>
      </c>
      <c r="AD50" s="25" t="str">
        <f>IF(C50="","",[1]!hks_stm_cs(C50,"59",F50,1,"",100000000))</f>
        <v/>
      </c>
      <c r="AE50" s="25" t="str">
        <f>IF(C50="","",[1]!hks_stm_cs(C50,"77",F50,1,"",100000000))</f>
        <v/>
      </c>
      <c r="AF50" s="25" t="str">
        <f>IF(C50="","",[1]!hks_stm_cs(C50,"82",F50,1,"",100000000))</f>
        <v/>
      </c>
      <c r="AG50" s="25" t="str">
        <f>IF(C50="","",[1]!hks_stm_cs(C50,"84",F50,1,"",100000000))</f>
        <v/>
      </c>
      <c r="AH50" s="35"/>
    </row>
    <row r="51" spans="1:34" s="36" customFormat="1" ht="16.5" x14ac:dyDescent="0.2">
      <c r="A51" s="2"/>
      <c r="B51" s="6"/>
      <c r="C51" s="28" t="str">
        <f>IF(表1[[#This Row],[列1]]="","",表1[[#This Row],[列1]])</f>
        <v/>
      </c>
      <c r="D51" s="19" t="str">
        <f>IF(C51="","",[1]!hks_info_name(C51))</f>
        <v/>
      </c>
      <c r="E51" s="18" t="str">
        <f ca="1">IF(C51="","",[1]!lastradeday_s(C51,TODAY()))</f>
        <v/>
      </c>
      <c r="F51" s="19" t="str">
        <f>IF(C51="","",IF(OR([1]!s_stm_rpt_e(C51,基本资料!$I$8,0)="#N/A",[1]!s_stm_rpt_e(C51,基本资料!$I$8,0)="",[1]!s_stm_rpt_e(C51,基本资料!$I$8,0)=0),[1]!s_stm_rpt_e(C51,基本资料!$I$9,0),[1]!s_stm_rpt_e(C51,基本资料!$I$8,0)))</f>
        <v/>
      </c>
      <c r="G51" s="19" t="str">
        <f>IF(C51="","",[1]!hks_info_cur2(C51,F51))</f>
        <v/>
      </c>
      <c r="H51" s="27" t="str">
        <f>IF(C51="","",[1]!hks_stm_is(C51,"83",F51,1,"",100000000))</f>
        <v/>
      </c>
      <c r="I51" s="23" t="str">
        <f>IF(C51="","",[1]!hks_stm_is(C51,"1032",F51,1,"",100000000))</f>
        <v/>
      </c>
      <c r="J51" s="23" t="str">
        <f>IF(C51="","",[1]!hks_stm_is(C51,"1041",F51,1,"",100000000))</f>
        <v/>
      </c>
      <c r="K51" s="23" t="str">
        <f>IF(C51="","",[1]!hks_stm_is(C51,"61",F51,1,"",100000000))</f>
        <v/>
      </c>
      <c r="L51" s="23" t="str">
        <f>IF(C51="","",[1]!hks_stm_is(C51,"1075",F51,1,"",100000000))</f>
        <v/>
      </c>
      <c r="M51" s="23" t="str">
        <f>IF(C51="","",[1]!hks_stm_is(C51,"1077",F51,1,"",100000000))</f>
        <v/>
      </c>
      <c r="N51" s="23" t="str">
        <f>IF(C51="","",[1]!hks_stm_is(C51,"1030",F51,1,"",100000000))</f>
        <v/>
      </c>
      <c r="O51" s="23" t="str">
        <f>IF(C51="","",[1]!hks_fa_ebit(C51,F51,1,"",100000000))</f>
        <v/>
      </c>
      <c r="P51" s="25" t="str">
        <f>IF(C51="","",[1]!hks_fa_ebitda(C51,F51,1,"",100000000))</f>
        <v/>
      </c>
      <c r="Q51" s="25" t="str">
        <f>IF(C51="","",[1]!hks_stm_bs(C51,"9",F51,1,"",100000000))</f>
        <v/>
      </c>
      <c r="R51" s="25" t="str">
        <f>IF(C51="","",[1]!hks_stm_bs(C51,"25",F51,1,"",100000000))</f>
        <v/>
      </c>
      <c r="S51" s="25" t="str">
        <f>IF(C51="","",[1]!hks_stm_bs(C51,"1088",F51,1,"",100000000))</f>
        <v/>
      </c>
      <c r="T51" s="25" t="str">
        <f>IF(C51="","",[1]!hks_stm_bs(C51,"46",F51,1,"",100000000))</f>
        <v/>
      </c>
      <c r="U51" s="25" t="str">
        <f>IF(C51="","",[1]!hks_stm_bs(C51,"29",F51,1,"",100000000))</f>
        <v/>
      </c>
      <c r="V51" s="25" t="str">
        <f>IF(C51="","",[1]!hks_stm_bs(C51,"74",F51,1,"",100000000))</f>
        <v/>
      </c>
      <c r="W51" s="25" t="str">
        <f>IF(C51="","",[1]!hks_stm_bs(C51,"93",F51,1,"",100000000))</f>
        <v/>
      </c>
      <c r="X51" s="25" t="str">
        <f>IF(C51="","",[1]!hks_stm_bs(C51,"1017",F51,1,"",100000000))</f>
        <v/>
      </c>
      <c r="Y51" s="25" t="str">
        <f>IF(C51="","",[1]!hks_stm_bs(C51,"128",F51,1,"",100000000))</f>
        <v/>
      </c>
      <c r="Z51" s="25" t="str">
        <f>IF(C51="","",[1]!hks_stm_bs(C51,"145",F51,1,"",100000000))</f>
        <v/>
      </c>
      <c r="AA51" s="25" t="str">
        <f>IF(C51="","",[1]!hks_stm_bs(C51,"140",F51,1,"",100000000))</f>
        <v/>
      </c>
      <c r="AB51" s="25" t="str">
        <f>IF(C51="","",[1]!hks_stm_cs(C51,"39",F51,1,"",100000000))</f>
        <v/>
      </c>
      <c r="AC51" s="25" t="str">
        <f>IF(C51="","",[1]!hks_stm_cs(C51,"1020",F51,1,"",100000000))</f>
        <v/>
      </c>
      <c r="AD51" s="25" t="str">
        <f>IF(C51="","",[1]!hks_stm_cs(C51,"59",F51,1,"",100000000))</f>
        <v/>
      </c>
      <c r="AE51" s="25" t="str">
        <f>IF(C51="","",[1]!hks_stm_cs(C51,"77",F51,1,"",100000000))</f>
        <v/>
      </c>
      <c r="AF51" s="25" t="str">
        <f>IF(C51="","",[1]!hks_stm_cs(C51,"82",F51,1,"",100000000))</f>
        <v/>
      </c>
      <c r="AG51" s="25" t="str">
        <f>IF(C51="","",[1]!hks_stm_cs(C51,"84",F51,1,"",100000000))</f>
        <v/>
      </c>
      <c r="AH51" s="35"/>
    </row>
    <row r="52" spans="1:34" s="36" customFormat="1" ht="16.5" x14ac:dyDescent="0.2">
      <c r="A52" s="2"/>
      <c r="B52" s="6"/>
      <c r="C52" s="28" t="str">
        <f>IF(表1[[#This Row],[列1]]="","",表1[[#This Row],[列1]])</f>
        <v/>
      </c>
      <c r="D52" s="19" t="str">
        <f>IF(C52="","",[1]!hks_info_name(C52))</f>
        <v/>
      </c>
      <c r="E52" s="18" t="str">
        <f ca="1">IF(C52="","",[1]!lastradeday_s(C52,TODAY()))</f>
        <v/>
      </c>
      <c r="F52" s="19" t="str">
        <f>IF(C52="","",IF(OR([1]!s_stm_rpt_e(C52,基本资料!$I$8,0)="#N/A",[1]!s_stm_rpt_e(C52,基本资料!$I$8,0)="",[1]!s_stm_rpt_e(C52,基本资料!$I$8,0)=0),[1]!s_stm_rpt_e(C52,基本资料!$I$9,0),[1]!s_stm_rpt_e(C52,基本资料!$I$8,0)))</f>
        <v/>
      </c>
      <c r="G52" s="19" t="str">
        <f>IF(C52="","",[1]!hks_info_cur2(C52,F52))</f>
        <v/>
      </c>
      <c r="H52" s="27" t="str">
        <f>IF(C52="","",[1]!hks_stm_is(C52,"83",F52,1,"",100000000))</f>
        <v/>
      </c>
      <c r="I52" s="23" t="str">
        <f>IF(C52="","",[1]!hks_stm_is(C52,"1032",F52,1,"",100000000))</f>
        <v/>
      </c>
      <c r="J52" s="23" t="str">
        <f>IF(C52="","",[1]!hks_stm_is(C52,"1041",F52,1,"",100000000))</f>
        <v/>
      </c>
      <c r="K52" s="23" t="str">
        <f>IF(C52="","",[1]!hks_stm_is(C52,"61",F52,1,"",100000000))</f>
        <v/>
      </c>
      <c r="L52" s="23" t="str">
        <f>IF(C52="","",[1]!hks_stm_is(C52,"1075",F52,1,"",100000000))</f>
        <v/>
      </c>
      <c r="M52" s="23" t="str">
        <f>IF(C52="","",[1]!hks_stm_is(C52,"1077",F52,1,"",100000000))</f>
        <v/>
      </c>
      <c r="N52" s="23" t="str">
        <f>IF(C52="","",[1]!hks_stm_is(C52,"1030",F52,1,"",100000000))</f>
        <v/>
      </c>
      <c r="O52" s="23" t="str">
        <f>IF(C52="","",[1]!hks_fa_ebit(C52,F52,1,"",100000000))</f>
        <v/>
      </c>
      <c r="P52" s="25" t="str">
        <f>IF(C52="","",[1]!hks_fa_ebitda(C52,F52,1,"",100000000))</f>
        <v/>
      </c>
      <c r="Q52" s="25" t="str">
        <f>IF(C52="","",[1]!hks_stm_bs(C52,"9",F52,1,"",100000000))</f>
        <v/>
      </c>
      <c r="R52" s="25" t="str">
        <f>IF(C52="","",[1]!hks_stm_bs(C52,"25",F52,1,"",100000000))</f>
        <v/>
      </c>
      <c r="S52" s="25" t="str">
        <f>IF(C52="","",[1]!hks_stm_bs(C52,"1088",F52,1,"",100000000))</f>
        <v/>
      </c>
      <c r="T52" s="25" t="str">
        <f>IF(C52="","",[1]!hks_stm_bs(C52,"46",F52,1,"",100000000))</f>
        <v/>
      </c>
      <c r="U52" s="25" t="str">
        <f>IF(C52="","",[1]!hks_stm_bs(C52,"29",F52,1,"",100000000))</f>
        <v/>
      </c>
      <c r="V52" s="25" t="str">
        <f>IF(C52="","",[1]!hks_stm_bs(C52,"74",F52,1,"",100000000))</f>
        <v/>
      </c>
      <c r="W52" s="25" t="str">
        <f>IF(C52="","",[1]!hks_stm_bs(C52,"93",F52,1,"",100000000))</f>
        <v/>
      </c>
      <c r="X52" s="25" t="str">
        <f>IF(C52="","",[1]!hks_stm_bs(C52,"1017",F52,1,"",100000000))</f>
        <v/>
      </c>
      <c r="Y52" s="25" t="str">
        <f>IF(C52="","",[1]!hks_stm_bs(C52,"128",F52,1,"",100000000))</f>
        <v/>
      </c>
      <c r="Z52" s="25" t="str">
        <f>IF(C52="","",[1]!hks_stm_bs(C52,"145",F52,1,"",100000000))</f>
        <v/>
      </c>
      <c r="AA52" s="25" t="str">
        <f>IF(C52="","",[1]!hks_stm_bs(C52,"140",F52,1,"",100000000))</f>
        <v/>
      </c>
      <c r="AB52" s="25" t="str">
        <f>IF(C52="","",[1]!hks_stm_cs(C52,"39",F52,1,"",100000000))</f>
        <v/>
      </c>
      <c r="AC52" s="25" t="str">
        <f>IF(C52="","",[1]!hks_stm_cs(C52,"1020",F52,1,"",100000000))</f>
        <v/>
      </c>
      <c r="AD52" s="25" t="str">
        <f>IF(C52="","",[1]!hks_stm_cs(C52,"59",F52,1,"",100000000))</f>
        <v/>
      </c>
      <c r="AE52" s="25" t="str">
        <f>IF(C52="","",[1]!hks_stm_cs(C52,"77",F52,1,"",100000000))</f>
        <v/>
      </c>
      <c r="AF52" s="25" t="str">
        <f>IF(C52="","",[1]!hks_stm_cs(C52,"82",F52,1,"",100000000))</f>
        <v/>
      </c>
      <c r="AG52" s="25" t="str">
        <f>IF(C52="","",[1]!hks_stm_cs(C52,"84",F52,1,"",100000000))</f>
        <v/>
      </c>
      <c r="AH52" s="35"/>
    </row>
    <row r="53" spans="1:34" s="36" customFormat="1" ht="16.5" x14ac:dyDescent="0.2">
      <c r="A53" s="2"/>
      <c r="B53" s="6"/>
      <c r="C53" s="28" t="str">
        <f>IF(表1[[#This Row],[列1]]="","",表1[[#This Row],[列1]])</f>
        <v/>
      </c>
      <c r="D53" s="19" t="str">
        <f>IF(C53="","",[1]!hks_info_name(C53))</f>
        <v/>
      </c>
      <c r="E53" s="18" t="str">
        <f ca="1">IF(C53="","",[1]!lastradeday_s(C53,TODAY()))</f>
        <v/>
      </c>
      <c r="F53" s="19" t="str">
        <f>IF(C53="","",IF(OR([1]!s_stm_rpt_e(C53,基本资料!$I$8,0)="#N/A",[1]!s_stm_rpt_e(C53,基本资料!$I$8,0)="",[1]!s_stm_rpt_e(C53,基本资料!$I$8,0)=0),[1]!s_stm_rpt_e(C53,基本资料!$I$9,0),[1]!s_stm_rpt_e(C53,基本资料!$I$8,0)))</f>
        <v/>
      </c>
      <c r="G53" s="19" t="str">
        <f>IF(C53="","",[1]!hks_info_cur2(C53,F53))</f>
        <v/>
      </c>
      <c r="H53" s="27" t="str">
        <f>IF(C53="","",[1]!hks_stm_is(C53,"83",F53,1,"",100000000))</f>
        <v/>
      </c>
      <c r="I53" s="23" t="str">
        <f>IF(C53="","",[1]!hks_stm_is(C53,"1032",F53,1,"",100000000))</f>
        <v/>
      </c>
      <c r="J53" s="23" t="str">
        <f>IF(C53="","",[1]!hks_stm_is(C53,"1041",F53,1,"",100000000))</f>
        <v/>
      </c>
      <c r="K53" s="23" t="str">
        <f>IF(C53="","",[1]!hks_stm_is(C53,"61",F53,1,"",100000000))</f>
        <v/>
      </c>
      <c r="L53" s="23" t="str">
        <f>IF(C53="","",[1]!hks_stm_is(C53,"1075",F53,1,"",100000000))</f>
        <v/>
      </c>
      <c r="M53" s="23" t="str">
        <f>IF(C53="","",[1]!hks_stm_is(C53,"1077",F53,1,"",100000000))</f>
        <v/>
      </c>
      <c r="N53" s="23" t="str">
        <f>IF(C53="","",[1]!hks_stm_is(C53,"1030",F53,1,"",100000000))</f>
        <v/>
      </c>
      <c r="O53" s="23" t="str">
        <f>IF(C53="","",[1]!hks_fa_ebit(C53,F53,1,"",100000000))</f>
        <v/>
      </c>
      <c r="P53" s="25" t="str">
        <f>IF(C53="","",[1]!hks_fa_ebitda(C53,F53,1,"",100000000))</f>
        <v/>
      </c>
      <c r="Q53" s="25" t="str">
        <f>IF(C53="","",[1]!hks_stm_bs(C53,"9",F53,1,"",100000000))</f>
        <v/>
      </c>
      <c r="R53" s="25" t="str">
        <f>IF(C53="","",[1]!hks_stm_bs(C53,"25",F53,1,"",100000000))</f>
        <v/>
      </c>
      <c r="S53" s="25" t="str">
        <f>IF(C53="","",[1]!hks_stm_bs(C53,"1088",F53,1,"",100000000))</f>
        <v/>
      </c>
      <c r="T53" s="25" t="str">
        <f>IF(C53="","",[1]!hks_stm_bs(C53,"46",F53,1,"",100000000))</f>
        <v/>
      </c>
      <c r="U53" s="25" t="str">
        <f>IF(C53="","",[1]!hks_stm_bs(C53,"29",F53,1,"",100000000))</f>
        <v/>
      </c>
      <c r="V53" s="25" t="str">
        <f>IF(C53="","",[1]!hks_stm_bs(C53,"74",F53,1,"",100000000))</f>
        <v/>
      </c>
      <c r="W53" s="25" t="str">
        <f>IF(C53="","",[1]!hks_stm_bs(C53,"93",F53,1,"",100000000))</f>
        <v/>
      </c>
      <c r="X53" s="25" t="str">
        <f>IF(C53="","",[1]!hks_stm_bs(C53,"1017",F53,1,"",100000000))</f>
        <v/>
      </c>
      <c r="Y53" s="25" t="str">
        <f>IF(C53="","",[1]!hks_stm_bs(C53,"128",F53,1,"",100000000))</f>
        <v/>
      </c>
      <c r="Z53" s="25" t="str">
        <f>IF(C53="","",[1]!hks_stm_bs(C53,"145",F53,1,"",100000000))</f>
        <v/>
      </c>
      <c r="AA53" s="25" t="str">
        <f>IF(C53="","",[1]!hks_stm_bs(C53,"140",F53,1,"",100000000))</f>
        <v/>
      </c>
      <c r="AB53" s="25" t="str">
        <f>IF(C53="","",[1]!hks_stm_cs(C53,"39",F53,1,"",100000000))</f>
        <v/>
      </c>
      <c r="AC53" s="25" t="str">
        <f>IF(C53="","",[1]!hks_stm_cs(C53,"1020",F53,1,"",100000000))</f>
        <v/>
      </c>
      <c r="AD53" s="25" t="str">
        <f>IF(C53="","",[1]!hks_stm_cs(C53,"59",F53,1,"",100000000))</f>
        <v/>
      </c>
      <c r="AE53" s="25" t="str">
        <f>IF(C53="","",[1]!hks_stm_cs(C53,"77",F53,1,"",100000000))</f>
        <v/>
      </c>
      <c r="AF53" s="25" t="str">
        <f>IF(C53="","",[1]!hks_stm_cs(C53,"82",F53,1,"",100000000))</f>
        <v/>
      </c>
      <c r="AG53" s="25" t="str">
        <f>IF(C53="","",[1]!hks_stm_cs(C53,"84",F53,1,"",100000000))</f>
        <v/>
      </c>
      <c r="AH53" s="35"/>
    </row>
    <row r="54" spans="1:34" s="36" customFormat="1" ht="16.5" x14ac:dyDescent="0.2">
      <c r="A54" s="2"/>
      <c r="B54" s="6"/>
      <c r="C54" s="28" t="str">
        <f>IF(表1[[#This Row],[列1]]="","",表1[[#This Row],[列1]])</f>
        <v/>
      </c>
      <c r="D54" s="19" t="str">
        <f>IF(C54="","",[1]!hks_info_name(C54))</f>
        <v/>
      </c>
      <c r="E54" s="18" t="str">
        <f ca="1">IF(C54="","",[1]!lastradeday_s(C54,TODAY()))</f>
        <v/>
      </c>
      <c r="F54" s="19" t="str">
        <f>IF(C54="","",IF(OR([1]!s_stm_rpt_e(C54,基本资料!$I$8,0)="#N/A",[1]!s_stm_rpt_e(C54,基本资料!$I$8,0)="",[1]!s_stm_rpt_e(C54,基本资料!$I$8,0)=0),[1]!s_stm_rpt_e(C54,基本资料!$I$9,0),[1]!s_stm_rpt_e(C54,基本资料!$I$8,0)))</f>
        <v/>
      </c>
      <c r="G54" s="19" t="str">
        <f>IF(C54="","",[1]!hks_info_cur2(C54,F54))</f>
        <v/>
      </c>
      <c r="H54" s="27" t="str">
        <f>IF(C54="","",[1]!hks_stm_is(C54,"83",F54,1,"",100000000))</f>
        <v/>
      </c>
      <c r="I54" s="23" t="str">
        <f>IF(C54="","",[1]!hks_stm_is(C54,"1032",F54,1,"",100000000))</f>
        <v/>
      </c>
      <c r="J54" s="23" t="str">
        <f>IF(C54="","",[1]!hks_stm_is(C54,"1041",F54,1,"",100000000))</f>
        <v/>
      </c>
      <c r="K54" s="23" t="str">
        <f>IF(C54="","",[1]!hks_stm_is(C54,"61",F54,1,"",100000000))</f>
        <v/>
      </c>
      <c r="L54" s="23" t="str">
        <f>IF(C54="","",[1]!hks_stm_is(C54,"1075",F54,1,"",100000000))</f>
        <v/>
      </c>
      <c r="M54" s="23" t="str">
        <f>IF(C54="","",[1]!hks_stm_is(C54,"1077",F54,1,"",100000000))</f>
        <v/>
      </c>
      <c r="N54" s="23" t="str">
        <f>IF(C54="","",[1]!hks_stm_is(C54,"1030",F54,1,"",100000000))</f>
        <v/>
      </c>
      <c r="O54" s="23" t="str">
        <f>IF(C54="","",[1]!hks_fa_ebit(C54,F54,1,"",100000000))</f>
        <v/>
      </c>
      <c r="P54" s="25" t="str">
        <f>IF(C54="","",[1]!hks_fa_ebitda(C54,F54,1,"",100000000))</f>
        <v/>
      </c>
      <c r="Q54" s="25" t="str">
        <f>IF(C54="","",[1]!hks_stm_bs(C54,"9",F54,1,"",100000000))</f>
        <v/>
      </c>
      <c r="R54" s="25" t="str">
        <f>IF(C54="","",[1]!hks_stm_bs(C54,"25",F54,1,"",100000000))</f>
        <v/>
      </c>
      <c r="S54" s="25" t="str">
        <f>IF(C54="","",[1]!hks_stm_bs(C54,"1088",F54,1,"",100000000))</f>
        <v/>
      </c>
      <c r="T54" s="25" t="str">
        <f>IF(C54="","",[1]!hks_stm_bs(C54,"46",F54,1,"",100000000))</f>
        <v/>
      </c>
      <c r="U54" s="25" t="str">
        <f>IF(C54="","",[1]!hks_stm_bs(C54,"29",F54,1,"",100000000))</f>
        <v/>
      </c>
      <c r="V54" s="25" t="str">
        <f>IF(C54="","",[1]!hks_stm_bs(C54,"74",F54,1,"",100000000))</f>
        <v/>
      </c>
      <c r="W54" s="25" t="str">
        <f>IF(C54="","",[1]!hks_stm_bs(C54,"93",F54,1,"",100000000))</f>
        <v/>
      </c>
      <c r="X54" s="25" t="str">
        <f>IF(C54="","",[1]!hks_stm_bs(C54,"1017",F54,1,"",100000000))</f>
        <v/>
      </c>
      <c r="Y54" s="25" t="str">
        <f>IF(C54="","",[1]!hks_stm_bs(C54,"128",F54,1,"",100000000))</f>
        <v/>
      </c>
      <c r="Z54" s="25" t="str">
        <f>IF(C54="","",[1]!hks_stm_bs(C54,"145",F54,1,"",100000000))</f>
        <v/>
      </c>
      <c r="AA54" s="25" t="str">
        <f>IF(C54="","",[1]!hks_stm_bs(C54,"140",F54,1,"",100000000))</f>
        <v/>
      </c>
      <c r="AB54" s="25" t="str">
        <f>IF(C54="","",[1]!hks_stm_cs(C54,"39",F54,1,"",100000000))</f>
        <v/>
      </c>
      <c r="AC54" s="25" t="str">
        <f>IF(C54="","",[1]!hks_stm_cs(C54,"1020",F54,1,"",100000000))</f>
        <v/>
      </c>
      <c r="AD54" s="25" t="str">
        <f>IF(C54="","",[1]!hks_stm_cs(C54,"59",F54,1,"",100000000))</f>
        <v/>
      </c>
      <c r="AE54" s="25" t="str">
        <f>IF(C54="","",[1]!hks_stm_cs(C54,"77",F54,1,"",100000000))</f>
        <v/>
      </c>
      <c r="AF54" s="25" t="str">
        <f>IF(C54="","",[1]!hks_stm_cs(C54,"82",F54,1,"",100000000))</f>
        <v/>
      </c>
      <c r="AG54" s="25" t="str">
        <f>IF(C54="","",[1]!hks_stm_cs(C54,"84",F54,1,"",100000000))</f>
        <v/>
      </c>
      <c r="AH54" s="35"/>
    </row>
    <row r="55" spans="1:34" s="36" customFormat="1" ht="16.5" x14ac:dyDescent="0.2">
      <c r="A55" s="2"/>
      <c r="B55" s="6"/>
      <c r="C55" s="28" t="str">
        <f>IF(表1[[#This Row],[列1]]="","",表1[[#This Row],[列1]])</f>
        <v/>
      </c>
      <c r="D55" s="19" t="str">
        <f>IF(C55="","",[1]!hks_info_name(C55))</f>
        <v/>
      </c>
      <c r="E55" s="18" t="str">
        <f ca="1">IF(C55="","",[1]!lastradeday_s(C55,TODAY()))</f>
        <v/>
      </c>
      <c r="F55" s="19" t="str">
        <f>IF(C55="","",IF(OR([1]!s_stm_rpt_e(C55,基本资料!$I$8,0)="#N/A",[1]!s_stm_rpt_e(C55,基本资料!$I$8,0)="",[1]!s_stm_rpt_e(C55,基本资料!$I$8,0)=0),[1]!s_stm_rpt_e(C55,基本资料!$I$9,0),[1]!s_stm_rpt_e(C55,基本资料!$I$8,0)))</f>
        <v/>
      </c>
      <c r="G55" s="19" t="str">
        <f>IF(C55="","",[1]!hks_info_cur2(C55,F55))</f>
        <v/>
      </c>
      <c r="H55" s="27" t="str">
        <f>IF(C55="","",[1]!hks_stm_is(C55,"83",F55,1,"",100000000))</f>
        <v/>
      </c>
      <c r="I55" s="23" t="str">
        <f>IF(C55="","",[1]!hks_stm_is(C55,"1032",F55,1,"",100000000))</f>
        <v/>
      </c>
      <c r="J55" s="23" t="str">
        <f>IF(C55="","",[1]!hks_stm_is(C55,"1041",F55,1,"",100000000))</f>
        <v/>
      </c>
      <c r="K55" s="23" t="str">
        <f>IF(C55="","",[1]!hks_stm_is(C55,"61",F55,1,"",100000000))</f>
        <v/>
      </c>
      <c r="L55" s="23" t="str">
        <f>IF(C55="","",[1]!hks_stm_is(C55,"1075",F55,1,"",100000000))</f>
        <v/>
      </c>
      <c r="M55" s="23" t="str">
        <f>IF(C55="","",[1]!hks_stm_is(C55,"1077",F55,1,"",100000000))</f>
        <v/>
      </c>
      <c r="N55" s="23" t="str">
        <f>IF(C55="","",[1]!hks_stm_is(C55,"1030",F55,1,"",100000000))</f>
        <v/>
      </c>
      <c r="O55" s="23" t="str">
        <f>IF(C55="","",[1]!hks_fa_ebit(C55,F55,1,"",100000000))</f>
        <v/>
      </c>
      <c r="P55" s="25" t="str">
        <f>IF(C55="","",[1]!hks_fa_ebitda(C55,F55,1,"",100000000))</f>
        <v/>
      </c>
      <c r="Q55" s="25" t="str">
        <f>IF(C55="","",[1]!hks_stm_bs(C55,"9",F55,1,"",100000000))</f>
        <v/>
      </c>
      <c r="R55" s="25" t="str">
        <f>IF(C55="","",[1]!hks_stm_bs(C55,"25",F55,1,"",100000000))</f>
        <v/>
      </c>
      <c r="S55" s="25" t="str">
        <f>IF(C55="","",[1]!hks_stm_bs(C55,"1088",F55,1,"",100000000))</f>
        <v/>
      </c>
      <c r="T55" s="25" t="str">
        <f>IF(C55="","",[1]!hks_stm_bs(C55,"46",F55,1,"",100000000))</f>
        <v/>
      </c>
      <c r="U55" s="25" t="str">
        <f>IF(C55="","",[1]!hks_stm_bs(C55,"29",F55,1,"",100000000))</f>
        <v/>
      </c>
      <c r="V55" s="25" t="str">
        <f>IF(C55="","",[1]!hks_stm_bs(C55,"74",F55,1,"",100000000))</f>
        <v/>
      </c>
      <c r="W55" s="25" t="str">
        <f>IF(C55="","",[1]!hks_stm_bs(C55,"93",F55,1,"",100000000))</f>
        <v/>
      </c>
      <c r="X55" s="25" t="str">
        <f>IF(C55="","",[1]!hks_stm_bs(C55,"1017",F55,1,"",100000000))</f>
        <v/>
      </c>
      <c r="Y55" s="25" t="str">
        <f>IF(C55="","",[1]!hks_stm_bs(C55,"128",F55,1,"",100000000))</f>
        <v/>
      </c>
      <c r="Z55" s="25" t="str">
        <f>IF(C55="","",[1]!hks_stm_bs(C55,"145",F55,1,"",100000000))</f>
        <v/>
      </c>
      <c r="AA55" s="25" t="str">
        <f>IF(C55="","",[1]!hks_stm_bs(C55,"140",F55,1,"",100000000))</f>
        <v/>
      </c>
      <c r="AB55" s="25" t="str">
        <f>IF(C55="","",[1]!hks_stm_cs(C55,"39",F55,1,"",100000000))</f>
        <v/>
      </c>
      <c r="AC55" s="25" t="str">
        <f>IF(C55="","",[1]!hks_stm_cs(C55,"1020",F55,1,"",100000000))</f>
        <v/>
      </c>
      <c r="AD55" s="25" t="str">
        <f>IF(C55="","",[1]!hks_stm_cs(C55,"59",F55,1,"",100000000))</f>
        <v/>
      </c>
      <c r="AE55" s="25" t="str">
        <f>IF(C55="","",[1]!hks_stm_cs(C55,"77",F55,1,"",100000000))</f>
        <v/>
      </c>
      <c r="AF55" s="25" t="str">
        <f>IF(C55="","",[1]!hks_stm_cs(C55,"82",F55,1,"",100000000))</f>
        <v/>
      </c>
      <c r="AG55" s="25" t="str">
        <f>IF(C55="","",[1]!hks_stm_cs(C55,"84",F55,1,"",100000000))</f>
        <v/>
      </c>
      <c r="AH55" s="35"/>
    </row>
    <row r="56" spans="1:34" s="36" customFormat="1" ht="16.5" x14ac:dyDescent="0.2">
      <c r="A56" s="2"/>
      <c r="B56" s="6"/>
      <c r="C56" s="28" t="str">
        <f>IF(表1[[#This Row],[列1]]="","",表1[[#This Row],[列1]])</f>
        <v/>
      </c>
      <c r="D56" s="19" t="str">
        <f>IF(C56="","",[1]!hks_info_name(C56))</f>
        <v/>
      </c>
      <c r="E56" s="18" t="str">
        <f ca="1">IF(C56="","",[1]!lastradeday_s(C56,TODAY()))</f>
        <v/>
      </c>
      <c r="F56" s="19" t="str">
        <f>IF(C56="","",IF(OR([1]!s_stm_rpt_e(C56,基本资料!$I$8,0)="#N/A",[1]!s_stm_rpt_e(C56,基本资料!$I$8,0)="",[1]!s_stm_rpt_e(C56,基本资料!$I$8,0)=0),[1]!s_stm_rpt_e(C56,基本资料!$I$9,0),[1]!s_stm_rpt_e(C56,基本资料!$I$8,0)))</f>
        <v/>
      </c>
      <c r="G56" s="19" t="str">
        <f>IF(C56="","",[1]!hks_info_cur2(C56,F56))</f>
        <v/>
      </c>
      <c r="H56" s="27" t="str">
        <f>IF(C56="","",[1]!hks_stm_is(C56,"83",F56,1,"",100000000))</f>
        <v/>
      </c>
      <c r="I56" s="23" t="str">
        <f>IF(C56="","",[1]!hks_stm_is(C56,"1032",F56,1,"",100000000))</f>
        <v/>
      </c>
      <c r="J56" s="23" t="str">
        <f>IF(C56="","",[1]!hks_stm_is(C56,"1041",F56,1,"",100000000))</f>
        <v/>
      </c>
      <c r="K56" s="23" t="str">
        <f>IF(C56="","",[1]!hks_stm_is(C56,"61",F56,1,"",100000000))</f>
        <v/>
      </c>
      <c r="L56" s="23" t="str">
        <f>IF(C56="","",[1]!hks_stm_is(C56,"1075",F56,1,"",100000000))</f>
        <v/>
      </c>
      <c r="M56" s="23" t="str">
        <f>IF(C56="","",[1]!hks_stm_is(C56,"1077",F56,1,"",100000000))</f>
        <v/>
      </c>
      <c r="N56" s="23" t="str">
        <f>IF(C56="","",[1]!hks_stm_is(C56,"1030",F56,1,"",100000000))</f>
        <v/>
      </c>
      <c r="O56" s="23" t="str">
        <f>IF(C56="","",[1]!hks_fa_ebit(C56,F56,1,"",100000000))</f>
        <v/>
      </c>
      <c r="P56" s="25" t="str">
        <f>IF(C56="","",[1]!hks_fa_ebitda(C56,F56,1,"",100000000))</f>
        <v/>
      </c>
      <c r="Q56" s="25" t="str">
        <f>IF(C56="","",[1]!hks_stm_bs(C56,"9",F56,1,"",100000000))</f>
        <v/>
      </c>
      <c r="R56" s="25" t="str">
        <f>IF(C56="","",[1]!hks_stm_bs(C56,"25",F56,1,"",100000000))</f>
        <v/>
      </c>
      <c r="S56" s="25" t="str">
        <f>IF(C56="","",[1]!hks_stm_bs(C56,"1088",F56,1,"",100000000))</f>
        <v/>
      </c>
      <c r="T56" s="25" t="str">
        <f>IF(C56="","",[1]!hks_stm_bs(C56,"46",F56,1,"",100000000))</f>
        <v/>
      </c>
      <c r="U56" s="25" t="str">
        <f>IF(C56="","",[1]!hks_stm_bs(C56,"29",F56,1,"",100000000))</f>
        <v/>
      </c>
      <c r="V56" s="25" t="str">
        <f>IF(C56="","",[1]!hks_stm_bs(C56,"74",F56,1,"",100000000))</f>
        <v/>
      </c>
      <c r="W56" s="25" t="str">
        <f>IF(C56="","",[1]!hks_stm_bs(C56,"93",F56,1,"",100000000))</f>
        <v/>
      </c>
      <c r="X56" s="25" t="str">
        <f>IF(C56="","",[1]!hks_stm_bs(C56,"1017",F56,1,"",100000000))</f>
        <v/>
      </c>
      <c r="Y56" s="25" t="str">
        <f>IF(C56="","",[1]!hks_stm_bs(C56,"128",F56,1,"",100000000))</f>
        <v/>
      </c>
      <c r="Z56" s="25" t="str">
        <f>IF(C56="","",[1]!hks_stm_bs(C56,"145",F56,1,"",100000000))</f>
        <v/>
      </c>
      <c r="AA56" s="25" t="str">
        <f>IF(C56="","",[1]!hks_stm_bs(C56,"140",F56,1,"",100000000))</f>
        <v/>
      </c>
      <c r="AB56" s="25" t="str">
        <f>IF(C56="","",[1]!hks_stm_cs(C56,"39",F56,1,"",100000000))</f>
        <v/>
      </c>
      <c r="AC56" s="25" t="str">
        <f>IF(C56="","",[1]!hks_stm_cs(C56,"1020",F56,1,"",100000000))</f>
        <v/>
      </c>
      <c r="AD56" s="25" t="str">
        <f>IF(C56="","",[1]!hks_stm_cs(C56,"59",F56,1,"",100000000))</f>
        <v/>
      </c>
      <c r="AE56" s="25" t="str">
        <f>IF(C56="","",[1]!hks_stm_cs(C56,"77",F56,1,"",100000000))</f>
        <v/>
      </c>
      <c r="AF56" s="25" t="str">
        <f>IF(C56="","",[1]!hks_stm_cs(C56,"82",F56,1,"",100000000))</f>
        <v/>
      </c>
      <c r="AG56" s="25" t="str">
        <f>IF(C56="","",[1]!hks_stm_cs(C56,"84",F56,1,"",100000000))</f>
        <v/>
      </c>
      <c r="AH56" s="35"/>
    </row>
    <row r="57" spans="1:34" s="36" customFormat="1" ht="16.5" x14ac:dyDescent="0.2">
      <c r="A57" s="2"/>
      <c r="B57" s="6"/>
      <c r="C57" s="28" t="str">
        <f>IF(表1[[#This Row],[列1]]="","",表1[[#This Row],[列1]])</f>
        <v/>
      </c>
      <c r="D57" s="19" t="str">
        <f>IF(C57="","",[1]!hks_info_name(C57))</f>
        <v/>
      </c>
      <c r="E57" s="18" t="str">
        <f ca="1">IF(C57="","",[1]!lastradeday_s(C57,TODAY()))</f>
        <v/>
      </c>
      <c r="F57" s="19" t="str">
        <f>IF(C57="","",IF(OR([1]!s_stm_rpt_e(C57,基本资料!$I$8,0)="#N/A",[1]!s_stm_rpt_e(C57,基本资料!$I$8,0)="",[1]!s_stm_rpt_e(C57,基本资料!$I$8,0)=0),[1]!s_stm_rpt_e(C57,基本资料!$I$9,0),[1]!s_stm_rpt_e(C57,基本资料!$I$8,0)))</f>
        <v/>
      </c>
      <c r="G57" s="19" t="str">
        <f>IF(C57="","",[1]!hks_info_cur2(C57,F57))</f>
        <v/>
      </c>
      <c r="H57" s="27" t="str">
        <f>IF(C57="","",[1]!hks_stm_is(C57,"83",F57,1,"",100000000))</f>
        <v/>
      </c>
      <c r="I57" s="23" t="str">
        <f>IF(C57="","",[1]!hks_stm_is(C57,"1032",F57,1,"",100000000))</f>
        <v/>
      </c>
      <c r="J57" s="23" t="str">
        <f>IF(C57="","",[1]!hks_stm_is(C57,"1041",F57,1,"",100000000))</f>
        <v/>
      </c>
      <c r="K57" s="23" t="str">
        <f>IF(C57="","",[1]!hks_stm_is(C57,"61",F57,1,"",100000000))</f>
        <v/>
      </c>
      <c r="L57" s="23" t="str">
        <f>IF(C57="","",[1]!hks_stm_is(C57,"1075",F57,1,"",100000000))</f>
        <v/>
      </c>
      <c r="M57" s="23" t="str">
        <f>IF(C57="","",[1]!hks_stm_is(C57,"1077",F57,1,"",100000000))</f>
        <v/>
      </c>
      <c r="N57" s="23" t="str">
        <f>IF(C57="","",[1]!hks_stm_is(C57,"1030",F57,1,"",100000000))</f>
        <v/>
      </c>
      <c r="O57" s="23" t="str">
        <f>IF(C57="","",[1]!hks_fa_ebit(C57,F57,1,"",100000000))</f>
        <v/>
      </c>
      <c r="P57" s="25" t="str">
        <f>IF(C57="","",[1]!hks_fa_ebitda(C57,F57,1,"",100000000))</f>
        <v/>
      </c>
      <c r="Q57" s="25" t="str">
        <f>IF(C57="","",[1]!hks_stm_bs(C57,"9",F57,1,"",100000000))</f>
        <v/>
      </c>
      <c r="R57" s="25" t="str">
        <f>IF(C57="","",[1]!hks_stm_bs(C57,"25",F57,1,"",100000000))</f>
        <v/>
      </c>
      <c r="S57" s="25" t="str">
        <f>IF(C57="","",[1]!hks_stm_bs(C57,"1088",F57,1,"",100000000))</f>
        <v/>
      </c>
      <c r="T57" s="25" t="str">
        <f>IF(C57="","",[1]!hks_stm_bs(C57,"46",F57,1,"",100000000))</f>
        <v/>
      </c>
      <c r="U57" s="25" t="str">
        <f>IF(C57="","",[1]!hks_stm_bs(C57,"29",F57,1,"",100000000))</f>
        <v/>
      </c>
      <c r="V57" s="25" t="str">
        <f>IF(C57="","",[1]!hks_stm_bs(C57,"74",F57,1,"",100000000))</f>
        <v/>
      </c>
      <c r="W57" s="25" t="str">
        <f>IF(C57="","",[1]!hks_stm_bs(C57,"93",F57,1,"",100000000))</f>
        <v/>
      </c>
      <c r="X57" s="25" t="str">
        <f>IF(C57="","",[1]!hks_stm_bs(C57,"1017",F57,1,"",100000000))</f>
        <v/>
      </c>
      <c r="Y57" s="25" t="str">
        <f>IF(C57="","",[1]!hks_stm_bs(C57,"128",F57,1,"",100000000))</f>
        <v/>
      </c>
      <c r="Z57" s="25" t="str">
        <f>IF(C57="","",[1]!hks_stm_bs(C57,"145",F57,1,"",100000000))</f>
        <v/>
      </c>
      <c r="AA57" s="25" t="str">
        <f>IF(C57="","",[1]!hks_stm_bs(C57,"140",F57,1,"",100000000))</f>
        <v/>
      </c>
      <c r="AB57" s="25" t="str">
        <f>IF(C57="","",[1]!hks_stm_cs(C57,"39",F57,1,"",100000000))</f>
        <v/>
      </c>
      <c r="AC57" s="25" t="str">
        <f>IF(C57="","",[1]!hks_stm_cs(C57,"1020",F57,1,"",100000000))</f>
        <v/>
      </c>
      <c r="AD57" s="25" t="str">
        <f>IF(C57="","",[1]!hks_stm_cs(C57,"59",F57,1,"",100000000))</f>
        <v/>
      </c>
      <c r="AE57" s="25" t="str">
        <f>IF(C57="","",[1]!hks_stm_cs(C57,"77",F57,1,"",100000000))</f>
        <v/>
      </c>
      <c r="AF57" s="25" t="str">
        <f>IF(C57="","",[1]!hks_stm_cs(C57,"82",F57,1,"",100000000))</f>
        <v/>
      </c>
      <c r="AG57" s="25" t="str">
        <f>IF(C57="","",[1]!hks_stm_cs(C57,"84",F57,1,"",100000000))</f>
        <v/>
      </c>
      <c r="AH57" s="35"/>
    </row>
    <row r="58" spans="1:34" s="36" customFormat="1" ht="16.5" x14ac:dyDescent="0.2">
      <c r="A58" s="2"/>
      <c r="B58" s="6"/>
      <c r="C58" s="28" t="str">
        <f>IF(表1[[#This Row],[列1]]="","",表1[[#This Row],[列1]])</f>
        <v/>
      </c>
      <c r="D58" s="19" t="str">
        <f>IF(C58="","",[1]!hks_info_name(C58))</f>
        <v/>
      </c>
      <c r="E58" s="18" t="str">
        <f ca="1">IF(C58="","",[1]!lastradeday_s(C58,TODAY()))</f>
        <v/>
      </c>
      <c r="F58" s="19" t="str">
        <f>IF(C58="","",IF(OR([1]!s_stm_rpt_e(C58,基本资料!$I$8,0)="#N/A",[1]!s_stm_rpt_e(C58,基本资料!$I$8,0)="",[1]!s_stm_rpt_e(C58,基本资料!$I$8,0)=0),[1]!s_stm_rpt_e(C58,基本资料!$I$9,0),[1]!s_stm_rpt_e(C58,基本资料!$I$8,0)))</f>
        <v/>
      </c>
      <c r="G58" s="19" t="str">
        <f>IF(C58="","",[1]!hks_info_cur2(C58,F58))</f>
        <v/>
      </c>
      <c r="H58" s="27" t="str">
        <f>IF(C58="","",[1]!hks_stm_is(C58,"83",F58,1,"",100000000))</f>
        <v/>
      </c>
      <c r="I58" s="23" t="str">
        <f>IF(C58="","",[1]!hks_stm_is(C58,"1032",F58,1,"",100000000))</f>
        <v/>
      </c>
      <c r="J58" s="23" t="str">
        <f>IF(C58="","",[1]!hks_stm_is(C58,"1041",F58,1,"",100000000))</f>
        <v/>
      </c>
      <c r="K58" s="23" t="str">
        <f>IF(C58="","",[1]!hks_stm_is(C58,"61",F58,1,"",100000000))</f>
        <v/>
      </c>
      <c r="L58" s="23" t="str">
        <f>IF(C58="","",[1]!hks_stm_is(C58,"1075",F58,1,"",100000000))</f>
        <v/>
      </c>
      <c r="M58" s="23" t="str">
        <f>IF(C58="","",[1]!hks_stm_is(C58,"1077",F58,1,"",100000000))</f>
        <v/>
      </c>
      <c r="N58" s="23" t="str">
        <f>IF(C58="","",[1]!hks_stm_is(C58,"1030",F58,1,"",100000000))</f>
        <v/>
      </c>
      <c r="O58" s="23" t="str">
        <f>IF(C58="","",[1]!hks_fa_ebit(C58,F58,1,"",100000000))</f>
        <v/>
      </c>
      <c r="P58" s="25" t="str">
        <f>IF(C58="","",[1]!hks_fa_ebitda(C58,F58,1,"",100000000))</f>
        <v/>
      </c>
      <c r="Q58" s="25" t="str">
        <f>IF(C58="","",[1]!hks_stm_bs(C58,"9",F58,1,"",100000000))</f>
        <v/>
      </c>
      <c r="R58" s="25" t="str">
        <f>IF(C58="","",[1]!hks_stm_bs(C58,"25",F58,1,"",100000000))</f>
        <v/>
      </c>
      <c r="S58" s="25" t="str">
        <f>IF(C58="","",[1]!hks_stm_bs(C58,"1088",F58,1,"",100000000))</f>
        <v/>
      </c>
      <c r="T58" s="25" t="str">
        <f>IF(C58="","",[1]!hks_stm_bs(C58,"46",F58,1,"",100000000))</f>
        <v/>
      </c>
      <c r="U58" s="25" t="str">
        <f>IF(C58="","",[1]!hks_stm_bs(C58,"29",F58,1,"",100000000))</f>
        <v/>
      </c>
      <c r="V58" s="25" t="str">
        <f>IF(C58="","",[1]!hks_stm_bs(C58,"74",F58,1,"",100000000))</f>
        <v/>
      </c>
      <c r="W58" s="25" t="str">
        <f>IF(C58="","",[1]!hks_stm_bs(C58,"93",F58,1,"",100000000))</f>
        <v/>
      </c>
      <c r="X58" s="25" t="str">
        <f>IF(C58="","",[1]!hks_stm_bs(C58,"1017",F58,1,"",100000000))</f>
        <v/>
      </c>
      <c r="Y58" s="25" t="str">
        <f>IF(C58="","",[1]!hks_stm_bs(C58,"128",F58,1,"",100000000))</f>
        <v/>
      </c>
      <c r="Z58" s="25" t="str">
        <f>IF(C58="","",[1]!hks_stm_bs(C58,"145",F58,1,"",100000000))</f>
        <v/>
      </c>
      <c r="AA58" s="25" t="str">
        <f>IF(C58="","",[1]!hks_stm_bs(C58,"140",F58,1,"",100000000))</f>
        <v/>
      </c>
      <c r="AB58" s="25" t="str">
        <f>IF(C58="","",[1]!hks_stm_cs(C58,"39",F58,1,"",100000000))</f>
        <v/>
      </c>
      <c r="AC58" s="25" t="str">
        <f>IF(C58="","",[1]!hks_stm_cs(C58,"1020",F58,1,"",100000000))</f>
        <v/>
      </c>
      <c r="AD58" s="25" t="str">
        <f>IF(C58="","",[1]!hks_stm_cs(C58,"59",F58,1,"",100000000))</f>
        <v/>
      </c>
      <c r="AE58" s="25" t="str">
        <f>IF(C58="","",[1]!hks_stm_cs(C58,"77",F58,1,"",100000000))</f>
        <v/>
      </c>
      <c r="AF58" s="25" t="str">
        <f>IF(C58="","",[1]!hks_stm_cs(C58,"82",F58,1,"",100000000))</f>
        <v/>
      </c>
      <c r="AG58" s="25" t="str">
        <f>IF(C58="","",[1]!hks_stm_cs(C58,"84",F58,1,"",100000000))</f>
        <v/>
      </c>
      <c r="AH58" s="35"/>
    </row>
    <row r="59" spans="1:34" s="36" customFormat="1" ht="16.5" x14ac:dyDescent="0.2">
      <c r="A59" s="2"/>
      <c r="B59" s="6"/>
      <c r="C59" s="28" t="str">
        <f>IF(表1[[#This Row],[列1]]="","",表1[[#This Row],[列1]])</f>
        <v/>
      </c>
      <c r="D59" s="19" t="str">
        <f>IF(C59="","",[1]!hks_info_name(C59))</f>
        <v/>
      </c>
      <c r="E59" s="18" t="str">
        <f ca="1">IF(C59="","",[1]!lastradeday_s(C59,TODAY()))</f>
        <v/>
      </c>
      <c r="F59" s="19" t="str">
        <f>IF(C59="","",IF(OR([1]!s_stm_rpt_e(C59,基本资料!$I$8,0)="#N/A",[1]!s_stm_rpt_e(C59,基本资料!$I$8,0)="",[1]!s_stm_rpt_e(C59,基本资料!$I$8,0)=0),[1]!s_stm_rpt_e(C59,基本资料!$I$9,0),[1]!s_stm_rpt_e(C59,基本资料!$I$8,0)))</f>
        <v/>
      </c>
      <c r="G59" s="19" t="str">
        <f>IF(C59="","",[1]!hks_info_cur2(C59,F59))</f>
        <v/>
      </c>
      <c r="H59" s="27" t="str">
        <f>IF(C59="","",[1]!hks_stm_is(C59,"83",F59,1,"",100000000))</f>
        <v/>
      </c>
      <c r="I59" s="23" t="str">
        <f>IF(C59="","",[1]!hks_stm_is(C59,"1032",F59,1,"",100000000))</f>
        <v/>
      </c>
      <c r="J59" s="23" t="str">
        <f>IF(C59="","",[1]!hks_stm_is(C59,"1041",F59,1,"",100000000))</f>
        <v/>
      </c>
      <c r="K59" s="23" t="str">
        <f>IF(C59="","",[1]!hks_stm_is(C59,"61",F59,1,"",100000000))</f>
        <v/>
      </c>
      <c r="L59" s="23" t="str">
        <f>IF(C59="","",[1]!hks_stm_is(C59,"1075",F59,1,"",100000000))</f>
        <v/>
      </c>
      <c r="M59" s="23" t="str">
        <f>IF(C59="","",[1]!hks_stm_is(C59,"1077",F59,1,"",100000000))</f>
        <v/>
      </c>
      <c r="N59" s="23" t="str">
        <f>IF(C59="","",[1]!hks_stm_is(C59,"1030",F59,1,"",100000000))</f>
        <v/>
      </c>
      <c r="O59" s="23" t="str">
        <f>IF(C59="","",[1]!hks_fa_ebit(C59,F59,1,"",100000000))</f>
        <v/>
      </c>
      <c r="P59" s="25" t="str">
        <f>IF(C59="","",[1]!hks_fa_ebitda(C59,F59,1,"",100000000))</f>
        <v/>
      </c>
      <c r="Q59" s="25" t="str">
        <f>IF(C59="","",[1]!hks_stm_bs(C59,"9",F59,1,"",100000000))</f>
        <v/>
      </c>
      <c r="R59" s="25" t="str">
        <f>IF(C59="","",[1]!hks_stm_bs(C59,"25",F59,1,"",100000000))</f>
        <v/>
      </c>
      <c r="S59" s="25" t="str">
        <f>IF(C59="","",[1]!hks_stm_bs(C59,"1088",F59,1,"",100000000))</f>
        <v/>
      </c>
      <c r="T59" s="25" t="str">
        <f>IF(C59="","",[1]!hks_stm_bs(C59,"46",F59,1,"",100000000))</f>
        <v/>
      </c>
      <c r="U59" s="25" t="str">
        <f>IF(C59="","",[1]!hks_stm_bs(C59,"29",F59,1,"",100000000))</f>
        <v/>
      </c>
      <c r="V59" s="25" t="str">
        <f>IF(C59="","",[1]!hks_stm_bs(C59,"74",F59,1,"",100000000))</f>
        <v/>
      </c>
      <c r="W59" s="25" t="str">
        <f>IF(C59="","",[1]!hks_stm_bs(C59,"93",F59,1,"",100000000))</f>
        <v/>
      </c>
      <c r="X59" s="25" t="str">
        <f>IF(C59="","",[1]!hks_stm_bs(C59,"1017",F59,1,"",100000000))</f>
        <v/>
      </c>
      <c r="Y59" s="25" t="str">
        <f>IF(C59="","",[1]!hks_stm_bs(C59,"128",F59,1,"",100000000))</f>
        <v/>
      </c>
      <c r="Z59" s="25" t="str">
        <f>IF(C59="","",[1]!hks_stm_bs(C59,"145",F59,1,"",100000000))</f>
        <v/>
      </c>
      <c r="AA59" s="25" t="str">
        <f>IF(C59="","",[1]!hks_stm_bs(C59,"140",F59,1,"",100000000))</f>
        <v/>
      </c>
      <c r="AB59" s="25" t="str">
        <f>IF(C59="","",[1]!hks_stm_cs(C59,"39",F59,1,"",100000000))</f>
        <v/>
      </c>
      <c r="AC59" s="25" t="str">
        <f>IF(C59="","",[1]!hks_stm_cs(C59,"1020",F59,1,"",100000000))</f>
        <v/>
      </c>
      <c r="AD59" s="25" t="str">
        <f>IF(C59="","",[1]!hks_stm_cs(C59,"59",F59,1,"",100000000))</f>
        <v/>
      </c>
      <c r="AE59" s="25" t="str">
        <f>IF(C59="","",[1]!hks_stm_cs(C59,"77",F59,1,"",100000000))</f>
        <v/>
      </c>
      <c r="AF59" s="25" t="str">
        <f>IF(C59="","",[1]!hks_stm_cs(C59,"82",F59,1,"",100000000))</f>
        <v/>
      </c>
      <c r="AG59" s="25" t="str">
        <f>IF(C59="","",[1]!hks_stm_cs(C59,"84",F59,1,"",100000000))</f>
        <v/>
      </c>
      <c r="AH59" s="35"/>
    </row>
    <row r="60" spans="1:34" s="36" customFormat="1" ht="16.5" x14ac:dyDescent="0.2">
      <c r="A60" s="2"/>
      <c r="B60" s="6"/>
      <c r="C60" s="28" t="str">
        <f>IF(表1[[#This Row],[列1]]="","",表1[[#This Row],[列1]])</f>
        <v/>
      </c>
      <c r="D60" s="19" t="str">
        <f>IF(C60="","",[1]!hks_info_name(C60))</f>
        <v/>
      </c>
      <c r="E60" s="18" t="str">
        <f ca="1">IF(C60="","",[1]!lastradeday_s(C60,TODAY()))</f>
        <v/>
      </c>
      <c r="F60" s="19" t="str">
        <f>IF(C60="","",IF(OR([1]!s_stm_rpt_e(C60,基本资料!$I$8,0)="#N/A",[1]!s_stm_rpt_e(C60,基本资料!$I$8,0)="",[1]!s_stm_rpt_e(C60,基本资料!$I$8,0)=0),[1]!s_stm_rpt_e(C60,基本资料!$I$9,0),[1]!s_stm_rpt_e(C60,基本资料!$I$8,0)))</f>
        <v/>
      </c>
      <c r="G60" s="19" t="str">
        <f>IF(C60="","",[1]!hks_info_cur2(C60,F60))</f>
        <v/>
      </c>
      <c r="H60" s="27" t="str">
        <f>IF(C60="","",[1]!hks_stm_is(C60,"83",F60,1,"",100000000))</f>
        <v/>
      </c>
      <c r="I60" s="23" t="str">
        <f>IF(C60="","",[1]!hks_stm_is(C60,"1032",F60,1,"",100000000))</f>
        <v/>
      </c>
      <c r="J60" s="23" t="str">
        <f>IF(C60="","",[1]!hks_stm_is(C60,"1041",F60,1,"",100000000))</f>
        <v/>
      </c>
      <c r="K60" s="23" t="str">
        <f>IF(C60="","",[1]!hks_stm_is(C60,"61",F60,1,"",100000000))</f>
        <v/>
      </c>
      <c r="L60" s="23" t="str">
        <f>IF(C60="","",[1]!hks_stm_is(C60,"1075",F60,1,"",100000000))</f>
        <v/>
      </c>
      <c r="M60" s="23" t="str">
        <f>IF(C60="","",[1]!hks_stm_is(C60,"1077",F60,1,"",100000000))</f>
        <v/>
      </c>
      <c r="N60" s="23" t="str">
        <f>IF(C60="","",[1]!hks_stm_is(C60,"1030",F60,1,"",100000000))</f>
        <v/>
      </c>
      <c r="O60" s="23" t="str">
        <f>IF(C60="","",[1]!hks_fa_ebit(C60,F60,1,"",100000000))</f>
        <v/>
      </c>
      <c r="P60" s="25" t="str">
        <f>IF(C60="","",[1]!hks_fa_ebitda(C60,F60,1,"",100000000))</f>
        <v/>
      </c>
      <c r="Q60" s="25" t="str">
        <f>IF(C60="","",[1]!hks_stm_bs(C60,"9",F60,1,"",100000000))</f>
        <v/>
      </c>
      <c r="R60" s="25" t="str">
        <f>IF(C60="","",[1]!hks_stm_bs(C60,"25",F60,1,"",100000000))</f>
        <v/>
      </c>
      <c r="S60" s="25" t="str">
        <f>IF(C60="","",[1]!hks_stm_bs(C60,"1088",F60,1,"",100000000))</f>
        <v/>
      </c>
      <c r="T60" s="25" t="str">
        <f>IF(C60="","",[1]!hks_stm_bs(C60,"46",F60,1,"",100000000))</f>
        <v/>
      </c>
      <c r="U60" s="25" t="str">
        <f>IF(C60="","",[1]!hks_stm_bs(C60,"29",F60,1,"",100000000))</f>
        <v/>
      </c>
      <c r="V60" s="25" t="str">
        <f>IF(C60="","",[1]!hks_stm_bs(C60,"74",F60,1,"",100000000))</f>
        <v/>
      </c>
      <c r="W60" s="25" t="str">
        <f>IF(C60="","",[1]!hks_stm_bs(C60,"93",F60,1,"",100000000))</f>
        <v/>
      </c>
      <c r="X60" s="25" t="str">
        <f>IF(C60="","",[1]!hks_stm_bs(C60,"1017",F60,1,"",100000000))</f>
        <v/>
      </c>
      <c r="Y60" s="25" t="str">
        <f>IF(C60="","",[1]!hks_stm_bs(C60,"128",F60,1,"",100000000))</f>
        <v/>
      </c>
      <c r="Z60" s="25" t="str">
        <f>IF(C60="","",[1]!hks_stm_bs(C60,"145",F60,1,"",100000000))</f>
        <v/>
      </c>
      <c r="AA60" s="25" t="str">
        <f>IF(C60="","",[1]!hks_stm_bs(C60,"140",F60,1,"",100000000))</f>
        <v/>
      </c>
      <c r="AB60" s="25" t="str">
        <f>IF(C60="","",[1]!hks_stm_cs(C60,"39",F60,1,"",100000000))</f>
        <v/>
      </c>
      <c r="AC60" s="25" t="str">
        <f>IF(C60="","",[1]!hks_stm_cs(C60,"1020",F60,1,"",100000000))</f>
        <v/>
      </c>
      <c r="AD60" s="25" t="str">
        <f>IF(C60="","",[1]!hks_stm_cs(C60,"59",F60,1,"",100000000))</f>
        <v/>
      </c>
      <c r="AE60" s="25" t="str">
        <f>IF(C60="","",[1]!hks_stm_cs(C60,"77",F60,1,"",100000000))</f>
        <v/>
      </c>
      <c r="AF60" s="25" t="str">
        <f>IF(C60="","",[1]!hks_stm_cs(C60,"82",F60,1,"",100000000))</f>
        <v/>
      </c>
      <c r="AG60" s="25" t="str">
        <f>IF(C60="","",[1]!hks_stm_cs(C60,"84",F60,1,"",100000000))</f>
        <v/>
      </c>
      <c r="AH60" s="35"/>
    </row>
    <row r="61" spans="1:34" s="36" customFormat="1" ht="16.5" x14ac:dyDescent="0.2">
      <c r="A61" s="2"/>
      <c r="B61" s="6"/>
      <c r="C61" s="28" t="str">
        <f>IF(表1[[#This Row],[列1]]="","",表1[[#This Row],[列1]])</f>
        <v/>
      </c>
      <c r="D61" s="19" t="str">
        <f>IF(C61="","",[1]!hks_info_name(C61))</f>
        <v/>
      </c>
      <c r="E61" s="18" t="str">
        <f ca="1">IF(C61="","",[1]!lastradeday_s(C61,TODAY()))</f>
        <v/>
      </c>
      <c r="F61" s="19" t="str">
        <f>IF(C61="","",IF(OR([1]!s_stm_rpt_e(C61,基本资料!$I$8,0)="#N/A",[1]!s_stm_rpt_e(C61,基本资料!$I$8,0)="",[1]!s_stm_rpt_e(C61,基本资料!$I$8,0)=0),[1]!s_stm_rpt_e(C61,基本资料!$I$9,0),[1]!s_stm_rpt_e(C61,基本资料!$I$8,0)))</f>
        <v/>
      </c>
      <c r="G61" s="19" t="str">
        <f>IF(C61="","",[1]!hks_info_cur2(C61,F61))</f>
        <v/>
      </c>
      <c r="H61" s="27" t="str">
        <f>IF(C61="","",[1]!hks_stm_is(C61,"83",F61,1,"",100000000))</f>
        <v/>
      </c>
      <c r="I61" s="23" t="str">
        <f>IF(C61="","",[1]!hks_stm_is(C61,"1032",F61,1,"",100000000))</f>
        <v/>
      </c>
      <c r="J61" s="23" t="str">
        <f>IF(C61="","",[1]!hks_stm_is(C61,"1041",F61,1,"",100000000))</f>
        <v/>
      </c>
      <c r="K61" s="23" t="str">
        <f>IF(C61="","",[1]!hks_stm_is(C61,"61",F61,1,"",100000000))</f>
        <v/>
      </c>
      <c r="L61" s="23" t="str">
        <f>IF(C61="","",[1]!hks_stm_is(C61,"1075",F61,1,"",100000000))</f>
        <v/>
      </c>
      <c r="M61" s="23" t="str">
        <f>IF(C61="","",[1]!hks_stm_is(C61,"1077",F61,1,"",100000000))</f>
        <v/>
      </c>
      <c r="N61" s="23" t="str">
        <f>IF(C61="","",[1]!hks_stm_is(C61,"1030",F61,1,"",100000000))</f>
        <v/>
      </c>
      <c r="O61" s="23" t="str">
        <f>IF(C61="","",[1]!hks_fa_ebit(C61,F61,1,"",100000000))</f>
        <v/>
      </c>
      <c r="P61" s="25" t="str">
        <f>IF(C61="","",[1]!hks_fa_ebitda(C61,F61,1,"",100000000))</f>
        <v/>
      </c>
      <c r="Q61" s="25" t="str">
        <f>IF(C61="","",[1]!hks_stm_bs(C61,"9",F61,1,"",100000000))</f>
        <v/>
      </c>
      <c r="R61" s="25" t="str">
        <f>IF(C61="","",[1]!hks_stm_bs(C61,"25",F61,1,"",100000000))</f>
        <v/>
      </c>
      <c r="S61" s="25" t="str">
        <f>IF(C61="","",[1]!hks_stm_bs(C61,"1088",F61,1,"",100000000))</f>
        <v/>
      </c>
      <c r="T61" s="25" t="str">
        <f>IF(C61="","",[1]!hks_stm_bs(C61,"46",F61,1,"",100000000))</f>
        <v/>
      </c>
      <c r="U61" s="25" t="str">
        <f>IF(C61="","",[1]!hks_stm_bs(C61,"29",F61,1,"",100000000))</f>
        <v/>
      </c>
      <c r="V61" s="25" t="str">
        <f>IF(C61="","",[1]!hks_stm_bs(C61,"74",F61,1,"",100000000))</f>
        <v/>
      </c>
      <c r="W61" s="25" t="str">
        <f>IF(C61="","",[1]!hks_stm_bs(C61,"93",F61,1,"",100000000))</f>
        <v/>
      </c>
      <c r="X61" s="25" t="str">
        <f>IF(C61="","",[1]!hks_stm_bs(C61,"1017",F61,1,"",100000000))</f>
        <v/>
      </c>
      <c r="Y61" s="25" t="str">
        <f>IF(C61="","",[1]!hks_stm_bs(C61,"128",F61,1,"",100000000))</f>
        <v/>
      </c>
      <c r="Z61" s="25" t="str">
        <f>IF(C61="","",[1]!hks_stm_bs(C61,"145",F61,1,"",100000000))</f>
        <v/>
      </c>
      <c r="AA61" s="25" t="str">
        <f>IF(C61="","",[1]!hks_stm_bs(C61,"140",F61,1,"",100000000))</f>
        <v/>
      </c>
      <c r="AB61" s="25" t="str">
        <f>IF(C61="","",[1]!hks_stm_cs(C61,"39",F61,1,"",100000000))</f>
        <v/>
      </c>
      <c r="AC61" s="25" t="str">
        <f>IF(C61="","",[1]!hks_stm_cs(C61,"1020",F61,1,"",100000000))</f>
        <v/>
      </c>
      <c r="AD61" s="25" t="str">
        <f>IF(C61="","",[1]!hks_stm_cs(C61,"59",F61,1,"",100000000))</f>
        <v/>
      </c>
      <c r="AE61" s="25" t="str">
        <f>IF(C61="","",[1]!hks_stm_cs(C61,"77",F61,1,"",100000000))</f>
        <v/>
      </c>
      <c r="AF61" s="25" t="str">
        <f>IF(C61="","",[1]!hks_stm_cs(C61,"82",F61,1,"",100000000))</f>
        <v/>
      </c>
      <c r="AG61" s="25" t="str">
        <f>IF(C61="","",[1]!hks_stm_cs(C61,"84",F61,1,"",100000000))</f>
        <v/>
      </c>
      <c r="AH61" s="35"/>
    </row>
    <row r="62" spans="1:34" s="36" customFormat="1" ht="16.5" x14ac:dyDescent="0.2">
      <c r="A62" s="2"/>
      <c r="B62" s="6"/>
      <c r="C62" s="28" t="str">
        <f>IF(表1[[#This Row],[列1]]="","",表1[[#This Row],[列1]])</f>
        <v/>
      </c>
      <c r="D62" s="19" t="str">
        <f>IF(C62="","",[1]!hks_info_name(C62))</f>
        <v/>
      </c>
      <c r="E62" s="18" t="str">
        <f ca="1">IF(C62="","",[1]!lastradeday_s(C62,TODAY()))</f>
        <v/>
      </c>
      <c r="F62" s="19" t="str">
        <f>IF(C62="","",IF(OR([1]!s_stm_rpt_e(C62,基本资料!$I$8,0)="#N/A",[1]!s_stm_rpt_e(C62,基本资料!$I$8,0)="",[1]!s_stm_rpt_e(C62,基本资料!$I$8,0)=0),[1]!s_stm_rpt_e(C62,基本资料!$I$9,0),[1]!s_stm_rpt_e(C62,基本资料!$I$8,0)))</f>
        <v/>
      </c>
      <c r="G62" s="19" t="str">
        <f>IF(C62="","",[1]!hks_info_cur2(C62,F62))</f>
        <v/>
      </c>
      <c r="H62" s="27" t="str">
        <f>IF(C62="","",[1]!hks_stm_is(C62,"83",F62,1,"",100000000))</f>
        <v/>
      </c>
      <c r="I62" s="23" t="str">
        <f>IF(C62="","",[1]!hks_stm_is(C62,"1032",F62,1,"",100000000))</f>
        <v/>
      </c>
      <c r="J62" s="23" t="str">
        <f>IF(C62="","",[1]!hks_stm_is(C62,"1041",F62,1,"",100000000))</f>
        <v/>
      </c>
      <c r="K62" s="23" t="str">
        <f>IF(C62="","",[1]!hks_stm_is(C62,"61",F62,1,"",100000000))</f>
        <v/>
      </c>
      <c r="L62" s="23" t="str">
        <f>IF(C62="","",[1]!hks_stm_is(C62,"1075",F62,1,"",100000000))</f>
        <v/>
      </c>
      <c r="M62" s="23" t="str">
        <f>IF(C62="","",[1]!hks_stm_is(C62,"1077",F62,1,"",100000000))</f>
        <v/>
      </c>
      <c r="N62" s="23" t="str">
        <f>IF(C62="","",[1]!hks_stm_is(C62,"1030",F62,1,"",100000000))</f>
        <v/>
      </c>
      <c r="O62" s="23" t="str">
        <f>IF(C62="","",[1]!hks_fa_ebit(C62,F62,1,"",100000000))</f>
        <v/>
      </c>
      <c r="P62" s="25" t="str">
        <f>IF(C62="","",[1]!hks_fa_ebitda(C62,F62,1,"",100000000))</f>
        <v/>
      </c>
      <c r="Q62" s="25" t="str">
        <f>IF(C62="","",[1]!hks_stm_bs(C62,"9",F62,1,"",100000000))</f>
        <v/>
      </c>
      <c r="R62" s="25" t="str">
        <f>IF(C62="","",[1]!hks_stm_bs(C62,"25",F62,1,"",100000000))</f>
        <v/>
      </c>
      <c r="S62" s="25" t="str">
        <f>IF(C62="","",[1]!hks_stm_bs(C62,"1088",F62,1,"",100000000))</f>
        <v/>
      </c>
      <c r="T62" s="25" t="str">
        <f>IF(C62="","",[1]!hks_stm_bs(C62,"46",F62,1,"",100000000))</f>
        <v/>
      </c>
      <c r="U62" s="25" t="str">
        <f>IF(C62="","",[1]!hks_stm_bs(C62,"29",F62,1,"",100000000))</f>
        <v/>
      </c>
      <c r="V62" s="25" t="str">
        <f>IF(C62="","",[1]!hks_stm_bs(C62,"74",F62,1,"",100000000))</f>
        <v/>
      </c>
      <c r="W62" s="25" t="str">
        <f>IF(C62="","",[1]!hks_stm_bs(C62,"93",F62,1,"",100000000))</f>
        <v/>
      </c>
      <c r="X62" s="25" t="str">
        <f>IF(C62="","",[1]!hks_stm_bs(C62,"1017",F62,1,"",100000000))</f>
        <v/>
      </c>
      <c r="Y62" s="25" t="str">
        <f>IF(C62="","",[1]!hks_stm_bs(C62,"128",F62,1,"",100000000))</f>
        <v/>
      </c>
      <c r="Z62" s="25" t="str">
        <f>IF(C62="","",[1]!hks_stm_bs(C62,"145",F62,1,"",100000000))</f>
        <v/>
      </c>
      <c r="AA62" s="25" t="str">
        <f>IF(C62="","",[1]!hks_stm_bs(C62,"140",F62,1,"",100000000))</f>
        <v/>
      </c>
      <c r="AB62" s="25" t="str">
        <f>IF(C62="","",[1]!hks_stm_cs(C62,"39",F62,1,"",100000000))</f>
        <v/>
      </c>
      <c r="AC62" s="25" t="str">
        <f>IF(C62="","",[1]!hks_stm_cs(C62,"1020",F62,1,"",100000000))</f>
        <v/>
      </c>
      <c r="AD62" s="25" t="str">
        <f>IF(C62="","",[1]!hks_stm_cs(C62,"59",F62,1,"",100000000))</f>
        <v/>
      </c>
      <c r="AE62" s="25" t="str">
        <f>IF(C62="","",[1]!hks_stm_cs(C62,"77",F62,1,"",100000000))</f>
        <v/>
      </c>
      <c r="AF62" s="25" t="str">
        <f>IF(C62="","",[1]!hks_stm_cs(C62,"82",F62,1,"",100000000))</f>
        <v/>
      </c>
      <c r="AG62" s="25" t="str">
        <f>IF(C62="","",[1]!hks_stm_cs(C62,"84",F62,1,"",100000000))</f>
        <v/>
      </c>
      <c r="AH62" s="35"/>
    </row>
    <row r="63" spans="1:34" s="36" customFormat="1" ht="16.5" x14ac:dyDescent="0.2">
      <c r="A63" s="2"/>
      <c r="B63" s="6"/>
      <c r="C63" s="28" t="str">
        <f>IF(表1[[#This Row],[列1]]="","",表1[[#This Row],[列1]])</f>
        <v/>
      </c>
      <c r="D63" s="19" t="str">
        <f>IF(C63="","",[1]!hks_info_name(C63))</f>
        <v/>
      </c>
      <c r="E63" s="18" t="str">
        <f ca="1">IF(C63="","",[1]!lastradeday_s(C63,TODAY()))</f>
        <v/>
      </c>
      <c r="F63" s="19" t="str">
        <f>IF(C63="","",IF(OR([1]!s_stm_rpt_e(C63,基本资料!$I$8,0)="#N/A",[1]!s_stm_rpt_e(C63,基本资料!$I$8,0)="",[1]!s_stm_rpt_e(C63,基本资料!$I$8,0)=0),[1]!s_stm_rpt_e(C63,基本资料!$I$9,0),[1]!s_stm_rpt_e(C63,基本资料!$I$8,0)))</f>
        <v/>
      </c>
      <c r="G63" s="19" t="str">
        <f>IF(C63="","",[1]!hks_info_cur2(C63,F63))</f>
        <v/>
      </c>
      <c r="H63" s="27" t="str">
        <f>IF(C63="","",[1]!hks_stm_is(C63,"83",F63,1,"",100000000))</f>
        <v/>
      </c>
      <c r="I63" s="23" t="str">
        <f>IF(C63="","",[1]!hks_stm_is(C63,"1032",F63,1,"",100000000))</f>
        <v/>
      </c>
      <c r="J63" s="23" t="str">
        <f>IF(C63="","",[1]!hks_stm_is(C63,"1041",F63,1,"",100000000))</f>
        <v/>
      </c>
      <c r="K63" s="23" t="str">
        <f>IF(C63="","",[1]!hks_stm_is(C63,"61",F63,1,"",100000000))</f>
        <v/>
      </c>
      <c r="L63" s="23" t="str">
        <f>IF(C63="","",[1]!hks_stm_is(C63,"1075",F63,1,"",100000000))</f>
        <v/>
      </c>
      <c r="M63" s="23" t="str">
        <f>IF(C63="","",[1]!hks_stm_is(C63,"1077",F63,1,"",100000000))</f>
        <v/>
      </c>
      <c r="N63" s="23" t="str">
        <f>IF(C63="","",[1]!hks_stm_is(C63,"1030",F63,1,"",100000000))</f>
        <v/>
      </c>
      <c r="O63" s="23" t="str">
        <f>IF(C63="","",[1]!hks_fa_ebit(C63,F63,1,"",100000000))</f>
        <v/>
      </c>
      <c r="P63" s="25" t="str">
        <f>IF(C63="","",[1]!hks_fa_ebitda(C63,F63,1,"",100000000))</f>
        <v/>
      </c>
      <c r="Q63" s="25" t="str">
        <f>IF(C63="","",[1]!hks_stm_bs(C63,"9",F63,1,"",100000000))</f>
        <v/>
      </c>
      <c r="R63" s="25" t="str">
        <f>IF(C63="","",[1]!hks_stm_bs(C63,"25",F63,1,"",100000000))</f>
        <v/>
      </c>
      <c r="S63" s="25" t="str">
        <f>IF(C63="","",[1]!hks_stm_bs(C63,"1088",F63,1,"",100000000))</f>
        <v/>
      </c>
      <c r="T63" s="25" t="str">
        <f>IF(C63="","",[1]!hks_stm_bs(C63,"46",F63,1,"",100000000))</f>
        <v/>
      </c>
      <c r="U63" s="25" t="str">
        <f>IF(C63="","",[1]!hks_stm_bs(C63,"29",F63,1,"",100000000))</f>
        <v/>
      </c>
      <c r="V63" s="25" t="str">
        <f>IF(C63="","",[1]!hks_stm_bs(C63,"74",F63,1,"",100000000))</f>
        <v/>
      </c>
      <c r="W63" s="25" t="str">
        <f>IF(C63="","",[1]!hks_stm_bs(C63,"93",F63,1,"",100000000))</f>
        <v/>
      </c>
      <c r="X63" s="25" t="str">
        <f>IF(C63="","",[1]!hks_stm_bs(C63,"1017",F63,1,"",100000000))</f>
        <v/>
      </c>
      <c r="Y63" s="25" t="str">
        <f>IF(C63="","",[1]!hks_stm_bs(C63,"128",F63,1,"",100000000))</f>
        <v/>
      </c>
      <c r="Z63" s="25" t="str">
        <f>IF(C63="","",[1]!hks_stm_bs(C63,"145",F63,1,"",100000000))</f>
        <v/>
      </c>
      <c r="AA63" s="25" t="str">
        <f>IF(C63="","",[1]!hks_stm_bs(C63,"140",F63,1,"",100000000))</f>
        <v/>
      </c>
      <c r="AB63" s="25" t="str">
        <f>IF(C63="","",[1]!hks_stm_cs(C63,"39",F63,1,"",100000000))</f>
        <v/>
      </c>
      <c r="AC63" s="25" t="str">
        <f>IF(C63="","",[1]!hks_stm_cs(C63,"1020",F63,1,"",100000000))</f>
        <v/>
      </c>
      <c r="AD63" s="25" t="str">
        <f>IF(C63="","",[1]!hks_stm_cs(C63,"59",F63,1,"",100000000))</f>
        <v/>
      </c>
      <c r="AE63" s="25" t="str">
        <f>IF(C63="","",[1]!hks_stm_cs(C63,"77",F63,1,"",100000000))</f>
        <v/>
      </c>
      <c r="AF63" s="25" t="str">
        <f>IF(C63="","",[1]!hks_stm_cs(C63,"82",F63,1,"",100000000))</f>
        <v/>
      </c>
      <c r="AG63" s="25" t="str">
        <f>IF(C63="","",[1]!hks_stm_cs(C63,"84",F63,1,"",100000000))</f>
        <v/>
      </c>
      <c r="AH63" s="35"/>
    </row>
    <row r="64" spans="1:34" s="36" customFormat="1" ht="16.5" x14ac:dyDescent="0.2">
      <c r="A64" s="2"/>
      <c r="B64" s="6"/>
      <c r="C64" s="28" t="str">
        <f>IF(表1[[#This Row],[列1]]="","",表1[[#This Row],[列1]])</f>
        <v/>
      </c>
      <c r="D64" s="19" t="str">
        <f>IF(C64="","",[1]!hks_info_name(C64))</f>
        <v/>
      </c>
      <c r="E64" s="18" t="str">
        <f ca="1">IF(C64="","",[1]!lastradeday_s(C64,TODAY()))</f>
        <v/>
      </c>
      <c r="F64" s="19" t="str">
        <f>IF(C64="","",IF(OR([1]!s_stm_rpt_e(C64,基本资料!$I$8,0)="#N/A",[1]!s_stm_rpt_e(C64,基本资料!$I$8,0)="",[1]!s_stm_rpt_e(C64,基本资料!$I$8,0)=0),[1]!s_stm_rpt_e(C64,基本资料!$I$9,0),[1]!s_stm_rpt_e(C64,基本资料!$I$8,0)))</f>
        <v/>
      </c>
      <c r="G64" s="19" t="str">
        <f>IF(C64="","",[1]!hks_info_cur2(C64,F64))</f>
        <v/>
      </c>
      <c r="H64" s="27" t="str">
        <f>IF(C64="","",[1]!hks_stm_is(C64,"83",F64,1,"",100000000))</f>
        <v/>
      </c>
      <c r="I64" s="23" t="str">
        <f>IF(C64="","",[1]!hks_stm_is(C64,"1032",F64,1,"",100000000))</f>
        <v/>
      </c>
      <c r="J64" s="23" t="str">
        <f>IF(C64="","",[1]!hks_stm_is(C64,"1041",F64,1,"",100000000))</f>
        <v/>
      </c>
      <c r="K64" s="23" t="str">
        <f>IF(C64="","",[1]!hks_stm_is(C64,"61",F64,1,"",100000000))</f>
        <v/>
      </c>
      <c r="L64" s="23" t="str">
        <f>IF(C64="","",[1]!hks_stm_is(C64,"1075",F64,1,"",100000000))</f>
        <v/>
      </c>
      <c r="M64" s="23" t="str">
        <f>IF(C64="","",[1]!hks_stm_is(C64,"1077",F64,1,"",100000000))</f>
        <v/>
      </c>
      <c r="N64" s="23" t="str">
        <f>IF(C64="","",[1]!hks_stm_is(C64,"1030",F64,1,"",100000000))</f>
        <v/>
      </c>
      <c r="O64" s="23" t="str">
        <f>IF(C64="","",[1]!hks_fa_ebit(C64,F64,1,"",100000000))</f>
        <v/>
      </c>
      <c r="P64" s="25" t="str">
        <f>IF(C64="","",[1]!hks_fa_ebitda(C64,F64,1,"",100000000))</f>
        <v/>
      </c>
      <c r="Q64" s="25" t="str">
        <f>IF(C64="","",[1]!hks_stm_bs(C64,"9",F64,1,"",100000000))</f>
        <v/>
      </c>
      <c r="R64" s="25" t="str">
        <f>IF(C64="","",[1]!hks_stm_bs(C64,"25",F64,1,"",100000000))</f>
        <v/>
      </c>
      <c r="S64" s="25" t="str">
        <f>IF(C64="","",[1]!hks_stm_bs(C64,"1088",F64,1,"",100000000))</f>
        <v/>
      </c>
      <c r="T64" s="25" t="str">
        <f>IF(C64="","",[1]!hks_stm_bs(C64,"46",F64,1,"",100000000))</f>
        <v/>
      </c>
      <c r="U64" s="25" t="str">
        <f>IF(C64="","",[1]!hks_stm_bs(C64,"29",F64,1,"",100000000))</f>
        <v/>
      </c>
      <c r="V64" s="25" t="str">
        <f>IF(C64="","",[1]!hks_stm_bs(C64,"74",F64,1,"",100000000))</f>
        <v/>
      </c>
      <c r="W64" s="25" t="str">
        <f>IF(C64="","",[1]!hks_stm_bs(C64,"93",F64,1,"",100000000))</f>
        <v/>
      </c>
      <c r="X64" s="25" t="str">
        <f>IF(C64="","",[1]!hks_stm_bs(C64,"1017",F64,1,"",100000000))</f>
        <v/>
      </c>
      <c r="Y64" s="25" t="str">
        <f>IF(C64="","",[1]!hks_stm_bs(C64,"128",F64,1,"",100000000))</f>
        <v/>
      </c>
      <c r="Z64" s="25" t="str">
        <f>IF(C64="","",[1]!hks_stm_bs(C64,"145",F64,1,"",100000000))</f>
        <v/>
      </c>
      <c r="AA64" s="25" t="str">
        <f>IF(C64="","",[1]!hks_stm_bs(C64,"140",F64,1,"",100000000))</f>
        <v/>
      </c>
      <c r="AB64" s="25" t="str">
        <f>IF(C64="","",[1]!hks_stm_cs(C64,"39",F64,1,"",100000000))</f>
        <v/>
      </c>
      <c r="AC64" s="25" t="str">
        <f>IF(C64="","",[1]!hks_stm_cs(C64,"1020",F64,1,"",100000000))</f>
        <v/>
      </c>
      <c r="AD64" s="25" t="str">
        <f>IF(C64="","",[1]!hks_stm_cs(C64,"59",F64,1,"",100000000))</f>
        <v/>
      </c>
      <c r="AE64" s="25" t="str">
        <f>IF(C64="","",[1]!hks_stm_cs(C64,"77",F64,1,"",100000000))</f>
        <v/>
      </c>
      <c r="AF64" s="25" t="str">
        <f>IF(C64="","",[1]!hks_stm_cs(C64,"82",F64,1,"",100000000))</f>
        <v/>
      </c>
      <c r="AG64" s="25" t="str">
        <f>IF(C64="","",[1]!hks_stm_cs(C64,"84",F64,1,"",100000000))</f>
        <v/>
      </c>
      <c r="AH64" s="35"/>
    </row>
    <row r="65" spans="1:34" s="36" customFormat="1" ht="16.5" x14ac:dyDescent="0.2">
      <c r="A65" s="2"/>
      <c r="B65" s="6"/>
      <c r="C65" s="28" t="str">
        <f>IF(表1[[#This Row],[列1]]="","",表1[[#This Row],[列1]])</f>
        <v/>
      </c>
      <c r="D65" s="19" t="str">
        <f>IF(C65="","",[1]!hks_info_name(C65))</f>
        <v/>
      </c>
      <c r="E65" s="18" t="str">
        <f ca="1">IF(C65="","",[1]!lastradeday_s(C65,TODAY()))</f>
        <v/>
      </c>
      <c r="F65" s="19" t="str">
        <f>IF(C65="","",IF(OR([1]!s_stm_rpt_e(C65,基本资料!$I$8,0)="#N/A",[1]!s_stm_rpt_e(C65,基本资料!$I$8,0)="",[1]!s_stm_rpt_e(C65,基本资料!$I$8,0)=0),[1]!s_stm_rpt_e(C65,基本资料!$I$9,0),[1]!s_stm_rpt_e(C65,基本资料!$I$8,0)))</f>
        <v/>
      </c>
      <c r="G65" s="19" t="str">
        <f>IF(C65="","",[1]!hks_info_cur2(C65,F65))</f>
        <v/>
      </c>
      <c r="H65" s="27" t="str">
        <f>IF(C65="","",[1]!hks_stm_is(C65,"83",F65,1,"",100000000))</f>
        <v/>
      </c>
      <c r="I65" s="23" t="str">
        <f>IF(C65="","",[1]!hks_stm_is(C65,"1032",F65,1,"",100000000))</f>
        <v/>
      </c>
      <c r="J65" s="23" t="str">
        <f>IF(C65="","",[1]!hks_stm_is(C65,"1041",F65,1,"",100000000))</f>
        <v/>
      </c>
      <c r="K65" s="23" t="str">
        <f>IF(C65="","",[1]!hks_stm_is(C65,"61",F65,1,"",100000000))</f>
        <v/>
      </c>
      <c r="L65" s="23" t="str">
        <f>IF(C65="","",[1]!hks_stm_is(C65,"1075",F65,1,"",100000000))</f>
        <v/>
      </c>
      <c r="M65" s="23" t="str">
        <f>IF(C65="","",[1]!hks_stm_is(C65,"1077",F65,1,"",100000000))</f>
        <v/>
      </c>
      <c r="N65" s="23" t="str">
        <f>IF(C65="","",[1]!hks_stm_is(C65,"1030",F65,1,"",100000000))</f>
        <v/>
      </c>
      <c r="O65" s="23" t="str">
        <f>IF(C65="","",[1]!hks_fa_ebit(C65,F65,1,"",100000000))</f>
        <v/>
      </c>
      <c r="P65" s="25" t="str">
        <f>IF(C65="","",[1]!hks_fa_ebitda(C65,F65,1,"",100000000))</f>
        <v/>
      </c>
      <c r="Q65" s="25" t="str">
        <f>IF(C65="","",[1]!hks_stm_bs(C65,"9",F65,1,"",100000000))</f>
        <v/>
      </c>
      <c r="R65" s="25" t="str">
        <f>IF(C65="","",[1]!hks_stm_bs(C65,"25",F65,1,"",100000000))</f>
        <v/>
      </c>
      <c r="S65" s="25" t="str">
        <f>IF(C65="","",[1]!hks_stm_bs(C65,"1088",F65,1,"",100000000))</f>
        <v/>
      </c>
      <c r="T65" s="25" t="str">
        <f>IF(C65="","",[1]!hks_stm_bs(C65,"46",F65,1,"",100000000))</f>
        <v/>
      </c>
      <c r="U65" s="25" t="str">
        <f>IF(C65="","",[1]!hks_stm_bs(C65,"29",F65,1,"",100000000))</f>
        <v/>
      </c>
      <c r="V65" s="25" t="str">
        <f>IF(C65="","",[1]!hks_stm_bs(C65,"74",F65,1,"",100000000))</f>
        <v/>
      </c>
      <c r="W65" s="25" t="str">
        <f>IF(C65="","",[1]!hks_stm_bs(C65,"93",F65,1,"",100000000))</f>
        <v/>
      </c>
      <c r="X65" s="25" t="str">
        <f>IF(C65="","",[1]!hks_stm_bs(C65,"1017",F65,1,"",100000000))</f>
        <v/>
      </c>
      <c r="Y65" s="25" t="str">
        <f>IF(C65="","",[1]!hks_stm_bs(C65,"128",F65,1,"",100000000))</f>
        <v/>
      </c>
      <c r="Z65" s="25" t="str">
        <f>IF(C65="","",[1]!hks_stm_bs(C65,"145",F65,1,"",100000000))</f>
        <v/>
      </c>
      <c r="AA65" s="25" t="str">
        <f>IF(C65="","",[1]!hks_stm_bs(C65,"140",F65,1,"",100000000))</f>
        <v/>
      </c>
      <c r="AB65" s="25" t="str">
        <f>IF(C65="","",[1]!hks_stm_cs(C65,"39",F65,1,"",100000000))</f>
        <v/>
      </c>
      <c r="AC65" s="25" t="str">
        <f>IF(C65="","",[1]!hks_stm_cs(C65,"1020",F65,1,"",100000000))</f>
        <v/>
      </c>
      <c r="AD65" s="25" t="str">
        <f>IF(C65="","",[1]!hks_stm_cs(C65,"59",F65,1,"",100000000))</f>
        <v/>
      </c>
      <c r="AE65" s="25" t="str">
        <f>IF(C65="","",[1]!hks_stm_cs(C65,"77",F65,1,"",100000000))</f>
        <v/>
      </c>
      <c r="AF65" s="25" t="str">
        <f>IF(C65="","",[1]!hks_stm_cs(C65,"82",F65,1,"",100000000))</f>
        <v/>
      </c>
      <c r="AG65" s="25" t="str">
        <f>IF(C65="","",[1]!hks_stm_cs(C65,"84",F65,1,"",100000000))</f>
        <v/>
      </c>
      <c r="AH65" s="35"/>
    </row>
    <row r="66" spans="1:34" s="36" customFormat="1" ht="16.5" x14ac:dyDescent="0.2">
      <c r="A66" s="2"/>
      <c r="B66" s="6"/>
      <c r="C66" s="28" t="str">
        <f>IF(表1[[#This Row],[列1]]="","",表1[[#This Row],[列1]])</f>
        <v/>
      </c>
      <c r="D66" s="19" t="str">
        <f>IF(C66="","",[1]!hks_info_name(C66))</f>
        <v/>
      </c>
      <c r="E66" s="18" t="str">
        <f ca="1">IF(C66="","",[1]!lastradeday_s(C66,TODAY()))</f>
        <v/>
      </c>
      <c r="F66" s="19" t="str">
        <f>IF(C66="","",IF(OR([1]!s_stm_rpt_e(C66,基本资料!$I$8,0)="#N/A",[1]!s_stm_rpt_e(C66,基本资料!$I$8,0)="",[1]!s_stm_rpt_e(C66,基本资料!$I$8,0)=0),[1]!s_stm_rpt_e(C66,基本资料!$I$9,0),[1]!s_stm_rpt_e(C66,基本资料!$I$8,0)))</f>
        <v/>
      </c>
      <c r="G66" s="19" t="str">
        <f>IF(C66="","",[1]!hks_info_cur2(C66,F66))</f>
        <v/>
      </c>
      <c r="H66" s="27" t="str">
        <f>IF(C66="","",[1]!hks_stm_is(C66,"83",F66,1,"",100000000))</f>
        <v/>
      </c>
      <c r="I66" s="23" t="str">
        <f>IF(C66="","",[1]!hks_stm_is(C66,"1032",F66,1,"",100000000))</f>
        <v/>
      </c>
      <c r="J66" s="23" t="str">
        <f>IF(C66="","",[1]!hks_stm_is(C66,"1041",F66,1,"",100000000))</f>
        <v/>
      </c>
      <c r="K66" s="23" t="str">
        <f>IF(C66="","",[1]!hks_stm_is(C66,"61",F66,1,"",100000000))</f>
        <v/>
      </c>
      <c r="L66" s="23" t="str">
        <f>IF(C66="","",[1]!hks_stm_is(C66,"1075",F66,1,"",100000000))</f>
        <v/>
      </c>
      <c r="M66" s="23" t="str">
        <f>IF(C66="","",[1]!hks_stm_is(C66,"1077",F66,1,"",100000000))</f>
        <v/>
      </c>
      <c r="N66" s="23" t="str">
        <f>IF(C66="","",[1]!hks_stm_is(C66,"1030",F66,1,"",100000000))</f>
        <v/>
      </c>
      <c r="O66" s="23" t="str">
        <f>IF(C66="","",[1]!hks_fa_ebit(C66,F66,1,"",100000000))</f>
        <v/>
      </c>
      <c r="P66" s="25" t="str">
        <f>IF(C66="","",[1]!hks_fa_ebitda(C66,F66,1,"",100000000))</f>
        <v/>
      </c>
      <c r="Q66" s="25" t="str">
        <f>IF(C66="","",[1]!hks_stm_bs(C66,"9",F66,1,"",100000000))</f>
        <v/>
      </c>
      <c r="R66" s="25" t="str">
        <f>IF(C66="","",[1]!hks_stm_bs(C66,"25",F66,1,"",100000000))</f>
        <v/>
      </c>
      <c r="S66" s="25" t="str">
        <f>IF(C66="","",[1]!hks_stm_bs(C66,"1088",F66,1,"",100000000))</f>
        <v/>
      </c>
      <c r="T66" s="25" t="str">
        <f>IF(C66="","",[1]!hks_stm_bs(C66,"46",F66,1,"",100000000))</f>
        <v/>
      </c>
      <c r="U66" s="25" t="str">
        <f>IF(C66="","",[1]!hks_stm_bs(C66,"29",F66,1,"",100000000))</f>
        <v/>
      </c>
      <c r="V66" s="25" t="str">
        <f>IF(C66="","",[1]!hks_stm_bs(C66,"74",F66,1,"",100000000))</f>
        <v/>
      </c>
      <c r="W66" s="25" t="str">
        <f>IF(C66="","",[1]!hks_stm_bs(C66,"93",F66,1,"",100000000))</f>
        <v/>
      </c>
      <c r="X66" s="25" t="str">
        <f>IF(C66="","",[1]!hks_stm_bs(C66,"1017",F66,1,"",100000000))</f>
        <v/>
      </c>
      <c r="Y66" s="25" t="str">
        <f>IF(C66="","",[1]!hks_stm_bs(C66,"128",F66,1,"",100000000))</f>
        <v/>
      </c>
      <c r="Z66" s="25" t="str">
        <f>IF(C66="","",[1]!hks_stm_bs(C66,"145",F66,1,"",100000000))</f>
        <v/>
      </c>
      <c r="AA66" s="25" t="str">
        <f>IF(C66="","",[1]!hks_stm_bs(C66,"140",F66,1,"",100000000))</f>
        <v/>
      </c>
      <c r="AB66" s="25" t="str">
        <f>IF(C66="","",[1]!hks_stm_cs(C66,"39",F66,1,"",100000000))</f>
        <v/>
      </c>
      <c r="AC66" s="25" t="str">
        <f>IF(C66="","",[1]!hks_stm_cs(C66,"1020",F66,1,"",100000000))</f>
        <v/>
      </c>
      <c r="AD66" s="25" t="str">
        <f>IF(C66="","",[1]!hks_stm_cs(C66,"59",F66,1,"",100000000))</f>
        <v/>
      </c>
      <c r="AE66" s="25" t="str">
        <f>IF(C66="","",[1]!hks_stm_cs(C66,"77",F66,1,"",100000000))</f>
        <v/>
      </c>
      <c r="AF66" s="25" t="str">
        <f>IF(C66="","",[1]!hks_stm_cs(C66,"82",F66,1,"",100000000))</f>
        <v/>
      </c>
      <c r="AG66" s="25" t="str">
        <f>IF(C66="","",[1]!hks_stm_cs(C66,"84",F66,1,"",100000000))</f>
        <v/>
      </c>
      <c r="AH66" s="35"/>
    </row>
    <row r="67" spans="1:34" s="36" customFormat="1" ht="16.5" x14ac:dyDescent="0.2">
      <c r="A67" s="2"/>
      <c r="B67" s="6"/>
      <c r="C67" s="28" t="str">
        <f>IF(表1[[#This Row],[列1]]="","",表1[[#This Row],[列1]])</f>
        <v/>
      </c>
      <c r="D67" s="19" t="str">
        <f>IF(C67="","",[1]!hks_info_name(C67))</f>
        <v/>
      </c>
      <c r="E67" s="18" t="str">
        <f ca="1">IF(C67="","",[1]!lastradeday_s(C67,TODAY()))</f>
        <v/>
      </c>
      <c r="F67" s="19" t="str">
        <f>IF(C67="","",IF(OR([1]!s_stm_rpt_e(C67,基本资料!$I$8,0)="#N/A",[1]!s_stm_rpt_e(C67,基本资料!$I$8,0)="",[1]!s_stm_rpt_e(C67,基本资料!$I$8,0)=0),[1]!s_stm_rpt_e(C67,基本资料!$I$9,0),[1]!s_stm_rpt_e(C67,基本资料!$I$8,0)))</f>
        <v/>
      </c>
      <c r="G67" s="19" t="str">
        <f>IF(C67="","",[1]!hks_info_cur2(C67,F67))</f>
        <v/>
      </c>
      <c r="H67" s="27" t="str">
        <f>IF(C67="","",[1]!hks_stm_is(C67,"83",F67,1,"",100000000))</f>
        <v/>
      </c>
      <c r="I67" s="23" t="str">
        <f>IF(C67="","",[1]!hks_stm_is(C67,"1032",F67,1,"",100000000))</f>
        <v/>
      </c>
      <c r="J67" s="23" t="str">
        <f>IF(C67="","",[1]!hks_stm_is(C67,"1041",F67,1,"",100000000))</f>
        <v/>
      </c>
      <c r="K67" s="23" t="str">
        <f>IF(C67="","",[1]!hks_stm_is(C67,"61",F67,1,"",100000000))</f>
        <v/>
      </c>
      <c r="L67" s="23" t="str">
        <f>IF(C67="","",[1]!hks_stm_is(C67,"1075",F67,1,"",100000000))</f>
        <v/>
      </c>
      <c r="M67" s="23" t="str">
        <f>IF(C67="","",[1]!hks_stm_is(C67,"1077",F67,1,"",100000000))</f>
        <v/>
      </c>
      <c r="N67" s="23" t="str">
        <f>IF(C67="","",[1]!hks_stm_is(C67,"1030",F67,1,"",100000000))</f>
        <v/>
      </c>
      <c r="O67" s="23" t="str">
        <f>IF(C67="","",[1]!hks_fa_ebit(C67,F67,1,"",100000000))</f>
        <v/>
      </c>
      <c r="P67" s="25" t="str">
        <f>IF(C67="","",[1]!hks_fa_ebitda(C67,F67,1,"",100000000))</f>
        <v/>
      </c>
      <c r="Q67" s="25" t="str">
        <f>IF(C67="","",[1]!hks_stm_bs(C67,"9",F67,1,"",100000000))</f>
        <v/>
      </c>
      <c r="R67" s="25" t="str">
        <f>IF(C67="","",[1]!hks_stm_bs(C67,"25",F67,1,"",100000000))</f>
        <v/>
      </c>
      <c r="S67" s="25" t="str">
        <f>IF(C67="","",[1]!hks_stm_bs(C67,"1088",F67,1,"",100000000))</f>
        <v/>
      </c>
      <c r="T67" s="25" t="str">
        <f>IF(C67="","",[1]!hks_stm_bs(C67,"46",F67,1,"",100000000))</f>
        <v/>
      </c>
      <c r="U67" s="25" t="str">
        <f>IF(C67="","",[1]!hks_stm_bs(C67,"29",F67,1,"",100000000))</f>
        <v/>
      </c>
      <c r="V67" s="25" t="str">
        <f>IF(C67="","",[1]!hks_stm_bs(C67,"74",F67,1,"",100000000))</f>
        <v/>
      </c>
      <c r="W67" s="25" t="str">
        <f>IF(C67="","",[1]!hks_stm_bs(C67,"93",F67,1,"",100000000))</f>
        <v/>
      </c>
      <c r="X67" s="25" t="str">
        <f>IF(C67="","",[1]!hks_stm_bs(C67,"1017",F67,1,"",100000000))</f>
        <v/>
      </c>
      <c r="Y67" s="25" t="str">
        <f>IF(C67="","",[1]!hks_stm_bs(C67,"128",F67,1,"",100000000))</f>
        <v/>
      </c>
      <c r="Z67" s="25" t="str">
        <f>IF(C67="","",[1]!hks_stm_bs(C67,"145",F67,1,"",100000000))</f>
        <v/>
      </c>
      <c r="AA67" s="25" t="str">
        <f>IF(C67="","",[1]!hks_stm_bs(C67,"140",F67,1,"",100000000))</f>
        <v/>
      </c>
      <c r="AB67" s="25" t="str">
        <f>IF(C67="","",[1]!hks_stm_cs(C67,"39",F67,1,"",100000000))</f>
        <v/>
      </c>
      <c r="AC67" s="25" t="str">
        <f>IF(C67="","",[1]!hks_stm_cs(C67,"1020",F67,1,"",100000000))</f>
        <v/>
      </c>
      <c r="AD67" s="25" t="str">
        <f>IF(C67="","",[1]!hks_stm_cs(C67,"59",F67,1,"",100000000))</f>
        <v/>
      </c>
      <c r="AE67" s="25" t="str">
        <f>IF(C67="","",[1]!hks_stm_cs(C67,"77",F67,1,"",100000000))</f>
        <v/>
      </c>
      <c r="AF67" s="25" t="str">
        <f>IF(C67="","",[1]!hks_stm_cs(C67,"82",F67,1,"",100000000))</f>
        <v/>
      </c>
      <c r="AG67" s="25" t="str">
        <f>IF(C67="","",[1]!hks_stm_cs(C67,"84",F67,1,"",100000000))</f>
        <v/>
      </c>
      <c r="AH67" s="35"/>
    </row>
    <row r="68" spans="1:34" s="36" customFormat="1" ht="16.5" x14ac:dyDescent="0.2">
      <c r="A68" s="2"/>
      <c r="B68" s="6"/>
      <c r="C68" s="28" t="str">
        <f>IF(表1[[#This Row],[列1]]="","",表1[[#This Row],[列1]])</f>
        <v/>
      </c>
      <c r="D68" s="19" t="str">
        <f>IF(C68="","",[1]!hks_info_name(C68))</f>
        <v/>
      </c>
      <c r="E68" s="18" t="str">
        <f ca="1">IF(C68="","",[1]!lastradeday_s(C68,TODAY()))</f>
        <v/>
      </c>
      <c r="F68" s="19" t="str">
        <f>IF(C68="","",IF(OR([1]!s_stm_rpt_e(C68,基本资料!$I$8,0)="#N/A",[1]!s_stm_rpt_e(C68,基本资料!$I$8,0)="",[1]!s_stm_rpt_e(C68,基本资料!$I$8,0)=0),[1]!s_stm_rpt_e(C68,基本资料!$I$9,0),[1]!s_stm_rpt_e(C68,基本资料!$I$8,0)))</f>
        <v/>
      </c>
      <c r="G68" s="19" t="str">
        <f>IF(C68="","",[1]!hks_info_cur2(C68,F68))</f>
        <v/>
      </c>
      <c r="H68" s="27" t="str">
        <f>IF(C68="","",[1]!hks_stm_is(C68,"83",F68,1,"",100000000))</f>
        <v/>
      </c>
      <c r="I68" s="23" t="str">
        <f>IF(C68="","",[1]!hks_stm_is(C68,"1032",F68,1,"",100000000))</f>
        <v/>
      </c>
      <c r="J68" s="23" t="str">
        <f>IF(C68="","",[1]!hks_stm_is(C68,"1041",F68,1,"",100000000))</f>
        <v/>
      </c>
      <c r="K68" s="23" t="str">
        <f>IF(C68="","",[1]!hks_stm_is(C68,"61",F68,1,"",100000000))</f>
        <v/>
      </c>
      <c r="L68" s="23" t="str">
        <f>IF(C68="","",[1]!hks_stm_is(C68,"1075",F68,1,"",100000000))</f>
        <v/>
      </c>
      <c r="M68" s="23" t="str">
        <f>IF(C68="","",[1]!hks_stm_is(C68,"1077",F68,1,"",100000000))</f>
        <v/>
      </c>
      <c r="N68" s="23" t="str">
        <f>IF(C68="","",[1]!hks_stm_is(C68,"1030",F68,1,"",100000000))</f>
        <v/>
      </c>
      <c r="O68" s="23" t="str">
        <f>IF(C68="","",[1]!hks_fa_ebit(C68,F68,1,"",100000000))</f>
        <v/>
      </c>
      <c r="P68" s="25" t="str">
        <f>IF(C68="","",[1]!hks_fa_ebitda(C68,F68,1,"",100000000))</f>
        <v/>
      </c>
      <c r="Q68" s="25" t="str">
        <f>IF(C68="","",[1]!hks_stm_bs(C68,"9",F68,1,"",100000000))</f>
        <v/>
      </c>
      <c r="R68" s="25" t="str">
        <f>IF(C68="","",[1]!hks_stm_bs(C68,"25",F68,1,"",100000000))</f>
        <v/>
      </c>
      <c r="S68" s="25" t="str">
        <f>IF(C68="","",[1]!hks_stm_bs(C68,"1088",F68,1,"",100000000))</f>
        <v/>
      </c>
      <c r="T68" s="25" t="str">
        <f>IF(C68="","",[1]!hks_stm_bs(C68,"46",F68,1,"",100000000))</f>
        <v/>
      </c>
      <c r="U68" s="25" t="str">
        <f>IF(C68="","",[1]!hks_stm_bs(C68,"29",F68,1,"",100000000))</f>
        <v/>
      </c>
      <c r="V68" s="25" t="str">
        <f>IF(C68="","",[1]!hks_stm_bs(C68,"74",F68,1,"",100000000))</f>
        <v/>
      </c>
      <c r="W68" s="25" t="str">
        <f>IF(C68="","",[1]!hks_stm_bs(C68,"93",F68,1,"",100000000))</f>
        <v/>
      </c>
      <c r="X68" s="25" t="str">
        <f>IF(C68="","",[1]!hks_stm_bs(C68,"1017",F68,1,"",100000000))</f>
        <v/>
      </c>
      <c r="Y68" s="25" t="str">
        <f>IF(C68="","",[1]!hks_stm_bs(C68,"128",F68,1,"",100000000))</f>
        <v/>
      </c>
      <c r="Z68" s="25" t="str">
        <f>IF(C68="","",[1]!hks_stm_bs(C68,"145",F68,1,"",100000000))</f>
        <v/>
      </c>
      <c r="AA68" s="25" t="str">
        <f>IF(C68="","",[1]!hks_stm_bs(C68,"140",F68,1,"",100000000))</f>
        <v/>
      </c>
      <c r="AB68" s="25" t="str">
        <f>IF(C68="","",[1]!hks_stm_cs(C68,"39",F68,1,"",100000000))</f>
        <v/>
      </c>
      <c r="AC68" s="25" t="str">
        <f>IF(C68="","",[1]!hks_stm_cs(C68,"1020",F68,1,"",100000000))</f>
        <v/>
      </c>
      <c r="AD68" s="25" t="str">
        <f>IF(C68="","",[1]!hks_stm_cs(C68,"59",F68,1,"",100000000))</f>
        <v/>
      </c>
      <c r="AE68" s="25" t="str">
        <f>IF(C68="","",[1]!hks_stm_cs(C68,"77",F68,1,"",100000000))</f>
        <v/>
      </c>
      <c r="AF68" s="25" t="str">
        <f>IF(C68="","",[1]!hks_stm_cs(C68,"82",F68,1,"",100000000))</f>
        <v/>
      </c>
      <c r="AG68" s="25" t="str">
        <f>IF(C68="","",[1]!hks_stm_cs(C68,"84",F68,1,"",100000000))</f>
        <v/>
      </c>
      <c r="AH68" s="35"/>
    </row>
    <row r="69" spans="1:34" s="36" customFormat="1" ht="16.5" x14ac:dyDescent="0.2">
      <c r="A69" s="2"/>
      <c r="B69" s="6"/>
      <c r="C69" s="28" t="str">
        <f>IF(表1[[#This Row],[列1]]="","",表1[[#This Row],[列1]])</f>
        <v/>
      </c>
      <c r="D69" s="19" t="str">
        <f>IF(C69="","",[1]!hks_info_name(C69))</f>
        <v/>
      </c>
      <c r="E69" s="18" t="str">
        <f ca="1">IF(C69="","",[1]!lastradeday_s(C69,TODAY()))</f>
        <v/>
      </c>
      <c r="F69" s="19" t="str">
        <f>IF(C69="","",IF(OR([1]!s_stm_rpt_e(C69,基本资料!$I$8,0)="#N/A",[1]!s_stm_rpt_e(C69,基本资料!$I$8,0)="",[1]!s_stm_rpt_e(C69,基本资料!$I$8,0)=0),[1]!s_stm_rpt_e(C69,基本资料!$I$9,0),[1]!s_stm_rpt_e(C69,基本资料!$I$8,0)))</f>
        <v/>
      </c>
      <c r="G69" s="19" t="str">
        <f>IF(C69="","",[1]!hks_info_cur2(C69,F69))</f>
        <v/>
      </c>
      <c r="H69" s="27" t="str">
        <f>IF(C69="","",[1]!hks_stm_is(C69,"83",F69,1,"",100000000))</f>
        <v/>
      </c>
      <c r="I69" s="23" t="str">
        <f>IF(C69="","",[1]!hks_stm_is(C69,"1032",F69,1,"",100000000))</f>
        <v/>
      </c>
      <c r="J69" s="23" t="str">
        <f>IF(C69="","",[1]!hks_stm_is(C69,"1041",F69,1,"",100000000))</f>
        <v/>
      </c>
      <c r="K69" s="23" t="str">
        <f>IF(C69="","",[1]!hks_stm_is(C69,"61",F69,1,"",100000000))</f>
        <v/>
      </c>
      <c r="L69" s="23" t="str">
        <f>IF(C69="","",[1]!hks_stm_is(C69,"1075",F69,1,"",100000000))</f>
        <v/>
      </c>
      <c r="M69" s="23" t="str">
        <f>IF(C69="","",[1]!hks_stm_is(C69,"1077",F69,1,"",100000000))</f>
        <v/>
      </c>
      <c r="N69" s="23" t="str">
        <f>IF(C69="","",[1]!hks_stm_is(C69,"1030",F69,1,"",100000000))</f>
        <v/>
      </c>
      <c r="O69" s="23" t="str">
        <f>IF(C69="","",[1]!hks_fa_ebit(C69,F69,1,"",100000000))</f>
        <v/>
      </c>
      <c r="P69" s="25" t="str">
        <f>IF(C69="","",[1]!hks_fa_ebitda(C69,F69,1,"",100000000))</f>
        <v/>
      </c>
      <c r="Q69" s="25" t="str">
        <f>IF(C69="","",[1]!hks_stm_bs(C69,"9",F69,1,"",100000000))</f>
        <v/>
      </c>
      <c r="R69" s="25" t="str">
        <f>IF(C69="","",[1]!hks_stm_bs(C69,"25",F69,1,"",100000000))</f>
        <v/>
      </c>
      <c r="S69" s="25" t="str">
        <f>IF(C69="","",[1]!hks_stm_bs(C69,"1088",F69,1,"",100000000))</f>
        <v/>
      </c>
      <c r="T69" s="25" t="str">
        <f>IF(C69="","",[1]!hks_stm_bs(C69,"46",F69,1,"",100000000))</f>
        <v/>
      </c>
      <c r="U69" s="25" t="str">
        <f>IF(C69="","",[1]!hks_stm_bs(C69,"29",F69,1,"",100000000))</f>
        <v/>
      </c>
      <c r="V69" s="25" t="str">
        <f>IF(C69="","",[1]!hks_stm_bs(C69,"74",F69,1,"",100000000))</f>
        <v/>
      </c>
      <c r="W69" s="25" t="str">
        <f>IF(C69="","",[1]!hks_stm_bs(C69,"93",F69,1,"",100000000))</f>
        <v/>
      </c>
      <c r="X69" s="25" t="str">
        <f>IF(C69="","",[1]!hks_stm_bs(C69,"1017",F69,1,"",100000000))</f>
        <v/>
      </c>
      <c r="Y69" s="25" t="str">
        <f>IF(C69="","",[1]!hks_stm_bs(C69,"128",F69,1,"",100000000))</f>
        <v/>
      </c>
      <c r="Z69" s="25" t="str">
        <f>IF(C69="","",[1]!hks_stm_bs(C69,"145",F69,1,"",100000000))</f>
        <v/>
      </c>
      <c r="AA69" s="25" t="str">
        <f>IF(C69="","",[1]!hks_stm_bs(C69,"140",F69,1,"",100000000))</f>
        <v/>
      </c>
      <c r="AB69" s="25" t="str">
        <f>IF(C69="","",[1]!hks_stm_cs(C69,"39",F69,1,"",100000000))</f>
        <v/>
      </c>
      <c r="AC69" s="25" t="str">
        <f>IF(C69="","",[1]!hks_stm_cs(C69,"1020",F69,1,"",100000000))</f>
        <v/>
      </c>
      <c r="AD69" s="25" t="str">
        <f>IF(C69="","",[1]!hks_stm_cs(C69,"59",F69,1,"",100000000))</f>
        <v/>
      </c>
      <c r="AE69" s="25" t="str">
        <f>IF(C69="","",[1]!hks_stm_cs(C69,"77",F69,1,"",100000000))</f>
        <v/>
      </c>
      <c r="AF69" s="25" t="str">
        <f>IF(C69="","",[1]!hks_stm_cs(C69,"82",F69,1,"",100000000))</f>
        <v/>
      </c>
      <c r="AG69" s="25" t="str">
        <f>IF(C69="","",[1]!hks_stm_cs(C69,"84",F69,1,"",100000000))</f>
        <v/>
      </c>
      <c r="AH69" s="35"/>
    </row>
    <row r="70" spans="1:34" s="36" customFormat="1" ht="16.5" x14ac:dyDescent="0.2">
      <c r="A70" s="2"/>
      <c r="B70" s="6"/>
      <c r="C70" s="28" t="str">
        <f>IF(表1[[#This Row],[列1]]="","",表1[[#This Row],[列1]])</f>
        <v/>
      </c>
      <c r="D70" s="19" t="str">
        <f>IF(C70="","",[1]!hks_info_name(C70))</f>
        <v/>
      </c>
      <c r="E70" s="18" t="str">
        <f ca="1">IF(C70="","",[1]!lastradeday_s(C70,TODAY()))</f>
        <v/>
      </c>
      <c r="F70" s="19" t="str">
        <f>IF(C70="","",IF(OR([1]!s_stm_rpt_e(C70,基本资料!$I$8,0)="#N/A",[1]!s_stm_rpt_e(C70,基本资料!$I$8,0)="",[1]!s_stm_rpt_e(C70,基本资料!$I$8,0)=0),[1]!s_stm_rpt_e(C70,基本资料!$I$9,0),[1]!s_stm_rpt_e(C70,基本资料!$I$8,0)))</f>
        <v/>
      </c>
      <c r="G70" s="19" t="str">
        <f>IF(C70="","",[1]!hks_info_cur2(C70,F70))</f>
        <v/>
      </c>
      <c r="H70" s="27" t="str">
        <f>IF(C70="","",[1]!hks_stm_is(C70,"83",F70,1,"",100000000))</f>
        <v/>
      </c>
      <c r="I70" s="23" t="str">
        <f>IF(C70="","",[1]!hks_stm_is(C70,"1032",F70,1,"",100000000))</f>
        <v/>
      </c>
      <c r="J70" s="23" t="str">
        <f>IF(C70="","",[1]!hks_stm_is(C70,"1041",F70,1,"",100000000))</f>
        <v/>
      </c>
      <c r="K70" s="23" t="str">
        <f>IF(C70="","",[1]!hks_stm_is(C70,"61",F70,1,"",100000000))</f>
        <v/>
      </c>
      <c r="L70" s="23" t="str">
        <f>IF(C70="","",[1]!hks_stm_is(C70,"1075",F70,1,"",100000000))</f>
        <v/>
      </c>
      <c r="M70" s="23" t="str">
        <f>IF(C70="","",[1]!hks_stm_is(C70,"1077",F70,1,"",100000000))</f>
        <v/>
      </c>
      <c r="N70" s="23" t="str">
        <f>IF(C70="","",[1]!hks_stm_is(C70,"1030",F70,1,"",100000000))</f>
        <v/>
      </c>
      <c r="O70" s="23" t="str">
        <f>IF(C70="","",[1]!hks_fa_ebit(C70,F70,1,"",100000000))</f>
        <v/>
      </c>
      <c r="P70" s="25" t="str">
        <f>IF(C70="","",[1]!hks_fa_ebitda(C70,F70,1,"",100000000))</f>
        <v/>
      </c>
      <c r="Q70" s="25" t="str">
        <f>IF(C70="","",[1]!hks_stm_bs(C70,"9",F70,1,"",100000000))</f>
        <v/>
      </c>
      <c r="R70" s="25" t="str">
        <f>IF(C70="","",[1]!hks_stm_bs(C70,"25",F70,1,"",100000000))</f>
        <v/>
      </c>
      <c r="S70" s="25" t="str">
        <f>IF(C70="","",[1]!hks_stm_bs(C70,"1088",F70,1,"",100000000))</f>
        <v/>
      </c>
      <c r="T70" s="25" t="str">
        <f>IF(C70="","",[1]!hks_stm_bs(C70,"46",F70,1,"",100000000))</f>
        <v/>
      </c>
      <c r="U70" s="25" t="str">
        <f>IF(C70="","",[1]!hks_stm_bs(C70,"29",F70,1,"",100000000))</f>
        <v/>
      </c>
      <c r="V70" s="25" t="str">
        <f>IF(C70="","",[1]!hks_stm_bs(C70,"74",F70,1,"",100000000))</f>
        <v/>
      </c>
      <c r="W70" s="25" t="str">
        <f>IF(C70="","",[1]!hks_stm_bs(C70,"93",F70,1,"",100000000))</f>
        <v/>
      </c>
      <c r="X70" s="25" t="str">
        <f>IF(C70="","",[1]!hks_stm_bs(C70,"1017",F70,1,"",100000000))</f>
        <v/>
      </c>
      <c r="Y70" s="25" t="str">
        <f>IF(C70="","",[1]!hks_stm_bs(C70,"128",F70,1,"",100000000))</f>
        <v/>
      </c>
      <c r="Z70" s="25" t="str">
        <f>IF(C70="","",[1]!hks_stm_bs(C70,"145",F70,1,"",100000000))</f>
        <v/>
      </c>
      <c r="AA70" s="25" t="str">
        <f>IF(C70="","",[1]!hks_stm_bs(C70,"140",F70,1,"",100000000))</f>
        <v/>
      </c>
      <c r="AB70" s="25" t="str">
        <f>IF(C70="","",[1]!hks_stm_cs(C70,"39",F70,1,"",100000000))</f>
        <v/>
      </c>
      <c r="AC70" s="25" t="str">
        <f>IF(C70="","",[1]!hks_stm_cs(C70,"1020",F70,1,"",100000000))</f>
        <v/>
      </c>
      <c r="AD70" s="25" t="str">
        <f>IF(C70="","",[1]!hks_stm_cs(C70,"59",F70,1,"",100000000))</f>
        <v/>
      </c>
      <c r="AE70" s="25" t="str">
        <f>IF(C70="","",[1]!hks_stm_cs(C70,"77",F70,1,"",100000000))</f>
        <v/>
      </c>
      <c r="AF70" s="25" t="str">
        <f>IF(C70="","",[1]!hks_stm_cs(C70,"82",F70,1,"",100000000))</f>
        <v/>
      </c>
      <c r="AG70" s="25" t="str">
        <f>IF(C70="","",[1]!hks_stm_cs(C70,"84",F70,1,"",100000000))</f>
        <v/>
      </c>
      <c r="AH70" s="35"/>
    </row>
    <row r="71" spans="1:34" s="36" customFormat="1" ht="16.5" x14ac:dyDescent="0.2">
      <c r="A71" s="2"/>
      <c r="B71" s="6"/>
      <c r="C71" s="28" t="str">
        <f>IF(表1[[#This Row],[列1]]="","",表1[[#This Row],[列1]])</f>
        <v/>
      </c>
      <c r="D71" s="19" t="str">
        <f>IF(C71="","",[1]!hks_info_name(C71))</f>
        <v/>
      </c>
      <c r="E71" s="18" t="str">
        <f ca="1">IF(C71="","",[1]!lastradeday_s(C71,TODAY()))</f>
        <v/>
      </c>
      <c r="F71" s="19" t="str">
        <f>IF(C71="","",IF(OR([1]!s_stm_rpt_e(C71,基本资料!$I$8,0)="#N/A",[1]!s_stm_rpt_e(C71,基本资料!$I$8,0)="",[1]!s_stm_rpt_e(C71,基本资料!$I$8,0)=0),[1]!s_stm_rpt_e(C71,基本资料!$I$9,0),[1]!s_stm_rpt_e(C71,基本资料!$I$8,0)))</f>
        <v/>
      </c>
      <c r="G71" s="19" t="str">
        <f>IF(C71="","",[1]!hks_info_cur2(C71,F71))</f>
        <v/>
      </c>
      <c r="H71" s="27" t="str">
        <f>IF(C71="","",[1]!hks_stm_is(C71,"83",F71,1,"",100000000))</f>
        <v/>
      </c>
      <c r="I71" s="23" t="str">
        <f>IF(C71="","",[1]!hks_stm_is(C71,"1032",F71,1,"",100000000))</f>
        <v/>
      </c>
      <c r="J71" s="23" t="str">
        <f>IF(C71="","",[1]!hks_stm_is(C71,"1041",F71,1,"",100000000))</f>
        <v/>
      </c>
      <c r="K71" s="23" t="str">
        <f>IF(C71="","",[1]!hks_stm_is(C71,"61",F71,1,"",100000000))</f>
        <v/>
      </c>
      <c r="L71" s="23" t="str">
        <f>IF(C71="","",[1]!hks_stm_is(C71,"1075",F71,1,"",100000000))</f>
        <v/>
      </c>
      <c r="M71" s="23" t="str">
        <f>IF(C71="","",[1]!hks_stm_is(C71,"1077",F71,1,"",100000000))</f>
        <v/>
      </c>
      <c r="N71" s="23" t="str">
        <f>IF(C71="","",[1]!hks_stm_is(C71,"1030",F71,1,"",100000000))</f>
        <v/>
      </c>
      <c r="O71" s="23" t="str">
        <f>IF(C71="","",[1]!hks_fa_ebit(C71,F71,1,"",100000000))</f>
        <v/>
      </c>
      <c r="P71" s="25" t="str">
        <f>IF(C71="","",[1]!hks_fa_ebitda(C71,F71,1,"",100000000))</f>
        <v/>
      </c>
      <c r="Q71" s="25" t="str">
        <f>IF(C71="","",[1]!hks_stm_bs(C71,"9",F71,1,"",100000000))</f>
        <v/>
      </c>
      <c r="R71" s="25" t="str">
        <f>IF(C71="","",[1]!hks_stm_bs(C71,"25",F71,1,"",100000000))</f>
        <v/>
      </c>
      <c r="S71" s="25" t="str">
        <f>IF(C71="","",[1]!hks_stm_bs(C71,"1088",F71,1,"",100000000))</f>
        <v/>
      </c>
      <c r="T71" s="25" t="str">
        <f>IF(C71="","",[1]!hks_stm_bs(C71,"46",F71,1,"",100000000))</f>
        <v/>
      </c>
      <c r="U71" s="25" t="str">
        <f>IF(C71="","",[1]!hks_stm_bs(C71,"29",F71,1,"",100000000))</f>
        <v/>
      </c>
      <c r="V71" s="25" t="str">
        <f>IF(C71="","",[1]!hks_stm_bs(C71,"74",F71,1,"",100000000))</f>
        <v/>
      </c>
      <c r="W71" s="25" t="str">
        <f>IF(C71="","",[1]!hks_stm_bs(C71,"93",F71,1,"",100000000))</f>
        <v/>
      </c>
      <c r="X71" s="25" t="str">
        <f>IF(C71="","",[1]!hks_stm_bs(C71,"1017",F71,1,"",100000000))</f>
        <v/>
      </c>
      <c r="Y71" s="25" t="str">
        <f>IF(C71="","",[1]!hks_stm_bs(C71,"128",F71,1,"",100000000))</f>
        <v/>
      </c>
      <c r="Z71" s="25" t="str">
        <f>IF(C71="","",[1]!hks_stm_bs(C71,"145",F71,1,"",100000000))</f>
        <v/>
      </c>
      <c r="AA71" s="25" t="str">
        <f>IF(C71="","",[1]!hks_stm_bs(C71,"140",F71,1,"",100000000))</f>
        <v/>
      </c>
      <c r="AB71" s="25" t="str">
        <f>IF(C71="","",[1]!hks_stm_cs(C71,"39",F71,1,"",100000000))</f>
        <v/>
      </c>
      <c r="AC71" s="25" t="str">
        <f>IF(C71="","",[1]!hks_stm_cs(C71,"1020",F71,1,"",100000000))</f>
        <v/>
      </c>
      <c r="AD71" s="25" t="str">
        <f>IF(C71="","",[1]!hks_stm_cs(C71,"59",F71,1,"",100000000))</f>
        <v/>
      </c>
      <c r="AE71" s="25" t="str">
        <f>IF(C71="","",[1]!hks_stm_cs(C71,"77",F71,1,"",100000000))</f>
        <v/>
      </c>
      <c r="AF71" s="25" t="str">
        <f>IF(C71="","",[1]!hks_stm_cs(C71,"82",F71,1,"",100000000))</f>
        <v/>
      </c>
      <c r="AG71" s="25" t="str">
        <f>IF(C71="","",[1]!hks_stm_cs(C71,"84",F71,1,"",100000000))</f>
        <v/>
      </c>
      <c r="AH71" s="35"/>
    </row>
    <row r="72" spans="1:34" s="36" customFormat="1" ht="16.5" x14ac:dyDescent="0.2">
      <c r="A72" s="2"/>
      <c r="B72" s="6"/>
      <c r="C72" s="28" t="str">
        <f>IF(表1[[#This Row],[列1]]="","",表1[[#This Row],[列1]])</f>
        <v/>
      </c>
      <c r="D72" s="19" t="str">
        <f>IF(C72="","",[1]!hks_info_name(C72))</f>
        <v/>
      </c>
      <c r="E72" s="18" t="str">
        <f ca="1">IF(C72="","",[1]!lastradeday_s(C72,TODAY()))</f>
        <v/>
      </c>
      <c r="F72" s="19" t="str">
        <f>IF(C72="","",IF(OR([1]!s_stm_rpt_e(C72,基本资料!$I$8,0)="#N/A",[1]!s_stm_rpt_e(C72,基本资料!$I$8,0)="",[1]!s_stm_rpt_e(C72,基本资料!$I$8,0)=0),[1]!s_stm_rpt_e(C72,基本资料!$I$9,0),[1]!s_stm_rpt_e(C72,基本资料!$I$8,0)))</f>
        <v/>
      </c>
      <c r="G72" s="19" t="str">
        <f>IF(C72="","",[1]!hks_info_cur2(C72,F72))</f>
        <v/>
      </c>
      <c r="H72" s="27" t="str">
        <f>IF(C72="","",[1]!hks_stm_is(C72,"83",F72,1,"",100000000))</f>
        <v/>
      </c>
      <c r="I72" s="23" t="str">
        <f>IF(C72="","",[1]!hks_stm_is(C72,"1032",F72,1,"",100000000))</f>
        <v/>
      </c>
      <c r="J72" s="23" t="str">
        <f>IF(C72="","",[1]!hks_stm_is(C72,"1041",F72,1,"",100000000))</f>
        <v/>
      </c>
      <c r="K72" s="23" t="str">
        <f>IF(C72="","",[1]!hks_stm_is(C72,"61",F72,1,"",100000000))</f>
        <v/>
      </c>
      <c r="L72" s="23" t="str">
        <f>IF(C72="","",[1]!hks_stm_is(C72,"1075",F72,1,"",100000000))</f>
        <v/>
      </c>
      <c r="M72" s="23" t="str">
        <f>IF(C72="","",[1]!hks_stm_is(C72,"1077",F72,1,"",100000000))</f>
        <v/>
      </c>
      <c r="N72" s="23" t="str">
        <f>IF(C72="","",[1]!hks_stm_is(C72,"1030",F72,1,"",100000000))</f>
        <v/>
      </c>
      <c r="O72" s="23" t="str">
        <f>IF(C72="","",[1]!hks_fa_ebit(C72,F72,1,"",100000000))</f>
        <v/>
      </c>
      <c r="P72" s="25" t="str">
        <f>IF(C72="","",[1]!hks_fa_ebitda(C72,F72,1,"",100000000))</f>
        <v/>
      </c>
      <c r="Q72" s="25" t="str">
        <f>IF(C72="","",[1]!hks_stm_bs(C72,"9",F72,1,"",100000000))</f>
        <v/>
      </c>
      <c r="R72" s="25" t="str">
        <f>IF(C72="","",[1]!hks_stm_bs(C72,"25",F72,1,"",100000000))</f>
        <v/>
      </c>
      <c r="S72" s="25" t="str">
        <f>IF(C72="","",[1]!hks_stm_bs(C72,"1088",F72,1,"",100000000))</f>
        <v/>
      </c>
      <c r="T72" s="25" t="str">
        <f>IF(C72="","",[1]!hks_stm_bs(C72,"46",F72,1,"",100000000))</f>
        <v/>
      </c>
      <c r="U72" s="25" t="str">
        <f>IF(C72="","",[1]!hks_stm_bs(C72,"29",F72,1,"",100000000))</f>
        <v/>
      </c>
      <c r="V72" s="25" t="str">
        <f>IF(C72="","",[1]!hks_stm_bs(C72,"74",F72,1,"",100000000))</f>
        <v/>
      </c>
      <c r="W72" s="25" t="str">
        <f>IF(C72="","",[1]!hks_stm_bs(C72,"93",F72,1,"",100000000))</f>
        <v/>
      </c>
      <c r="X72" s="25" t="str">
        <f>IF(C72="","",[1]!hks_stm_bs(C72,"1017",F72,1,"",100000000))</f>
        <v/>
      </c>
      <c r="Y72" s="25" t="str">
        <f>IF(C72="","",[1]!hks_stm_bs(C72,"128",F72,1,"",100000000))</f>
        <v/>
      </c>
      <c r="Z72" s="25" t="str">
        <f>IF(C72="","",[1]!hks_stm_bs(C72,"145",F72,1,"",100000000))</f>
        <v/>
      </c>
      <c r="AA72" s="25" t="str">
        <f>IF(C72="","",[1]!hks_stm_bs(C72,"140",F72,1,"",100000000))</f>
        <v/>
      </c>
      <c r="AB72" s="25" t="str">
        <f>IF(C72="","",[1]!hks_stm_cs(C72,"39",F72,1,"",100000000))</f>
        <v/>
      </c>
      <c r="AC72" s="25" t="str">
        <f>IF(C72="","",[1]!hks_stm_cs(C72,"1020",F72,1,"",100000000))</f>
        <v/>
      </c>
      <c r="AD72" s="25" t="str">
        <f>IF(C72="","",[1]!hks_stm_cs(C72,"59",F72,1,"",100000000))</f>
        <v/>
      </c>
      <c r="AE72" s="25" t="str">
        <f>IF(C72="","",[1]!hks_stm_cs(C72,"77",F72,1,"",100000000))</f>
        <v/>
      </c>
      <c r="AF72" s="25" t="str">
        <f>IF(C72="","",[1]!hks_stm_cs(C72,"82",F72,1,"",100000000))</f>
        <v/>
      </c>
      <c r="AG72" s="25" t="str">
        <f>IF(C72="","",[1]!hks_stm_cs(C72,"84",F72,1,"",100000000))</f>
        <v/>
      </c>
      <c r="AH72" s="35"/>
    </row>
    <row r="73" spans="1:34" s="36" customFormat="1" ht="16.5" x14ac:dyDescent="0.2">
      <c r="A73" s="2"/>
      <c r="B73" s="6"/>
      <c r="C73" s="28" t="str">
        <f>IF(表1[[#This Row],[列1]]="","",表1[[#This Row],[列1]])</f>
        <v/>
      </c>
      <c r="D73" s="19" t="str">
        <f>IF(C73="","",[1]!hks_info_name(C73))</f>
        <v/>
      </c>
      <c r="E73" s="18" t="str">
        <f ca="1">IF(C73="","",[1]!lastradeday_s(C73,TODAY()))</f>
        <v/>
      </c>
      <c r="F73" s="19" t="str">
        <f>IF(C73="","",IF(OR([1]!s_stm_rpt_e(C73,基本资料!$I$8,0)="#N/A",[1]!s_stm_rpt_e(C73,基本资料!$I$8,0)="",[1]!s_stm_rpt_e(C73,基本资料!$I$8,0)=0),[1]!s_stm_rpt_e(C73,基本资料!$I$9,0),[1]!s_stm_rpt_e(C73,基本资料!$I$8,0)))</f>
        <v/>
      </c>
      <c r="G73" s="19" t="str">
        <f>IF(C73="","",[1]!hks_info_cur2(C73,F73))</f>
        <v/>
      </c>
      <c r="H73" s="27" t="str">
        <f>IF(C73="","",[1]!hks_stm_is(C73,"83",F73,1,"",100000000))</f>
        <v/>
      </c>
      <c r="I73" s="23" t="str">
        <f>IF(C73="","",[1]!hks_stm_is(C73,"1032",F73,1,"",100000000))</f>
        <v/>
      </c>
      <c r="J73" s="23" t="str">
        <f>IF(C73="","",[1]!hks_stm_is(C73,"1041",F73,1,"",100000000))</f>
        <v/>
      </c>
      <c r="K73" s="23" t="str">
        <f>IF(C73="","",[1]!hks_stm_is(C73,"61",F73,1,"",100000000))</f>
        <v/>
      </c>
      <c r="L73" s="23" t="str">
        <f>IF(C73="","",[1]!hks_stm_is(C73,"1075",F73,1,"",100000000))</f>
        <v/>
      </c>
      <c r="M73" s="23" t="str">
        <f>IF(C73="","",[1]!hks_stm_is(C73,"1077",F73,1,"",100000000))</f>
        <v/>
      </c>
      <c r="N73" s="23" t="str">
        <f>IF(C73="","",[1]!hks_stm_is(C73,"1030",F73,1,"",100000000))</f>
        <v/>
      </c>
      <c r="O73" s="23" t="str">
        <f>IF(C73="","",[1]!hks_fa_ebit(C73,F73,1,"",100000000))</f>
        <v/>
      </c>
      <c r="P73" s="25" t="str">
        <f>IF(C73="","",[1]!hks_fa_ebitda(C73,F73,1,"",100000000))</f>
        <v/>
      </c>
      <c r="Q73" s="25" t="str">
        <f>IF(C73="","",[1]!hks_stm_bs(C73,"9",F73,1,"",100000000))</f>
        <v/>
      </c>
      <c r="R73" s="25" t="str">
        <f>IF(C73="","",[1]!hks_stm_bs(C73,"25",F73,1,"",100000000))</f>
        <v/>
      </c>
      <c r="S73" s="25" t="str">
        <f>IF(C73="","",[1]!hks_stm_bs(C73,"1088",F73,1,"",100000000))</f>
        <v/>
      </c>
      <c r="T73" s="25" t="str">
        <f>IF(C73="","",[1]!hks_stm_bs(C73,"46",F73,1,"",100000000))</f>
        <v/>
      </c>
      <c r="U73" s="25" t="str">
        <f>IF(C73="","",[1]!hks_stm_bs(C73,"29",F73,1,"",100000000))</f>
        <v/>
      </c>
      <c r="V73" s="25" t="str">
        <f>IF(C73="","",[1]!hks_stm_bs(C73,"74",F73,1,"",100000000))</f>
        <v/>
      </c>
      <c r="W73" s="25" t="str">
        <f>IF(C73="","",[1]!hks_stm_bs(C73,"93",F73,1,"",100000000))</f>
        <v/>
      </c>
      <c r="X73" s="25" t="str">
        <f>IF(C73="","",[1]!hks_stm_bs(C73,"1017",F73,1,"",100000000))</f>
        <v/>
      </c>
      <c r="Y73" s="25" t="str">
        <f>IF(C73="","",[1]!hks_stm_bs(C73,"128",F73,1,"",100000000))</f>
        <v/>
      </c>
      <c r="Z73" s="25" t="str">
        <f>IF(C73="","",[1]!hks_stm_bs(C73,"145",F73,1,"",100000000))</f>
        <v/>
      </c>
      <c r="AA73" s="25" t="str">
        <f>IF(C73="","",[1]!hks_stm_bs(C73,"140",F73,1,"",100000000))</f>
        <v/>
      </c>
      <c r="AB73" s="25" t="str">
        <f>IF(C73="","",[1]!hks_stm_cs(C73,"39",F73,1,"",100000000))</f>
        <v/>
      </c>
      <c r="AC73" s="25" t="str">
        <f>IF(C73="","",[1]!hks_stm_cs(C73,"1020",F73,1,"",100000000))</f>
        <v/>
      </c>
      <c r="AD73" s="25" t="str">
        <f>IF(C73="","",[1]!hks_stm_cs(C73,"59",F73,1,"",100000000))</f>
        <v/>
      </c>
      <c r="AE73" s="25" t="str">
        <f>IF(C73="","",[1]!hks_stm_cs(C73,"77",F73,1,"",100000000))</f>
        <v/>
      </c>
      <c r="AF73" s="25" t="str">
        <f>IF(C73="","",[1]!hks_stm_cs(C73,"82",F73,1,"",100000000))</f>
        <v/>
      </c>
      <c r="AG73" s="25" t="str">
        <f>IF(C73="","",[1]!hks_stm_cs(C73,"84",F73,1,"",100000000))</f>
        <v/>
      </c>
      <c r="AH73" s="35"/>
    </row>
    <row r="74" spans="1:34" s="36" customFormat="1" ht="16.5" x14ac:dyDescent="0.2">
      <c r="A74" s="2"/>
      <c r="B74" s="6"/>
      <c r="C74" s="28" t="str">
        <f>IF(表1[[#This Row],[列1]]="","",表1[[#This Row],[列1]])</f>
        <v/>
      </c>
      <c r="D74" s="19" t="str">
        <f>IF(C74="","",[1]!hks_info_name(C74))</f>
        <v/>
      </c>
      <c r="E74" s="18" t="str">
        <f ca="1">IF(C74="","",[1]!lastradeday_s(C74,TODAY()))</f>
        <v/>
      </c>
      <c r="F74" s="19" t="str">
        <f>IF(C74="","",IF(OR([1]!s_stm_rpt_e(C74,基本资料!$I$8,0)="#N/A",[1]!s_stm_rpt_e(C74,基本资料!$I$8,0)="",[1]!s_stm_rpt_e(C74,基本资料!$I$8,0)=0),[1]!s_stm_rpt_e(C74,基本资料!$I$9,0),[1]!s_stm_rpt_e(C74,基本资料!$I$8,0)))</f>
        <v/>
      </c>
      <c r="G74" s="19" t="str">
        <f>IF(C74="","",[1]!hks_info_cur2(C74,F74))</f>
        <v/>
      </c>
      <c r="H74" s="27" t="str">
        <f>IF(C74="","",[1]!hks_stm_is(C74,"83",F74,1,"",100000000))</f>
        <v/>
      </c>
      <c r="I74" s="23" t="str">
        <f>IF(C74="","",[1]!hks_stm_is(C74,"1032",F74,1,"",100000000))</f>
        <v/>
      </c>
      <c r="J74" s="23" t="str">
        <f>IF(C74="","",[1]!hks_stm_is(C74,"1041",F74,1,"",100000000))</f>
        <v/>
      </c>
      <c r="K74" s="23" t="str">
        <f>IF(C74="","",[1]!hks_stm_is(C74,"61",F74,1,"",100000000))</f>
        <v/>
      </c>
      <c r="L74" s="23" t="str">
        <f>IF(C74="","",[1]!hks_stm_is(C74,"1075",F74,1,"",100000000))</f>
        <v/>
      </c>
      <c r="M74" s="23" t="str">
        <f>IF(C74="","",[1]!hks_stm_is(C74,"1077",F74,1,"",100000000))</f>
        <v/>
      </c>
      <c r="N74" s="23" t="str">
        <f>IF(C74="","",[1]!hks_stm_is(C74,"1030",F74,1,"",100000000))</f>
        <v/>
      </c>
      <c r="O74" s="23" t="str">
        <f>IF(C74="","",[1]!hks_fa_ebit(C74,F74,1,"",100000000))</f>
        <v/>
      </c>
      <c r="P74" s="25" t="str">
        <f>IF(C74="","",[1]!hks_fa_ebitda(C74,F74,1,"",100000000))</f>
        <v/>
      </c>
      <c r="Q74" s="25" t="str">
        <f>IF(C74="","",[1]!hks_stm_bs(C74,"9",F74,1,"",100000000))</f>
        <v/>
      </c>
      <c r="R74" s="25" t="str">
        <f>IF(C74="","",[1]!hks_stm_bs(C74,"25",F74,1,"",100000000))</f>
        <v/>
      </c>
      <c r="S74" s="25" t="str">
        <f>IF(C74="","",[1]!hks_stm_bs(C74,"1088",F74,1,"",100000000))</f>
        <v/>
      </c>
      <c r="T74" s="25" t="str">
        <f>IF(C74="","",[1]!hks_stm_bs(C74,"46",F74,1,"",100000000))</f>
        <v/>
      </c>
      <c r="U74" s="25" t="str">
        <f>IF(C74="","",[1]!hks_stm_bs(C74,"29",F74,1,"",100000000))</f>
        <v/>
      </c>
      <c r="V74" s="25" t="str">
        <f>IF(C74="","",[1]!hks_stm_bs(C74,"74",F74,1,"",100000000))</f>
        <v/>
      </c>
      <c r="W74" s="25" t="str">
        <f>IF(C74="","",[1]!hks_stm_bs(C74,"93",F74,1,"",100000000))</f>
        <v/>
      </c>
      <c r="X74" s="25" t="str">
        <f>IF(C74="","",[1]!hks_stm_bs(C74,"1017",F74,1,"",100000000))</f>
        <v/>
      </c>
      <c r="Y74" s="25" t="str">
        <f>IF(C74="","",[1]!hks_stm_bs(C74,"128",F74,1,"",100000000))</f>
        <v/>
      </c>
      <c r="Z74" s="25" t="str">
        <f>IF(C74="","",[1]!hks_stm_bs(C74,"145",F74,1,"",100000000))</f>
        <v/>
      </c>
      <c r="AA74" s="25" t="str">
        <f>IF(C74="","",[1]!hks_stm_bs(C74,"140",F74,1,"",100000000))</f>
        <v/>
      </c>
      <c r="AB74" s="25" t="str">
        <f>IF(C74="","",[1]!hks_stm_cs(C74,"39",F74,1,"",100000000))</f>
        <v/>
      </c>
      <c r="AC74" s="25" t="str">
        <f>IF(C74="","",[1]!hks_stm_cs(C74,"1020",F74,1,"",100000000))</f>
        <v/>
      </c>
      <c r="AD74" s="25" t="str">
        <f>IF(C74="","",[1]!hks_stm_cs(C74,"59",F74,1,"",100000000))</f>
        <v/>
      </c>
      <c r="AE74" s="25" t="str">
        <f>IF(C74="","",[1]!hks_stm_cs(C74,"77",F74,1,"",100000000))</f>
        <v/>
      </c>
      <c r="AF74" s="25" t="str">
        <f>IF(C74="","",[1]!hks_stm_cs(C74,"82",F74,1,"",100000000))</f>
        <v/>
      </c>
      <c r="AG74" s="25" t="str">
        <f>IF(C74="","",[1]!hks_stm_cs(C74,"84",F74,1,"",100000000))</f>
        <v/>
      </c>
      <c r="AH74" s="35"/>
    </row>
    <row r="75" spans="1:34" s="36" customFormat="1" ht="16.5" x14ac:dyDescent="0.2">
      <c r="A75" s="2"/>
      <c r="B75" s="6"/>
      <c r="C75" s="28" t="str">
        <f>IF(表1[[#This Row],[列1]]="","",表1[[#This Row],[列1]])</f>
        <v/>
      </c>
      <c r="D75" s="19" t="str">
        <f>IF(C75="","",[1]!hks_info_name(C75))</f>
        <v/>
      </c>
      <c r="E75" s="18" t="str">
        <f ca="1">IF(C75="","",[1]!lastradeday_s(C75,TODAY()))</f>
        <v/>
      </c>
      <c r="F75" s="19" t="str">
        <f>IF(C75="","",IF(OR([1]!s_stm_rpt_e(C75,基本资料!$I$8,0)="#N/A",[1]!s_stm_rpt_e(C75,基本资料!$I$8,0)="",[1]!s_stm_rpt_e(C75,基本资料!$I$8,0)=0),[1]!s_stm_rpt_e(C75,基本资料!$I$9,0),[1]!s_stm_rpt_e(C75,基本资料!$I$8,0)))</f>
        <v/>
      </c>
      <c r="G75" s="19" t="str">
        <f>IF(C75="","",[1]!hks_info_cur2(C75,F75))</f>
        <v/>
      </c>
      <c r="H75" s="27" t="str">
        <f>IF(C75="","",[1]!hks_stm_is(C75,"83",F75,1,"",100000000))</f>
        <v/>
      </c>
      <c r="I75" s="23" t="str">
        <f>IF(C75="","",[1]!hks_stm_is(C75,"1032",F75,1,"",100000000))</f>
        <v/>
      </c>
      <c r="J75" s="23" t="str">
        <f>IF(C75="","",[1]!hks_stm_is(C75,"1041",F75,1,"",100000000))</f>
        <v/>
      </c>
      <c r="K75" s="23" t="str">
        <f>IF(C75="","",[1]!hks_stm_is(C75,"61",F75,1,"",100000000))</f>
        <v/>
      </c>
      <c r="L75" s="23" t="str">
        <f>IF(C75="","",[1]!hks_stm_is(C75,"1075",F75,1,"",100000000))</f>
        <v/>
      </c>
      <c r="M75" s="23" t="str">
        <f>IF(C75="","",[1]!hks_stm_is(C75,"1077",F75,1,"",100000000))</f>
        <v/>
      </c>
      <c r="N75" s="23" t="str">
        <f>IF(C75="","",[1]!hks_stm_is(C75,"1030",F75,1,"",100000000))</f>
        <v/>
      </c>
      <c r="O75" s="23" t="str">
        <f>IF(C75="","",[1]!hks_fa_ebit(C75,F75,1,"",100000000))</f>
        <v/>
      </c>
      <c r="P75" s="25" t="str">
        <f>IF(C75="","",[1]!hks_fa_ebitda(C75,F75,1,"",100000000))</f>
        <v/>
      </c>
      <c r="Q75" s="25" t="str">
        <f>IF(C75="","",[1]!hks_stm_bs(C75,"9",F75,1,"",100000000))</f>
        <v/>
      </c>
      <c r="R75" s="25" t="str">
        <f>IF(C75="","",[1]!hks_stm_bs(C75,"25",F75,1,"",100000000))</f>
        <v/>
      </c>
      <c r="S75" s="25" t="str">
        <f>IF(C75="","",[1]!hks_stm_bs(C75,"1088",F75,1,"",100000000))</f>
        <v/>
      </c>
      <c r="T75" s="25" t="str">
        <f>IF(C75="","",[1]!hks_stm_bs(C75,"46",F75,1,"",100000000))</f>
        <v/>
      </c>
      <c r="U75" s="25" t="str">
        <f>IF(C75="","",[1]!hks_stm_bs(C75,"29",F75,1,"",100000000))</f>
        <v/>
      </c>
      <c r="V75" s="25" t="str">
        <f>IF(C75="","",[1]!hks_stm_bs(C75,"74",F75,1,"",100000000))</f>
        <v/>
      </c>
      <c r="W75" s="25" t="str">
        <f>IF(C75="","",[1]!hks_stm_bs(C75,"93",F75,1,"",100000000))</f>
        <v/>
      </c>
      <c r="X75" s="25" t="str">
        <f>IF(C75="","",[1]!hks_stm_bs(C75,"1017",F75,1,"",100000000))</f>
        <v/>
      </c>
      <c r="Y75" s="25" t="str">
        <f>IF(C75="","",[1]!hks_stm_bs(C75,"128",F75,1,"",100000000))</f>
        <v/>
      </c>
      <c r="Z75" s="25" t="str">
        <f>IF(C75="","",[1]!hks_stm_bs(C75,"145",F75,1,"",100000000))</f>
        <v/>
      </c>
      <c r="AA75" s="25" t="str">
        <f>IF(C75="","",[1]!hks_stm_bs(C75,"140",F75,1,"",100000000))</f>
        <v/>
      </c>
      <c r="AB75" s="25" t="str">
        <f>IF(C75="","",[1]!hks_stm_cs(C75,"39",F75,1,"",100000000))</f>
        <v/>
      </c>
      <c r="AC75" s="25" t="str">
        <f>IF(C75="","",[1]!hks_stm_cs(C75,"1020",F75,1,"",100000000))</f>
        <v/>
      </c>
      <c r="AD75" s="25" t="str">
        <f>IF(C75="","",[1]!hks_stm_cs(C75,"59",F75,1,"",100000000))</f>
        <v/>
      </c>
      <c r="AE75" s="25" t="str">
        <f>IF(C75="","",[1]!hks_stm_cs(C75,"77",F75,1,"",100000000))</f>
        <v/>
      </c>
      <c r="AF75" s="25" t="str">
        <f>IF(C75="","",[1]!hks_stm_cs(C75,"82",F75,1,"",100000000))</f>
        <v/>
      </c>
      <c r="AG75" s="25" t="str">
        <f>IF(C75="","",[1]!hks_stm_cs(C75,"84",F75,1,"",100000000))</f>
        <v/>
      </c>
      <c r="AH75" s="35"/>
    </row>
    <row r="76" spans="1:34" s="36" customFormat="1" ht="16.5" x14ac:dyDescent="0.2">
      <c r="A76" s="2"/>
      <c r="B76" s="6"/>
      <c r="C76" s="28" t="str">
        <f>IF(表1[[#This Row],[列1]]="","",表1[[#This Row],[列1]])</f>
        <v/>
      </c>
      <c r="D76" s="19" t="str">
        <f>IF(C76="","",[1]!hks_info_name(C76))</f>
        <v/>
      </c>
      <c r="E76" s="18" t="str">
        <f ca="1">IF(C76="","",[1]!lastradeday_s(C76,TODAY()))</f>
        <v/>
      </c>
      <c r="F76" s="19" t="str">
        <f>IF(C76="","",IF(OR([1]!s_stm_rpt_e(C76,基本资料!$I$8,0)="#N/A",[1]!s_stm_rpt_e(C76,基本资料!$I$8,0)="",[1]!s_stm_rpt_e(C76,基本资料!$I$8,0)=0),[1]!s_stm_rpt_e(C76,基本资料!$I$9,0),[1]!s_stm_rpt_e(C76,基本资料!$I$8,0)))</f>
        <v/>
      </c>
      <c r="G76" s="19" t="str">
        <f>IF(C76="","",[1]!hks_info_cur2(C76,F76))</f>
        <v/>
      </c>
      <c r="H76" s="27" t="str">
        <f>IF(C76="","",[1]!hks_stm_is(C76,"83",F76,1,"",100000000))</f>
        <v/>
      </c>
      <c r="I76" s="23" t="str">
        <f>IF(C76="","",[1]!hks_stm_is(C76,"1032",F76,1,"",100000000))</f>
        <v/>
      </c>
      <c r="J76" s="23" t="str">
        <f>IF(C76="","",[1]!hks_stm_is(C76,"1041",F76,1,"",100000000))</f>
        <v/>
      </c>
      <c r="K76" s="23" t="str">
        <f>IF(C76="","",[1]!hks_stm_is(C76,"61",F76,1,"",100000000))</f>
        <v/>
      </c>
      <c r="L76" s="23" t="str">
        <f>IF(C76="","",[1]!hks_stm_is(C76,"1075",F76,1,"",100000000))</f>
        <v/>
      </c>
      <c r="M76" s="23" t="str">
        <f>IF(C76="","",[1]!hks_stm_is(C76,"1077",F76,1,"",100000000))</f>
        <v/>
      </c>
      <c r="N76" s="23" t="str">
        <f>IF(C76="","",[1]!hks_stm_is(C76,"1030",F76,1,"",100000000))</f>
        <v/>
      </c>
      <c r="O76" s="23" t="str">
        <f>IF(C76="","",[1]!hks_fa_ebit(C76,F76,1,"",100000000))</f>
        <v/>
      </c>
      <c r="P76" s="25" t="str">
        <f>IF(C76="","",[1]!hks_fa_ebitda(C76,F76,1,"",100000000))</f>
        <v/>
      </c>
      <c r="Q76" s="25" t="str">
        <f>IF(C76="","",[1]!hks_stm_bs(C76,"9",F76,1,"",100000000))</f>
        <v/>
      </c>
      <c r="R76" s="25" t="str">
        <f>IF(C76="","",[1]!hks_stm_bs(C76,"25",F76,1,"",100000000))</f>
        <v/>
      </c>
      <c r="S76" s="25" t="str">
        <f>IF(C76="","",[1]!hks_stm_bs(C76,"1088",F76,1,"",100000000))</f>
        <v/>
      </c>
      <c r="T76" s="25" t="str">
        <f>IF(C76="","",[1]!hks_stm_bs(C76,"46",F76,1,"",100000000))</f>
        <v/>
      </c>
      <c r="U76" s="25" t="str">
        <f>IF(C76="","",[1]!hks_stm_bs(C76,"29",F76,1,"",100000000))</f>
        <v/>
      </c>
      <c r="V76" s="25" t="str">
        <f>IF(C76="","",[1]!hks_stm_bs(C76,"74",F76,1,"",100000000))</f>
        <v/>
      </c>
      <c r="W76" s="25" t="str">
        <f>IF(C76="","",[1]!hks_stm_bs(C76,"93",F76,1,"",100000000))</f>
        <v/>
      </c>
      <c r="X76" s="25" t="str">
        <f>IF(C76="","",[1]!hks_stm_bs(C76,"1017",F76,1,"",100000000))</f>
        <v/>
      </c>
      <c r="Y76" s="25" t="str">
        <f>IF(C76="","",[1]!hks_stm_bs(C76,"128",F76,1,"",100000000))</f>
        <v/>
      </c>
      <c r="Z76" s="25" t="str">
        <f>IF(C76="","",[1]!hks_stm_bs(C76,"145",F76,1,"",100000000))</f>
        <v/>
      </c>
      <c r="AA76" s="25" t="str">
        <f>IF(C76="","",[1]!hks_stm_bs(C76,"140",F76,1,"",100000000))</f>
        <v/>
      </c>
      <c r="AB76" s="25" t="str">
        <f>IF(C76="","",[1]!hks_stm_cs(C76,"39",F76,1,"",100000000))</f>
        <v/>
      </c>
      <c r="AC76" s="25" t="str">
        <f>IF(C76="","",[1]!hks_stm_cs(C76,"1020",F76,1,"",100000000))</f>
        <v/>
      </c>
      <c r="AD76" s="25" t="str">
        <f>IF(C76="","",[1]!hks_stm_cs(C76,"59",F76,1,"",100000000))</f>
        <v/>
      </c>
      <c r="AE76" s="25" t="str">
        <f>IF(C76="","",[1]!hks_stm_cs(C76,"77",F76,1,"",100000000))</f>
        <v/>
      </c>
      <c r="AF76" s="25" t="str">
        <f>IF(C76="","",[1]!hks_stm_cs(C76,"82",F76,1,"",100000000))</f>
        <v/>
      </c>
      <c r="AG76" s="25" t="str">
        <f>IF(C76="","",[1]!hks_stm_cs(C76,"84",F76,1,"",100000000))</f>
        <v/>
      </c>
      <c r="AH76" s="35"/>
    </row>
    <row r="77" spans="1:34" s="36" customFormat="1" ht="16.5" x14ac:dyDescent="0.2">
      <c r="A77" s="2"/>
      <c r="B77" s="6"/>
      <c r="C77" s="28" t="str">
        <f>IF(表1[[#This Row],[列1]]="","",表1[[#This Row],[列1]])</f>
        <v/>
      </c>
      <c r="D77" s="19" t="str">
        <f>IF(C77="","",[1]!hks_info_name(C77))</f>
        <v/>
      </c>
      <c r="E77" s="18" t="str">
        <f ca="1">IF(C77="","",[1]!lastradeday_s(C77,TODAY()))</f>
        <v/>
      </c>
      <c r="F77" s="19" t="str">
        <f>IF(C77="","",IF(OR([1]!s_stm_rpt_e(C77,基本资料!$I$8,0)="#N/A",[1]!s_stm_rpt_e(C77,基本资料!$I$8,0)="",[1]!s_stm_rpt_e(C77,基本资料!$I$8,0)=0),[1]!s_stm_rpt_e(C77,基本资料!$I$9,0),[1]!s_stm_rpt_e(C77,基本资料!$I$8,0)))</f>
        <v/>
      </c>
      <c r="G77" s="19" t="str">
        <f>IF(C77="","",[1]!hks_info_cur2(C77,F77))</f>
        <v/>
      </c>
      <c r="H77" s="27" t="str">
        <f>IF(C77="","",[1]!hks_stm_is(C77,"83",F77,1,"",100000000))</f>
        <v/>
      </c>
      <c r="I77" s="23" t="str">
        <f>IF(C77="","",[1]!hks_stm_is(C77,"1032",F77,1,"",100000000))</f>
        <v/>
      </c>
      <c r="J77" s="23" t="str">
        <f>IF(C77="","",[1]!hks_stm_is(C77,"1041",F77,1,"",100000000))</f>
        <v/>
      </c>
      <c r="K77" s="23" t="str">
        <f>IF(C77="","",[1]!hks_stm_is(C77,"61",F77,1,"",100000000))</f>
        <v/>
      </c>
      <c r="L77" s="23" t="str">
        <f>IF(C77="","",[1]!hks_stm_is(C77,"1075",F77,1,"",100000000))</f>
        <v/>
      </c>
      <c r="M77" s="23" t="str">
        <f>IF(C77="","",[1]!hks_stm_is(C77,"1077",F77,1,"",100000000))</f>
        <v/>
      </c>
      <c r="N77" s="23" t="str">
        <f>IF(C77="","",[1]!hks_stm_is(C77,"1030",F77,1,"",100000000))</f>
        <v/>
      </c>
      <c r="O77" s="23" t="str">
        <f>IF(C77="","",[1]!hks_fa_ebit(C77,F77,1,"",100000000))</f>
        <v/>
      </c>
      <c r="P77" s="25" t="str">
        <f>IF(C77="","",[1]!hks_fa_ebitda(C77,F77,1,"",100000000))</f>
        <v/>
      </c>
      <c r="Q77" s="25" t="str">
        <f>IF(C77="","",[1]!hks_stm_bs(C77,"9",F77,1,"",100000000))</f>
        <v/>
      </c>
      <c r="R77" s="25" t="str">
        <f>IF(C77="","",[1]!hks_stm_bs(C77,"25",F77,1,"",100000000))</f>
        <v/>
      </c>
      <c r="S77" s="25" t="str">
        <f>IF(C77="","",[1]!hks_stm_bs(C77,"1088",F77,1,"",100000000))</f>
        <v/>
      </c>
      <c r="T77" s="25" t="str">
        <f>IF(C77="","",[1]!hks_stm_bs(C77,"46",F77,1,"",100000000))</f>
        <v/>
      </c>
      <c r="U77" s="25" t="str">
        <f>IF(C77="","",[1]!hks_stm_bs(C77,"29",F77,1,"",100000000))</f>
        <v/>
      </c>
      <c r="V77" s="25" t="str">
        <f>IF(C77="","",[1]!hks_stm_bs(C77,"74",F77,1,"",100000000))</f>
        <v/>
      </c>
      <c r="W77" s="25" t="str">
        <f>IF(C77="","",[1]!hks_stm_bs(C77,"93",F77,1,"",100000000))</f>
        <v/>
      </c>
      <c r="X77" s="25" t="str">
        <f>IF(C77="","",[1]!hks_stm_bs(C77,"1017",F77,1,"",100000000))</f>
        <v/>
      </c>
      <c r="Y77" s="25" t="str">
        <f>IF(C77="","",[1]!hks_stm_bs(C77,"128",F77,1,"",100000000))</f>
        <v/>
      </c>
      <c r="Z77" s="25" t="str">
        <f>IF(C77="","",[1]!hks_stm_bs(C77,"145",F77,1,"",100000000))</f>
        <v/>
      </c>
      <c r="AA77" s="25" t="str">
        <f>IF(C77="","",[1]!hks_stm_bs(C77,"140",F77,1,"",100000000))</f>
        <v/>
      </c>
      <c r="AB77" s="25" t="str">
        <f>IF(C77="","",[1]!hks_stm_cs(C77,"39",F77,1,"",100000000))</f>
        <v/>
      </c>
      <c r="AC77" s="25" t="str">
        <f>IF(C77="","",[1]!hks_stm_cs(C77,"1020",F77,1,"",100000000))</f>
        <v/>
      </c>
      <c r="AD77" s="25" t="str">
        <f>IF(C77="","",[1]!hks_stm_cs(C77,"59",F77,1,"",100000000))</f>
        <v/>
      </c>
      <c r="AE77" s="25" t="str">
        <f>IF(C77="","",[1]!hks_stm_cs(C77,"77",F77,1,"",100000000))</f>
        <v/>
      </c>
      <c r="AF77" s="25" t="str">
        <f>IF(C77="","",[1]!hks_stm_cs(C77,"82",F77,1,"",100000000))</f>
        <v/>
      </c>
      <c r="AG77" s="25" t="str">
        <f>IF(C77="","",[1]!hks_stm_cs(C77,"84",F77,1,"",100000000))</f>
        <v/>
      </c>
      <c r="AH77" s="35"/>
    </row>
    <row r="78" spans="1:34" s="36" customFormat="1" ht="16.5" x14ac:dyDescent="0.2">
      <c r="A78" s="2"/>
      <c r="B78" s="6"/>
      <c r="C78" s="28" t="str">
        <f>IF(表1[[#This Row],[列1]]="","",表1[[#This Row],[列1]])</f>
        <v/>
      </c>
      <c r="D78" s="19" t="str">
        <f>IF(C78="","",[1]!hks_info_name(C78))</f>
        <v/>
      </c>
      <c r="E78" s="18" t="str">
        <f ca="1">IF(C78="","",[1]!lastradeday_s(C78,TODAY()))</f>
        <v/>
      </c>
      <c r="F78" s="19" t="str">
        <f>IF(C78="","",IF(OR([1]!s_stm_rpt_e(C78,基本资料!$I$8,0)="#N/A",[1]!s_stm_rpt_e(C78,基本资料!$I$8,0)="",[1]!s_stm_rpt_e(C78,基本资料!$I$8,0)=0),[1]!s_stm_rpt_e(C78,基本资料!$I$9,0),[1]!s_stm_rpt_e(C78,基本资料!$I$8,0)))</f>
        <v/>
      </c>
      <c r="G78" s="19" t="str">
        <f>IF(C78="","",[1]!hks_info_cur2(C78,F78))</f>
        <v/>
      </c>
      <c r="H78" s="27" t="str">
        <f>IF(C78="","",[1]!hks_stm_is(C78,"83",F78,1,"",100000000))</f>
        <v/>
      </c>
      <c r="I78" s="23" t="str">
        <f>IF(C78="","",[1]!hks_stm_is(C78,"1032",F78,1,"",100000000))</f>
        <v/>
      </c>
      <c r="J78" s="23" t="str">
        <f>IF(C78="","",[1]!hks_stm_is(C78,"1041",F78,1,"",100000000))</f>
        <v/>
      </c>
      <c r="K78" s="23" t="str">
        <f>IF(C78="","",[1]!hks_stm_is(C78,"61",F78,1,"",100000000))</f>
        <v/>
      </c>
      <c r="L78" s="23" t="str">
        <f>IF(C78="","",[1]!hks_stm_is(C78,"1075",F78,1,"",100000000))</f>
        <v/>
      </c>
      <c r="M78" s="23" t="str">
        <f>IF(C78="","",[1]!hks_stm_is(C78,"1077",F78,1,"",100000000))</f>
        <v/>
      </c>
      <c r="N78" s="23" t="str">
        <f>IF(C78="","",[1]!hks_stm_is(C78,"1030",F78,1,"",100000000))</f>
        <v/>
      </c>
      <c r="O78" s="23" t="str">
        <f>IF(C78="","",[1]!hks_fa_ebit(C78,F78,1,"",100000000))</f>
        <v/>
      </c>
      <c r="P78" s="25" t="str">
        <f>IF(C78="","",[1]!hks_fa_ebitda(C78,F78,1,"",100000000))</f>
        <v/>
      </c>
      <c r="Q78" s="25" t="str">
        <f>IF(C78="","",[1]!hks_stm_bs(C78,"9",F78,1,"",100000000))</f>
        <v/>
      </c>
      <c r="R78" s="25" t="str">
        <f>IF(C78="","",[1]!hks_stm_bs(C78,"25",F78,1,"",100000000))</f>
        <v/>
      </c>
      <c r="S78" s="25" t="str">
        <f>IF(C78="","",[1]!hks_stm_bs(C78,"1088",F78,1,"",100000000))</f>
        <v/>
      </c>
      <c r="T78" s="25" t="str">
        <f>IF(C78="","",[1]!hks_stm_bs(C78,"46",F78,1,"",100000000))</f>
        <v/>
      </c>
      <c r="U78" s="25" t="str">
        <f>IF(C78="","",[1]!hks_stm_bs(C78,"29",F78,1,"",100000000))</f>
        <v/>
      </c>
      <c r="V78" s="25" t="str">
        <f>IF(C78="","",[1]!hks_stm_bs(C78,"74",F78,1,"",100000000))</f>
        <v/>
      </c>
      <c r="W78" s="25" t="str">
        <f>IF(C78="","",[1]!hks_stm_bs(C78,"93",F78,1,"",100000000))</f>
        <v/>
      </c>
      <c r="X78" s="25" t="str">
        <f>IF(C78="","",[1]!hks_stm_bs(C78,"1017",F78,1,"",100000000))</f>
        <v/>
      </c>
      <c r="Y78" s="25" t="str">
        <f>IF(C78="","",[1]!hks_stm_bs(C78,"128",F78,1,"",100000000))</f>
        <v/>
      </c>
      <c r="Z78" s="25" t="str">
        <f>IF(C78="","",[1]!hks_stm_bs(C78,"145",F78,1,"",100000000))</f>
        <v/>
      </c>
      <c r="AA78" s="25" t="str">
        <f>IF(C78="","",[1]!hks_stm_bs(C78,"140",F78,1,"",100000000))</f>
        <v/>
      </c>
      <c r="AB78" s="25" t="str">
        <f>IF(C78="","",[1]!hks_stm_cs(C78,"39",F78,1,"",100000000))</f>
        <v/>
      </c>
      <c r="AC78" s="25" t="str">
        <f>IF(C78="","",[1]!hks_stm_cs(C78,"1020",F78,1,"",100000000))</f>
        <v/>
      </c>
      <c r="AD78" s="25" t="str">
        <f>IF(C78="","",[1]!hks_stm_cs(C78,"59",F78,1,"",100000000))</f>
        <v/>
      </c>
      <c r="AE78" s="25" t="str">
        <f>IF(C78="","",[1]!hks_stm_cs(C78,"77",F78,1,"",100000000))</f>
        <v/>
      </c>
      <c r="AF78" s="25" t="str">
        <f>IF(C78="","",[1]!hks_stm_cs(C78,"82",F78,1,"",100000000))</f>
        <v/>
      </c>
      <c r="AG78" s="25" t="str">
        <f>IF(C78="","",[1]!hks_stm_cs(C78,"84",F78,1,"",100000000))</f>
        <v/>
      </c>
      <c r="AH78" s="35"/>
    </row>
    <row r="79" spans="1:34" s="36" customFormat="1" ht="16.5" x14ac:dyDescent="0.2">
      <c r="A79" s="2"/>
      <c r="B79" s="6"/>
      <c r="C79" s="28" t="str">
        <f>IF(表1[[#This Row],[列1]]="","",表1[[#This Row],[列1]])</f>
        <v/>
      </c>
      <c r="D79" s="19" t="str">
        <f>IF(C79="","",[1]!hks_info_name(C79))</f>
        <v/>
      </c>
      <c r="E79" s="18" t="str">
        <f ca="1">IF(C79="","",[1]!lastradeday_s(C79,TODAY()))</f>
        <v/>
      </c>
      <c r="F79" s="19" t="str">
        <f>IF(C79="","",IF(OR([1]!s_stm_rpt_e(C79,基本资料!$I$8,0)="#N/A",[1]!s_stm_rpt_e(C79,基本资料!$I$8,0)="",[1]!s_stm_rpt_e(C79,基本资料!$I$8,0)=0),[1]!s_stm_rpt_e(C79,基本资料!$I$9,0),[1]!s_stm_rpt_e(C79,基本资料!$I$8,0)))</f>
        <v/>
      </c>
      <c r="G79" s="19" t="str">
        <f>IF(C79="","",[1]!hks_info_cur2(C79,F79))</f>
        <v/>
      </c>
      <c r="H79" s="27" t="str">
        <f>IF(C79="","",[1]!hks_stm_is(C79,"83",F79,1,"",100000000))</f>
        <v/>
      </c>
      <c r="I79" s="23" t="str">
        <f>IF(C79="","",[1]!hks_stm_is(C79,"1032",F79,1,"",100000000))</f>
        <v/>
      </c>
      <c r="J79" s="23" t="str">
        <f>IF(C79="","",[1]!hks_stm_is(C79,"1041",F79,1,"",100000000))</f>
        <v/>
      </c>
      <c r="K79" s="23" t="str">
        <f>IF(C79="","",[1]!hks_stm_is(C79,"61",F79,1,"",100000000))</f>
        <v/>
      </c>
      <c r="L79" s="23" t="str">
        <f>IF(C79="","",[1]!hks_stm_is(C79,"1075",F79,1,"",100000000))</f>
        <v/>
      </c>
      <c r="M79" s="23" t="str">
        <f>IF(C79="","",[1]!hks_stm_is(C79,"1077",F79,1,"",100000000))</f>
        <v/>
      </c>
      <c r="N79" s="23" t="str">
        <f>IF(C79="","",[1]!hks_stm_is(C79,"1030",F79,1,"",100000000))</f>
        <v/>
      </c>
      <c r="O79" s="23" t="str">
        <f>IF(C79="","",[1]!hks_fa_ebit(C79,F79,1,"",100000000))</f>
        <v/>
      </c>
      <c r="P79" s="25" t="str">
        <f>IF(C79="","",[1]!hks_fa_ebitda(C79,F79,1,"",100000000))</f>
        <v/>
      </c>
      <c r="Q79" s="25" t="str">
        <f>IF(C79="","",[1]!hks_stm_bs(C79,"9",F79,1,"",100000000))</f>
        <v/>
      </c>
      <c r="R79" s="25" t="str">
        <f>IF(C79="","",[1]!hks_stm_bs(C79,"25",F79,1,"",100000000))</f>
        <v/>
      </c>
      <c r="S79" s="25" t="str">
        <f>IF(C79="","",[1]!hks_stm_bs(C79,"1088",F79,1,"",100000000))</f>
        <v/>
      </c>
      <c r="T79" s="25" t="str">
        <f>IF(C79="","",[1]!hks_stm_bs(C79,"46",F79,1,"",100000000))</f>
        <v/>
      </c>
      <c r="U79" s="25" t="str">
        <f>IF(C79="","",[1]!hks_stm_bs(C79,"29",F79,1,"",100000000))</f>
        <v/>
      </c>
      <c r="V79" s="25" t="str">
        <f>IF(C79="","",[1]!hks_stm_bs(C79,"74",F79,1,"",100000000))</f>
        <v/>
      </c>
      <c r="W79" s="25" t="str">
        <f>IF(C79="","",[1]!hks_stm_bs(C79,"93",F79,1,"",100000000))</f>
        <v/>
      </c>
      <c r="X79" s="25" t="str">
        <f>IF(C79="","",[1]!hks_stm_bs(C79,"1017",F79,1,"",100000000))</f>
        <v/>
      </c>
      <c r="Y79" s="25" t="str">
        <f>IF(C79="","",[1]!hks_stm_bs(C79,"128",F79,1,"",100000000))</f>
        <v/>
      </c>
      <c r="Z79" s="25" t="str">
        <f>IF(C79="","",[1]!hks_stm_bs(C79,"145",F79,1,"",100000000))</f>
        <v/>
      </c>
      <c r="AA79" s="25" t="str">
        <f>IF(C79="","",[1]!hks_stm_bs(C79,"140",F79,1,"",100000000))</f>
        <v/>
      </c>
      <c r="AB79" s="25" t="str">
        <f>IF(C79="","",[1]!hks_stm_cs(C79,"39",F79,1,"",100000000))</f>
        <v/>
      </c>
      <c r="AC79" s="25" t="str">
        <f>IF(C79="","",[1]!hks_stm_cs(C79,"1020",F79,1,"",100000000))</f>
        <v/>
      </c>
      <c r="AD79" s="25" t="str">
        <f>IF(C79="","",[1]!hks_stm_cs(C79,"59",F79,1,"",100000000))</f>
        <v/>
      </c>
      <c r="AE79" s="25" t="str">
        <f>IF(C79="","",[1]!hks_stm_cs(C79,"77",F79,1,"",100000000))</f>
        <v/>
      </c>
      <c r="AF79" s="25" t="str">
        <f>IF(C79="","",[1]!hks_stm_cs(C79,"82",F79,1,"",100000000))</f>
        <v/>
      </c>
      <c r="AG79" s="25" t="str">
        <f>IF(C79="","",[1]!hks_stm_cs(C79,"84",F79,1,"",100000000))</f>
        <v/>
      </c>
      <c r="AH79" s="35"/>
    </row>
    <row r="80" spans="1:34" s="36" customFormat="1" ht="16.5" x14ac:dyDescent="0.2">
      <c r="A80" s="2"/>
      <c r="B80" s="6"/>
      <c r="C80" s="28" t="str">
        <f>IF(表1[[#This Row],[列1]]="","",表1[[#This Row],[列1]])</f>
        <v/>
      </c>
      <c r="D80" s="19" t="str">
        <f>IF(C80="","",[1]!hks_info_name(C80))</f>
        <v/>
      </c>
      <c r="E80" s="18" t="str">
        <f ca="1">IF(C80="","",[1]!lastradeday_s(C80,TODAY()))</f>
        <v/>
      </c>
      <c r="F80" s="19" t="str">
        <f>IF(C80="","",IF(OR([1]!s_stm_rpt_e(C80,基本资料!$I$8,0)="#N/A",[1]!s_stm_rpt_e(C80,基本资料!$I$8,0)="",[1]!s_stm_rpt_e(C80,基本资料!$I$8,0)=0),[1]!s_stm_rpt_e(C80,基本资料!$I$9,0),[1]!s_stm_rpt_e(C80,基本资料!$I$8,0)))</f>
        <v/>
      </c>
      <c r="G80" s="19" t="str">
        <f>IF(C80="","",[1]!hks_info_cur2(C80,F80))</f>
        <v/>
      </c>
      <c r="H80" s="27" t="str">
        <f>IF(C80="","",[1]!hks_stm_is(C80,"83",F80,1,"",100000000))</f>
        <v/>
      </c>
      <c r="I80" s="23" t="str">
        <f>IF(C80="","",[1]!hks_stm_is(C80,"1032",F80,1,"",100000000))</f>
        <v/>
      </c>
      <c r="J80" s="23" t="str">
        <f>IF(C80="","",[1]!hks_stm_is(C80,"1041",F80,1,"",100000000))</f>
        <v/>
      </c>
      <c r="K80" s="23" t="str">
        <f>IF(C80="","",[1]!hks_stm_is(C80,"61",F80,1,"",100000000))</f>
        <v/>
      </c>
      <c r="L80" s="23" t="str">
        <f>IF(C80="","",[1]!hks_stm_is(C80,"1075",F80,1,"",100000000))</f>
        <v/>
      </c>
      <c r="M80" s="23" t="str">
        <f>IF(C80="","",[1]!hks_stm_is(C80,"1077",F80,1,"",100000000))</f>
        <v/>
      </c>
      <c r="N80" s="23" t="str">
        <f>IF(C80="","",[1]!hks_stm_is(C80,"1030",F80,1,"",100000000))</f>
        <v/>
      </c>
      <c r="O80" s="23" t="str">
        <f>IF(C80="","",[1]!hks_fa_ebit(C80,F80,1,"",100000000))</f>
        <v/>
      </c>
      <c r="P80" s="25" t="str">
        <f>IF(C80="","",[1]!hks_fa_ebitda(C80,F80,1,"",100000000))</f>
        <v/>
      </c>
      <c r="Q80" s="25" t="str">
        <f>IF(C80="","",[1]!hks_stm_bs(C80,"9",F80,1,"",100000000))</f>
        <v/>
      </c>
      <c r="R80" s="25" t="str">
        <f>IF(C80="","",[1]!hks_stm_bs(C80,"25",F80,1,"",100000000))</f>
        <v/>
      </c>
      <c r="S80" s="25" t="str">
        <f>IF(C80="","",[1]!hks_stm_bs(C80,"1088",F80,1,"",100000000))</f>
        <v/>
      </c>
      <c r="T80" s="25" t="str">
        <f>IF(C80="","",[1]!hks_stm_bs(C80,"46",F80,1,"",100000000))</f>
        <v/>
      </c>
      <c r="U80" s="25" t="str">
        <f>IF(C80="","",[1]!hks_stm_bs(C80,"29",F80,1,"",100000000))</f>
        <v/>
      </c>
      <c r="V80" s="25" t="str">
        <f>IF(C80="","",[1]!hks_stm_bs(C80,"74",F80,1,"",100000000))</f>
        <v/>
      </c>
      <c r="W80" s="25" t="str">
        <f>IF(C80="","",[1]!hks_stm_bs(C80,"93",F80,1,"",100000000))</f>
        <v/>
      </c>
      <c r="X80" s="25" t="str">
        <f>IF(C80="","",[1]!hks_stm_bs(C80,"1017",F80,1,"",100000000))</f>
        <v/>
      </c>
      <c r="Y80" s="25" t="str">
        <f>IF(C80="","",[1]!hks_stm_bs(C80,"128",F80,1,"",100000000))</f>
        <v/>
      </c>
      <c r="Z80" s="25" t="str">
        <f>IF(C80="","",[1]!hks_stm_bs(C80,"145",F80,1,"",100000000))</f>
        <v/>
      </c>
      <c r="AA80" s="25" t="str">
        <f>IF(C80="","",[1]!hks_stm_bs(C80,"140",F80,1,"",100000000))</f>
        <v/>
      </c>
      <c r="AB80" s="25" t="str">
        <f>IF(C80="","",[1]!hks_stm_cs(C80,"39",F80,1,"",100000000))</f>
        <v/>
      </c>
      <c r="AC80" s="25" t="str">
        <f>IF(C80="","",[1]!hks_stm_cs(C80,"1020",F80,1,"",100000000))</f>
        <v/>
      </c>
      <c r="AD80" s="25" t="str">
        <f>IF(C80="","",[1]!hks_stm_cs(C80,"59",F80,1,"",100000000))</f>
        <v/>
      </c>
      <c r="AE80" s="25" t="str">
        <f>IF(C80="","",[1]!hks_stm_cs(C80,"77",F80,1,"",100000000))</f>
        <v/>
      </c>
      <c r="AF80" s="25" t="str">
        <f>IF(C80="","",[1]!hks_stm_cs(C80,"82",F80,1,"",100000000))</f>
        <v/>
      </c>
      <c r="AG80" s="25" t="str">
        <f>IF(C80="","",[1]!hks_stm_cs(C80,"84",F80,1,"",100000000))</f>
        <v/>
      </c>
      <c r="AH80" s="35"/>
    </row>
    <row r="81" spans="1:34" s="36" customFormat="1" ht="16.5" x14ac:dyDescent="0.2">
      <c r="A81" s="2"/>
      <c r="B81" s="6"/>
      <c r="C81" s="28" t="str">
        <f>IF(表1[[#This Row],[列1]]="","",表1[[#This Row],[列1]])</f>
        <v/>
      </c>
      <c r="D81" s="19" t="str">
        <f>IF(C81="","",[1]!hks_info_name(C81))</f>
        <v/>
      </c>
      <c r="E81" s="18" t="str">
        <f ca="1">IF(C81="","",[1]!lastradeday_s(C81,TODAY()))</f>
        <v/>
      </c>
      <c r="F81" s="19" t="str">
        <f>IF(C81="","",IF(OR([1]!s_stm_rpt_e(C81,基本资料!$I$8,0)="#N/A",[1]!s_stm_rpt_e(C81,基本资料!$I$8,0)="",[1]!s_stm_rpt_e(C81,基本资料!$I$8,0)=0),[1]!s_stm_rpt_e(C81,基本资料!$I$9,0),[1]!s_stm_rpt_e(C81,基本资料!$I$8,0)))</f>
        <v/>
      </c>
      <c r="G81" s="19" t="str">
        <f>IF(C81="","",[1]!hks_info_cur2(C81,F81))</f>
        <v/>
      </c>
      <c r="H81" s="27" t="str">
        <f>IF(C81="","",[1]!hks_stm_is(C81,"83",F81,1,"",100000000))</f>
        <v/>
      </c>
      <c r="I81" s="23" t="str">
        <f>IF(C81="","",[1]!hks_stm_is(C81,"1032",F81,1,"",100000000))</f>
        <v/>
      </c>
      <c r="J81" s="23" t="str">
        <f>IF(C81="","",[1]!hks_stm_is(C81,"1041",F81,1,"",100000000))</f>
        <v/>
      </c>
      <c r="K81" s="23" t="str">
        <f>IF(C81="","",[1]!hks_stm_is(C81,"61",F81,1,"",100000000))</f>
        <v/>
      </c>
      <c r="L81" s="23" t="str">
        <f>IF(C81="","",[1]!hks_stm_is(C81,"1075",F81,1,"",100000000))</f>
        <v/>
      </c>
      <c r="M81" s="23" t="str">
        <f>IF(C81="","",[1]!hks_stm_is(C81,"1077",F81,1,"",100000000))</f>
        <v/>
      </c>
      <c r="N81" s="23" t="str">
        <f>IF(C81="","",[1]!hks_stm_is(C81,"1030",F81,1,"",100000000))</f>
        <v/>
      </c>
      <c r="O81" s="23" t="str">
        <f>IF(C81="","",[1]!hks_fa_ebit(C81,F81,1,"",100000000))</f>
        <v/>
      </c>
      <c r="P81" s="25" t="str">
        <f>IF(C81="","",[1]!hks_fa_ebitda(C81,F81,1,"",100000000))</f>
        <v/>
      </c>
      <c r="Q81" s="25" t="str">
        <f>IF(C81="","",[1]!hks_stm_bs(C81,"9",F81,1,"",100000000))</f>
        <v/>
      </c>
      <c r="R81" s="25" t="str">
        <f>IF(C81="","",[1]!hks_stm_bs(C81,"25",F81,1,"",100000000))</f>
        <v/>
      </c>
      <c r="S81" s="25" t="str">
        <f>IF(C81="","",[1]!hks_stm_bs(C81,"1088",F81,1,"",100000000))</f>
        <v/>
      </c>
      <c r="T81" s="25" t="str">
        <f>IF(C81="","",[1]!hks_stm_bs(C81,"46",F81,1,"",100000000))</f>
        <v/>
      </c>
      <c r="U81" s="25" t="str">
        <f>IF(C81="","",[1]!hks_stm_bs(C81,"29",F81,1,"",100000000))</f>
        <v/>
      </c>
      <c r="V81" s="25" t="str">
        <f>IF(C81="","",[1]!hks_stm_bs(C81,"74",F81,1,"",100000000))</f>
        <v/>
      </c>
      <c r="W81" s="25" t="str">
        <f>IF(C81="","",[1]!hks_stm_bs(C81,"93",F81,1,"",100000000))</f>
        <v/>
      </c>
      <c r="X81" s="25" t="str">
        <f>IF(C81="","",[1]!hks_stm_bs(C81,"1017",F81,1,"",100000000))</f>
        <v/>
      </c>
      <c r="Y81" s="25" t="str">
        <f>IF(C81="","",[1]!hks_stm_bs(C81,"128",F81,1,"",100000000))</f>
        <v/>
      </c>
      <c r="Z81" s="25" t="str">
        <f>IF(C81="","",[1]!hks_stm_bs(C81,"145",F81,1,"",100000000))</f>
        <v/>
      </c>
      <c r="AA81" s="25" t="str">
        <f>IF(C81="","",[1]!hks_stm_bs(C81,"140",F81,1,"",100000000))</f>
        <v/>
      </c>
      <c r="AB81" s="25" t="str">
        <f>IF(C81="","",[1]!hks_stm_cs(C81,"39",F81,1,"",100000000))</f>
        <v/>
      </c>
      <c r="AC81" s="25" t="str">
        <f>IF(C81="","",[1]!hks_stm_cs(C81,"1020",F81,1,"",100000000))</f>
        <v/>
      </c>
      <c r="AD81" s="25" t="str">
        <f>IF(C81="","",[1]!hks_stm_cs(C81,"59",F81,1,"",100000000))</f>
        <v/>
      </c>
      <c r="AE81" s="25" t="str">
        <f>IF(C81="","",[1]!hks_stm_cs(C81,"77",F81,1,"",100000000))</f>
        <v/>
      </c>
      <c r="AF81" s="25" t="str">
        <f>IF(C81="","",[1]!hks_stm_cs(C81,"82",F81,1,"",100000000))</f>
        <v/>
      </c>
      <c r="AG81" s="25" t="str">
        <f>IF(C81="","",[1]!hks_stm_cs(C81,"84",F81,1,"",100000000))</f>
        <v/>
      </c>
      <c r="AH81" s="35"/>
    </row>
    <row r="82" spans="1:34" s="36" customFormat="1" ht="16.5" x14ac:dyDescent="0.2">
      <c r="A82" s="2"/>
      <c r="B82" s="6"/>
      <c r="C82" s="28" t="str">
        <f>IF(表1[[#This Row],[列1]]="","",表1[[#This Row],[列1]])</f>
        <v/>
      </c>
      <c r="D82" s="19" t="str">
        <f>IF(C82="","",[1]!hks_info_name(C82))</f>
        <v/>
      </c>
      <c r="E82" s="18" t="str">
        <f ca="1">IF(C82="","",[1]!lastradeday_s(C82,TODAY()))</f>
        <v/>
      </c>
      <c r="F82" s="19" t="str">
        <f>IF(C82="","",IF(OR([1]!s_stm_rpt_e(C82,基本资料!$I$8,0)="#N/A",[1]!s_stm_rpt_e(C82,基本资料!$I$8,0)="",[1]!s_stm_rpt_e(C82,基本资料!$I$8,0)=0),[1]!s_stm_rpt_e(C82,基本资料!$I$9,0),[1]!s_stm_rpt_e(C82,基本资料!$I$8,0)))</f>
        <v/>
      </c>
      <c r="G82" s="19" t="str">
        <f>IF(C82="","",[1]!hks_info_cur2(C82,F82))</f>
        <v/>
      </c>
      <c r="H82" s="27" t="str">
        <f>IF(C82="","",[1]!hks_stm_is(C82,"83",F82,1,"",100000000))</f>
        <v/>
      </c>
      <c r="I82" s="23" t="str">
        <f>IF(C82="","",[1]!hks_stm_is(C82,"1032",F82,1,"",100000000))</f>
        <v/>
      </c>
      <c r="J82" s="23" t="str">
        <f>IF(C82="","",[1]!hks_stm_is(C82,"1041",F82,1,"",100000000))</f>
        <v/>
      </c>
      <c r="K82" s="23" t="str">
        <f>IF(C82="","",[1]!hks_stm_is(C82,"61",F82,1,"",100000000))</f>
        <v/>
      </c>
      <c r="L82" s="23" t="str">
        <f>IF(C82="","",[1]!hks_stm_is(C82,"1075",F82,1,"",100000000))</f>
        <v/>
      </c>
      <c r="M82" s="23" t="str">
        <f>IF(C82="","",[1]!hks_stm_is(C82,"1077",F82,1,"",100000000))</f>
        <v/>
      </c>
      <c r="N82" s="23" t="str">
        <f>IF(C82="","",[1]!hks_stm_is(C82,"1030",F82,1,"",100000000))</f>
        <v/>
      </c>
      <c r="O82" s="23" t="str">
        <f>IF(C82="","",[1]!hks_fa_ebit(C82,F82,1,"",100000000))</f>
        <v/>
      </c>
      <c r="P82" s="25" t="str">
        <f>IF(C82="","",[1]!hks_fa_ebitda(C82,F82,1,"",100000000))</f>
        <v/>
      </c>
      <c r="Q82" s="25" t="str">
        <f>IF(C82="","",[1]!hks_stm_bs(C82,"9",F82,1,"",100000000))</f>
        <v/>
      </c>
      <c r="R82" s="25" t="str">
        <f>IF(C82="","",[1]!hks_stm_bs(C82,"25",F82,1,"",100000000))</f>
        <v/>
      </c>
      <c r="S82" s="25" t="str">
        <f>IF(C82="","",[1]!hks_stm_bs(C82,"1088",F82,1,"",100000000))</f>
        <v/>
      </c>
      <c r="T82" s="25" t="str">
        <f>IF(C82="","",[1]!hks_stm_bs(C82,"46",F82,1,"",100000000))</f>
        <v/>
      </c>
      <c r="U82" s="25" t="str">
        <f>IF(C82="","",[1]!hks_stm_bs(C82,"29",F82,1,"",100000000))</f>
        <v/>
      </c>
      <c r="V82" s="25" t="str">
        <f>IF(C82="","",[1]!hks_stm_bs(C82,"74",F82,1,"",100000000))</f>
        <v/>
      </c>
      <c r="W82" s="25" t="str">
        <f>IF(C82="","",[1]!hks_stm_bs(C82,"93",F82,1,"",100000000))</f>
        <v/>
      </c>
      <c r="X82" s="25" t="str">
        <f>IF(C82="","",[1]!hks_stm_bs(C82,"1017",F82,1,"",100000000))</f>
        <v/>
      </c>
      <c r="Y82" s="25" t="str">
        <f>IF(C82="","",[1]!hks_stm_bs(C82,"128",F82,1,"",100000000))</f>
        <v/>
      </c>
      <c r="Z82" s="25" t="str">
        <f>IF(C82="","",[1]!hks_stm_bs(C82,"145",F82,1,"",100000000))</f>
        <v/>
      </c>
      <c r="AA82" s="25" t="str">
        <f>IF(C82="","",[1]!hks_stm_bs(C82,"140",F82,1,"",100000000))</f>
        <v/>
      </c>
      <c r="AB82" s="25" t="str">
        <f>IF(C82="","",[1]!hks_stm_cs(C82,"39",F82,1,"",100000000))</f>
        <v/>
      </c>
      <c r="AC82" s="25" t="str">
        <f>IF(C82="","",[1]!hks_stm_cs(C82,"1020",F82,1,"",100000000))</f>
        <v/>
      </c>
      <c r="AD82" s="25" t="str">
        <f>IF(C82="","",[1]!hks_stm_cs(C82,"59",F82,1,"",100000000))</f>
        <v/>
      </c>
      <c r="AE82" s="25" t="str">
        <f>IF(C82="","",[1]!hks_stm_cs(C82,"77",F82,1,"",100000000))</f>
        <v/>
      </c>
      <c r="AF82" s="25" t="str">
        <f>IF(C82="","",[1]!hks_stm_cs(C82,"82",F82,1,"",100000000))</f>
        <v/>
      </c>
      <c r="AG82" s="25" t="str">
        <f>IF(C82="","",[1]!hks_stm_cs(C82,"84",F82,1,"",100000000))</f>
        <v/>
      </c>
      <c r="AH82" s="35"/>
    </row>
    <row r="83" spans="1:34" s="36" customFormat="1" ht="16.5" x14ac:dyDescent="0.2">
      <c r="A83" s="2"/>
      <c r="B83" s="6"/>
      <c r="C83" s="28" t="str">
        <f>IF(表1[[#This Row],[列1]]="","",表1[[#This Row],[列1]])</f>
        <v/>
      </c>
      <c r="D83" s="19" t="str">
        <f>IF(C83="","",[1]!hks_info_name(C83))</f>
        <v/>
      </c>
      <c r="E83" s="18" t="str">
        <f ca="1">IF(C83="","",[1]!lastradeday_s(C83,TODAY()))</f>
        <v/>
      </c>
      <c r="F83" s="19" t="str">
        <f>IF(C83="","",IF(OR([1]!s_stm_rpt_e(C83,基本资料!$I$8,0)="#N/A",[1]!s_stm_rpt_e(C83,基本资料!$I$8,0)="",[1]!s_stm_rpt_e(C83,基本资料!$I$8,0)=0),[1]!s_stm_rpt_e(C83,基本资料!$I$9,0),[1]!s_stm_rpt_e(C83,基本资料!$I$8,0)))</f>
        <v/>
      </c>
      <c r="G83" s="19" t="str">
        <f>IF(C83="","",[1]!hks_info_cur2(C83,F83))</f>
        <v/>
      </c>
      <c r="H83" s="27" t="str">
        <f>IF(C83="","",[1]!hks_stm_is(C83,"83",F83,1,"",100000000))</f>
        <v/>
      </c>
      <c r="I83" s="23" t="str">
        <f>IF(C83="","",[1]!hks_stm_is(C83,"1032",F83,1,"",100000000))</f>
        <v/>
      </c>
      <c r="J83" s="23" t="str">
        <f>IF(C83="","",[1]!hks_stm_is(C83,"1041",F83,1,"",100000000))</f>
        <v/>
      </c>
      <c r="K83" s="23" t="str">
        <f>IF(C83="","",[1]!hks_stm_is(C83,"61",F83,1,"",100000000))</f>
        <v/>
      </c>
      <c r="L83" s="23" t="str">
        <f>IF(C83="","",[1]!hks_stm_is(C83,"1075",F83,1,"",100000000))</f>
        <v/>
      </c>
      <c r="M83" s="23" t="str">
        <f>IF(C83="","",[1]!hks_stm_is(C83,"1077",F83,1,"",100000000))</f>
        <v/>
      </c>
      <c r="N83" s="23" t="str">
        <f>IF(C83="","",[1]!hks_stm_is(C83,"1030",F83,1,"",100000000))</f>
        <v/>
      </c>
      <c r="O83" s="23" t="str">
        <f>IF(C83="","",[1]!hks_fa_ebit(C83,F83,1,"",100000000))</f>
        <v/>
      </c>
      <c r="P83" s="25" t="str">
        <f>IF(C83="","",[1]!hks_fa_ebitda(C83,F83,1,"",100000000))</f>
        <v/>
      </c>
      <c r="Q83" s="25" t="str">
        <f>IF(C83="","",[1]!hks_stm_bs(C83,"9",F83,1,"",100000000))</f>
        <v/>
      </c>
      <c r="R83" s="25" t="str">
        <f>IF(C83="","",[1]!hks_stm_bs(C83,"25",F83,1,"",100000000))</f>
        <v/>
      </c>
      <c r="S83" s="25" t="str">
        <f>IF(C83="","",[1]!hks_stm_bs(C83,"1088",F83,1,"",100000000))</f>
        <v/>
      </c>
      <c r="T83" s="25" t="str">
        <f>IF(C83="","",[1]!hks_stm_bs(C83,"46",F83,1,"",100000000))</f>
        <v/>
      </c>
      <c r="U83" s="25" t="str">
        <f>IF(C83="","",[1]!hks_stm_bs(C83,"29",F83,1,"",100000000))</f>
        <v/>
      </c>
      <c r="V83" s="25" t="str">
        <f>IF(C83="","",[1]!hks_stm_bs(C83,"74",F83,1,"",100000000))</f>
        <v/>
      </c>
      <c r="W83" s="25" t="str">
        <f>IF(C83="","",[1]!hks_stm_bs(C83,"93",F83,1,"",100000000))</f>
        <v/>
      </c>
      <c r="X83" s="25" t="str">
        <f>IF(C83="","",[1]!hks_stm_bs(C83,"1017",F83,1,"",100000000))</f>
        <v/>
      </c>
      <c r="Y83" s="25" t="str">
        <f>IF(C83="","",[1]!hks_stm_bs(C83,"128",F83,1,"",100000000))</f>
        <v/>
      </c>
      <c r="Z83" s="25" t="str">
        <f>IF(C83="","",[1]!hks_stm_bs(C83,"145",F83,1,"",100000000))</f>
        <v/>
      </c>
      <c r="AA83" s="25" t="str">
        <f>IF(C83="","",[1]!hks_stm_bs(C83,"140",F83,1,"",100000000))</f>
        <v/>
      </c>
      <c r="AB83" s="25" t="str">
        <f>IF(C83="","",[1]!hks_stm_cs(C83,"39",F83,1,"",100000000))</f>
        <v/>
      </c>
      <c r="AC83" s="25" t="str">
        <f>IF(C83="","",[1]!hks_stm_cs(C83,"1020",F83,1,"",100000000))</f>
        <v/>
      </c>
      <c r="AD83" s="25" t="str">
        <f>IF(C83="","",[1]!hks_stm_cs(C83,"59",F83,1,"",100000000))</f>
        <v/>
      </c>
      <c r="AE83" s="25" t="str">
        <f>IF(C83="","",[1]!hks_stm_cs(C83,"77",F83,1,"",100000000))</f>
        <v/>
      </c>
      <c r="AF83" s="25" t="str">
        <f>IF(C83="","",[1]!hks_stm_cs(C83,"82",F83,1,"",100000000))</f>
        <v/>
      </c>
      <c r="AG83" s="25" t="str">
        <f>IF(C83="","",[1]!hks_stm_cs(C83,"84",F83,1,"",100000000))</f>
        <v/>
      </c>
      <c r="AH83" s="35"/>
    </row>
    <row r="84" spans="1:34" s="36" customFormat="1" ht="16.5" x14ac:dyDescent="0.2">
      <c r="A84" s="2"/>
      <c r="B84" s="6"/>
      <c r="C84" s="28" t="str">
        <f>IF(表1[[#This Row],[列1]]="","",表1[[#This Row],[列1]])</f>
        <v/>
      </c>
      <c r="D84" s="19" t="str">
        <f>IF(C84="","",[1]!hks_info_name(C84))</f>
        <v/>
      </c>
      <c r="E84" s="18" t="str">
        <f ca="1">IF(C84="","",[1]!lastradeday_s(C84,TODAY()))</f>
        <v/>
      </c>
      <c r="F84" s="19" t="str">
        <f>IF(C84="","",IF(OR([1]!s_stm_rpt_e(C84,基本资料!$I$8,0)="#N/A",[1]!s_stm_rpt_e(C84,基本资料!$I$8,0)="",[1]!s_stm_rpt_e(C84,基本资料!$I$8,0)=0),[1]!s_stm_rpt_e(C84,基本资料!$I$9,0),[1]!s_stm_rpt_e(C84,基本资料!$I$8,0)))</f>
        <v/>
      </c>
      <c r="G84" s="19" t="str">
        <f>IF(C84="","",[1]!hks_info_cur2(C84,F84))</f>
        <v/>
      </c>
      <c r="H84" s="27" t="str">
        <f>IF(C84="","",[1]!hks_stm_is(C84,"83",F84,1,"",100000000))</f>
        <v/>
      </c>
      <c r="I84" s="23" t="str">
        <f>IF(C84="","",[1]!hks_stm_is(C84,"1032",F84,1,"",100000000))</f>
        <v/>
      </c>
      <c r="J84" s="23" t="str">
        <f>IF(C84="","",[1]!hks_stm_is(C84,"1041",F84,1,"",100000000))</f>
        <v/>
      </c>
      <c r="K84" s="23" t="str">
        <f>IF(C84="","",[1]!hks_stm_is(C84,"61",F84,1,"",100000000))</f>
        <v/>
      </c>
      <c r="L84" s="23" t="str">
        <f>IF(C84="","",[1]!hks_stm_is(C84,"1075",F84,1,"",100000000))</f>
        <v/>
      </c>
      <c r="M84" s="23" t="str">
        <f>IF(C84="","",[1]!hks_stm_is(C84,"1077",F84,1,"",100000000))</f>
        <v/>
      </c>
      <c r="N84" s="23" t="str">
        <f>IF(C84="","",[1]!hks_stm_is(C84,"1030",F84,1,"",100000000))</f>
        <v/>
      </c>
      <c r="O84" s="23" t="str">
        <f>IF(C84="","",[1]!hks_fa_ebit(C84,F84,1,"",100000000))</f>
        <v/>
      </c>
      <c r="P84" s="25" t="str">
        <f>IF(C84="","",[1]!hks_fa_ebitda(C84,F84,1,"",100000000))</f>
        <v/>
      </c>
      <c r="Q84" s="25" t="str">
        <f>IF(C84="","",[1]!hks_stm_bs(C84,"9",F84,1,"",100000000))</f>
        <v/>
      </c>
      <c r="R84" s="25" t="str">
        <f>IF(C84="","",[1]!hks_stm_bs(C84,"25",F84,1,"",100000000))</f>
        <v/>
      </c>
      <c r="S84" s="25" t="str">
        <f>IF(C84="","",[1]!hks_stm_bs(C84,"1088",F84,1,"",100000000))</f>
        <v/>
      </c>
      <c r="T84" s="25" t="str">
        <f>IF(C84="","",[1]!hks_stm_bs(C84,"46",F84,1,"",100000000))</f>
        <v/>
      </c>
      <c r="U84" s="25" t="str">
        <f>IF(C84="","",[1]!hks_stm_bs(C84,"29",F84,1,"",100000000))</f>
        <v/>
      </c>
      <c r="V84" s="25" t="str">
        <f>IF(C84="","",[1]!hks_stm_bs(C84,"74",F84,1,"",100000000))</f>
        <v/>
      </c>
      <c r="W84" s="25" t="str">
        <f>IF(C84="","",[1]!hks_stm_bs(C84,"93",F84,1,"",100000000))</f>
        <v/>
      </c>
      <c r="X84" s="25" t="str">
        <f>IF(C84="","",[1]!hks_stm_bs(C84,"1017",F84,1,"",100000000))</f>
        <v/>
      </c>
      <c r="Y84" s="25" t="str">
        <f>IF(C84="","",[1]!hks_stm_bs(C84,"128",F84,1,"",100000000))</f>
        <v/>
      </c>
      <c r="Z84" s="25" t="str">
        <f>IF(C84="","",[1]!hks_stm_bs(C84,"145",F84,1,"",100000000))</f>
        <v/>
      </c>
      <c r="AA84" s="25" t="str">
        <f>IF(C84="","",[1]!hks_stm_bs(C84,"140",F84,1,"",100000000))</f>
        <v/>
      </c>
      <c r="AB84" s="25" t="str">
        <f>IF(C84="","",[1]!hks_stm_cs(C84,"39",F84,1,"",100000000))</f>
        <v/>
      </c>
      <c r="AC84" s="25" t="str">
        <f>IF(C84="","",[1]!hks_stm_cs(C84,"1020",F84,1,"",100000000))</f>
        <v/>
      </c>
      <c r="AD84" s="25" t="str">
        <f>IF(C84="","",[1]!hks_stm_cs(C84,"59",F84,1,"",100000000))</f>
        <v/>
      </c>
      <c r="AE84" s="25" t="str">
        <f>IF(C84="","",[1]!hks_stm_cs(C84,"77",F84,1,"",100000000))</f>
        <v/>
      </c>
      <c r="AF84" s="25" t="str">
        <f>IF(C84="","",[1]!hks_stm_cs(C84,"82",F84,1,"",100000000))</f>
        <v/>
      </c>
      <c r="AG84" s="25" t="str">
        <f>IF(C84="","",[1]!hks_stm_cs(C84,"84",F84,1,"",100000000))</f>
        <v/>
      </c>
      <c r="AH84" s="35"/>
    </row>
    <row r="85" spans="1:34" s="36" customFormat="1" ht="16.5" x14ac:dyDescent="0.2">
      <c r="A85" s="2"/>
      <c r="B85" s="6"/>
      <c r="C85" s="28" t="str">
        <f>IF(表1[[#This Row],[列1]]="","",表1[[#This Row],[列1]])</f>
        <v/>
      </c>
      <c r="D85" s="19" t="str">
        <f>IF(C85="","",[1]!hks_info_name(C85))</f>
        <v/>
      </c>
      <c r="E85" s="18" t="str">
        <f ca="1">IF(C85="","",[1]!lastradeday_s(C85,TODAY()))</f>
        <v/>
      </c>
      <c r="F85" s="19" t="str">
        <f>IF(C85="","",IF(OR([1]!s_stm_rpt_e(C85,基本资料!$I$8,0)="#N/A",[1]!s_stm_rpt_e(C85,基本资料!$I$8,0)="",[1]!s_stm_rpt_e(C85,基本资料!$I$8,0)=0),[1]!s_stm_rpt_e(C85,基本资料!$I$9,0),[1]!s_stm_rpt_e(C85,基本资料!$I$8,0)))</f>
        <v/>
      </c>
      <c r="G85" s="19" t="str">
        <f>IF(C85="","",[1]!hks_info_cur2(C85,F85))</f>
        <v/>
      </c>
      <c r="H85" s="27" t="str">
        <f>IF(C85="","",[1]!hks_stm_is(C85,"83",F85,1,"",100000000))</f>
        <v/>
      </c>
      <c r="I85" s="23" t="str">
        <f>IF(C85="","",[1]!hks_stm_is(C85,"1032",F85,1,"",100000000))</f>
        <v/>
      </c>
      <c r="J85" s="23" t="str">
        <f>IF(C85="","",[1]!hks_stm_is(C85,"1041",F85,1,"",100000000))</f>
        <v/>
      </c>
      <c r="K85" s="23" t="str">
        <f>IF(C85="","",[1]!hks_stm_is(C85,"61",F85,1,"",100000000))</f>
        <v/>
      </c>
      <c r="L85" s="23" t="str">
        <f>IF(C85="","",[1]!hks_stm_is(C85,"1075",F85,1,"",100000000))</f>
        <v/>
      </c>
      <c r="M85" s="23" t="str">
        <f>IF(C85="","",[1]!hks_stm_is(C85,"1077",F85,1,"",100000000))</f>
        <v/>
      </c>
      <c r="N85" s="23" t="str">
        <f>IF(C85="","",[1]!hks_stm_is(C85,"1030",F85,1,"",100000000))</f>
        <v/>
      </c>
      <c r="O85" s="23" t="str">
        <f>IF(C85="","",[1]!hks_fa_ebit(C85,F85,1,"",100000000))</f>
        <v/>
      </c>
      <c r="P85" s="25" t="str">
        <f>IF(C85="","",[1]!hks_fa_ebitda(C85,F85,1,"",100000000))</f>
        <v/>
      </c>
      <c r="Q85" s="25" t="str">
        <f>IF(C85="","",[1]!hks_stm_bs(C85,"9",F85,1,"",100000000))</f>
        <v/>
      </c>
      <c r="R85" s="25" t="str">
        <f>IF(C85="","",[1]!hks_stm_bs(C85,"25",F85,1,"",100000000))</f>
        <v/>
      </c>
      <c r="S85" s="25" t="str">
        <f>IF(C85="","",[1]!hks_stm_bs(C85,"1088",F85,1,"",100000000))</f>
        <v/>
      </c>
      <c r="T85" s="25" t="str">
        <f>IF(C85="","",[1]!hks_stm_bs(C85,"46",F85,1,"",100000000))</f>
        <v/>
      </c>
      <c r="U85" s="25" t="str">
        <f>IF(C85="","",[1]!hks_stm_bs(C85,"29",F85,1,"",100000000))</f>
        <v/>
      </c>
      <c r="V85" s="25" t="str">
        <f>IF(C85="","",[1]!hks_stm_bs(C85,"74",F85,1,"",100000000))</f>
        <v/>
      </c>
      <c r="W85" s="25" t="str">
        <f>IF(C85="","",[1]!hks_stm_bs(C85,"93",F85,1,"",100000000))</f>
        <v/>
      </c>
      <c r="X85" s="25" t="str">
        <f>IF(C85="","",[1]!hks_stm_bs(C85,"1017",F85,1,"",100000000))</f>
        <v/>
      </c>
      <c r="Y85" s="25" t="str">
        <f>IF(C85="","",[1]!hks_stm_bs(C85,"128",F85,1,"",100000000))</f>
        <v/>
      </c>
      <c r="Z85" s="25" t="str">
        <f>IF(C85="","",[1]!hks_stm_bs(C85,"145",F85,1,"",100000000))</f>
        <v/>
      </c>
      <c r="AA85" s="25" t="str">
        <f>IF(C85="","",[1]!hks_stm_bs(C85,"140",F85,1,"",100000000))</f>
        <v/>
      </c>
      <c r="AB85" s="25" t="str">
        <f>IF(C85="","",[1]!hks_stm_cs(C85,"39",F85,1,"",100000000))</f>
        <v/>
      </c>
      <c r="AC85" s="25" t="str">
        <f>IF(C85="","",[1]!hks_stm_cs(C85,"1020",F85,1,"",100000000))</f>
        <v/>
      </c>
      <c r="AD85" s="25" t="str">
        <f>IF(C85="","",[1]!hks_stm_cs(C85,"59",F85,1,"",100000000))</f>
        <v/>
      </c>
      <c r="AE85" s="25" t="str">
        <f>IF(C85="","",[1]!hks_stm_cs(C85,"77",F85,1,"",100000000))</f>
        <v/>
      </c>
      <c r="AF85" s="25" t="str">
        <f>IF(C85="","",[1]!hks_stm_cs(C85,"82",F85,1,"",100000000))</f>
        <v/>
      </c>
      <c r="AG85" s="25" t="str">
        <f>IF(C85="","",[1]!hks_stm_cs(C85,"84",F85,1,"",100000000))</f>
        <v/>
      </c>
      <c r="AH85" s="35"/>
    </row>
    <row r="86" spans="1:34" s="36" customFormat="1" ht="16.5" x14ac:dyDescent="0.2">
      <c r="A86" s="2"/>
      <c r="B86" s="6"/>
      <c r="C86" s="28" t="str">
        <f>IF(表1[[#This Row],[列1]]="","",表1[[#This Row],[列1]])</f>
        <v/>
      </c>
      <c r="D86" s="19" t="str">
        <f>IF(C86="","",[1]!hks_info_name(C86))</f>
        <v/>
      </c>
      <c r="E86" s="18" t="str">
        <f ca="1">IF(C86="","",[1]!lastradeday_s(C86,TODAY()))</f>
        <v/>
      </c>
      <c r="F86" s="19" t="str">
        <f>IF(C86="","",IF(OR([1]!s_stm_rpt_e(C86,基本资料!$I$8,0)="#N/A",[1]!s_stm_rpt_e(C86,基本资料!$I$8,0)="",[1]!s_stm_rpt_e(C86,基本资料!$I$8,0)=0),[1]!s_stm_rpt_e(C86,基本资料!$I$9,0),[1]!s_stm_rpt_e(C86,基本资料!$I$8,0)))</f>
        <v/>
      </c>
      <c r="G86" s="19" t="str">
        <f>IF(C86="","",[1]!hks_info_cur2(C86,F86))</f>
        <v/>
      </c>
      <c r="H86" s="27" t="str">
        <f>IF(C86="","",[1]!hks_stm_is(C86,"83",F86,1,"",100000000))</f>
        <v/>
      </c>
      <c r="I86" s="23" t="str">
        <f>IF(C86="","",[1]!hks_stm_is(C86,"1032",F86,1,"",100000000))</f>
        <v/>
      </c>
      <c r="J86" s="23" t="str">
        <f>IF(C86="","",[1]!hks_stm_is(C86,"1041",F86,1,"",100000000))</f>
        <v/>
      </c>
      <c r="K86" s="23" t="str">
        <f>IF(C86="","",[1]!hks_stm_is(C86,"61",F86,1,"",100000000))</f>
        <v/>
      </c>
      <c r="L86" s="23" t="str">
        <f>IF(C86="","",[1]!hks_stm_is(C86,"1075",F86,1,"",100000000))</f>
        <v/>
      </c>
      <c r="M86" s="23" t="str">
        <f>IF(C86="","",[1]!hks_stm_is(C86,"1077",F86,1,"",100000000))</f>
        <v/>
      </c>
      <c r="N86" s="23" t="str">
        <f>IF(C86="","",[1]!hks_stm_is(C86,"1030",F86,1,"",100000000))</f>
        <v/>
      </c>
      <c r="O86" s="23" t="str">
        <f>IF(C86="","",[1]!hks_fa_ebit(C86,F86,1,"",100000000))</f>
        <v/>
      </c>
      <c r="P86" s="25" t="str">
        <f>IF(C86="","",[1]!hks_fa_ebitda(C86,F86,1,"",100000000))</f>
        <v/>
      </c>
      <c r="Q86" s="25" t="str">
        <f>IF(C86="","",[1]!hks_stm_bs(C86,"9",F86,1,"",100000000))</f>
        <v/>
      </c>
      <c r="R86" s="25" t="str">
        <f>IF(C86="","",[1]!hks_stm_bs(C86,"25",F86,1,"",100000000))</f>
        <v/>
      </c>
      <c r="S86" s="25" t="str">
        <f>IF(C86="","",[1]!hks_stm_bs(C86,"1088",F86,1,"",100000000))</f>
        <v/>
      </c>
      <c r="T86" s="25" t="str">
        <f>IF(C86="","",[1]!hks_stm_bs(C86,"46",F86,1,"",100000000))</f>
        <v/>
      </c>
      <c r="U86" s="25" t="str">
        <f>IF(C86="","",[1]!hks_stm_bs(C86,"29",F86,1,"",100000000))</f>
        <v/>
      </c>
      <c r="V86" s="25" t="str">
        <f>IF(C86="","",[1]!hks_stm_bs(C86,"74",F86,1,"",100000000))</f>
        <v/>
      </c>
      <c r="W86" s="25" t="str">
        <f>IF(C86="","",[1]!hks_stm_bs(C86,"93",F86,1,"",100000000))</f>
        <v/>
      </c>
      <c r="X86" s="25" t="str">
        <f>IF(C86="","",[1]!hks_stm_bs(C86,"1017",F86,1,"",100000000))</f>
        <v/>
      </c>
      <c r="Y86" s="25" t="str">
        <f>IF(C86="","",[1]!hks_stm_bs(C86,"128",F86,1,"",100000000))</f>
        <v/>
      </c>
      <c r="Z86" s="25" t="str">
        <f>IF(C86="","",[1]!hks_stm_bs(C86,"145",F86,1,"",100000000))</f>
        <v/>
      </c>
      <c r="AA86" s="25" t="str">
        <f>IF(C86="","",[1]!hks_stm_bs(C86,"140",F86,1,"",100000000))</f>
        <v/>
      </c>
      <c r="AB86" s="25" t="str">
        <f>IF(C86="","",[1]!hks_stm_cs(C86,"39",F86,1,"",100000000))</f>
        <v/>
      </c>
      <c r="AC86" s="25" t="str">
        <f>IF(C86="","",[1]!hks_stm_cs(C86,"1020",F86,1,"",100000000))</f>
        <v/>
      </c>
      <c r="AD86" s="25" t="str">
        <f>IF(C86="","",[1]!hks_stm_cs(C86,"59",F86,1,"",100000000))</f>
        <v/>
      </c>
      <c r="AE86" s="25" t="str">
        <f>IF(C86="","",[1]!hks_stm_cs(C86,"77",F86,1,"",100000000))</f>
        <v/>
      </c>
      <c r="AF86" s="25" t="str">
        <f>IF(C86="","",[1]!hks_stm_cs(C86,"82",F86,1,"",100000000))</f>
        <v/>
      </c>
      <c r="AG86" s="25" t="str">
        <f>IF(C86="","",[1]!hks_stm_cs(C86,"84",F86,1,"",100000000))</f>
        <v/>
      </c>
      <c r="AH86" s="35"/>
    </row>
    <row r="87" spans="1:34" s="36" customFormat="1" ht="16.5" x14ac:dyDescent="0.2">
      <c r="A87" s="2"/>
      <c r="B87" s="6"/>
      <c r="C87" s="28" t="str">
        <f>IF(表1[[#This Row],[列1]]="","",表1[[#This Row],[列1]])</f>
        <v/>
      </c>
      <c r="D87" s="19" t="str">
        <f>IF(C87="","",[1]!hks_info_name(C87))</f>
        <v/>
      </c>
      <c r="E87" s="18" t="str">
        <f ca="1">IF(C87="","",[1]!lastradeday_s(C87,TODAY()))</f>
        <v/>
      </c>
      <c r="F87" s="19" t="str">
        <f>IF(C87="","",IF(OR([1]!s_stm_rpt_e(C87,基本资料!$I$8,0)="#N/A",[1]!s_stm_rpt_e(C87,基本资料!$I$8,0)="",[1]!s_stm_rpt_e(C87,基本资料!$I$8,0)=0),[1]!s_stm_rpt_e(C87,基本资料!$I$9,0),[1]!s_stm_rpt_e(C87,基本资料!$I$8,0)))</f>
        <v/>
      </c>
      <c r="G87" s="19" t="str">
        <f>IF(C87="","",[1]!hks_info_cur2(C87,F87))</f>
        <v/>
      </c>
      <c r="H87" s="27" t="str">
        <f>IF(C87="","",[1]!hks_stm_is(C87,"83",F87,1,"",100000000))</f>
        <v/>
      </c>
      <c r="I87" s="23" t="str">
        <f>IF(C87="","",[1]!hks_stm_is(C87,"1032",F87,1,"",100000000))</f>
        <v/>
      </c>
      <c r="J87" s="23" t="str">
        <f>IF(C87="","",[1]!hks_stm_is(C87,"1041",F87,1,"",100000000))</f>
        <v/>
      </c>
      <c r="K87" s="23" t="str">
        <f>IF(C87="","",[1]!hks_stm_is(C87,"61",F87,1,"",100000000))</f>
        <v/>
      </c>
      <c r="L87" s="23" t="str">
        <f>IF(C87="","",[1]!hks_stm_is(C87,"1075",F87,1,"",100000000))</f>
        <v/>
      </c>
      <c r="M87" s="23" t="str">
        <f>IF(C87="","",[1]!hks_stm_is(C87,"1077",F87,1,"",100000000))</f>
        <v/>
      </c>
      <c r="N87" s="23" t="str">
        <f>IF(C87="","",[1]!hks_stm_is(C87,"1030",F87,1,"",100000000))</f>
        <v/>
      </c>
      <c r="O87" s="23" t="str">
        <f>IF(C87="","",[1]!hks_fa_ebit(C87,F87,1,"",100000000))</f>
        <v/>
      </c>
      <c r="P87" s="25" t="str">
        <f>IF(C87="","",[1]!hks_fa_ebitda(C87,F87,1,"",100000000))</f>
        <v/>
      </c>
      <c r="Q87" s="25" t="str">
        <f>IF(C87="","",[1]!hks_stm_bs(C87,"9",F87,1,"",100000000))</f>
        <v/>
      </c>
      <c r="R87" s="25" t="str">
        <f>IF(C87="","",[1]!hks_stm_bs(C87,"25",F87,1,"",100000000))</f>
        <v/>
      </c>
      <c r="S87" s="25" t="str">
        <f>IF(C87="","",[1]!hks_stm_bs(C87,"1088",F87,1,"",100000000))</f>
        <v/>
      </c>
      <c r="T87" s="25" t="str">
        <f>IF(C87="","",[1]!hks_stm_bs(C87,"46",F87,1,"",100000000))</f>
        <v/>
      </c>
      <c r="U87" s="25" t="str">
        <f>IF(C87="","",[1]!hks_stm_bs(C87,"29",F87,1,"",100000000))</f>
        <v/>
      </c>
      <c r="V87" s="25" t="str">
        <f>IF(C87="","",[1]!hks_stm_bs(C87,"74",F87,1,"",100000000))</f>
        <v/>
      </c>
      <c r="W87" s="25" t="str">
        <f>IF(C87="","",[1]!hks_stm_bs(C87,"93",F87,1,"",100000000))</f>
        <v/>
      </c>
      <c r="X87" s="25" t="str">
        <f>IF(C87="","",[1]!hks_stm_bs(C87,"1017",F87,1,"",100000000))</f>
        <v/>
      </c>
      <c r="Y87" s="25" t="str">
        <f>IF(C87="","",[1]!hks_stm_bs(C87,"128",F87,1,"",100000000))</f>
        <v/>
      </c>
      <c r="Z87" s="25" t="str">
        <f>IF(C87="","",[1]!hks_stm_bs(C87,"145",F87,1,"",100000000))</f>
        <v/>
      </c>
      <c r="AA87" s="25" t="str">
        <f>IF(C87="","",[1]!hks_stm_bs(C87,"140",F87,1,"",100000000))</f>
        <v/>
      </c>
      <c r="AB87" s="25" t="str">
        <f>IF(C87="","",[1]!hks_stm_cs(C87,"39",F87,1,"",100000000))</f>
        <v/>
      </c>
      <c r="AC87" s="25" t="str">
        <f>IF(C87="","",[1]!hks_stm_cs(C87,"1020",F87,1,"",100000000))</f>
        <v/>
      </c>
      <c r="AD87" s="25" t="str">
        <f>IF(C87="","",[1]!hks_stm_cs(C87,"59",F87,1,"",100000000))</f>
        <v/>
      </c>
      <c r="AE87" s="25" t="str">
        <f>IF(C87="","",[1]!hks_stm_cs(C87,"77",F87,1,"",100000000))</f>
        <v/>
      </c>
      <c r="AF87" s="25" t="str">
        <f>IF(C87="","",[1]!hks_stm_cs(C87,"82",F87,1,"",100000000))</f>
        <v/>
      </c>
      <c r="AG87" s="25" t="str">
        <f>IF(C87="","",[1]!hks_stm_cs(C87,"84",F87,1,"",100000000))</f>
        <v/>
      </c>
      <c r="AH87" s="35"/>
    </row>
    <row r="88" spans="1:34" s="36" customFormat="1" ht="16.5" x14ac:dyDescent="0.2">
      <c r="A88" s="2"/>
      <c r="B88" s="6"/>
      <c r="C88" s="28" t="str">
        <f>IF(表1[[#This Row],[列1]]="","",表1[[#This Row],[列1]])</f>
        <v/>
      </c>
      <c r="D88" s="19" t="str">
        <f>IF(C88="","",[1]!hks_info_name(C88))</f>
        <v/>
      </c>
      <c r="E88" s="18" t="str">
        <f ca="1">IF(C88="","",[1]!lastradeday_s(C88,TODAY()))</f>
        <v/>
      </c>
      <c r="F88" s="19" t="str">
        <f>IF(C88="","",IF(OR([1]!s_stm_rpt_e(C88,基本资料!$I$8,0)="#N/A",[1]!s_stm_rpt_e(C88,基本资料!$I$8,0)="",[1]!s_stm_rpt_e(C88,基本资料!$I$8,0)=0),[1]!s_stm_rpt_e(C88,基本资料!$I$9,0),[1]!s_stm_rpt_e(C88,基本资料!$I$8,0)))</f>
        <v/>
      </c>
      <c r="G88" s="19" t="str">
        <f>IF(C88="","",[1]!hks_info_cur2(C88,F88))</f>
        <v/>
      </c>
      <c r="H88" s="27" t="str">
        <f>IF(C88="","",[1]!hks_stm_is(C88,"83",F88,1,"",100000000))</f>
        <v/>
      </c>
      <c r="I88" s="23" t="str">
        <f>IF(C88="","",[1]!hks_stm_is(C88,"1032",F88,1,"",100000000))</f>
        <v/>
      </c>
      <c r="J88" s="23" t="str">
        <f>IF(C88="","",[1]!hks_stm_is(C88,"1041",F88,1,"",100000000))</f>
        <v/>
      </c>
      <c r="K88" s="23" t="str">
        <f>IF(C88="","",[1]!hks_stm_is(C88,"61",F88,1,"",100000000))</f>
        <v/>
      </c>
      <c r="L88" s="23" t="str">
        <f>IF(C88="","",[1]!hks_stm_is(C88,"1075",F88,1,"",100000000))</f>
        <v/>
      </c>
      <c r="M88" s="23" t="str">
        <f>IF(C88="","",[1]!hks_stm_is(C88,"1077",F88,1,"",100000000))</f>
        <v/>
      </c>
      <c r="N88" s="23" t="str">
        <f>IF(C88="","",[1]!hks_stm_is(C88,"1030",F88,1,"",100000000))</f>
        <v/>
      </c>
      <c r="O88" s="23" t="str">
        <f>IF(C88="","",[1]!hks_fa_ebit(C88,F88,1,"",100000000))</f>
        <v/>
      </c>
      <c r="P88" s="25" t="str">
        <f>IF(C88="","",[1]!hks_fa_ebitda(C88,F88,1,"",100000000))</f>
        <v/>
      </c>
      <c r="Q88" s="25" t="str">
        <f>IF(C88="","",[1]!hks_stm_bs(C88,"9",F88,1,"",100000000))</f>
        <v/>
      </c>
      <c r="R88" s="25" t="str">
        <f>IF(C88="","",[1]!hks_stm_bs(C88,"25",F88,1,"",100000000))</f>
        <v/>
      </c>
      <c r="S88" s="25" t="str">
        <f>IF(C88="","",[1]!hks_stm_bs(C88,"1088",F88,1,"",100000000))</f>
        <v/>
      </c>
      <c r="T88" s="25" t="str">
        <f>IF(C88="","",[1]!hks_stm_bs(C88,"46",F88,1,"",100000000))</f>
        <v/>
      </c>
      <c r="U88" s="25" t="str">
        <f>IF(C88="","",[1]!hks_stm_bs(C88,"29",F88,1,"",100000000))</f>
        <v/>
      </c>
      <c r="V88" s="25" t="str">
        <f>IF(C88="","",[1]!hks_stm_bs(C88,"74",F88,1,"",100000000))</f>
        <v/>
      </c>
      <c r="W88" s="25" t="str">
        <f>IF(C88="","",[1]!hks_stm_bs(C88,"93",F88,1,"",100000000))</f>
        <v/>
      </c>
      <c r="X88" s="25" t="str">
        <f>IF(C88="","",[1]!hks_stm_bs(C88,"1017",F88,1,"",100000000))</f>
        <v/>
      </c>
      <c r="Y88" s="25" t="str">
        <f>IF(C88="","",[1]!hks_stm_bs(C88,"128",F88,1,"",100000000))</f>
        <v/>
      </c>
      <c r="Z88" s="25" t="str">
        <f>IF(C88="","",[1]!hks_stm_bs(C88,"145",F88,1,"",100000000))</f>
        <v/>
      </c>
      <c r="AA88" s="25" t="str">
        <f>IF(C88="","",[1]!hks_stm_bs(C88,"140",F88,1,"",100000000))</f>
        <v/>
      </c>
      <c r="AB88" s="25" t="str">
        <f>IF(C88="","",[1]!hks_stm_cs(C88,"39",F88,1,"",100000000))</f>
        <v/>
      </c>
      <c r="AC88" s="25" t="str">
        <f>IF(C88="","",[1]!hks_stm_cs(C88,"1020",F88,1,"",100000000))</f>
        <v/>
      </c>
      <c r="AD88" s="25" t="str">
        <f>IF(C88="","",[1]!hks_stm_cs(C88,"59",F88,1,"",100000000))</f>
        <v/>
      </c>
      <c r="AE88" s="25" t="str">
        <f>IF(C88="","",[1]!hks_stm_cs(C88,"77",F88,1,"",100000000))</f>
        <v/>
      </c>
      <c r="AF88" s="25" t="str">
        <f>IF(C88="","",[1]!hks_stm_cs(C88,"82",F88,1,"",100000000))</f>
        <v/>
      </c>
      <c r="AG88" s="25" t="str">
        <f>IF(C88="","",[1]!hks_stm_cs(C88,"84",F88,1,"",100000000))</f>
        <v/>
      </c>
      <c r="AH88" s="35"/>
    </row>
    <row r="89" spans="1:34" s="36" customFormat="1" ht="16.5" x14ac:dyDescent="0.2">
      <c r="A89" s="2"/>
      <c r="B89" s="6"/>
      <c r="C89" s="28" t="str">
        <f>IF(表1[[#This Row],[列1]]="","",表1[[#This Row],[列1]])</f>
        <v/>
      </c>
      <c r="D89" s="19" t="str">
        <f>IF(C89="","",[1]!hks_info_name(C89))</f>
        <v/>
      </c>
      <c r="E89" s="18" t="str">
        <f ca="1">IF(C89="","",[1]!lastradeday_s(C89,TODAY()))</f>
        <v/>
      </c>
      <c r="F89" s="19" t="str">
        <f>IF(C89="","",IF(OR([1]!s_stm_rpt_e(C89,基本资料!$I$8,0)="#N/A",[1]!s_stm_rpt_e(C89,基本资料!$I$8,0)="",[1]!s_stm_rpt_e(C89,基本资料!$I$8,0)=0),[1]!s_stm_rpt_e(C89,基本资料!$I$9,0),[1]!s_stm_rpt_e(C89,基本资料!$I$8,0)))</f>
        <v/>
      </c>
      <c r="G89" s="19" t="str">
        <f>IF(C89="","",[1]!hks_info_cur2(C89,F89))</f>
        <v/>
      </c>
      <c r="H89" s="27" t="str">
        <f>IF(C89="","",[1]!hks_stm_is(C89,"83",F89,1,"",100000000))</f>
        <v/>
      </c>
      <c r="I89" s="23" t="str">
        <f>IF(C89="","",[1]!hks_stm_is(C89,"1032",F89,1,"",100000000))</f>
        <v/>
      </c>
      <c r="J89" s="23" t="str">
        <f>IF(C89="","",[1]!hks_stm_is(C89,"1041",F89,1,"",100000000))</f>
        <v/>
      </c>
      <c r="K89" s="23" t="str">
        <f>IF(C89="","",[1]!hks_stm_is(C89,"61",F89,1,"",100000000))</f>
        <v/>
      </c>
      <c r="L89" s="23" t="str">
        <f>IF(C89="","",[1]!hks_stm_is(C89,"1075",F89,1,"",100000000))</f>
        <v/>
      </c>
      <c r="M89" s="23" t="str">
        <f>IF(C89="","",[1]!hks_stm_is(C89,"1077",F89,1,"",100000000))</f>
        <v/>
      </c>
      <c r="N89" s="23" t="str">
        <f>IF(C89="","",[1]!hks_stm_is(C89,"1030",F89,1,"",100000000))</f>
        <v/>
      </c>
      <c r="O89" s="23" t="str">
        <f>IF(C89="","",[1]!hks_fa_ebit(C89,F89,1,"",100000000))</f>
        <v/>
      </c>
      <c r="P89" s="25" t="str">
        <f>IF(C89="","",[1]!hks_fa_ebitda(C89,F89,1,"",100000000))</f>
        <v/>
      </c>
      <c r="Q89" s="25" t="str">
        <f>IF(C89="","",[1]!hks_stm_bs(C89,"9",F89,1,"",100000000))</f>
        <v/>
      </c>
      <c r="R89" s="25" t="str">
        <f>IF(C89="","",[1]!hks_stm_bs(C89,"25",F89,1,"",100000000))</f>
        <v/>
      </c>
      <c r="S89" s="25" t="str">
        <f>IF(C89="","",[1]!hks_stm_bs(C89,"1088",F89,1,"",100000000))</f>
        <v/>
      </c>
      <c r="T89" s="25" t="str">
        <f>IF(C89="","",[1]!hks_stm_bs(C89,"46",F89,1,"",100000000))</f>
        <v/>
      </c>
      <c r="U89" s="25" t="str">
        <f>IF(C89="","",[1]!hks_stm_bs(C89,"29",F89,1,"",100000000))</f>
        <v/>
      </c>
      <c r="V89" s="25" t="str">
        <f>IF(C89="","",[1]!hks_stm_bs(C89,"74",F89,1,"",100000000))</f>
        <v/>
      </c>
      <c r="W89" s="25" t="str">
        <f>IF(C89="","",[1]!hks_stm_bs(C89,"93",F89,1,"",100000000))</f>
        <v/>
      </c>
      <c r="X89" s="25" t="str">
        <f>IF(C89="","",[1]!hks_stm_bs(C89,"1017",F89,1,"",100000000))</f>
        <v/>
      </c>
      <c r="Y89" s="25" t="str">
        <f>IF(C89="","",[1]!hks_stm_bs(C89,"128",F89,1,"",100000000))</f>
        <v/>
      </c>
      <c r="Z89" s="25" t="str">
        <f>IF(C89="","",[1]!hks_stm_bs(C89,"145",F89,1,"",100000000))</f>
        <v/>
      </c>
      <c r="AA89" s="25" t="str">
        <f>IF(C89="","",[1]!hks_stm_bs(C89,"140",F89,1,"",100000000))</f>
        <v/>
      </c>
      <c r="AB89" s="25" t="str">
        <f>IF(C89="","",[1]!hks_stm_cs(C89,"39",F89,1,"",100000000))</f>
        <v/>
      </c>
      <c r="AC89" s="25" t="str">
        <f>IF(C89="","",[1]!hks_stm_cs(C89,"1020",F89,1,"",100000000))</f>
        <v/>
      </c>
      <c r="AD89" s="25" t="str">
        <f>IF(C89="","",[1]!hks_stm_cs(C89,"59",F89,1,"",100000000))</f>
        <v/>
      </c>
      <c r="AE89" s="25" t="str">
        <f>IF(C89="","",[1]!hks_stm_cs(C89,"77",F89,1,"",100000000))</f>
        <v/>
      </c>
      <c r="AF89" s="25" t="str">
        <f>IF(C89="","",[1]!hks_stm_cs(C89,"82",F89,1,"",100000000))</f>
        <v/>
      </c>
      <c r="AG89" s="25" t="str">
        <f>IF(C89="","",[1]!hks_stm_cs(C89,"84",F89,1,"",100000000))</f>
        <v/>
      </c>
      <c r="AH89" s="35"/>
    </row>
    <row r="90" spans="1:34" s="36" customFormat="1" ht="16.5" x14ac:dyDescent="0.2">
      <c r="A90" s="2"/>
      <c r="B90" s="6"/>
      <c r="C90" s="28" t="str">
        <f>IF(表1[[#This Row],[列1]]="","",表1[[#This Row],[列1]])</f>
        <v/>
      </c>
      <c r="D90" s="19" t="str">
        <f>IF(C90="","",[1]!hks_info_name(C90))</f>
        <v/>
      </c>
      <c r="E90" s="18" t="str">
        <f ca="1">IF(C90="","",[1]!lastradeday_s(C90,TODAY()))</f>
        <v/>
      </c>
      <c r="F90" s="19" t="str">
        <f>IF(C90="","",IF(OR([1]!s_stm_rpt_e(C90,基本资料!$I$8,0)="#N/A",[1]!s_stm_rpt_e(C90,基本资料!$I$8,0)="",[1]!s_stm_rpt_e(C90,基本资料!$I$8,0)=0),[1]!s_stm_rpt_e(C90,基本资料!$I$9,0),[1]!s_stm_rpt_e(C90,基本资料!$I$8,0)))</f>
        <v/>
      </c>
      <c r="G90" s="19" t="str">
        <f>IF(C90="","",[1]!hks_info_cur2(C90,F90))</f>
        <v/>
      </c>
      <c r="H90" s="27" t="str">
        <f>IF(C90="","",[1]!hks_stm_is(C90,"83",F90,1,"",100000000))</f>
        <v/>
      </c>
      <c r="I90" s="23" t="str">
        <f>IF(C90="","",[1]!hks_stm_is(C90,"1032",F90,1,"",100000000))</f>
        <v/>
      </c>
      <c r="J90" s="23" t="str">
        <f>IF(C90="","",[1]!hks_stm_is(C90,"1041",F90,1,"",100000000))</f>
        <v/>
      </c>
      <c r="K90" s="23" t="str">
        <f>IF(C90="","",[1]!hks_stm_is(C90,"61",F90,1,"",100000000))</f>
        <v/>
      </c>
      <c r="L90" s="23" t="str">
        <f>IF(C90="","",[1]!hks_stm_is(C90,"1075",F90,1,"",100000000))</f>
        <v/>
      </c>
      <c r="M90" s="23" t="str">
        <f>IF(C90="","",[1]!hks_stm_is(C90,"1077",F90,1,"",100000000))</f>
        <v/>
      </c>
      <c r="N90" s="23" t="str">
        <f>IF(C90="","",[1]!hks_stm_is(C90,"1030",F90,1,"",100000000))</f>
        <v/>
      </c>
      <c r="O90" s="23" t="str">
        <f>IF(C90="","",[1]!hks_fa_ebit(C90,F90,1,"",100000000))</f>
        <v/>
      </c>
      <c r="P90" s="25" t="str">
        <f>IF(C90="","",[1]!hks_fa_ebitda(C90,F90,1,"",100000000))</f>
        <v/>
      </c>
      <c r="Q90" s="25" t="str">
        <f>IF(C90="","",[1]!hks_stm_bs(C90,"9",F90,1,"",100000000))</f>
        <v/>
      </c>
      <c r="R90" s="25" t="str">
        <f>IF(C90="","",[1]!hks_stm_bs(C90,"25",F90,1,"",100000000))</f>
        <v/>
      </c>
      <c r="S90" s="25" t="str">
        <f>IF(C90="","",[1]!hks_stm_bs(C90,"1088",F90,1,"",100000000))</f>
        <v/>
      </c>
      <c r="T90" s="25" t="str">
        <f>IF(C90="","",[1]!hks_stm_bs(C90,"46",F90,1,"",100000000))</f>
        <v/>
      </c>
      <c r="U90" s="25" t="str">
        <f>IF(C90="","",[1]!hks_stm_bs(C90,"29",F90,1,"",100000000))</f>
        <v/>
      </c>
      <c r="V90" s="25" t="str">
        <f>IF(C90="","",[1]!hks_stm_bs(C90,"74",F90,1,"",100000000))</f>
        <v/>
      </c>
      <c r="W90" s="25" t="str">
        <f>IF(C90="","",[1]!hks_stm_bs(C90,"93",F90,1,"",100000000))</f>
        <v/>
      </c>
      <c r="X90" s="25" t="str">
        <f>IF(C90="","",[1]!hks_stm_bs(C90,"1017",F90,1,"",100000000))</f>
        <v/>
      </c>
      <c r="Y90" s="25" t="str">
        <f>IF(C90="","",[1]!hks_stm_bs(C90,"128",F90,1,"",100000000))</f>
        <v/>
      </c>
      <c r="Z90" s="25" t="str">
        <f>IF(C90="","",[1]!hks_stm_bs(C90,"145",F90,1,"",100000000))</f>
        <v/>
      </c>
      <c r="AA90" s="25" t="str">
        <f>IF(C90="","",[1]!hks_stm_bs(C90,"140",F90,1,"",100000000))</f>
        <v/>
      </c>
      <c r="AB90" s="25" t="str">
        <f>IF(C90="","",[1]!hks_stm_cs(C90,"39",F90,1,"",100000000))</f>
        <v/>
      </c>
      <c r="AC90" s="25" t="str">
        <f>IF(C90="","",[1]!hks_stm_cs(C90,"1020",F90,1,"",100000000))</f>
        <v/>
      </c>
      <c r="AD90" s="25" t="str">
        <f>IF(C90="","",[1]!hks_stm_cs(C90,"59",F90,1,"",100000000))</f>
        <v/>
      </c>
      <c r="AE90" s="25" t="str">
        <f>IF(C90="","",[1]!hks_stm_cs(C90,"77",F90,1,"",100000000))</f>
        <v/>
      </c>
      <c r="AF90" s="25" t="str">
        <f>IF(C90="","",[1]!hks_stm_cs(C90,"82",F90,1,"",100000000))</f>
        <v/>
      </c>
      <c r="AG90" s="25" t="str">
        <f>IF(C90="","",[1]!hks_stm_cs(C90,"84",F90,1,"",100000000))</f>
        <v/>
      </c>
      <c r="AH90" s="35"/>
    </row>
    <row r="91" spans="1:34" s="36" customFormat="1" ht="16.5" x14ac:dyDescent="0.2">
      <c r="A91" s="2"/>
      <c r="B91" s="6"/>
      <c r="C91" s="28" t="str">
        <f>IF(表1[[#This Row],[列1]]="","",表1[[#This Row],[列1]])</f>
        <v/>
      </c>
      <c r="D91" s="19" t="str">
        <f>IF(C91="","",[1]!hks_info_name(C91))</f>
        <v/>
      </c>
      <c r="E91" s="18" t="str">
        <f ca="1">IF(C91="","",[1]!lastradeday_s(C91,TODAY()))</f>
        <v/>
      </c>
      <c r="F91" s="19" t="str">
        <f>IF(C91="","",IF(OR([1]!s_stm_rpt_e(C91,基本资料!$I$8,0)="#N/A",[1]!s_stm_rpt_e(C91,基本资料!$I$8,0)="",[1]!s_stm_rpt_e(C91,基本资料!$I$8,0)=0),[1]!s_stm_rpt_e(C91,基本资料!$I$9,0),[1]!s_stm_rpt_e(C91,基本资料!$I$8,0)))</f>
        <v/>
      </c>
      <c r="G91" s="19" t="str">
        <f>IF(C91="","",[1]!hks_info_cur2(C91,F91))</f>
        <v/>
      </c>
      <c r="H91" s="27" t="str">
        <f>IF(C91="","",[1]!hks_stm_is(C91,"83",F91,1,"",100000000))</f>
        <v/>
      </c>
      <c r="I91" s="23" t="str">
        <f>IF(C91="","",[1]!hks_stm_is(C91,"1032",F91,1,"",100000000))</f>
        <v/>
      </c>
      <c r="J91" s="23" t="str">
        <f>IF(C91="","",[1]!hks_stm_is(C91,"1041",F91,1,"",100000000))</f>
        <v/>
      </c>
      <c r="K91" s="23" t="str">
        <f>IF(C91="","",[1]!hks_stm_is(C91,"61",F91,1,"",100000000))</f>
        <v/>
      </c>
      <c r="L91" s="23" t="str">
        <f>IF(C91="","",[1]!hks_stm_is(C91,"1075",F91,1,"",100000000))</f>
        <v/>
      </c>
      <c r="M91" s="23" t="str">
        <f>IF(C91="","",[1]!hks_stm_is(C91,"1077",F91,1,"",100000000))</f>
        <v/>
      </c>
      <c r="N91" s="23" t="str">
        <f>IF(C91="","",[1]!hks_stm_is(C91,"1030",F91,1,"",100000000))</f>
        <v/>
      </c>
      <c r="O91" s="23" t="str">
        <f>IF(C91="","",[1]!hks_fa_ebit(C91,F91,1,"",100000000))</f>
        <v/>
      </c>
      <c r="P91" s="25" t="str">
        <f>IF(C91="","",[1]!hks_fa_ebitda(C91,F91,1,"",100000000))</f>
        <v/>
      </c>
      <c r="Q91" s="25" t="str">
        <f>IF(C91="","",[1]!hks_stm_bs(C91,"9",F91,1,"",100000000))</f>
        <v/>
      </c>
      <c r="R91" s="25" t="str">
        <f>IF(C91="","",[1]!hks_stm_bs(C91,"25",F91,1,"",100000000))</f>
        <v/>
      </c>
      <c r="S91" s="25" t="str">
        <f>IF(C91="","",[1]!hks_stm_bs(C91,"1088",F91,1,"",100000000))</f>
        <v/>
      </c>
      <c r="T91" s="25" t="str">
        <f>IF(C91="","",[1]!hks_stm_bs(C91,"46",F91,1,"",100000000))</f>
        <v/>
      </c>
      <c r="U91" s="25" t="str">
        <f>IF(C91="","",[1]!hks_stm_bs(C91,"29",F91,1,"",100000000))</f>
        <v/>
      </c>
      <c r="V91" s="25" t="str">
        <f>IF(C91="","",[1]!hks_stm_bs(C91,"74",F91,1,"",100000000))</f>
        <v/>
      </c>
      <c r="W91" s="25" t="str">
        <f>IF(C91="","",[1]!hks_stm_bs(C91,"93",F91,1,"",100000000))</f>
        <v/>
      </c>
      <c r="X91" s="25" t="str">
        <f>IF(C91="","",[1]!hks_stm_bs(C91,"1017",F91,1,"",100000000))</f>
        <v/>
      </c>
      <c r="Y91" s="25" t="str">
        <f>IF(C91="","",[1]!hks_stm_bs(C91,"128",F91,1,"",100000000))</f>
        <v/>
      </c>
      <c r="Z91" s="25" t="str">
        <f>IF(C91="","",[1]!hks_stm_bs(C91,"145",F91,1,"",100000000))</f>
        <v/>
      </c>
      <c r="AA91" s="25" t="str">
        <f>IF(C91="","",[1]!hks_stm_bs(C91,"140",F91,1,"",100000000))</f>
        <v/>
      </c>
      <c r="AB91" s="25" t="str">
        <f>IF(C91="","",[1]!hks_stm_cs(C91,"39",F91,1,"",100000000))</f>
        <v/>
      </c>
      <c r="AC91" s="25" t="str">
        <f>IF(C91="","",[1]!hks_stm_cs(C91,"1020",F91,1,"",100000000))</f>
        <v/>
      </c>
      <c r="AD91" s="25" t="str">
        <f>IF(C91="","",[1]!hks_stm_cs(C91,"59",F91,1,"",100000000))</f>
        <v/>
      </c>
      <c r="AE91" s="25" t="str">
        <f>IF(C91="","",[1]!hks_stm_cs(C91,"77",F91,1,"",100000000))</f>
        <v/>
      </c>
      <c r="AF91" s="25" t="str">
        <f>IF(C91="","",[1]!hks_stm_cs(C91,"82",F91,1,"",100000000))</f>
        <v/>
      </c>
      <c r="AG91" s="25" t="str">
        <f>IF(C91="","",[1]!hks_stm_cs(C91,"84",F91,1,"",100000000))</f>
        <v/>
      </c>
      <c r="AH91" s="35"/>
    </row>
    <row r="92" spans="1:34" s="36" customFormat="1" ht="16.5" x14ac:dyDescent="0.2">
      <c r="A92" s="2"/>
      <c r="B92" s="6"/>
      <c r="C92" s="28" t="str">
        <f>IF(表1[[#This Row],[列1]]="","",表1[[#This Row],[列1]])</f>
        <v/>
      </c>
      <c r="D92" s="19" t="str">
        <f>IF(C92="","",[1]!hks_info_name(C92))</f>
        <v/>
      </c>
      <c r="E92" s="18" t="str">
        <f ca="1">IF(C92="","",[1]!lastradeday_s(C92,TODAY()))</f>
        <v/>
      </c>
      <c r="F92" s="19" t="str">
        <f>IF(C92="","",IF(OR([1]!s_stm_rpt_e(C92,基本资料!$I$8,0)="#N/A",[1]!s_stm_rpt_e(C92,基本资料!$I$8,0)="",[1]!s_stm_rpt_e(C92,基本资料!$I$8,0)=0),[1]!s_stm_rpt_e(C92,基本资料!$I$9,0),[1]!s_stm_rpt_e(C92,基本资料!$I$8,0)))</f>
        <v/>
      </c>
      <c r="G92" s="19" t="str">
        <f>IF(C92="","",[1]!hks_info_cur2(C92,F92))</f>
        <v/>
      </c>
      <c r="H92" s="27" t="str">
        <f>IF(C92="","",[1]!hks_stm_is(C92,"83",F92,1,"",100000000))</f>
        <v/>
      </c>
      <c r="I92" s="23" t="str">
        <f>IF(C92="","",[1]!hks_stm_is(C92,"1032",F92,1,"",100000000))</f>
        <v/>
      </c>
      <c r="J92" s="23" t="str">
        <f>IF(C92="","",[1]!hks_stm_is(C92,"1041",F92,1,"",100000000))</f>
        <v/>
      </c>
      <c r="K92" s="23" t="str">
        <f>IF(C92="","",[1]!hks_stm_is(C92,"61",F92,1,"",100000000))</f>
        <v/>
      </c>
      <c r="L92" s="23" t="str">
        <f>IF(C92="","",[1]!hks_stm_is(C92,"1075",F92,1,"",100000000))</f>
        <v/>
      </c>
      <c r="M92" s="23" t="str">
        <f>IF(C92="","",[1]!hks_stm_is(C92,"1077",F92,1,"",100000000))</f>
        <v/>
      </c>
      <c r="N92" s="23" t="str">
        <f>IF(C92="","",[1]!hks_stm_is(C92,"1030",F92,1,"",100000000))</f>
        <v/>
      </c>
      <c r="O92" s="23" t="str">
        <f>IF(C92="","",[1]!hks_fa_ebit(C92,F92,1,"",100000000))</f>
        <v/>
      </c>
      <c r="P92" s="25" t="str">
        <f>IF(C92="","",[1]!hks_fa_ebitda(C92,F92,1,"",100000000))</f>
        <v/>
      </c>
      <c r="Q92" s="25" t="str">
        <f>IF(C92="","",[1]!hks_stm_bs(C92,"9",F92,1,"",100000000))</f>
        <v/>
      </c>
      <c r="R92" s="25" t="str">
        <f>IF(C92="","",[1]!hks_stm_bs(C92,"25",F92,1,"",100000000))</f>
        <v/>
      </c>
      <c r="S92" s="25" t="str">
        <f>IF(C92="","",[1]!hks_stm_bs(C92,"1088",F92,1,"",100000000))</f>
        <v/>
      </c>
      <c r="T92" s="25" t="str">
        <f>IF(C92="","",[1]!hks_stm_bs(C92,"46",F92,1,"",100000000))</f>
        <v/>
      </c>
      <c r="U92" s="25" t="str">
        <f>IF(C92="","",[1]!hks_stm_bs(C92,"29",F92,1,"",100000000))</f>
        <v/>
      </c>
      <c r="V92" s="25" t="str">
        <f>IF(C92="","",[1]!hks_stm_bs(C92,"74",F92,1,"",100000000))</f>
        <v/>
      </c>
      <c r="W92" s="25" t="str">
        <f>IF(C92="","",[1]!hks_stm_bs(C92,"93",F92,1,"",100000000))</f>
        <v/>
      </c>
      <c r="X92" s="25" t="str">
        <f>IF(C92="","",[1]!hks_stm_bs(C92,"1017",F92,1,"",100000000))</f>
        <v/>
      </c>
      <c r="Y92" s="25" t="str">
        <f>IF(C92="","",[1]!hks_stm_bs(C92,"128",F92,1,"",100000000))</f>
        <v/>
      </c>
      <c r="Z92" s="25" t="str">
        <f>IF(C92="","",[1]!hks_stm_bs(C92,"145",F92,1,"",100000000))</f>
        <v/>
      </c>
      <c r="AA92" s="25" t="str">
        <f>IF(C92="","",[1]!hks_stm_bs(C92,"140",F92,1,"",100000000))</f>
        <v/>
      </c>
      <c r="AB92" s="25" t="str">
        <f>IF(C92="","",[1]!hks_stm_cs(C92,"39",F92,1,"",100000000))</f>
        <v/>
      </c>
      <c r="AC92" s="25" t="str">
        <f>IF(C92="","",[1]!hks_stm_cs(C92,"1020",F92,1,"",100000000))</f>
        <v/>
      </c>
      <c r="AD92" s="25" t="str">
        <f>IF(C92="","",[1]!hks_stm_cs(C92,"59",F92,1,"",100000000))</f>
        <v/>
      </c>
      <c r="AE92" s="25" t="str">
        <f>IF(C92="","",[1]!hks_stm_cs(C92,"77",F92,1,"",100000000))</f>
        <v/>
      </c>
      <c r="AF92" s="25" t="str">
        <f>IF(C92="","",[1]!hks_stm_cs(C92,"82",F92,1,"",100000000))</f>
        <v/>
      </c>
      <c r="AG92" s="25" t="str">
        <f>IF(C92="","",[1]!hks_stm_cs(C92,"84",F92,1,"",100000000))</f>
        <v/>
      </c>
      <c r="AH92" s="35"/>
    </row>
    <row r="93" spans="1:34" s="36" customFormat="1" ht="16.5" x14ac:dyDescent="0.2">
      <c r="A93" s="2"/>
      <c r="B93" s="6"/>
      <c r="C93" s="28" t="str">
        <f>IF(表1[[#This Row],[列1]]="","",表1[[#This Row],[列1]])</f>
        <v/>
      </c>
      <c r="D93" s="19" t="str">
        <f>IF(C93="","",[1]!hks_info_name(C93))</f>
        <v/>
      </c>
      <c r="E93" s="18" t="str">
        <f ca="1">IF(C93="","",[1]!lastradeday_s(C93,TODAY()))</f>
        <v/>
      </c>
      <c r="F93" s="19" t="str">
        <f>IF(C93="","",IF(OR([1]!s_stm_rpt_e(C93,基本资料!$I$8,0)="#N/A",[1]!s_stm_rpt_e(C93,基本资料!$I$8,0)="",[1]!s_stm_rpt_e(C93,基本资料!$I$8,0)=0),[1]!s_stm_rpt_e(C93,基本资料!$I$9,0),[1]!s_stm_rpt_e(C93,基本资料!$I$8,0)))</f>
        <v/>
      </c>
      <c r="G93" s="19" t="str">
        <f>IF(C93="","",[1]!hks_info_cur2(C93,F93))</f>
        <v/>
      </c>
      <c r="H93" s="27" t="str">
        <f>IF(C93="","",[1]!hks_stm_is(C93,"83",F93,1,"",100000000))</f>
        <v/>
      </c>
      <c r="I93" s="23" t="str">
        <f>IF(C93="","",[1]!hks_stm_is(C93,"1032",F93,1,"",100000000))</f>
        <v/>
      </c>
      <c r="J93" s="23" t="str">
        <f>IF(C93="","",[1]!hks_stm_is(C93,"1041",F93,1,"",100000000))</f>
        <v/>
      </c>
      <c r="K93" s="23" t="str">
        <f>IF(C93="","",[1]!hks_stm_is(C93,"61",F93,1,"",100000000))</f>
        <v/>
      </c>
      <c r="L93" s="23" t="str">
        <f>IF(C93="","",[1]!hks_stm_is(C93,"1075",F93,1,"",100000000))</f>
        <v/>
      </c>
      <c r="M93" s="23" t="str">
        <f>IF(C93="","",[1]!hks_stm_is(C93,"1077",F93,1,"",100000000))</f>
        <v/>
      </c>
      <c r="N93" s="23" t="str">
        <f>IF(C93="","",[1]!hks_stm_is(C93,"1030",F93,1,"",100000000))</f>
        <v/>
      </c>
      <c r="O93" s="23" t="str">
        <f>IF(C93="","",[1]!hks_fa_ebit(C93,F93,1,"",100000000))</f>
        <v/>
      </c>
      <c r="P93" s="25" t="str">
        <f>IF(C93="","",[1]!hks_fa_ebitda(C93,F93,1,"",100000000))</f>
        <v/>
      </c>
      <c r="Q93" s="25" t="str">
        <f>IF(C93="","",[1]!hks_stm_bs(C93,"9",F93,1,"",100000000))</f>
        <v/>
      </c>
      <c r="R93" s="25" t="str">
        <f>IF(C93="","",[1]!hks_stm_bs(C93,"25",F93,1,"",100000000))</f>
        <v/>
      </c>
      <c r="S93" s="25" t="str">
        <f>IF(C93="","",[1]!hks_stm_bs(C93,"1088",F93,1,"",100000000))</f>
        <v/>
      </c>
      <c r="T93" s="25" t="str">
        <f>IF(C93="","",[1]!hks_stm_bs(C93,"46",F93,1,"",100000000))</f>
        <v/>
      </c>
      <c r="U93" s="25" t="str">
        <f>IF(C93="","",[1]!hks_stm_bs(C93,"29",F93,1,"",100000000))</f>
        <v/>
      </c>
      <c r="V93" s="25" t="str">
        <f>IF(C93="","",[1]!hks_stm_bs(C93,"74",F93,1,"",100000000))</f>
        <v/>
      </c>
      <c r="W93" s="25" t="str">
        <f>IF(C93="","",[1]!hks_stm_bs(C93,"93",F93,1,"",100000000))</f>
        <v/>
      </c>
      <c r="X93" s="25" t="str">
        <f>IF(C93="","",[1]!hks_stm_bs(C93,"1017",F93,1,"",100000000))</f>
        <v/>
      </c>
      <c r="Y93" s="25" t="str">
        <f>IF(C93="","",[1]!hks_stm_bs(C93,"128",F93,1,"",100000000))</f>
        <v/>
      </c>
      <c r="Z93" s="25" t="str">
        <f>IF(C93="","",[1]!hks_stm_bs(C93,"145",F93,1,"",100000000))</f>
        <v/>
      </c>
      <c r="AA93" s="25" t="str">
        <f>IF(C93="","",[1]!hks_stm_bs(C93,"140",F93,1,"",100000000))</f>
        <v/>
      </c>
      <c r="AB93" s="25" t="str">
        <f>IF(C93="","",[1]!hks_stm_cs(C93,"39",F93,1,"",100000000))</f>
        <v/>
      </c>
      <c r="AC93" s="25" t="str">
        <f>IF(C93="","",[1]!hks_stm_cs(C93,"1020",F93,1,"",100000000))</f>
        <v/>
      </c>
      <c r="AD93" s="25" t="str">
        <f>IF(C93="","",[1]!hks_stm_cs(C93,"59",F93,1,"",100000000))</f>
        <v/>
      </c>
      <c r="AE93" s="25" t="str">
        <f>IF(C93="","",[1]!hks_stm_cs(C93,"77",F93,1,"",100000000))</f>
        <v/>
      </c>
      <c r="AF93" s="25" t="str">
        <f>IF(C93="","",[1]!hks_stm_cs(C93,"82",F93,1,"",100000000))</f>
        <v/>
      </c>
      <c r="AG93" s="25" t="str">
        <f>IF(C93="","",[1]!hks_stm_cs(C93,"84",F93,1,"",100000000))</f>
        <v/>
      </c>
      <c r="AH93" s="35"/>
    </row>
    <row r="94" spans="1:34" s="36" customFormat="1" ht="16.5" x14ac:dyDescent="0.2">
      <c r="A94" s="2"/>
      <c r="B94" s="6"/>
      <c r="C94" s="28" t="str">
        <f>IF(表1[[#This Row],[列1]]="","",表1[[#This Row],[列1]])</f>
        <v/>
      </c>
      <c r="D94" s="19" t="str">
        <f>IF(C94="","",[1]!hks_info_name(C94))</f>
        <v/>
      </c>
      <c r="E94" s="18" t="str">
        <f ca="1">IF(C94="","",[1]!lastradeday_s(C94,TODAY()))</f>
        <v/>
      </c>
      <c r="F94" s="19" t="str">
        <f>IF(C94="","",IF(OR([1]!s_stm_rpt_e(C94,基本资料!$I$8,0)="#N/A",[1]!s_stm_rpt_e(C94,基本资料!$I$8,0)="",[1]!s_stm_rpt_e(C94,基本资料!$I$8,0)=0),[1]!s_stm_rpt_e(C94,基本资料!$I$9,0),[1]!s_stm_rpt_e(C94,基本资料!$I$8,0)))</f>
        <v/>
      </c>
      <c r="G94" s="19" t="str">
        <f>IF(C94="","",[1]!hks_info_cur2(C94,F94))</f>
        <v/>
      </c>
      <c r="H94" s="27" t="str">
        <f>IF(C94="","",[1]!hks_stm_is(C94,"83",F94,1,"",100000000))</f>
        <v/>
      </c>
      <c r="I94" s="23" t="str">
        <f>IF(C94="","",[1]!hks_stm_is(C94,"1032",F94,1,"",100000000))</f>
        <v/>
      </c>
      <c r="J94" s="23" t="str">
        <f>IF(C94="","",[1]!hks_stm_is(C94,"1041",F94,1,"",100000000))</f>
        <v/>
      </c>
      <c r="K94" s="23" t="str">
        <f>IF(C94="","",[1]!hks_stm_is(C94,"61",F94,1,"",100000000))</f>
        <v/>
      </c>
      <c r="L94" s="23" t="str">
        <f>IF(C94="","",[1]!hks_stm_is(C94,"1075",F94,1,"",100000000))</f>
        <v/>
      </c>
      <c r="M94" s="23" t="str">
        <f>IF(C94="","",[1]!hks_stm_is(C94,"1077",F94,1,"",100000000))</f>
        <v/>
      </c>
      <c r="N94" s="23" t="str">
        <f>IF(C94="","",[1]!hks_stm_is(C94,"1030",F94,1,"",100000000))</f>
        <v/>
      </c>
      <c r="O94" s="23" t="str">
        <f>IF(C94="","",[1]!hks_fa_ebit(C94,F94,1,"",100000000))</f>
        <v/>
      </c>
      <c r="P94" s="25" t="str">
        <f>IF(C94="","",[1]!hks_fa_ebitda(C94,F94,1,"",100000000))</f>
        <v/>
      </c>
      <c r="Q94" s="25" t="str">
        <f>IF(C94="","",[1]!hks_stm_bs(C94,"9",F94,1,"",100000000))</f>
        <v/>
      </c>
      <c r="R94" s="25" t="str">
        <f>IF(C94="","",[1]!hks_stm_bs(C94,"25",F94,1,"",100000000))</f>
        <v/>
      </c>
      <c r="S94" s="25" t="str">
        <f>IF(C94="","",[1]!hks_stm_bs(C94,"1088",F94,1,"",100000000))</f>
        <v/>
      </c>
      <c r="T94" s="25" t="str">
        <f>IF(C94="","",[1]!hks_stm_bs(C94,"46",F94,1,"",100000000))</f>
        <v/>
      </c>
      <c r="U94" s="25" t="str">
        <f>IF(C94="","",[1]!hks_stm_bs(C94,"29",F94,1,"",100000000))</f>
        <v/>
      </c>
      <c r="V94" s="25" t="str">
        <f>IF(C94="","",[1]!hks_stm_bs(C94,"74",F94,1,"",100000000))</f>
        <v/>
      </c>
      <c r="W94" s="25" t="str">
        <f>IF(C94="","",[1]!hks_stm_bs(C94,"93",F94,1,"",100000000))</f>
        <v/>
      </c>
      <c r="X94" s="25" t="str">
        <f>IF(C94="","",[1]!hks_stm_bs(C94,"1017",F94,1,"",100000000))</f>
        <v/>
      </c>
      <c r="Y94" s="25" t="str">
        <f>IF(C94="","",[1]!hks_stm_bs(C94,"128",F94,1,"",100000000))</f>
        <v/>
      </c>
      <c r="Z94" s="25" t="str">
        <f>IF(C94="","",[1]!hks_stm_bs(C94,"145",F94,1,"",100000000))</f>
        <v/>
      </c>
      <c r="AA94" s="25" t="str">
        <f>IF(C94="","",[1]!hks_stm_bs(C94,"140",F94,1,"",100000000))</f>
        <v/>
      </c>
      <c r="AB94" s="25" t="str">
        <f>IF(C94="","",[1]!hks_stm_cs(C94,"39",F94,1,"",100000000))</f>
        <v/>
      </c>
      <c r="AC94" s="25" t="str">
        <f>IF(C94="","",[1]!hks_stm_cs(C94,"1020",F94,1,"",100000000))</f>
        <v/>
      </c>
      <c r="AD94" s="25" t="str">
        <f>IF(C94="","",[1]!hks_stm_cs(C94,"59",F94,1,"",100000000))</f>
        <v/>
      </c>
      <c r="AE94" s="25" t="str">
        <f>IF(C94="","",[1]!hks_stm_cs(C94,"77",F94,1,"",100000000))</f>
        <v/>
      </c>
      <c r="AF94" s="25" t="str">
        <f>IF(C94="","",[1]!hks_stm_cs(C94,"82",F94,1,"",100000000))</f>
        <v/>
      </c>
      <c r="AG94" s="25" t="str">
        <f>IF(C94="","",[1]!hks_stm_cs(C94,"84",F94,1,"",100000000))</f>
        <v/>
      </c>
      <c r="AH94" s="35"/>
    </row>
    <row r="95" spans="1:34" s="36" customFormat="1" ht="16.5" x14ac:dyDescent="0.2">
      <c r="A95" s="2"/>
      <c r="B95" s="6"/>
      <c r="C95" s="28" t="str">
        <f>IF(表1[[#This Row],[列1]]="","",表1[[#This Row],[列1]])</f>
        <v/>
      </c>
      <c r="D95" s="19" t="str">
        <f>IF(C95="","",[1]!hks_info_name(C95))</f>
        <v/>
      </c>
      <c r="E95" s="18" t="str">
        <f ca="1">IF(C95="","",[1]!lastradeday_s(C95,TODAY()))</f>
        <v/>
      </c>
      <c r="F95" s="19" t="str">
        <f>IF(C95="","",IF(OR([1]!s_stm_rpt_e(C95,基本资料!$I$8,0)="#N/A",[1]!s_stm_rpt_e(C95,基本资料!$I$8,0)="",[1]!s_stm_rpt_e(C95,基本资料!$I$8,0)=0),[1]!s_stm_rpt_e(C95,基本资料!$I$9,0),[1]!s_stm_rpt_e(C95,基本资料!$I$8,0)))</f>
        <v/>
      </c>
      <c r="G95" s="19" t="str">
        <f>IF(C95="","",[1]!hks_info_cur2(C95,F95))</f>
        <v/>
      </c>
      <c r="H95" s="27" t="str">
        <f>IF(C95="","",[1]!hks_stm_is(C95,"83",F95,1,"",100000000))</f>
        <v/>
      </c>
      <c r="I95" s="23" t="str">
        <f>IF(C95="","",[1]!hks_stm_is(C95,"1032",F95,1,"",100000000))</f>
        <v/>
      </c>
      <c r="J95" s="23" t="str">
        <f>IF(C95="","",[1]!hks_stm_is(C95,"1041",F95,1,"",100000000))</f>
        <v/>
      </c>
      <c r="K95" s="23" t="str">
        <f>IF(C95="","",[1]!hks_stm_is(C95,"61",F95,1,"",100000000))</f>
        <v/>
      </c>
      <c r="L95" s="23" t="str">
        <f>IF(C95="","",[1]!hks_stm_is(C95,"1075",F95,1,"",100000000))</f>
        <v/>
      </c>
      <c r="M95" s="23" t="str">
        <f>IF(C95="","",[1]!hks_stm_is(C95,"1077",F95,1,"",100000000))</f>
        <v/>
      </c>
      <c r="N95" s="23" t="str">
        <f>IF(C95="","",[1]!hks_stm_is(C95,"1030",F95,1,"",100000000))</f>
        <v/>
      </c>
      <c r="O95" s="23" t="str">
        <f>IF(C95="","",[1]!hks_fa_ebit(C95,F95,1,"",100000000))</f>
        <v/>
      </c>
      <c r="P95" s="25" t="str">
        <f>IF(C95="","",[1]!hks_fa_ebitda(C95,F95,1,"",100000000))</f>
        <v/>
      </c>
      <c r="Q95" s="25" t="str">
        <f>IF(C95="","",[1]!hks_stm_bs(C95,"9",F95,1,"",100000000))</f>
        <v/>
      </c>
      <c r="R95" s="25" t="str">
        <f>IF(C95="","",[1]!hks_stm_bs(C95,"25",F95,1,"",100000000))</f>
        <v/>
      </c>
      <c r="S95" s="25" t="str">
        <f>IF(C95="","",[1]!hks_stm_bs(C95,"1088",F95,1,"",100000000))</f>
        <v/>
      </c>
      <c r="T95" s="25" t="str">
        <f>IF(C95="","",[1]!hks_stm_bs(C95,"46",F95,1,"",100000000))</f>
        <v/>
      </c>
      <c r="U95" s="25" t="str">
        <f>IF(C95="","",[1]!hks_stm_bs(C95,"29",F95,1,"",100000000))</f>
        <v/>
      </c>
      <c r="V95" s="25" t="str">
        <f>IF(C95="","",[1]!hks_stm_bs(C95,"74",F95,1,"",100000000))</f>
        <v/>
      </c>
      <c r="W95" s="25" t="str">
        <f>IF(C95="","",[1]!hks_stm_bs(C95,"93",F95,1,"",100000000))</f>
        <v/>
      </c>
      <c r="X95" s="25" t="str">
        <f>IF(C95="","",[1]!hks_stm_bs(C95,"1017",F95,1,"",100000000))</f>
        <v/>
      </c>
      <c r="Y95" s="25" t="str">
        <f>IF(C95="","",[1]!hks_stm_bs(C95,"128",F95,1,"",100000000))</f>
        <v/>
      </c>
      <c r="Z95" s="25" t="str">
        <f>IF(C95="","",[1]!hks_stm_bs(C95,"145",F95,1,"",100000000))</f>
        <v/>
      </c>
      <c r="AA95" s="25" t="str">
        <f>IF(C95="","",[1]!hks_stm_bs(C95,"140",F95,1,"",100000000))</f>
        <v/>
      </c>
      <c r="AB95" s="25" t="str">
        <f>IF(C95="","",[1]!hks_stm_cs(C95,"39",F95,1,"",100000000))</f>
        <v/>
      </c>
      <c r="AC95" s="25" t="str">
        <f>IF(C95="","",[1]!hks_stm_cs(C95,"1020",F95,1,"",100000000))</f>
        <v/>
      </c>
      <c r="AD95" s="25" t="str">
        <f>IF(C95="","",[1]!hks_stm_cs(C95,"59",F95,1,"",100000000))</f>
        <v/>
      </c>
      <c r="AE95" s="25" t="str">
        <f>IF(C95="","",[1]!hks_stm_cs(C95,"77",F95,1,"",100000000))</f>
        <v/>
      </c>
      <c r="AF95" s="25" t="str">
        <f>IF(C95="","",[1]!hks_stm_cs(C95,"82",F95,1,"",100000000))</f>
        <v/>
      </c>
      <c r="AG95" s="25" t="str">
        <f>IF(C95="","",[1]!hks_stm_cs(C95,"84",F95,1,"",100000000))</f>
        <v/>
      </c>
      <c r="AH95" s="35"/>
    </row>
    <row r="96" spans="1:34" s="36" customFormat="1" ht="16.5" x14ac:dyDescent="0.2">
      <c r="A96" s="2"/>
      <c r="B96" s="6"/>
      <c r="C96" s="28" t="str">
        <f>IF(表1[[#This Row],[列1]]="","",表1[[#This Row],[列1]])</f>
        <v/>
      </c>
      <c r="D96" s="19" t="str">
        <f>IF(C96="","",[1]!hks_info_name(C96))</f>
        <v/>
      </c>
      <c r="E96" s="18" t="str">
        <f ca="1">IF(C96="","",[1]!lastradeday_s(C96,TODAY()))</f>
        <v/>
      </c>
      <c r="F96" s="19" t="str">
        <f>IF(C96="","",IF(OR([1]!s_stm_rpt_e(C96,基本资料!$I$8,0)="#N/A",[1]!s_stm_rpt_e(C96,基本资料!$I$8,0)="",[1]!s_stm_rpt_e(C96,基本资料!$I$8,0)=0),[1]!s_stm_rpt_e(C96,基本资料!$I$9,0),[1]!s_stm_rpt_e(C96,基本资料!$I$8,0)))</f>
        <v/>
      </c>
      <c r="G96" s="19" t="str">
        <f>IF(C96="","",[1]!hks_info_cur2(C96,F96))</f>
        <v/>
      </c>
      <c r="H96" s="27" t="str">
        <f>IF(C96="","",[1]!hks_stm_is(C96,"83",F96,1,"",100000000))</f>
        <v/>
      </c>
      <c r="I96" s="23" t="str">
        <f>IF(C96="","",[1]!hks_stm_is(C96,"1032",F96,1,"",100000000))</f>
        <v/>
      </c>
      <c r="J96" s="23" t="str">
        <f>IF(C96="","",[1]!hks_stm_is(C96,"1041",F96,1,"",100000000))</f>
        <v/>
      </c>
      <c r="K96" s="23" t="str">
        <f>IF(C96="","",[1]!hks_stm_is(C96,"61",F96,1,"",100000000))</f>
        <v/>
      </c>
      <c r="L96" s="23" t="str">
        <f>IF(C96="","",[1]!hks_stm_is(C96,"1075",F96,1,"",100000000))</f>
        <v/>
      </c>
      <c r="M96" s="23" t="str">
        <f>IF(C96="","",[1]!hks_stm_is(C96,"1077",F96,1,"",100000000))</f>
        <v/>
      </c>
      <c r="N96" s="23" t="str">
        <f>IF(C96="","",[1]!hks_stm_is(C96,"1030",F96,1,"",100000000))</f>
        <v/>
      </c>
      <c r="O96" s="23" t="str">
        <f>IF(C96="","",[1]!hks_fa_ebit(C96,F96,1,"",100000000))</f>
        <v/>
      </c>
      <c r="P96" s="25" t="str">
        <f>IF(C96="","",[1]!hks_fa_ebitda(C96,F96,1,"",100000000))</f>
        <v/>
      </c>
      <c r="Q96" s="25" t="str">
        <f>IF(C96="","",[1]!hks_stm_bs(C96,"9",F96,1,"",100000000))</f>
        <v/>
      </c>
      <c r="R96" s="25" t="str">
        <f>IF(C96="","",[1]!hks_stm_bs(C96,"25",F96,1,"",100000000))</f>
        <v/>
      </c>
      <c r="S96" s="25" t="str">
        <f>IF(C96="","",[1]!hks_stm_bs(C96,"1088",F96,1,"",100000000))</f>
        <v/>
      </c>
      <c r="T96" s="25" t="str">
        <f>IF(C96="","",[1]!hks_stm_bs(C96,"46",F96,1,"",100000000))</f>
        <v/>
      </c>
      <c r="U96" s="25" t="str">
        <f>IF(C96="","",[1]!hks_stm_bs(C96,"29",F96,1,"",100000000))</f>
        <v/>
      </c>
      <c r="V96" s="25" t="str">
        <f>IF(C96="","",[1]!hks_stm_bs(C96,"74",F96,1,"",100000000))</f>
        <v/>
      </c>
      <c r="W96" s="25" t="str">
        <f>IF(C96="","",[1]!hks_stm_bs(C96,"93",F96,1,"",100000000))</f>
        <v/>
      </c>
      <c r="X96" s="25" t="str">
        <f>IF(C96="","",[1]!hks_stm_bs(C96,"1017",F96,1,"",100000000))</f>
        <v/>
      </c>
      <c r="Y96" s="25" t="str">
        <f>IF(C96="","",[1]!hks_stm_bs(C96,"128",F96,1,"",100000000))</f>
        <v/>
      </c>
      <c r="Z96" s="25" t="str">
        <f>IF(C96="","",[1]!hks_stm_bs(C96,"145",F96,1,"",100000000))</f>
        <v/>
      </c>
      <c r="AA96" s="25" t="str">
        <f>IF(C96="","",[1]!hks_stm_bs(C96,"140",F96,1,"",100000000))</f>
        <v/>
      </c>
      <c r="AB96" s="25" t="str">
        <f>IF(C96="","",[1]!hks_stm_cs(C96,"39",F96,1,"",100000000))</f>
        <v/>
      </c>
      <c r="AC96" s="25" t="str">
        <f>IF(C96="","",[1]!hks_stm_cs(C96,"1020",F96,1,"",100000000))</f>
        <v/>
      </c>
      <c r="AD96" s="25" t="str">
        <f>IF(C96="","",[1]!hks_stm_cs(C96,"59",F96,1,"",100000000))</f>
        <v/>
      </c>
      <c r="AE96" s="25" t="str">
        <f>IF(C96="","",[1]!hks_stm_cs(C96,"77",F96,1,"",100000000))</f>
        <v/>
      </c>
      <c r="AF96" s="25" t="str">
        <f>IF(C96="","",[1]!hks_stm_cs(C96,"82",F96,1,"",100000000))</f>
        <v/>
      </c>
      <c r="AG96" s="25" t="str">
        <f>IF(C96="","",[1]!hks_stm_cs(C96,"84",F96,1,"",100000000))</f>
        <v/>
      </c>
      <c r="AH96" s="35"/>
    </row>
    <row r="97" spans="1:34" s="36" customFormat="1" ht="16.5" x14ac:dyDescent="0.2">
      <c r="A97" s="2"/>
      <c r="B97" s="6"/>
      <c r="C97" s="28" t="str">
        <f>IF(表1[[#This Row],[列1]]="","",表1[[#This Row],[列1]])</f>
        <v/>
      </c>
      <c r="D97" s="19" t="str">
        <f>IF(C97="","",[1]!hks_info_name(C97))</f>
        <v/>
      </c>
      <c r="E97" s="18" t="str">
        <f ca="1">IF(C97="","",[1]!lastradeday_s(C97,TODAY()))</f>
        <v/>
      </c>
      <c r="F97" s="19" t="str">
        <f>IF(C97="","",IF(OR([1]!s_stm_rpt_e(C97,基本资料!$I$8,0)="#N/A",[1]!s_stm_rpt_e(C97,基本资料!$I$8,0)="",[1]!s_stm_rpt_e(C97,基本资料!$I$8,0)=0),[1]!s_stm_rpt_e(C97,基本资料!$I$9,0),[1]!s_stm_rpt_e(C97,基本资料!$I$8,0)))</f>
        <v/>
      </c>
      <c r="G97" s="19" t="str">
        <f>IF(C97="","",[1]!hks_info_cur2(C97,F97))</f>
        <v/>
      </c>
      <c r="H97" s="27" t="str">
        <f>IF(C97="","",[1]!hks_stm_is(C97,"83",F97,1,"",100000000))</f>
        <v/>
      </c>
      <c r="I97" s="23" t="str">
        <f>IF(C97="","",[1]!hks_stm_is(C97,"1032",F97,1,"",100000000))</f>
        <v/>
      </c>
      <c r="J97" s="23" t="str">
        <f>IF(C97="","",[1]!hks_stm_is(C97,"1041",F97,1,"",100000000))</f>
        <v/>
      </c>
      <c r="K97" s="23" t="str">
        <f>IF(C97="","",[1]!hks_stm_is(C97,"61",F97,1,"",100000000))</f>
        <v/>
      </c>
      <c r="L97" s="23" t="str">
        <f>IF(C97="","",[1]!hks_stm_is(C97,"1075",F97,1,"",100000000))</f>
        <v/>
      </c>
      <c r="M97" s="23" t="str">
        <f>IF(C97="","",[1]!hks_stm_is(C97,"1077",F97,1,"",100000000))</f>
        <v/>
      </c>
      <c r="N97" s="23" t="str">
        <f>IF(C97="","",[1]!hks_stm_is(C97,"1030",F97,1,"",100000000))</f>
        <v/>
      </c>
      <c r="O97" s="23" t="str">
        <f>IF(C97="","",[1]!hks_fa_ebit(C97,F97,1,"",100000000))</f>
        <v/>
      </c>
      <c r="P97" s="25" t="str">
        <f>IF(C97="","",[1]!hks_fa_ebitda(C97,F97,1,"",100000000))</f>
        <v/>
      </c>
      <c r="Q97" s="25" t="str">
        <f>IF(C97="","",[1]!hks_stm_bs(C97,"9",F97,1,"",100000000))</f>
        <v/>
      </c>
      <c r="R97" s="25" t="str">
        <f>IF(C97="","",[1]!hks_stm_bs(C97,"25",F97,1,"",100000000))</f>
        <v/>
      </c>
      <c r="S97" s="25" t="str">
        <f>IF(C97="","",[1]!hks_stm_bs(C97,"1088",F97,1,"",100000000))</f>
        <v/>
      </c>
      <c r="T97" s="25" t="str">
        <f>IF(C97="","",[1]!hks_stm_bs(C97,"46",F97,1,"",100000000))</f>
        <v/>
      </c>
      <c r="U97" s="25" t="str">
        <f>IF(C97="","",[1]!hks_stm_bs(C97,"29",F97,1,"",100000000))</f>
        <v/>
      </c>
      <c r="V97" s="25" t="str">
        <f>IF(C97="","",[1]!hks_stm_bs(C97,"74",F97,1,"",100000000))</f>
        <v/>
      </c>
      <c r="W97" s="25" t="str">
        <f>IF(C97="","",[1]!hks_stm_bs(C97,"93",F97,1,"",100000000))</f>
        <v/>
      </c>
      <c r="X97" s="25" t="str">
        <f>IF(C97="","",[1]!hks_stm_bs(C97,"1017",F97,1,"",100000000))</f>
        <v/>
      </c>
      <c r="Y97" s="25" t="str">
        <f>IF(C97="","",[1]!hks_stm_bs(C97,"128",F97,1,"",100000000))</f>
        <v/>
      </c>
      <c r="Z97" s="25" t="str">
        <f>IF(C97="","",[1]!hks_stm_bs(C97,"145",F97,1,"",100000000))</f>
        <v/>
      </c>
      <c r="AA97" s="25" t="str">
        <f>IF(C97="","",[1]!hks_stm_bs(C97,"140",F97,1,"",100000000))</f>
        <v/>
      </c>
      <c r="AB97" s="25" t="str">
        <f>IF(C97="","",[1]!hks_stm_cs(C97,"39",F97,1,"",100000000))</f>
        <v/>
      </c>
      <c r="AC97" s="25" t="str">
        <f>IF(C97="","",[1]!hks_stm_cs(C97,"1020",F97,1,"",100000000))</f>
        <v/>
      </c>
      <c r="AD97" s="25" t="str">
        <f>IF(C97="","",[1]!hks_stm_cs(C97,"59",F97,1,"",100000000))</f>
        <v/>
      </c>
      <c r="AE97" s="25" t="str">
        <f>IF(C97="","",[1]!hks_stm_cs(C97,"77",F97,1,"",100000000))</f>
        <v/>
      </c>
      <c r="AF97" s="25" t="str">
        <f>IF(C97="","",[1]!hks_stm_cs(C97,"82",F97,1,"",100000000))</f>
        <v/>
      </c>
      <c r="AG97" s="25" t="str">
        <f>IF(C97="","",[1]!hks_stm_cs(C97,"84",F97,1,"",100000000))</f>
        <v/>
      </c>
      <c r="AH97" s="35"/>
    </row>
    <row r="98" spans="1:34" s="36" customFormat="1" ht="16.5" x14ac:dyDescent="0.2">
      <c r="A98" s="2"/>
      <c r="B98" s="6"/>
      <c r="C98" s="28" t="str">
        <f>IF(表1[[#This Row],[列1]]="","",表1[[#This Row],[列1]])</f>
        <v/>
      </c>
      <c r="D98" s="19" t="str">
        <f>IF(C98="","",[1]!hks_info_name(C98))</f>
        <v/>
      </c>
      <c r="E98" s="18" t="str">
        <f ca="1">IF(C98="","",[1]!lastradeday_s(C98,TODAY()))</f>
        <v/>
      </c>
      <c r="F98" s="19" t="str">
        <f>IF(C98="","",IF(OR([1]!s_stm_rpt_e(C98,基本资料!$I$8,0)="#N/A",[1]!s_stm_rpt_e(C98,基本资料!$I$8,0)="",[1]!s_stm_rpt_e(C98,基本资料!$I$8,0)=0),[1]!s_stm_rpt_e(C98,基本资料!$I$9,0),[1]!s_stm_rpt_e(C98,基本资料!$I$8,0)))</f>
        <v/>
      </c>
      <c r="G98" s="19" t="str">
        <f>IF(C98="","",[1]!hks_info_cur2(C98,F98))</f>
        <v/>
      </c>
      <c r="H98" s="27" t="str">
        <f>IF(C98="","",[1]!hks_stm_is(C98,"83",F98,1,"",100000000))</f>
        <v/>
      </c>
      <c r="I98" s="23" t="str">
        <f>IF(C98="","",[1]!hks_stm_is(C98,"1032",F98,1,"",100000000))</f>
        <v/>
      </c>
      <c r="J98" s="23" t="str">
        <f>IF(C98="","",[1]!hks_stm_is(C98,"1041",F98,1,"",100000000))</f>
        <v/>
      </c>
      <c r="K98" s="23" t="str">
        <f>IF(C98="","",[1]!hks_stm_is(C98,"61",F98,1,"",100000000))</f>
        <v/>
      </c>
      <c r="L98" s="23" t="str">
        <f>IF(C98="","",[1]!hks_stm_is(C98,"1075",F98,1,"",100000000))</f>
        <v/>
      </c>
      <c r="M98" s="23" t="str">
        <f>IF(C98="","",[1]!hks_stm_is(C98,"1077",F98,1,"",100000000))</f>
        <v/>
      </c>
      <c r="N98" s="23" t="str">
        <f>IF(C98="","",[1]!hks_stm_is(C98,"1030",F98,1,"",100000000))</f>
        <v/>
      </c>
      <c r="O98" s="23" t="str">
        <f>IF(C98="","",[1]!hks_fa_ebit(C98,F98,1,"",100000000))</f>
        <v/>
      </c>
      <c r="P98" s="25" t="str">
        <f>IF(C98="","",[1]!hks_fa_ebitda(C98,F98,1,"",100000000))</f>
        <v/>
      </c>
      <c r="Q98" s="25" t="str">
        <f>IF(C98="","",[1]!hks_stm_bs(C98,"9",F98,1,"",100000000))</f>
        <v/>
      </c>
      <c r="R98" s="25" t="str">
        <f>IF(C98="","",[1]!hks_stm_bs(C98,"25",F98,1,"",100000000))</f>
        <v/>
      </c>
      <c r="S98" s="25" t="str">
        <f>IF(C98="","",[1]!hks_stm_bs(C98,"1088",F98,1,"",100000000))</f>
        <v/>
      </c>
      <c r="T98" s="25" t="str">
        <f>IF(C98="","",[1]!hks_stm_bs(C98,"46",F98,1,"",100000000))</f>
        <v/>
      </c>
      <c r="U98" s="25" t="str">
        <f>IF(C98="","",[1]!hks_stm_bs(C98,"29",F98,1,"",100000000))</f>
        <v/>
      </c>
      <c r="V98" s="25" t="str">
        <f>IF(C98="","",[1]!hks_stm_bs(C98,"74",F98,1,"",100000000))</f>
        <v/>
      </c>
      <c r="W98" s="25" t="str">
        <f>IF(C98="","",[1]!hks_stm_bs(C98,"93",F98,1,"",100000000))</f>
        <v/>
      </c>
      <c r="X98" s="25" t="str">
        <f>IF(C98="","",[1]!hks_stm_bs(C98,"1017",F98,1,"",100000000))</f>
        <v/>
      </c>
      <c r="Y98" s="25" t="str">
        <f>IF(C98="","",[1]!hks_stm_bs(C98,"128",F98,1,"",100000000))</f>
        <v/>
      </c>
      <c r="Z98" s="25" t="str">
        <f>IF(C98="","",[1]!hks_stm_bs(C98,"145",F98,1,"",100000000))</f>
        <v/>
      </c>
      <c r="AA98" s="25" t="str">
        <f>IF(C98="","",[1]!hks_stm_bs(C98,"140",F98,1,"",100000000))</f>
        <v/>
      </c>
      <c r="AB98" s="25" t="str">
        <f>IF(C98="","",[1]!hks_stm_cs(C98,"39",F98,1,"",100000000))</f>
        <v/>
      </c>
      <c r="AC98" s="25" t="str">
        <f>IF(C98="","",[1]!hks_stm_cs(C98,"1020",F98,1,"",100000000))</f>
        <v/>
      </c>
      <c r="AD98" s="25" t="str">
        <f>IF(C98="","",[1]!hks_stm_cs(C98,"59",F98,1,"",100000000))</f>
        <v/>
      </c>
      <c r="AE98" s="25" t="str">
        <f>IF(C98="","",[1]!hks_stm_cs(C98,"77",F98,1,"",100000000))</f>
        <v/>
      </c>
      <c r="AF98" s="25" t="str">
        <f>IF(C98="","",[1]!hks_stm_cs(C98,"82",F98,1,"",100000000))</f>
        <v/>
      </c>
      <c r="AG98" s="25" t="str">
        <f>IF(C98="","",[1]!hks_stm_cs(C98,"84",F98,1,"",100000000))</f>
        <v/>
      </c>
      <c r="AH98" s="35"/>
    </row>
    <row r="99" spans="1:34" s="36" customFormat="1" ht="16.5" x14ac:dyDescent="0.2">
      <c r="A99" s="2"/>
      <c r="B99" s="6"/>
      <c r="C99" s="28" t="str">
        <f>IF(表1[[#This Row],[列1]]="","",表1[[#This Row],[列1]])</f>
        <v/>
      </c>
      <c r="D99" s="19" t="str">
        <f>IF(C99="","",[1]!hks_info_name(C99))</f>
        <v/>
      </c>
      <c r="E99" s="18" t="str">
        <f ca="1">IF(C99="","",[1]!lastradeday_s(C99,TODAY()))</f>
        <v/>
      </c>
      <c r="F99" s="19" t="str">
        <f>IF(C99="","",IF(OR([1]!s_stm_rpt_e(C99,基本资料!$I$8,0)="#N/A",[1]!s_stm_rpt_e(C99,基本资料!$I$8,0)="",[1]!s_stm_rpt_e(C99,基本资料!$I$8,0)=0),[1]!s_stm_rpt_e(C99,基本资料!$I$9,0),[1]!s_stm_rpt_e(C99,基本资料!$I$8,0)))</f>
        <v/>
      </c>
      <c r="G99" s="19" t="str">
        <f>IF(C99="","",[1]!hks_info_cur2(C99,F99))</f>
        <v/>
      </c>
      <c r="H99" s="27" t="str">
        <f>IF(C99="","",[1]!hks_stm_is(C99,"83",F99,1,"",100000000))</f>
        <v/>
      </c>
      <c r="I99" s="23" t="str">
        <f>IF(C99="","",[1]!hks_stm_is(C99,"1032",F99,1,"",100000000))</f>
        <v/>
      </c>
      <c r="J99" s="23" t="str">
        <f>IF(C99="","",[1]!hks_stm_is(C99,"1041",F99,1,"",100000000))</f>
        <v/>
      </c>
      <c r="K99" s="23" t="str">
        <f>IF(C99="","",[1]!hks_stm_is(C99,"61",F99,1,"",100000000))</f>
        <v/>
      </c>
      <c r="L99" s="23" t="str">
        <f>IF(C99="","",[1]!hks_stm_is(C99,"1075",F99,1,"",100000000))</f>
        <v/>
      </c>
      <c r="M99" s="23" t="str">
        <f>IF(C99="","",[1]!hks_stm_is(C99,"1077",F99,1,"",100000000))</f>
        <v/>
      </c>
      <c r="N99" s="23" t="str">
        <f>IF(C99="","",[1]!hks_stm_is(C99,"1030",F99,1,"",100000000))</f>
        <v/>
      </c>
      <c r="O99" s="23" t="str">
        <f>IF(C99="","",[1]!hks_fa_ebit(C99,F99,1,"",100000000))</f>
        <v/>
      </c>
      <c r="P99" s="25" t="str">
        <f>IF(C99="","",[1]!hks_fa_ebitda(C99,F99,1,"",100000000))</f>
        <v/>
      </c>
      <c r="Q99" s="25" t="str">
        <f>IF(C99="","",[1]!hks_stm_bs(C99,"9",F99,1,"",100000000))</f>
        <v/>
      </c>
      <c r="R99" s="25" t="str">
        <f>IF(C99="","",[1]!hks_stm_bs(C99,"25",F99,1,"",100000000))</f>
        <v/>
      </c>
      <c r="S99" s="25" t="str">
        <f>IF(C99="","",[1]!hks_stm_bs(C99,"1088",F99,1,"",100000000))</f>
        <v/>
      </c>
      <c r="T99" s="25" t="str">
        <f>IF(C99="","",[1]!hks_stm_bs(C99,"46",F99,1,"",100000000))</f>
        <v/>
      </c>
      <c r="U99" s="25" t="str">
        <f>IF(C99="","",[1]!hks_stm_bs(C99,"29",F99,1,"",100000000))</f>
        <v/>
      </c>
      <c r="V99" s="25" t="str">
        <f>IF(C99="","",[1]!hks_stm_bs(C99,"74",F99,1,"",100000000))</f>
        <v/>
      </c>
      <c r="W99" s="25" t="str">
        <f>IF(C99="","",[1]!hks_stm_bs(C99,"93",F99,1,"",100000000))</f>
        <v/>
      </c>
      <c r="X99" s="25" t="str">
        <f>IF(C99="","",[1]!hks_stm_bs(C99,"1017",F99,1,"",100000000))</f>
        <v/>
      </c>
      <c r="Y99" s="25" t="str">
        <f>IF(C99="","",[1]!hks_stm_bs(C99,"128",F99,1,"",100000000))</f>
        <v/>
      </c>
      <c r="Z99" s="25" t="str">
        <f>IF(C99="","",[1]!hks_stm_bs(C99,"145",F99,1,"",100000000))</f>
        <v/>
      </c>
      <c r="AA99" s="25" t="str">
        <f>IF(C99="","",[1]!hks_stm_bs(C99,"140",F99,1,"",100000000))</f>
        <v/>
      </c>
      <c r="AB99" s="25" t="str">
        <f>IF(C99="","",[1]!hks_stm_cs(C99,"39",F99,1,"",100000000))</f>
        <v/>
      </c>
      <c r="AC99" s="25" t="str">
        <f>IF(C99="","",[1]!hks_stm_cs(C99,"1020",F99,1,"",100000000))</f>
        <v/>
      </c>
      <c r="AD99" s="25" t="str">
        <f>IF(C99="","",[1]!hks_stm_cs(C99,"59",F99,1,"",100000000))</f>
        <v/>
      </c>
      <c r="AE99" s="25" t="str">
        <f>IF(C99="","",[1]!hks_stm_cs(C99,"77",F99,1,"",100000000))</f>
        <v/>
      </c>
      <c r="AF99" s="25" t="str">
        <f>IF(C99="","",[1]!hks_stm_cs(C99,"82",F99,1,"",100000000))</f>
        <v/>
      </c>
      <c r="AG99" s="25" t="str">
        <f>IF(C99="","",[1]!hks_stm_cs(C99,"84",F99,1,"",100000000))</f>
        <v/>
      </c>
      <c r="AH99" s="35"/>
    </row>
    <row r="100" spans="1:34" s="36" customFormat="1" ht="16.5" x14ac:dyDescent="0.2">
      <c r="A100" s="2"/>
      <c r="B100" s="6"/>
      <c r="C100" s="28" t="str">
        <f>IF(表1[[#This Row],[列1]]="","",表1[[#This Row],[列1]])</f>
        <v/>
      </c>
      <c r="D100" s="19" t="str">
        <f>IF(C100="","",[1]!hks_info_name(C100))</f>
        <v/>
      </c>
      <c r="E100" s="18" t="str">
        <f ca="1">IF(C100="","",[1]!lastradeday_s(C100,TODAY()))</f>
        <v/>
      </c>
      <c r="F100" s="19" t="str">
        <f>IF(C100="","",IF(OR([1]!s_stm_rpt_e(C100,基本资料!$I$8,0)="#N/A",[1]!s_stm_rpt_e(C100,基本资料!$I$8,0)="",[1]!s_stm_rpt_e(C100,基本资料!$I$8,0)=0),[1]!s_stm_rpt_e(C100,基本资料!$I$9,0),[1]!s_stm_rpt_e(C100,基本资料!$I$8,0)))</f>
        <v/>
      </c>
      <c r="G100" s="19" t="str">
        <f>IF(C100="","",[1]!hks_info_cur2(C100,F100))</f>
        <v/>
      </c>
      <c r="H100" s="27" t="str">
        <f>IF(C100="","",[1]!hks_stm_is(C100,"83",F100,1,"",100000000))</f>
        <v/>
      </c>
      <c r="I100" s="23" t="str">
        <f>IF(C100="","",[1]!hks_stm_is(C100,"1032",F100,1,"",100000000))</f>
        <v/>
      </c>
      <c r="J100" s="23" t="str">
        <f>IF(C100="","",[1]!hks_stm_is(C100,"1041",F100,1,"",100000000))</f>
        <v/>
      </c>
      <c r="K100" s="23" t="str">
        <f>IF(C100="","",[1]!hks_stm_is(C100,"61",F100,1,"",100000000))</f>
        <v/>
      </c>
      <c r="L100" s="23" t="str">
        <f>IF(C100="","",[1]!hks_stm_is(C100,"1075",F100,1,"",100000000))</f>
        <v/>
      </c>
      <c r="M100" s="23" t="str">
        <f>IF(C100="","",[1]!hks_stm_is(C100,"1077",F100,1,"",100000000))</f>
        <v/>
      </c>
      <c r="N100" s="23" t="str">
        <f>IF(C100="","",[1]!hks_stm_is(C100,"1030",F100,1,"",100000000))</f>
        <v/>
      </c>
      <c r="O100" s="23" t="str">
        <f>IF(C100="","",[1]!hks_fa_ebit(C100,F100,1,"",100000000))</f>
        <v/>
      </c>
      <c r="P100" s="25" t="str">
        <f>IF(C100="","",[1]!hks_fa_ebitda(C100,F100,1,"",100000000))</f>
        <v/>
      </c>
      <c r="Q100" s="25" t="str">
        <f>IF(C100="","",[1]!hks_stm_bs(C100,"9",F100,1,"",100000000))</f>
        <v/>
      </c>
      <c r="R100" s="25" t="str">
        <f>IF(C100="","",[1]!hks_stm_bs(C100,"25",F100,1,"",100000000))</f>
        <v/>
      </c>
      <c r="S100" s="25" t="str">
        <f>IF(C100="","",[1]!hks_stm_bs(C100,"1088",F100,1,"",100000000))</f>
        <v/>
      </c>
      <c r="T100" s="25" t="str">
        <f>IF(C100="","",[1]!hks_stm_bs(C100,"46",F100,1,"",100000000))</f>
        <v/>
      </c>
      <c r="U100" s="25" t="str">
        <f>IF(C100="","",[1]!hks_stm_bs(C100,"29",F100,1,"",100000000))</f>
        <v/>
      </c>
      <c r="V100" s="25" t="str">
        <f>IF(C100="","",[1]!hks_stm_bs(C100,"74",F100,1,"",100000000))</f>
        <v/>
      </c>
      <c r="W100" s="25" t="str">
        <f>IF(C100="","",[1]!hks_stm_bs(C100,"93",F100,1,"",100000000))</f>
        <v/>
      </c>
      <c r="X100" s="25" t="str">
        <f>IF(C100="","",[1]!hks_stm_bs(C100,"1017",F100,1,"",100000000))</f>
        <v/>
      </c>
      <c r="Y100" s="25" t="str">
        <f>IF(C100="","",[1]!hks_stm_bs(C100,"128",F100,1,"",100000000))</f>
        <v/>
      </c>
      <c r="Z100" s="25" t="str">
        <f>IF(C100="","",[1]!hks_stm_bs(C100,"145",F100,1,"",100000000))</f>
        <v/>
      </c>
      <c r="AA100" s="25" t="str">
        <f>IF(C100="","",[1]!hks_stm_bs(C100,"140",F100,1,"",100000000))</f>
        <v/>
      </c>
      <c r="AB100" s="25" t="str">
        <f>IF(C100="","",[1]!hks_stm_cs(C100,"39",F100,1,"",100000000))</f>
        <v/>
      </c>
      <c r="AC100" s="25" t="str">
        <f>IF(C100="","",[1]!hks_stm_cs(C100,"1020",F100,1,"",100000000))</f>
        <v/>
      </c>
      <c r="AD100" s="25" t="str">
        <f>IF(C100="","",[1]!hks_stm_cs(C100,"59",F100,1,"",100000000))</f>
        <v/>
      </c>
      <c r="AE100" s="25" t="str">
        <f>IF(C100="","",[1]!hks_stm_cs(C100,"77",F100,1,"",100000000))</f>
        <v/>
      </c>
      <c r="AF100" s="25" t="str">
        <f>IF(C100="","",[1]!hks_stm_cs(C100,"82",F100,1,"",100000000))</f>
        <v/>
      </c>
      <c r="AG100" s="25" t="str">
        <f>IF(C100="","",[1]!hks_stm_cs(C100,"84",F100,1,"",100000000))</f>
        <v/>
      </c>
      <c r="AH100" s="35"/>
    </row>
    <row r="101" spans="1:34" s="36" customFormat="1" ht="9" customHeight="1" x14ac:dyDescent="0.2">
      <c r="A101" s="2"/>
      <c r="B101" s="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</row>
    <row r="102" spans="1:34" s="36" customFormat="1" ht="9" customHeight="1" x14ac:dyDescent="0.2">
      <c r="A102" s="2"/>
      <c r="B102" s="2"/>
    </row>
  </sheetData>
  <mergeCells count="9">
    <mergeCell ref="C6:C7"/>
    <mergeCell ref="D6:D7"/>
    <mergeCell ref="E6:E7"/>
    <mergeCell ref="F6:F7"/>
    <mergeCell ref="D1:L1"/>
    <mergeCell ref="H6:P6"/>
    <mergeCell ref="Q6:AA6"/>
    <mergeCell ref="AB6:AG6"/>
    <mergeCell ref="G6:G7"/>
  </mergeCells>
  <phoneticPr fontId="2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63636D"/>
    <pageSetUpPr autoPageBreaks="0"/>
  </sheetPr>
  <dimension ref="A1:BL102"/>
  <sheetViews>
    <sheetView showGridLines="0" workbookViewId="0"/>
  </sheetViews>
  <sheetFormatPr defaultRowHeight="14.25" x14ac:dyDescent="0.2"/>
  <cols>
    <col min="1" max="1" width="2.125" style="3" customWidth="1"/>
    <col min="2" max="2" width="1.5" style="3" customWidth="1"/>
    <col min="3" max="3" width="10" style="37" customWidth="1"/>
    <col min="4" max="4" width="9" style="37"/>
    <col min="5" max="5" width="10.75" style="37" customWidth="1"/>
    <col min="6" max="6" width="12.75" style="37" customWidth="1"/>
    <col min="7" max="7" width="13.75" style="37" customWidth="1"/>
    <col min="8" max="8" width="16" style="37" customWidth="1"/>
    <col min="9" max="9" width="13.5" style="37" customWidth="1"/>
    <col min="10" max="12" width="15.875" style="37" customWidth="1"/>
    <col min="13" max="13" width="13.5" style="37" customWidth="1"/>
    <col min="14" max="15" width="11.125" style="37" customWidth="1"/>
    <col min="16" max="16" width="18.125" style="37" customWidth="1"/>
    <col min="17" max="18" width="10.375" style="37" customWidth="1"/>
    <col min="19" max="20" width="12.25" style="37" customWidth="1"/>
    <col min="21" max="21" width="18" style="37" bestFit="1" customWidth="1"/>
    <col min="22" max="23" width="12.375" style="37" customWidth="1"/>
    <col min="24" max="25" width="12.25" style="37" customWidth="1"/>
    <col min="26" max="26" width="17.5" style="37" bestFit="1" customWidth="1"/>
    <col min="27" max="28" width="14.625" style="37" customWidth="1"/>
    <col min="29" max="29" width="17.375" style="37" bestFit="1" customWidth="1"/>
    <col min="30" max="31" width="12.5" style="37" customWidth="1"/>
    <col min="32" max="32" width="1.5" style="37" customWidth="1"/>
    <col min="33" max="16384" width="9" style="37"/>
  </cols>
  <sheetData>
    <row r="1" spans="1:64" s="5" customFormat="1" ht="27.75" x14ac:dyDescent="0.3">
      <c r="A1" s="4"/>
      <c r="B1" s="4"/>
      <c r="D1" s="87" t="s">
        <v>42</v>
      </c>
      <c r="E1" s="87"/>
      <c r="F1" s="87"/>
      <c r="G1" s="87"/>
      <c r="H1" s="87"/>
      <c r="I1" s="87"/>
      <c r="J1" s="87"/>
      <c r="K1" s="87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64" s="2" customFormat="1" ht="9" customHeight="1" x14ac:dyDescent="0.2"/>
    <row r="3" spans="1:64" s="2" customFormat="1" ht="9" customHeight="1" x14ac:dyDescent="0.2">
      <c r="B3" s="6"/>
      <c r="C3" s="6"/>
      <c r="D3" s="6"/>
      <c r="E3" s="6"/>
      <c r="F3" s="1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64" s="2" customFormat="1" ht="17.25" x14ac:dyDescent="0.2">
      <c r="B4" s="6"/>
      <c r="C4" s="7" t="s">
        <v>224</v>
      </c>
      <c r="D4" s="7"/>
      <c r="E4" s="7"/>
      <c r="F4" s="1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</row>
    <row r="5" spans="1:64" s="2" customFormat="1" ht="9" customHeight="1" x14ac:dyDescent="0.2">
      <c r="B5" s="6"/>
      <c r="C5" s="6"/>
      <c r="D5" s="6"/>
      <c r="E5" s="6"/>
      <c r="F5" s="12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64" s="36" customFormat="1" ht="16.5" x14ac:dyDescent="0.35">
      <c r="A6" s="2"/>
      <c r="B6" s="6"/>
      <c r="C6" s="78" t="s">
        <v>0</v>
      </c>
      <c r="D6" s="80" t="s">
        <v>6</v>
      </c>
      <c r="E6" s="80" t="s">
        <v>50</v>
      </c>
      <c r="F6" s="88" t="s">
        <v>47</v>
      </c>
      <c r="G6" s="89"/>
      <c r="H6" s="89"/>
      <c r="I6" s="90"/>
      <c r="J6" s="88" t="s">
        <v>51</v>
      </c>
      <c r="K6" s="89"/>
      <c r="L6" s="89"/>
      <c r="M6" s="90"/>
      <c r="N6" s="95" t="s">
        <v>52</v>
      </c>
      <c r="O6" s="96"/>
      <c r="P6" s="96"/>
      <c r="Q6" s="96"/>
      <c r="R6" s="97"/>
      <c r="S6" s="95" t="s">
        <v>56</v>
      </c>
      <c r="T6" s="96"/>
      <c r="U6" s="96"/>
      <c r="V6" s="96"/>
      <c r="W6" s="97"/>
      <c r="X6" s="95" t="s">
        <v>62</v>
      </c>
      <c r="Y6" s="96"/>
      <c r="Z6" s="97"/>
      <c r="AA6" s="95" t="s">
        <v>63</v>
      </c>
      <c r="AB6" s="96"/>
      <c r="AC6" s="97"/>
      <c r="AD6" s="82" t="s">
        <v>65</v>
      </c>
      <c r="AE6" s="93" t="s">
        <v>66</v>
      </c>
      <c r="AF6" s="35"/>
    </row>
    <row r="7" spans="1:64" s="36" customFormat="1" ht="16.5" x14ac:dyDescent="0.35">
      <c r="A7" s="2"/>
      <c r="B7" s="6"/>
      <c r="C7" s="79"/>
      <c r="D7" s="81"/>
      <c r="E7" s="81"/>
      <c r="F7" s="40" t="str">
        <f ca="1">基本资料!$G$9&amp;"年总市值"</f>
        <v>2022年总市值</v>
      </c>
      <c r="G7" s="41" t="str">
        <f ca="1">基本资料!$G$8&amp;"年总市值"</f>
        <v>2023年总市值</v>
      </c>
      <c r="H7" s="41" t="s">
        <v>48</v>
      </c>
      <c r="I7" s="43" t="s">
        <v>49</v>
      </c>
      <c r="J7" s="40" t="str">
        <f ca="1">基本资料!$G$9&amp;"年总市值"</f>
        <v>2022年总市值</v>
      </c>
      <c r="K7" s="41" t="str">
        <f ca="1">基本资料!$G$8&amp;"年总市值"</f>
        <v>2023年总市值</v>
      </c>
      <c r="L7" s="41" t="s">
        <v>48</v>
      </c>
      <c r="M7" s="43" t="s">
        <v>49</v>
      </c>
      <c r="N7" s="51" t="str">
        <f ca="1">基本资料!$G$9&amp;"年PE"</f>
        <v>2022年PE</v>
      </c>
      <c r="O7" s="22" t="str">
        <f ca="1">基本资料!$G$8&amp;"年PE"</f>
        <v>2023年PE</v>
      </c>
      <c r="P7" s="22" t="s">
        <v>57</v>
      </c>
      <c r="Q7" s="22" t="s">
        <v>54</v>
      </c>
      <c r="R7" s="52" t="s">
        <v>55</v>
      </c>
      <c r="S7" s="51" t="str">
        <f ca="1">基本资料!$G$9&amp;"年PB"</f>
        <v>2022年PB</v>
      </c>
      <c r="T7" s="22" t="str">
        <f ca="1">基本资料!$G$8&amp;"年PB"</f>
        <v>2023年PB</v>
      </c>
      <c r="U7" s="22" t="s">
        <v>60</v>
      </c>
      <c r="V7" s="22" t="s">
        <v>58</v>
      </c>
      <c r="W7" s="52" t="s">
        <v>59</v>
      </c>
      <c r="X7" s="51" t="str">
        <f ca="1">基本资料!$G$9&amp;"年PS"</f>
        <v>2022年PS</v>
      </c>
      <c r="Y7" s="22" t="str">
        <f ca="1">基本资料!$G$8&amp;"年PS"</f>
        <v>2023年PS</v>
      </c>
      <c r="Z7" s="52" t="s">
        <v>61</v>
      </c>
      <c r="AA7" s="51" t="str">
        <f ca="1">基本资料!$G$9&amp;"年PCF"</f>
        <v>2022年PCF</v>
      </c>
      <c r="AB7" s="22" t="str">
        <f ca="1">基本资料!$G$8&amp;"年PCF"</f>
        <v>2023年PCF</v>
      </c>
      <c r="AC7" s="52" t="s">
        <v>64</v>
      </c>
      <c r="AD7" s="83"/>
      <c r="AE7" s="94"/>
      <c r="AF7" s="35"/>
    </row>
    <row r="8" spans="1:64" s="36" customFormat="1" ht="16.5" x14ac:dyDescent="0.2">
      <c r="A8" s="2"/>
      <c r="B8" s="6"/>
      <c r="C8" s="28" t="str">
        <f>IF(表1[[#This Row],[列1]]="","",表1[[#This Row],[列1]])</f>
        <v>000001.SZ</v>
      </c>
      <c r="D8" s="19" t="str">
        <f>IF(C8="","",[1]!hks_info_name(C8))</f>
        <v>平安银行</v>
      </c>
      <c r="E8" s="19" t="str">
        <f ca="1">IF(C8="","",[1]!lastradeday_s(C8,TODAY()))</f>
        <v>2024-12-09</v>
      </c>
      <c r="F8" s="27">
        <f ca="1">IF(C8="","",[1]!hks_val_ev(C8,基本资料!$I$9,"",100000000))</f>
        <v>2553.8188348568001</v>
      </c>
      <c r="G8" s="23">
        <f ca="1">IF(C8="","",[1]!hks_val_ev(C8,基本资料!$I$8,"",100000000))</f>
        <v>1822.2157187922001</v>
      </c>
      <c r="H8" s="23">
        <f ca="1">IF(C8="","",[1]!hks_val_ev(C8,E8,"",100000000))</f>
        <v>2264.6706537066002</v>
      </c>
      <c r="I8" s="44"/>
      <c r="J8" s="27">
        <f ca="1">IF(C8="","",[1]!hks_val_mv_ard(C8,基本资料!$I$9,"",100000000))</f>
        <v>2553.8188348568001</v>
      </c>
      <c r="K8" s="23">
        <f ca="1">IF(C8="","",[1]!hks_val_mv_ard(C8,基本资料!$I$8,"",100000000))</f>
        <v>1822.2157187922001</v>
      </c>
      <c r="L8" s="45">
        <f ca="1">IF(C8="","",[1]!hks_val_mv_ard(C8,E8,"",100000000))</f>
        <v>2264.6706537066002</v>
      </c>
      <c r="M8" s="44"/>
      <c r="N8" s="47">
        <f ca="1">IF(C8="","",[1]!hks_val_pe(C8,基本资料!$I$9,基本资料!$G$9))</f>
        <v>5.6108156139748662</v>
      </c>
      <c r="O8" s="23">
        <f ca="1">IF(C8="","",[1]!hks_val_pe(C8,基本资料!$I$8,基本资料!$G$8))</f>
        <v>3.9225394872289314</v>
      </c>
      <c r="P8" s="23">
        <f ca="1">IF(C8="","",[1]!hks_val_pe_ttm(C8,E8))</f>
        <v>4.8651328086853027</v>
      </c>
      <c r="Q8" s="23">
        <f ca="1">IF(C8="","",[1]!s_val_estpe(C8,E8,YEAR([1]!s_stm_rpt_e(C8,基本资料!$I$8,0))+1))</f>
        <v>4.9236353050630299</v>
      </c>
      <c r="R8" s="48">
        <f ca="1">IF(C8="","",[1]!s_val_estpe(C8,E8,YEAR([1]!s_stm_rpt_e(C8,基本资料!$I$8,0))+2))</f>
        <v>4.8221148410912225</v>
      </c>
      <c r="S8" s="47">
        <f ca="1">IF(C8="","",[1]!hks_val_pb(C8,基本资料!$I$9,基本资料!$G$9))</f>
        <v>0.58751698602576607</v>
      </c>
      <c r="T8" s="23">
        <f ca="1">IF(C8="","",[1]!hks_val_pb(C8,基本资料!$I$8,基本资料!$G$8))</f>
        <v>0.38579455776329163</v>
      </c>
      <c r="U8" s="23">
        <f ca="1">IF(C8="","",[1]!pb_mrq(C8,E8))</f>
        <v>0.53853413083802393</v>
      </c>
      <c r="V8" s="23">
        <f ca="1">IF(C8="","",[1]!s_val_estpb(C8,E8,YEAR([1]!s_stm_rpt_e(C8,基本资料!$I$8,0))+1))</f>
        <v>0.52028532506560499</v>
      </c>
      <c r="W8" s="48">
        <f ca="1">IF(C8="","",[1]!s_val_estpb(C8,E8,YEAR([1]!s_stm_rpt_e(C8,基本资料!$I$8,0))+2))</f>
        <v>0.4806821014365687</v>
      </c>
      <c r="X8" s="47">
        <f ca="1">IF(C8="","",[1]!hks_val_ps(C8,基本资料!$I$9,基本资料!$G$9))</f>
        <v>1.4333768324597009</v>
      </c>
      <c r="Y8" s="23">
        <f ca="1">IF(C8="","",[1]!hks_val_ps(C8,基本资料!$I$8,基本资料!$G$8))</f>
        <v>1.1180540791823588</v>
      </c>
      <c r="Z8" s="48">
        <f ca="1">IF(C8="","",[1]!hks_val_ps_ttm(C8,E8))</f>
        <v>1.5235226097465808</v>
      </c>
      <c r="AA8" s="47">
        <f ca="1">IF(C8="","",[1]!hks_val_pcf(C8,基本资料!$I$9,基本资料!$G$9))</f>
        <v>-88.184352032348059</v>
      </c>
      <c r="AB8" s="23">
        <f ca="1">IF(C8="","",[1]!hks_val_pcf(C8,基本资料!$I$8,基本资料!$G$8))</f>
        <v>2.4010326628176513</v>
      </c>
      <c r="AC8" s="48">
        <f ca="1">IF(C8="","",[1]!hks_val_pcf_ttm(C8,E8))</f>
        <v>-10.292553901672363</v>
      </c>
      <c r="AD8" s="39">
        <f ca="1">IF(C8="","",[1]!s_val_evtoebitda2(C8,E8))</f>
        <v>0</v>
      </c>
      <c r="AE8" s="47">
        <f ca="1">IF(C8="","",[1]!hks_val_ev2(C8,E8,"",1)/[1]!hks_fa_ebit2_ttm(C8,[1]!s_fa_latelyrd_bt(C8,[1]!lastradeday_s(C8,基本资料!$D$7)),"",1))</f>
        <v>16357.353239140712</v>
      </c>
      <c r="AF8" s="35"/>
    </row>
    <row r="9" spans="1:64" s="36" customFormat="1" ht="16.5" x14ac:dyDescent="0.2">
      <c r="A9" s="2"/>
      <c r="B9" s="6"/>
      <c r="C9" s="28" t="str">
        <f>IF(表1[[#This Row],[列1]]="","",表1[[#This Row],[列1]])</f>
        <v>000002.SZ</v>
      </c>
      <c r="D9" s="19" t="str">
        <f>IF(C9="","",[1]!hks_info_name(C9))</f>
        <v>万科A</v>
      </c>
      <c r="E9" s="19" t="str">
        <f ca="1">IF(C9="","",[1]!lastradeday_s(C9,TODAY()))</f>
        <v>2024-12-09</v>
      </c>
      <c r="F9" s="27">
        <f ca="1">IF(C9="","",[1]!hks_val_ev(C9,基本资料!$I$9,"",100000000))</f>
        <v>2038.8826373221073</v>
      </c>
      <c r="G9" s="23">
        <f ca="1">IF(C9="","",[1]!hks_val_ev(C9,基本资料!$I$8,"",100000000))</f>
        <v>1161.521077719289</v>
      </c>
      <c r="H9" s="23">
        <f ca="1">IF(C9="","",[1]!hks_val_ev(C9,E9,"",100000000))</f>
        <v>950.57466063879542</v>
      </c>
      <c r="I9" s="44"/>
      <c r="J9" s="27">
        <f ca="1">IF(C9="","",[1]!hks_val_mv_ard(C9,基本资料!$I$9,"",100000000))</f>
        <v>2116.7891237219997</v>
      </c>
      <c r="K9" s="23">
        <f ca="1">IF(C9="","",[1]!hks_val_mv_ard(C9,基本资料!$I$8,"",100000000))</f>
        <v>1247.9522106666</v>
      </c>
      <c r="L9" s="45">
        <f ca="1">IF(C9="","",[1]!hks_val_mv_ard(C9,E9,"",100000000))</f>
        <v>1004.5657374581999</v>
      </c>
      <c r="M9" s="44"/>
      <c r="N9" s="47">
        <f ca="1">IF(C9="","",[1]!hks_val_pe(C9,基本资料!$I$9,基本资料!$G$9))</f>
        <v>9.3589610355729445</v>
      </c>
      <c r="O9" s="23">
        <f ca="1">IF(C9="","",[1]!hks_val_pe(C9,基本资料!$I$8,基本资料!$G$8))</f>
        <v>10.260500154954284</v>
      </c>
      <c r="P9" s="23">
        <f ca="1">IF(C9="","",[1]!hks_val_pe_ttm(C9,E9))</f>
        <v>-5.1776156425476074</v>
      </c>
      <c r="Q9" s="23">
        <f ca="1">IF(C9="","",[1]!s_val_estpe(C9,E9,YEAR([1]!s_stm_rpt_e(C9,基本资料!$I$8,0))+1))</f>
        <v>-9.2864231389342375</v>
      </c>
      <c r="R9" s="48">
        <f ca="1">IF(C9="","",[1]!s_val_estpe(C9,E9,YEAR([1]!s_stm_rpt_e(C9,基本资料!$I$8,0))+2))</f>
        <v>-222.75132794973027</v>
      </c>
      <c r="S9" s="47">
        <f ca="1">IF(C9="","",[1]!hks_val_pb(C9,基本资料!$I$9,基本资料!$G$9))</f>
        <v>0.872214520006239</v>
      </c>
      <c r="T9" s="23">
        <f ca="1">IF(C9="","",[1]!hks_val_pb(C9,基本资料!$I$8,基本资料!$G$8))</f>
        <v>0.49761913051124873</v>
      </c>
      <c r="U9" s="23">
        <f ca="1">IF(C9="","",[1]!pb_mrq(C9,E9))</f>
        <v>0.4290816587620736</v>
      </c>
      <c r="V9" s="23">
        <f ca="1">IF(C9="","",[1]!s_val_estpb(C9,E9,YEAR([1]!s_stm_rpt_e(C9,基本资料!$I$8,0))+1))</f>
        <v>0.41927049959283935</v>
      </c>
      <c r="W9" s="48">
        <f ca="1">IF(C9="","",[1]!s_val_estpb(C9,E9,YEAR([1]!s_stm_rpt_e(C9,基本资料!$I$8,0))+2))</f>
        <v>0.42445293851482307</v>
      </c>
      <c r="X9" s="47">
        <f ca="1">IF(C9="","",[1]!hks_val_ps(C9,基本资料!$I$9,基本资料!$G$9))</f>
        <v>0.41958325296159099</v>
      </c>
      <c r="Y9" s="23">
        <f ca="1">IF(C9="","",[1]!hks_val_ps(C9,基本资料!$I$8,基本资料!$G$8))</f>
        <v>0.26759753289698368</v>
      </c>
      <c r="Z9" s="48">
        <f ca="1">IF(C9="","",[1]!hks_val_ps_ttm(C9,E9))</f>
        <v>0.25411109535089133</v>
      </c>
      <c r="AA9" s="47">
        <f ca="1">IF(C9="","",[1]!hks_val_pcf(C9,基本资料!$I$9,基本资料!$G$9))</f>
        <v>-33.686508629140789</v>
      </c>
      <c r="AB9" s="23">
        <f ca="1">IF(C9="","",[1]!hks_val_pcf(C9,基本资料!$I$8,基本资料!$G$8))</f>
        <v>-3.3294624466851412</v>
      </c>
      <c r="AC9" s="48">
        <f ca="1">IF(C9="","",[1]!hks_val_pcf_ttm(C9,E9))</f>
        <v>-4.2002558708190918</v>
      </c>
      <c r="AD9" s="39">
        <f ca="1">IF(C9="","",[1]!s_val_evtoebitda2(C9,E9))</f>
        <v>9.3365581775349629</v>
      </c>
      <c r="AE9" s="47">
        <f ca="1">IF(C9="","",[1]!hks_val_ev2(C9,E9,"",1)/[1]!hks_fa_ebit2_ttm(C9,[1]!s_fa_latelyrd_bt(C9,[1]!lastradeday_s(C9,基本资料!$D$7)),"",1))</f>
        <v>11.591205755041614</v>
      </c>
      <c r="AF9" s="35"/>
    </row>
    <row r="10" spans="1:64" s="36" customFormat="1" ht="16.5" x14ac:dyDescent="0.2">
      <c r="A10" s="2"/>
      <c r="B10" s="6"/>
      <c r="C10" s="28" t="str">
        <f>IF(表1[[#This Row],[列1]]="","",表1[[#This Row],[列1]])</f>
        <v>002123.SZ</v>
      </c>
      <c r="D10" s="19" t="str">
        <f>IF(C10="","",[1]!hks_info_name(C10))</f>
        <v>梦网科技</v>
      </c>
      <c r="E10" s="19" t="str">
        <f ca="1">IF(C10="","",[1]!lastradeday_s(C10,TODAY()))</f>
        <v>2024-12-09</v>
      </c>
      <c r="F10" s="27">
        <f ca="1">IF(C10="","",[1]!hks_val_ev(C10,基本资料!$I$9,"",100000000))</f>
        <v>90.086642243999989</v>
      </c>
      <c r="G10" s="23">
        <f ca="1">IF(C10="","",[1]!hks_val_ev(C10,基本资料!$I$8,"",100000000))</f>
        <v>89.244566550000002</v>
      </c>
      <c r="H10" s="23">
        <f ca="1">IF(C10="","",[1]!hks_val_ev(C10,E10,"",100000000))</f>
        <v>86.523391340000003</v>
      </c>
      <c r="I10" s="44"/>
      <c r="J10" s="27">
        <f ca="1">IF(C10="","",[1]!hks_val_mv_ard(C10,基本资料!$I$9,"",100000000))</f>
        <v>90.086642243999989</v>
      </c>
      <c r="K10" s="23">
        <f ca="1">IF(C10="","",[1]!hks_val_mv_ard(C10,基本资料!$I$8,"",100000000))</f>
        <v>89.244566550000002</v>
      </c>
      <c r="L10" s="45">
        <f ca="1">IF(C10="","",[1]!hks_val_mv_ard(C10,E10,"",100000000))</f>
        <v>86.523391340000003</v>
      </c>
      <c r="M10" s="44"/>
      <c r="N10" s="47">
        <f ca="1">IF(C10="","",[1]!hks_val_pe(C10,基本资料!$I$9,基本资料!$G$9))</f>
        <v>-12.476152650527395</v>
      </c>
      <c r="O10" s="23">
        <f ca="1">IF(C10="","",[1]!hks_val_pe(C10,基本资料!$I$8,基本资料!$G$8))</f>
        <v>-4.8968603698741218</v>
      </c>
      <c r="P10" s="23">
        <f ca="1">IF(C10="","",[1]!hks_val_pe_ttm(C10,E10))</f>
        <v>-4.8143734931945801</v>
      </c>
      <c r="Q10" s="23">
        <f ca="1">IF(C10="","",[1]!s_val_estpe(C10,E10,YEAR([1]!s_stm_rpt_e(C10,基本资料!$I$8,0))+1))</f>
        <v>65.674362175529708</v>
      </c>
      <c r="R10" s="48">
        <f ca="1">IF(C10="","",[1]!s_val_estpe(C10,E10,YEAR([1]!s_stm_rpt_e(C10,基本资料!$I$8,0))+2))</f>
        <v>40.730973273806548</v>
      </c>
      <c r="S10" s="47">
        <f ca="1">IF(C10="","",[1]!hks_val_pb(C10,基本资料!$I$9,基本资料!$G$9))</f>
        <v>2.630235026903978</v>
      </c>
      <c r="T10" s="23">
        <f ca="1">IF(C10="","",[1]!hks_val_pb(C10,基本资料!$I$8,基本资料!$G$8))</f>
        <v>5.4908391189963028</v>
      </c>
      <c r="U10" s="23">
        <f ca="1">IF(C10="","",[1]!pb_mrq(C10,E10))</f>
        <v>5.2245280756132315</v>
      </c>
      <c r="V10" s="23">
        <f ca="1">IF(C10="","",[1]!s_val_estpb(C10,E10,YEAR([1]!s_stm_rpt_e(C10,基本资料!$I$8,0))+1))</f>
        <v>4.9293203896583524</v>
      </c>
      <c r="W10" s="48">
        <f ca="1">IF(C10="","",[1]!s_val_estpb(C10,E10,YEAR([1]!s_stm_rpt_e(C10,基本资料!$I$8,0))+2))</f>
        <v>4.4129654157769531</v>
      </c>
      <c r="X10" s="47">
        <f ca="1">IF(C10="","",[1]!hks_val_ps(C10,基本资料!$I$9,基本资料!$G$9))</f>
        <v>2.1686708988658698</v>
      </c>
      <c r="Y10" s="23">
        <f ca="1">IF(C10="","",[1]!hks_val_ps(C10,基本资料!$I$8,基本资料!$G$8))</f>
        <v>1.7074205484112002</v>
      </c>
      <c r="Z10" s="48">
        <f ca="1">IF(C10="","",[1]!hks_val_ps_ttm(C10,E10))</f>
        <v>1.6609933468862499</v>
      </c>
      <c r="AA10" s="47">
        <f ca="1">IF(C10="","",[1]!hks_val_pcf(C10,基本资料!$I$9,基本资料!$G$9))</f>
        <v>42.932919327886971</v>
      </c>
      <c r="AB10" s="23">
        <f ca="1">IF(C10="","",[1]!hks_val_pcf(C10,基本资料!$I$8,基本资料!$G$8))</f>
        <v>-63.160099494311602</v>
      </c>
      <c r="AC10" s="48">
        <f ca="1">IF(C10="","",[1]!hks_val_pcf_ttm(C10,E10))</f>
        <v>225.91658020019531</v>
      </c>
      <c r="AD10" s="39">
        <f ca="1">IF(C10="","",[1]!s_val_evtoebitda2(C10,E10))</f>
        <v>-119.60559793012925</v>
      </c>
      <c r="AE10" s="47">
        <f ca="1">IF(C10="","",[1]!hks_val_ev2(C10,E10,"",1)/[1]!hks_fa_ebit2_ttm(C10,[1]!s_fa_latelyrd_bt(C10,[1]!lastradeday_s(C10,基本资料!$D$7)),"",1))</f>
        <v>-71.583245290867367</v>
      </c>
      <c r="AF10" s="35"/>
    </row>
    <row r="11" spans="1:64" s="36" customFormat="1" ht="16.5" x14ac:dyDescent="0.2">
      <c r="A11" s="2"/>
      <c r="B11" s="6"/>
      <c r="C11" s="28" t="str">
        <f>IF(表1[[#This Row],[列1]]="","",表1[[#This Row],[列1]])</f>
        <v>002230.SZ</v>
      </c>
      <c r="D11" s="19" t="str">
        <f>IF(C11="","",[1]!hks_info_name(C11))</f>
        <v>科大讯飞</v>
      </c>
      <c r="E11" s="19" t="str">
        <f ca="1">IF(C11="","",[1]!lastradeday_s(C11,TODAY()))</f>
        <v>2024-12-09</v>
      </c>
      <c r="F11" s="27">
        <f ca="1">IF(C11="","",[1]!hks_val_ev(C11,基本资料!$I$9,"",100000000))</f>
        <v>762.88803865889997</v>
      </c>
      <c r="G11" s="23">
        <f ca="1">IF(C11="","",[1]!hks_val_ev(C11,基本资料!$I$8,"",100000000))</f>
        <v>1074.0166291614</v>
      </c>
      <c r="H11" s="23">
        <f ca="1">IF(C11="","",[1]!hks_val_ev(C11,E11,"",100000000))</f>
        <v>1217.8215686579999</v>
      </c>
      <c r="I11" s="44"/>
      <c r="J11" s="27">
        <f ca="1">IF(C11="","",[1]!hks_val_mv_ard(C11,基本资料!$I$9,"",100000000))</f>
        <v>762.88803865889997</v>
      </c>
      <c r="K11" s="23">
        <f ca="1">IF(C11="","",[1]!hks_val_mv_ard(C11,基本资料!$I$8,"",100000000))</f>
        <v>1074.0166291614</v>
      </c>
      <c r="L11" s="45">
        <f ca="1">IF(C11="","",[1]!hks_val_mv_ard(C11,E11,"",100000000))</f>
        <v>1217.8215686579999</v>
      </c>
      <c r="M11" s="44"/>
      <c r="N11" s="47">
        <f ca="1">IF(C11="","",[1]!hks_val_pe(C11,基本资料!$I$9,基本资料!$G$9))</f>
        <v>135.93555573336647</v>
      </c>
      <c r="O11" s="23">
        <f ca="1">IF(C11="","",[1]!hks_val_pe(C11,基本资料!$I$8,基本资料!$G$8))</f>
        <v>163.39503084416106</v>
      </c>
      <c r="P11" s="23">
        <f ca="1">IF(C11="","",[1]!hks_val_pe_ttm(C11,E11))</f>
        <v>568.42059326171875</v>
      </c>
      <c r="Q11" s="23">
        <f ca="1">IF(C11="","",[1]!s_val_estpe(C11,E11,YEAR([1]!s_stm_rpt_e(C11,基本资料!$I$8,0))+1))</f>
        <v>202.14888670257201</v>
      </c>
      <c r="R11" s="48">
        <f ca="1">IF(C11="","",[1]!s_val_estpe(C11,E11,YEAR([1]!s_stm_rpt_e(C11,基本资料!$I$8,0))+2))</f>
        <v>126.8480580884778</v>
      </c>
      <c r="S11" s="47">
        <f ca="1">IF(C11="","",[1]!hks_val_pb(C11,基本资料!$I$9,基本资料!$G$9))</f>
        <v>4.6517427696464786</v>
      </c>
      <c r="T11" s="23">
        <f ca="1">IF(C11="","",[1]!hks_val_pb(C11,基本资料!$I$8,基本资料!$G$8))</f>
        <v>6.3057696600967637</v>
      </c>
      <c r="U11" s="23">
        <f ca="1">IF(C11="","",[1]!pb_mrq(C11,E11))</f>
        <v>7.385927181598162</v>
      </c>
      <c r="V11" s="23">
        <f ca="1">IF(C11="","",[1]!s_val_estpb(C11,E11,YEAR([1]!s_stm_rpt_e(C11,基本资料!$I$8,0))+1))</f>
        <v>6.9344074682080317</v>
      </c>
      <c r="W11" s="48">
        <f ca="1">IF(C11="","",[1]!s_val_estpb(C11,E11,YEAR([1]!s_stm_rpt_e(C11,基本资料!$I$8,0))+2))</f>
        <v>6.6659917302289644</v>
      </c>
      <c r="X11" s="47">
        <f ca="1">IF(C11="","",[1]!hks_val_ps(C11,基本资料!$I$9,基本资料!$G$9))</f>
        <v>4.0778443093635115</v>
      </c>
      <c r="Y11" s="23">
        <f ca="1">IF(C11="","",[1]!hks_val_ps(C11,基本资料!$I$8,基本资料!$G$8))</f>
        <v>5.501040521120518</v>
      </c>
      <c r="Z11" s="48">
        <f ca="1">IF(C11="","",[1]!hks_val_ps_ttm(C11,E11))</f>
        <v>5.5643554932172758</v>
      </c>
      <c r="AA11" s="47">
        <f ca="1">IF(C11="","",[1]!hks_val_pcf(C11,基本资料!$I$9,基本资料!$G$9))</f>
        <v>-55.634012907091034</v>
      </c>
      <c r="AB11" s="23">
        <f ca="1">IF(C11="","",[1]!hks_val_pcf(C11,基本资料!$I$8,基本资料!$G$8))</f>
        <v>-135.96107335859347</v>
      </c>
      <c r="AC11" s="48">
        <f ca="1">IF(C11="","",[1]!hks_val_pcf_ttm(C11,E11))</f>
        <v>-181.79545593261719</v>
      </c>
      <c r="AD11" s="39">
        <f ca="1">IF(C11="","",[1]!s_val_evtoebitda2(C11,E11))</f>
        <v>59.525165980425221</v>
      </c>
      <c r="AE11" s="47">
        <f ca="1">IF(C11="","",[1]!hks_val_ev2(C11,E11,"",1)/[1]!hks_fa_ebit2_ttm(C11,[1]!s_fa_latelyrd_bt(C11,[1]!lastradeday_s(C11,基本资料!$D$7)),"",1))</f>
        <v>589.87312814723066</v>
      </c>
      <c r="AF11" s="35"/>
    </row>
    <row r="12" spans="1:64" s="36" customFormat="1" ht="16.5" x14ac:dyDescent="0.2">
      <c r="A12" s="2"/>
      <c r="B12" s="6"/>
      <c r="C12" s="28" t="str">
        <f>IF(表1[[#This Row],[列1]]="","",表1[[#This Row],[列1]])</f>
        <v>600004.SH</v>
      </c>
      <c r="D12" s="19" t="str">
        <f>IF(C12="","",[1]!hks_info_name(C12))</f>
        <v>白云机场</v>
      </c>
      <c r="E12" s="19" t="str">
        <f ca="1">IF(C12="","",[1]!lastradeday_s(C12,TODAY()))</f>
        <v>2024-12-09</v>
      </c>
      <c r="F12" s="27">
        <f ca="1">IF(C12="","",[1]!hks_val_ev(C12,基本资料!$I$9,"",100000000))</f>
        <v>355.24441427830004</v>
      </c>
      <c r="G12" s="23">
        <f ca="1">IF(C12="","",[1]!hks_val_ev(C12,基本资料!$I$8,"",100000000))</f>
        <v>231.46504807739998</v>
      </c>
      <c r="H12" s="23">
        <f ca="1">IF(C12="","",[1]!hks_val_ev(C12,E12,"",100000000))</f>
        <v>233.1217508755</v>
      </c>
      <c r="I12" s="44"/>
      <c r="J12" s="27">
        <f ca="1">IF(C12="","",[1]!hks_val_mv_ard(C12,基本资料!$I$9,"",100000000))</f>
        <v>355.24441427830004</v>
      </c>
      <c r="K12" s="23">
        <f ca="1">IF(C12="","",[1]!hks_val_mv_ard(C12,基本资料!$I$8,"",100000000))</f>
        <v>231.46504807739998</v>
      </c>
      <c r="L12" s="45">
        <f ca="1">IF(C12="","",[1]!hks_val_mv_ard(C12,E12,"",100000000))</f>
        <v>233.1217508755</v>
      </c>
      <c r="M12" s="44"/>
      <c r="N12" s="47">
        <f ca="1">IF(C12="","",[1]!hks_val_pe(C12,基本资料!$I$9,基本资料!$G$9))</f>
        <v>-33.163077379267328</v>
      </c>
      <c r="O12" s="23">
        <f ca="1">IF(C12="","",[1]!hks_val_pe(C12,基本资料!$I$8,基本资料!$G$8))</f>
        <v>52.378831064789772</v>
      </c>
      <c r="P12" s="23">
        <f ca="1">IF(C12="","",[1]!hks_val_pe_ttm(C12,E12))</f>
        <v>27.892938613891602</v>
      </c>
      <c r="Q12" s="23">
        <f ca="1">IF(C12="","",[1]!s_val_estpe(C12,E12,YEAR([1]!s_stm_rpt_e(C12,基本资料!$I$8,0))+1))</f>
        <v>24.730103428950677</v>
      </c>
      <c r="R12" s="48">
        <f ca="1">IF(C12="","",[1]!s_val_estpe(C12,E12,YEAR([1]!s_stm_rpt_e(C12,基本资料!$I$8,0))+2))</f>
        <v>18.783371622460265</v>
      </c>
      <c r="S12" s="47">
        <f ca="1">IF(C12="","",[1]!hks_val_pb(C12,基本资料!$I$9,基本资料!$G$9))</f>
        <v>2.0665154716164786</v>
      </c>
      <c r="T12" s="23">
        <f ca="1">IF(C12="","",[1]!hks_val_pb(C12,基本资料!$I$8,基本资料!$G$8))</f>
        <v>1.3156455066207204</v>
      </c>
      <c r="U12" s="23">
        <f ca="1">IF(C12="","",[1]!pb_mrq(C12,E12))</f>
        <v>1.2892619764254887</v>
      </c>
      <c r="V12" s="23">
        <f ca="1">IF(C12="","",[1]!s_val_estpb(C12,E12,YEAR([1]!s_stm_rpt_e(C12,基本资料!$I$8,0))+1))</f>
        <v>1.265074955744923</v>
      </c>
      <c r="W12" s="48">
        <f ca="1">IF(C12="","",[1]!s_val_estpb(C12,E12,YEAR([1]!s_stm_rpt_e(C12,基本资料!$I$8,0))+2))</f>
        <v>1.1957365749182367</v>
      </c>
      <c r="X12" s="47">
        <f ca="1">IF(C12="","",[1]!hks_val_ps(C12,基本资料!$I$9,基本资料!$G$9))</f>
        <v>9.177790598011855</v>
      </c>
      <c r="Y12" s="23">
        <f ca="1">IF(C12="","",[1]!hks_val_ps(C12,基本资料!$I$8,基本资料!$G$8))</f>
        <v>3.6876346888564884</v>
      </c>
      <c r="Z12" s="48">
        <f ca="1">IF(C12="","",[1]!hks_val_ps_ttm(C12,E12))</f>
        <v>3.2723603375738786</v>
      </c>
      <c r="AA12" s="47">
        <f ca="1">IF(C12="","",[1]!hks_val_pcf(C12,基本资料!$I$9,基本资料!$G$9))</f>
        <v>53.993768656879922</v>
      </c>
      <c r="AB12" s="23">
        <f ca="1">IF(C12="","",[1]!hks_val_pcf(C12,基本资料!$I$8,基本资料!$G$8))</f>
        <v>76.542896236147755</v>
      </c>
      <c r="AC12" s="48">
        <f ca="1">IF(C12="","",[1]!hks_val_pcf_ttm(C12,E12))</f>
        <v>11.814525604248047</v>
      </c>
      <c r="AD12" s="39">
        <f ca="1">IF(C12="","",[1]!s_val_evtoebitda2(C12,E12))</f>
        <v>8.8978944188273239</v>
      </c>
      <c r="AE12" s="47">
        <f ca="1">IF(C12="","",[1]!hks_val_ev2(C12,E12,"",1)/[1]!hks_fa_ebit2_ttm(C12,[1]!s_fa_latelyrd_bt(C12,[1]!lastradeday_s(C12,基本资料!$D$7)),"",1))</f>
        <v>29.292957659537855</v>
      </c>
      <c r="AF12" s="35"/>
    </row>
    <row r="13" spans="1:64" s="36" customFormat="1" ht="16.5" x14ac:dyDescent="0.2">
      <c r="A13" s="2"/>
      <c r="B13" s="6"/>
      <c r="C13" s="28" t="str">
        <f>IF(表1[[#This Row],[列1]]="","",表1[[#This Row],[列1]])</f>
        <v>600006.SH</v>
      </c>
      <c r="D13" s="19" t="str">
        <f>IF(C13="","",[1]!hks_info_name(C13))</f>
        <v>东风股份</v>
      </c>
      <c r="E13" s="19" t="str">
        <f ca="1">IF(C13="","",[1]!lastradeday_s(C13,TODAY()))</f>
        <v>2024-12-09</v>
      </c>
      <c r="F13" s="27">
        <f ca="1">IF(C13="","",[1]!hks_val_ev(C13,基本资料!$I$9,"",100000000))</f>
        <v>111.6</v>
      </c>
      <c r="G13" s="23">
        <f ca="1">IF(C13="","",[1]!hks_val_ev(C13,基本资料!$I$8,"",100000000))</f>
        <v>115.4</v>
      </c>
      <c r="H13" s="23">
        <f ca="1">IF(C13="","",[1]!hks_val_ev(C13,E13,"",100000000))</f>
        <v>157.19999999999999</v>
      </c>
      <c r="I13" s="44"/>
      <c r="J13" s="27">
        <f ca="1">IF(C13="","",[1]!hks_val_mv_ard(C13,基本资料!$I$9,"",100000000))</f>
        <v>111.6</v>
      </c>
      <c r="K13" s="23">
        <f ca="1">IF(C13="","",[1]!hks_val_mv_ard(C13,基本资料!$I$8,"",100000000))</f>
        <v>115.4</v>
      </c>
      <c r="L13" s="45">
        <f ca="1">IF(C13="","",[1]!hks_val_mv_ard(C13,E13,"",100000000))</f>
        <v>157.19999999999999</v>
      </c>
      <c r="M13" s="44"/>
      <c r="N13" s="47">
        <f ca="1">IF(C13="","",[1]!hks_val_pe(C13,基本资料!$I$9,基本资料!$G$9))</f>
        <v>39.146356986823953</v>
      </c>
      <c r="O13" s="23">
        <f ca="1">IF(C13="","",[1]!hks_val_pe(C13,基本资料!$I$8,基本资料!$G$8))</f>
        <v>57.688124475568991</v>
      </c>
      <c r="P13" s="23">
        <f ca="1">IF(C13="","",[1]!hks_val_pe_ttm(C13,E13))</f>
        <v>326.86746215820313</v>
      </c>
      <c r="Q13" s="23">
        <f ca="1">IF(C13="","",[1]!s_val_estpe(C13,E13,YEAR([1]!s_stm_rpt_e(C13,基本资料!$I$8,0))+1))</f>
        <v>0</v>
      </c>
      <c r="R13" s="48">
        <f ca="1">IF(C13="","",[1]!s_val_estpe(C13,E13,YEAR([1]!s_stm_rpt_e(C13,基本资料!$I$8,0))+2))</f>
        <v>0</v>
      </c>
      <c r="S13" s="47">
        <f ca="1">IF(C13="","",[1]!hks_val_pb(C13,基本资料!$I$9,基本资料!$G$9))</f>
        <v>1.3616137746477583</v>
      </c>
      <c r="T13" s="23">
        <f ca="1">IF(C13="","",[1]!hks_val_pb(C13,基本资料!$I$8,基本资料!$G$8))</f>
        <v>1.3887489213230615</v>
      </c>
      <c r="U13" s="23">
        <f ca="1">IF(C13="","",[1]!pb_mrq(C13,E13))</f>
        <v>1.9324398666195166</v>
      </c>
      <c r="V13" s="23">
        <f ca="1">IF(C13="","",[1]!s_val_estpb(C13,E13,YEAR([1]!s_stm_rpt_e(C13,基本资料!$I$8,0))+1))</f>
        <v>0</v>
      </c>
      <c r="W13" s="48">
        <f ca="1">IF(C13="","",[1]!s_val_estpb(C13,E13,YEAR([1]!s_stm_rpt_e(C13,基本资料!$I$8,0))+2))</f>
        <v>0</v>
      </c>
      <c r="X13" s="47">
        <f ca="1">IF(C13="","",[1]!hks_val_ps(C13,基本资料!$I$9,基本资料!$G$9))</f>
        <v>0.92322666008027876</v>
      </c>
      <c r="Y13" s="23">
        <f ca="1">IF(C13="","",[1]!hks_val_ps(C13,基本资料!$I$8,基本资料!$G$8))</f>
        <v>0.96433246930562444</v>
      </c>
      <c r="Z13" s="48">
        <f ca="1">IF(C13="","",[1]!hks_val_ps_ttm(C13,E13))</f>
        <v>1.4446774598622609</v>
      </c>
      <c r="AA13" s="47">
        <f ca="1">IF(C13="","",[1]!hks_val_pcf(C13,基本资料!$I$9,基本资料!$G$9))</f>
        <v>23.438301464783745</v>
      </c>
      <c r="AB13" s="23">
        <f ca="1">IF(C13="","",[1]!hks_val_pcf(C13,基本资料!$I$8,基本资料!$G$8))</f>
        <v>-18.62073037804095</v>
      </c>
      <c r="AC13" s="48">
        <f ca="1">IF(C13="","",[1]!hks_val_pcf_ttm(C13,E13))</f>
        <v>-10.804343223571777</v>
      </c>
      <c r="AD13" s="39">
        <f ca="1">IF(C13="","",[1]!s_val_evtoebitda2(C13,E13))</f>
        <v>-68.989772101053575</v>
      </c>
      <c r="AE13" s="47">
        <f ca="1">IF(C13="","",[1]!hks_val_ev2(C13,E13,"",1)/[1]!hks_fa_ebit2_ttm(C13,[1]!s_fa_latelyrd_bt(C13,[1]!lastradeday_s(C13,基本资料!$D$7)),"",1))</f>
        <v>-26.096593812869944</v>
      </c>
      <c r="AF13" s="35"/>
    </row>
    <row r="14" spans="1:64" s="36" customFormat="1" ht="16.5" x14ac:dyDescent="0.2">
      <c r="A14" s="2"/>
      <c r="B14" s="6"/>
      <c r="C14" s="28" t="str">
        <f>IF(表1[[#This Row],[列1]]="","",表1[[#This Row],[列1]])</f>
        <v>600007.SH</v>
      </c>
      <c r="D14" s="19" t="str">
        <f>IF(C14="","",[1]!hks_info_name(C14))</f>
        <v>中国国贸</v>
      </c>
      <c r="E14" s="19" t="str">
        <f ca="1">IF(C14="","",[1]!lastradeday_s(C14,TODAY()))</f>
        <v>2024-12-09</v>
      </c>
      <c r="F14" s="27">
        <f ca="1">IF(C14="","",[1]!hks_val_ev(C14,基本资料!$I$9,"",100000000))</f>
        <v>159.45282513219999</v>
      </c>
      <c r="G14" s="23">
        <f ca="1">IF(C14="","",[1]!hks_val_ev(C14,基本资料!$I$8,"",100000000))</f>
        <v>195.21135508919997</v>
      </c>
      <c r="H14" s="23">
        <f ca="1">IF(C14="","",[1]!hks_val_ev(C14,E14,"",100000000))</f>
        <v>229.660417752</v>
      </c>
      <c r="I14" s="44"/>
      <c r="J14" s="27">
        <f ca="1">IF(C14="","",[1]!hks_val_mv_ard(C14,基本资料!$I$9,"",100000000))</f>
        <v>159.45282513219999</v>
      </c>
      <c r="K14" s="23">
        <f ca="1">IF(C14="","",[1]!hks_val_mv_ard(C14,基本资料!$I$8,"",100000000))</f>
        <v>195.21135508919997</v>
      </c>
      <c r="L14" s="45">
        <f ca="1">IF(C14="","",[1]!hks_val_mv_ard(C14,E14,"",100000000))</f>
        <v>229.660417752</v>
      </c>
      <c r="M14" s="44"/>
      <c r="N14" s="47">
        <f ca="1">IF(C14="","",[1]!hks_val_pe(C14,基本资料!$I$9,基本资料!$G$9))</f>
        <v>14.289541724754372</v>
      </c>
      <c r="O14" s="23">
        <f ca="1">IF(C14="","",[1]!hks_val_pe(C14,基本资料!$I$8,基本资料!$G$8))</f>
        <v>15.502791404634534</v>
      </c>
      <c r="P14" s="23">
        <f ca="1">IF(C14="","",[1]!hks_val_pe_ttm(C14,E14))</f>
        <v>18.005088806152344</v>
      </c>
      <c r="Q14" s="23">
        <f ca="1">IF(C14="","",[1]!s_val_estpe(C14,E14,YEAR([1]!s_stm_rpt_e(C14,基本资料!$I$8,0))+1))</f>
        <v>17.674419127306653</v>
      </c>
      <c r="R14" s="48">
        <f ca="1">IF(C14="","",[1]!s_val_estpe(C14,E14,YEAR([1]!s_stm_rpt_e(C14,基本资料!$I$8,0))+2))</f>
        <v>17.082490596202756</v>
      </c>
      <c r="S14" s="47">
        <f ca="1">IF(C14="","",[1]!hks_val_pb(C14,基本资料!$I$9,基本资料!$G$9))</f>
        <v>1.7435203337025278</v>
      </c>
      <c r="T14" s="23">
        <f ca="1">IF(C14="","",[1]!hks_val_pb(C14,基本资料!$I$8,基本资料!$G$8))</f>
        <v>2.0124553487527832</v>
      </c>
      <c r="U14" s="23">
        <f ca="1">IF(C14="","",[1]!pb_mrq(C14,E14))</f>
        <v>2.4407807568248865</v>
      </c>
      <c r="V14" s="23">
        <f ca="1">IF(C14="","",[1]!s_val_estpb(C14,E14,YEAR([1]!s_stm_rpt_e(C14,基本资料!$I$8,0))+1))</f>
        <v>2.2428803995459741</v>
      </c>
      <c r="W14" s="48">
        <f ca="1">IF(C14="","",[1]!s_val_estpb(C14,E14,YEAR([1]!s_stm_rpt_e(C14,基本资料!$I$8,0))+2))</f>
        <v>2.1304031074480911</v>
      </c>
      <c r="X14" s="47">
        <f ca="1">IF(C14="","",[1]!hks_val_ps(C14,基本资料!$I$9,基本资料!$G$9))</f>
        <v>5.1782030334311848</v>
      </c>
      <c r="Y14" s="23">
        <f ca="1">IF(C14="","",[1]!hks_val_ps(C14,基本资料!$I$8,基本资料!$G$8))</f>
        <v>5.4689252062466176</v>
      </c>
      <c r="Z14" s="48">
        <f ca="1">IF(C14="","",[1]!hks_val_ps_ttm(C14,E14))</f>
        <v>5.8079528346714291</v>
      </c>
      <c r="AA14" s="47">
        <f ca="1">IF(C14="","",[1]!hks_val_pcf(C14,基本资料!$I$9,基本资料!$G$9))</f>
        <v>32.615461732408576</v>
      </c>
      <c r="AB14" s="23">
        <f ca="1">IF(C14="","",[1]!hks_val_pcf(C14,基本资料!$I$8,基本资料!$G$8))</f>
        <v>34.635473880041218</v>
      </c>
      <c r="AC14" s="48">
        <f ca="1">IF(C14="","",[1]!hks_val_pcf_ttm(C14,E14))</f>
        <v>-178.37362670898438</v>
      </c>
      <c r="AD14" s="39">
        <f ca="1">IF(C14="","",[1]!s_val_evtoebitda2(C14,E14))</f>
        <v>9.3374360105326044</v>
      </c>
      <c r="AE14" s="47">
        <f ca="1">IF(C14="","",[1]!hks_val_ev2(C14,E14,"",1)/[1]!hks_fa_ebit2_ttm(C14,[1]!s_fa_latelyrd_bt(C14,[1]!lastradeday_s(C14,基本资料!$D$7)),"",1))</f>
        <v>12.012680239224974</v>
      </c>
      <c r="AF14" s="35"/>
    </row>
    <row r="15" spans="1:64" s="36" customFormat="1" ht="16.5" x14ac:dyDescent="0.2">
      <c r="A15" s="2"/>
      <c r="B15" s="6"/>
      <c r="C15" s="28" t="str">
        <f>IF(表1[[#This Row],[列1]]="","",表1[[#This Row],[列1]])</f>
        <v>600941.SH</v>
      </c>
      <c r="D15" s="19" t="str">
        <f>IF(C15="","",[1]!hks_info_name(C15))</f>
        <v>中国移动</v>
      </c>
      <c r="E15" s="19" t="str">
        <f ca="1">IF(C15="","",[1]!lastradeday_s(C15,TODAY()))</f>
        <v>2024-12-09</v>
      </c>
      <c r="F15" s="27">
        <f ca="1">IF(C15="","",[1]!hks_val_ev(C15,基本资料!$I$9,"",100000000))</f>
        <v>10068.917665251651</v>
      </c>
      <c r="G15" s="23">
        <f ca="1">IF(C15="","",[1]!hks_val_ev(C15,基本资料!$I$8,"",100000000))</f>
        <v>12928.329693912181</v>
      </c>
      <c r="H15" s="23">
        <f ca="1">IF(C15="","",[1]!hks_val_ev(C15,E15,"",100000000))</f>
        <v>14793.59400094271</v>
      </c>
      <c r="I15" s="44"/>
      <c r="J15" s="27">
        <f ca="1">IF(C15="","",[1]!hks_val_mv_ard(C15,基本资料!$I$9,"",100000000))</f>
        <v>14456.224871198803</v>
      </c>
      <c r="K15" s="23">
        <f ca="1">IF(C15="","",[1]!hks_val_mv_ard(C15,基本资料!$I$8,"",100000000))</f>
        <v>21277.971426741602</v>
      </c>
      <c r="L15" s="45">
        <f ca="1">IF(C15="","",[1]!hks_val_mv_ard(C15,E15,"",100000000))</f>
        <v>23053.510444028405</v>
      </c>
      <c r="M15" s="44"/>
      <c r="N15" s="47">
        <f ca="1">IF(C15="","",[1]!hks_val_pe(C15,基本资料!$I$9,基本资料!$G$9))</f>
        <v>11.522668657648159</v>
      </c>
      <c r="O15" s="23">
        <f ca="1">IF(C15="","",[1]!hks_val_pe(C15,基本资料!$I$8,基本资料!$G$8))</f>
        <v>16.148301858401712</v>
      </c>
      <c r="P15" s="23">
        <f ca="1">IF(C15="","",[1]!hks_val_pe_ttm(C15,E15))</f>
        <v>16.810079574584961</v>
      </c>
      <c r="Q15" s="23">
        <f ca="1">IF(C15="","",[1]!s_val_estpe(C15,E15,YEAR([1]!s_stm_rpt_e(C15,基本资料!$I$8,0))+1))</f>
        <v>16.562722186811254</v>
      </c>
      <c r="R15" s="48">
        <f ca="1">IF(C15="","",[1]!s_val_estpe(C15,E15,YEAR([1]!s_stm_rpt_e(C15,基本资料!$I$8,0))+2))</f>
        <v>15.724293066153956</v>
      </c>
      <c r="S15" s="47">
        <f ca="1">IF(C15="","",[1]!hks_val_pb(C15,基本资料!$I$9,基本资料!$G$9))</f>
        <v>1.1142904503031417</v>
      </c>
      <c r="T15" s="23">
        <f ca="1">IF(C15="","",[1]!hks_val_pb(C15,基本资料!$I$8,基本资料!$G$8))</f>
        <v>1.5858585340993285</v>
      </c>
      <c r="U15" s="23">
        <f ca="1">IF(C15="","",[1]!pb_mrq(C15,E15))</f>
        <v>1.7395738009542734</v>
      </c>
      <c r="V15" s="23">
        <f ca="1">IF(C15="","",[1]!s_val_estpb(C15,E15,YEAR([1]!s_stm_rpt_e(C15,基本资料!$I$8,0))+1))</f>
        <v>1.7299844479081194</v>
      </c>
      <c r="W15" s="48">
        <f ca="1">IF(C15="","",[1]!s_val_estpb(C15,E15,YEAR([1]!s_stm_rpt_e(C15,基本资料!$I$8,0))+2))</f>
        <v>1.6478723091608467</v>
      </c>
      <c r="X15" s="47">
        <f ca="1">IF(C15="","",[1]!hks_val_ps(C15,基本资料!$I$9,基本资料!$G$9))</f>
        <v>1.5358163753978711</v>
      </c>
      <c r="Y15" s="23">
        <f ca="1">IF(C15="","",[1]!hks_val_ps(C15,基本资料!$I$8,基本资料!$G$8))</f>
        <v>2.0995207965857432</v>
      </c>
      <c r="Z15" s="48">
        <f ca="1">IF(C15="","",[1]!hks_val_ps_ttm(C15,E15))</f>
        <v>2.2486688487329873</v>
      </c>
      <c r="AA15" s="47">
        <f ca="1">IF(C15="","",[1]!hks_val_pcf(C15,基本资料!$I$9,基本资料!$G$9))</f>
        <v>-18.814145361217648</v>
      </c>
      <c r="AB15" s="23">
        <f ca="1">IF(C15="","",[1]!hks_val_pcf(C15,基本资料!$I$8,基本资料!$G$8))</f>
        <v>-83.289511201869502</v>
      </c>
      <c r="AC15" s="48">
        <f ca="1">IF(C15="","",[1]!hks_val_pcf_ttm(C15,E15))</f>
        <v>-41.090671539306641</v>
      </c>
      <c r="AD15" s="39">
        <f ca="1">IF(C15="","",[1]!s_val_evtoebitda2(C15,E15))</f>
        <v>4.012343717219208</v>
      </c>
      <c r="AE15" s="47">
        <f ca="1">IF(C15="","",[1]!hks_val_ev2(C15,E15,"",1)/[1]!hks_fa_ebit2_ttm(C15,[1]!s_fa_latelyrd_bt(C15,[1]!lastradeday_s(C15,基本资料!$D$7)),"",1))</f>
        <v>9.516097930786545</v>
      </c>
      <c r="AF15" s="35"/>
    </row>
    <row r="16" spans="1:64" s="36" customFormat="1" ht="16.5" x14ac:dyDescent="0.2">
      <c r="A16" s="2"/>
      <c r="B16" s="6"/>
      <c r="C16" s="28" t="str">
        <f>IF(表1[[#This Row],[列1]]="","",表1[[#This Row],[列1]])</f>
        <v>603160.SH</v>
      </c>
      <c r="D16" s="19" t="str">
        <f>IF(C16="","",[1]!hks_info_name(C16))</f>
        <v>汇顶科技</v>
      </c>
      <c r="E16" s="19" t="str">
        <f ca="1">IF(C16="","",[1]!lastradeday_s(C16,TODAY()))</f>
        <v>2024-12-09</v>
      </c>
      <c r="F16" s="27">
        <f ca="1">IF(C16="","",[1]!hks_val_ev(C16,基本资料!$I$9,"",100000000))</f>
        <v>229.953319182</v>
      </c>
      <c r="G16" s="23">
        <f ca="1">IF(C16="","",[1]!hks_val_ev(C16,基本资料!$I$8,"",100000000))</f>
        <v>316.47326043099997</v>
      </c>
      <c r="H16" s="23">
        <f ca="1">IF(C16="","",[1]!hks_val_ev(C16,E16,"",100000000))</f>
        <v>412.34754884400002</v>
      </c>
      <c r="I16" s="44"/>
      <c r="J16" s="27">
        <f ca="1">IF(C16="","",[1]!hks_val_mv_ard(C16,基本资料!$I$9,"",100000000))</f>
        <v>229.953319182</v>
      </c>
      <c r="K16" s="23">
        <f ca="1">IF(C16="","",[1]!hks_val_mv_ard(C16,基本资料!$I$8,"",100000000))</f>
        <v>316.47326043100003</v>
      </c>
      <c r="L16" s="45">
        <f ca="1">IF(C16="","",[1]!hks_val_mv_ard(C16,E16,"",100000000))</f>
        <v>412.34754884400002</v>
      </c>
      <c r="M16" s="44"/>
      <c r="N16" s="47">
        <f ca="1">IF(C16="","",[1]!hks_val_pe(C16,基本资料!$I$9,基本资料!$G$9))</f>
        <v>-30.757148011144448</v>
      </c>
      <c r="O16" s="23">
        <f ca="1">IF(C16="","",[1]!hks_val_pe(C16,基本资料!$I$8,基本资料!$G$8))</f>
        <v>191.73814109267315</v>
      </c>
      <c r="P16" s="23">
        <f ca="1">IF(C16="","",[1]!hks_val_pe_ttm(C16,E16))</f>
        <v>68.642333984375</v>
      </c>
      <c r="Q16" s="23">
        <f ca="1">IF(C16="","",[1]!s_val_estpe(C16,E16,YEAR([1]!s_stm_rpt_e(C16,基本资料!$I$8,0))+1))</f>
        <v>59.644703834531249</v>
      </c>
      <c r="R16" s="48">
        <f ca="1">IF(C16="","",[1]!s_val_estpe(C16,E16,YEAR([1]!s_stm_rpt_e(C16,基本资料!$I$8,0))+2))</f>
        <v>50.011114439854175</v>
      </c>
      <c r="S16" s="47">
        <f ca="1">IF(C16="","",[1]!hks_val_pb(C16,基本资料!$I$9,基本资料!$G$9))</f>
        <v>2.9563439963275306</v>
      </c>
      <c r="T16" s="23">
        <f ca="1">IF(C16="","",[1]!hks_val_pb(C16,基本资料!$I$8,基本资料!$G$8))</f>
        <v>3.9336514093751349</v>
      </c>
      <c r="U16" s="23">
        <f ca="1">IF(C16="","",[1]!pb_mrq(C16,E16))</f>
        <v>4.8911094946230866</v>
      </c>
      <c r="V16" s="23">
        <f ca="1">IF(C16="","",[1]!s_val_estpb(C16,E16,YEAR([1]!s_stm_rpt_e(C16,基本资料!$I$8,0))+1))</f>
        <v>4.7366372825496859</v>
      </c>
      <c r="W16" s="48">
        <f ca="1">IF(C16="","",[1]!s_val_estpb(C16,E16,YEAR([1]!s_stm_rpt_e(C16,基本资料!$I$8,0))+2))</f>
        <v>4.3608906026006666</v>
      </c>
      <c r="X16" s="47">
        <f ca="1">IF(C16="","",[1]!hks_val_ps(C16,基本资料!$I$9,基本资料!$G$9))</f>
        <v>6.8276549761494758</v>
      </c>
      <c r="Y16" s="23">
        <f ca="1">IF(C16="","",[1]!hks_val_ps(C16,基本资料!$I$8,基本资料!$G$8))</f>
        <v>7.2266116020602382</v>
      </c>
      <c r="Z16" s="48">
        <f ca="1">IF(C16="","",[1]!hks_val_ps_ttm(C16,E16))</f>
        <v>9.299193064595924</v>
      </c>
      <c r="AA16" s="47">
        <f ca="1">IF(C16="","",[1]!hks_val_pcf(C16,基本资料!$I$9,基本资料!$G$9))</f>
        <v>-313.92096681622849</v>
      </c>
      <c r="AB16" s="23">
        <f ca="1">IF(C16="","",[1]!hks_val_pcf(C16,基本资料!$I$8,基本资料!$G$8))</f>
        <v>-132.72488617675671</v>
      </c>
      <c r="AC16" s="48">
        <f ca="1">IF(C16="","",[1]!hks_val_pcf_ttm(C16,E16))</f>
        <v>-38.287525177001953</v>
      </c>
      <c r="AD16" s="39">
        <f ca="1">IF(C16="","",[1]!s_val_evtoebitda2(C16,E16))</f>
        <v>70.516107507885579</v>
      </c>
      <c r="AE16" s="47">
        <f ca="1">IF(C16="","",[1]!hks_val_ev2(C16,E16,"",1)/[1]!hks_fa_ebit2_ttm(C16,[1]!s_fa_latelyrd_bt(C16,[1]!lastradeday_s(C16,基本资料!$D$7)),"",1))</f>
        <v>192.80842692932256</v>
      </c>
      <c r="AF16" s="35"/>
    </row>
    <row r="17" spans="1:32" s="36" customFormat="1" ht="16.5" x14ac:dyDescent="0.2">
      <c r="A17" s="2"/>
      <c r="B17" s="6"/>
      <c r="C17" s="28" t="str">
        <f>IF(表1[[#This Row],[列1]]="","",表1[[#This Row],[列1]])</f>
        <v>688111.SH</v>
      </c>
      <c r="D17" s="19" t="str">
        <f>IF(C17="","",[1]!hks_info_name(C17))</f>
        <v>金山办公</v>
      </c>
      <c r="E17" s="19" t="str">
        <f ca="1">IF(C17="","",[1]!lastradeday_s(C17,TODAY()))</f>
        <v>2024-12-09</v>
      </c>
      <c r="F17" s="27">
        <f ca="1">IF(C17="","",[1]!hks_val_ev(C17,基本资料!$I$9,"",100000000))</f>
        <v>1219.8848220521002</v>
      </c>
      <c r="G17" s="23">
        <f ca="1">IF(C17="","",[1]!hks_val_ev(C17,基本资料!$I$8,"",100000000))</f>
        <v>1459.9691599739999</v>
      </c>
      <c r="H17" s="23">
        <f ca="1">IF(C17="","",[1]!hks_val_ev(C17,E17,"",100000000))</f>
        <v>1445.8551600180001</v>
      </c>
      <c r="I17" s="44"/>
      <c r="J17" s="27">
        <f ca="1">IF(C17="","",[1]!hks_val_mv_ard(C17,基本资料!$I$9,"",100000000))</f>
        <v>1219.8848220521002</v>
      </c>
      <c r="K17" s="23">
        <f ca="1">IF(C17="","",[1]!hks_val_mv_ard(C17,基本资料!$I$8,"",100000000))</f>
        <v>1459.9691599739999</v>
      </c>
      <c r="L17" s="45">
        <f ca="1">IF(C17="","",[1]!hks_val_mv_ard(C17,E17,"",100000000))</f>
        <v>1445.8551600180001</v>
      </c>
      <c r="M17" s="44"/>
      <c r="N17" s="47">
        <f ca="1">IF(C17="","",[1]!hks_val_pe(C17,基本资料!$I$9,基本资料!$G$9))</f>
        <v>109.159072906538</v>
      </c>
      <c r="O17" s="23">
        <f ca="1">IF(C17="","",[1]!hks_val_pe(C17,基本资料!$I$8,基本资料!$G$8))</f>
        <v>110.79366464447644</v>
      </c>
      <c r="P17" s="23">
        <f ca="1">IF(C17="","",[1]!hks_val_pe_ttm(C17,E17))</f>
        <v>98.737564086914063</v>
      </c>
      <c r="Q17" s="23">
        <f ca="1">IF(C17="","",[1]!s_val_estpe(C17,E17,YEAR([1]!s_stm_rpt_e(C17,基本资料!$I$8,0))+1))</f>
        <v>94.712924692811697</v>
      </c>
      <c r="R17" s="48">
        <f ca="1">IF(C17="","",[1]!s_val_estpe(C17,E17,YEAR([1]!s_stm_rpt_e(C17,基本资料!$I$8,0))+2))</f>
        <v>75.441645182564912</v>
      </c>
      <c r="S17" s="47">
        <f ca="1">IF(C17="","",[1]!hks_val_pb(C17,基本资料!$I$9,基本资料!$G$9))</f>
        <v>13.982606268611418</v>
      </c>
      <c r="T17" s="23">
        <f ca="1">IF(C17="","",[1]!hks_val_pb(C17,基本资料!$I$8,基本资料!$G$8))</f>
        <v>14.674830064156744</v>
      </c>
      <c r="U17" s="23">
        <f ca="1">IF(C17="","",[1]!pb_mrq(C17,E17))</f>
        <v>13.507144933234633</v>
      </c>
      <c r="V17" s="23">
        <f ca="1">IF(C17="","",[1]!s_val_estpb(C17,E17,YEAR([1]!s_stm_rpt_e(C17,基本资料!$I$8,0))+1))</f>
        <v>12.930659884660129</v>
      </c>
      <c r="W17" s="48">
        <f ca="1">IF(C17="","",[1]!s_val_estpb(C17,E17,YEAR([1]!s_stm_rpt_e(C17,基本资料!$I$8,0))+2))</f>
        <v>11.369670796404188</v>
      </c>
      <c r="X17" s="47">
        <f ca="1">IF(C17="","",[1]!hks_val_ps(C17,基本资料!$I$9,基本资料!$G$9))</f>
        <v>31.683544466486527</v>
      </c>
      <c r="Y17" s="23">
        <f ca="1">IF(C17="","",[1]!hks_val_ps(C17,基本资料!$I$8,基本资料!$G$8))</f>
        <v>32.308731165111347</v>
      </c>
      <c r="Z17" s="48">
        <f ca="1">IF(C17="","",[1]!hks_val_ps_ttm(C17,E17))</f>
        <v>29.432633300198155</v>
      </c>
      <c r="AA17" s="47">
        <f ca="1">IF(C17="","",[1]!hks_val_pcf(C17,基本资料!$I$9,基本资料!$G$9))</f>
        <v>21.173031142458981</v>
      </c>
      <c r="AB17" s="23">
        <f ca="1">IF(C17="","",[1]!hks_val_pcf(C17,基本资料!$I$8,基本资料!$G$8))</f>
        <v>-41.25447827278645</v>
      </c>
      <c r="AC17" s="48">
        <f ca="1">IF(C17="","",[1]!hks_val_pcf_ttm(C17,E17))</f>
        <v>-52.061801910400391</v>
      </c>
      <c r="AD17" s="39">
        <f ca="1">IF(C17="","",[1]!s_val_evtoebitda2(C17,E17))</f>
        <v>118.53598644763592</v>
      </c>
      <c r="AE17" s="47">
        <f ca="1">IF(C17="","",[1]!hks_val_ev2(C17,E17,"",1)/[1]!hks_fa_ebit2_ttm(C17,[1]!s_fa_latelyrd_bt(C17,[1]!lastradeday_s(C17,基本资料!$D$7)),"",1))</f>
        <v>132.03982498417037</v>
      </c>
      <c r="AF17" s="35"/>
    </row>
    <row r="18" spans="1:32" s="36" customFormat="1" ht="16.5" x14ac:dyDescent="0.2">
      <c r="A18" s="2"/>
      <c r="B18" s="6"/>
      <c r="C18" s="28" t="str">
        <f>IF(表1[[#This Row],[列1]]="","",表1[[#This Row],[列1]])</f>
        <v>0700.HK</v>
      </c>
      <c r="D18" s="19" t="str">
        <f>IF(C18="","",[1]!hks_info_name(C18))</f>
        <v>腾讯控股</v>
      </c>
      <c r="E18" s="19" t="str">
        <f ca="1">IF(C18="","",[1]!lastradeday_s(C18,TODAY()))</f>
        <v>2024-12-06</v>
      </c>
      <c r="F18" s="27">
        <f ca="1">IF(C18="","",[1]!hks_val_ev(C18,基本资料!$I$9,"",100000000))</f>
        <v>31959.588042899999</v>
      </c>
      <c r="G18" s="23">
        <f ca="1">IF(C18="","",[1]!hks_val_ev(C18,基本资料!$I$8,"",100000000))</f>
        <v>27842.066919519999</v>
      </c>
      <c r="H18" s="23">
        <f ca="1">IF(C18="","",[1]!hks_val_ev(C18,E18,"",100000000))</f>
        <v>38237.595042100002</v>
      </c>
      <c r="I18" s="44"/>
      <c r="J18" s="27">
        <f ca="1">IF(C18="","",[1]!hks_val_mv_ard(C18,基本资料!$I$9,"",100000000))</f>
        <v>31984.898512799999</v>
      </c>
      <c r="K18" s="23">
        <f ca="1">IF(C18="","",[1]!hks_val_mv_ard(C18,基本资料!$I$8,"",100000000))</f>
        <v>27842.066919520006</v>
      </c>
      <c r="L18" s="45">
        <f ca="1">IF(C18="","",[1]!hks_val_mv_ard(C18,E18,"",100000000))</f>
        <v>38237.595042100002</v>
      </c>
      <c r="M18" s="44"/>
      <c r="N18" s="47">
        <f ca="1">IF(C18="","",[1]!hks_val_pe(C18,基本资料!$I$9,基本资料!$G$9))</f>
        <v>15.16579166879049</v>
      </c>
      <c r="O18" s="23">
        <f ca="1">IF(C18="","",[1]!hks_val_pe(C18,基本资料!$I$8,基本资料!$G$8))</f>
        <v>21.898901093430958</v>
      </c>
      <c r="P18" s="23">
        <f ca="1">IF(C18="","",[1]!hks_val_pe_ttm(C18,E18))</f>
        <v>20.310695648193359</v>
      </c>
      <c r="Q18" s="23">
        <f ca="1">IF(C18="","",[1]!s_val_estpe(C18,E18,YEAR([1]!s_stm_rpt_e(C18,基本资料!$I$8,0))+1))</f>
        <v>19.29500392574019</v>
      </c>
      <c r="R18" s="48">
        <f ca="1">IF(C18="","",[1]!s_val_estpe(C18,E18,YEAR([1]!s_stm_rpt_e(C18,基本资料!$I$8,0))+2))</f>
        <v>17.174303852257971</v>
      </c>
      <c r="S18" s="47">
        <f ca="1">IF(C18="","",[1]!hks_val_pb(C18,基本资料!$I$9,基本资料!$G$9))</f>
        <v>3.9574296340100279</v>
      </c>
      <c r="T18" s="23">
        <f ca="1">IF(C18="","",[1]!hks_val_pb(C18,基本资料!$I$8,基本资料!$G$8))</f>
        <v>3.1203708529785037</v>
      </c>
      <c r="U18" s="23">
        <f ca="1">IF(C18="","",[1]!pb_mrq(C18,E18))</f>
        <v>3.8682324452563059</v>
      </c>
      <c r="V18" s="23">
        <f ca="1">IF(C18="","",[1]!s_val_estpb(C18,E18,YEAR([1]!s_stm_rpt_e(C18,基本资料!$I$8,0))+1))</f>
        <v>3.6486972780774889</v>
      </c>
      <c r="W18" s="48">
        <f ca="1">IF(C18="","",[1]!s_val_estpb(C18,E18,YEAR([1]!s_stm_rpt_e(C18,基本资料!$I$8,0))+2))</f>
        <v>3.0967952579671403</v>
      </c>
      <c r="X18" s="47">
        <f ca="1">IF(C18="","",[1]!hks_val_ps(C18,基本资料!$I$9,基本资料!$G$9))</f>
        <v>4.1881585993790473</v>
      </c>
      <c r="Y18" s="23">
        <f ca="1">IF(C18="","",[1]!hks_val_ps(C18,基本资料!$I$8,基本资料!$G$8))</f>
        <v>4.1429255246270476</v>
      </c>
      <c r="Z18" s="48">
        <f ca="1">IF(C18="","",[1]!hks_val_ps_ttm(C18,E18))</f>
        <v>5.3626602561115755</v>
      </c>
      <c r="AA18" s="47">
        <f ca="1">IF(C18="","",[1]!hks_val_pcf(C18,基本资料!$I$9,基本资料!$G$9))</f>
        <v>-254.28468166991433</v>
      </c>
      <c r="AB18" s="23">
        <f ca="1">IF(C18="","",[1]!hks_val_pcf(C18,基本资料!$I$8,基本资料!$G$8))</f>
        <v>161.9346504319839</v>
      </c>
      <c r="AC18" s="48">
        <f ca="1">IF(C18="","",[1]!hks_val_pcf_ttm(C18,E18))</f>
        <v>0</v>
      </c>
      <c r="AD18" s="39">
        <f ca="1">IF(C18="","",[1]!s_val_evtoebitda2(C18,E18))</f>
        <v>17.197140748144172</v>
      </c>
      <c r="AE18" s="47">
        <f ca="1">IF(C18="","",[1]!hks_val_ev2(C18,E18,"",1)/[1]!hks_fa_ebit2_ttm(C18,[1]!s_fa_latelyrd_bt(C18,[1]!lastradeday_s(C18,基本资料!$D$7)),"",1))</f>
        <v>26.305967458292546</v>
      </c>
      <c r="AF18" s="35"/>
    </row>
    <row r="19" spans="1:32" s="36" customFormat="1" ht="16.5" x14ac:dyDescent="0.2">
      <c r="A19" s="2"/>
      <c r="B19" s="6"/>
      <c r="C19" s="28" t="str">
        <f>IF(表1[[#This Row],[列1]]="","",表1[[#This Row],[列1]])</f>
        <v>9896.HK</v>
      </c>
      <c r="D19" s="19" t="str">
        <f>IF(C19="","",[1]!hks_info_name(C19))</f>
        <v>名创优品</v>
      </c>
      <c r="E19" s="19" t="str">
        <f ca="1">IF(C19="","",[1]!lastradeday_s(C19,TODAY()))</f>
        <v>2024-12-06</v>
      </c>
      <c r="F19" s="27">
        <f ca="1">IF(C19="","",[1]!hks_val_ev(C19,基本资料!$I$9,"",100000000))</f>
        <v>264.80018999499998</v>
      </c>
      <c r="G19" s="23">
        <f ca="1">IF(C19="","",[1]!hks_val_ev(C19,基本资料!$I$8,"",100000000))</f>
        <v>507.37140852750002</v>
      </c>
      <c r="H19" s="23">
        <f ca="1">IF(C19="","",[1]!hks_val_ev(C19,E19,"",100000000))</f>
        <v>595.47673753799995</v>
      </c>
      <c r="I19" s="44"/>
      <c r="J19" s="27">
        <f ca="1">IF(C19="","",[1]!hks_val_mv_ard(C19,基本资料!$I$9,"",100000000))</f>
        <v>264.80018999999999</v>
      </c>
      <c r="K19" s="23">
        <f ca="1">IF(C19="","",[1]!hks_val_mv_ard(C19,基本资料!$I$8,"",100000000))</f>
        <v>507.37140853000005</v>
      </c>
      <c r="L19" s="45">
        <f ca="1">IF(C19="","",[1]!hks_val_mv_ard(C19,E19,"",100000000))</f>
        <v>595.47673754000004</v>
      </c>
      <c r="M19" s="44"/>
      <c r="N19" s="47">
        <f ca="1">IF(C19="","",[1]!hks_val_pe(C19,基本资料!$I$9,基本资料!$G$9))</f>
        <v>35.484976492443089</v>
      </c>
      <c r="O19" s="23">
        <f ca="1">IF(C19="","",[1]!hks_val_pe(C19,基本资料!$I$8,基本资料!$G$8))</f>
        <v>26.444650100353797</v>
      </c>
      <c r="P19" s="23">
        <f ca="1">IF(C19="","",[1]!hks_val_pe_ttm(C19,E19))</f>
        <v>22.843326568603516</v>
      </c>
      <c r="Q19" s="23">
        <f ca="1">IF(C19="","",[1]!s_val_estpe(C19,E19,YEAR([1]!s_stm_rpt_e(C19,基本资料!$I$8,0))+1))</f>
        <v>20.115693665532774</v>
      </c>
      <c r="R19" s="48">
        <f ca="1">IF(C19="","",[1]!s_val_estpe(C19,E19,YEAR([1]!s_stm_rpt_e(C19,基本资料!$I$8,0))+2))</f>
        <v>16.403523634591593</v>
      </c>
      <c r="S19" s="47">
        <f ca="1">IF(C19="","",[1]!hks_val_pb(C19,基本资料!$I$9,基本资料!$G$9))</f>
        <v>3.2205063124917919</v>
      </c>
      <c r="T19" s="23">
        <f ca="1">IF(C19="","",[1]!hks_val_pb(C19,基本资料!$I$8,基本资料!$G$8))</f>
        <v>5.2554263893969893</v>
      </c>
      <c r="U19" s="23">
        <f ca="1">IF(C19="","",[1]!pb_mrq(C19,E19))</f>
        <v>5.7716712334513778</v>
      </c>
      <c r="V19" s="23">
        <f ca="1">IF(C19="","",[1]!s_val_estpb(C19,E19,YEAR([1]!s_stm_rpt_e(C19,基本资料!$I$8,0))+1))</f>
        <v>4.0791297295785665</v>
      </c>
      <c r="W19" s="48">
        <f ca="1">IF(C19="","",[1]!s_val_estpb(C19,E19,YEAR([1]!s_stm_rpt_e(C19,基本资料!$I$8,0))+2))</f>
        <v>3.3447997003722407</v>
      </c>
      <c r="X19" s="47">
        <f ca="1">IF(C19="","",[1]!hks_val_ps(C19,基本资料!$I$9,基本资料!$G$9))</f>
        <v>2.2453138561715171</v>
      </c>
      <c r="Y19" s="23">
        <f ca="1">IF(C19="","",[1]!hks_val_ps(C19,基本资料!$I$8,基本资料!$G$8))</f>
        <v>4.0772057059732933</v>
      </c>
      <c r="Z19" s="48">
        <f ca="1">IF(C19="","",[1]!hks_val_ps_ttm(C19,E19))</f>
        <v>3.4570116072099939</v>
      </c>
      <c r="AA19" s="47">
        <f ca="1">IF(C19="","",[1]!hks_val_pcf(C19,基本资料!$I$9,基本资料!$G$9))</f>
        <v>-15.912077023037034</v>
      </c>
      <c r="AB19" s="23">
        <f ca="1">IF(C19="","",[1]!hks_val_pcf(C19,基本资料!$I$8,基本资料!$G$8))</f>
        <v>41.007949466537781</v>
      </c>
      <c r="AC19" s="48">
        <f ca="1">IF(C19="","",[1]!hks_val_pcf_ttm(C19,E19))</f>
        <v>0</v>
      </c>
      <c r="AD19" s="39">
        <f ca="1">IF(C19="","",[1]!s_val_evtoebitda2(C19,E19))</f>
        <v>0</v>
      </c>
      <c r="AE19" s="47">
        <f ca="1">IF(C19="","",[1]!hks_val_ev2(C19,E19,"",1)/[1]!hks_fa_ebit2_ttm(C19,[1]!s_fa_latelyrd_bt(C19,[1]!lastradeday_s(C19,基本资料!$D$7)),"",1))</f>
        <v>27.540597490633505</v>
      </c>
      <c r="AF19" s="35"/>
    </row>
    <row r="20" spans="1:32" s="36" customFormat="1" ht="16.5" x14ac:dyDescent="0.2">
      <c r="A20" s="2"/>
      <c r="B20" s="6"/>
      <c r="C20" s="28" t="str">
        <f>IF(表1[[#This Row],[列1]]="","",表1[[#This Row],[列1]])</f>
        <v>9999.HK</v>
      </c>
      <c r="D20" s="19" t="str">
        <f>IF(C20="","",[1]!hks_info_name(C20))</f>
        <v>网易-S</v>
      </c>
      <c r="E20" s="19" t="str">
        <f ca="1">IF(C20="","",[1]!lastradeday_s(C20,TODAY()))</f>
        <v>2024-12-09</v>
      </c>
      <c r="F20" s="27">
        <f ca="1">IF(C20="","",[1]!hks_val_ev(C20,基本资料!$I$9,"",100000000))</f>
        <v>3760.1694327949999</v>
      </c>
      <c r="G20" s="23">
        <f ca="1">IF(C20="","",[1]!hks_val_ev(C20,基本资料!$I$8,"",100000000))</f>
        <v>4532.4147759759999</v>
      </c>
      <c r="H20" s="23">
        <f ca="1">IF(C20="","",[1]!hks_val_ev(C20,E20,"",100000000))</f>
        <v>4845.071759769</v>
      </c>
      <c r="I20" s="44"/>
      <c r="J20" s="27">
        <f ca="1">IF(C20="","",[1]!hks_val_mv_ard(C20,基本资料!$I$9,"",100000000))</f>
        <v>3760.1694327999999</v>
      </c>
      <c r="K20" s="23">
        <f ca="1">IF(C20="","",[1]!hks_val_mv_ard(C20,基本资料!$I$8,"",100000000))</f>
        <v>4532.4147759799998</v>
      </c>
      <c r="L20" s="45">
        <f ca="1">IF(C20="","",[1]!hks_val_mv_ard(C20,E20,"",100000000))</f>
        <v>0</v>
      </c>
      <c r="M20" s="44"/>
      <c r="N20" s="47">
        <f ca="1">IF(C20="","",[1]!hks_val_pe(C20,基本资料!$I$9,基本资料!$G$9))</f>
        <v>16.515451917791623</v>
      </c>
      <c r="O20" s="23">
        <f ca="1">IF(C20="","",[1]!hks_val_pe(C20,基本资料!$I$8,基本资料!$G$8))</f>
        <v>13.96276803034214</v>
      </c>
      <c r="P20" s="23">
        <f ca="1">IF(C20="","",[1]!hks_val_pe_ttm(C20,E20))</f>
        <v>0</v>
      </c>
      <c r="Q20" s="23">
        <f ca="1">IF(C20="","",[1]!s_val_estpe(C20,E20,YEAR([1]!s_stm_rpt_e(C20,基本资料!$I$8,0))+1))</f>
        <v>15.493898404935255</v>
      </c>
      <c r="R20" s="48">
        <f ca="1">IF(C20="","",[1]!s_val_estpe(C20,E20,YEAR([1]!s_stm_rpt_e(C20,基本资料!$I$8,0))+2))</f>
        <v>14.400774531479225</v>
      </c>
      <c r="S20" s="47">
        <f ca="1">IF(C20="","",[1]!hks_val_pb(C20,基本资料!$I$9,基本资料!$G$9))</f>
        <v>3.2071080985573679</v>
      </c>
      <c r="T20" s="23">
        <f ca="1">IF(C20="","",[1]!hks_val_pb(C20,基本资料!$I$8,基本资料!$G$8))</f>
        <v>3.3047747300422947</v>
      </c>
      <c r="U20" s="23">
        <f ca="1">IF(C20="","",[1]!pb_mrq(C20,E20))</f>
        <v>0</v>
      </c>
      <c r="V20" s="23">
        <f ca="1">IF(C20="","",[1]!s_val_estpb(C20,E20,YEAR([1]!s_stm_rpt_e(C20,基本资料!$I$8,0))+1))</f>
        <v>3.0784267853948446</v>
      </c>
      <c r="W20" s="48">
        <f ca="1">IF(C20="","",[1]!s_val_estpb(C20,E20,YEAR([1]!s_stm_rpt_e(C20,基本资料!$I$8,0))+2))</f>
        <v>2.6459618341476752</v>
      </c>
      <c r="X20" s="47">
        <f ca="1">IF(C20="","",[1]!hks_val_ps(C20,基本资料!$I$9,基本资料!$G$9))</f>
        <v>3.4808211714487927</v>
      </c>
      <c r="Y20" s="23">
        <f ca="1">IF(C20="","",[1]!hks_val_ps(C20,基本资料!$I$8,基本资料!$G$8))</f>
        <v>3.9696897654136971</v>
      </c>
      <c r="Z20" s="48">
        <f ca="1">IF(C20="","",[1]!hks_val_ps_ttm(C20,E20))</f>
        <v>0</v>
      </c>
      <c r="AA20" s="47">
        <f ca="1">IF(C20="","",[1]!hks_val_pcf(C20,基本资料!$I$9,基本资料!$G$9))</f>
        <v>32.890496270961819</v>
      </c>
      <c r="AB20" s="23">
        <f ca="1">IF(C20="","",[1]!hks_val_pcf(C20,基本资料!$I$8,基本资料!$G$8))</f>
        <v>-121.45976875561583</v>
      </c>
      <c r="AC20" s="48">
        <f ca="1">IF(C20="","",[1]!hks_val_pcf_ttm(C20,E20))</f>
        <v>0</v>
      </c>
      <c r="AD20" s="39">
        <f ca="1">IF(C20="","",[1]!s_val_evtoebitda2(C20,E20))</f>
        <v>13.972752819489912</v>
      </c>
      <c r="AE20" s="47">
        <f ca="1">IF(C20="","",[1]!hks_val_ev2(C20,E20,"",1)/[1]!hks_fa_ebit2_ttm(C20,[1]!s_fa_latelyrd_bt(C20,[1]!lastradeday_s(C20,基本资料!$D$7)),"",1))</f>
        <v>17.118816235540883</v>
      </c>
      <c r="AF20" s="35"/>
    </row>
    <row r="21" spans="1:32" s="36" customFormat="1" ht="16.5" x14ac:dyDescent="0.2">
      <c r="A21" s="2"/>
      <c r="B21" s="6"/>
      <c r="C21" s="28" t="str">
        <f>IF(表1[[#This Row],[列1]]="","",表1[[#This Row],[列1]])</f>
        <v/>
      </c>
      <c r="D21" s="19" t="str">
        <f>IF(C21="","",[1]!hks_info_name(C21))</f>
        <v/>
      </c>
      <c r="E21" s="19" t="str">
        <f ca="1">IF(C21="","",[1]!lastradeday_s(C21,TODAY()))</f>
        <v/>
      </c>
      <c r="F21" s="27" t="str">
        <f>IF(C21="","",[1]!hks_val_ev(C21,基本资料!$I$9,"",100000000))</f>
        <v/>
      </c>
      <c r="G21" s="23" t="str">
        <f>IF(C21="","",[1]!hks_val_ev(C21,基本资料!$I$8,"",100000000))</f>
        <v/>
      </c>
      <c r="H21" s="23" t="str">
        <f>IF(C21="","",[1]!hks_val_ev(C21,E21,"",100000000))</f>
        <v/>
      </c>
      <c r="I21" s="44"/>
      <c r="J21" s="27" t="str">
        <f>IF(C21="","",[1]!hks_val_mv_ard(C21,基本资料!$I$9,"",100000000))</f>
        <v/>
      </c>
      <c r="K21" s="23" t="str">
        <f>IF(C21="","",[1]!hks_val_mv_ard(C21,基本资料!$I$8,"",100000000))</f>
        <v/>
      </c>
      <c r="L21" s="45" t="str">
        <f>IF(C21="","",[1]!hks_val_mv_ard(C21,E21,"",100000000))</f>
        <v/>
      </c>
      <c r="M21" s="44"/>
      <c r="N21" s="47" t="str">
        <f>IF(C21="","",[1]!hks_val_pe(C21,基本资料!$I$9,基本资料!$G$9))</f>
        <v/>
      </c>
      <c r="O21" s="23" t="str">
        <f>IF(C21="","",[1]!hks_val_pe(C21,基本资料!$I$8,基本资料!$G$8))</f>
        <v/>
      </c>
      <c r="P21" s="23" t="str">
        <f>IF(C21="","",[1]!hks_val_pe_ttm(C21,E21))</f>
        <v/>
      </c>
      <c r="Q21" s="23" t="str">
        <f>IF(C21="","",[1]!s_val_estpe(C21,E21,YEAR([1]!s_stm_rpt_e(C21,基本资料!$I$8,0))+1))</f>
        <v/>
      </c>
      <c r="R21" s="48" t="str">
        <f>IF(C21="","",[1]!s_val_estpe(C21,E21,YEAR([1]!s_stm_rpt_e(C21,基本资料!$I$8,0))+2))</f>
        <v/>
      </c>
      <c r="S21" s="47" t="str">
        <f>IF(C21="","",[1]!hks_val_pb(C21,基本资料!$I$9,基本资料!$G$9))</f>
        <v/>
      </c>
      <c r="T21" s="23" t="str">
        <f>IF(C21="","",[1]!hks_val_pb(C21,基本资料!$I$8,基本资料!$G$8))</f>
        <v/>
      </c>
      <c r="U21" s="23" t="str">
        <f>IF(C21="","",[1]!pb_mrq(C21,E21))</f>
        <v/>
      </c>
      <c r="V21" s="23" t="str">
        <f>IF(C21="","",[1]!s_val_estpb(C21,E21,YEAR([1]!s_stm_rpt_e(C21,基本资料!$I$8,0))+1))</f>
        <v/>
      </c>
      <c r="W21" s="48" t="str">
        <f>IF(C21="","",[1]!s_val_estpb(C21,E21,YEAR([1]!s_stm_rpt_e(C21,基本资料!$I$8,0))+2))</f>
        <v/>
      </c>
      <c r="X21" s="47" t="str">
        <f>IF(C21="","",[1]!hks_val_ps(C21,基本资料!$I$9,基本资料!$G$9))</f>
        <v/>
      </c>
      <c r="Y21" s="23" t="str">
        <f>IF(C21="","",[1]!hks_val_ps(C21,基本资料!$I$8,基本资料!$G$8))</f>
        <v/>
      </c>
      <c r="Z21" s="48" t="str">
        <f>IF(C21="","",[1]!hks_val_ps_ttm(C21,E21))</f>
        <v/>
      </c>
      <c r="AA21" s="47" t="str">
        <f>IF(C21="","",[1]!hks_val_pcf(C21,基本资料!$I$9,基本资料!$G$9))</f>
        <v/>
      </c>
      <c r="AB21" s="23" t="str">
        <f>IF(C21="","",[1]!hks_val_pcf(C21,基本资料!$I$8,基本资料!$G$8))</f>
        <v/>
      </c>
      <c r="AC21" s="48" t="str">
        <f>IF(C21="","",[1]!hks_val_pcf_ttm(C21,E21))</f>
        <v/>
      </c>
      <c r="AD21" s="39" t="str">
        <f>IF(C21="","",[1]!s_val_evtoebitda2(C21,E21))</f>
        <v/>
      </c>
      <c r="AE21" s="47" t="str">
        <f>IF(C21="","",[1]!hks_val_ev2(C21,E21,"",1)/[1]!hks_fa_ebit2_ttm(C21,[1]!s_fa_latelyrd_bt(C21,[1]!lastradeday_s(C21,基本资料!$D$7)),"",1))</f>
        <v/>
      </c>
      <c r="AF21" s="35"/>
    </row>
    <row r="22" spans="1:32" s="36" customFormat="1" ht="16.5" x14ac:dyDescent="0.2">
      <c r="A22" s="2"/>
      <c r="B22" s="6"/>
      <c r="C22" s="28" t="str">
        <f>IF(表1[[#This Row],[列1]]="","",表1[[#This Row],[列1]])</f>
        <v/>
      </c>
      <c r="D22" s="19" t="str">
        <f>IF(C22="","",[1]!hks_info_name(C22))</f>
        <v/>
      </c>
      <c r="E22" s="19" t="str">
        <f ca="1">IF(C22="","",[1]!lastradeday_s(C22,TODAY()))</f>
        <v/>
      </c>
      <c r="F22" s="27" t="str">
        <f>IF(C22="","",[1]!hks_val_ev(C22,基本资料!$I$9,"",100000000))</f>
        <v/>
      </c>
      <c r="G22" s="23" t="str">
        <f>IF(C22="","",[1]!hks_val_ev(C22,基本资料!$I$8,"",100000000))</f>
        <v/>
      </c>
      <c r="H22" s="23" t="str">
        <f>IF(C22="","",[1]!hks_val_ev(C22,E22,"",100000000))</f>
        <v/>
      </c>
      <c r="I22" s="44"/>
      <c r="J22" s="27" t="str">
        <f>IF(C22="","",[1]!hks_val_mv_ard(C22,基本资料!$I$9,"",100000000))</f>
        <v/>
      </c>
      <c r="K22" s="23" t="str">
        <f>IF(C22="","",[1]!hks_val_mv_ard(C22,基本资料!$I$8,"",100000000))</f>
        <v/>
      </c>
      <c r="L22" s="45" t="str">
        <f>IF(C22="","",[1]!hks_val_mv_ard(C22,E22,"",100000000))</f>
        <v/>
      </c>
      <c r="M22" s="44"/>
      <c r="N22" s="47" t="str">
        <f>IF(C22="","",[1]!hks_val_pe(C22,基本资料!$I$9,基本资料!$G$9))</f>
        <v/>
      </c>
      <c r="O22" s="23" t="str">
        <f>IF(C22="","",[1]!hks_val_pe(C22,基本资料!$I$8,基本资料!$G$8))</f>
        <v/>
      </c>
      <c r="P22" s="23" t="str">
        <f>IF(C22="","",[1]!hks_val_pe_ttm(C22,E22))</f>
        <v/>
      </c>
      <c r="Q22" s="23" t="str">
        <f>IF(C22="","",[1]!s_val_estpe(C22,E22,YEAR([1]!s_stm_rpt_e(C22,基本资料!$I$8,0))+1))</f>
        <v/>
      </c>
      <c r="R22" s="48" t="str">
        <f>IF(C22="","",[1]!s_val_estpe(C22,E22,YEAR([1]!s_stm_rpt_e(C22,基本资料!$I$8,0))+2))</f>
        <v/>
      </c>
      <c r="S22" s="47" t="str">
        <f>IF(C22="","",[1]!hks_val_pb(C22,基本资料!$I$9,基本资料!$G$9))</f>
        <v/>
      </c>
      <c r="T22" s="23" t="str">
        <f>IF(C22="","",[1]!hks_val_pb(C22,基本资料!$I$8,基本资料!$G$8))</f>
        <v/>
      </c>
      <c r="U22" s="23" t="str">
        <f>IF(C22="","",[1]!pb_mrq(C22,E22))</f>
        <v/>
      </c>
      <c r="V22" s="23" t="str">
        <f>IF(C22="","",[1]!s_val_estpb(C22,E22,YEAR([1]!s_stm_rpt_e(C22,基本资料!$I$8,0))+1))</f>
        <v/>
      </c>
      <c r="W22" s="48" t="str">
        <f>IF(C22="","",[1]!s_val_estpb(C22,E22,YEAR([1]!s_stm_rpt_e(C22,基本资料!$I$8,0))+2))</f>
        <v/>
      </c>
      <c r="X22" s="47" t="str">
        <f>IF(C22="","",[1]!hks_val_ps(C22,基本资料!$I$9,基本资料!$G$9))</f>
        <v/>
      </c>
      <c r="Y22" s="23" t="str">
        <f>IF(C22="","",[1]!hks_val_ps(C22,基本资料!$I$8,基本资料!$G$8))</f>
        <v/>
      </c>
      <c r="Z22" s="48" t="str">
        <f>IF(C22="","",[1]!hks_val_ps_ttm(C22,E22))</f>
        <v/>
      </c>
      <c r="AA22" s="47" t="str">
        <f>IF(C22="","",[1]!hks_val_pcf(C22,基本资料!$I$9,基本资料!$G$9))</f>
        <v/>
      </c>
      <c r="AB22" s="23" t="str">
        <f>IF(C22="","",[1]!hks_val_pcf(C22,基本资料!$I$8,基本资料!$G$8))</f>
        <v/>
      </c>
      <c r="AC22" s="48" t="str">
        <f>IF(C22="","",[1]!hks_val_pcf_ttm(C22,E22))</f>
        <v/>
      </c>
      <c r="AD22" s="39" t="str">
        <f>IF(C22="","",[1]!s_val_evtoebitda2(C22,E22))</f>
        <v/>
      </c>
      <c r="AE22" s="47" t="str">
        <f>IF(C22="","",[1]!hks_val_ev2(C22,E22,"",1)/[1]!hks_fa_ebit2_ttm(C22,[1]!s_fa_latelyrd_bt(C22,[1]!lastradeday_s(C22,基本资料!$D$7)),"",1))</f>
        <v/>
      </c>
      <c r="AF22" s="35"/>
    </row>
    <row r="23" spans="1:32" s="36" customFormat="1" ht="16.5" x14ac:dyDescent="0.2">
      <c r="A23" s="2"/>
      <c r="B23" s="6"/>
      <c r="C23" s="28" t="str">
        <f>IF(表1[[#This Row],[列1]]="","",表1[[#This Row],[列1]])</f>
        <v/>
      </c>
      <c r="D23" s="19" t="str">
        <f>IF(C23="","",[1]!hks_info_name(C23))</f>
        <v/>
      </c>
      <c r="E23" s="19" t="str">
        <f ca="1">IF(C23="","",[1]!lastradeday_s(C23,TODAY()))</f>
        <v/>
      </c>
      <c r="F23" s="27" t="str">
        <f>IF(C23="","",[1]!hks_val_ev(C23,基本资料!$I$9,"",100000000))</f>
        <v/>
      </c>
      <c r="G23" s="23" t="str">
        <f>IF(C23="","",[1]!hks_val_ev(C23,基本资料!$I$8,"",100000000))</f>
        <v/>
      </c>
      <c r="H23" s="23" t="str">
        <f>IF(C23="","",[1]!hks_val_ev(C23,E23,"",100000000))</f>
        <v/>
      </c>
      <c r="I23" s="44"/>
      <c r="J23" s="27" t="str">
        <f>IF(C23="","",[1]!hks_val_mv_ard(C23,基本资料!$I$9,"",100000000))</f>
        <v/>
      </c>
      <c r="K23" s="23" t="str">
        <f>IF(C23="","",[1]!hks_val_mv_ard(C23,基本资料!$I$8,"",100000000))</f>
        <v/>
      </c>
      <c r="L23" s="45" t="str">
        <f>IF(C23="","",[1]!hks_val_mv_ard(C23,E23,"",100000000))</f>
        <v/>
      </c>
      <c r="M23" s="44"/>
      <c r="N23" s="47" t="str">
        <f>IF(C23="","",[1]!hks_val_pe(C23,基本资料!$I$9,基本资料!$G$9))</f>
        <v/>
      </c>
      <c r="O23" s="23" t="str">
        <f>IF(C23="","",[1]!hks_val_pe(C23,基本资料!$I$8,基本资料!$G$8))</f>
        <v/>
      </c>
      <c r="P23" s="23" t="str">
        <f>IF(C23="","",[1]!hks_val_pe_ttm(C23,E23))</f>
        <v/>
      </c>
      <c r="Q23" s="23" t="str">
        <f>IF(C23="","",[1]!s_val_estpe(C23,E23,YEAR([1]!s_stm_rpt_e(C23,基本资料!$I$8,0))+1))</f>
        <v/>
      </c>
      <c r="R23" s="48" t="str">
        <f>IF(C23="","",[1]!s_val_estpe(C23,E23,YEAR([1]!s_stm_rpt_e(C23,基本资料!$I$8,0))+2))</f>
        <v/>
      </c>
      <c r="S23" s="47" t="str">
        <f>IF(C23="","",[1]!hks_val_pb(C23,基本资料!$I$9,基本资料!$G$9))</f>
        <v/>
      </c>
      <c r="T23" s="23" t="str">
        <f>IF(C23="","",[1]!hks_val_pb(C23,基本资料!$I$8,基本资料!$G$8))</f>
        <v/>
      </c>
      <c r="U23" s="23" t="str">
        <f>IF(C23="","",[1]!pb_mrq(C23,E23))</f>
        <v/>
      </c>
      <c r="V23" s="23" t="str">
        <f>IF(C23="","",[1]!s_val_estpb(C23,E23,YEAR([1]!s_stm_rpt_e(C23,基本资料!$I$8,0))+1))</f>
        <v/>
      </c>
      <c r="W23" s="48" t="str">
        <f>IF(C23="","",[1]!s_val_estpb(C23,E23,YEAR([1]!s_stm_rpt_e(C23,基本资料!$I$8,0))+2))</f>
        <v/>
      </c>
      <c r="X23" s="47" t="str">
        <f>IF(C23="","",[1]!hks_val_ps(C23,基本资料!$I$9,基本资料!$G$9))</f>
        <v/>
      </c>
      <c r="Y23" s="23" t="str">
        <f>IF(C23="","",[1]!hks_val_ps(C23,基本资料!$I$8,基本资料!$G$8))</f>
        <v/>
      </c>
      <c r="Z23" s="48" t="str">
        <f>IF(C23="","",[1]!hks_val_ps_ttm(C23,E23))</f>
        <v/>
      </c>
      <c r="AA23" s="47" t="str">
        <f>IF(C23="","",[1]!hks_val_pcf(C23,基本资料!$I$9,基本资料!$G$9))</f>
        <v/>
      </c>
      <c r="AB23" s="23" t="str">
        <f>IF(C23="","",[1]!hks_val_pcf(C23,基本资料!$I$8,基本资料!$G$8))</f>
        <v/>
      </c>
      <c r="AC23" s="48" t="str">
        <f>IF(C23="","",[1]!hks_val_pcf_ttm(C23,E23))</f>
        <v/>
      </c>
      <c r="AD23" s="39" t="str">
        <f>IF(C23="","",[1]!s_val_evtoebitda2(C23,E23))</f>
        <v/>
      </c>
      <c r="AE23" s="47" t="str">
        <f>IF(C23="","",[1]!hks_val_ev2(C23,E23,"",1)/[1]!hks_fa_ebit2_ttm(C23,[1]!s_fa_latelyrd_bt(C23,[1]!lastradeday_s(C23,基本资料!$D$7)),"",1))</f>
        <v/>
      </c>
      <c r="AF23" s="35"/>
    </row>
    <row r="24" spans="1:32" s="36" customFormat="1" ht="16.5" x14ac:dyDescent="0.2">
      <c r="A24" s="2"/>
      <c r="B24" s="6"/>
      <c r="C24" s="28" t="str">
        <f>IF(表1[[#This Row],[列1]]="","",表1[[#This Row],[列1]])</f>
        <v/>
      </c>
      <c r="D24" s="19" t="str">
        <f>IF(C24="","",[1]!hks_info_name(C24))</f>
        <v/>
      </c>
      <c r="E24" s="19" t="str">
        <f ca="1">IF(C24="","",[1]!lastradeday_s(C24,TODAY()))</f>
        <v/>
      </c>
      <c r="F24" s="27" t="str">
        <f>IF(C24="","",[1]!hks_val_ev(C24,基本资料!$I$9,"",100000000))</f>
        <v/>
      </c>
      <c r="G24" s="23" t="str">
        <f>IF(C24="","",[1]!hks_val_ev(C24,基本资料!$I$8,"",100000000))</f>
        <v/>
      </c>
      <c r="H24" s="23" t="str">
        <f>IF(C24="","",[1]!hks_val_ev(C24,E24,"",100000000))</f>
        <v/>
      </c>
      <c r="I24" s="44"/>
      <c r="J24" s="27" t="str">
        <f>IF(C24="","",[1]!hks_val_mv_ard(C24,基本资料!$I$9,"",100000000))</f>
        <v/>
      </c>
      <c r="K24" s="23" t="str">
        <f>IF(C24="","",[1]!hks_val_mv_ard(C24,基本资料!$I$8,"",100000000))</f>
        <v/>
      </c>
      <c r="L24" s="45" t="str">
        <f>IF(C24="","",[1]!hks_val_mv_ard(C24,E24,"",100000000))</f>
        <v/>
      </c>
      <c r="M24" s="44"/>
      <c r="N24" s="47" t="str">
        <f>IF(C24="","",[1]!hks_val_pe(C24,基本资料!$I$9,基本资料!$G$9))</f>
        <v/>
      </c>
      <c r="O24" s="23" t="str">
        <f>IF(C24="","",[1]!hks_val_pe(C24,基本资料!$I$8,基本资料!$G$8))</f>
        <v/>
      </c>
      <c r="P24" s="23" t="str">
        <f>IF(C24="","",[1]!hks_val_pe_ttm(C24,E24))</f>
        <v/>
      </c>
      <c r="Q24" s="23" t="str">
        <f>IF(C24="","",[1]!s_val_estpe(C24,E24,YEAR([1]!s_stm_rpt_e(C24,基本资料!$I$8,0))+1))</f>
        <v/>
      </c>
      <c r="R24" s="48" t="str">
        <f>IF(C24="","",[1]!s_val_estpe(C24,E24,YEAR([1]!s_stm_rpt_e(C24,基本资料!$I$8,0))+2))</f>
        <v/>
      </c>
      <c r="S24" s="47" t="str">
        <f>IF(C24="","",[1]!hks_val_pb(C24,基本资料!$I$9,基本资料!$G$9))</f>
        <v/>
      </c>
      <c r="T24" s="23" t="str">
        <f>IF(C24="","",[1]!hks_val_pb(C24,基本资料!$I$8,基本资料!$G$8))</f>
        <v/>
      </c>
      <c r="U24" s="23" t="str">
        <f>IF(C24="","",[1]!pb_mrq(C24,E24))</f>
        <v/>
      </c>
      <c r="V24" s="23" t="str">
        <f>IF(C24="","",[1]!s_val_estpb(C24,E24,YEAR([1]!s_stm_rpt_e(C24,基本资料!$I$8,0))+1))</f>
        <v/>
      </c>
      <c r="W24" s="48" t="str">
        <f>IF(C24="","",[1]!s_val_estpb(C24,E24,YEAR([1]!s_stm_rpt_e(C24,基本资料!$I$8,0))+2))</f>
        <v/>
      </c>
      <c r="X24" s="47" t="str">
        <f>IF(C24="","",[1]!hks_val_ps(C24,基本资料!$I$9,基本资料!$G$9))</f>
        <v/>
      </c>
      <c r="Y24" s="23" t="str">
        <f>IF(C24="","",[1]!hks_val_ps(C24,基本资料!$I$8,基本资料!$G$8))</f>
        <v/>
      </c>
      <c r="Z24" s="48" t="str">
        <f>IF(C24="","",[1]!hks_val_ps_ttm(C24,E24))</f>
        <v/>
      </c>
      <c r="AA24" s="47" t="str">
        <f>IF(C24="","",[1]!hks_val_pcf(C24,基本资料!$I$9,基本资料!$G$9))</f>
        <v/>
      </c>
      <c r="AB24" s="23" t="str">
        <f>IF(C24="","",[1]!hks_val_pcf(C24,基本资料!$I$8,基本资料!$G$8))</f>
        <v/>
      </c>
      <c r="AC24" s="48" t="str">
        <f>IF(C24="","",[1]!hks_val_pcf_ttm(C24,E24))</f>
        <v/>
      </c>
      <c r="AD24" s="39" t="str">
        <f>IF(C24="","",[1]!s_val_evtoebitda2(C24,E24))</f>
        <v/>
      </c>
      <c r="AE24" s="47" t="str">
        <f>IF(C24="","",[1]!hks_val_ev2(C24,E24,"",1)/[1]!hks_fa_ebit2_ttm(C24,[1]!s_fa_latelyrd_bt(C24,[1]!lastradeday_s(C24,基本资料!$D$7)),"",1))</f>
        <v/>
      </c>
      <c r="AF24" s="35"/>
    </row>
    <row r="25" spans="1:32" s="36" customFormat="1" ht="16.5" x14ac:dyDescent="0.2">
      <c r="A25" s="2"/>
      <c r="B25" s="6"/>
      <c r="C25" s="28" t="str">
        <f>IF(表1[[#This Row],[列1]]="","",表1[[#This Row],[列1]])</f>
        <v/>
      </c>
      <c r="D25" s="19" t="str">
        <f>IF(C25="","",[1]!hks_info_name(C25))</f>
        <v/>
      </c>
      <c r="E25" s="19" t="str">
        <f ca="1">IF(C25="","",[1]!lastradeday_s(C25,TODAY()))</f>
        <v/>
      </c>
      <c r="F25" s="27" t="str">
        <f>IF(C25="","",[1]!hks_val_ev(C25,基本资料!$I$9,"",100000000))</f>
        <v/>
      </c>
      <c r="G25" s="23" t="str">
        <f>IF(C25="","",[1]!hks_val_ev(C25,基本资料!$I$8,"",100000000))</f>
        <v/>
      </c>
      <c r="H25" s="23" t="str">
        <f>IF(C25="","",[1]!hks_val_ev(C25,E25,"",100000000))</f>
        <v/>
      </c>
      <c r="I25" s="44"/>
      <c r="J25" s="27" t="str">
        <f>IF(C25="","",[1]!hks_val_mv_ard(C25,基本资料!$I$9,"",100000000))</f>
        <v/>
      </c>
      <c r="K25" s="23" t="str">
        <f>IF(C25="","",[1]!hks_val_mv_ard(C25,基本资料!$I$8,"",100000000))</f>
        <v/>
      </c>
      <c r="L25" s="45" t="str">
        <f>IF(C25="","",[1]!hks_val_mv_ard(C25,E25,"",100000000))</f>
        <v/>
      </c>
      <c r="M25" s="44"/>
      <c r="N25" s="47" t="str">
        <f>IF(C25="","",[1]!hks_val_pe(C25,基本资料!$I$9,基本资料!$G$9))</f>
        <v/>
      </c>
      <c r="O25" s="23" t="str">
        <f>IF(C25="","",[1]!hks_val_pe(C25,基本资料!$I$8,基本资料!$G$8))</f>
        <v/>
      </c>
      <c r="P25" s="23" t="str">
        <f>IF(C25="","",[1]!hks_val_pe_ttm(C25,E25))</f>
        <v/>
      </c>
      <c r="Q25" s="23" t="str">
        <f>IF(C25="","",[1]!s_val_estpe(C25,E25,YEAR([1]!s_stm_rpt_e(C25,基本资料!$I$8,0))+1))</f>
        <v/>
      </c>
      <c r="R25" s="48" t="str">
        <f>IF(C25="","",[1]!s_val_estpe(C25,E25,YEAR([1]!s_stm_rpt_e(C25,基本资料!$I$8,0))+2))</f>
        <v/>
      </c>
      <c r="S25" s="47" t="str">
        <f>IF(C25="","",[1]!hks_val_pb(C25,基本资料!$I$9,基本资料!$G$9))</f>
        <v/>
      </c>
      <c r="T25" s="23" t="str">
        <f>IF(C25="","",[1]!hks_val_pb(C25,基本资料!$I$8,基本资料!$G$8))</f>
        <v/>
      </c>
      <c r="U25" s="23" t="str">
        <f>IF(C25="","",[1]!pb_mrq(C25,E25))</f>
        <v/>
      </c>
      <c r="V25" s="23" t="str">
        <f>IF(C25="","",[1]!s_val_estpb(C25,E25,YEAR([1]!s_stm_rpt_e(C25,基本资料!$I$8,0))+1))</f>
        <v/>
      </c>
      <c r="W25" s="48" t="str">
        <f>IF(C25="","",[1]!s_val_estpb(C25,E25,YEAR([1]!s_stm_rpt_e(C25,基本资料!$I$8,0))+2))</f>
        <v/>
      </c>
      <c r="X25" s="47" t="str">
        <f>IF(C25="","",[1]!hks_val_ps(C25,基本资料!$I$9,基本资料!$G$9))</f>
        <v/>
      </c>
      <c r="Y25" s="23" t="str">
        <f>IF(C25="","",[1]!hks_val_ps(C25,基本资料!$I$8,基本资料!$G$8))</f>
        <v/>
      </c>
      <c r="Z25" s="48" t="str">
        <f>IF(C25="","",[1]!hks_val_ps_ttm(C25,E25))</f>
        <v/>
      </c>
      <c r="AA25" s="47" t="str">
        <f>IF(C25="","",[1]!hks_val_pcf(C25,基本资料!$I$9,基本资料!$G$9))</f>
        <v/>
      </c>
      <c r="AB25" s="23" t="str">
        <f>IF(C25="","",[1]!hks_val_pcf(C25,基本资料!$I$8,基本资料!$G$8))</f>
        <v/>
      </c>
      <c r="AC25" s="48" t="str">
        <f>IF(C25="","",[1]!hks_val_pcf_ttm(C25,E25))</f>
        <v/>
      </c>
      <c r="AD25" s="39" t="str">
        <f>IF(C25="","",[1]!s_val_evtoebitda2(C25,E25))</f>
        <v/>
      </c>
      <c r="AE25" s="47" t="str">
        <f>IF(C25="","",[1]!hks_val_ev2(C25,E25,"",1)/[1]!hks_fa_ebit2_ttm(C25,[1]!s_fa_latelyrd_bt(C25,[1]!lastradeday_s(C25,基本资料!$D$7)),"",1))</f>
        <v/>
      </c>
      <c r="AF25" s="35"/>
    </row>
    <row r="26" spans="1:32" s="36" customFormat="1" ht="16.5" x14ac:dyDescent="0.2">
      <c r="A26" s="2"/>
      <c r="B26" s="6"/>
      <c r="C26" s="28" t="str">
        <f>IF(表1[[#This Row],[列1]]="","",表1[[#This Row],[列1]])</f>
        <v/>
      </c>
      <c r="D26" s="19" t="str">
        <f>IF(C26="","",[1]!hks_info_name(C26))</f>
        <v/>
      </c>
      <c r="E26" s="19" t="str">
        <f ca="1">IF(C26="","",[1]!lastradeday_s(C26,TODAY()))</f>
        <v/>
      </c>
      <c r="F26" s="27" t="str">
        <f>IF(C26="","",[1]!hks_val_ev(C26,基本资料!$I$9,"",100000000))</f>
        <v/>
      </c>
      <c r="G26" s="23" t="str">
        <f>IF(C26="","",[1]!hks_val_ev(C26,基本资料!$I$8,"",100000000))</f>
        <v/>
      </c>
      <c r="H26" s="23" t="str">
        <f>IF(C26="","",[1]!hks_val_ev(C26,E26,"",100000000))</f>
        <v/>
      </c>
      <c r="I26" s="44"/>
      <c r="J26" s="27" t="str">
        <f>IF(C26="","",[1]!hks_val_mv_ard(C26,基本资料!$I$9,"",100000000))</f>
        <v/>
      </c>
      <c r="K26" s="23" t="str">
        <f>IF(C26="","",[1]!hks_val_mv_ard(C26,基本资料!$I$8,"",100000000))</f>
        <v/>
      </c>
      <c r="L26" s="45" t="str">
        <f>IF(C26="","",[1]!hks_val_mv_ard(C26,E26,"",100000000))</f>
        <v/>
      </c>
      <c r="M26" s="44"/>
      <c r="N26" s="47" t="str">
        <f>IF(C26="","",[1]!hks_val_pe(C26,基本资料!$I$9,基本资料!$G$9))</f>
        <v/>
      </c>
      <c r="O26" s="23" t="str">
        <f>IF(C26="","",[1]!hks_val_pe(C26,基本资料!$I$8,基本资料!$G$8))</f>
        <v/>
      </c>
      <c r="P26" s="23" t="str">
        <f>IF(C26="","",[1]!hks_val_pe_ttm(C26,E26))</f>
        <v/>
      </c>
      <c r="Q26" s="23" t="str">
        <f>IF(C26="","",[1]!s_val_estpe(C26,E26,YEAR([1]!s_stm_rpt_e(C26,基本资料!$I$8,0))+1))</f>
        <v/>
      </c>
      <c r="R26" s="48" t="str">
        <f>IF(C26="","",[1]!s_val_estpe(C26,E26,YEAR([1]!s_stm_rpt_e(C26,基本资料!$I$8,0))+2))</f>
        <v/>
      </c>
      <c r="S26" s="47" t="str">
        <f>IF(C26="","",[1]!hks_val_pb(C26,基本资料!$I$9,基本资料!$G$9))</f>
        <v/>
      </c>
      <c r="T26" s="23" t="str">
        <f>IF(C26="","",[1]!hks_val_pb(C26,基本资料!$I$8,基本资料!$G$8))</f>
        <v/>
      </c>
      <c r="U26" s="23" t="str">
        <f>IF(C26="","",[1]!pb_mrq(C26,E26))</f>
        <v/>
      </c>
      <c r="V26" s="23" t="str">
        <f>IF(C26="","",[1]!s_val_estpb(C26,E26,YEAR([1]!s_stm_rpt_e(C26,基本资料!$I$8,0))+1))</f>
        <v/>
      </c>
      <c r="W26" s="48" t="str">
        <f>IF(C26="","",[1]!s_val_estpb(C26,E26,YEAR([1]!s_stm_rpt_e(C26,基本资料!$I$8,0))+2))</f>
        <v/>
      </c>
      <c r="X26" s="47" t="str">
        <f>IF(C26="","",[1]!hks_val_ps(C26,基本资料!$I$9,基本资料!$G$9))</f>
        <v/>
      </c>
      <c r="Y26" s="23" t="str">
        <f>IF(C26="","",[1]!hks_val_ps(C26,基本资料!$I$8,基本资料!$G$8))</f>
        <v/>
      </c>
      <c r="Z26" s="48" t="str">
        <f>IF(C26="","",[1]!hks_val_ps_ttm(C26,E26))</f>
        <v/>
      </c>
      <c r="AA26" s="47" t="str">
        <f>IF(C26="","",[1]!hks_val_pcf(C26,基本资料!$I$9,基本资料!$G$9))</f>
        <v/>
      </c>
      <c r="AB26" s="23" t="str">
        <f>IF(C26="","",[1]!hks_val_pcf(C26,基本资料!$I$8,基本资料!$G$8))</f>
        <v/>
      </c>
      <c r="AC26" s="48" t="str">
        <f>IF(C26="","",[1]!hks_val_pcf_ttm(C26,E26))</f>
        <v/>
      </c>
      <c r="AD26" s="39" t="str">
        <f>IF(C26="","",[1]!s_val_evtoebitda2(C26,E26))</f>
        <v/>
      </c>
      <c r="AE26" s="47" t="str">
        <f>IF(C26="","",[1]!hks_val_ev2(C26,E26,"",1)/[1]!hks_fa_ebit2_ttm(C26,[1]!s_fa_latelyrd_bt(C26,[1]!lastradeday_s(C26,基本资料!$D$7)),"",1))</f>
        <v/>
      </c>
      <c r="AF26" s="35"/>
    </row>
    <row r="27" spans="1:32" s="36" customFormat="1" ht="16.5" x14ac:dyDescent="0.2">
      <c r="A27" s="2"/>
      <c r="B27" s="6"/>
      <c r="C27" s="28" t="str">
        <f>IF(表1[[#This Row],[列1]]="","",表1[[#This Row],[列1]])</f>
        <v/>
      </c>
      <c r="D27" s="19" t="str">
        <f>IF(C27="","",[1]!hks_info_name(C27))</f>
        <v/>
      </c>
      <c r="E27" s="19" t="str">
        <f ca="1">IF(C27="","",[1]!lastradeday_s(C27,TODAY()))</f>
        <v/>
      </c>
      <c r="F27" s="27" t="str">
        <f>IF(C27="","",[1]!hks_val_ev(C27,基本资料!$I$9,"",100000000))</f>
        <v/>
      </c>
      <c r="G27" s="23" t="str">
        <f>IF(C27="","",[1]!hks_val_ev(C27,基本资料!$I$8,"",100000000))</f>
        <v/>
      </c>
      <c r="H27" s="23" t="str">
        <f>IF(C27="","",[1]!hks_val_ev(C27,E27,"",100000000))</f>
        <v/>
      </c>
      <c r="I27" s="44"/>
      <c r="J27" s="27" t="str">
        <f>IF(C27="","",[1]!hks_val_mv_ard(C27,基本资料!$I$9,"",100000000))</f>
        <v/>
      </c>
      <c r="K27" s="23" t="str">
        <f>IF(C27="","",[1]!hks_val_mv_ard(C27,基本资料!$I$8,"",100000000))</f>
        <v/>
      </c>
      <c r="L27" s="45" t="str">
        <f>IF(C27="","",[1]!hks_val_mv_ard(C27,E27,"",100000000))</f>
        <v/>
      </c>
      <c r="M27" s="44"/>
      <c r="N27" s="47" t="str">
        <f>IF(C27="","",[1]!hks_val_pe(C27,基本资料!$I$9,基本资料!$G$9))</f>
        <v/>
      </c>
      <c r="O27" s="23" t="str">
        <f>IF(C27="","",[1]!hks_val_pe(C27,基本资料!$I$8,基本资料!$G$8))</f>
        <v/>
      </c>
      <c r="P27" s="23" t="str">
        <f>IF(C27="","",[1]!hks_val_pe_ttm(C27,E27))</f>
        <v/>
      </c>
      <c r="Q27" s="23" t="str">
        <f>IF(C27="","",[1]!s_val_estpe(C27,E27,YEAR([1]!s_stm_rpt_e(C27,基本资料!$I$8,0))+1))</f>
        <v/>
      </c>
      <c r="R27" s="48" t="str">
        <f>IF(C27="","",[1]!s_val_estpe(C27,E27,YEAR([1]!s_stm_rpt_e(C27,基本资料!$I$8,0))+2))</f>
        <v/>
      </c>
      <c r="S27" s="47" t="str">
        <f>IF(C27="","",[1]!hks_val_pb(C27,基本资料!$I$9,基本资料!$G$9))</f>
        <v/>
      </c>
      <c r="T27" s="23" t="str">
        <f>IF(C27="","",[1]!hks_val_pb(C27,基本资料!$I$8,基本资料!$G$8))</f>
        <v/>
      </c>
      <c r="U27" s="23" t="str">
        <f>IF(C27="","",[1]!pb_mrq(C27,E27))</f>
        <v/>
      </c>
      <c r="V27" s="23" t="str">
        <f>IF(C27="","",[1]!s_val_estpb(C27,E27,YEAR([1]!s_stm_rpt_e(C27,基本资料!$I$8,0))+1))</f>
        <v/>
      </c>
      <c r="W27" s="48" t="str">
        <f>IF(C27="","",[1]!s_val_estpb(C27,E27,YEAR([1]!s_stm_rpt_e(C27,基本资料!$I$8,0))+2))</f>
        <v/>
      </c>
      <c r="X27" s="47" t="str">
        <f>IF(C27="","",[1]!hks_val_ps(C27,基本资料!$I$9,基本资料!$G$9))</f>
        <v/>
      </c>
      <c r="Y27" s="23" t="str">
        <f>IF(C27="","",[1]!hks_val_ps(C27,基本资料!$I$8,基本资料!$G$8))</f>
        <v/>
      </c>
      <c r="Z27" s="48" t="str">
        <f>IF(C27="","",[1]!hks_val_ps_ttm(C27,E27))</f>
        <v/>
      </c>
      <c r="AA27" s="47" t="str">
        <f>IF(C27="","",[1]!hks_val_pcf(C27,基本资料!$I$9,基本资料!$G$9))</f>
        <v/>
      </c>
      <c r="AB27" s="23" t="str">
        <f>IF(C27="","",[1]!hks_val_pcf(C27,基本资料!$I$8,基本资料!$G$8))</f>
        <v/>
      </c>
      <c r="AC27" s="48" t="str">
        <f>IF(C27="","",[1]!hks_val_pcf_ttm(C27,E27))</f>
        <v/>
      </c>
      <c r="AD27" s="39" t="str">
        <f>IF(C27="","",[1]!s_val_evtoebitda2(C27,E27))</f>
        <v/>
      </c>
      <c r="AE27" s="47" t="str">
        <f>IF(C27="","",[1]!hks_val_ev2(C27,E27,"",1)/[1]!hks_fa_ebit2_ttm(C27,[1]!s_fa_latelyrd_bt(C27,[1]!lastradeday_s(C27,基本资料!$D$7)),"",1))</f>
        <v/>
      </c>
      <c r="AF27" s="35"/>
    </row>
    <row r="28" spans="1:32" s="36" customFormat="1" ht="16.5" x14ac:dyDescent="0.2">
      <c r="A28" s="2"/>
      <c r="B28" s="6"/>
      <c r="C28" s="28" t="str">
        <f>IF(表1[[#This Row],[列1]]="","",表1[[#This Row],[列1]])</f>
        <v/>
      </c>
      <c r="D28" s="19" t="str">
        <f>IF(C28="","",[1]!hks_info_name(C28))</f>
        <v/>
      </c>
      <c r="E28" s="19" t="str">
        <f ca="1">IF(C28="","",[1]!lastradeday_s(C28,TODAY()))</f>
        <v/>
      </c>
      <c r="F28" s="27" t="str">
        <f>IF(C28="","",[1]!hks_val_ev(C28,基本资料!$I$9,"",100000000))</f>
        <v/>
      </c>
      <c r="G28" s="23" t="str">
        <f>IF(C28="","",[1]!hks_val_ev(C28,基本资料!$I$8,"",100000000))</f>
        <v/>
      </c>
      <c r="H28" s="23" t="str">
        <f>IF(C28="","",[1]!hks_val_ev(C28,E28,"",100000000))</f>
        <v/>
      </c>
      <c r="I28" s="44"/>
      <c r="J28" s="27" t="str">
        <f>IF(C28="","",[1]!hks_val_mv_ard(C28,基本资料!$I$9,"",100000000))</f>
        <v/>
      </c>
      <c r="K28" s="23" t="str">
        <f>IF(C28="","",[1]!hks_val_mv_ard(C28,基本资料!$I$8,"",100000000))</f>
        <v/>
      </c>
      <c r="L28" s="45" t="str">
        <f>IF(C28="","",[1]!hks_val_mv_ard(C28,E28,"",100000000))</f>
        <v/>
      </c>
      <c r="M28" s="44"/>
      <c r="N28" s="47" t="str">
        <f>IF(C28="","",[1]!hks_val_pe(C28,基本资料!$I$9,基本资料!$G$9))</f>
        <v/>
      </c>
      <c r="O28" s="23" t="str">
        <f>IF(C28="","",[1]!hks_val_pe(C28,基本资料!$I$8,基本资料!$G$8))</f>
        <v/>
      </c>
      <c r="P28" s="23" t="str">
        <f>IF(C28="","",[1]!hks_val_pe_ttm(C28,E28))</f>
        <v/>
      </c>
      <c r="Q28" s="23" t="str">
        <f>IF(C28="","",[1]!s_val_estpe(C28,E28,YEAR([1]!s_stm_rpt_e(C28,基本资料!$I$8,0))+1))</f>
        <v/>
      </c>
      <c r="R28" s="48" t="str">
        <f>IF(C28="","",[1]!s_val_estpe(C28,E28,YEAR([1]!s_stm_rpt_e(C28,基本资料!$I$8,0))+2))</f>
        <v/>
      </c>
      <c r="S28" s="47" t="str">
        <f>IF(C28="","",[1]!hks_val_pb(C28,基本资料!$I$9,基本资料!$G$9))</f>
        <v/>
      </c>
      <c r="T28" s="23" t="str">
        <f>IF(C28="","",[1]!hks_val_pb(C28,基本资料!$I$8,基本资料!$G$8))</f>
        <v/>
      </c>
      <c r="U28" s="23" t="str">
        <f>IF(C28="","",[1]!pb_mrq(C28,E28))</f>
        <v/>
      </c>
      <c r="V28" s="23" t="str">
        <f>IF(C28="","",[1]!s_val_estpb(C28,E28,YEAR([1]!s_stm_rpt_e(C28,基本资料!$I$8,0))+1))</f>
        <v/>
      </c>
      <c r="W28" s="48" t="str">
        <f>IF(C28="","",[1]!s_val_estpb(C28,E28,YEAR([1]!s_stm_rpt_e(C28,基本资料!$I$8,0))+2))</f>
        <v/>
      </c>
      <c r="X28" s="47" t="str">
        <f>IF(C28="","",[1]!hks_val_ps(C28,基本资料!$I$9,基本资料!$G$9))</f>
        <v/>
      </c>
      <c r="Y28" s="23" t="str">
        <f>IF(C28="","",[1]!hks_val_ps(C28,基本资料!$I$8,基本资料!$G$8))</f>
        <v/>
      </c>
      <c r="Z28" s="48" t="str">
        <f>IF(C28="","",[1]!hks_val_ps_ttm(C28,E28))</f>
        <v/>
      </c>
      <c r="AA28" s="47" t="str">
        <f>IF(C28="","",[1]!hks_val_pcf(C28,基本资料!$I$9,基本资料!$G$9))</f>
        <v/>
      </c>
      <c r="AB28" s="23" t="str">
        <f>IF(C28="","",[1]!hks_val_pcf(C28,基本资料!$I$8,基本资料!$G$8))</f>
        <v/>
      </c>
      <c r="AC28" s="48" t="str">
        <f>IF(C28="","",[1]!hks_val_pcf_ttm(C28,E28))</f>
        <v/>
      </c>
      <c r="AD28" s="39" t="str">
        <f>IF(C28="","",[1]!s_val_evtoebitda2(C28,E28))</f>
        <v/>
      </c>
      <c r="AE28" s="47" t="str">
        <f>IF(C28="","",[1]!hks_val_ev2(C28,E28,"",1)/[1]!hks_fa_ebit2_ttm(C28,[1]!s_fa_latelyrd_bt(C28,[1]!lastradeday_s(C28,基本资料!$D$7)),"",1))</f>
        <v/>
      </c>
      <c r="AF28" s="35"/>
    </row>
    <row r="29" spans="1:32" s="36" customFormat="1" ht="16.5" x14ac:dyDescent="0.2">
      <c r="A29" s="2"/>
      <c r="B29" s="6"/>
      <c r="C29" s="28" t="str">
        <f>IF(表1[[#This Row],[列1]]="","",表1[[#This Row],[列1]])</f>
        <v/>
      </c>
      <c r="D29" s="19" t="str">
        <f>IF(C29="","",[1]!hks_info_name(C29))</f>
        <v/>
      </c>
      <c r="E29" s="19" t="str">
        <f ca="1">IF(C29="","",[1]!lastradeday_s(C29,TODAY()))</f>
        <v/>
      </c>
      <c r="F29" s="27" t="str">
        <f>IF(C29="","",[1]!hks_val_ev(C29,基本资料!$I$9,"",100000000))</f>
        <v/>
      </c>
      <c r="G29" s="23" t="str">
        <f>IF(C29="","",[1]!hks_val_ev(C29,基本资料!$I$8,"",100000000))</f>
        <v/>
      </c>
      <c r="H29" s="23" t="str">
        <f>IF(C29="","",[1]!hks_val_ev(C29,E29,"",100000000))</f>
        <v/>
      </c>
      <c r="I29" s="44"/>
      <c r="J29" s="27" t="str">
        <f>IF(C29="","",[1]!hks_val_mv_ard(C29,基本资料!$I$9,"",100000000))</f>
        <v/>
      </c>
      <c r="K29" s="23" t="str">
        <f>IF(C29="","",[1]!hks_val_mv_ard(C29,基本资料!$I$8,"",100000000))</f>
        <v/>
      </c>
      <c r="L29" s="45" t="str">
        <f>IF(C29="","",[1]!hks_val_mv_ard(C29,E29,"",100000000))</f>
        <v/>
      </c>
      <c r="M29" s="44"/>
      <c r="N29" s="47" t="str">
        <f>IF(C29="","",[1]!hks_val_pe(C29,基本资料!$I$9,基本资料!$G$9))</f>
        <v/>
      </c>
      <c r="O29" s="23" t="str">
        <f>IF(C29="","",[1]!hks_val_pe(C29,基本资料!$I$8,基本资料!$G$8))</f>
        <v/>
      </c>
      <c r="P29" s="23" t="str">
        <f>IF(C29="","",[1]!hks_val_pe_ttm(C29,E29))</f>
        <v/>
      </c>
      <c r="Q29" s="23" t="str">
        <f>IF(C29="","",[1]!s_val_estpe(C29,E29,YEAR([1]!s_stm_rpt_e(C29,基本资料!$I$8,0))+1))</f>
        <v/>
      </c>
      <c r="R29" s="48" t="str">
        <f>IF(C29="","",[1]!s_val_estpe(C29,E29,YEAR([1]!s_stm_rpt_e(C29,基本资料!$I$8,0))+2))</f>
        <v/>
      </c>
      <c r="S29" s="47" t="str">
        <f>IF(C29="","",[1]!hks_val_pb(C29,基本资料!$I$9,基本资料!$G$9))</f>
        <v/>
      </c>
      <c r="T29" s="23" t="str">
        <f>IF(C29="","",[1]!hks_val_pb(C29,基本资料!$I$8,基本资料!$G$8))</f>
        <v/>
      </c>
      <c r="U29" s="23" t="str">
        <f>IF(C29="","",[1]!pb_mrq(C29,E29))</f>
        <v/>
      </c>
      <c r="V29" s="23" t="str">
        <f>IF(C29="","",[1]!s_val_estpb(C29,E29,YEAR([1]!s_stm_rpt_e(C29,基本资料!$I$8,0))+1))</f>
        <v/>
      </c>
      <c r="W29" s="48" t="str">
        <f>IF(C29="","",[1]!s_val_estpb(C29,E29,YEAR([1]!s_stm_rpt_e(C29,基本资料!$I$8,0))+2))</f>
        <v/>
      </c>
      <c r="X29" s="47" t="str">
        <f>IF(C29="","",[1]!hks_val_ps(C29,基本资料!$I$9,基本资料!$G$9))</f>
        <v/>
      </c>
      <c r="Y29" s="23" t="str">
        <f>IF(C29="","",[1]!hks_val_ps(C29,基本资料!$I$8,基本资料!$G$8))</f>
        <v/>
      </c>
      <c r="Z29" s="48" t="str">
        <f>IF(C29="","",[1]!hks_val_ps_ttm(C29,E29))</f>
        <v/>
      </c>
      <c r="AA29" s="47" t="str">
        <f>IF(C29="","",[1]!hks_val_pcf(C29,基本资料!$I$9,基本资料!$G$9))</f>
        <v/>
      </c>
      <c r="AB29" s="23" t="str">
        <f>IF(C29="","",[1]!hks_val_pcf(C29,基本资料!$I$8,基本资料!$G$8))</f>
        <v/>
      </c>
      <c r="AC29" s="48" t="str">
        <f>IF(C29="","",[1]!hks_val_pcf_ttm(C29,E29))</f>
        <v/>
      </c>
      <c r="AD29" s="39" t="str">
        <f>IF(C29="","",[1]!s_val_evtoebitda2(C29,E29))</f>
        <v/>
      </c>
      <c r="AE29" s="47" t="str">
        <f>IF(C29="","",[1]!hks_val_ev2(C29,E29,"",1)/[1]!hks_fa_ebit2_ttm(C29,[1]!s_fa_latelyrd_bt(C29,[1]!lastradeday_s(C29,基本资料!$D$7)),"",1))</f>
        <v/>
      </c>
      <c r="AF29" s="35"/>
    </row>
    <row r="30" spans="1:32" s="36" customFormat="1" ht="16.5" x14ac:dyDescent="0.2">
      <c r="A30" s="2"/>
      <c r="B30" s="6"/>
      <c r="C30" s="28" t="str">
        <f>IF(表1[[#This Row],[列1]]="","",表1[[#This Row],[列1]])</f>
        <v/>
      </c>
      <c r="D30" s="19" t="str">
        <f>IF(C30="","",[1]!hks_info_name(C30))</f>
        <v/>
      </c>
      <c r="E30" s="19" t="str">
        <f ca="1">IF(C30="","",[1]!lastradeday_s(C30,TODAY()))</f>
        <v/>
      </c>
      <c r="F30" s="27" t="str">
        <f>IF(C30="","",[1]!hks_val_ev(C30,基本资料!$I$9,"",100000000))</f>
        <v/>
      </c>
      <c r="G30" s="23" t="str">
        <f>IF(C30="","",[1]!hks_val_ev(C30,基本资料!$I$8,"",100000000))</f>
        <v/>
      </c>
      <c r="H30" s="23" t="str">
        <f>IF(C30="","",[1]!hks_val_ev(C30,E30,"",100000000))</f>
        <v/>
      </c>
      <c r="I30" s="44"/>
      <c r="J30" s="27" t="str">
        <f>IF(C30="","",[1]!hks_val_mv_ard(C30,基本资料!$I$9,"",100000000))</f>
        <v/>
      </c>
      <c r="K30" s="23" t="str">
        <f>IF(C30="","",[1]!hks_val_mv_ard(C30,基本资料!$I$8,"",100000000))</f>
        <v/>
      </c>
      <c r="L30" s="45" t="str">
        <f>IF(C30="","",[1]!hks_val_mv_ard(C30,E30,"",100000000))</f>
        <v/>
      </c>
      <c r="M30" s="44"/>
      <c r="N30" s="47" t="str">
        <f>IF(C30="","",[1]!hks_val_pe(C30,基本资料!$I$9,基本资料!$G$9))</f>
        <v/>
      </c>
      <c r="O30" s="23" t="str">
        <f>IF(C30="","",[1]!hks_val_pe(C30,基本资料!$I$8,基本资料!$G$8))</f>
        <v/>
      </c>
      <c r="P30" s="23" t="str">
        <f>IF(C30="","",[1]!hks_val_pe_ttm(C30,E30))</f>
        <v/>
      </c>
      <c r="Q30" s="23" t="str">
        <f>IF(C30="","",[1]!s_val_estpe(C30,E30,YEAR([1]!s_stm_rpt_e(C30,基本资料!$I$8,0))+1))</f>
        <v/>
      </c>
      <c r="R30" s="48" t="str">
        <f>IF(C30="","",[1]!s_val_estpe(C30,E30,YEAR([1]!s_stm_rpt_e(C30,基本资料!$I$8,0))+2))</f>
        <v/>
      </c>
      <c r="S30" s="47" t="str">
        <f>IF(C30="","",[1]!hks_val_pb(C30,基本资料!$I$9,基本资料!$G$9))</f>
        <v/>
      </c>
      <c r="T30" s="23" t="str">
        <f>IF(C30="","",[1]!hks_val_pb(C30,基本资料!$I$8,基本资料!$G$8))</f>
        <v/>
      </c>
      <c r="U30" s="23" t="str">
        <f>IF(C30="","",[1]!pb_mrq(C30,E30))</f>
        <v/>
      </c>
      <c r="V30" s="23" t="str">
        <f>IF(C30="","",[1]!s_val_estpb(C30,E30,YEAR([1]!s_stm_rpt_e(C30,基本资料!$I$8,0))+1))</f>
        <v/>
      </c>
      <c r="W30" s="48" t="str">
        <f>IF(C30="","",[1]!s_val_estpb(C30,E30,YEAR([1]!s_stm_rpt_e(C30,基本资料!$I$8,0))+2))</f>
        <v/>
      </c>
      <c r="X30" s="47" t="str">
        <f>IF(C30="","",[1]!hks_val_ps(C30,基本资料!$I$9,基本资料!$G$9))</f>
        <v/>
      </c>
      <c r="Y30" s="23" t="str">
        <f>IF(C30="","",[1]!hks_val_ps(C30,基本资料!$I$8,基本资料!$G$8))</f>
        <v/>
      </c>
      <c r="Z30" s="48" t="str">
        <f>IF(C30="","",[1]!hks_val_ps_ttm(C30,E30))</f>
        <v/>
      </c>
      <c r="AA30" s="47" t="str">
        <f>IF(C30="","",[1]!hks_val_pcf(C30,基本资料!$I$9,基本资料!$G$9))</f>
        <v/>
      </c>
      <c r="AB30" s="23" t="str">
        <f>IF(C30="","",[1]!hks_val_pcf(C30,基本资料!$I$8,基本资料!$G$8))</f>
        <v/>
      </c>
      <c r="AC30" s="48" t="str">
        <f>IF(C30="","",[1]!hks_val_pcf_ttm(C30,E30))</f>
        <v/>
      </c>
      <c r="AD30" s="39" t="str">
        <f>IF(C30="","",[1]!s_val_evtoebitda2(C30,E30))</f>
        <v/>
      </c>
      <c r="AE30" s="47" t="str">
        <f>IF(C30="","",[1]!hks_val_ev2(C30,E30,"",1)/[1]!hks_fa_ebit2_ttm(C30,[1]!s_fa_latelyrd_bt(C30,[1]!lastradeday_s(C30,基本资料!$D$7)),"",1))</f>
        <v/>
      </c>
      <c r="AF30" s="35"/>
    </row>
    <row r="31" spans="1:32" s="36" customFormat="1" ht="16.5" x14ac:dyDescent="0.2">
      <c r="A31" s="2"/>
      <c r="B31" s="6"/>
      <c r="C31" s="28" t="str">
        <f>IF(表1[[#This Row],[列1]]="","",表1[[#This Row],[列1]])</f>
        <v/>
      </c>
      <c r="D31" s="19" t="str">
        <f>IF(C31="","",[1]!hks_info_name(C31))</f>
        <v/>
      </c>
      <c r="E31" s="19" t="str">
        <f ca="1">IF(C31="","",[1]!lastradeday_s(C31,TODAY()))</f>
        <v/>
      </c>
      <c r="F31" s="27" t="str">
        <f>IF(C31="","",[1]!hks_val_ev(C31,基本资料!$I$9,"",100000000))</f>
        <v/>
      </c>
      <c r="G31" s="23" t="str">
        <f>IF(C31="","",[1]!hks_val_ev(C31,基本资料!$I$8,"",100000000))</f>
        <v/>
      </c>
      <c r="H31" s="23" t="str">
        <f>IF(C31="","",[1]!hks_val_ev(C31,E31,"",100000000))</f>
        <v/>
      </c>
      <c r="I31" s="44"/>
      <c r="J31" s="27" t="str">
        <f>IF(C31="","",[1]!hks_val_mv_ard(C31,基本资料!$I$9,"",100000000))</f>
        <v/>
      </c>
      <c r="K31" s="23" t="str">
        <f>IF(C31="","",[1]!hks_val_mv_ard(C31,基本资料!$I$8,"",100000000))</f>
        <v/>
      </c>
      <c r="L31" s="45" t="str">
        <f>IF(C31="","",[1]!hks_val_mv_ard(C31,E31,"",100000000))</f>
        <v/>
      </c>
      <c r="M31" s="44"/>
      <c r="N31" s="47" t="str">
        <f>IF(C31="","",[1]!hks_val_pe(C31,基本资料!$I$9,基本资料!$G$9))</f>
        <v/>
      </c>
      <c r="O31" s="23" t="str">
        <f>IF(C31="","",[1]!hks_val_pe(C31,基本资料!$I$8,基本资料!$G$8))</f>
        <v/>
      </c>
      <c r="P31" s="23" t="str">
        <f>IF(C31="","",[1]!hks_val_pe_ttm(C31,E31))</f>
        <v/>
      </c>
      <c r="Q31" s="23" t="str">
        <f>IF(C31="","",[1]!s_val_estpe(C31,E31,YEAR([1]!s_stm_rpt_e(C31,基本资料!$I$8,0))+1))</f>
        <v/>
      </c>
      <c r="R31" s="48" t="str">
        <f>IF(C31="","",[1]!s_val_estpe(C31,E31,YEAR([1]!s_stm_rpt_e(C31,基本资料!$I$8,0))+2))</f>
        <v/>
      </c>
      <c r="S31" s="47" t="str">
        <f>IF(C31="","",[1]!hks_val_pb(C31,基本资料!$I$9,基本资料!$G$9))</f>
        <v/>
      </c>
      <c r="T31" s="23" t="str">
        <f>IF(C31="","",[1]!hks_val_pb(C31,基本资料!$I$8,基本资料!$G$8))</f>
        <v/>
      </c>
      <c r="U31" s="23" t="str">
        <f>IF(C31="","",[1]!pb_mrq(C31,E31))</f>
        <v/>
      </c>
      <c r="V31" s="23" t="str">
        <f>IF(C31="","",[1]!s_val_estpb(C31,E31,YEAR([1]!s_stm_rpt_e(C31,基本资料!$I$8,0))+1))</f>
        <v/>
      </c>
      <c r="W31" s="48" t="str">
        <f>IF(C31="","",[1]!s_val_estpb(C31,E31,YEAR([1]!s_stm_rpt_e(C31,基本资料!$I$8,0))+2))</f>
        <v/>
      </c>
      <c r="X31" s="47" t="str">
        <f>IF(C31="","",[1]!hks_val_ps(C31,基本资料!$I$9,基本资料!$G$9))</f>
        <v/>
      </c>
      <c r="Y31" s="23" t="str">
        <f>IF(C31="","",[1]!hks_val_ps(C31,基本资料!$I$8,基本资料!$G$8))</f>
        <v/>
      </c>
      <c r="Z31" s="48" t="str">
        <f>IF(C31="","",[1]!hks_val_ps_ttm(C31,E31))</f>
        <v/>
      </c>
      <c r="AA31" s="47" t="str">
        <f>IF(C31="","",[1]!hks_val_pcf(C31,基本资料!$I$9,基本资料!$G$9))</f>
        <v/>
      </c>
      <c r="AB31" s="23" t="str">
        <f>IF(C31="","",[1]!hks_val_pcf(C31,基本资料!$I$8,基本资料!$G$8))</f>
        <v/>
      </c>
      <c r="AC31" s="48" t="str">
        <f>IF(C31="","",[1]!hks_val_pcf_ttm(C31,E31))</f>
        <v/>
      </c>
      <c r="AD31" s="39" t="str">
        <f>IF(C31="","",[1]!s_val_evtoebitda2(C31,E31))</f>
        <v/>
      </c>
      <c r="AE31" s="47" t="str">
        <f>IF(C31="","",[1]!hks_val_ev2(C31,E31,"",1)/[1]!hks_fa_ebit2_ttm(C31,[1]!s_fa_latelyrd_bt(C31,[1]!lastradeday_s(C31,基本资料!$D$7)),"",1))</f>
        <v/>
      </c>
      <c r="AF31" s="35"/>
    </row>
    <row r="32" spans="1:32" s="36" customFormat="1" ht="16.5" x14ac:dyDescent="0.2">
      <c r="A32" s="2"/>
      <c r="B32" s="6"/>
      <c r="C32" s="28" t="str">
        <f>IF(表1[[#This Row],[列1]]="","",表1[[#This Row],[列1]])</f>
        <v/>
      </c>
      <c r="D32" s="19" t="str">
        <f>IF(C32="","",[1]!hks_info_name(C32))</f>
        <v/>
      </c>
      <c r="E32" s="19" t="str">
        <f ca="1">IF(C32="","",[1]!lastradeday_s(C32,TODAY()))</f>
        <v/>
      </c>
      <c r="F32" s="27" t="str">
        <f>IF(C32="","",[1]!hks_val_ev(C32,基本资料!$I$9,"",100000000))</f>
        <v/>
      </c>
      <c r="G32" s="23" t="str">
        <f>IF(C32="","",[1]!hks_val_ev(C32,基本资料!$I$8,"",100000000))</f>
        <v/>
      </c>
      <c r="H32" s="23" t="str">
        <f>IF(C32="","",[1]!hks_val_ev(C32,E32,"",100000000))</f>
        <v/>
      </c>
      <c r="I32" s="44"/>
      <c r="J32" s="27" t="str">
        <f>IF(C32="","",[1]!hks_val_mv_ard(C32,基本资料!$I$9,"",100000000))</f>
        <v/>
      </c>
      <c r="K32" s="23" t="str">
        <f>IF(C32="","",[1]!hks_val_mv_ard(C32,基本资料!$I$8,"",100000000))</f>
        <v/>
      </c>
      <c r="L32" s="45" t="str">
        <f>IF(C32="","",[1]!hks_val_mv_ard(C32,E32,"",100000000))</f>
        <v/>
      </c>
      <c r="M32" s="44"/>
      <c r="N32" s="47" t="str">
        <f>IF(C32="","",[1]!hks_val_pe(C32,基本资料!$I$9,基本资料!$G$9))</f>
        <v/>
      </c>
      <c r="O32" s="23" t="str">
        <f>IF(C32="","",[1]!hks_val_pe(C32,基本资料!$I$8,基本资料!$G$8))</f>
        <v/>
      </c>
      <c r="P32" s="23" t="str">
        <f>IF(C32="","",[1]!hks_val_pe_ttm(C32,E32))</f>
        <v/>
      </c>
      <c r="Q32" s="23" t="str">
        <f>IF(C32="","",[1]!s_val_estpe(C32,E32,YEAR([1]!s_stm_rpt_e(C32,基本资料!$I$8,0))+1))</f>
        <v/>
      </c>
      <c r="R32" s="48" t="str">
        <f>IF(C32="","",[1]!s_val_estpe(C32,E32,YEAR([1]!s_stm_rpt_e(C32,基本资料!$I$8,0))+2))</f>
        <v/>
      </c>
      <c r="S32" s="47" t="str">
        <f>IF(C32="","",[1]!hks_val_pb(C32,基本资料!$I$9,基本资料!$G$9))</f>
        <v/>
      </c>
      <c r="T32" s="23" t="str">
        <f>IF(C32="","",[1]!hks_val_pb(C32,基本资料!$I$8,基本资料!$G$8))</f>
        <v/>
      </c>
      <c r="U32" s="23" t="str">
        <f>IF(C32="","",[1]!pb_mrq(C32,E32))</f>
        <v/>
      </c>
      <c r="V32" s="23" t="str">
        <f>IF(C32="","",[1]!s_val_estpb(C32,E32,YEAR([1]!s_stm_rpt_e(C32,基本资料!$I$8,0))+1))</f>
        <v/>
      </c>
      <c r="W32" s="48" t="str">
        <f>IF(C32="","",[1]!s_val_estpb(C32,E32,YEAR([1]!s_stm_rpt_e(C32,基本资料!$I$8,0))+2))</f>
        <v/>
      </c>
      <c r="X32" s="47" t="str">
        <f>IF(C32="","",[1]!hks_val_ps(C32,基本资料!$I$9,基本资料!$G$9))</f>
        <v/>
      </c>
      <c r="Y32" s="23" t="str">
        <f>IF(C32="","",[1]!hks_val_ps(C32,基本资料!$I$8,基本资料!$G$8))</f>
        <v/>
      </c>
      <c r="Z32" s="48" t="str">
        <f>IF(C32="","",[1]!hks_val_ps_ttm(C32,E32))</f>
        <v/>
      </c>
      <c r="AA32" s="47" t="str">
        <f>IF(C32="","",[1]!hks_val_pcf(C32,基本资料!$I$9,基本资料!$G$9))</f>
        <v/>
      </c>
      <c r="AB32" s="23" t="str">
        <f>IF(C32="","",[1]!hks_val_pcf(C32,基本资料!$I$8,基本资料!$G$8))</f>
        <v/>
      </c>
      <c r="AC32" s="48" t="str">
        <f>IF(C32="","",[1]!hks_val_pcf_ttm(C32,E32))</f>
        <v/>
      </c>
      <c r="AD32" s="39" t="str">
        <f>IF(C32="","",[1]!s_val_evtoebitda2(C32,E32))</f>
        <v/>
      </c>
      <c r="AE32" s="47" t="str">
        <f>IF(C32="","",[1]!hks_val_ev2(C32,E32,"",1)/[1]!hks_fa_ebit2_ttm(C32,[1]!s_fa_latelyrd_bt(C32,[1]!lastradeday_s(C32,基本资料!$D$7)),"",1))</f>
        <v/>
      </c>
      <c r="AF32" s="35"/>
    </row>
    <row r="33" spans="1:32" s="36" customFormat="1" ht="16.5" x14ac:dyDescent="0.2">
      <c r="A33" s="2"/>
      <c r="B33" s="6"/>
      <c r="C33" s="28" t="str">
        <f>IF(表1[[#This Row],[列1]]="","",表1[[#This Row],[列1]])</f>
        <v/>
      </c>
      <c r="D33" s="19" t="str">
        <f>IF(C33="","",[1]!hks_info_name(C33))</f>
        <v/>
      </c>
      <c r="E33" s="19" t="str">
        <f ca="1">IF(C33="","",[1]!lastradeday_s(C33,TODAY()))</f>
        <v/>
      </c>
      <c r="F33" s="27" t="str">
        <f>IF(C33="","",[1]!hks_val_ev(C33,基本资料!$I$9,"",100000000))</f>
        <v/>
      </c>
      <c r="G33" s="23" t="str">
        <f>IF(C33="","",[1]!hks_val_ev(C33,基本资料!$I$8,"",100000000))</f>
        <v/>
      </c>
      <c r="H33" s="23" t="str">
        <f>IF(C33="","",[1]!hks_val_ev(C33,E33,"",100000000))</f>
        <v/>
      </c>
      <c r="I33" s="44"/>
      <c r="J33" s="27" t="str">
        <f>IF(C33="","",[1]!hks_val_mv_ard(C33,基本资料!$I$9,"",100000000))</f>
        <v/>
      </c>
      <c r="K33" s="23" t="str">
        <f>IF(C33="","",[1]!hks_val_mv_ard(C33,基本资料!$I$8,"",100000000))</f>
        <v/>
      </c>
      <c r="L33" s="45" t="str">
        <f>IF(C33="","",[1]!hks_val_mv_ard(C33,E33,"",100000000))</f>
        <v/>
      </c>
      <c r="M33" s="44"/>
      <c r="N33" s="47" t="str">
        <f>IF(C33="","",[1]!hks_val_pe(C33,基本资料!$I$9,基本资料!$G$9))</f>
        <v/>
      </c>
      <c r="O33" s="23" t="str">
        <f>IF(C33="","",[1]!hks_val_pe(C33,基本资料!$I$8,基本资料!$G$8))</f>
        <v/>
      </c>
      <c r="P33" s="23" t="str">
        <f>IF(C33="","",[1]!hks_val_pe_ttm(C33,E33))</f>
        <v/>
      </c>
      <c r="Q33" s="23" t="str">
        <f>IF(C33="","",[1]!s_val_estpe(C33,E33,YEAR([1]!s_stm_rpt_e(C33,基本资料!$I$8,0))+1))</f>
        <v/>
      </c>
      <c r="R33" s="48" t="str">
        <f>IF(C33="","",[1]!s_val_estpe(C33,E33,YEAR([1]!s_stm_rpt_e(C33,基本资料!$I$8,0))+2))</f>
        <v/>
      </c>
      <c r="S33" s="47" t="str">
        <f>IF(C33="","",[1]!hks_val_pb(C33,基本资料!$I$9,基本资料!$G$9))</f>
        <v/>
      </c>
      <c r="T33" s="23" t="str">
        <f>IF(C33="","",[1]!hks_val_pb(C33,基本资料!$I$8,基本资料!$G$8))</f>
        <v/>
      </c>
      <c r="U33" s="23" t="str">
        <f>IF(C33="","",[1]!pb_mrq(C33,E33))</f>
        <v/>
      </c>
      <c r="V33" s="23" t="str">
        <f>IF(C33="","",[1]!s_val_estpb(C33,E33,YEAR([1]!s_stm_rpt_e(C33,基本资料!$I$8,0))+1))</f>
        <v/>
      </c>
      <c r="W33" s="48" t="str">
        <f>IF(C33="","",[1]!s_val_estpb(C33,E33,YEAR([1]!s_stm_rpt_e(C33,基本资料!$I$8,0))+2))</f>
        <v/>
      </c>
      <c r="X33" s="47" t="str">
        <f>IF(C33="","",[1]!hks_val_ps(C33,基本资料!$I$9,基本资料!$G$9))</f>
        <v/>
      </c>
      <c r="Y33" s="23" t="str">
        <f>IF(C33="","",[1]!hks_val_ps(C33,基本资料!$I$8,基本资料!$G$8))</f>
        <v/>
      </c>
      <c r="Z33" s="48" t="str">
        <f>IF(C33="","",[1]!hks_val_ps_ttm(C33,E33))</f>
        <v/>
      </c>
      <c r="AA33" s="47" t="str">
        <f>IF(C33="","",[1]!hks_val_pcf(C33,基本资料!$I$9,基本资料!$G$9))</f>
        <v/>
      </c>
      <c r="AB33" s="23" t="str">
        <f>IF(C33="","",[1]!hks_val_pcf(C33,基本资料!$I$8,基本资料!$G$8))</f>
        <v/>
      </c>
      <c r="AC33" s="48" t="str">
        <f>IF(C33="","",[1]!hks_val_pcf_ttm(C33,E33))</f>
        <v/>
      </c>
      <c r="AD33" s="39" t="str">
        <f>IF(C33="","",[1]!s_val_evtoebitda2(C33,E33))</f>
        <v/>
      </c>
      <c r="AE33" s="47" t="str">
        <f>IF(C33="","",[1]!hks_val_ev2(C33,E33,"",1)/[1]!hks_fa_ebit2_ttm(C33,[1]!s_fa_latelyrd_bt(C33,[1]!lastradeday_s(C33,基本资料!$D$7)),"",1))</f>
        <v/>
      </c>
      <c r="AF33" s="35"/>
    </row>
    <row r="34" spans="1:32" s="36" customFormat="1" ht="16.5" x14ac:dyDescent="0.2">
      <c r="A34" s="2"/>
      <c r="B34" s="6"/>
      <c r="C34" s="28" t="str">
        <f>IF(表1[[#This Row],[列1]]="","",表1[[#This Row],[列1]])</f>
        <v/>
      </c>
      <c r="D34" s="19" t="str">
        <f>IF(C34="","",[1]!hks_info_name(C34))</f>
        <v/>
      </c>
      <c r="E34" s="19" t="str">
        <f ca="1">IF(C34="","",[1]!lastradeday_s(C34,TODAY()))</f>
        <v/>
      </c>
      <c r="F34" s="27" t="str">
        <f>IF(C34="","",[1]!hks_val_ev(C34,基本资料!$I$9,"",100000000))</f>
        <v/>
      </c>
      <c r="G34" s="23" t="str">
        <f>IF(C34="","",[1]!hks_val_ev(C34,基本资料!$I$8,"",100000000))</f>
        <v/>
      </c>
      <c r="H34" s="23" t="str">
        <f>IF(C34="","",[1]!hks_val_ev(C34,E34,"",100000000))</f>
        <v/>
      </c>
      <c r="I34" s="44"/>
      <c r="J34" s="27" t="str">
        <f>IF(C34="","",[1]!hks_val_mv_ard(C34,基本资料!$I$9,"",100000000))</f>
        <v/>
      </c>
      <c r="K34" s="23" t="str">
        <f>IF(C34="","",[1]!hks_val_mv_ard(C34,基本资料!$I$8,"",100000000))</f>
        <v/>
      </c>
      <c r="L34" s="45" t="str">
        <f>IF(C34="","",[1]!hks_val_mv_ard(C34,E34,"",100000000))</f>
        <v/>
      </c>
      <c r="M34" s="44"/>
      <c r="N34" s="47" t="str">
        <f>IF(C34="","",[1]!hks_val_pe(C34,基本资料!$I$9,基本资料!$G$9))</f>
        <v/>
      </c>
      <c r="O34" s="23" t="str">
        <f>IF(C34="","",[1]!hks_val_pe(C34,基本资料!$I$8,基本资料!$G$8))</f>
        <v/>
      </c>
      <c r="P34" s="23" t="str">
        <f>IF(C34="","",[1]!hks_val_pe_ttm(C34,E34))</f>
        <v/>
      </c>
      <c r="Q34" s="23" t="str">
        <f>IF(C34="","",[1]!s_val_estpe(C34,E34,YEAR([1]!s_stm_rpt_e(C34,基本资料!$I$8,0))+1))</f>
        <v/>
      </c>
      <c r="R34" s="48" t="str">
        <f>IF(C34="","",[1]!s_val_estpe(C34,E34,YEAR([1]!s_stm_rpt_e(C34,基本资料!$I$8,0))+2))</f>
        <v/>
      </c>
      <c r="S34" s="47" t="str">
        <f>IF(C34="","",[1]!hks_val_pb(C34,基本资料!$I$9,基本资料!$G$9))</f>
        <v/>
      </c>
      <c r="T34" s="23" t="str">
        <f>IF(C34="","",[1]!hks_val_pb(C34,基本资料!$I$8,基本资料!$G$8))</f>
        <v/>
      </c>
      <c r="U34" s="23" t="str">
        <f>IF(C34="","",[1]!pb_mrq(C34,E34))</f>
        <v/>
      </c>
      <c r="V34" s="23" t="str">
        <f>IF(C34="","",[1]!s_val_estpb(C34,E34,YEAR([1]!s_stm_rpt_e(C34,基本资料!$I$8,0))+1))</f>
        <v/>
      </c>
      <c r="W34" s="48" t="str">
        <f>IF(C34="","",[1]!s_val_estpb(C34,E34,YEAR([1]!s_stm_rpt_e(C34,基本资料!$I$8,0))+2))</f>
        <v/>
      </c>
      <c r="X34" s="47" t="str">
        <f>IF(C34="","",[1]!hks_val_ps(C34,基本资料!$I$9,基本资料!$G$9))</f>
        <v/>
      </c>
      <c r="Y34" s="23" t="str">
        <f>IF(C34="","",[1]!hks_val_ps(C34,基本资料!$I$8,基本资料!$G$8))</f>
        <v/>
      </c>
      <c r="Z34" s="48" t="str">
        <f>IF(C34="","",[1]!hks_val_ps_ttm(C34,E34))</f>
        <v/>
      </c>
      <c r="AA34" s="47" t="str">
        <f>IF(C34="","",[1]!hks_val_pcf(C34,基本资料!$I$9,基本资料!$G$9))</f>
        <v/>
      </c>
      <c r="AB34" s="23" t="str">
        <f>IF(C34="","",[1]!hks_val_pcf(C34,基本资料!$I$8,基本资料!$G$8))</f>
        <v/>
      </c>
      <c r="AC34" s="48" t="str">
        <f>IF(C34="","",[1]!hks_val_pcf_ttm(C34,E34))</f>
        <v/>
      </c>
      <c r="AD34" s="39" t="str">
        <f>IF(C34="","",[1]!s_val_evtoebitda2(C34,E34))</f>
        <v/>
      </c>
      <c r="AE34" s="47" t="str">
        <f>IF(C34="","",[1]!hks_val_ev2(C34,E34,"",1)/[1]!hks_fa_ebit2_ttm(C34,[1]!s_fa_latelyrd_bt(C34,[1]!lastradeday_s(C34,基本资料!$D$7)),"",1))</f>
        <v/>
      </c>
      <c r="AF34" s="35"/>
    </row>
    <row r="35" spans="1:32" s="36" customFormat="1" ht="16.5" x14ac:dyDescent="0.2">
      <c r="A35" s="2"/>
      <c r="B35" s="6"/>
      <c r="C35" s="28" t="str">
        <f>IF(表1[[#This Row],[列1]]="","",表1[[#This Row],[列1]])</f>
        <v/>
      </c>
      <c r="D35" s="19" t="str">
        <f>IF(C35="","",[1]!hks_info_name(C35))</f>
        <v/>
      </c>
      <c r="E35" s="19" t="str">
        <f ca="1">IF(C35="","",[1]!lastradeday_s(C35,TODAY()))</f>
        <v/>
      </c>
      <c r="F35" s="27" t="str">
        <f>IF(C35="","",[1]!hks_val_ev(C35,基本资料!$I$9,"",100000000))</f>
        <v/>
      </c>
      <c r="G35" s="23" t="str">
        <f>IF(C35="","",[1]!hks_val_ev(C35,基本资料!$I$8,"",100000000))</f>
        <v/>
      </c>
      <c r="H35" s="23" t="str">
        <f>IF(C35="","",[1]!hks_val_ev(C35,E35,"",100000000))</f>
        <v/>
      </c>
      <c r="I35" s="44"/>
      <c r="J35" s="27" t="str">
        <f>IF(C35="","",[1]!hks_val_mv_ard(C35,基本资料!$I$9,"",100000000))</f>
        <v/>
      </c>
      <c r="K35" s="23" t="str">
        <f>IF(C35="","",[1]!hks_val_mv_ard(C35,基本资料!$I$8,"",100000000))</f>
        <v/>
      </c>
      <c r="L35" s="45" t="str">
        <f>IF(C35="","",[1]!hks_val_mv_ard(C35,E35,"",100000000))</f>
        <v/>
      </c>
      <c r="M35" s="44"/>
      <c r="N35" s="47" t="str">
        <f>IF(C35="","",[1]!hks_val_pe(C35,基本资料!$I$9,基本资料!$G$9))</f>
        <v/>
      </c>
      <c r="O35" s="23" t="str">
        <f>IF(C35="","",[1]!hks_val_pe(C35,基本资料!$I$8,基本资料!$G$8))</f>
        <v/>
      </c>
      <c r="P35" s="23" t="str">
        <f>IF(C35="","",[1]!hks_val_pe_ttm(C35,E35))</f>
        <v/>
      </c>
      <c r="Q35" s="23" t="str">
        <f>IF(C35="","",[1]!s_val_estpe(C35,E35,YEAR([1]!s_stm_rpt_e(C35,基本资料!$I$8,0))+1))</f>
        <v/>
      </c>
      <c r="R35" s="48" t="str">
        <f>IF(C35="","",[1]!s_val_estpe(C35,E35,YEAR([1]!s_stm_rpt_e(C35,基本资料!$I$8,0))+2))</f>
        <v/>
      </c>
      <c r="S35" s="47" t="str">
        <f>IF(C35="","",[1]!hks_val_pb(C35,基本资料!$I$9,基本资料!$G$9))</f>
        <v/>
      </c>
      <c r="T35" s="23" t="str">
        <f>IF(C35="","",[1]!hks_val_pb(C35,基本资料!$I$8,基本资料!$G$8))</f>
        <v/>
      </c>
      <c r="U35" s="23" t="str">
        <f>IF(C35="","",[1]!pb_mrq(C35,E35))</f>
        <v/>
      </c>
      <c r="V35" s="23" t="str">
        <f>IF(C35="","",[1]!s_val_estpb(C35,E35,YEAR([1]!s_stm_rpt_e(C35,基本资料!$I$8,0))+1))</f>
        <v/>
      </c>
      <c r="W35" s="48" t="str">
        <f>IF(C35="","",[1]!s_val_estpb(C35,E35,YEAR([1]!s_stm_rpt_e(C35,基本资料!$I$8,0))+2))</f>
        <v/>
      </c>
      <c r="X35" s="47" t="str">
        <f>IF(C35="","",[1]!hks_val_ps(C35,基本资料!$I$9,基本资料!$G$9))</f>
        <v/>
      </c>
      <c r="Y35" s="23" t="str">
        <f>IF(C35="","",[1]!hks_val_ps(C35,基本资料!$I$8,基本资料!$G$8))</f>
        <v/>
      </c>
      <c r="Z35" s="48" t="str">
        <f>IF(C35="","",[1]!hks_val_ps_ttm(C35,E35))</f>
        <v/>
      </c>
      <c r="AA35" s="47" t="str">
        <f>IF(C35="","",[1]!hks_val_pcf(C35,基本资料!$I$9,基本资料!$G$9))</f>
        <v/>
      </c>
      <c r="AB35" s="23" t="str">
        <f>IF(C35="","",[1]!hks_val_pcf(C35,基本资料!$I$8,基本资料!$G$8))</f>
        <v/>
      </c>
      <c r="AC35" s="48" t="str">
        <f>IF(C35="","",[1]!hks_val_pcf_ttm(C35,E35))</f>
        <v/>
      </c>
      <c r="AD35" s="39" t="str">
        <f>IF(C35="","",[1]!s_val_evtoebitda2(C35,E35))</f>
        <v/>
      </c>
      <c r="AE35" s="47" t="str">
        <f>IF(C35="","",[1]!hks_val_ev2(C35,E35,"",1)/[1]!hks_fa_ebit2_ttm(C35,[1]!s_fa_latelyrd_bt(C35,[1]!lastradeday_s(C35,基本资料!$D$7)),"",1))</f>
        <v/>
      </c>
      <c r="AF35" s="35"/>
    </row>
    <row r="36" spans="1:32" s="36" customFormat="1" ht="16.5" x14ac:dyDescent="0.2">
      <c r="A36" s="2"/>
      <c r="B36" s="6"/>
      <c r="C36" s="28" t="str">
        <f>IF(表1[[#This Row],[列1]]="","",表1[[#This Row],[列1]])</f>
        <v/>
      </c>
      <c r="D36" s="19" t="str">
        <f>IF(C36="","",[1]!hks_info_name(C36))</f>
        <v/>
      </c>
      <c r="E36" s="19" t="str">
        <f ca="1">IF(C36="","",[1]!lastradeday_s(C36,TODAY()))</f>
        <v/>
      </c>
      <c r="F36" s="27" t="str">
        <f>IF(C36="","",[1]!hks_val_ev(C36,基本资料!$I$9,"",100000000))</f>
        <v/>
      </c>
      <c r="G36" s="23" t="str">
        <f>IF(C36="","",[1]!hks_val_ev(C36,基本资料!$I$8,"",100000000))</f>
        <v/>
      </c>
      <c r="H36" s="23" t="str">
        <f>IF(C36="","",[1]!hks_val_ev(C36,E36,"",100000000))</f>
        <v/>
      </c>
      <c r="I36" s="44"/>
      <c r="J36" s="27" t="str">
        <f>IF(C36="","",[1]!hks_val_mv_ard(C36,基本资料!$I$9,"",100000000))</f>
        <v/>
      </c>
      <c r="K36" s="23" t="str">
        <f>IF(C36="","",[1]!hks_val_mv_ard(C36,基本资料!$I$8,"",100000000))</f>
        <v/>
      </c>
      <c r="L36" s="45" t="str">
        <f>IF(C36="","",[1]!hks_val_mv_ard(C36,E36,"",100000000))</f>
        <v/>
      </c>
      <c r="M36" s="44"/>
      <c r="N36" s="47" t="str">
        <f>IF(C36="","",[1]!hks_val_pe(C36,基本资料!$I$9,基本资料!$G$9))</f>
        <v/>
      </c>
      <c r="O36" s="23" t="str">
        <f>IF(C36="","",[1]!hks_val_pe(C36,基本资料!$I$8,基本资料!$G$8))</f>
        <v/>
      </c>
      <c r="P36" s="23" t="str">
        <f>IF(C36="","",[1]!hks_val_pe_ttm(C36,E36))</f>
        <v/>
      </c>
      <c r="Q36" s="23" t="str">
        <f>IF(C36="","",[1]!s_val_estpe(C36,E36,YEAR([1]!s_stm_rpt_e(C36,基本资料!$I$8,0))+1))</f>
        <v/>
      </c>
      <c r="R36" s="48" t="str">
        <f>IF(C36="","",[1]!s_val_estpe(C36,E36,YEAR([1]!s_stm_rpt_e(C36,基本资料!$I$8,0))+2))</f>
        <v/>
      </c>
      <c r="S36" s="47" t="str">
        <f>IF(C36="","",[1]!hks_val_pb(C36,基本资料!$I$9,基本资料!$G$9))</f>
        <v/>
      </c>
      <c r="T36" s="23" t="str">
        <f>IF(C36="","",[1]!hks_val_pb(C36,基本资料!$I$8,基本资料!$G$8))</f>
        <v/>
      </c>
      <c r="U36" s="23" t="str">
        <f>IF(C36="","",[1]!pb_mrq(C36,E36))</f>
        <v/>
      </c>
      <c r="V36" s="23" t="str">
        <f>IF(C36="","",[1]!s_val_estpb(C36,E36,YEAR([1]!s_stm_rpt_e(C36,基本资料!$I$8,0))+1))</f>
        <v/>
      </c>
      <c r="W36" s="48" t="str">
        <f>IF(C36="","",[1]!s_val_estpb(C36,E36,YEAR([1]!s_stm_rpt_e(C36,基本资料!$I$8,0))+2))</f>
        <v/>
      </c>
      <c r="X36" s="47" t="str">
        <f>IF(C36="","",[1]!hks_val_ps(C36,基本资料!$I$9,基本资料!$G$9))</f>
        <v/>
      </c>
      <c r="Y36" s="23" t="str">
        <f>IF(C36="","",[1]!hks_val_ps(C36,基本资料!$I$8,基本资料!$G$8))</f>
        <v/>
      </c>
      <c r="Z36" s="48" t="str">
        <f>IF(C36="","",[1]!hks_val_ps_ttm(C36,E36))</f>
        <v/>
      </c>
      <c r="AA36" s="47" t="str">
        <f>IF(C36="","",[1]!hks_val_pcf(C36,基本资料!$I$9,基本资料!$G$9))</f>
        <v/>
      </c>
      <c r="AB36" s="23" t="str">
        <f>IF(C36="","",[1]!hks_val_pcf(C36,基本资料!$I$8,基本资料!$G$8))</f>
        <v/>
      </c>
      <c r="AC36" s="48" t="str">
        <f>IF(C36="","",[1]!hks_val_pcf_ttm(C36,E36))</f>
        <v/>
      </c>
      <c r="AD36" s="39" t="str">
        <f>IF(C36="","",[1]!s_val_evtoebitda2(C36,E36))</f>
        <v/>
      </c>
      <c r="AE36" s="47" t="str">
        <f>IF(C36="","",[1]!hks_val_ev2(C36,E36,"",1)/[1]!hks_fa_ebit2_ttm(C36,[1]!s_fa_latelyrd_bt(C36,[1]!lastradeday_s(C36,基本资料!$D$7)),"",1))</f>
        <v/>
      </c>
      <c r="AF36" s="35"/>
    </row>
    <row r="37" spans="1:32" s="36" customFormat="1" ht="16.5" x14ac:dyDescent="0.2">
      <c r="A37" s="2"/>
      <c r="B37" s="6"/>
      <c r="C37" s="28" t="str">
        <f>IF(表1[[#This Row],[列1]]="","",表1[[#This Row],[列1]])</f>
        <v/>
      </c>
      <c r="D37" s="19" t="str">
        <f>IF(C37="","",[1]!hks_info_name(C37))</f>
        <v/>
      </c>
      <c r="E37" s="19" t="str">
        <f ca="1">IF(C37="","",[1]!lastradeday_s(C37,TODAY()))</f>
        <v/>
      </c>
      <c r="F37" s="27" t="str">
        <f>IF(C37="","",[1]!hks_val_ev(C37,基本资料!$I$9,"",100000000))</f>
        <v/>
      </c>
      <c r="G37" s="23" t="str">
        <f>IF(C37="","",[1]!hks_val_ev(C37,基本资料!$I$8,"",100000000))</f>
        <v/>
      </c>
      <c r="H37" s="23" t="str">
        <f>IF(C37="","",[1]!hks_val_ev(C37,E37,"",100000000))</f>
        <v/>
      </c>
      <c r="I37" s="44"/>
      <c r="J37" s="27" t="str">
        <f>IF(C37="","",[1]!hks_val_mv_ard(C37,基本资料!$I$9,"",100000000))</f>
        <v/>
      </c>
      <c r="K37" s="23" t="str">
        <f>IF(C37="","",[1]!hks_val_mv_ard(C37,基本资料!$I$8,"",100000000))</f>
        <v/>
      </c>
      <c r="L37" s="45" t="str">
        <f>IF(C37="","",[1]!hks_val_mv_ard(C37,E37,"",100000000))</f>
        <v/>
      </c>
      <c r="M37" s="44"/>
      <c r="N37" s="47" t="str">
        <f>IF(C37="","",[1]!hks_val_pe(C37,基本资料!$I$9,基本资料!$G$9))</f>
        <v/>
      </c>
      <c r="O37" s="23" t="str">
        <f>IF(C37="","",[1]!hks_val_pe(C37,基本资料!$I$8,基本资料!$G$8))</f>
        <v/>
      </c>
      <c r="P37" s="23" t="str">
        <f>IF(C37="","",[1]!hks_val_pe_ttm(C37,E37))</f>
        <v/>
      </c>
      <c r="Q37" s="23" t="str">
        <f>IF(C37="","",[1]!s_val_estpe(C37,E37,YEAR([1]!s_stm_rpt_e(C37,基本资料!$I$8,0))+1))</f>
        <v/>
      </c>
      <c r="R37" s="48" t="str">
        <f>IF(C37="","",[1]!s_val_estpe(C37,E37,YEAR([1]!s_stm_rpt_e(C37,基本资料!$I$8,0))+2))</f>
        <v/>
      </c>
      <c r="S37" s="47" t="str">
        <f>IF(C37="","",[1]!hks_val_pb(C37,基本资料!$I$9,基本资料!$G$9))</f>
        <v/>
      </c>
      <c r="T37" s="23" t="str">
        <f>IF(C37="","",[1]!hks_val_pb(C37,基本资料!$I$8,基本资料!$G$8))</f>
        <v/>
      </c>
      <c r="U37" s="23" t="str">
        <f>IF(C37="","",[1]!pb_mrq(C37,E37))</f>
        <v/>
      </c>
      <c r="V37" s="23" t="str">
        <f>IF(C37="","",[1]!s_val_estpb(C37,E37,YEAR([1]!s_stm_rpt_e(C37,基本资料!$I$8,0))+1))</f>
        <v/>
      </c>
      <c r="W37" s="48" t="str">
        <f>IF(C37="","",[1]!s_val_estpb(C37,E37,YEAR([1]!s_stm_rpt_e(C37,基本资料!$I$8,0))+2))</f>
        <v/>
      </c>
      <c r="X37" s="47" t="str">
        <f>IF(C37="","",[1]!hks_val_ps(C37,基本资料!$I$9,基本资料!$G$9))</f>
        <v/>
      </c>
      <c r="Y37" s="23" t="str">
        <f>IF(C37="","",[1]!hks_val_ps(C37,基本资料!$I$8,基本资料!$G$8))</f>
        <v/>
      </c>
      <c r="Z37" s="48" t="str">
        <f>IF(C37="","",[1]!hks_val_ps_ttm(C37,E37))</f>
        <v/>
      </c>
      <c r="AA37" s="47" t="str">
        <f>IF(C37="","",[1]!hks_val_pcf(C37,基本资料!$I$9,基本资料!$G$9))</f>
        <v/>
      </c>
      <c r="AB37" s="23" t="str">
        <f>IF(C37="","",[1]!hks_val_pcf(C37,基本资料!$I$8,基本资料!$G$8))</f>
        <v/>
      </c>
      <c r="AC37" s="48" t="str">
        <f>IF(C37="","",[1]!hks_val_pcf_ttm(C37,E37))</f>
        <v/>
      </c>
      <c r="AD37" s="39" t="str">
        <f>IF(C37="","",[1]!s_val_evtoebitda2(C37,E37))</f>
        <v/>
      </c>
      <c r="AE37" s="47" t="str">
        <f>IF(C37="","",[1]!hks_val_ev2(C37,E37,"",1)/[1]!hks_fa_ebit2_ttm(C37,[1]!s_fa_latelyrd_bt(C37,[1]!lastradeday_s(C37,基本资料!$D$7)),"",1))</f>
        <v/>
      </c>
      <c r="AF37" s="35"/>
    </row>
    <row r="38" spans="1:32" s="36" customFormat="1" ht="16.5" x14ac:dyDescent="0.2">
      <c r="A38" s="2"/>
      <c r="B38" s="6"/>
      <c r="C38" s="28" t="str">
        <f>IF(表1[[#This Row],[列1]]="","",表1[[#This Row],[列1]])</f>
        <v/>
      </c>
      <c r="D38" s="19" t="str">
        <f>IF(C38="","",[1]!hks_info_name(C38))</f>
        <v/>
      </c>
      <c r="E38" s="19" t="str">
        <f ca="1">IF(C38="","",[1]!lastradeday_s(C38,TODAY()))</f>
        <v/>
      </c>
      <c r="F38" s="27" t="str">
        <f>IF(C38="","",[1]!hks_val_ev(C38,基本资料!$I$9,"",100000000))</f>
        <v/>
      </c>
      <c r="G38" s="23" t="str">
        <f>IF(C38="","",[1]!hks_val_ev(C38,基本资料!$I$8,"",100000000))</f>
        <v/>
      </c>
      <c r="H38" s="23" t="str">
        <f>IF(C38="","",[1]!hks_val_ev(C38,E38,"",100000000))</f>
        <v/>
      </c>
      <c r="I38" s="44"/>
      <c r="J38" s="27" t="str">
        <f>IF(C38="","",[1]!hks_val_mv_ard(C38,基本资料!$I$9,"",100000000))</f>
        <v/>
      </c>
      <c r="K38" s="23" t="str">
        <f>IF(C38="","",[1]!hks_val_mv_ard(C38,基本资料!$I$8,"",100000000))</f>
        <v/>
      </c>
      <c r="L38" s="45" t="str">
        <f>IF(C38="","",[1]!hks_val_mv_ard(C38,E38,"",100000000))</f>
        <v/>
      </c>
      <c r="M38" s="44"/>
      <c r="N38" s="47" t="str">
        <f>IF(C38="","",[1]!hks_val_pe(C38,基本资料!$I$9,基本资料!$G$9))</f>
        <v/>
      </c>
      <c r="O38" s="23" t="str">
        <f>IF(C38="","",[1]!hks_val_pe(C38,基本资料!$I$8,基本资料!$G$8))</f>
        <v/>
      </c>
      <c r="P38" s="23" t="str">
        <f>IF(C38="","",[1]!hks_val_pe_ttm(C38,E38))</f>
        <v/>
      </c>
      <c r="Q38" s="23" t="str">
        <f>IF(C38="","",[1]!s_val_estpe(C38,E38,YEAR([1]!s_stm_rpt_e(C38,基本资料!$I$8,0))+1))</f>
        <v/>
      </c>
      <c r="R38" s="48" t="str">
        <f>IF(C38="","",[1]!s_val_estpe(C38,E38,YEAR([1]!s_stm_rpt_e(C38,基本资料!$I$8,0))+2))</f>
        <v/>
      </c>
      <c r="S38" s="47" t="str">
        <f>IF(C38="","",[1]!hks_val_pb(C38,基本资料!$I$9,基本资料!$G$9))</f>
        <v/>
      </c>
      <c r="T38" s="23" t="str">
        <f>IF(C38="","",[1]!hks_val_pb(C38,基本资料!$I$8,基本资料!$G$8))</f>
        <v/>
      </c>
      <c r="U38" s="23" t="str">
        <f>IF(C38="","",[1]!pb_mrq(C38,E38))</f>
        <v/>
      </c>
      <c r="V38" s="23" t="str">
        <f>IF(C38="","",[1]!s_val_estpb(C38,E38,YEAR([1]!s_stm_rpt_e(C38,基本资料!$I$8,0))+1))</f>
        <v/>
      </c>
      <c r="W38" s="48" t="str">
        <f>IF(C38="","",[1]!s_val_estpb(C38,E38,YEAR([1]!s_stm_rpt_e(C38,基本资料!$I$8,0))+2))</f>
        <v/>
      </c>
      <c r="X38" s="47" t="str">
        <f>IF(C38="","",[1]!hks_val_ps(C38,基本资料!$I$9,基本资料!$G$9))</f>
        <v/>
      </c>
      <c r="Y38" s="23" t="str">
        <f>IF(C38="","",[1]!hks_val_ps(C38,基本资料!$I$8,基本资料!$G$8))</f>
        <v/>
      </c>
      <c r="Z38" s="48" t="str">
        <f>IF(C38="","",[1]!hks_val_ps_ttm(C38,E38))</f>
        <v/>
      </c>
      <c r="AA38" s="47" t="str">
        <f>IF(C38="","",[1]!hks_val_pcf(C38,基本资料!$I$9,基本资料!$G$9))</f>
        <v/>
      </c>
      <c r="AB38" s="23" t="str">
        <f>IF(C38="","",[1]!hks_val_pcf(C38,基本资料!$I$8,基本资料!$G$8))</f>
        <v/>
      </c>
      <c r="AC38" s="48" t="str">
        <f>IF(C38="","",[1]!hks_val_pcf_ttm(C38,E38))</f>
        <v/>
      </c>
      <c r="AD38" s="39" t="str">
        <f>IF(C38="","",[1]!s_val_evtoebitda2(C38,E38))</f>
        <v/>
      </c>
      <c r="AE38" s="47" t="str">
        <f>IF(C38="","",[1]!hks_val_ev2(C38,E38,"",1)/[1]!hks_fa_ebit2_ttm(C38,[1]!s_fa_latelyrd_bt(C38,[1]!lastradeday_s(C38,基本资料!$D$7)),"",1))</f>
        <v/>
      </c>
      <c r="AF38" s="35"/>
    </row>
    <row r="39" spans="1:32" s="36" customFormat="1" ht="16.5" x14ac:dyDescent="0.2">
      <c r="A39" s="2"/>
      <c r="B39" s="6"/>
      <c r="C39" s="28" t="str">
        <f>IF(表1[[#This Row],[列1]]="","",表1[[#This Row],[列1]])</f>
        <v/>
      </c>
      <c r="D39" s="19" t="str">
        <f>IF(C39="","",[1]!hks_info_name(C39))</f>
        <v/>
      </c>
      <c r="E39" s="19" t="str">
        <f ca="1">IF(C39="","",[1]!lastradeday_s(C39,TODAY()))</f>
        <v/>
      </c>
      <c r="F39" s="27" t="str">
        <f>IF(C39="","",[1]!hks_val_ev(C39,基本资料!$I$9,"",100000000))</f>
        <v/>
      </c>
      <c r="G39" s="23" t="str">
        <f>IF(C39="","",[1]!hks_val_ev(C39,基本资料!$I$8,"",100000000))</f>
        <v/>
      </c>
      <c r="H39" s="23" t="str">
        <f>IF(C39="","",[1]!hks_val_ev(C39,E39,"",100000000))</f>
        <v/>
      </c>
      <c r="I39" s="44"/>
      <c r="J39" s="27" t="str">
        <f>IF(C39="","",[1]!hks_val_mv_ard(C39,基本资料!$I$9,"",100000000))</f>
        <v/>
      </c>
      <c r="K39" s="23" t="str">
        <f>IF(C39="","",[1]!hks_val_mv_ard(C39,基本资料!$I$8,"",100000000))</f>
        <v/>
      </c>
      <c r="L39" s="45" t="str">
        <f>IF(C39="","",[1]!hks_val_mv_ard(C39,E39,"",100000000))</f>
        <v/>
      </c>
      <c r="M39" s="44"/>
      <c r="N39" s="47" t="str">
        <f>IF(C39="","",[1]!hks_val_pe(C39,基本资料!$I$9,基本资料!$G$9))</f>
        <v/>
      </c>
      <c r="O39" s="23" t="str">
        <f>IF(C39="","",[1]!hks_val_pe(C39,基本资料!$I$8,基本资料!$G$8))</f>
        <v/>
      </c>
      <c r="P39" s="23" t="str">
        <f>IF(C39="","",[1]!hks_val_pe_ttm(C39,E39))</f>
        <v/>
      </c>
      <c r="Q39" s="23" t="str">
        <f>IF(C39="","",[1]!s_val_estpe(C39,E39,YEAR([1]!s_stm_rpt_e(C39,基本资料!$I$8,0))+1))</f>
        <v/>
      </c>
      <c r="R39" s="48" t="str">
        <f>IF(C39="","",[1]!s_val_estpe(C39,E39,YEAR([1]!s_stm_rpt_e(C39,基本资料!$I$8,0))+2))</f>
        <v/>
      </c>
      <c r="S39" s="47" t="str">
        <f>IF(C39="","",[1]!hks_val_pb(C39,基本资料!$I$9,基本资料!$G$9))</f>
        <v/>
      </c>
      <c r="T39" s="23" t="str">
        <f>IF(C39="","",[1]!hks_val_pb(C39,基本资料!$I$8,基本资料!$G$8))</f>
        <v/>
      </c>
      <c r="U39" s="23" t="str">
        <f>IF(C39="","",[1]!pb_mrq(C39,E39))</f>
        <v/>
      </c>
      <c r="V39" s="23" t="str">
        <f>IF(C39="","",[1]!s_val_estpb(C39,E39,YEAR([1]!s_stm_rpt_e(C39,基本资料!$I$8,0))+1))</f>
        <v/>
      </c>
      <c r="W39" s="48" t="str">
        <f>IF(C39="","",[1]!s_val_estpb(C39,E39,YEAR([1]!s_stm_rpt_e(C39,基本资料!$I$8,0))+2))</f>
        <v/>
      </c>
      <c r="X39" s="47" t="str">
        <f>IF(C39="","",[1]!hks_val_ps(C39,基本资料!$I$9,基本资料!$G$9))</f>
        <v/>
      </c>
      <c r="Y39" s="23" t="str">
        <f>IF(C39="","",[1]!hks_val_ps(C39,基本资料!$I$8,基本资料!$G$8))</f>
        <v/>
      </c>
      <c r="Z39" s="48" t="str">
        <f>IF(C39="","",[1]!hks_val_ps_ttm(C39,E39))</f>
        <v/>
      </c>
      <c r="AA39" s="47" t="str">
        <f>IF(C39="","",[1]!hks_val_pcf(C39,基本资料!$I$9,基本资料!$G$9))</f>
        <v/>
      </c>
      <c r="AB39" s="23" t="str">
        <f>IF(C39="","",[1]!hks_val_pcf(C39,基本资料!$I$8,基本资料!$G$8))</f>
        <v/>
      </c>
      <c r="AC39" s="48" t="str">
        <f>IF(C39="","",[1]!hks_val_pcf_ttm(C39,E39))</f>
        <v/>
      </c>
      <c r="AD39" s="39" t="str">
        <f>IF(C39="","",[1]!s_val_evtoebitda2(C39,E39))</f>
        <v/>
      </c>
      <c r="AE39" s="47" t="str">
        <f>IF(C39="","",[1]!hks_val_ev2(C39,E39,"",1)/[1]!hks_fa_ebit2_ttm(C39,[1]!s_fa_latelyrd_bt(C39,[1]!lastradeday_s(C39,基本资料!$D$7)),"",1))</f>
        <v/>
      </c>
      <c r="AF39" s="35"/>
    </row>
    <row r="40" spans="1:32" s="36" customFormat="1" ht="16.5" x14ac:dyDescent="0.2">
      <c r="A40" s="2"/>
      <c r="B40" s="6"/>
      <c r="C40" s="28" t="str">
        <f>IF(表1[[#This Row],[列1]]="","",表1[[#This Row],[列1]])</f>
        <v/>
      </c>
      <c r="D40" s="19" t="str">
        <f>IF(C40="","",[1]!hks_info_name(C40))</f>
        <v/>
      </c>
      <c r="E40" s="19" t="str">
        <f ca="1">IF(C40="","",[1]!lastradeday_s(C40,TODAY()))</f>
        <v/>
      </c>
      <c r="F40" s="27" t="str">
        <f>IF(C40="","",[1]!hks_val_ev(C40,基本资料!$I$9,"",100000000))</f>
        <v/>
      </c>
      <c r="G40" s="23" t="str">
        <f>IF(C40="","",[1]!hks_val_ev(C40,基本资料!$I$8,"",100000000))</f>
        <v/>
      </c>
      <c r="H40" s="23" t="str">
        <f>IF(C40="","",[1]!hks_val_ev(C40,E40,"",100000000))</f>
        <v/>
      </c>
      <c r="I40" s="44"/>
      <c r="J40" s="27" t="str">
        <f>IF(C40="","",[1]!hks_val_mv_ard(C40,基本资料!$I$9,"",100000000))</f>
        <v/>
      </c>
      <c r="K40" s="23" t="str">
        <f>IF(C40="","",[1]!hks_val_mv_ard(C40,基本资料!$I$8,"",100000000))</f>
        <v/>
      </c>
      <c r="L40" s="45" t="str">
        <f>IF(C40="","",[1]!hks_val_mv_ard(C40,E40,"",100000000))</f>
        <v/>
      </c>
      <c r="M40" s="44"/>
      <c r="N40" s="47" t="str">
        <f>IF(C40="","",[1]!hks_val_pe(C40,基本资料!$I$9,基本资料!$G$9))</f>
        <v/>
      </c>
      <c r="O40" s="23" t="str">
        <f>IF(C40="","",[1]!hks_val_pe(C40,基本资料!$I$8,基本资料!$G$8))</f>
        <v/>
      </c>
      <c r="P40" s="23" t="str">
        <f>IF(C40="","",[1]!hks_val_pe_ttm(C40,E40))</f>
        <v/>
      </c>
      <c r="Q40" s="23" t="str">
        <f>IF(C40="","",[1]!s_val_estpe(C40,E40,YEAR([1]!s_stm_rpt_e(C40,基本资料!$I$8,0))+1))</f>
        <v/>
      </c>
      <c r="R40" s="48" t="str">
        <f>IF(C40="","",[1]!s_val_estpe(C40,E40,YEAR([1]!s_stm_rpt_e(C40,基本资料!$I$8,0))+2))</f>
        <v/>
      </c>
      <c r="S40" s="47" t="str">
        <f>IF(C40="","",[1]!hks_val_pb(C40,基本资料!$I$9,基本资料!$G$9))</f>
        <v/>
      </c>
      <c r="T40" s="23" t="str">
        <f>IF(C40="","",[1]!hks_val_pb(C40,基本资料!$I$8,基本资料!$G$8))</f>
        <v/>
      </c>
      <c r="U40" s="23" t="str">
        <f>IF(C40="","",[1]!pb_mrq(C40,E40))</f>
        <v/>
      </c>
      <c r="V40" s="23" t="str">
        <f>IF(C40="","",[1]!s_val_estpb(C40,E40,YEAR([1]!s_stm_rpt_e(C40,基本资料!$I$8,0))+1))</f>
        <v/>
      </c>
      <c r="W40" s="48" t="str">
        <f>IF(C40="","",[1]!s_val_estpb(C40,E40,YEAR([1]!s_stm_rpt_e(C40,基本资料!$I$8,0))+2))</f>
        <v/>
      </c>
      <c r="X40" s="47" t="str">
        <f>IF(C40="","",[1]!hks_val_ps(C40,基本资料!$I$9,基本资料!$G$9))</f>
        <v/>
      </c>
      <c r="Y40" s="23" t="str">
        <f>IF(C40="","",[1]!hks_val_ps(C40,基本资料!$I$8,基本资料!$G$8))</f>
        <v/>
      </c>
      <c r="Z40" s="48" t="str">
        <f>IF(C40="","",[1]!hks_val_ps_ttm(C40,E40))</f>
        <v/>
      </c>
      <c r="AA40" s="47" t="str">
        <f>IF(C40="","",[1]!hks_val_pcf(C40,基本资料!$I$9,基本资料!$G$9))</f>
        <v/>
      </c>
      <c r="AB40" s="23" t="str">
        <f>IF(C40="","",[1]!hks_val_pcf(C40,基本资料!$I$8,基本资料!$G$8))</f>
        <v/>
      </c>
      <c r="AC40" s="48" t="str">
        <f>IF(C40="","",[1]!hks_val_pcf_ttm(C40,E40))</f>
        <v/>
      </c>
      <c r="AD40" s="39" t="str">
        <f>IF(C40="","",[1]!s_val_evtoebitda2(C40,E40))</f>
        <v/>
      </c>
      <c r="AE40" s="47" t="str">
        <f>IF(C40="","",[1]!hks_val_ev2(C40,E40,"",1)/[1]!hks_fa_ebit2_ttm(C40,[1]!s_fa_latelyrd_bt(C40,[1]!lastradeday_s(C40,基本资料!$D$7)),"",1))</f>
        <v/>
      </c>
      <c r="AF40" s="35"/>
    </row>
    <row r="41" spans="1:32" s="36" customFormat="1" ht="16.5" x14ac:dyDescent="0.2">
      <c r="A41" s="2"/>
      <c r="B41" s="6"/>
      <c r="C41" s="28" t="str">
        <f>IF(表1[[#This Row],[列1]]="","",表1[[#This Row],[列1]])</f>
        <v/>
      </c>
      <c r="D41" s="19" t="str">
        <f>IF(C41="","",[1]!hks_info_name(C41))</f>
        <v/>
      </c>
      <c r="E41" s="19" t="str">
        <f ca="1">IF(C41="","",[1]!lastradeday_s(C41,TODAY()))</f>
        <v/>
      </c>
      <c r="F41" s="27" t="str">
        <f>IF(C41="","",[1]!hks_val_ev(C41,基本资料!$I$9,"",100000000))</f>
        <v/>
      </c>
      <c r="G41" s="23" t="str">
        <f>IF(C41="","",[1]!hks_val_ev(C41,基本资料!$I$8,"",100000000))</f>
        <v/>
      </c>
      <c r="H41" s="23" t="str">
        <f>IF(C41="","",[1]!hks_val_ev(C41,E41,"",100000000))</f>
        <v/>
      </c>
      <c r="I41" s="44"/>
      <c r="J41" s="27" t="str">
        <f>IF(C41="","",[1]!hks_val_mv_ard(C41,基本资料!$I$9,"",100000000))</f>
        <v/>
      </c>
      <c r="K41" s="23" t="str">
        <f>IF(C41="","",[1]!hks_val_mv_ard(C41,基本资料!$I$8,"",100000000))</f>
        <v/>
      </c>
      <c r="L41" s="45" t="str">
        <f>IF(C41="","",[1]!hks_val_mv_ard(C41,E41,"",100000000))</f>
        <v/>
      </c>
      <c r="M41" s="44"/>
      <c r="N41" s="47" t="str">
        <f>IF(C41="","",[1]!hks_val_pe(C41,基本资料!$I$9,基本资料!$G$9))</f>
        <v/>
      </c>
      <c r="O41" s="23" t="str">
        <f>IF(C41="","",[1]!hks_val_pe(C41,基本资料!$I$8,基本资料!$G$8))</f>
        <v/>
      </c>
      <c r="P41" s="23" t="str">
        <f>IF(C41="","",[1]!hks_val_pe_ttm(C41,E41))</f>
        <v/>
      </c>
      <c r="Q41" s="23" t="str">
        <f>IF(C41="","",[1]!s_val_estpe(C41,E41,YEAR([1]!s_stm_rpt_e(C41,基本资料!$I$8,0))+1))</f>
        <v/>
      </c>
      <c r="R41" s="48" t="str">
        <f>IF(C41="","",[1]!s_val_estpe(C41,E41,YEAR([1]!s_stm_rpt_e(C41,基本资料!$I$8,0))+2))</f>
        <v/>
      </c>
      <c r="S41" s="47" t="str">
        <f>IF(C41="","",[1]!hks_val_pb(C41,基本资料!$I$9,基本资料!$G$9))</f>
        <v/>
      </c>
      <c r="T41" s="23" t="str">
        <f>IF(C41="","",[1]!hks_val_pb(C41,基本资料!$I$8,基本资料!$G$8))</f>
        <v/>
      </c>
      <c r="U41" s="23" t="str">
        <f>IF(C41="","",[1]!pb_mrq(C41,E41))</f>
        <v/>
      </c>
      <c r="V41" s="23" t="str">
        <f>IF(C41="","",[1]!s_val_estpb(C41,E41,YEAR([1]!s_stm_rpt_e(C41,基本资料!$I$8,0))+1))</f>
        <v/>
      </c>
      <c r="W41" s="48" t="str">
        <f>IF(C41="","",[1]!s_val_estpb(C41,E41,YEAR([1]!s_stm_rpt_e(C41,基本资料!$I$8,0))+2))</f>
        <v/>
      </c>
      <c r="X41" s="47" t="str">
        <f>IF(C41="","",[1]!hks_val_ps(C41,基本资料!$I$9,基本资料!$G$9))</f>
        <v/>
      </c>
      <c r="Y41" s="23" t="str">
        <f>IF(C41="","",[1]!hks_val_ps(C41,基本资料!$I$8,基本资料!$G$8))</f>
        <v/>
      </c>
      <c r="Z41" s="48" t="str">
        <f>IF(C41="","",[1]!hks_val_ps_ttm(C41,E41))</f>
        <v/>
      </c>
      <c r="AA41" s="47" t="str">
        <f>IF(C41="","",[1]!hks_val_pcf(C41,基本资料!$I$9,基本资料!$G$9))</f>
        <v/>
      </c>
      <c r="AB41" s="23" t="str">
        <f>IF(C41="","",[1]!hks_val_pcf(C41,基本资料!$I$8,基本资料!$G$8))</f>
        <v/>
      </c>
      <c r="AC41" s="48" t="str">
        <f>IF(C41="","",[1]!hks_val_pcf_ttm(C41,E41))</f>
        <v/>
      </c>
      <c r="AD41" s="39" t="str">
        <f>IF(C41="","",[1]!s_val_evtoebitda2(C41,E41))</f>
        <v/>
      </c>
      <c r="AE41" s="47" t="str">
        <f>IF(C41="","",[1]!hks_val_ev2(C41,E41,"",1)/[1]!hks_fa_ebit2_ttm(C41,[1]!s_fa_latelyrd_bt(C41,[1]!lastradeday_s(C41,基本资料!$D$7)),"",1))</f>
        <v/>
      </c>
      <c r="AF41" s="35"/>
    </row>
    <row r="42" spans="1:32" s="36" customFormat="1" ht="16.5" x14ac:dyDescent="0.2">
      <c r="A42" s="2"/>
      <c r="B42" s="6"/>
      <c r="C42" s="28" t="str">
        <f>IF(表1[[#This Row],[列1]]="","",表1[[#This Row],[列1]])</f>
        <v/>
      </c>
      <c r="D42" s="19" t="str">
        <f>IF(C42="","",[1]!hks_info_name(C42))</f>
        <v/>
      </c>
      <c r="E42" s="19" t="str">
        <f ca="1">IF(C42="","",[1]!lastradeday_s(C42,TODAY()))</f>
        <v/>
      </c>
      <c r="F42" s="27" t="str">
        <f>IF(C42="","",[1]!hks_val_ev(C42,基本资料!$I$9,"",100000000))</f>
        <v/>
      </c>
      <c r="G42" s="23" t="str">
        <f>IF(C42="","",[1]!hks_val_ev(C42,基本资料!$I$8,"",100000000))</f>
        <v/>
      </c>
      <c r="H42" s="23" t="str">
        <f>IF(C42="","",[1]!hks_val_ev(C42,E42,"",100000000))</f>
        <v/>
      </c>
      <c r="I42" s="44"/>
      <c r="J42" s="27" t="str">
        <f>IF(C42="","",[1]!hks_val_mv_ard(C42,基本资料!$I$9,"",100000000))</f>
        <v/>
      </c>
      <c r="K42" s="23" t="str">
        <f>IF(C42="","",[1]!hks_val_mv_ard(C42,基本资料!$I$8,"",100000000))</f>
        <v/>
      </c>
      <c r="L42" s="45" t="str">
        <f>IF(C42="","",[1]!hks_val_mv_ard(C42,E42,"",100000000))</f>
        <v/>
      </c>
      <c r="M42" s="44"/>
      <c r="N42" s="47" t="str">
        <f>IF(C42="","",[1]!hks_val_pe(C42,基本资料!$I$9,基本资料!$G$9))</f>
        <v/>
      </c>
      <c r="O42" s="23" t="str">
        <f>IF(C42="","",[1]!hks_val_pe(C42,基本资料!$I$8,基本资料!$G$8))</f>
        <v/>
      </c>
      <c r="P42" s="23" t="str">
        <f>IF(C42="","",[1]!hks_val_pe_ttm(C42,E42))</f>
        <v/>
      </c>
      <c r="Q42" s="23" t="str">
        <f>IF(C42="","",[1]!s_val_estpe(C42,E42,YEAR([1]!s_stm_rpt_e(C42,基本资料!$I$8,0))+1))</f>
        <v/>
      </c>
      <c r="R42" s="48" t="str">
        <f>IF(C42="","",[1]!s_val_estpe(C42,E42,YEAR([1]!s_stm_rpt_e(C42,基本资料!$I$8,0))+2))</f>
        <v/>
      </c>
      <c r="S42" s="47" t="str">
        <f>IF(C42="","",[1]!hks_val_pb(C42,基本资料!$I$9,基本资料!$G$9))</f>
        <v/>
      </c>
      <c r="T42" s="23" t="str">
        <f>IF(C42="","",[1]!hks_val_pb(C42,基本资料!$I$8,基本资料!$G$8))</f>
        <v/>
      </c>
      <c r="U42" s="23" t="str">
        <f>IF(C42="","",[1]!pb_mrq(C42,E42))</f>
        <v/>
      </c>
      <c r="V42" s="23" t="str">
        <f>IF(C42="","",[1]!s_val_estpb(C42,E42,YEAR([1]!s_stm_rpt_e(C42,基本资料!$I$8,0))+1))</f>
        <v/>
      </c>
      <c r="W42" s="48" t="str">
        <f>IF(C42="","",[1]!s_val_estpb(C42,E42,YEAR([1]!s_stm_rpt_e(C42,基本资料!$I$8,0))+2))</f>
        <v/>
      </c>
      <c r="X42" s="47" t="str">
        <f>IF(C42="","",[1]!hks_val_ps(C42,基本资料!$I$9,基本资料!$G$9))</f>
        <v/>
      </c>
      <c r="Y42" s="23" t="str">
        <f>IF(C42="","",[1]!hks_val_ps(C42,基本资料!$I$8,基本资料!$G$8))</f>
        <v/>
      </c>
      <c r="Z42" s="48" t="str">
        <f>IF(C42="","",[1]!hks_val_ps_ttm(C42,E42))</f>
        <v/>
      </c>
      <c r="AA42" s="47" t="str">
        <f>IF(C42="","",[1]!hks_val_pcf(C42,基本资料!$I$9,基本资料!$G$9))</f>
        <v/>
      </c>
      <c r="AB42" s="23" t="str">
        <f>IF(C42="","",[1]!hks_val_pcf(C42,基本资料!$I$8,基本资料!$G$8))</f>
        <v/>
      </c>
      <c r="AC42" s="48" t="str">
        <f>IF(C42="","",[1]!hks_val_pcf_ttm(C42,E42))</f>
        <v/>
      </c>
      <c r="AD42" s="39" t="str">
        <f>IF(C42="","",[1]!s_val_evtoebitda2(C42,E42))</f>
        <v/>
      </c>
      <c r="AE42" s="47" t="str">
        <f>IF(C42="","",[1]!hks_val_ev2(C42,E42,"",1)/[1]!hks_fa_ebit2_ttm(C42,[1]!s_fa_latelyrd_bt(C42,[1]!lastradeday_s(C42,基本资料!$D$7)),"",1))</f>
        <v/>
      </c>
      <c r="AF42" s="35"/>
    </row>
    <row r="43" spans="1:32" s="36" customFormat="1" ht="16.5" x14ac:dyDescent="0.2">
      <c r="A43" s="2"/>
      <c r="B43" s="6"/>
      <c r="C43" s="28" t="str">
        <f>IF(表1[[#This Row],[列1]]="","",表1[[#This Row],[列1]])</f>
        <v/>
      </c>
      <c r="D43" s="19" t="str">
        <f>IF(C43="","",[1]!hks_info_name(C43))</f>
        <v/>
      </c>
      <c r="E43" s="19" t="str">
        <f ca="1">IF(C43="","",[1]!lastradeday_s(C43,TODAY()))</f>
        <v/>
      </c>
      <c r="F43" s="27" t="str">
        <f>IF(C43="","",[1]!hks_val_ev(C43,基本资料!$I$9,"",100000000))</f>
        <v/>
      </c>
      <c r="G43" s="23" t="str">
        <f>IF(C43="","",[1]!hks_val_ev(C43,基本资料!$I$8,"",100000000))</f>
        <v/>
      </c>
      <c r="H43" s="23" t="str">
        <f>IF(C43="","",[1]!hks_val_ev(C43,E43,"",100000000))</f>
        <v/>
      </c>
      <c r="I43" s="44"/>
      <c r="J43" s="27" t="str">
        <f>IF(C43="","",[1]!hks_val_mv_ard(C43,基本资料!$I$9,"",100000000))</f>
        <v/>
      </c>
      <c r="K43" s="23" t="str">
        <f>IF(C43="","",[1]!hks_val_mv_ard(C43,基本资料!$I$8,"",100000000))</f>
        <v/>
      </c>
      <c r="L43" s="45" t="str">
        <f>IF(C43="","",[1]!hks_val_mv_ard(C43,E43,"",100000000))</f>
        <v/>
      </c>
      <c r="M43" s="44"/>
      <c r="N43" s="47" t="str">
        <f>IF(C43="","",[1]!hks_val_pe(C43,基本资料!$I$9,基本资料!$G$9))</f>
        <v/>
      </c>
      <c r="O43" s="23" t="str">
        <f>IF(C43="","",[1]!hks_val_pe(C43,基本资料!$I$8,基本资料!$G$8))</f>
        <v/>
      </c>
      <c r="P43" s="23" t="str">
        <f>IF(C43="","",[1]!hks_val_pe_ttm(C43,E43))</f>
        <v/>
      </c>
      <c r="Q43" s="23" t="str">
        <f>IF(C43="","",[1]!s_val_estpe(C43,E43,YEAR([1]!s_stm_rpt_e(C43,基本资料!$I$8,0))+1))</f>
        <v/>
      </c>
      <c r="R43" s="48" t="str">
        <f>IF(C43="","",[1]!s_val_estpe(C43,E43,YEAR([1]!s_stm_rpt_e(C43,基本资料!$I$8,0))+2))</f>
        <v/>
      </c>
      <c r="S43" s="47" t="str">
        <f>IF(C43="","",[1]!hks_val_pb(C43,基本资料!$I$9,基本资料!$G$9))</f>
        <v/>
      </c>
      <c r="T43" s="23" t="str">
        <f>IF(C43="","",[1]!hks_val_pb(C43,基本资料!$I$8,基本资料!$G$8))</f>
        <v/>
      </c>
      <c r="U43" s="23" t="str">
        <f>IF(C43="","",[1]!pb_mrq(C43,E43))</f>
        <v/>
      </c>
      <c r="V43" s="23" t="str">
        <f>IF(C43="","",[1]!s_val_estpb(C43,E43,YEAR([1]!s_stm_rpt_e(C43,基本资料!$I$8,0))+1))</f>
        <v/>
      </c>
      <c r="W43" s="48" t="str">
        <f>IF(C43="","",[1]!s_val_estpb(C43,E43,YEAR([1]!s_stm_rpt_e(C43,基本资料!$I$8,0))+2))</f>
        <v/>
      </c>
      <c r="X43" s="47" t="str">
        <f>IF(C43="","",[1]!hks_val_ps(C43,基本资料!$I$9,基本资料!$G$9))</f>
        <v/>
      </c>
      <c r="Y43" s="23" t="str">
        <f>IF(C43="","",[1]!hks_val_ps(C43,基本资料!$I$8,基本资料!$G$8))</f>
        <v/>
      </c>
      <c r="Z43" s="48" t="str">
        <f>IF(C43="","",[1]!hks_val_ps_ttm(C43,E43))</f>
        <v/>
      </c>
      <c r="AA43" s="47" t="str">
        <f>IF(C43="","",[1]!hks_val_pcf(C43,基本资料!$I$9,基本资料!$G$9))</f>
        <v/>
      </c>
      <c r="AB43" s="23" t="str">
        <f>IF(C43="","",[1]!hks_val_pcf(C43,基本资料!$I$8,基本资料!$G$8))</f>
        <v/>
      </c>
      <c r="AC43" s="48" t="str">
        <f>IF(C43="","",[1]!hks_val_pcf_ttm(C43,E43))</f>
        <v/>
      </c>
      <c r="AD43" s="39" t="str">
        <f>IF(C43="","",[1]!s_val_evtoebitda2(C43,E43))</f>
        <v/>
      </c>
      <c r="AE43" s="47" t="str">
        <f>IF(C43="","",[1]!hks_val_ev2(C43,E43,"",1)/[1]!hks_fa_ebit2_ttm(C43,[1]!s_fa_latelyrd_bt(C43,[1]!lastradeday_s(C43,基本资料!$D$7)),"",1))</f>
        <v/>
      </c>
      <c r="AF43" s="35"/>
    </row>
    <row r="44" spans="1:32" s="36" customFormat="1" ht="16.5" x14ac:dyDescent="0.2">
      <c r="A44" s="2"/>
      <c r="B44" s="6"/>
      <c r="C44" s="28" t="str">
        <f>IF(表1[[#This Row],[列1]]="","",表1[[#This Row],[列1]])</f>
        <v/>
      </c>
      <c r="D44" s="19" t="str">
        <f>IF(C44="","",[1]!hks_info_name(C44))</f>
        <v/>
      </c>
      <c r="E44" s="19" t="str">
        <f ca="1">IF(C44="","",[1]!lastradeday_s(C44,TODAY()))</f>
        <v/>
      </c>
      <c r="F44" s="27" t="str">
        <f>IF(C44="","",[1]!hks_val_ev(C44,基本资料!$I$9,"",100000000))</f>
        <v/>
      </c>
      <c r="G44" s="23" t="str">
        <f>IF(C44="","",[1]!hks_val_ev(C44,基本资料!$I$8,"",100000000))</f>
        <v/>
      </c>
      <c r="H44" s="23" t="str">
        <f>IF(C44="","",[1]!hks_val_ev(C44,E44,"",100000000))</f>
        <v/>
      </c>
      <c r="I44" s="44"/>
      <c r="J44" s="27" t="str">
        <f>IF(C44="","",[1]!hks_val_mv_ard(C44,基本资料!$I$9,"",100000000))</f>
        <v/>
      </c>
      <c r="K44" s="23" t="str">
        <f>IF(C44="","",[1]!hks_val_mv_ard(C44,基本资料!$I$8,"",100000000))</f>
        <v/>
      </c>
      <c r="L44" s="45" t="str">
        <f>IF(C44="","",[1]!hks_val_mv_ard(C44,E44,"",100000000))</f>
        <v/>
      </c>
      <c r="M44" s="44"/>
      <c r="N44" s="47" t="str">
        <f>IF(C44="","",[1]!hks_val_pe(C44,基本资料!$I$9,基本资料!$G$9))</f>
        <v/>
      </c>
      <c r="O44" s="23" t="str">
        <f>IF(C44="","",[1]!hks_val_pe(C44,基本资料!$I$8,基本资料!$G$8))</f>
        <v/>
      </c>
      <c r="P44" s="23" t="str">
        <f>IF(C44="","",[1]!hks_val_pe_ttm(C44,E44))</f>
        <v/>
      </c>
      <c r="Q44" s="23" t="str">
        <f>IF(C44="","",[1]!s_val_estpe(C44,E44,YEAR([1]!s_stm_rpt_e(C44,基本资料!$I$8,0))+1))</f>
        <v/>
      </c>
      <c r="R44" s="48" t="str">
        <f>IF(C44="","",[1]!s_val_estpe(C44,E44,YEAR([1]!s_stm_rpt_e(C44,基本资料!$I$8,0))+2))</f>
        <v/>
      </c>
      <c r="S44" s="47" t="str">
        <f>IF(C44="","",[1]!hks_val_pb(C44,基本资料!$I$9,基本资料!$G$9))</f>
        <v/>
      </c>
      <c r="T44" s="23" t="str">
        <f>IF(C44="","",[1]!hks_val_pb(C44,基本资料!$I$8,基本资料!$G$8))</f>
        <v/>
      </c>
      <c r="U44" s="23" t="str">
        <f>IF(C44="","",[1]!pb_mrq(C44,E44))</f>
        <v/>
      </c>
      <c r="V44" s="23" t="str">
        <f>IF(C44="","",[1]!s_val_estpb(C44,E44,YEAR([1]!s_stm_rpt_e(C44,基本资料!$I$8,0))+1))</f>
        <v/>
      </c>
      <c r="W44" s="48" t="str">
        <f>IF(C44="","",[1]!s_val_estpb(C44,E44,YEAR([1]!s_stm_rpt_e(C44,基本资料!$I$8,0))+2))</f>
        <v/>
      </c>
      <c r="X44" s="47" t="str">
        <f>IF(C44="","",[1]!hks_val_ps(C44,基本资料!$I$9,基本资料!$G$9))</f>
        <v/>
      </c>
      <c r="Y44" s="23" t="str">
        <f>IF(C44="","",[1]!hks_val_ps(C44,基本资料!$I$8,基本资料!$G$8))</f>
        <v/>
      </c>
      <c r="Z44" s="48" t="str">
        <f>IF(C44="","",[1]!hks_val_ps_ttm(C44,E44))</f>
        <v/>
      </c>
      <c r="AA44" s="47" t="str">
        <f>IF(C44="","",[1]!hks_val_pcf(C44,基本资料!$I$9,基本资料!$G$9))</f>
        <v/>
      </c>
      <c r="AB44" s="23" t="str">
        <f>IF(C44="","",[1]!hks_val_pcf(C44,基本资料!$I$8,基本资料!$G$8))</f>
        <v/>
      </c>
      <c r="AC44" s="48" t="str">
        <f>IF(C44="","",[1]!hks_val_pcf_ttm(C44,E44))</f>
        <v/>
      </c>
      <c r="AD44" s="39" t="str">
        <f>IF(C44="","",[1]!s_val_evtoebitda2(C44,E44))</f>
        <v/>
      </c>
      <c r="AE44" s="47" t="str">
        <f>IF(C44="","",[1]!hks_val_ev2(C44,E44,"",1)/[1]!hks_fa_ebit2_ttm(C44,[1]!s_fa_latelyrd_bt(C44,[1]!lastradeday_s(C44,基本资料!$D$7)),"",1))</f>
        <v/>
      </c>
      <c r="AF44" s="35"/>
    </row>
    <row r="45" spans="1:32" s="36" customFormat="1" ht="16.5" x14ac:dyDescent="0.2">
      <c r="A45" s="2"/>
      <c r="B45" s="6"/>
      <c r="C45" s="28" t="str">
        <f>IF(表1[[#This Row],[列1]]="","",表1[[#This Row],[列1]])</f>
        <v/>
      </c>
      <c r="D45" s="19" t="str">
        <f>IF(C45="","",[1]!hks_info_name(C45))</f>
        <v/>
      </c>
      <c r="E45" s="19" t="str">
        <f ca="1">IF(C45="","",[1]!lastradeday_s(C45,TODAY()))</f>
        <v/>
      </c>
      <c r="F45" s="27" t="str">
        <f>IF(C45="","",[1]!hks_val_ev(C45,基本资料!$I$9,"",100000000))</f>
        <v/>
      </c>
      <c r="G45" s="23" t="str">
        <f>IF(C45="","",[1]!hks_val_ev(C45,基本资料!$I$8,"",100000000))</f>
        <v/>
      </c>
      <c r="H45" s="23" t="str">
        <f>IF(C45="","",[1]!hks_val_ev(C45,E45,"",100000000))</f>
        <v/>
      </c>
      <c r="I45" s="44"/>
      <c r="J45" s="27" t="str">
        <f>IF(C45="","",[1]!hks_val_mv_ard(C45,基本资料!$I$9,"",100000000))</f>
        <v/>
      </c>
      <c r="K45" s="23" t="str">
        <f>IF(C45="","",[1]!hks_val_mv_ard(C45,基本资料!$I$8,"",100000000))</f>
        <v/>
      </c>
      <c r="L45" s="45" t="str">
        <f>IF(C45="","",[1]!hks_val_mv_ard(C45,E45,"",100000000))</f>
        <v/>
      </c>
      <c r="M45" s="44"/>
      <c r="N45" s="47" t="str">
        <f>IF(C45="","",[1]!hks_val_pe(C45,基本资料!$I$9,基本资料!$G$9))</f>
        <v/>
      </c>
      <c r="O45" s="23" t="str">
        <f>IF(C45="","",[1]!hks_val_pe(C45,基本资料!$I$8,基本资料!$G$8))</f>
        <v/>
      </c>
      <c r="P45" s="23" t="str">
        <f>IF(C45="","",[1]!hks_val_pe_ttm(C45,E45))</f>
        <v/>
      </c>
      <c r="Q45" s="23" t="str">
        <f>IF(C45="","",[1]!s_val_estpe(C45,E45,YEAR([1]!s_stm_rpt_e(C45,基本资料!$I$8,0))+1))</f>
        <v/>
      </c>
      <c r="R45" s="48" t="str">
        <f>IF(C45="","",[1]!s_val_estpe(C45,E45,YEAR([1]!s_stm_rpt_e(C45,基本资料!$I$8,0))+2))</f>
        <v/>
      </c>
      <c r="S45" s="47" t="str">
        <f>IF(C45="","",[1]!hks_val_pb(C45,基本资料!$I$9,基本资料!$G$9))</f>
        <v/>
      </c>
      <c r="T45" s="23" t="str">
        <f>IF(C45="","",[1]!hks_val_pb(C45,基本资料!$I$8,基本资料!$G$8))</f>
        <v/>
      </c>
      <c r="U45" s="23" t="str">
        <f>IF(C45="","",[1]!pb_mrq(C45,E45))</f>
        <v/>
      </c>
      <c r="V45" s="23" t="str">
        <f>IF(C45="","",[1]!s_val_estpb(C45,E45,YEAR([1]!s_stm_rpt_e(C45,基本资料!$I$8,0))+1))</f>
        <v/>
      </c>
      <c r="W45" s="48" t="str">
        <f>IF(C45="","",[1]!s_val_estpb(C45,E45,YEAR([1]!s_stm_rpt_e(C45,基本资料!$I$8,0))+2))</f>
        <v/>
      </c>
      <c r="X45" s="47" t="str">
        <f>IF(C45="","",[1]!hks_val_ps(C45,基本资料!$I$9,基本资料!$G$9))</f>
        <v/>
      </c>
      <c r="Y45" s="23" t="str">
        <f>IF(C45="","",[1]!hks_val_ps(C45,基本资料!$I$8,基本资料!$G$8))</f>
        <v/>
      </c>
      <c r="Z45" s="48" t="str">
        <f>IF(C45="","",[1]!hks_val_ps_ttm(C45,E45))</f>
        <v/>
      </c>
      <c r="AA45" s="47" t="str">
        <f>IF(C45="","",[1]!hks_val_pcf(C45,基本资料!$I$9,基本资料!$G$9))</f>
        <v/>
      </c>
      <c r="AB45" s="23" t="str">
        <f>IF(C45="","",[1]!hks_val_pcf(C45,基本资料!$I$8,基本资料!$G$8))</f>
        <v/>
      </c>
      <c r="AC45" s="48" t="str">
        <f>IF(C45="","",[1]!hks_val_pcf_ttm(C45,E45))</f>
        <v/>
      </c>
      <c r="AD45" s="39" t="str">
        <f>IF(C45="","",[1]!s_val_evtoebitda2(C45,E45))</f>
        <v/>
      </c>
      <c r="AE45" s="47" t="str">
        <f>IF(C45="","",[1]!hks_val_ev2(C45,E45,"",1)/[1]!hks_fa_ebit2_ttm(C45,[1]!s_fa_latelyrd_bt(C45,[1]!lastradeday_s(C45,基本资料!$D$7)),"",1))</f>
        <v/>
      </c>
      <c r="AF45" s="35"/>
    </row>
    <row r="46" spans="1:32" s="36" customFormat="1" ht="16.5" x14ac:dyDescent="0.2">
      <c r="A46" s="2"/>
      <c r="B46" s="6"/>
      <c r="C46" s="28" t="str">
        <f>IF(表1[[#This Row],[列1]]="","",表1[[#This Row],[列1]])</f>
        <v/>
      </c>
      <c r="D46" s="19" t="str">
        <f>IF(C46="","",[1]!hks_info_name(C46))</f>
        <v/>
      </c>
      <c r="E46" s="19" t="str">
        <f ca="1">IF(C46="","",[1]!lastradeday_s(C46,TODAY()))</f>
        <v/>
      </c>
      <c r="F46" s="27" t="str">
        <f>IF(C46="","",[1]!hks_val_ev(C46,基本资料!$I$9,"",100000000))</f>
        <v/>
      </c>
      <c r="G46" s="23" t="str">
        <f>IF(C46="","",[1]!hks_val_ev(C46,基本资料!$I$8,"",100000000))</f>
        <v/>
      </c>
      <c r="H46" s="23" t="str">
        <f>IF(C46="","",[1]!hks_val_ev(C46,E46,"",100000000))</f>
        <v/>
      </c>
      <c r="I46" s="44"/>
      <c r="J46" s="27" t="str">
        <f>IF(C46="","",[1]!hks_val_mv_ard(C46,基本资料!$I$9,"",100000000))</f>
        <v/>
      </c>
      <c r="K46" s="23" t="str">
        <f>IF(C46="","",[1]!hks_val_mv_ard(C46,基本资料!$I$8,"",100000000))</f>
        <v/>
      </c>
      <c r="L46" s="45" t="str">
        <f>IF(C46="","",[1]!hks_val_mv_ard(C46,E46,"",100000000))</f>
        <v/>
      </c>
      <c r="M46" s="44"/>
      <c r="N46" s="47" t="str">
        <f>IF(C46="","",[1]!hks_val_pe(C46,基本资料!$I$9,基本资料!$G$9))</f>
        <v/>
      </c>
      <c r="O46" s="23" t="str">
        <f>IF(C46="","",[1]!hks_val_pe(C46,基本资料!$I$8,基本资料!$G$8))</f>
        <v/>
      </c>
      <c r="P46" s="23" t="str">
        <f>IF(C46="","",[1]!hks_val_pe_ttm(C46,E46))</f>
        <v/>
      </c>
      <c r="Q46" s="23" t="str">
        <f>IF(C46="","",[1]!s_val_estpe(C46,E46,YEAR([1]!s_stm_rpt_e(C46,基本资料!$I$8,0))+1))</f>
        <v/>
      </c>
      <c r="R46" s="48" t="str">
        <f>IF(C46="","",[1]!s_val_estpe(C46,E46,YEAR([1]!s_stm_rpt_e(C46,基本资料!$I$8,0))+2))</f>
        <v/>
      </c>
      <c r="S46" s="47" t="str">
        <f>IF(C46="","",[1]!hks_val_pb(C46,基本资料!$I$9,基本资料!$G$9))</f>
        <v/>
      </c>
      <c r="T46" s="23" t="str">
        <f>IF(C46="","",[1]!hks_val_pb(C46,基本资料!$I$8,基本资料!$G$8))</f>
        <v/>
      </c>
      <c r="U46" s="23" t="str">
        <f>IF(C46="","",[1]!pb_mrq(C46,E46))</f>
        <v/>
      </c>
      <c r="V46" s="23" t="str">
        <f>IF(C46="","",[1]!s_val_estpb(C46,E46,YEAR([1]!s_stm_rpt_e(C46,基本资料!$I$8,0))+1))</f>
        <v/>
      </c>
      <c r="W46" s="48" t="str">
        <f>IF(C46="","",[1]!s_val_estpb(C46,E46,YEAR([1]!s_stm_rpt_e(C46,基本资料!$I$8,0))+2))</f>
        <v/>
      </c>
      <c r="X46" s="47" t="str">
        <f>IF(C46="","",[1]!hks_val_ps(C46,基本资料!$I$9,基本资料!$G$9))</f>
        <v/>
      </c>
      <c r="Y46" s="23" t="str">
        <f>IF(C46="","",[1]!hks_val_ps(C46,基本资料!$I$8,基本资料!$G$8))</f>
        <v/>
      </c>
      <c r="Z46" s="48" t="str">
        <f>IF(C46="","",[1]!hks_val_ps_ttm(C46,E46))</f>
        <v/>
      </c>
      <c r="AA46" s="47" t="str">
        <f>IF(C46="","",[1]!hks_val_pcf(C46,基本资料!$I$9,基本资料!$G$9))</f>
        <v/>
      </c>
      <c r="AB46" s="23" t="str">
        <f>IF(C46="","",[1]!hks_val_pcf(C46,基本资料!$I$8,基本资料!$G$8))</f>
        <v/>
      </c>
      <c r="AC46" s="48" t="str">
        <f>IF(C46="","",[1]!hks_val_pcf_ttm(C46,E46))</f>
        <v/>
      </c>
      <c r="AD46" s="39" t="str">
        <f>IF(C46="","",[1]!s_val_evtoebitda2(C46,E46))</f>
        <v/>
      </c>
      <c r="AE46" s="47" t="str">
        <f>IF(C46="","",[1]!hks_val_ev2(C46,E46,"",1)/[1]!hks_fa_ebit2_ttm(C46,[1]!s_fa_latelyrd_bt(C46,[1]!lastradeday_s(C46,基本资料!$D$7)),"",1))</f>
        <v/>
      </c>
      <c r="AF46" s="35"/>
    </row>
    <row r="47" spans="1:32" s="36" customFormat="1" ht="16.5" x14ac:dyDescent="0.2">
      <c r="A47" s="2"/>
      <c r="B47" s="6"/>
      <c r="C47" s="28" t="str">
        <f>IF(表1[[#This Row],[列1]]="","",表1[[#This Row],[列1]])</f>
        <v/>
      </c>
      <c r="D47" s="19" t="str">
        <f>IF(C47="","",[1]!hks_info_name(C47))</f>
        <v/>
      </c>
      <c r="E47" s="19" t="str">
        <f ca="1">IF(C47="","",[1]!lastradeday_s(C47,TODAY()))</f>
        <v/>
      </c>
      <c r="F47" s="27" t="str">
        <f>IF(C47="","",[1]!hks_val_ev(C47,基本资料!$I$9,"",100000000))</f>
        <v/>
      </c>
      <c r="G47" s="23" t="str">
        <f>IF(C47="","",[1]!hks_val_ev(C47,基本资料!$I$8,"",100000000))</f>
        <v/>
      </c>
      <c r="H47" s="23" t="str">
        <f>IF(C47="","",[1]!hks_val_ev(C47,E47,"",100000000))</f>
        <v/>
      </c>
      <c r="I47" s="44"/>
      <c r="J47" s="27" t="str">
        <f>IF(C47="","",[1]!hks_val_mv_ard(C47,基本资料!$I$9,"",100000000))</f>
        <v/>
      </c>
      <c r="K47" s="23" t="str">
        <f>IF(C47="","",[1]!hks_val_mv_ard(C47,基本资料!$I$8,"",100000000))</f>
        <v/>
      </c>
      <c r="L47" s="45" t="str">
        <f>IF(C47="","",[1]!hks_val_mv_ard(C47,E47,"",100000000))</f>
        <v/>
      </c>
      <c r="M47" s="44"/>
      <c r="N47" s="47" t="str">
        <f>IF(C47="","",[1]!hks_val_pe(C47,基本资料!$I$9,基本资料!$G$9))</f>
        <v/>
      </c>
      <c r="O47" s="23" t="str">
        <f>IF(C47="","",[1]!hks_val_pe(C47,基本资料!$I$8,基本资料!$G$8))</f>
        <v/>
      </c>
      <c r="P47" s="23" t="str">
        <f>IF(C47="","",[1]!hks_val_pe_ttm(C47,E47))</f>
        <v/>
      </c>
      <c r="Q47" s="23" t="str">
        <f>IF(C47="","",[1]!s_val_estpe(C47,E47,YEAR([1]!s_stm_rpt_e(C47,基本资料!$I$8,0))+1))</f>
        <v/>
      </c>
      <c r="R47" s="48" t="str">
        <f>IF(C47="","",[1]!s_val_estpe(C47,E47,YEAR([1]!s_stm_rpt_e(C47,基本资料!$I$8,0))+2))</f>
        <v/>
      </c>
      <c r="S47" s="47" t="str">
        <f>IF(C47="","",[1]!hks_val_pb(C47,基本资料!$I$9,基本资料!$G$9))</f>
        <v/>
      </c>
      <c r="T47" s="23" t="str">
        <f>IF(C47="","",[1]!hks_val_pb(C47,基本资料!$I$8,基本资料!$G$8))</f>
        <v/>
      </c>
      <c r="U47" s="23" t="str">
        <f>IF(C47="","",[1]!pb_mrq(C47,E47))</f>
        <v/>
      </c>
      <c r="V47" s="23" t="str">
        <f>IF(C47="","",[1]!s_val_estpb(C47,E47,YEAR([1]!s_stm_rpt_e(C47,基本资料!$I$8,0))+1))</f>
        <v/>
      </c>
      <c r="W47" s="48" t="str">
        <f>IF(C47="","",[1]!s_val_estpb(C47,E47,YEAR([1]!s_stm_rpt_e(C47,基本资料!$I$8,0))+2))</f>
        <v/>
      </c>
      <c r="X47" s="47" t="str">
        <f>IF(C47="","",[1]!hks_val_ps(C47,基本资料!$I$9,基本资料!$G$9))</f>
        <v/>
      </c>
      <c r="Y47" s="23" t="str">
        <f>IF(C47="","",[1]!hks_val_ps(C47,基本资料!$I$8,基本资料!$G$8))</f>
        <v/>
      </c>
      <c r="Z47" s="48" t="str">
        <f>IF(C47="","",[1]!hks_val_ps_ttm(C47,E47))</f>
        <v/>
      </c>
      <c r="AA47" s="47" t="str">
        <f>IF(C47="","",[1]!hks_val_pcf(C47,基本资料!$I$9,基本资料!$G$9))</f>
        <v/>
      </c>
      <c r="AB47" s="23" t="str">
        <f>IF(C47="","",[1]!hks_val_pcf(C47,基本资料!$I$8,基本资料!$G$8))</f>
        <v/>
      </c>
      <c r="AC47" s="48" t="str">
        <f>IF(C47="","",[1]!hks_val_pcf_ttm(C47,E47))</f>
        <v/>
      </c>
      <c r="AD47" s="39" t="str">
        <f>IF(C47="","",[1]!s_val_evtoebitda2(C47,E47))</f>
        <v/>
      </c>
      <c r="AE47" s="47" t="str">
        <f>IF(C47="","",[1]!hks_val_ev2(C47,E47,"",1)/[1]!hks_fa_ebit2_ttm(C47,[1]!s_fa_latelyrd_bt(C47,[1]!lastradeday_s(C47,基本资料!$D$7)),"",1))</f>
        <v/>
      </c>
      <c r="AF47" s="35"/>
    </row>
    <row r="48" spans="1:32" s="36" customFormat="1" ht="16.5" x14ac:dyDescent="0.2">
      <c r="A48" s="2"/>
      <c r="B48" s="6"/>
      <c r="C48" s="28" t="str">
        <f>IF(表1[[#This Row],[列1]]="","",表1[[#This Row],[列1]])</f>
        <v/>
      </c>
      <c r="D48" s="19" t="str">
        <f>IF(C48="","",[1]!hks_info_name(C48))</f>
        <v/>
      </c>
      <c r="E48" s="19" t="str">
        <f ca="1">IF(C48="","",[1]!lastradeday_s(C48,TODAY()))</f>
        <v/>
      </c>
      <c r="F48" s="27" t="str">
        <f>IF(C48="","",[1]!hks_val_ev(C48,基本资料!$I$9,"",100000000))</f>
        <v/>
      </c>
      <c r="G48" s="23" t="str">
        <f>IF(C48="","",[1]!hks_val_ev(C48,基本资料!$I$8,"",100000000))</f>
        <v/>
      </c>
      <c r="H48" s="23" t="str">
        <f>IF(C48="","",[1]!hks_val_ev(C48,E48,"",100000000))</f>
        <v/>
      </c>
      <c r="I48" s="44"/>
      <c r="J48" s="27" t="str">
        <f>IF(C48="","",[1]!hks_val_mv_ard(C48,基本资料!$I$9,"",100000000))</f>
        <v/>
      </c>
      <c r="K48" s="23" t="str">
        <f>IF(C48="","",[1]!hks_val_mv_ard(C48,基本资料!$I$8,"",100000000))</f>
        <v/>
      </c>
      <c r="L48" s="45" t="str">
        <f>IF(C48="","",[1]!hks_val_mv_ard(C48,E48,"",100000000))</f>
        <v/>
      </c>
      <c r="M48" s="44"/>
      <c r="N48" s="47" t="str">
        <f>IF(C48="","",[1]!hks_val_pe(C48,基本资料!$I$9,基本资料!$G$9))</f>
        <v/>
      </c>
      <c r="O48" s="23" t="str">
        <f>IF(C48="","",[1]!hks_val_pe(C48,基本资料!$I$8,基本资料!$G$8))</f>
        <v/>
      </c>
      <c r="P48" s="23" t="str">
        <f>IF(C48="","",[1]!hks_val_pe_ttm(C48,E48))</f>
        <v/>
      </c>
      <c r="Q48" s="23" t="str">
        <f>IF(C48="","",[1]!s_val_estpe(C48,E48,YEAR([1]!s_stm_rpt_e(C48,基本资料!$I$8,0))+1))</f>
        <v/>
      </c>
      <c r="R48" s="48" t="str">
        <f>IF(C48="","",[1]!s_val_estpe(C48,E48,YEAR([1]!s_stm_rpt_e(C48,基本资料!$I$8,0))+2))</f>
        <v/>
      </c>
      <c r="S48" s="47" t="str">
        <f>IF(C48="","",[1]!hks_val_pb(C48,基本资料!$I$9,基本资料!$G$9))</f>
        <v/>
      </c>
      <c r="T48" s="23" t="str">
        <f>IF(C48="","",[1]!hks_val_pb(C48,基本资料!$I$8,基本资料!$G$8))</f>
        <v/>
      </c>
      <c r="U48" s="23" t="str">
        <f>IF(C48="","",[1]!pb_mrq(C48,E48))</f>
        <v/>
      </c>
      <c r="V48" s="23" t="str">
        <f>IF(C48="","",[1]!s_val_estpb(C48,E48,YEAR([1]!s_stm_rpt_e(C48,基本资料!$I$8,0))+1))</f>
        <v/>
      </c>
      <c r="W48" s="48" t="str">
        <f>IF(C48="","",[1]!s_val_estpb(C48,E48,YEAR([1]!s_stm_rpt_e(C48,基本资料!$I$8,0))+2))</f>
        <v/>
      </c>
      <c r="X48" s="47" t="str">
        <f>IF(C48="","",[1]!hks_val_ps(C48,基本资料!$I$9,基本资料!$G$9))</f>
        <v/>
      </c>
      <c r="Y48" s="23" t="str">
        <f>IF(C48="","",[1]!hks_val_ps(C48,基本资料!$I$8,基本资料!$G$8))</f>
        <v/>
      </c>
      <c r="Z48" s="48" t="str">
        <f>IF(C48="","",[1]!hks_val_ps_ttm(C48,E48))</f>
        <v/>
      </c>
      <c r="AA48" s="47" t="str">
        <f>IF(C48="","",[1]!hks_val_pcf(C48,基本资料!$I$9,基本资料!$G$9))</f>
        <v/>
      </c>
      <c r="AB48" s="23" t="str">
        <f>IF(C48="","",[1]!hks_val_pcf(C48,基本资料!$I$8,基本资料!$G$8))</f>
        <v/>
      </c>
      <c r="AC48" s="48" t="str">
        <f>IF(C48="","",[1]!hks_val_pcf_ttm(C48,E48))</f>
        <v/>
      </c>
      <c r="AD48" s="39" t="str">
        <f>IF(C48="","",[1]!s_val_evtoebitda2(C48,E48))</f>
        <v/>
      </c>
      <c r="AE48" s="47" t="str">
        <f>IF(C48="","",[1]!hks_val_ev2(C48,E48,"",1)/[1]!hks_fa_ebit2_ttm(C48,[1]!s_fa_latelyrd_bt(C48,[1]!lastradeday_s(C48,基本资料!$D$7)),"",1))</f>
        <v/>
      </c>
      <c r="AF48" s="35"/>
    </row>
    <row r="49" spans="1:32" s="36" customFormat="1" ht="16.5" x14ac:dyDescent="0.2">
      <c r="A49" s="2"/>
      <c r="B49" s="6"/>
      <c r="C49" s="28" t="str">
        <f>IF(表1[[#This Row],[列1]]="","",表1[[#This Row],[列1]])</f>
        <v/>
      </c>
      <c r="D49" s="19" t="str">
        <f>IF(C49="","",[1]!hks_info_name(C49))</f>
        <v/>
      </c>
      <c r="E49" s="19" t="str">
        <f ca="1">IF(C49="","",[1]!lastradeday_s(C49,TODAY()))</f>
        <v/>
      </c>
      <c r="F49" s="27" t="str">
        <f>IF(C49="","",[1]!hks_val_ev(C49,基本资料!$I$9,"",100000000))</f>
        <v/>
      </c>
      <c r="G49" s="23" t="str">
        <f>IF(C49="","",[1]!hks_val_ev(C49,基本资料!$I$8,"",100000000))</f>
        <v/>
      </c>
      <c r="H49" s="23" t="str">
        <f>IF(C49="","",[1]!hks_val_ev(C49,E49,"",100000000))</f>
        <v/>
      </c>
      <c r="I49" s="44"/>
      <c r="J49" s="27" t="str">
        <f>IF(C49="","",[1]!hks_val_mv_ard(C49,基本资料!$I$9,"",100000000))</f>
        <v/>
      </c>
      <c r="K49" s="23" t="str">
        <f>IF(C49="","",[1]!hks_val_mv_ard(C49,基本资料!$I$8,"",100000000))</f>
        <v/>
      </c>
      <c r="L49" s="45" t="str">
        <f>IF(C49="","",[1]!hks_val_mv_ard(C49,E49,"",100000000))</f>
        <v/>
      </c>
      <c r="M49" s="44"/>
      <c r="N49" s="47" t="str">
        <f>IF(C49="","",[1]!hks_val_pe(C49,基本资料!$I$9,基本资料!$G$9))</f>
        <v/>
      </c>
      <c r="O49" s="23" t="str">
        <f>IF(C49="","",[1]!hks_val_pe(C49,基本资料!$I$8,基本资料!$G$8))</f>
        <v/>
      </c>
      <c r="P49" s="23" t="str">
        <f>IF(C49="","",[1]!hks_val_pe_ttm(C49,E49))</f>
        <v/>
      </c>
      <c r="Q49" s="23" t="str">
        <f>IF(C49="","",[1]!s_val_estpe(C49,E49,YEAR([1]!s_stm_rpt_e(C49,基本资料!$I$8,0))+1))</f>
        <v/>
      </c>
      <c r="R49" s="48" t="str">
        <f>IF(C49="","",[1]!s_val_estpe(C49,E49,YEAR([1]!s_stm_rpt_e(C49,基本资料!$I$8,0))+2))</f>
        <v/>
      </c>
      <c r="S49" s="47" t="str">
        <f>IF(C49="","",[1]!hks_val_pb(C49,基本资料!$I$9,基本资料!$G$9))</f>
        <v/>
      </c>
      <c r="T49" s="23" t="str">
        <f>IF(C49="","",[1]!hks_val_pb(C49,基本资料!$I$8,基本资料!$G$8))</f>
        <v/>
      </c>
      <c r="U49" s="23" t="str">
        <f>IF(C49="","",[1]!pb_mrq(C49,E49))</f>
        <v/>
      </c>
      <c r="V49" s="23" t="str">
        <f>IF(C49="","",[1]!s_val_estpb(C49,E49,YEAR([1]!s_stm_rpt_e(C49,基本资料!$I$8,0))+1))</f>
        <v/>
      </c>
      <c r="W49" s="48" t="str">
        <f>IF(C49="","",[1]!s_val_estpb(C49,E49,YEAR([1]!s_stm_rpt_e(C49,基本资料!$I$8,0))+2))</f>
        <v/>
      </c>
      <c r="X49" s="47" t="str">
        <f>IF(C49="","",[1]!hks_val_ps(C49,基本资料!$I$9,基本资料!$G$9))</f>
        <v/>
      </c>
      <c r="Y49" s="23" t="str">
        <f>IF(C49="","",[1]!hks_val_ps(C49,基本资料!$I$8,基本资料!$G$8))</f>
        <v/>
      </c>
      <c r="Z49" s="48" t="str">
        <f>IF(C49="","",[1]!hks_val_ps_ttm(C49,E49))</f>
        <v/>
      </c>
      <c r="AA49" s="47" t="str">
        <f>IF(C49="","",[1]!hks_val_pcf(C49,基本资料!$I$9,基本资料!$G$9))</f>
        <v/>
      </c>
      <c r="AB49" s="23" t="str">
        <f>IF(C49="","",[1]!hks_val_pcf(C49,基本资料!$I$8,基本资料!$G$8))</f>
        <v/>
      </c>
      <c r="AC49" s="48" t="str">
        <f>IF(C49="","",[1]!hks_val_pcf_ttm(C49,E49))</f>
        <v/>
      </c>
      <c r="AD49" s="39" t="str">
        <f>IF(C49="","",[1]!s_val_evtoebitda2(C49,E49))</f>
        <v/>
      </c>
      <c r="AE49" s="47" t="str">
        <f>IF(C49="","",[1]!hks_val_ev2(C49,E49,"",1)/[1]!hks_fa_ebit2_ttm(C49,[1]!s_fa_latelyrd_bt(C49,[1]!lastradeday_s(C49,基本资料!$D$7)),"",1))</f>
        <v/>
      </c>
      <c r="AF49" s="35"/>
    </row>
    <row r="50" spans="1:32" s="36" customFormat="1" ht="16.5" x14ac:dyDescent="0.2">
      <c r="A50" s="2"/>
      <c r="B50" s="6"/>
      <c r="C50" s="28" t="str">
        <f>IF(表1[[#This Row],[列1]]="","",表1[[#This Row],[列1]])</f>
        <v/>
      </c>
      <c r="D50" s="19" t="str">
        <f>IF(C50="","",[1]!hks_info_name(C50))</f>
        <v/>
      </c>
      <c r="E50" s="19" t="str">
        <f ca="1">IF(C50="","",[1]!lastradeday_s(C50,TODAY()))</f>
        <v/>
      </c>
      <c r="F50" s="27" t="str">
        <f>IF(C50="","",[1]!hks_val_ev(C50,基本资料!$I$9,"",100000000))</f>
        <v/>
      </c>
      <c r="G50" s="23" t="str">
        <f>IF(C50="","",[1]!hks_val_ev(C50,基本资料!$I$8,"",100000000))</f>
        <v/>
      </c>
      <c r="H50" s="23" t="str">
        <f>IF(C50="","",[1]!hks_val_ev(C50,E50,"",100000000))</f>
        <v/>
      </c>
      <c r="I50" s="44"/>
      <c r="J50" s="27" t="str">
        <f>IF(C50="","",[1]!hks_val_mv_ard(C50,基本资料!$I$9,"",100000000))</f>
        <v/>
      </c>
      <c r="K50" s="23" t="str">
        <f>IF(C50="","",[1]!hks_val_mv_ard(C50,基本资料!$I$8,"",100000000))</f>
        <v/>
      </c>
      <c r="L50" s="45" t="str">
        <f>IF(C50="","",[1]!hks_val_mv_ard(C50,E50,"",100000000))</f>
        <v/>
      </c>
      <c r="M50" s="44"/>
      <c r="N50" s="47" t="str">
        <f>IF(C50="","",[1]!hks_val_pe(C50,基本资料!$I$9,基本资料!$G$9))</f>
        <v/>
      </c>
      <c r="O50" s="23" t="str">
        <f>IF(C50="","",[1]!hks_val_pe(C50,基本资料!$I$8,基本资料!$G$8))</f>
        <v/>
      </c>
      <c r="P50" s="23" t="str">
        <f>IF(C50="","",[1]!hks_val_pe_ttm(C50,E50))</f>
        <v/>
      </c>
      <c r="Q50" s="23" t="str">
        <f>IF(C50="","",[1]!s_val_estpe(C50,E50,YEAR([1]!s_stm_rpt_e(C50,基本资料!$I$8,0))+1))</f>
        <v/>
      </c>
      <c r="R50" s="48" t="str">
        <f>IF(C50="","",[1]!s_val_estpe(C50,E50,YEAR([1]!s_stm_rpt_e(C50,基本资料!$I$8,0))+2))</f>
        <v/>
      </c>
      <c r="S50" s="47" t="str">
        <f>IF(C50="","",[1]!hks_val_pb(C50,基本资料!$I$9,基本资料!$G$9))</f>
        <v/>
      </c>
      <c r="T50" s="23" t="str">
        <f>IF(C50="","",[1]!hks_val_pb(C50,基本资料!$I$8,基本资料!$G$8))</f>
        <v/>
      </c>
      <c r="U50" s="23" t="str">
        <f>IF(C50="","",[1]!pb_mrq(C50,E50))</f>
        <v/>
      </c>
      <c r="V50" s="23" t="str">
        <f>IF(C50="","",[1]!s_val_estpb(C50,E50,YEAR([1]!s_stm_rpt_e(C50,基本资料!$I$8,0))+1))</f>
        <v/>
      </c>
      <c r="W50" s="48" t="str">
        <f>IF(C50="","",[1]!s_val_estpb(C50,E50,YEAR([1]!s_stm_rpt_e(C50,基本资料!$I$8,0))+2))</f>
        <v/>
      </c>
      <c r="X50" s="47" t="str">
        <f>IF(C50="","",[1]!hks_val_ps(C50,基本资料!$I$9,基本资料!$G$9))</f>
        <v/>
      </c>
      <c r="Y50" s="23" t="str">
        <f>IF(C50="","",[1]!hks_val_ps(C50,基本资料!$I$8,基本资料!$G$8))</f>
        <v/>
      </c>
      <c r="Z50" s="48" t="str">
        <f>IF(C50="","",[1]!hks_val_ps_ttm(C50,E50))</f>
        <v/>
      </c>
      <c r="AA50" s="47" t="str">
        <f>IF(C50="","",[1]!hks_val_pcf(C50,基本资料!$I$9,基本资料!$G$9))</f>
        <v/>
      </c>
      <c r="AB50" s="23" t="str">
        <f>IF(C50="","",[1]!hks_val_pcf(C50,基本资料!$I$8,基本资料!$G$8))</f>
        <v/>
      </c>
      <c r="AC50" s="48" t="str">
        <f>IF(C50="","",[1]!hks_val_pcf_ttm(C50,E50))</f>
        <v/>
      </c>
      <c r="AD50" s="39" t="str">
        <f>IF(C50="","",[1]!s_val_evtoebitda2(C50,E50))</f>
        <v/>
      </c>
      <c r="AE50" s="47" t="str">
        <f>IF(C50="","",[1]!hks_val_ev2(C50,E50,"",1)/[1]!hks_fa_ebit2_ttm(C50,[1]!s_fa_latelyrd_bt(C50,[1]!lastradeday_s(C50,基本资料!$D$7)),"",1))</f>
        <v/>
      </c>
      <c r="AF50" s="35"/>
    </row>
    <row r="51" spans="1:32" s="36" customFormat="1" ht="16.5" x14ac:dyDescent="0.2">
      <c r="A51" s="2"/>
      <c r="B51" s="6"/>
      <c r="C51" s="28" t="str">
        <f>IF(表1[[#This Row],[列1]]="","",表1[[#This Row],[列1]])</f>
        <v/>
      </c>
      <c r="D51" s="19" t="str">
        <f>IF(C51="","",[1]!hks_info_name(C51))</f>
        <v/>
      </c>
      <c r="E51" s="19" t="str">
        <f ca="1">IF(C51="","",[1]!lastradeday_s(C51,TODAY()))</f>
        <v/>
      </c>
      <c r="F51" s="27" t="str">
        <f>IF(C51="","",[1]!hks_val_ev(C51,基本资料!$I$9,"",100000000))</f>
        <v/>
      </c>
      <c r="G51" s="23" t="str">
        <f>IF(C51="","",[1]!hks_val_ev(C51,基本资料!$I$8,"",100000000))</f>
        <v/>
      </c>
      <c r="H51" s="23" t="str">
        <f>IF(C51="","",[1]!hks_val_ev(C51,E51,"",100000000))</f>
        <v/>
      </c>
      <c r="I51" s="44"/>
      <c r="J51" s="27" t="str">
        <f>IF(C51="","",[1]!hks_val_mv_ard(C51,基本资料!$I$9,"",100000000))</f>
        <v/>
      </c>
      <c r="K51" s="23" t="str">
        <f>IF(C51="","",[1]!hks_val_mv_ard(C51,基本资料!$I$8,"",100000000))</f>
        <v/>
      </c>
      <c r="L51" s="45" t="str">
        <f>IF(C51="","",[1]!hks_val_mv_ard(C51,E51,"",100000000))</f>
        <v/>
      </c>
      <c r="M51" s="44"/>
      <c r="N51" s="47" t="str">
        <f>IF(C51="","",[1]!hks_val_pe(C51,基本资料!$I$9,基本资料!$G$9))</f>
        <v/>
      </c>
      <c r="O51" s="23" t="str">
        <f>IF(C51="","",[1]!hks_val_pe(C51,基本资料!$I$8,基本资料!$G$8))</f>
        <v/>
      </c>
      <c r="P51" s="23" t="str">
        <f>IF(C51="","",[1]!hks_val_pe_ttm(C51,E51))</f>
        <v/>
      </c>
      <c r="Q51" s="23" t="str">
        <f>IF(C51="","",[1]!s_val_estpe(C51,E51,YEAR([1]!s_stm_rpt_e(C51,基本资料!$I$8,0))+1))</f>
        <v/>
      </c>
      <c r="R51" s="48" t="str">
        <f>IF(C51="","",[1]!s_val_estpe(C51,E51,YEAR([1]!s_stm_rpt_e(C51,基本资料!$I$8,0))+2))</f>
        <v/>
      </c>
      <c r="S51" s="47" t="str">
        <f>IF(C51="","",[1]!hks_val_pb(C51,基本资料!$I$9,基本资料!$G$9))</f>
        <v/>
      </c>
      <c r="T51" s="23" t="str">
        <f>IF(C51="","",[1]!hks_val_pb(C51,基本资料!$I$8,基本资料!$G$8))</f>
        <v/>
      </c>
      <c r="U51" s="23" t="str">
        <f>IF(C51="","",[1]!pb_mrq(C51,E51))</f>
        <v/>
      </c>
      <c r="V51" s="23" t="str">
        <f>IF(C51="","",[1]!s_val_estpb(C51,E51,YEAR([1]!s_stm_rpt_e(C51,基本资料!$I$8,0))+1))</f>
        <v/>
      </c>
      <c r="W51" s="48" t="str">
        <f>IF(C51="","",[1]!s_val_estpb(C51,E51,YEAR([1]!s_stm_rpt_e(C51,基本资料!$I$8,0))+2))</f>
        <v/>
      </c>
      <c r="X51" s="47" t="str">
        <f>IF(C51="","",[1]!hks_val_ps(C51,基本资料!$I$9,基本资料!$G$9))</f>
        <v/>
      </c>
      <c r="Y51" s="23" t="str">
        <f>IF(C51="","",[1]!hks_val_ps(C51,基本资料!$I$8,基本资料!$G$8))</f>
        <v/>
      </c>
      <c r="Z51" s="48" t="str">
        <f>IF(C51="","",[1]!hks_val_ps_ttm(C51,E51))</f>
        <v/>
      </c>
      <c r="AA51" s="47" t="str">
        <f>IF(C51="","",[1]!hks_val_pcf(C51,基本资料!$I$9,基本资料!$G$9))</f>
        <v/>
      </c>
      <c r="AB51" s="23" t="str">
        <f>IF(C51="","",[1]!hks_val_pcf(C51,基本资料!$I$8,基本资料!$G$8))</f>
        <v/>
      </c>
      <c r="AC51" s="48" t="str">
        <f>IF(C51="","",[1]!hks_val_pcf_ttm(C51,E51))</f>
        <v/>
      </c>
      <c r="AD51" s="39" t="str">
        <f>IF(C51="","",[1]!s_val_evtoebitda2(C51,E51))</f>
        <v/>
      </c>
      <c r="AE51" s="47" t="str">
        <f>IF(C51="","",[1]!hks_val_ev2(C51,E51,"",1)/[1]!hks_fa_ebit2_ttm(C51,[1]!s_fa_latelyrd_bt(C51,[1]!lastradeday_s(C51,基本资料!$D$7)),"",1))</f>
        <v/>
      </c>
      <c r="AF51" s="35"/>
    </row>
    <row r="52" spans="1:32" s="36" customFormat="1" ht="16.5" x14ac:dyDescent="0.2">
      <c r="A52" s="2"/>
      <c r="B52" s="6"/>
      <c r="C52" s="28" t="str">
        <f>IF(表1[[#This Row],[列1]]="","",表1[[#This Row],[列1]])</f>
        <v/>
      </c>
      <c r="D52" s="19" t="str">
        <f>IF(C52="","",[1]!hks_info_name(C52))</f>
        <v/>
      </c>
      <c r="E52" s="19" t="str">
        <f ca="1">IF(C52="","",[1]!lastradeday_s(C52,TODAY()))</f>
        <v/>
      </c>
      <c r="F52" s="27" t="str">
        <f>IF(C52="","",[1]!hks_val_ev(C52,基本资料!$I$9,"",100000000))</f>
        <v/>
      </c>
      <c r="G52" s="23" t="str">
        <f>IF(C52="","",[1]!hks_val_ev(C52,基本资料!$I$8,"",100000000))</f>
        <v/>
      </c>
      <c r="H52" s="23" t="str">
        <f>IF(C52="","",[1]!hks_val_ev(C52,E52,"",100000000))</f>
        <v/>
      </c>
      <c r="I52" s="44"/>
      <c r="J52" s="27" t="str">
        <f>IF(C52="","",[1]!hks_val_mv_ard(C52,基本资料!$I$9,"",100000000))</f>
        <v/>
      </c>
      <c r="K52" s="23" t="str">
        <f>IF(C52="","",[1]!hks_val_mv_ard(C52,基本资料!$I$8,"",100000000))</f>
        <v/>
      </c>
      <c r="L52" s="45" t="str">
        <f>IF(C52="","",[1]!hks_val_mv_ard(C52,E52,"",100000000))</f>
        <v/>
      </c>
      <c r="M52" s="44"/>
      <c r="N52" s="47" t="str">
        <f>IF(C52="","",[1]!hks_val_pe(C52,基本资料!$I$9,基本资料!$G$9))</f>
        <v/>
      </c>
      <c r="O52" s="23" t="str">
        <f>IF(C52="","",[1]!hks_val_pe(C52,基本资料!$I$8,基本资料!$G$8))</f>
        <v/>
      </c>
      <c r="P52" s="23" t="str">
        <f>IF(C52="","",[1]!hks_val_pe_ttm(C52,E52))</f>
        <v/>
      </c>
      <c r="Q52" s="23" t="str">
        <f>IF(C52="","",[1]!s_val_estpe(C52,E52,YEAR([1]!s_stm_rpt_e(C52,基本资料!$I$8,0))+1))</f>
        <v/>
      </c>
      <c r="R52" s="48" t="str">
        <f>IF(C52="","",[1]!s_val_estpe(C52,E52,YEAR([1]!s_stm_rpt_e(C52,基本资料!$I$8,0))+2))</f>
        <v/>
      </c>
      <c r="S52" s="47" t="str">
        <f>IF(C52="","",[1]!hks_val_pb(C52,基本资料!$I$9,基本资料!$G$9))</f>
        <v/>
      </c>
      <c r="T52" s="23" t="str">
        <f>IF(C52="","",[1]!hks_val_pb(C52,基本资料!$I$8,基本资料!$G$8))</f>
        <v/>
      </c>
      <c r="U52" s="23" t="str">
        <f>IF(C52="","",[1]!pb_mrq(C52,E52))</f>
        <v/>
      </c>
      <c r="V52" s="23" t="str">
        <f>IF(C52="","",[1]!s_val_estpb(C52,E52,YEAR([1]!s_stm_rpt_e(C52,基本资料!$I$8,0))+1))</f>
        <v/>
      </c>
      <c r="W52" s="48" t="str">
        <f>IF(C52="","",[1]!s_val_estpb(C52,E52,YEAR([1]!s_stm_rpt_e(C52,基本资料!$I$8,0))+2))</f>
        <v/>
      </c>
      <c r="X52" s="47" t="str">
        <f>IF(C52="","",[1]!hks_val_ps(C52,基本资料!$I$9,基本资料!$G$9))</f>
        <v/>
      </c>
      <c r="Y52" s="23" t="str">
        <f>IF(C52="","",[1]!hks_val_ps(C52,基本资料!$I$8,基本资料!$G$8))</f>
        <v/>
      </c>
      <c r="Z52" s="48" t="str">
        <f>IF(C52="","",[1]!hks_val_ps_ttm(C52,E52))</f>
        <v/>
      </c>
      <c r="AA52" s="47" t="str">
        <f>IF(C52="","",[1]!hks_val_pcf(C52,基本资料!$I$9,基本资料!$G$9))</f>
        <v/>
      </c>
      <c r="AB52" s="23" t="str">
        <f>IF(C52="","",[1]!hks_val_pcf(C52,基本资料!$I$8,基本资料!$G$8))</f>
        <v/>
      </c>
      <c r="AC52" s="48" t="str">
        <f>IF(C52="","",[1]!hks_val_pcf_ttm(C52,E52))</f>
        <v/>
      </c>
      <c r="AD52" s="39" t="str">
        <f>IF(C52="","",[1]!s_val_evtoebitda2(C52,E52))</f>
        <v/>
      </c>
      <c r="AE52" s="47" t="str">
        <f>IF(C52="","",[1]!hks_val_ev2(C52,E52,"",1)/[1]!hks_fa_ebit2_ttm(C52,[1]!s_fa_latelyrd_bt(C52,[1]!lastradeday_s(C52,基本资料!$D$7)),"",1))</f>
        <v/>
      </c>
      <c r="AF52" s="35"/>
    </row>
    <row r="53" spans="1:32" s="36" customFormat="1" ht="16.5" x14ac:dyDescent="0.2">
      <c r="A53" s="2"/>
      <c r="B53" s="6"/>
      <c r="C53" s="28" t="str">
        <f>IF(表1[[#This Row],[列1]]="","",表1[[#This Row],[列1]])</f>
        <v/>
      </c>
      <c r="D53" s="19" t="str">
        <f>IF(C53="","",[1]!hks_info_name(C53))</f>
        <v/>
      </c>
      <c r="E53" s="19" t="str">
        <f ca="1">IF(C53="","",[1]!lastradeday_s(C53,TODAY()))</f>
        <v/>
      </c>
      <c r="F53" s="27" t="str">
        <f>IF(C53="","",[1]!hks_val_ev(C53,基本资料!$I$9,"",100000000))</f>
        <v/>
      </c>
      <c r="G53" s="23" t="str">
        <f>IF(C53="","",[1]!hks_val_ev(C53,基本资料!$I$8,"",100000000))</f>
        <v/>
      </c>
      <c r="H53" s="23" t="str">
        <f>IF(C53="","",[1]!hks_val_ev(C53,E53,"",100000000))</f>
        <v/>
      </c>
      <c r="I53" s="44"/>
      <c r="J53" s="27" t="str">
        <f>IF(C53="","",[1]!hks_val_mv_ard(C53,基本资料!$I$9,"",100000000))</f>
        <v/>
      </c>
      <c r="K53" s="23" t="str">
        <f>IF(C53="","",[1]!hks_val_mv_ard(C53,基本资料!$I$8,"",100000000))</f>
        <v/>
      </c>
      <c r="L53" s="45" t="str">
        <f>IF(C53="","",[1]!hks_val_mv_ard(C53,E53,"",100000000))</f>
        <v/>
      </c>
      <c r="M53" s="44"/>
      <c r="N53" s="47" t="str">
        <f>IF(C53="","",[1]!hks_val_pe(C53,基本资料!$I$9,基本资料!$G$9))</f>
        <v/>
      </c>
      <c r="O53" s="23" t="str">
        <f>IF(C53="","",[1]!hks_val_pe(C53,基本资料!$I$8,基本资料!$G$8))</f>
        <v/>
      </c>
      <c r="P53" s="23" t="str">
        <f>IF(C53="","",[1]!hks_val_pe_ttm(C53,E53))</f>
        <v/>
      </c>
      <c r="Q53" s="23" t="str">
        <f>IF(C53="","",[1]!s_val_estpe(C53,E53,YEAR([1]!s_stm_rpt_e(C53,基本资料!$I$8,0))+1))</f>
        <v/>
      </c>
      <c r="R53" s="48" t="str">
        <f>IF(C53="","",[1]!s_val_estpe(C53,E53,YEAR([1]!s_stm_rpt_e(C53,基本资料!$I$8,0))+2))</f>
        <v/>
      </c>
      <c r="S53" s="47" t="str">
        <f>IF(C53="","",[1]!hks_val_pb(C53,基本资料!$I$9,基本资料!$G$9))</f>
        <v/>
      </c>
      <c r="T53" s="23" t="str">
        <f>IF(C53="","",[1]!hks_val_pb(C53,基本资料!$I$8,基本资料!$G$8))</f>
        <v/>
      </c>
      <c r="U53" s="23" t="str">
        <f>IF(C53="","",[1]!pb_mrq(C53,E53))</f>
        <v/>
      </c>
      <c r="V53" s="23" t="str">
        <f>IF(C53="","",[1]!s_val_estpb(C53,E53,YEAR([1]!s_stm_rpt_e(C53,基本资料!$I$8,0))+1))</f>
        <v/>
      </c>
      <c r="W53" s="48" t="str">
        <f>IF(C53="","",[1]!s_val_estpb(C53,E53,YEAR([1]!s_stm_rpt_e(C53,基本资料!$I$8,0))+2))</f>
        <v/>
      </c>
      <c r="X53" s="47" t="str">
        <f>IF(C53="","",[1]!hks_val_ps(C53,基本资料!$I$9,基本资料!$G$9))</f>
        <v/>
      </c>
      <c r="Y53" s="23" t="str">
        <f>IF(C53="","",[1]!hks_val_ps(C53,基本资料!$I$8,基本资料!$G$8))</f>
        <v/>
      </c>
      <c r="Z53" s="48" t="str">
        <f>IF(C53="","",[1]!hks_val_ps_ttm(C53,E53))</f>
        <v/>
      </c>
      <c r="AA53" s="47" t="str">
        <f>IF(C53="","",[1]!hks_val_pcf(C53,基本资料!$I$9,基本资料!$G$9))</f>
        <v/>
      </c>
      <c r="AB53" s="23" t="str">
        <f>IF(C53="","",[1]!hks_val_pcf(C53,基本资料!$I$8,基本资料!$G$8))</f>
        <v/>
      </c>
      <c r="AC53" s="48" t="str">
        <f>IF(C53="","",[1]!hks_val_pcf_ttm(C53,E53))</f>
        <v/>
      </c>
      <c r="AD53" s="39" t="str">
        <f>IF(C53="","",[1]!s_val_evtoebitda2(C53,E53))</f>
        <v/>
      </c>
      <c r="AE53" s="47" t="str">
        <f>IF(C53="","",[1]!hks_val_ev2(C53,E53,"",1)/[1]!hks_fa_ebit2_ttm(C53,[1]!s_fa_latelyrd_bt(C53,[1]!lastradeday_s(C53,基本资料!$D$7)),"",1))</f>
        <v/>
      </c>
      <c r="AF53" s="35"/>
    </row>
    <row r="54" spans="1:32" s="36" customFormat="1" ht="16.5" x14ac:dyDescent="0.2">
      <c r="A54" s="2"/>
      <c r="B54" s="6"/>
      <c r="C54" s="28" t="str">
        <f>IF(表1[[#This Row],[列1]]="","",表1[[#This Row],[列1]])</f>
        <v/>
      </c>
      <c r="D54" s="19" t="str">
        <f>IF(C54="","",[1]!hks_info_name(C54))</f>
        <v/>
      </c>
      <c r="E54" s="19" t="str">
        <f ca="1">IF(C54="","",[1]!lastradeday_s(C54,TODAY()))</f>
        <v/>
      </c>
      <c r="F54" s="27" t="str">
        <f>IF(C54="","",[1]!hks_val_ev(C54,基本资料!$I$9,"",100000000))</f>
        <v/>
      </c>
      <c r="G54" s="23" t="str">
        <f>IF(C54="","",[1]!hks_val_ev(C54,基本资料!$I$8,"",100000000))</f>
        <v/>
      </c>
      <c r="H54" s="23" t="str">
        <f>IF(C54="","",[1]!hks_val_ev(C54,E54,"",100000000))</f>
        <v/>
      </c>
      <c r="I54" s="44"/>
      <c r="J54" s="27" t="str">
        <f>IF(C54="","",[1]!hks_val_mv_ard(C54,基本资料!$I$9,"",100000000))</f>
        <v/>
      </c>
      <c r="K54" s="23" t="str">
        <f>IF(C54="","",[1]!hks_val_mv_ard(C54,基本资料!$I$8,"",100000000))</f>
        <v/>
      </c>
      <c r="L54" s="45" t="str">
        <f>IF(C54="","",[1]!hks_val_mv_ard(C54,E54,"",100000000))</f>
        <v/>
      </c>
      <c r="M54" s="44"/>
      <c r="N54" s="47" t="str">
        <f>IF(C54="","",[1]!hks_val_pe(C54,基本资料!$I$9,基本资料!$G$9))</f>
        <v/>
      </c>
      <c r="O54" s="23" t="str">
        <f>IF(C54="","",[1]!hks_val_pe(C54,基本资料!$I$8,基本资料!$G$8))</f>
        <v/>
      </c>
      <c r="P54" s="23" t="str">
        <f>IF(C54="","",[1]!hks_val_pe_ttm(C54,E54))</f>
        <v/>
      </c>
      <c r="Q54" s="23" t="str">
        <f>IF(C54="","",[1]!s_val_estpe(C54,E54,YEAR([1]!s_stm_rpt_e(C54,基本资料!$I$8,0))+1))</f>
        <v/>
      </c>
      <c r="R54" s="48" t="str">
        <f>IF(C54="","",[1]!s_val_estpe(C54,E54,YEAR([1]!s_stm_rpt_e(C54,基本资料!$I$8,0))+2))</f>
        <v/>
      </c>
      <c r="S54" s="47" t="str">
        <f>IF(C54="","",[1]!hks_val_pb(C54,基本资料!$I$9,基本资料!$G$9))</f>
        <v/>
      </c>
      <c r="T54" s="23" t="str">
        <f>IF(C54="","",[1]!hks_val_pb(C54,基本资料!$I$8,基本资料!$G$8))</f>
        <v/>
      </c>
      <c r="U54" s="23" t="str">
        <f>IF(C54="","",[1]!pb_mrq(C54,E54))</f>
        <v/>
      </c>
      <c r="V54" s="23" t="str">
        <f>IF(C54="","",[1]!s_val_estpb(C54,E54,YEAR([1]!s_stm_rpt_e(C54,基本资料!$I$8,0))+1))</f>
        <v/>
      </c>
      <c r="W54" s="48" t="str">
        <f>IF(C54="","",[1]!s_val_estpb(C54,E54,YEAR([1]!s_stm_rpt_e(C54,基本资料!$I$8,0))+2))</f>
        <v/>
      </c>
      <c r="X54" s="47" t="str">
        <f>IF(C54="","",[1]!hks_val_ps(C54,基本资料!$I$9,基本资料!$G$9))</f>
        <v/>
      </c>
      <c r="Y54" s="23" t="str">
        <f>IF(C54="","",[1]!hks_val_ps(C54,基本资料!$I$8,基本资料!$G$8))</f>
        <v/>
      </c>
      <c r="Z54" s="48" t="str">
        <f>IF(C54="","",[1]!hks_val_ps_ttm(C54,E54))</f>
        <v/>
      </c>
      <c r="AA54" s="47" t="str">
        <f>IF(C54="","",[1]!hks_val_pcf(C54,基本资料!$I$9,基本资料!$G$9))</f>
        <v/>
      </c>
      <c r="AB54" s="23" t="str">
        <f>IF(C54="","",[1]!hks_val_pcf(C54,基本资料!$I$8,基本资料!$G$8))</f>
        <v/>
      </c>
      <c r="AC54" s="48" t="str">
        <f>IF(C54="","",[1]!hks_val_pcf_ttm(C54,E54))</f>
        <v/>
      </c>
      <c r="AD54" s="39" t="str">
        <f>IF(C54="","",[1]!s_val_evtoebitda2(C54,E54))</f>
        <v/>
      </c>
      <c r="AE54" s="47" t="str">
        <f>IF(C54="","",[1]!hks_val_ev2(C54,E54,"",1)/[1]!hks_fa_ebit2_ttm(C54,[1]!s_fa_latelyrd_bt(C54,[1]!lastradeday_s(C54,基本资料!$D$7)),"",1))</f>
        <v/>
      </c>
      <c r="AF54" s="35"/>
    </row>
    <row r="55" spans="1:32" s="36" customFormat="1" ht="16.5" x14ac:dyDescent="0.2">
      <c r="A55" s="2"/>
      <c r="B55" s="6"/>
      <c r="C55" s="28" t="str">
        <f>IF(表1[[#This Row],[列1]]="","",表1[[#This Row],[列1]])</f>
        <v/>
      </c>
      <c r="D55" s="19" t="str">
        <f>IF(C55="","",[1]!hks_info_name(C55))</f>
        <v/>
      </c>
      <c r="E55" s="19" t="str">
        <f ca="1">IF(C55="","",[1]!lastradeday_s(C55,TODAY()))</f>
        <v/>
      </c>
      <c r="F55" s="27" t="str">
        <f>IF(C55="","",[1]!hks_val_ev(C55,基本资料!$I$9,"",100000000))</f>
        <v/>
      </c>
      <c r="G55" s="23" t="str">
        <f>IF(C55="","",[1]!hks_val_ev(C55,基本资料!$I$8,"",100000000))</f>
        <v/>
      </c>
      <c r="H55" s="23" t="str">
        <f>IF(C55="","",[1]!hks_val_ev(C55,E55,"",100000000))</f>
        <v/>
      </c>
      <c r="I55" s="44"/>
      <c r="J55" s="27" t="str">
        <f>IF(C55="","",[1]!hks_val_mv_ard(C55,基本资料!$I$9,"",100000000))</f>
        <v/>
      </c>
      <c r="K55" s="23" t="str">
        <f>IF(C55="","",[1]!hks_val_mv_ard(C55,基本资料!$I$8,"",100000000))</f>
        <v/>
      </c>
      <c r="L55" s="45" t="str">
        <f>IF(C55="","",[1]!hks_val_mv_ard(C55,E55,"",100000000))</f>
        <v/>
      </c>
      <c r="M55" s="44"/>
      <c r="N55" s="47" t="str">
        <f>IF(C55="","",[1]!hks_val_pe(C55,基本资料!$I$9,基本资料!$G$9))</f>
        <v/>
      </c>
      <c r="O55" s="23" t="str">
        <f>IF(C55="","",[1]!hks_val_pe(C55,基本资料!$I$8,基本资料!$G$8))</f>
        <v/>
      </c>
      <c r="P55" s="23" t="str">
        <f>IF(C55="","",[1]!hks_val_pe_ttm(C55,E55))</f>
        <v/>
      </c>
      <c r="Q55" s="23" t="str">
        <f>IF(C55="","",[1]!s_val_estpe(C55,E55,YEAR([1]!s_stm_rpt_e(C55,基本资料!$I$8,0))+1))</f>
        <v/>
      </c>
      <c r="R55" s="48" t="str">
        <f>IF(C55="","",[1]!s_val_estpe(C55,E55,YEAR([1]!s_stm_rpt_e(C55,基本资料!$I$8,0))+2))</f>
        <v/>
      </c>
      <c r="S55" s="47" t="str">
        <f>IF(C55="","",[1]!hks_val_pb(C55,基本资料!$I$9,基本资料!$G$9))</f>
        <v/>
      </c>
      <c r="T55" s="23" t="str">
        <f>IF(C55="","",[1]!hks_val_pb(C55,基本资料!$I$8,基本资料!$G$8))</f>
        <v/>
      </c>
      <c r="U55" s="23" t="str">
        <f>IF(C55="","",[1]!pb_mrq(C55,E55))</f>
        <v/>
      </c>
      <c r="V55" s="23" t="str">
        <f>IF(C55="","",[1]!s_val_estpb(C55,E55,YEAR([1]!s_stm_rpt_e(C55,基本资料!$I$8,0))+1))</f>
        <v/>
      </c>
      <c r="W55" s="48" t="str">
        <f>IF(C55="","",[1]!s_val_estpb(C55,E55,YEAR([1]!s_stm_rpt_e(C55,基本资料!$I$8,0))+2))</f>
        <v/>
      </c>
      <c r="X55" s="47" t="str">
        <f>IF(C55="","",[1]!hks_val_ps(C55,基本资料!$I$9,基本资料!$G$9))</f>
        <v/>
      </c>
      <c r="Y55" s="23" t="str">
        <f>IF(C55="","",[1]!hks_val_ps(C55,基本资料!$I$8,基本资料!$G$8))</f>
        <v/>
      </c>
      <c r="Z55" s="48" t="str">
        <f>IF(C55="","",[1]!hks_val_ps_ttm(C55,E55))</f>
        <v/>
      </c>
      <c r="AA55" s="47" t="str">
        <f>IF(C55="","",[1]!hks_val_pcf(C55,基本资料!$I$9,基本资料!$G$9))</f>
        <v/>
      </c>
      <c r="AB55" s="23" t="str">
        <f>IF(C55="","",[1]!hks_val_pcf(C55,基本资料!$I$8,基本资料!$G$8))</f>
        <v/>
      </c>
      <c r="AC55" s="48" t="str">
        <f>IF(C55="","",[1]!hks_val_pcf_ttm(C55,E55))</f>
        <v/>
      </c>
      <c r="AD55" s="39" t="str">
        <f>IF(C55="","",[1]!s_val_evtoebitda2(C55,E55))</f>
        <v/>
      </c>
      <c r="AE55" s="47" t="str">
        <f>IF(C55="","",[1]!hks_val_ev2(C55,E55,"",1)/[1]!hks_fa_ebit2_ttm(C55,[1]!s_fa_latelyrd_bt(C55,[1]!lastradeday_s(C55,基本资料!$D$7)),"",1))</f>
        <v/>
      </c>
      <c r="AF55" s="35"/>
    </row>
    <row r="56" spans="1:32" s="36" customFormat="1" ht="16.5" x14ac:dyDescent="0.2">
      <c r="A56" s="2"/>
      <c r="B56" s="6"/>
      <c r="C56" s="28" t="str">
        <f>IF(表1[[#This Row],[列1]]="","",表1[[#This Row],[列1]])</f>
        <v/>
      </c>
      <c r="D56" s="19" t="str">
        <f>IF(C56="","",[1]!hks_info_name(C56))</f>
        <v/>
      </c>
      <c r="E56" s="19" t="str">
        <f ca="1">IF(C56="","",[1]!lastradeday_s(C56,TODAY()))</f>
        <v/>
      </c>
      <c r="F56" s="27" t="str">
        <f>IF(C56="","",[1]!hks_val_ev(C56,基本资料!$I$9,"",100000000))</f>
        <v/>
      </c>
      <c r="G56" s="23" t="str">
        <f>IF(C56="","",[1]!hks_val_ev(C56,基本资料!$I$8,"",100000000))</f>
        <v/>
      </c>
      <c r="H56" s="23" t="str">
        <f>IF(C56="","",[1]!hks_val_ev(C56,E56,"",100000000))</f>
        <v/>
      </c>
      <c r="I56" s="44"/>
      <c r="J56" s="27" t="str">
        <f>IF(C56="","",[1]!hks_val_mv_ard(C56,基本资料!$I$9,"",100000000))</f>
        <v/>
      </c>
      <c r="K56" s="23" t="str">
        <f>IF(C56="","",[1]!hks_val_mv_ard(C56,基本资料!$I$8,"",100000000))</f>
        <v/>
      </c>
      <c r="L56" s="45" t="str">
        <f>IF(C56="","",[1]!hks_val_mv_ard(C56,E56,"",100000000))</f>
        <v/>
      </c>
      <c r="M56" s="44"/>
      <c r="N56" s="47" t="str">
        <f>IF(C56="","",[1]!hks_val_pe(C56,基本资料!$I$9,基本资料!$G$9))</f>
        <v/>
      </c>
      <c r="O56" s="23" t="str">
        <f>IF(C56="","",[1]!hks_val_pe(C56,基本资料!$I$8,基本资料!$G$8))</f>
        <v/>
      </c>
      <c r="P56" s="23" t="str">
        <f>IF(C56="","",[1]!hks_val_pe_ttm(C56,E56))</f>
        <v/>
      </c>
      <c r="Q56" s="23" t="str">
        <f>IF(C56="","",[1]!s_val_estpe(C56,E56,YEAR([1]!s_stm_rpt_e(C56,基本资料!$I$8,0))+1))</f>
        <v/>
      </c>
      <c r="R56" s="48" t="str">
        <f>IF(C56="","",[1]!s_val_estpe(C56,E56,YEAR([1]!s_stm_rpt_e(C56,基本资料!$I$8,0))+2))</f>
        <v/>
      </c>
      <c r="S56" s="47" t="str">
        <f>IF(C56="","",[1]!hks_val_pb(C56,基本资料!$I$9,基本资料!$G$9))</f>
        <v/>
      </c>
      <c r="T56" s="23" t="str">
        <f>IF(C56="","",[1]!hks_val_pb(C56,基本资料!$I$8,基本资料!$G$8))</f>
        <v/>
      </c>
      <c r="U56" s="23" t="str">
        <f>IF(C56="","",[1]!pb_mrq(C56,E56))</f>
        <v/>
      </c>
      <c r="V56" s="23" t="str">
        <f>IF(C56="","",[1]!s_val_estpb(C56,E56,YEAR([1]!s_stm_rpt_e(C56,基本资料!$I$8,0))+1))</f>
        <v/>
      </c>
      <c r="W56" s="48" t="str">
        <f>IF(C56="","",[1]!s_val_estpb(C56,E56,YEAR([1]!s_stm_rpt_e(C56,基本资料!$I$8,0))+2))</f>
        <v/>
      </c>
      <c r="X56" s="47" t="str">
        <f>IF(C56="","",[1]!hks_val_ps(C56,基本资料!$I$9,基本资料!$G$9))</f>
        <v/>
      </c>
      <c r="Y56" s="23" t="str">
        <f>IF(C56="","",[1]!hks_val_ps(C56,基本资料!$I$8,基本资料!$G$8))</f>
        <v/>
      </c>
      <c r="Z56" s="48" t="str">
        <f>IF(C56="","",[1]!hks_val_ps_ttm(C56,E56))</f>
        <v/>
      </c>
      <c r="AA56" s="47" t="str">
        <f>IF(C56="","",[1]!hks_val_pcf(C56,基本资料!$I$9,基本资料!$G$9))</f>
        <v/>
      </c>
      <c r="AB56" s="23" t="str">
        <f>IF(C56="","",[1]!hks_val_pcf(C56,基本资料!$I$8,基本资料!$G$8))</f>
        <v/>
      </c>
      <c r="AC56" s="48" t="str">
        <f>IF(C56="","",[1]!hks_val_pcf_ttm(C56,E56))</f>
        <v/>
      </c>
      <c r="AD56" s="39" t="str">
        <f>IF(C56="","",[1]!s_val_evtoebitda2(C56,E56))</f>
        <v/>
      </c>
      <c r="AE56" s="47" t="str">
        <f>IF(C56="","",[1]!hks_val_ev2(C56,E56,"",1)/[1]!hks_fa_ebit2_ttm(C56,[1]!s_fa_latelyrd_bt(C56,[1]!lastradeday_s(C56,基本资料!$D$7)),"",1))</f>
        <v/>
      </c>
      <c r="AF56" s="35"/>
    </row>
    <row r="57" spans="1:32" s="36" customFormat="1" ht="16.5" x14ac:dyDescent="0.2">
      <c r="A57" s="2"/>
      <c r="B57" s="6"/>
      <c r="C57" s="28" t="str">
        <f>IF(表1[[#This Row],[列1]]="","",表1[[#This Row],[列1]])</f>
        <v/>
      </c>
      <c r="D57" s="19" t="str">
        <f>IF(C57="","",[1]!hks_info_name(C57))</f>
        <v/>
      </c>
      <c r="E57" s="19" t="str">
        <f ca="1">IF(C57="","",[1]!lastradeday_s(C57,TODAY()))</f>
        <v/>
      </c>
      <c r="F57" s="27" t="str">
        <f>IF(C57="","",[1]!hks_val_ev(C57,基本资料!$I$9,"",100000000))</f>
        <v/>
      </c>
      <c r="G57" s="23" t="str">
        <f>IF(C57="","",[1]!hks_val_ev(C57,基本资料!$I$8,"",100000000))</f>
        <v/>
      </c>
      <c r="H57" s="23" t="str">
        <f>IF(C57="","",[1]!hks_val_ev(C57,E57,"",100000000))</f>
        <v/>
      </c>
      <c r="I57" s="44"/>
      <c r="J57" s="27" t="str">
        <f>IF(C57="","",[1]!hks_val_mv_ard(C57,基本资料!$I$9,"",100000000))</f>
        <v/>
      </c>
      <c r="K57" s="23" t="str">
        <f>IF(C57="","",[1]!hks_val_mv_ard(C57,基本资料!$I$8,"",100000000))</f>
        <v/>
      </c>
      <c r="L57" s="45" t="str">
        <f>IF(C57="","",[1]!hks_val_mv_ard(C57,E57,"",100000000))</f>
        <v/>
      </c>
      <c r="M57" s="44"/>
      <c r="N57" s="47" t="str">
        <f>IF(C57="","",[1]!hks_val_pe(C57,基本资料!$I$9,基本资料!$G$9))</f>
        <v/>
      </c>
      <c r="O57" s="23" t="str">
        <f>IF(C57="","",[1]!hks_val_pe(C57,基本资料!$I$8,基本资料!$G$8))</f>
        <v/>
      </c>
      <c r="P57" s="23" t="str">
        <f>IF(C57="","",[1]!hks_val_pe_ttm(C57,E57))</f>
        <v/>
      </c>
      <c r="Q57" s="23" t="str">
        <f>IF(C57="","",[1]!s_val_estpe(C57,E57,YEAR([1]!s_stm_rpt_e(C57,基本资料!$I$8,0))+1))</f>
        <v/>
      </c>
      <c r="R57" s="48" t="str">
        <f>IF(C57="","",[1]!s_val_estpe(C57,E57,YEAR([1]!s_stm_rpt_e(C57,基本资料!$I$8,0))+2))</f>
        <v/>
      </c>
      <c r="S57" s="47" t="str">
        <f>IF(C57="","",[1]!hks_val_pb(C57,基本资料!$I$9,基本资料!$G$9))</f>
        <v/>
      </c>
      <c r="T57" s="23" t="str">
        <f>IF(C57="","",[1]!hks_val_pb(C57,基本资料!$I$8,基本资料!$G$8))</f>
        <v/>
      </c>
      <c r="U57" s="23" t="str">
        <f>IF(C57="","",[1]!pb_mrq(C57,E57))</f>
        <v/>
      </c>
      <c r="V57" s="23" t="str">
        <f>IF(C57="","",[1]!s_val_estpb(C57,E57,YEAR([1]!s_stm_rpt_e(C57,基本资料!$I$8,0))+1))</f>
        <v/>
      </c>
      <c r="W57" s="48" t="str">
        <f>IF(C57="","",[1]!s_val_estpb(C57,E57,YEAR([1]!s_stm_rpt_e(C57,基本资料!$I$8,0))+2))</f>
        <v/>
      </c>
      <c r="X57" s="47" t="str">
        <f>IF(C57="","",[1]!hks_val_ps(C57,基本资料!$I$9,基本资料!$G$9))</f>
        <v/>
      </c>
      <c r="Y57" s="23" t="str">
        <f>IF(C57="","",[1]!hks_val_ps(C57,基本资料!$I$8,基本资料!$G$8))</f>
        <v/>
      </c>
      <c r="Z57" s="48" t="str">
        <f>IF(C57="","",[1]!hks_val_ps_ttm(C57,E57))</f>
        <v/>
      </c>
      <c r="AA57" s="47" t="str">
        <f>IF(C57="","",[1]!hks_val_pcf(C57,基本资料!$I$9,基本资料!$G$9))</f>
        <v/>
      </c>
      <c r="AB57" s="23" t="str">
        <f>IF(C57="","",[1]!hks_val_pcf(C57,基本资料!$I$8,基本资料!$G$8))</f>
        <v/>
      </c>
      <c r="AC57" s="48" t="str">
        <f>IF(C57="","",[1]!hks_val_pcf_ttm(C57,E57))</f>
        <v/>
      </c>
      <c r="AD57" s="39" t="str">
        <f>IF(C57="","",[1]!s_val_evtoebitda2(C57,E57))</f>
        <v/>
      </c>
      <c r="AE57" s="47" t="str">
        <f>IF(C57="","",[1]!hks_val_ev2(C57,E57,"",1)/[1]!hks_fa_ebit2_ttm(C57,[1]!s_fa_latelyrd_bt(C57,[1]!lastradeday_s(C57,基本资料!$D$7)),"",1))</f>
        <v/>
      </c>
      <c r="AF57" s="35"/>
    </row>
    <row r="58" spans="1:32" s="36" customFormat="1" ht="16.5" x14ac:dyDescent="0.2">
      <c r="A58" s="2"/>
      <c r="B58" s="6"/>
      <c r="C58" s="28" t="str">
        <f>IF(表1[[#This Row],[列1]]="","",表1[[#This Row],[列1]])</f>
        <v/>
      </c>
      <c r="D58" s="19" t="str">
        <f>IF(C58="","",[1]!hks_info_name(C58))</f>
        <v/>
      </c>
      <c r="E58" s="19" t="str">
        <f ca="1">IF(C58="","",[1]!lastradeday_s(C58,TODAY()))</f>
        <v/>
      </c>
      <c r="F58" s="27" t="str">
        <f>IF(C58="","",[1]!hks_val_ev(C58,基本资料!$I$9,"",100000000))</f>
        <v/>
      </c>
      <c r="G58" s="23" t="str">
        <f>IF(C58="","",[1]!hks_val_ev(C58,基本资料!$I$8,"",100000000))</f>
        <v/>
      </c>
      <c r="H58" s="23" t="str">
        <f>IF(C58="","",[1]!hks_val_ev(C58,E58,"",100000000))</f>
        <v/>
      </c>
      <c r="I58" s="44"/>
      <c r="J58" s="27" t="str">
        <f>IF(C58="","",[1]!hks_val_mv_ard(C58,基本资料!$I$9,"",100000000))</f>
        <v/>
      </c>
      <c r="K58" s="23" t="str">
        <f>IF(C58="","",[1]!hks_val_mv_ard(C58,基本资料!$I$8,"",100000000))</f>
        <v/>
      </c>
      <c r="L58" s="45" t="str">
        <f>IF(C58="","",[1]!hks_val_mv_ard(C58,E58,"",100000000))</f>
        <v/>
      </c>
      <c r="M58" s="44"/>
      <c r="N58" s="47" t="str">
        <f>IF(C58="","",[1]!hks_val_pe(C58,基本资料!$I$9,基本资料!$G$9))</f>
        <v/>
      </c>
      <c r="O58" s="23" t="str">
        <f>IF(C58="","",[1]!hks_val_pe(C58,基本资料!$I$8,基本资料!$G$8))</f>
        <v/>
      </c>
      <c r="P58" s="23" t="str">
        <f>IF(C58="","",[1]!hks_val_pe_ttm(C58,E58))</f>
        <v/>
      </c>
      <c r="Q58" s="23" t="str">
        <f>IF(C58="","",[1]!s_val_estpe(C58,E58,YEAR([1]!s_stm_rpt_e(C58,基本资料!$I$8,0))+1))</f>
        <v/>
      </c>
      <c r="R58" s="48" t="str">
        <f>IF(C58="","",[1]!s_val_estpe(C58,E58,YEAR([1]!s_stm_rpt_e(C58,基本资料!$I$8,0))+2))</f>
        <v/>
      </c>
      <c r="S58" s="47" t="str">
        <f>IF(C58="","",[1]!hks_val_pb(C58,基本资料!$I$9,基本资料!$G$9))</f>
        <v/>
      </c>
      <c r="T58" s="23" t="str">
        <f>IF(C58="","",[1]!hks_val_pb(C58,基本资料!$I$8,基本资料!$G$8))</f>
        <v/>
      </c>
      <c r="U58" s="23" t="str">
        <f>IF(C58="","",[1]!pb_mrq(C58,E58))</f>
        <v/>
      </c>
      <c r="V58" s="23" t="str">
        <f>IF(C58="","",[1]!s_val_estpb(C58,E58,YEAR([1]!s_stm_rpt_e(C58,基本资料!$I$8,0))+1))</f>
        <v/>
      </c>
      <c r="W58" s="48" t="str">
        <f>IF(C58="","",[1]!s_val_estpb(C58,E58,YEAR([1]!s_stm_rpt_e(C58,基本资料!$I$8,0))+2))</f>
        <v/>
      </c>
      <c r="X58" s="47" t="str">
        <f>IF(C58="","",[1]!hks_val_ps(C58,基本资料!$I$9,基本资料!$G$9))</f>
        <v/>
      </c>
      <c r="Y58" s="23" t="str">
        <f>IF(C58="","",[1]!hks_val_ps(C58,基本资料!$I$8,基本资料!$G$8))</f>
        <v/>
      </c>
      <c r="Z58" s="48" t="str">
        <f>IF(C58="","",[1]!hks_val_ps_ttm(C58,E58))</f>
        <v/>
      </c>
      <c r="AA58" s="47" t="str">
        <f>IF(C58="","",[1]!hks_val_pcf(C58,基本资料!$I$9,基本资料!$G$9))</f>
        <v/>
      </c>
      <c r="AB58" s="23" t="str">
        <f>IF(C58="","",[1]!hks_val_pcf(C58,基本资料!$I$8,基本资料!$G$8))</f>
        <v/>
      </c>
      <c r="AC58" s="48" t="str">
        <f>IF(C58="","",[1]!hks_val_pcf_ttm(C58,E58))</f>
        <v/>
      </c>
      <c r="AD58" s="39" t="str">
        <f>IF(C58="","",[1]!s_val_evtoebitda2(C58,E58))</f>
        <v/>
      </c>
      <c r="AE58" s="47" t="str">
        <f>IF(C58="","",[1]!hks_val_ev2(C58,E58,"",1)/[1]!hks_fa_ebit2_ttm(C58,[1]!s_fa_latelyrd_bt(C58,[1]!lastradeday_s(C58,基本资料!$D$7)),"",1))</f>
        <v/>
      </c>
      <c r="AF58" s="35"/>
    </row>
    <row r="59" spans="1:32" s="36" customFormat="1" ht="16.5" x14ac:dyDescent="0.2">
      <c r="A59" s="2"/>
      <c r="B59" s="6"/>
      <c r="C59" s="28" t="str">
        <f>IF(表1[[#This Row],[列1]]="","",表1[[#This Row],[列1]])</f>
        <v/>
      </c>
      <c r="D59" s="19" t="str">
        <f>IF(C59="","",[1]!hks_info_name(C59))</f>
        <v/>
      </c>
      <c r="E59" s="19" t="str">
        <f ca="1">IF(C59="","",[1]!lastradeday_s(C59,TODAY()))</f>
        <v/>
      </c>
      <c r="F59" s="27" t="str">
        <f>IF(C59="","",[1]!hks_val_ev(C59,基本资料!$I$9,"",100000000))</f>
        <v/>
      </c>
      <c r="G59" s="23" t="str">
        <f>IF(C59="","",[1]!hks_val_ev(C59,基本资料!$I$8,"",100000000))</f>
        <v/>
      </c>
      <c r="H59" s="23" t="str">
        <f>IF(C59="","",[1]!hks_val_ev(C59,E59,"",100000000))</f>
        <v/>
      </c>
      <c r="I59" s="44"/>
      <c r="J59" s="27" t="str">
        <f>IF(C59="","",[1]!hks_val_mv_ard(C59,基本资料!$I$9,"",100000000))</f>
        <v/>
      </c>
      <c r="K59" s="23" t="str">
        <f>IF(C59="","",[1]!hks_val_mv_ard(C59,基本资料!$I$8,"",100000000))</f>
        <v/>
      </c>
      <c r="L59" s="45" t="str">
        <f>IF(C59="","",[1]!hks_val_mv_ard(C59,E59,"",100000000))</f>
        <v/>
      </c>
      <c r="M59" s="44"/>
      <c r="N59" s="47" t="str">
        <f>IF(C59="","",[1]!hks_val_pe(C59,基本资料!$I$9,基本资料!$G$9))</f>
        <v/>
      </c>
      <c r="O59" s="23" t="str">
        <f>IF(C59="","",[1]!hks_val_pe(C59,基本资料!$I$8,基本资料!$G$8))</f>
        <v/>
      </c>
      <c r="P59" s="23" t="str">
        <f>IF(C59="","",[1]!hks_val_pe_ttm(C59,E59))</f>
        <v/>
      </c>
      <c r="Q59" s="23" t="str">
        <f>IF(C59="","",[1]!s_val_estpe(C59,E59,YEAR([1]!s_stm_rpt_e(C59,基本资料!$I$8,0))+1))</f>
        <v/>
      </c>
      <c r="R59" s="48" t="str">
        <f>IF(C59="","",[1]!s_val_estpe(C59,E59,YEAR([1]!s_stm_rpt_e(C59,基本资料!$I$8,0))+2))</f>
        <v/>
      </c>
      <c r="S59" s="47" t="str">
        <f>IF(C59="","",[1]!hks_val_pb(C59,基本资料!$I$9,基本资料!$G$9))</f>
        <v/>
      </c>
      <c r="T59" s="23" t="str">
        <f>IF(C59="","",[1]!hks_val_pb(C59,基本资料!$I$8,基本资料!$G$8))</f>
        <v/>
      </c>
      <c r="U59" s="23" t="str">
        <f>IF(C59="","",[1]!pb_mrq(C59,E59))</f>
        <v/>
      </c>
      <c r="V59" s="23" t="str">
        <f>IF(C59="","",[1]!s_val_estpb(C59,E59,YEAR([1]!s_stm_rpt_e(C59,基本资料!$I$8,0))+1))</f>
        <v/>
      </c>
      <c r="W59" s="48" t="str">
        <f>IF(C59="","",[1]!s_val_estpb(C59,E59,YEAR([1]!s_stm_rpt_e(C59,基本资料!$I$8,0))+2))</f>
        <v/>
      </c>
      <c r="X59" s="47" t="str">
        <f>IF(C59="","",[1]!hks_val_ps(C59,基本资料!$I$9,基本资料!$G$9))</f>
        <v/>
      </c>
      <c r="Y59" s="23" t="str">
        <f>IF(C59="","",[1]!hks_val_ps(C59,基本资料!$I$8,基本资料!$G$8))</f>
        <v/>
      </c>
      <c r="Z59" s="48" t="str">
        <f>IF(C59="","",[1]!hks_val_ps_ttm(C59,E59))</f>
        <v/>
      </c>
      <c r="AA59" s="47" t="str">
        <f>IF(C59="","",[1]!hks_val_pcf(C59,基本资料!$I$9,基本资料!$G$9))</f>
        <v/>
      </c>
      <c r="AB59" s="23" t="str">
        <f>IF(C59="","",[1]!hks_val_pcf(C59,基本资料!$I$8,基本资料!$G$8))</f>
        <v/>
      </c>
      <c r="AC59" s="48" t="str">
        <f>IF(C59="","",[1]!hks_val_pcf_ttm(C59,E59))</f>
        <v/>
      </c>
      <c r="AD59" s="39" t="str">
        <f>IF(C59="","",[1]!s_val_evtoebitda2(C59,E59))</f>
        <v/>
      </c>
      <c r="AE59" s="47" t="str">
        <f>IF(C59="","",[1]!hks_val_ev2(C59,E59,"",1)/[1]!hks_fa_ebit2_ttm(C59,[1]!s_fa_latelyrd_bt(C59,[1]!lastradeday_s(C59,基本资料!$D$7)),"",1))</f>
        <v/>
      </c>
      <c r="AF59" s="35"/>
    </row>
    <row r="60" spans="1:32" s="36" customFormat="1" ht="16.5" x14ac:dyDescent="0.2">
      <c r="A60" s="2"/>
      <c r="B60" s="6"/>
      <c r="C60" s="28" t="str">
        <f>IF(表1[[#This Row],[列1]]="","",表1[[#This Row],[列1]])</f>
        <v/>
      </c>
      <c r="D60" s="19" t="str">
        <f>IF(C60="","",[1]!hks_info_name(C60))</f>
        <v/>
      </c>
      <c r="E60" s="19" t="str">
        <f ca="1">IF(C60="","",[1]!lastradeday_s(C60,TODAY()))</f>
        <v/>
      </c>
      <c r="F60" s="27" t="str">
        <f>IF(C60="","",[1]!hks_val_ev(C60,基本资料!$I$9,"",100000000))</f>
        <v/>
      </c>
      <c r="G60" s="23" t="str">
        <f>IF(C60="","",[1]!hks_val_ev(C60,基本资料!$I$8,"",100000000))</f>
        <v/>
      </c>
      <c r="H60" s="23" t="str">
        <f>IF(C60="","",[1]!hks_val_ev(C60,E60,"",100000000))</f>
        <v/>
      </c>
      <c r="I60" s="44"/>
      <c r="J60" s="27" t="str">
        <f>IF(C60="","",[1]!hks_val_mv_ard(C60,基本资料!$I$9,"",100000000))</f>
        <v/>
      </c>
      <c r="K60" s="23" t="str">
        <f>IF(C60="","",[1]!hks_val_mv_ard(C60,基本资料!$I$8,"",100000000))</f>
        <v/>
      </c>
      <c r="L60" s="45" t="str">
        <f>IF(C60="","",[1]!hks_val_mv_ard(C60,E60,"",100000000))</f>
        <v/>
      </c>
      <c r="M60" s="44"/>
      <c r="N60" s="47" t="str">
        <f>IF(C60="","",[1]!hks_val_pe(C60,基本资料!$I$9,基本资料!$G$9))</f>
        <v/>
      </c>
      <c r="O60" s="23" t="str">
        <f>IF(C60="","",[1]!hks_val_pe(C60,基本资料!$I$8,基本资料!$G$8))</f>
        <v/>
      </c>
      <c r="P60" s="23" t="str">
        <f>IF(C60="","",[1]!hks_val_pe_ttm(C60,E60))</f>
        <v/>
      </c>
      <c r="Q60" s="23" t="str">
        <f>IF(C60="","",[1]!s_val_estpe(C60,E60,YEAR([1]!s_stm_rpt_e(C60,基本资料!$I$8,0))+1))</f>
        <v/>
      </c>
      <c r="R60" s="48" t="str">
        <f>IF(C60="","",[1]!s_val_estpe(C60,E60,YEAR([1]!s_stm_rpt_e(C60,基本资料!$I$8,0))+2))</f>
        <v/>
      </c>
      <c r="S60" s="47" t="str">
        <f>IF(C60="","",[1]!hks_val_pb(C60,基本资料!$I$9,基本资料!$G$9))</f>
        <v/>
      </c>
      <c r="T60" s="23" t="str">
        <f>IF(C60="","",[1]!hks_val_pb(C60,基本资料!$I$8,基本资料!$G$8))</f>
        <v/>
      </c>
      <c r="U60" s="23" t="str">
        <f>IF(C60="","",[1]!pb_mrq(C60,E60))</f>
        <v/>
      </c>
      <c r="V60" s="23" t="str">
        <f>IF(C60="","",[1]!s_val_estpb(C60,E60,YEAR([1]!s_stm_rpt_e(C60,基本资料!$I$8,0))+1))</f>
        <v/>
      </c>
      <c r="W60" s="48" t="str">
        <f>IF(C60="","",[1]!s_val_estpb(C60,E60,YEAR([1]!s_stm_rpt_e(C60,基本资料!$I$8,0))+2))</f>
        <v/>
      </c>
      <c r="X60" s="47" t="str">
        <f>IF(C60="","",[1]!hks_val_ps(C60,基本资料!$I$9,基本资料!$G$9))</f>
        <v/>
      </c>
      <c r="Y60" s="23" t="str">
        <f>IF(C60="","",[1]!hks_val_ps(C60,基本资料!$I$8,基本资料!$G$8))</f>
        <v/>
      </c>
      <c r="Z60" s="48" t="str">
        <f>IF(C60="","",[1]!hks_val_ps_ttm(C60,E60))</f>
        <v/>
      </c>
      <c r="AA60" s="47" t="str">
        <f>IF(C60="","",[1]!hks_val_pcf(C60,基本资料!$I$9,基本资料!$G$9))</f>
        <v/>
      </c>
      <c r="AB60" s="23" t="str">
        <f>IF(C60="","",[1]!hks_val_pcf(C60,基本资料!$I$8,基本资料!$G$8))</f>
        <v/>
      </c>
      <c r="AC60" s="48" t="str">
        <f>IF(C60="","",[1]!hks_val_pcf_ttm(C60,E60))</f>
        <v/>
      </c>
      <c r="AD60" s="39" t="str">
        <f>IF(C60="","",[1]!s_val_evtoebitda2(C60,E60))</f>
        <v/>
      </c>
      <c r="AE60" s="47" t="str">
        <f>IF(C60="","",[1]!hks_val_ev2(C60,E60,"",1)/[1]!hks_fa_ebit2_ttm(C60,[1]!s_fa_latelyrd_bt(C60,[1]!lastradeday_s(C60,基本资料!$D$7)),"",1))</f>
        <v/>
      </c>
      <c r="AF60" s="35"/>
    </row>
    <row r="61" spans="1:32" s="36" customFormat="1" ht="16.5" x14ac:dyDescent="0.2">
      <c r="A61" s="2"/>
      <c r="B61" s="6"/>
      <c r="C61" s="28" t="str">
        <f>IF(表1[[#This Row],[列1]]="","",表1[[#This Row],[列1]])</f>
        <v/>
      </c>
      <c r="D61" s="19" t="str">
        <f>IF(C61="","",[1]!hks_info_name(C61))</f>
        <v/>
      </c>
      <c r="E61" s="19" t="str">
        <f ca="1">IF(C61="","",[1]!lastradeday_s(C61,TODAY()))</f>
        <v/>
      </c>
      <c r="F61" s="27" t="str">
        <f>IF(C61="","",[1]!hks_val_ev(C61,基本资料!$I$9,"",100000000))</f>
        <v/>
      </c>
      <c r="G61" s="23" t="str">
        <f>IF(C61="","",[1]!hks_val_ev(C61,基本资料!$I$8,"",100000000))</f>
        <v/>
      </c>
      <c r="H61" s="23" t="str">
        <f>IF(C61="","",[1]!hks_val_ev(C61,E61,"",100000000))</f>
        <v/>
      </c>
      <c r="I61" s="44"/>
      <c r="J61" s="27" t="str">
        <f>IF(C61="","",[1]!hks_val_mv_ard(C61,基本资料!$I$9,"",100000000))</f>
        <v/>
      </c>
      <c r="K61" s="23" t="str">
        <f>IF(C61="","",[1]!hks_val_mv_ard(C61,基本资料!$I$8,"",100000000))</f>
        <v/>
      </c>
      <c r="L61" s="45" t="str">
        <f>IF(C61="","",[1]!hks_val_mv_ard(C61,E61,"",100000000))</f>
        <v/>
      </c>
      <c r="M61" s="44"/>
      <c r="N61" s="47" t="str">
        <f>IF(C61="","",[1]!hks_val_pe(C61,基本资料!$I$9,基本资料!$G$9))</f>
        <v/>
      </c>
      <c r="O61" s="23" t="str">
        <f>IF(C61="","",[1]!hks_val_pe(C61,基本资料!$I$8,基本资料!$G$8))</f>
        <v/>
      </c>
      <c r="P61" s="23" t="str">
        <f>IF(C61="","",[1]!hks_val_pe_ttm(C61,E61))</f>
        <v/>
      </c>
      <c r="Q61" s="23" t="str">
        <f>IF(C61="","",[1]!s_val_estpe(C61,E61,YEAR([1]!s_stm_rpt_e(C61,基本资料!$I$8,0))+1))</f>
        <v/>
      </c>
      <c r="R61" s="48" t="str">
        <f>IF(C61="","",[1]!s_val_estpe(C61,E61,YEAR([1]!s_stm_rpt_e(C61,基本资料!$I$8,0))+2))</f>
        <v/>
      </c>
      <c r="S61" s="47" t="str">
        <f>IF(C61="","",[1]!hks_val_pb(C61,基本资料!$I$9,基本资料!$G$9))</f>
        <v/>
      </c>
      <c r="T61" s="23" t="str">
        <f>IF(C61="","",[1]!hks_val_pb(C61,基本资料!$I$8,基本资料!$G$8))</f>
        <v/>
      </c>
      <c r="U61" s="23" t="str">
        <f>IF(C61="","",[1]!pb_mrq(C61,E61))</f>
        <v/>
      </c>
      <c r="V61" s="23" t="str">
        <f>IF(C61="","",[1]!s_val_estpb(C61,E61,YEAR([1]!s_stm_rpt_e(C61,基本资料!$I$8,0))+1))</f>
        <v/>
      </c>
      <c r="W61" s="48" t="str">
        <f>IF(C61="","",[1]!s_val_estpb(C61,E61,YEAR([1]!s_stm_rpt_e(C61,基本资料!$I$8,0))+2))</f>
        <v/>
      </c>
      <c r="X61" s="47" t="str">
        <f>IF(C61="","",[1]!hks_val_ps(C61,基本资料!$I$9,基本资料!$G$9))</f>
        <v/>
      </c>
      <c r="Y61" s="23" t="str">
        <f>IF(C61="","",[1]!hks_val_ps(C61,基本资料!$I$8,基本资料!$G$8))</f>
        <v/>
      </c>
      <c r="Z61" s="48" t="str">
        <f>IF(C61="","",[1]!hks_val_ps_ttm(C61,E61))</f>
        <v/>
      </c>
      <c r="AA61" s="47" t="str">
        <f>IF(C61="","",[1]!hks_val_pcf(C61,基本资料!$I$9,基本资料!$G$9))</f>
        <v/>
      </c>
      <c r="AB61" s="23" t="str">
        <f>IF(C61="","",[1]!hks_val_pcf(C61,基本资料!$I$8,基本资料!$G$8))</f>
        <v/>
      </c>
      <c r="AC61" s="48" t="str">
        <f>IF(C61="","",[1]!hks_val_pcf_ttm(C61,E61))</f>
        <v/>
      </c>
      <c r="AD61" s="39" t="str">
        <f>IF(C61="","",[1]!s_val_evtoebitda2(C61,E61))</f>
        <v/>
      </c>
      <c r="AE61" s="47" t="str">
        <f>IF(C61="","",[1]!hks_val_ev2(C61,E61,"",1)/[1]!hks_fa_ebit2_ttm(C61,[1]!s_fa_latelyrd_bt(C61,[1]!lastradeday_s(C61,基本资料!$D$7)),"",1))</f>
        <v/>
      </c>
      <c r="AF61" s="35"/>
    </row>
    <row r="62" spans="1:32" s="36" customFormat="1" ht="16.5" x14ac:dyDescent="0.2">
      <c r="A62" s="2"/>
      <c r="B62" s="6"/>
      <c r="C62" s="28" t="str">
        <f>IF(表1[[#This Row],[列1]]="","",表1[[#This Row],[列1]])</f>
        <v/>
      </c>
      <c r="D62" s="19" t="str">
        <f>IF(C62="","",[1]!hks_info_name(C62))</f>
        <v/>
      </c>
      <c r="E62" s="19" t="str">
        <f ca="1">IF(C62="","",[1]!lastradeday_s(C62,TODAY()))</f>
        <v/>
      </c>
      <c r="F62" s="27" t="str">
        <f>IF(C62="","",[1]!hks_val_ev(C62,基本资料!$I$9,"",100000000))</f>
        <v/>
      </c>
      <c r="G62" s="23" t="str">
        <f>IF(C62="","",[1]!hks_val_ev(C62,基本资料!$I$8,"",100000000))</f>
        <v/>
      </c>
      <c r="H62" s="23" t="str">
        <f>IF(C62="","",[1]!hks_val_ev(C62,E62,"",100000000))</f>
        <v/>
      </c>
      <c r="I62" s="44"/>
      <c r="J62" s="27" t="str">
        <f>IF(C62="","",[1]!hks_val_mv_ard(C62,基本资料!$I$9,"",100000000))</f>
        <v/>
      </c>
      <c r="K62" s="23" t="str">
        <f>IF(C62="","",[1]!hks_val_mv_ard(C62,基本资料!$I$8,"",100000000))</f>
        <v/>
      </c>
      <c r="L62" s="45" t="str">
        <f>IF(C62="","",[1]!hks_val_mv_ard(C62,E62,"",100000000))</f>
        <v/>
      </c>
      <c r="M62" s="44"/>
      <c r="N62" s="47" t="str">
        <f>IF(C62="","",[1]!hks_val_pe(C62,基本资料!$I$9,基本资料!$G$9))</f>
        <v/>
      </c>
      <c r="O62" s="23" t="str">
        <f>IF(C62="","",[1]!hks_val_pe(C62,基本资料!$I$8,基本资料!$G$8))</f>
        <v/>
      </c>
      <c r="P62" s="23" t="str">
        <f>IF(C62="","",[1]!hks_val_pe_ttm(C62,E62))</f>
        <v/>
      </c>
      <c r="Q62" s="23" t="str">
        <f>IF(C62="","",[1]!s_val_estpe(C62,E62,YEAR([1]!s_stm_rpt_e(C62,基本资料!$I$8,0))+1))</f>
        <v/>
      </c>
      <c r="R62" s="48" t="str">
        <f>IF(C62="","",[1]!s_val_estpe(C62,E62,YEAR([1]!s_stm_rpt_e(C62,基本资料!$I$8,0))+2))</f>
        <v/>
      </c>
      <c r="S62" s="47" t="str">
        <f>IF(C62="","",[1]!hks_val_pb(C62,基本资料!$I$9,基本资料!$G$9))</f>
        <v/>
      </c>
      <c r="T62" s="23" t="str">
        <f>IF(C62="","",[1]!hks_val_pb(C62,基本资料!$I$8,基本资料!$G$8))</f>
        <v/>
      </c>
      <c r="U62" s="23" t="str">
        <f>IF(C62="","",[1]!pb_mrq(C62,E62))</f>
        <v/>
      </c>
      <c r="V62" s="23" t="str">
        <f>IF(C62="","",[1]!s_val_estpb(C62,E62,YEAR([1]!s_stm_rpt_e(C62,基本资料!$I$8,0))+1))</f>
        <v/>
      </c>
      <c r="W62" s="48" t="str">
        <f>IF(C62="","",[1]!s_val_estpb(C62,E62,YEAR([1]!s_stm_rpt_e(C62,基本资料!$I$8,0))+2))</f>
        <v/>
      </c>
      <c r="X62" s="47" t="str">
        <f>IF(C62="","",[1]!hks_val_ps(C62,基本资料!$I$9,基本资料!$G$9))</f>
        <v/>
      </c>
      <c r="Y62" s="23" t="str">
        <f>IF(C62="","",[1]!hks_val_ps(C62,基本资料!$I$8,基本资料!$G$8))</f>
        <v/>
      </c>
      <c r="Z62" s="48" t="str">
        <f>IF(C62="","",[1]!hks_val_ps_ttm(C62,E62))</f>
        <v/>
      </c>
      <c r="AA62" s="47" t="str">
        <f>IF(C62="","",[1]!hks_val_pcf(C62,基本资料!$I$9,基本资料!$G$9))</f>
        <v/>
      </c>
      <c r="AB62" s="23" t="str">
        <f>IF(C62="","",[1]!hks_val_pcf(C62,基本资料!$I$8,基本资料!$G$8))</f>
        <v/>
      </c>
      <c r="AC62" s="48" t="str">
        <f>IF(C62="","",[1]!hks_val_pcf_ttm(C62,E62))</f>
        <v/>
      </c>
      <c r="AD62" s="39" t="str">
        <f>IF(C62="","",[1]!s_val_evtoebitda2(C62,E62))</f>
        <v/>
      </c>
      <c r="AE62" s="47" t="str">
        <f>IF(C62="","",[1]!hks_val_ev2(C62,E62,"",1)/[1]!hks_fa_ebit2_ttm(C62,[1]!s_fa_latelyrd_bt(C62,[1]!lastradeday_s(C62,基本资料!$D$7)),"",1))</f>
        <v/>
      </c>
      <c r="AF62" s="35"/>
    </row>
    <row r="63" spans="1:32" s="36" customFormat="1" ht="16.5" x14ac:dyDescent="0.2">
      <c r="A63" s="2"/>
      <c r="B63" s="6"/>
      <c r="C63" s="28" t="str">
        <f>IF(表1[[#This Row],[列1]]="","",表1[[#This Row],[列1]])</f>
        <v/>
      </c>
      <c r="D63" s="19" t="str">
        <f>IF(C63="","",[1]!hks_info_name(C63))</f>
        <v/>
      </c>
      <c r="E63" s="19" t="str">
        <f ca="1">IF(C63="","",[1]!lastradeday_s(C63,TODAY()))</f>
        <v/>
      </c>
      <c r="F63" s="27" t="str">
        <f>IF(C63="","",[1]!hks_val_ev(C63,基本资料!$I$9,"",100000000))</f>
        <v/>
      </c>
      <c r="G63" s="23" t="str">
        <f>IF(C63="","",[1]!hks_val_ev(C63,基本资料!$I$8,"",100000000))</f>
        <v/>
      </c>
      <c r="H63" s="23" t="str">
        <f>IF(C63="","",[1]!hks_val_ev(C63,E63,"",100000000))</f>
        <v/>
      </c>
      <c r="I63" s="44"/>
      <c r="J63" s="27" t="str">
        <f>IF(C63="","",[1]!hks_val_mv_ard(C63,基本资料!$I$9,"",100000000))</f>
        <v/>
      </c>
      <c r="K63" s="23" t="str">
        <f>IF(C63="","",[1]!hks_val_mv_ard(C63,基本资料!$I$8,"",100000000))</f>
        <v/>
      </c>
      <c r="L63" s="45" t="str">
        <f>IF(C63="","",[1]!hks_val_mv_ard(C63,E63,"",100000000))</f>
        <v/>
      </c>
      <c r="M63" s="44"/>
      <c r="N63" s="47" t="str">
        <f>IF(C63="","",[1]!hks_val_pe(C63,基本资料!$I$9,基本资料!$G$9))</f>
        <v/>
      </c>
      <c r="O63" s="23" t="str">
        <f>IF(C63="","",[1]!hks_val_pe(C63,基本资料!$I$8,基本资料!$G$8))</f>
        <v/>
      </c>
      <c r="P63" s="23" t="str">
        <f>IF(C63="","",[1]!hks_val_pe_ttm(C63,E63))</f>
        <v/>
      </c>
      <c r="Q63" s="23" t="str">
        <f>IF(C63="","",[1]!s_val_estpe(C63,E63,YEAR([1]!s_stm_rpt_e(C63,基本资料!$I$8,0))+1))</f>
        <v/>
      </c>
      <c r="R63" s="48" t="str">
        <f>IF(C63="","",[1]!s_val_estpe(C63,E63,YEAR([1]!s_stm_rpt_e(C63,基本资料!$I$8,0))+2))</f>
        <v/>
      </c>
      <c r="S63" s="47" t="str">
        <f>IF(C63="","",[1]!hks_val_pb(C63,基本资料!$I$9,基本资料!$G$9))</f>
        <v/>
      </c>
      <c r="T63" s="23" t="str">
        <f>IF(C63="","",[1]!hks_val_pb(C63,基本资料!$I$8,基本资料!$G$8))</f>
        <v/>
      </c>
      <c r="U63" s="23" t="str">
        <f>IF(C63="","",[1]!pb_mrq(C63,E63))</f>
        <v/>
      </c>
      <c r="V63" s="23" t="str">
        <f>IF(C63="","",[1]!s_val_estpb(C63,E63,YEAR([1]!s_stm_rpt_e(C63,基本资料!$I$8,0))+1))</f>
        <v/>
      </c>
      <c r="W63" s="48" t="str">
        <f>IF(C63="","",[1]!s_val_estpb(C63,E63,YEAR([1]!s_stm_rpt_e(C63,基本资料!$I$8,0))+2))</f>
        <v/>
      </c>
      <c r="X63" s="47" t="str">
        <f>IF(C63="","",[1]!hks_val_ps(C63,基本资料!$I$9,基本资料!$G$9))</f>
        <v/>
      </c>
      <c r="Y63" s="23" t="str">
        <f>IF(C63="","",[1]!hks_val_ps(C63,基本资料!$I$8,基本资料!$G$8))</f>
        <v/>
      </c>
      <c r="Z63" s="48" t="str">
        <f>IF(C63="","",[1]!hks_val_ps_ttm(C63,E63))</f>
        <v/>
      </c>
      <c r="AA63" s="47" t="str">
        <f>IF(C63="","",[1]!hks_val_pcf(C63,基本资料!$I$9,基本资料!$G$9))</f>
        <v/>
      </c>
      <c r="AB63" s="23" t="str">
        <f>IF(C63="","",[1]!hks_val_pcf(C63,基本资料!$I$8,基本资料!$G$8))</f>
        <v/>
      </c>
      <c r="AC63" s="48" t="str">
        <f>IF(C63="","",[1]!hks_val_pcf_ttm(C63,E63))</f>
        <v/>
      </c>
      <c r="AD63" s="39" t="str">
        <f>IF(C63="","",[1]!s_val_evtoebitda2(C63,E63))</f>
        <v/>
      </c>
      <c r="AE63" s="47" t="str">
        <f>IF(C63="","",[1]!hks_val_ev2(C63,E63,"",1)/[1]!hks_fa_ebit2_ttm(C63,[1]!s_fa_latelyrd_bt(C63,[1]!lastradeday_s(C63,基本资料!$D$7)),"",1))</f>
        <v/>
      </c>
      <c r="AF63" s="35"/>
    </row>
    <row r="64" spans="1:32" s="36" customFormat="1" ht="16.5" x14ac:dyDescent="0.2">
      <c r="A64" s="2"/>
      <c r="B64" s="6"/>
      <c r="C64" s="28" t="str">
        <f>IF(表1[[#This Row],[列1]]="","",表1[[#This Row],[列1]])</f>
        <v/>
      </c>
      <c r="D64" s="19" t="str">
        <f>IF(C64="","",[1]!hks_info_name(C64))</f>
        <v/>
      </c>
      <c r="E64" s="19" t="str">
        <f ca="1">IF(C64="","",[1]!lastradeday_s(C64,TODAY()))</f>
        <v/>
      </c>
      <c r="F64" s="27" t="str">
        <f>IF(C64="","",[1]!hks_val_ev(C64,基本资料!$I$9,"",100000000))</f>
        <v/>
      </c>
      <c r="G64" s="23" t="str">
        <f>IF(C64="","",[1]!hks_val_ev(C64,基本资料!$I$8,"",100000000))</f>
        <v/>
      </c>
      <c r="H64" s="23" t="str">
        <f>IF(C64="","",[1]!hks_val_ev(C64,E64,"",100000000))</f>
        <v/>
      </c>
      <c r="I64" s="44"/>
      <c r="J64" s="27" t="str">
        <f>IF(C64="","",[1]!hks_val_mv_ard(C64,基本资料!$I$9,"",100000000))</f>
        <v/>
      </c>
      <c r="K64" s="23" t="str">
        <f>IF(C64="","",[1]!hks_val_mv_ard(C64,基本资料!$I$8,"",100000000))</f>
        <v/>
      </c>
      <c r="L64" s="45" t="str">
        <f>IF(C64="","",[1]!hks_val_mv_ard(C64,E64,"",100000000))</f>
        <v/>
      </c>
      <c r="M64" s="44"/>
      <c r="N64" s="47" t="str">
        <f>IF(C64="","",[1]!hks_val_pe(C64,基本资料!$I$9,基本资料!$G$9))</f>
        <v/>
      </c>
      <c r="O64" s="23" t="str">
        <f>IF(C64="","",[1]!hks_val_pe(C64,基本资料!$I$8,基本资料!$G$8))</f>
        <v/>
      </c>
      <c r="P64" s="23" t="str">
        <f>IF(C64="","",[1]!hks_val_pe_ttm(C64,E64))</f>
        <v/>
      </c>
      <c r="Q64" s="23" t="str">
        <f>IF(C64="","",[1]!s_val_estpe(C64,E64,YEAR([1]!s_stm_rpt_e(C64,基本资料!$I$8,0))+1))</f>
        <v/>
      </c>
      <c r="R64" s="48" t="str">
        <f>IF(C64="","",[1]!s_val_estpe(C64,E64,YEAR([1]!s_stm_rpt_e(C64,基本资料!$I$8,0))+2))</f>
        <v/>
      </c>
      <c r="S64" s="47" t="str">
        <f>IF(C64="","",[1]!hks_val_pb(C64,基本资料!$I$9,基本资料!$G$9))</f>
        <v/>
      </c>
      <c r="T64" s="23" t="str">
        <f>IF(C64="","",[1]!hks_val_pb(C64,基本资料!$I$8,基本资料!$G$8))</f>
        <v/>
      </c>
      <c r="U64" s="23" t="str">
        <f>IF(C64="","",[1]!pb_mrq(C64,E64))</f>
        <v/>
      </c>
      <c r="V64" s="23" t="str">
        <f>IF(C64="","",[1]!s_val_estpb(C64,E64,YEAR([1]!s_stm_rpt_e(C64,基本资料!$I$8,0))+1))</f>
        <v/>
      </c>
      <c r="W64" s="48" t="str">
        <f>IF(C64="","",[1]!s_val_estpb(C64,E64,YEAR([1]!s_stm_rpt_e(C64,基本资料!$I$8,0))+2))</f>
        <v/>
      </c>
      <c r="X64" s="47" t="str">
        <f>IF(C64="","",[1]!hks_val_ps(C64,基本资料!$I$9,基本资料!$G$9))</f>
        <v/>
      </c>
      <c r="Y64" s="23" t="str">
        <f>IF(C64="","",[1]!hks_val_ps(C64,基本资料!$I$8,基本资料!$G$8))</f>
        <v/>
      </c>
      <c r="Z64" s="48" t="str">
        <f>IF(C64="","",[1]!hks_val_ps_ttm(C64,E64))</f>
        <v/>
      </c>
      <c r="AA64" s="47" t="str">
        <f>IF(C64="","",[1]!hks_val_pcf(C64,基本资料!$I$9,基本资料!$G$9))</f>
        <v/>
      </c>
      <c r="AB64" s="23" t="str">
        <f>IF(C64="","",[1]!hks_val_pcf(C64,基本资料!$I$8,基本资料!$G$8))</f>
        <v/>
      </c>
      <c r="AC64" s="48" t="str">
        <f>IF(C64="","",[1]!hks_val_pcf_ttm(C64,E64))</f>
        <v/>
      </c>
      <c r="AD64" s="39" t="str">
        <f>IF(C64="","",[1]!s_val_evtoebitda2(C64,E64))</f>
        <v/>
      </c>
      <c r="AE64" s="47" t="str">
        <f>IF(C64="","",[1]!hks_val_ev2(C64,E64,"",1)/[1]!hks_fa_ebit2_ttm(C64,[1]!s_fa_latelyrd_bt(C64,[1]!lastradeday_s(C64,基本资料!$D$7)),"",1))</f>
        <v/>
      </c>
      <c r="AF64" s="35"/>
    </row>
    <row r="65" spans="1:32" s="36" customFormat="1" ht="16.5" x14ac:dyDescent="0.2">
      <c r="A65" s="2"/>
      <c r="B65" s="6"/>
      <c r="C65" s="28" t="str">
        <f>IF(表1[[#This Row],[列1]]="","",表1[[#This Row],[列1]])</f>
        <v/>
      </c>
      <c r="D65" s="19" t="str">
        <f>IF(C65="","",[1]!hks_info_name(C65))</f>
        <v/>
      </c>
      <c r="E65" s="19" t="str">
        <f ca="1">IF(C65="","",[1]!lastradeday_s(C65,TODAY()))</f>
        <v/>
      </c>
      <c r="F65" s="27" t="str">
        <f>IF(C65="","",[1]!hks_val_ev(C65,基本资料!$I$9,"",100000000))</f>
        <v/>
      </c>
      <c r="G65" s="23" t="str">
        <f>IF(C65="","",[1]!hks_val_ev(C65,基本资料!$I$8,"",100000000))</f>
        <v/>
      </c>
      <c r="H65" s="23" t="str">
        <f>IF(C65="","",[1]!hks_val_ev(C65,E65,"",100000000))</f>
        <v/>
      </c>
      <c r="I65" s="44"/>
      <c r="J65" s="27" t="str">
        <f>IF(C65="","",[1]!hks_val_mv_ard(C65,基本资料!$I$9,"",100000000))</f>
        <v/>
      </c>
      <c r="K65" s="23" t="str">
        <f>IF(C65="","",[1]!hks_val_mv_ard(C65,基本资料!$I$8,"",100000000))</f>
        <v/>
      </c>
      <c r="L65" s="45" t="str">
        <f>IF(C65="","",[1]!hks_val_mv_ard(C65,E65,"",100000000))</f>
        <v/>
      </c>
      <c r="M65" s="44"/>
      <c r="N65" s="47" t="str">
        <f>IF(C65="","",[1]!hks_val_pe(C65,基本资料!$I$9,基本资料!$G$9))</f>
        <v/>
      </c>
      <c r="O65" s="23" t="str">
        <f>IF(C65="","",[1]!hks_val_pe(C65,基本资料!$I$8,基本资料!$G$8))</f>
        <v/>
      </c>
      <c r="P65" s="23" t="str">
        <f>IF(C65="","",[1]!hks_val_pe_ttm(C65,E65))</f>
        <v/>
      </c>
      <c r="Q65" s="23" t="str">
        <f>IF(C65="","",[1]!s_val_estpe(C65,E65,YEAR([1]!s_stm_rpt_e(C65,基本资料!$I$8,0))+1))</f>
        <v/>
      </c>
      <c r="R65" s="48" t="str">
        <f>IF(C65="","",[1]!s_val_estpe(C65,E65,YEAR([1]!s_stm_rpt_e(C65,基本资料!$I$8,0))+2))</f>
        <v/>
      </c>
      <c r="S65" s="47" t="str">
        <f>IF(C65="","",[1]!hks_val_pb(C65,基本资料!$I$9,基本资料!$G$9))</f>
        <v/>
      </c>
      <c r="T65" s="23" t="str">
        <f>IF(C65="","",[1]!hks_val_pb(C65,基本资料!$I$8,基本资料!$G$8))</f>
        <v/>
      </c>
      <c r="U65" s="23" t="str">
        <f>IF(C65="","",[1]!pb_mrq(C65,E65))</f>
        <v/>
      </c>
      <c r="V65" s="23" t="str">
        <f>IF(C65="","",[1]!s_val_estpb(C65,E65,YEAR([1]!s_stm_rpt_e(C65,基本资料!$I$8,0))+1))</f>
        <v/>
      </c>
      <c r="W65" s="48" t="str">
        <f>IF(C65="","",[1]!s_val_estpb(C65,E65,YEAR([1]!s_stm_rpt_e(C65,基本资料!$I$8,0))+2))</f>
        <v/>
      </c>
      <c r="X65" s="47" t="str">
        <f>IF(C65="","",[1]!hks_val_ps(C65,基本资料!$I$9,基本资料!$G$9))</f>
        <v/>
      </c>
      <c r="Y65" s="23" t="str">
        <f>IF(C65="","",[1]!hks_val_ps(C65,基本资料!$I$8,基本资料!$G$8))</f>
        <v/>
      </c>
      <c r="Z65" s="48" t="str">
        <f>IF(C65="","",[1]!hks_val_ps_ttm(C65,E65))</f>
        <v/>
      </c>
      <c r="AA65" s="47" t="str">
        <f>IF(C65="","",[1]!hks_val_pcf(C65,基本资料!$I$9,基本资料!$G$9))</f>
        <v/>
      </c>
      <c r="AB65" s="23" t="str">
        <f>IF(C65="","",[1]!hks_val_pcf(C65,基本资料!$I$8,基本资料!$G$8))</f>
        <v/>
      </c>
      <c r="AC65" s="48" t="str">
        <f>IF(C65="","",[1]!hks_val_pcf_ttm(C65,E65))</f>
        <v/>
      </c>
      <c r="AD65" s="39" t="str">
        <f>IF(C65="","",[1]!s_val_evtoebitda2(C65,E65))</f>
        <v/>
      </c>
      <c r="AE65" s="47" t="str">
        <f>IF(C65="","",[1]!hks_val_ev2(C65,E65,"",1)/[1]!hks_fa_ebit2_ttm(C65,[1]!s_fa_latelyrd_bt(C65,[1]!lastradeday_s(C65,基本资料!$D$7)),"",1))</f>
        <v/>
      </c>
      <c r="AF65" s="35"/>
    </row>
    <row r="66" spans="1:32" s="36" customFormat="1" ht="16.5" x14ac:dyDescent="0.2">
      <c r="A66" s="2"/>
      <c r="B66" s="6"/>
      <c r="C66" s="28" t="str">
        <f>IF(表1[[#This Row],[列1]]="","",表1[[#This Row],[列1]])</f>
        <v/>
      </c>
      <c r="D66" s="19" t="str">
        <f>IF(C66="","",[1]!hks_info_name(C66))</f>
        <v/>
      </c>
      <c r="E66" s="19" t="str">
        <f ca="1">IF(C66="","",[1]!lastradeday_s(C66,TODAY()))</f>
        <v/>
      </c>
      <c r="F66" s="27" t="str">
        <f>IF(C66="","",[1]!hks_val_ev(C66,基本资料!$I$9,"",100000000))</f>
        <v/>
      </c>
      <c r="G66" s="23" t="str">
        <f>IF(C66="","",[1]!hks_val_ev(C66,基本资料!$I$8,"",100000000))</f>
        <v/>
      </c>
      <c r="H66" s="23" t="str">
        <f>IF(C66="","",[1]!hks_val_ev(C66,E66,"",100000000))</f>
        <v/>
      </c>
      <c r="I66" s="44"/>
      <c r="J66" s="27" t="str">
        <f>IF(C66="","",[1]!hks_val_mv_ard(C66,基本资料!$I$9,"",100000000))</f>
        <v/>
      </c>
      <c r="K66" s="23" t="str">
        <f>IF(C66="","",[1]!hks_val_mv_ard(C66,基本资料!$I$8,"",100000000))</f>
        <v/>
      </c>
      <c r="L66" s="45" t="str">
        <f>IF(C66="","",[1]!hks_val_mv_ard(C66,E66,"",100000000))</f>
        <v/>
      </c>
      <c r="M66" s="44"/>
      <c r="N66" s="47" t="str">
        <f>IF(C66="","",[1]!hks_val_pe(C66,基本资料!$I$9,基本资料!$G$9))</f>
        <v/>
      </c>
      <c r="O66" s="23" t="str">
        <f>IF(C66="","",[1]!hks_val_pe(C66,基本资料!$I$8,基本资料!$G$8))</f>
        <v/>
      </c>
      <c r="P66" s="23" t="str">
        <f>IF(C66="","",[1]!hks_val_pe_ttm(C66,E66))</f>
        <v/>
      </c>
      <c r="Q66" s="23" t="str">
        <f>IF(C66="","",[1]!s_val_estpe(C66,E66,YEAR([1]!s_stm_rpt_e(C66,基本资料!$I$8,0))+1))</f>
        <v/>
      </c>
      <c r="R66" s="48" t="str">
        <f>IF(C66="","",[1]!s_val_estpe(C66,E66,YEAR([1]!s_stm_rpt_e(C66,基本资料!$I$8,0))+2))</f>
        <v/>
      </c>
      <c r="S66" s="47" t="str">
        <f>IF(C66="","",[1]!hks_val_pb(C66,基本资料!$I$9,基本资料!$G$9))</f>
        <v/>
      </c>
      <c r="T66" s="23" t="str">
        <f>IF(C66="","",[1]!hks_val_pb(C66,基本资料!$I$8,基本资料!$G$8))</f>
        <v/>
      </c>
      <c r="U66" s="23" t="str">
        <f>IF(C66="","",[1]!pb_mrq(C66,E66))</f>
        <v/>
      </c>
      <c r="V66" s="23" t="str">
        <f>IF(C66="","",[1]!s_val_estpb(C66,E66,YEAR([1]!s_stm_rpt_e(C66,基本资料!$I$8,0))+1))</f>
        <v/>
      </c>
      <c r="W66" s="48" t="str">
        <f>IF(C66="","",[1]!s_val_estpb(C66,E66,YEAR([1]!s_stm_rpt_e(C66,基本资料!$I$8,0))+2))</f>
        <v/>
      </c>
      <c r="X66" s="47" t="str">
        <f>IF(C66="","",[1]!hks_val_ps(C66,基本资料!$I$9,基本资料!$G$9))</f>
        <v/>
      </c>
      <c r="Y66" s="23" t="str">
        <f>IF(C66="","",[1]!hks_val_ps(C66,基本资料!$I$8,基本资料!$G$8))</f>
        <v/>
      </c>
      <c r="Z66" s="48" t="str">
        <f>IF(C66="","",[1]!hks_val_ps_ttm(C66,E66))</f>
        <v/>
      </c>
      <c r="AA66" s="47" t="str">
        <f>IF(C66="","",[1]!hks_val_pcf(C66,基本资料!$I$9,基本资料!$G$9))</f>
        <v/>
      </c>
      <c r="AB66" s="23" t="str">
        <f>IF(C66="","",[1]!hks_val_pcf(C66,基本资料!$I$8,基本资料!$G$8))</f>
        <v/>
      </c>
      <c r="AC66" s="48" t="str">
        <f>IF(C66="","",[1]!hks_val_pcf_ttm(C66,E66))</f>
        <v/>
      </c>
      <c r="AD66" s="39" t="str">
        <f>IF(C66="","",[1]!s_val_evtoebitda2(C66,E66))</f>
        <v/>
      </c>
      <c r="AE66" s="47" t="str">
        <f>IF(C66="","",[1]!hks_val_ev2(C66,E66,"",1)/[1]!hks_fa_ebit2_ttm(C66,[1]!s_fa_latelyrd_bt(C66,[1]!lastradeday_s(C66,基本资料!$D$7)),"",1))</f>
        <v/>
      </c>
      <c r="AF66" s="35"/>
    </row>
    <row r="67" spans="1:32" s="36" customFormat="1" ht="16.5" x14ac:dyDescent="0.2">
      <c r="A67" s="2"/>
      <c r="B67" s="6"/>
      <c r="C67" s="28" t="str">
        <f>IF(表1[[#This Row],[列1]]="","",表1[[#This Row],[列1]])</f>
        <v/>
      </c>
      <c r="D67" s="19" t="str">
        <f>IF(C67="","",[1]!hks_info_name(C67))</f>
        <v/>
      </c>
      <c r="E67" s="19" t="str">
        <f ca="1">IF(C67="","",[1]!lastradeday_s(C67,TODAY()))</f>
        <v/>
      </c>
      <c r="F67" s="27" t="str">
        <f>IF(C67="","",[1]!hks_val_ev(C67,基本资料!$I$9,"",100000000))</f>
        <v/>
      </c>
      <c r="G67" s="23" t="str">
        <f>IF(C67="","",[1]!hks_val_ev(C67,基本资料!$I$8,"",100000000))</f>
        <v/>
      </c>
      <c r="H67" s="23" t="str">
        <f>IF(C67="","",[1]!hks_val_ev(C67,E67,"",100000000))</f>
        <v/>
      </c>
      <c r="I67" s="44"/>
      <c r="J67" s="27" t="str">
        <f>IF(C67="","",[1]!hks_val_mv_ard(C67,基本资料!$I$9,"",100000000))</f>
        <v/>
      </c>
      <c r="K67" s="23" t="str">
        <f>IF(C67="","",[1]!hks_val_mv_ard(C67,基本资料!$I$8,"",100000000))</f>
        <v/>
      </c>
      <c r="L67" s="45" t="str">
        <f>IF(C67="","",[1]!hks_val_mv_ard(C67,E67,"",100000000))</f>
        <v/>
      </c>
      <c r="M67" s="44"/>
      <c r="N67" s="47" t="str">
        <f>IF(C67="","",[1]!hks_val_pe(C67,基本资料!$I$9,基本资料!$G$9))</f>
        <v/>
      </c>
      <c r="O67" s="23" t="str">
        <f>IF(C67="","",[1]!hks_val_pe(C67,基本资料!$I$8,基本资料!$G$8))</f>
        <v/>
      </c>
      <c r="P67" s="23" t="str">
        <f>IF(C67="","",[1]!hks_val_pe_ttm(C67,E67))</f>
        <v/>
      </c>
      <c r="Q67" s="23" t="str">
        <f>IF(C67="","",[1]!s_val_estpe(C67,E67,YEAR([1]!s_stm_rpt_e(C67,基本资料!$I$8,0))+1))</f>
        <v/>
      </c>
      <c r="R67" s="48" t="str">
        <f>IF(C67="","",[1]!s_val_estpe(C67,E67,YEAR([1]!s_stm_rpt_e(C67,基本资料!$I$8,0))+2))</f>
        <v/>
      </c>
      <c r="S67" s="47" t="str">
        <f>IF(C67="","",[1]!hks_val_pb(C67,基本资料!$I$9,基本资料!$G$9))</f>
        <v/>
      </c>
      <c r="T67" s="23" t="str">
        <f>IF(C67="","",[1]!hks_val_pb(C67,基本资料!$I$8,基本资料!$G$8))</f>
        <v/>
      </c>
      <c r="U67" s="23" t="str">
        <f>IF(C67="","",[1]!pb_mrq(C67,E67))</f>
        <v/>
      </c>
      <c r="V67" s="23" t="str">
        <f>IF(C67="","",[1]!s_val_estpb(C67,E67,YEAR([1]!s_stm_rpt_e(C67,基本资料!$I$8,0))+1))</f>
        <v/>
      </c>
      <c r="W67" s="48" t="str">
        <f>IF(C67="","",[1]!s_val_estpb(C67,E67,YEAR([1]!s_stm_rpt_e(C67,基本资料!$I$8,0))+2))</f>
        <v/>
      </c>
      <c r="X67" s="47" t="str">
        <f>IF(C67="","",[1]!hks_val_ps(C67,基本资料!$I$9,基本资料!$G$9))</f>
        <v/>
      </c>
      <c r="Y67" s="23" t="str">
        <f>IF(C67="","",[1]!hks_val_ps(C67,基本资料!$I$8,基本资料!$G$8))</f>
        <v/>
      </c>
      <c r="Z67" s="48" t="str">
        <f>IF(C67="","",[1]!hks_val_ps_ttm(C67,E67))</f>
        <v/>
      </c>
      <c r="AA67" s="47" t="str">
        <f>IF(C67="","",[1]!hks_val_pcf(C67,基本资料!$I$9,基本资料!$G$9))</f>
        <v/>
      </c>
      <c r="AB67" s="23" t="str">
        <f>IF(C67="","",[1]!hks_val_pcf(C67,基本资料!$I$8,基本资料!$G$8))</f>
        <v/>
      </c>
      <c r="AC67" s="48" t="str">
        <f>IF(C67="","",[1]!hks_val_pcf_ttm(C67,E67))</f>
        <v/>
      </c>
      <c r="AD67" s="39" t="str">
        <f>IF(C67="","",[1]!s_val_evtoebitda2(C67,E67))</f>
        <v/>
      </c>
      <c r="AE67" s="47" t="str">
        <f>IF(C67="","",[1]!hks_val_ev2(C67,E67,"",1)/[1]!hks_fa_ebit2_ttm(C67,[1]!s_fa_latelyrd_bt(C67,[1]!lastradeday_s(C67,基本资料!$D$7)),"",1))</f>
        <v/>
      </c>
      <c r="AF67" s="35"/>
    </row>
    <row r="68" spans="1:32" s="36" customFormat="1" ht="16.5" x14ac:dyDescent="0.2">
      <c r="A68" s="2"/>
      <c r="B68" s="6"/>
      <c r="C68" s="28" t="str">
        <f>IF(表1[[#This Row],[列1]]="","",表1[[#This Row],[列1]])</f>
        <v/>
      </c>
      <c r="D68" s="19" t="str">
        <f>IF(C68="","",[1]!hks_info_name(C68))</f>
        <v/>
      </c>
      <c r="E68" s="19" t="str">
        <f ca="1">IF(C68="","",[1]!lastradeday_s(C68,TODAY()))</f>
        <v/>
      </c>
      <c r="F68" s="27" t="str">
        <f>IF(C68="","",[1]!hks_val_ev(C68,基本资料!$I$9,"",100000000))</f>
        <v/>
      </c>
      <c r="G68" s="23" t="str">
        <f>IF(C68="","",[1]!hks_val_ev(C68,基本资料!$I$8,"",100000000))</f>
        <v/>
      </c>
      <c r="H68" s="23" t="str">
        <f>IF(C68="","",[1]!hks_val_ev(C68,E68,"",100000000))</f>
        <v/>
      </c>
      <c r="I68" s="44"/>
      <c r="J68" s="27" t="str">
        <f>IF(C68="","",[1]!hks_val_mv_ard(C68,基本资料!$I$9,"",100000000))</f>
        <v/>
      </c>
      <c r="K68" s="23" t="str">
        <f>IF(C68="","",[1]!hks_val_mv_ard(C68,基本资料!$I$8,"",100000000))</f>
        <v/>
      </c>
      <c r="L68" s="45" t="str">
        <f>IF(C68="","",[1]!hks_val_mv_ard(C68,E68,"",100000000))</f>
        <v/>
      </c>
      <c r="M68" s="44"/>
      <c r="N68" s="47" t="str">
        <f>IF(C68="","",[1]!hks_val_pe(C68,基本资料!$I$9,基本资料!$G$9))</f>
        <v/>
      </c>
      <c r="O68" s="23" t="str">
        <f>IF(C68="","",[1]!hks_val_pe(C68,基本资料!$I$8,基本资料!$G$8))</f>
        <v/>
      </c>
      <c r="P68" s="23" t="str">
        <f>IF(C68="","",[1]!hks_val_pe_ttm(C68,E68))</f>
        <v/>
      </c>
      <c r="Q68" s="23" t="str">
        <f>IF(C68="","",[1]!s_val_estpe(C68,E68,YEAR([1]!s_stm_rpt_e(C68,基本资料!$I$8,0))+1))</f>
        <v/>
      </c>
      <c r="R68" s="48" t="str">
        <f>IF(C68="","",[1]!s_val_estpe(C68,E68,YEAR([1]!s_stm_rpt_e(C68,基本资料!$I$8,0))+2))</f>
        <v/>
      </c>
      <c r="S68" s="47" t="str">
        <f>IF(C68="","",[1]!hks_val_pb(C68,基本资料!$I$9,基本资料!$G$9))</f>
        <v/>
      </c>
      <c r="T68" s="23" t="str">
        <f>IF(C68="","",[1]!hks_val_pb(C68,基本资料!$I$8,基本资料!$G$8))</f>
        <v/>
      </c>
      <c r="U68" s="23" t="str">
        <f>IF(C68="","",[1]!pb_mrq(C68,E68))</f>
        <v/>
      </c>
      <c r="V68" s="23" t="str">
        <f>IF(C68="","",[1]!s_val_estpb(C68,E68,YEAR([1]!s_stm_rpt_e(C68,基本资料!$I$8,0))+1))</f>
        <v/>
      </c>
      <c r="W68" s="48" t="str">
        <f>IF(C68="","",[1]!s_val_estpb(C68,E68,YEAR([1]!s_stm_rpt_e(C68,基本资料!$I$8,0))+2))</f>
        <v/>
      </c>
      <c r="X68" s="47" t="str">
        <f>IF(C68="","",[1]!hks_val_ps(C68,基本资料!$I$9,基本资料!$G$9))</f>
        <v/>
      </c>
      <c r="Y68" s="23" t="str">
        <f>IF(C68="","",[1]!hks_val_ps(C68,基本资料!$I$8,基本资料!$G$8))</f>
        <v/>
      </c>
      <c r="Z68" s="48" t="str">
        <f>IF(C68="","",[1]!hks_val_ps_ttm(C68,E68))</f>
        <v/>
      </c>
      <c r="AA68" s="47" t="str">
        <f>IF(C68="","",[1]!hks_val_pcf(C68,基本资料!$I$9,基本资料!$G$9))</f>
        <v/>
      </c>
      <c r="AB68" s="23" t="str">
        <f>IF(C68="","",[1]!hks_val_pcf(C68,基本资料!$I$8,基本资料!$G$8))</f>
        <v/>
      </c>
      <c r="AC68" s="48" t="str">
        <f>IF(C68="","",[1]!hks_val_pcf_ttm(C68,E68))</f>
        <v/>
      </c>
      <c r="AD68" s="39" t="str">
        <f>IF(C68="","",[1]!s_val_evtoebitda2(C68,E68))</f>
        <v/>
      </c>
      <c r="AE68" s="47" t="str">
        <f>IF(C68="","",[1]!hks_val_ev2(C68,E68,"",1)/[1]!hks_fa_ebit2_ttm(C68,[1]!s_fa_latelyrd_bt(C68,[1]!lastradeday_s(C68,基本资料!$D$7)),"",1))</f>
        <v/>
      </c>
      <c r="AF68" s="35"/>
    </row>
    <row r="69" spans="1:32" s="36" customFormat="1" ht="16.5" x14ac:dyDescent="0.2">
      <c r="A69" s="2"/>
      <c r="B69" s="6"/>
      <c r="C69" s="28" t="str">
        <f>IF(表1[[#This Row],[列1]]="","",表1[[#This Row],[列1]])</f>
        <v/>
      </c>
      <c r="D69" s="19" t="str">
        <f>IF(C69="","",[1]!hks_info_name(C69))</f>
        <v/>
      </c>
      <c r="E69" s="19" t="str">
        <f ca="1">IF(C69="","",[1]!lastradeday_s(C69,TODAY()))</f>
        <v/>
      </c>
      <c r="F69" s="27" t="str">
        <f>IF(C69="","",[1]!hks_val_ev(C69,基本资料!$I$9,"",100000000))</f>
        <v/>
      </c>
      <c r="G69" s="23" t="str">
        <f>IF(C69="","",[1]!hks_val_ev(C69,基本资料!$I$8,"",100000000))</f>
        <v/>
      </c>
      <c r="H69" s="23" t="str">
        <f>IF(C69="","",[1]!hks_val_ev(C69,E69,"",100000000))</f>
        <v/>
      </c>
      <c r="I69" s="44"/>
      <c r="J69" s="27" t="str">
        <f>IF(C69="","",[1]!hks_val_mv_ard(C69,基本资料!$I$9,"",100000000))</f>
        <v/>
      </c>
      <c r="K69" s="23" t="str">
        <f>IF(C69="","",[1]!hks_val_mv_ard(C69,基本资料!$I$8,"",100000000))</f>
        <v/>
      </c>
      <c r="L69" s="45" t="str">
        <f>IF(C69="","",[1]!hks_val_mv_ard(C69,E69,"",100000000))</f>
        <v/>
      </c>
      <c r="M69" s="44"/>
      <c r="N69" s="47" t="str">
        <f>IF(C69="","",[1]!hks_val_pe(C69,基本资料!$I$9,基本资料!$G$9))</f>
        <v/>
      </c>
      <c r="O69" s="23" t="str">
        <f>IF(C69="","",[1]!hks_val_pe(C69,基本资料!$I$8,基本资料!$G$8))</f>
        <v/>
      </c>
      <c r="P69" s="23" t="str">
        <f>IF(C69="","",[1]!hks_val_pe_ttm(C69,E69))</f>
        <v/>
      </c>
      <c r="Q69" s="23" t="str">
        <f>IF(C69="","",[1]!s_val_estpe(C69,E69,YEAR([1]!s_stm_rpt_e(C69,基本资料!$I$8,0))+1))</f>
        <v/>
      </c>
      <c r="R69" s="48" t="str">
        <f>IF(C69="","",[1]!s_val_estpe(C69,E69,YEAR([1]!s_stm_rpt_e(C69,基本资料!$I$8,0))+2))</f>
        <v/>
      </c>
      <c r="S69" s="47" t="str">
        <f>IF(C69="","",[1]!hks_val_pb(C69,基本资料!$I$9,基本资料!$G$9))</f>
        <v/>
      </c>
      <c r="T69" s="23" t="str">
        <f>IF(C69="","",[1]!hks_val_pb(C69,基本资料!$I$8,基本资料!$G$8))</f>
        <v/>
      </c>
      <c r="U69" s="23" t="str">
        <f>IF(C69="","",[1]!pb_mrq(C69,E69))</f>
        <v/>
      </c>
      <c r="V69" s="23" t="str">
        <f>IF(C69="","",[1]!s_val_estpb(C69,E69,YEAR([1]!s_stm_rpt_e(C69,基本资料!$I$8,0))+1))</f>
        <v/>
      </c>
      <c r="W69" s="48" t="str">
        <f>IF(C69="","",[1]!s_val_estpb(C69,E69,YEAR([1]!s_stm_rpt_e(C69,基本资料!$I$8,0))+2))</f>
        <v/>
      </c>
      <c r="X69" s="47" t="str">
        <f>IF(C69="","",[1]!hks_val_ps(C69,基本资料!$I$9,基本资料!$G$9))</f>
        <v/>
      </c>
      <c r="Y69" s="23" t="str">
        <f>IF(C69="","",[1]!hks_val_ps(C69,基本资料!$I$8,基本资料!$G$8))</f>
        <v/>
      </c>
      <c r="Z69" s="48" t="str">
        <f>IF(C69="","",[1]!hks_val_ps_ttm(C69,E69))</f>
        <v/>
      </c>
      <c r="AA69" s="47" t="str">
        <f>IF(C69="","",[1]!hks_val_pcf(C69,基本资料!$I$9,基本资料!$G$9))</f>
        <v/>
      </c>
      <c r="AB69" s="23" t="str">
        <f>IF(C69="","",[1]!hks_val_pcf(C69,基本资料!$I$8,基本资料!$G$8))</f>
        <v/>
      </c>
      <c r="AC69" s="48" t="str">
        <f>IF(C69="","",[1]!hks_val_pcf_ttm(C69,E69))</f>
        <v/>
      </c>
      <c r="AD69" s="39" t="str">
        <f>IF(C69="","",[1]!s_val_evtoebitda2(C69,E69))</f>
        <v/>
      </c>
      <c r="AE69" s="47" t="str">
        <f>IF(C69="","",[1]!hks_val_ev2(C69,E69,"",1)/[1]!hks_fa_ebit2_ttm(C69,[1]!s_fa_latelyrd_bt(C69,[1]!lastradeday_s(C69,基本资料!$D$7)),"",1))</f>
        <v/>
      </c>
      <c r="AF69" s="35"/>
    </row>
    <row r="70" spans="1:32" s="36" customFormat="1" ht="16.5" x14ac:dyDescent="0.2">
      <c r="A70" s="2"/>
      <c r="B70" s="6"/>
      <c r="C70" s="28" t="str">
        <f>IF(表1[[#This Row],[列1]]="","",表1[[#This Row],[列1]])</f>
        <v/>
      </c>
      <c r="D70" s="19" t="str">
        <f>IF(C70="","",[1]!hks_info_name(C70))</f>
        <v/>
      </c>
      <c r="E70" s="19" t="str">
        <f ca="1">IF(C70="","",[1]!lastradeday_s(C70,TODAY()))</f>
        <v/>
      </c>
      <c r="F70" s="27" t="str">
        <f>IF(C70="","",[1]!hks_val_ev(C70,基本资料!$I$9,"",100000000))</f>
        <v/>
      </c>
      <c r="G70" s="23" t="str">
        <f>IF(C70="","",[1]!hks_val_ev(C70,基本资料!$I$8,"",100000000))</f>
        <v/>
      </c>
      <c r="H70" s="23" t="str">
        <f>IF(C70="","",[1]!hks_val_ev(C70,E70,"",100000000))</f>
        <v/>
      </c>
      <c r="I70" s="44"/>
      <c r="J70" s="27" t="str">
        <f>IF(C70="","",[1]!hks_val_mv_ard(C70,基本资料!$I$9,"",100000000))</f>
        <v/>
      </c>
      <c r="K70" s="23" t="str">
        <f>IF(C70="","",[1]!hks_val_mv_ard(C70,基本资料!$I$8,"",100000000))</f>
        <v/>
      </c>
      <c r="L70" s="45" t="str">
        <f>IF(C70="","",[1]!hks_val_mv_ard(C70,E70,"",100000000))</f>
        <v/>
      </c>
      <c r="M70" s="44"/>
      <c r="N70" s="47" t="str">
        <f>IF(C70="","",[1]!hks_val_pe(C70,基本资料!$I$9,基本资料!$G$9))</f>
        <v/>
      </c>
      <c r="O70" s="23" t="str">
        <f>IF(C70="","",[1]!hks_val_pe(C70,基本资料!$I$8,基本资料!$G$8))</f>
        <v/>
      </c>
      <c r="P70" s="23" t="str">
        <f>IF(C70="","",[1]!hks_val_pe_ttm(C70,E70))</f>
        <v/>
      </c>
      <c r="Q70" s="23" t="str">
        <f>IF(C70="","",[1]!s_val_estpe(C70,E70,YEAR([1]!s_stm_rpt_e(C70,基本资料!$I$8,0))+1))</f>
        <v/>
      </c>
      <c r="R70" s="48" t="str">
        <f>IF(C70="","",[1]!s_val_estpe(C70,E70,YEAR([1]!s_stm_rpt_e(C70,基本资料!$I$8,0))+2))</f>
        <v/>
      </c>
      <c r="S70" s="47" t="str">
        <f>IF(C70="","",[1]!hks_val_pb(C70,基本资料!$I$9,基本资料!$G$9))</f>
        <v/>
      </c>
      <c r="T70" s="23" t="str">
        <f>IF(C70="","",[1]!hks_val_pb(C70,基本资料!$I$8,基本资料!$G$8))</f>
        <v/>
      </c>
      <c r="U70" s="23" t="str">
        <f>IF(C70="","",[1]!pb_mrq(C70,E70))</f>
        <v/>
      </c>
      <c r="V70" s="23" t="str">
        <f>IF(C70="","",[1]!s_val_estpb(C70,E70,YEAR([1]!s_stm_rpt_e(C70,基本资料!$I$8,0))+1))</f>
        <v/>
      </c>
      <c r="W70" s="48" t="str">
        <f>IF(C70="","",[1]!s_val_estpb(C70,E70,YEAR([1]!s_stm_rpt_e(C70,基本资料!$I$8,0))+2))</f>
        <v/>
      </c>
      <c r="X70" s="47" t="str">
        <f>IF(C70="","",[1]!hks_val_ps(C70,基本资料!$I$9,基本资料!$G$9))</f>
        <v/>
      </c>
      <c r="Y70" s="23" t="str">
        <f>IF(C70="","",[1]!hks_val_ps(C70,基本资料!$I$8,基本资料!$G$8))</f>
        <v/>
      </c>
      <c r="Z70" s="48" t="str">
        <f>IF(C70="","",[1]!hks_val_ps_ttm(C70,E70))</f>
        <v/>
      </c>
      <c r="AA70" s="47" t="str">
        <f>IF(C70="","",[1]!hks_val_pcf(C70,基本资料!$I$9,基本资料!$G$9))</f>
        <v/>
      </c>
      <c r="AB70" s="23" t="str">
        <f>IF(C70="","",[1]!hks_val_pcf(C70,基本资料!$I$8,基本资料!$G$8))</f>
        <v/>
      </c>
      <c r="AC70" s="48" t="str">
        <f>IF(C70="","",[1]!hks_val_pcf_ttm(C70,E70))</f>
        <v/>
      </c>
      <c r="AD70" s="39" t="str">
        <f>IF(C70="","",[1]!s_val_evtoebitda2(C70,E70))</f>
        <v/>
      </c>
      <c r="AE70" s="47" t="str">
        <f>IF(C70="","",[1]!hks_val_ev2(C70,E70,"",1)/[1]!hks_fa_ebit2_ttm(C70,[1]!s_fa_latelyrd_bt(C70,[1]!lastradeday_s(C70,基本资料!$D$7)),"",1))</f>
        <v/>
      </c>
      <c r="AF70" s="35"/>
    </row>
    <row r="71" spans="1:32" s="36" customFormat="1" ht="16.5" x14ac:dyDescent="0.2">
      <c r="A71" s="2"/>
      <c r="B71" s="6"/>
      <c r="C71" s="28" t="str">
        <f>IF(表1[[#This Row],[列1]]="","",表1[[#This Row],[列1]])</f>
        <v/>
      </c>
      <c r="D71" s="19" t="str">
        <f>IF(C71="","",[1]!hks_info_name(C71))</f>
        <v/>
      </c>
      <c r="E71" s="19" t="str">
        <f ca="1">IF(C71="","",[1]!lastradeday_s(C71,TODAY()))</f>
        <v/>
      </c>
      <c r="F71" s="27" t="str">
        <f>IF(C71="","",[1]!hks_val_ev(C71,基本资料!$I$9,"",100000000))</f>
        <v/>
      </c>
      <c r="G71" s="23" t="str">
        <f>IF(C71="","",[1]!hks_val_ev(C71,基本资料!$I$8,"",100000000))</f>
        <v/>
      </c>
      <c r="H71" s="23" t="str">
        <f>IF(C71="","",[1]!hks_val_ev(C71,E71,"",100000000))</f>
        <v/>
      </c>
      <c r="I71" s="44"/>
      <c r="J71" s="27" t="str">
        <f>IF(C71="","",[1]!hks_val_mv_ard(C71,基本资料!$I$9,"",100000000))</f>
        <v/>
      </c>
      <c r="K71" s="23" t="str">
        <f>IF(C71="","",[1]!hks_val_mv_ard(C71,基本资料!$I$8,"",100000000))</f>
        <v/>
      </c>
      <c r="L71" s="45" t="str">
        <f>IF(C71="","",[1]!hks_val_mv_ard(C71,E71,"",100000000))</f>
        <v/>
      </c>
      <c r="M71" s="44"/>
      <c r="N71" s="47" t="str">
        <f>IF(C71="","",[1]!hks_val_pe(C71,基本资料!$I$9,基本资料!$G$9))</f>
        <v/>
      </c>
      <c r="O71" s="23" t="str">
        <f>IF(C71="","",[1]!hks_val_pe(C71,基本资料!$I$8,基本资料!$G$8))</f>
        <v/>
      </c>
      <c r="P71" s="23" t="str">
        <f>IF(C71="","",[1]!hks_val_pe_ttm(C71,E71))</f>
        <v/>
      </c>
      <c r="Q71" s="23" t="str">
        <f>IF(C71="","",[1]!s_val_estpe(C71,E71,YEAR([1]!s_stm_rpt_e(C71,基本资料!$I$8,0))+1))</f>
        <v/>
      </c>
      <c r="R71" s="48" t="str">
        <f>IF(C71="","",[1]!s_val_estpe(C71,E71,YEAR([1]!s_stm_rpt_e(C71,基本资料!$I$8,0))+2))</f>
        <v/>
      </c>
      <c r="S71" s="47" t="str">
        <f>IF(C71="","",[1]!hks_val_pb(C71,基本资料!$I$9,基本资料!$G$9))</f>
        <v/>
      </c>
      <c r="T71" s="23" t="str">
        <f>IF(C71="","",[1]!hks_val_pb(C71,基本资料!$I$8,基本资料!$G$8))</f>
        <v/>
      </c>
      <c r="U71" s="23" t="str">
        <f>IF(C71="","",[1]!pb_mrq(C71,E71))</f>
        <v/>
      </c>
      <c r="V71" s="23" t="str">
        <f>IF(C71="","",[1]!s_val_estpb(C71,E71,YEAR([1]!s_stm_rpt_e(C71,基本资料!$I$8,0))+1))</f>
        <v/>
      </c>
      <c r="W71" s="48" t="str">
        <f>IF(C71="","",[1]!s_val_estpb(C71,E71,YEAR([1]!s_stm_rpt_e(C71,基本资料!$I$8,0))+2))</f>
        <v/>
      </c>
      <c r="X71" s="47" t="str">
        <f>IF(C71="","",[1]!hks_val_ps(C71,基本资料!$I$9,基本资料!$G$9))</f>
        <v/>
      </c>
      <c r="Y71" s="23" t="str">
        <f>IF(C71="","",[1]!hks_val_ps(C71,基本资料!$I$8,基本资料!$G$8))</f>
        <v/>
      </c>
      <c r="Z71" s="48" t="str">
        <f>IF(C71="","",[1]!hks_val_ps_ttm(C71,E71))</f>
        <v/>
      </c>
      <c r="AA71" s="47" t="str">
        <f>IF(C71="","",[1]!hks_val_pcf(C71,基本资料!$I$9,基本资料!$G$9))</f>
        <v/>
      </c>
      <c r="AB71" s="23" t="str">
        <f>IF(C71="","",[1]!hks_val_pcf(C71,基本资料!$I$8,基本资料!$G$8))</f>
        <v/>
      </c>
      <c r="AC71" s="48" t="str">
        <f>IF(C71="","",[1]!hks_val_pcf_ttm(C71,E71))</f>
        <v/>
      </c>
      <c r="AD71" s="39" t="str">
        <f>IF(C71="","",[1]!s_val_evtoebitda2(C71,E71))</f>
        <v/>
      </c>
      <c r="AE71" s="47" t="str">
        <f>IF(C71="","",[1]!hks_val_ev2(C71,E71,"",1)/[1]!hks_fa_ebit2_ttm(C71,[1]!s_fa_latelyrd_bt(C71,[1]!lastradeday_s(C71,基本资料!$D$7)),"",1))</f>
        <v/>
      </c>
      <c r="AF71" s="35"/>
    </row>
    <row r="72" spans="1:32" s="36" customFormat="1" ht="16.5" x14ac:dyDescent="0.2">
      <c r="A72" s="2"/>
      <c r="B72" s="6"/>
      <c r="C72" s="28" t="str">
        <f>IF(表1[[#This Row],[列1]]="","",表1[[#This Row],[列1]])</f>
        <v/>
      </c>
      <c r="D72" s="19" t="str">
        <f>IF(C72="","",[1]!hks_info_name(C72))</f>
        <v/>
      </c>
      <c r="E72" s="19" t="str">
        <f ca="1">IF(C72="","",[1]!lastradeday_s(C72,TODAY()))</f>
        <v/>
      </c>
      <c r="F72" s="27" t="str">
        <f>IF(C72="","",[1]!hks_val_ev(C72,基本资料!$I$9,"",100000000))</f>
        <v/>
      </c>
      <c r="G72" s="23" t="str">
        <f>IF(C72="","",[1]!hks_val_ev(C72,基本资料!$I$8,"",100000000))</f>
        <v/>
      </c>
      <c r="H72" s="23" t="str">
        <f>IF(C72="","",[1]!hks_val_ev(C72,E72,"",100000000))</f>
        <v/>
      </c>
      <c r="I72" s="44"/>
      <c r="J72" s="27" t="str">
        <f>IF(C72="","",[1]!hks_val_mv_ard(C72,基本资料!$I$9,"",100000000))</f>
        <v/>
      </c>
      <c r="K72" s="23" t="str">
        <f>IF(C72="","",[1]!hks_val_mv_ard(C72,基本资料!$I$8,"",100000000))</f>
        <v/>
      </c>
      <c r="L72" s="45" t="str">
        <f>IF(C72="","",[1]!hks_val_mv_ard(C72,E72,"",100000000))</f>
        <v/>
      </c>
      <c r="M72" s="44"/>
      <c r="N72" s="47" t="str">
        <f>IF(C72="","",[1]!hks_val_pe(C72,基本资料!$I$9,基本资料!$G$9))</f>
        <v/>
      </c>
      <c r="O72" s="23" t="str">
        <f>IF(C72="","",[1]!hks_val_pe(C72,基本资料!$I$8,基本资料!$G$8))</f>
        <v/>
      </c>
      <c r="P72" s="23" t="str">
        <f>IF(C72="","",[1]!hks_val_pe_ttm(C72,E72))</f>
        <v/>
      </c>
      <c r="Q72" s="23" t="str">
        <f>IF(C72="","",[1]!s_val_estpe(C72,E72,YEAR([1]!s_stm_rpt_e(C72,基本资料!$I$8,0))+1))</f>
        <v/>
      </c>
      <c r="R72" s="48" t="str">
        <f>IF(C72="","",[1]!s_val_estpe(C72,E72,YEAR([1]!s_stm_rpt_e(C72,基本资料!$I$8,0))+2))</f>
        <v/>
      </c>
      <c r="S72" s="47" t="str">
        <f>IF(C72="","",[1]!hks_val_pb(C72,基本资料!$I$9,基本资料!$G$9))</f>
        <v/>
      </c>
      <c r="T72" s="23" t="str">
        <f>IF(C72="","",[1]!hks_val_pb(C72,基本资料!$I$8,基本资料!$G$8))</f>
        <v/>
      </c>
      <c r="U72" s="23" t="str">
        <f>IF(C72="","",[1]!pb_mrq(C72,E72))</f>
        <v/>
      </c>
      <c r="V72" s="23" t="str">
        <f>IF(C72="","",[1]!s_val_estpb(C72,E72,YEAR([1]!s_stm_rpt_e(C72,基本资料!$I$8,0))+1))</f>
        <v/>
      </c>
      <c r="W72" s="48" t="str">
        <f>IF(C72="","",[1]!s_val_estpb(C72,E72,YEAR([1]!s_stm_rpt_e(C72,基本资料!$I$8,0))+2))</f>
        <v/>
      </c>
      <c r="X72" s="47" t="str">
        <f>IF(C72="","",[1]!hks_val_ps(C72,基本资料!$I$9,基本资料!$G$9))</f>
        <v/>
      </c>
      <c r="Y72" s="23" t="str">
        <f>IF(C72="","",[1]!hks_val_ps(C72,基本资料!$I$8,基本资料!$G$8))</f>
        <v/>
      </c>
      <c r="Z72" s="48" t="str">
        <f>IF(C72="","",[1]!hks_val_ps_ttm(C72,E72))</f>
        <v/>
      </c>
      <c r="AA72" s="47" t="str">
        <f>IF(C72="","",[1]!hks_val_pcf(C72,基本资料!$I$9,基本资料!$G$9))</f>
        <v/>
      </c>
      <c r="AB72" s="23" t="str">
        <f>IF(C72="","",[1]!hks_val_pcf(C72,基本资料!$I$8,基本资料!$G$8))</f>
        <v/>
      </c>
      <c r="AC72" s="48" t="str">
        <f>IF(C72="","",[1]!hks_val_pcf_ttm(C72,E72))</f>
        <v/>
      </c>
      <c r="AD72" s="39" t="str">
        <f>IF(C72="","",[1]!s_val_evtoebitda2(C72,E72))</f>
        <v/>
      </c>
      <c r="AE72" s="47" t="str">
        <f>IF(C72="","",[1]!hks_val_ev2(C72,E72,"",1)/[1]!hks_fa_ebit2_ttm(C72,[1]!s_fa_latelyrd_bt(C72,[1]!lastradeday_s(C72,基本资料!$D$7)),"",1))</f>
        <v/>
      </c>
      <c r="AF72" s="35"/>
    </row>
    <row r="73" spans="1:32" s="36" customFormat="1" ht="16.5" x14ac:dyDescent="0.2">
      <c r="A73" s="2"/>
      <c r="B73" s="6"/>
      <c r="C73" s="28" t="str">
        <f>IF(表1[[#This Row],[列1]]="","",表1[[#This Row],[列1]])</f>
        <v/>
      </c>
      <c r="D73" s="19" t="str">
        <f>IF(C73="","",[1]!hks_info_name(C73))</f>
        <v/>
      </c>
      <c r="E73" s="19" t="str">
        <f ca="1">IF(C73="","",[1]!lastradeday_s(C73,TODAY()))</f>
        <v/>
      </c>
      <c r="F73" s="27" t="str">
        <f>IF(C73="","",[1]!hks_val_ev(C73,基本资料!$I$9,"",100000000))</f>
        <v/>
      </c>
      <c r="G73" s="23" t="str">
        <f>IF(C73="","",[1]!hks_val_ev(C73,基本资料!$I$8,"",100000000))</f>
        <v/>
      </c>
      <c r="H73" s="23" t="str">
        <f>IF(C73="","",[1]!hks_val_ev(C73,E73,"",100000000))</f>
        <v/>
      </c>
      <c r="I73" s="44"/>
      <c r="J73" s="27" t="str">
        <f>IF(C73="","",[1]!hks_val_mv_ard(C73,基本资料!$I$9,"",100000000))</f>
        <v/>
      </c>
      <c r="K73" s="23" t="str">
        <f>IF(C73="","",[1]!hks_val_mv_ard(C73,基本资料!$I$8,"",100000000))</f>
        <v/>
      </c>
      <c r="L73" s="45" t="str">
        <f>IF(C73="","",[1]!hks_val_mv_ard(C73,E73,"",100000000))</f>
        <v/>
      </c>
      <c r="M73" s="44"/>
      <c r="N73" s="47" t="str">
        <f>IF(C73="","",[1]!hks_val_pe(C73,基本资料!$I$9,基本资料!$G$9))</f>
        <v/>
      </c>
      <c r="O73" s="23" t="str">
        <f>IF(C73="","",[1]!hks_val_pe(C73,基本资料!$I$8,基本资料!$G$8))</f>
        <v/>
      </c>
      <c r="P73" s="23" t="str">
        <f>IF(C73="","",[1]!hks_val_pe_ttm(C73,E73))</f>
        <v/>
      </c>
      <c r="Q73" s="23" t="str">
        <f>IF(C73="","",[1]!s_val_estpe(C73,E73,YEAR([1]!s_stm_rpt_e(C73,基本资料!$I$8,0))+1))</f>
        <v/>
      </c>
      <c r="R73" s="48" t="str">
        <f>IF(C73="","",[1]!s_val_estpe(C73,E73,YEAR([1]!s_stm_rpt_e(C73,基本资料!$I$8,0))+2))</f>
        <v/>
      </c>
      <c r="S73" s="47" t="str">
        <f>IF(C73="","",[1]!hks_val_pb(C73,基本资料!$I$9,基本资料!$G$9))</f>
        <v/>
      </c>
      <c r="T73" s="23" t="str">
        <f>IF(C73="","",[1]!hks_val_pb(C73,基本资料!$I$8,基本资料!$G$8))</f>
        <v/>
      </c>
      <c r="U73" s="23" t="str">
        <f>IF(C73="","",[1]!pb_mrq(C73,E73))</f>
        <v/>
      </c>
      <c r="V73" s="23" t="str">
        <f>IF(C73="","",[1]!s_val_estpb(C73,E73,YEAR([1]!s_stm_rpt_e(C73,基本资料!$I$8,0))+1))</f>
        <v/>
      </c>
      <c r="W73" s="48" t="str">
        <f>IF(C73="","",[1]!s_val_estpb(C73,E73,YEAR([1]!s_stm_rpt_e(C73,基本资料!$I$8,0))+2))</f>
        <v/>
      </c>
      <c r="X73" s="47" t="str">
        <f>IF(C73="","",[1]!hks_val_ps(C73,基本资料!$I$9,基本资料!$G$9))</f>
        <v/>
      </c>
      <c r="Y73" s="23" t="str">
        <f>IF(C73="","",[1]!hks_val_ps(C73,基本资料!$I$8,基本资料!$G$8))</f>
        <v/>
      </c>
      <c r="Z73" s="48" t="str">
        <f>IF(C73="","",[1]!hks_val_ps_ttm(C73,E73))</f>
        <v/>
      </c>
      <c r="AA73" s="47" t="str">
        <f>IF(C73="","",[1]!hks_val_pcf(C73,基本资料!$I$9,基本资料!$G$9))</f>
        <v/>
      </c>
      <c r="AB73" s="23" t="str">
        <f>IF(C73="","",[1]!hks_val_pcf(C73,基本资料!$I$8,基本资料!$G$8))</f>
        <v/>
      </c>
      <c r="AC73" s="48" t="str">
        <f>IF(C73="","",[1]!hks_val_pcf_ttm(C73,E73))</f>
        <v/>
      </c>
      <c r="AD73" s="39" t="str">
        <f>IF(C73="","",[1]!s_val_evtoebitda2(C73,E73))</f>
        <v/>
      </c>
      <c r="AE73" s="47" t="str">
        <f>IF(C73="","",[1]!hks_val_ev2(C73,E73,"",1)/[1]!hks_fa_ebit2_ttm(C73,[1]!s_fa_latelyrd_bt(C73,[1]!lastradeday_s(C73,基本资料!$D$7)),"",1))</f>
        <v/>
      </c>
      <c r="AF73" s="35"/>
    </row>
    <row r="74" spans="1:32" s="36" customFormat="1" ht="16.5" x14ac:dyDescent="0.2">
      <c r="A74" s="2"/>
      <c r="B74" s="6"/>
      <c r="C74" s="28" t="str">
        <f>IF(表1[[#This Row],[列1]]="","",表1[[#This Row],[列1]])</f>
        <v/>
      </c>
      <c r="D74" s="19" t="str">
        <f>IF(C74="","",[1]!hks_info_name(C74))</f>
        <v/>
      </c>
      <c r="E74" s="19" t="str">
        <f ca="1">IF(C74="","",[1]!lastradeday_s(C74,TODAY()))</f>
        <v/>
      </c>
      <c r="F74" s="27" t="str">
        <f>IF(C74="","",[1]!hks_val_ev(C74,基本资料!$I$9,"",100000000))</f>
        <v/>
      </c>
      <c r="G74" s="23" t="str">
        <f>IF(C74="","",[1]!hks_val_ev(C74,基本资料!$I$8,"",100000000))</f>
        <v/>
      </c>
      <c r="H74" s="23" t="str">
        <f>IF(C74="","",[1]!hks_val_ev(C74,E74,"",100000000))</f>
        <v/>
      </c>
      <c r="I74" s="44"/>
      <c r="J74" s="27" t="str">
        <f>IF(C74="","",[1]!hks_val_mv_ard(C74,基本资料!$I$9,"",100000000))</f>
        <v/>
      </c>
      <c r="K74" s="23" t="str">
        <f>IF(C74="","",[1]!hks_val_mv_ard(C74,基本资料!$I$8,"",100000000))</f>
        <v/>
      </c>
      <c r="L74" s="45" t="str">
        <f>IF(C74="","",[1]!hks_val_mv_ard(C74,E74,"",100000000))</f>
        <v/>
      </c>
      <c r="M74" s="44"/>
      <c r="N74" s="47" t="str">
        <f>IF(C74="","",[1]!hks_val_pe(C74,基本资料!$I$9,基本资料!$G$9))</f>
        <v/>
      </c>
      <c r="O74" s="23" t="str">
        <f>IF(C74="","",[1]!hks_val_pe(C74,基本资料!$I$8,基本资料!$G$8))</f>
        <v/>
      </c>
      <c r="P74" s="23" t="str">
        <f>IF(C74="","",[1]!hks_val_pe_ttm(C74,E74))</f>
        <v/>
      </c>
      <c r="Q74" s="23" t="str">
        <f>IF(C74="","",[1]!s_val_estpe(C74,E74,YEAR([1]!s_stm_rpt_e(C74,基本资料!$I$8,0))+1))</f>
        <v/>
      </c>
      <c r="R74" s="48" t="str">
        <f>IF(C74="","",[1]!s_val_estpe(C74,E74,YEAR([1]!s_stm_rpt_e(C74,基本资料!$I$8,0))+2))</f>
        <v/>
      </c>
      <c r="S74" s="47" t="str">
        <f>IF(C74="","",[1]!hks_val_pb(C74,基本资料!$I$9,基本资料!$G$9))</f>
        <v/>
      </c>
      <c r="T74" s="23" t="str">
        <f>IF(C74="","",[1]!hks_val_pb(C74,基本资料!$I$8,基本资料!$G$8))</f>
        <v/>
      </c>
      <c r="U74" s="23" t="str">
        <f>IF(C74="","",[1]!pb_mrq(C74,E74))</f>
        <v/>
      </c>
      <c r="V74" s="23" t="str">
        <f>IF(C74="","",[1]!s_val_estpb(C74,E74,YEAR([1]!s_stm_rpt_e(C74,基本资料!$I$8,0))+1))</f>
        <v/>
      </c>
      <c r="W74" s="48" t="str">
        <f>IF(C74="","",[1]!s_val_estpb(C74,E74,YEAR([1]!s_stm_rpt_e(C74,基本资料!$I$8,0))+2))</f>
        <v/>
      </c>
      <c r="X74" s="47" t="str">
        <f>IF(C74="","",[1]!hks_val_ps(C74,基本资料!$I$9,基本资料!$G$9))</f>
        <v/>
      </c>
      <c r="Y74" s="23" t="str">
        <f>IF(C74="","",[1]!hks_val_ps(C74,基本资料!$I$8,基本资料!$G$8))</f>
        <v/>
      </c>
      <c r="Z74" s="48" t="str">
        <f>IF(C74="","",[1]!hks_val_ps_ttm(C74,E74))</f>
        <v/>
      </c>
      <c r="AA74" s="47" t="str">
        <f>IF(C74="","",[1]!hks_val_pcf(C74,基本资料!$I$9,基本资料!$G$9))</f>
        <v/>
      </c>
      <c r="AB74" s="23" t="str">
        <f>IF(C74="","",[1]!hks_val_pcf(C74,基本资料!$I$8,基本资料!$G$8))</f>
        <v/>
      </c>
      <c r="AC74" s="48" t="str">
        <f>IF(C74="","",[1]!hks_val_pcf_ttm(C74,E74))</f>
        <v/>
      </c>
      <c r="AD74" s="39" t="str">
        <f>IF(C74="","",[1]!s_val_evtoebitda2(C74,E74))</f>
        <v/>
      </c>
      <c r="AE74" s="47" t="str">
        <f>IF(C74="","",[1]!hks_val_ev2(C74,E74,"",1)/[1]!hks_fa_ebit2_ttm(C74,[1]!s_fa_latelyrd_bt(C74,[1]!lastradeday_s(C74,基本资料!$D$7)),"",1))</f>
        <v/>
      </c>
      <c r="AF74" s="35"/>
    </row>
    <row r="75" spans="1:32" s="36" customFormat="1" ht="16.5" x14ac:dyDescent="0.2">
      <c r="A75" s="2"/>
      <c r="B75" s="6"/>
      <c r="C75" s="28" t="str">
        <f>IF(表1[[#This Row],[列1]]="","",表1[[#This Row],[列1]])</f>
        <v/>
      </c>
      <c r="D75" s="19" t="str">
        <f>IF(C75="","",[1]!hks_info_name(C75))</f>
        <v/>
      </c>
      <c r="E75" s="19" t="str">
        <f ca="1">IF(C75="","",[1]!lastradeday_s(C75,TODAY()))</f>
        <v/>
      </c>
      <c r="F75" s="27" t="str">
        <f>IF(C75="","",[1]!hks_val_ev(C75,基本资料!$I$9,"",100000000))</f>
        <v/>
      </c>
      <c r="G75" s="23" t="str">
        <f>IF(C75="","",[1]!hks_val_ev(C75,基本资料!$I$8,"",100000000))</f>
        <v/>
      </c>
      <c r="H75" s="23" t="str">
        <f>IF(C75="","",[1]!hks_val_ev(C75,E75,"",100000000))</f>
        <v/>
      </c>
      <c r="I75" s="44"/>
      <c r="J75" s="27" t="str">
        <f>IF(C75="","",[1]!hks_val_mv_ard(C75,基本资料!$I$9,"",100000000))</f>
        <v/>
      </c>
      <c r="K75" s="23" t="str">
        <f>IF(C75="","",[1]!hks_val_mv_ard(C75,基本资料!$I$8,"",100000000))</f>
        <v/>
      </c>
      <c r="L75" s="45" t="str">
        <f>IF(C75="","",[1]!hks_val_mv_ard(C75,E75,"",100000000))</f>
        <v/>
      </c>
      <c r="M75" s="44"/>
      <c r="N75" s="47" t="str">
        <f>IF(C75="","",[1]!hks_val_pe(C75,基本资料!$I$9,基本资料!$G$9))</f>
        <v/>
      </c>
      <c r="O75" s="23" t="str">
        <f>IF(C75="","",[1]!hks_val_pe(C75,基本资料!$I$8,基本资料!$G$8))</f>
        <v/>
      </c>
      <c r="P75" s="23" t="str">
        <f>IF(C75="","",[1]!hks_val_pe_ttm(C75,E75))</f>
        <v/>
      </c>
      <c r="Q75" s="23" t="str">
        <f>IF(C75="","",[1]!s_val_estpe(C75,E75,YEAR([1]!s_stm_rpt_e(C75,基本资料!$I$8,0))+1))</f>
        <v/>
      </c>
      <c r="R75" s="48" t="str">
        <f>IF(C75="","",[1]!s_val_estpe(C75,E75,YEAR([1]!s_stm_rpt_e(C75,基本资料!$I$8,0))+2))</f>
        <v/>
      </c>
      <c r="S75" s="47" t="str">
        <f>IF(C75="","",[1]!hks_val_pb(C75,基本资料!$I$9,基本资料!$G$9))</f>
        <v/>
      </c>
      <c r="T75" s="23" t="str">
        <f>IF(C75="","",[1]!hks_val_pb(C75,基本资料!$I$8,基本资料!$G$8))</f>
        <v/>
      </c>
      <c r="U75" s="23" t="str">
        <f>IF(C75="","",[1]!pb_mrq(C75,E75))</f>
        <v/>
      </c>
      <c r="V75" s="23" t="str">
        <f>IF(C75="","",[1]!s_val_estpb(C75,E75,YEAR([1]!s_stm_rpt_e(C75,基本资料!$I$8,0))+1))</f>
        <v/>
      </c>
      <c r="W75" s="48" t="str">
        <f>IF(C75="","",[1]!s_val_estpb(C75,E75,YEAR([1]!s_stm_rpt_e(C75,基本资料!$I$8,0))+2))</f>
        <v/>
      </c>
      <c r="X75" s="47" t="str">
        <f>IF(C75="","",[1]!hks_val_ps(C75,基本资料!$I$9,基本资料!$G$9))</f>
        <v/>
      </c>
      <c r="Y75" s="23" t="str">
        <f>IF(C75="","",[1]!hks_val_ps(C75,基本资料!$I$8,基本资料!$G$8))</f>
        <v/>
      </c>
      <c r="Z75" s="48" t="str">
        <f>IF(C75="","",[1]!hks_val_ps_ttm(C75,E75))</f>
        <v/>
      </c>
      <c r="AA75" s="47" t="str">
        <f>IF(C75="","",[1]!hks_val_pcf(C75,基本资料!$I$9,基本资料!$G$9))</f>
        <v/>
      </c>
      <c r="AB75" s="23" t="str">
        <f>IF(C75="","",[1]!hks_val_pcf(C75,基本资料!$I$8,基本资料!$G$8))</f>
        <v/>
      </c>
      <c r="AC75" s="48" t="str">
        <f>IF(C75="","",[1]!hks_val_pcf_ttm(C75,E75))</f>
        <v/>
      </c>
      <c r="AD75" s="39" t="str">
        <f>IF(C75="","",[1]!s_val_evtoebitda2(C75,E75))</f>
        <v/>
      </c>
      <c r="AE75" s="47" t="str">
        <f>IF(C75="","",[1]!hks_val_ev2(C75,E75,"",1)/[1]!hks_fa_ebit2_ttm(C75,[1]!s_fa_latelyrd_bt(C75,[1]!lastradeday_s(C75,基本资料!$D$7)),"",1))</f>
        <v/>
      </c>
      <c r="AF75" s="35"/>
    </row>
    <row r="76" spans="1:32" s="36" customFormat="1" ht="16.5" x14ac:dyDescent="0.2">
      <c r="A76" s="2"/>
      <c r="B76" s="6"/>
      <c r="C76" s="28" t="str">
        <f>IF(表1[[#This Row],[列1]]="","",表1[[#This Row],[列1]])</f>
        <v/>
      </c>
      <c r="D76" s="19" t="str">
        <f>IF(C76="","",[1]!hks_info_name(C76))</f>
        <v/>
      </c>
      <c r="E76" s="19" t="str">
        <f ca="1">IF(C76="","",[1]!lastradeday_s(C76,TODAY()))</f>
        <v/>
      </c>
      <c r="F76" s="27" t="str">
        <f>IF(C76="","",[1]!hks_val_ev(C76,基本资料!$I$9,"",100000000))</f>
        <v/>
      </c>
      <c r="G76" s="23" t="str">
        <f>IF(C76="","",[1]!hks_val_ev(C76,基本资料!$I$8,"",100000000))</f>
        <v/>
      </c>
      <c r="H76" s="23" t="str">
        <f>IF(C76="","",[1]!hks_val_ev(C76,E76,"",100000000))</f>
        <v/>
      </c>
      <c r="I76" s="44"/>
      <c r="J76" s="27" t="str">
        <f>IF(C76="","",[1]!hks_val_mv_ard(C76,基本资料!$I$9,"",100000000))</f>
        <v/>
      </c>
      <c r="K76" s="23" t="str">
        <f>IF(C76="","",[1]!hks_val_mv_ard(C76,基本资料!$I$8,"",100000000))</f>
        <v/>
      </c>
      <c r="L76" s="45" t="str">
        <f>IF(C76="","",[1]!hks_val_mv_ard(C76,E76,"",100000000))</f>
        <v/>
      </c>
      <c r="M76" s="44"/>
      <c r="N76" s="47" t="str">
        <f>IF(C76="","",[1]!hks_val_pe(C76,基本资料!$I$9,基本资料!$G$9))</f>
        <v/>
      </c>
      <c r="O76" s="23" t="str">
        <f>IF(C76="","",[1]!hks_val_pe(C76,基本资料!$I$8,基本资料!$G$8))</f>
        <v/>
      </c>
      <c r="P76" s="23" t="str">
        <f>IF(C76="","",[1]!hks_val_pe_ttm(C76,E76))</f>
        <v/>
      </c>
      <c r="Q76" s="23" t="str">
        <f>IF(C76="","",[1]!s_val_estpe(C76,E76,YEAR([1]!s_stm_rpt_e(C76,基本资料!$I$8,0))+1))</f>
        <v/>
      </c>
      <c r="R76" s="48" t="str">
        <f>IF(C76="","",[1]!s_val_estpe(C76,E76,YEAR([1]!s_stm_rpt_e(C76,基本资料!$I$8,0))+2))</f>
        <v/>
      </c>
      <c r="S76" s="47" t="str">
        <f>IF(C76="","",[1]!hks_val_pb(C76,基本资料!$I$9,基本资料!$G$9))</f>
        <v/>
      </c>
      <c r="T76" s="23" t="str">
        <f>IF(C76="","",[1]!hks_val_pb(C76,基本资料!$I$8,基本资料!$G$8))</f>
        <v/>
      </c>
      <c r="U76" s="23" t="str">
        <f>IF(C76="","",[1]!pb_mrq(C76,E76))</f>
        <v/>
      </c>
      <c r="V76" s="23" t="str">
        <f>IF(C76="","",[1]!s_val_estpb(C76,E76,YEAR([1]!s_stm_rpt_e(C76,基本资料!$I$8,0))+1))</f>
        <v/>
      </c>
      <c r="W76" s="48" t="str">
        <f>IF(C76="","",[1]!s_val_estpb(C76,E76,YEAR([1]!s_stm_rpt_e(C76,基本资料!$I$8,0))+2))</f>
        <v/>
      </c>
      <c r="X76" s="47" t="str">
        <f>IF(C76="","",[1]!hks_val_ps(C76,基本资料!$I$9,基本资料!$G$9))</f>
        <v/>
      </c>
      <c r="Y76" s="23" t="str">
        <f>IF(C76="","",[1]!hks_val_ps(C76,基本资料!$I$8,基本资料!$G$8))</f>
        <v/>
      </c>
      <c r="Z76" s="48" t="str">
        <f>IF(C76="","",[1]!hks_val_ps_ttm(C76,E76))</f>
        <v/>
      </c>
      <c r="AA76" s="47" t="str">
        <f>IF(C76="","",[1]!hks_val_pcf(C76,基本资料!$I$9,基本资料!$G$9))</f>
        <v/>
      </c>
      <c r="AB76" s="23" t="str">
        <f>IF(C76="","",[1]!hks_val_pcf(C76,基本资料!$I$8,基本资料!$G$8))</f>
        <v/>
      </c>
      <c r="AC76" s="48" t="str">
        <f>IF(C76="","",[1]!hks_val_pcf_ttm(C76,E76))</f>
        <v/>
      </c>
      <c r="AD76" s="39" t="str">
        <f>IF(C76="","",[1]!s_val_evtoebitda2(C76,E76))</f>
        <v/>
      </c>
      <c r="AE76" s="47" t="str">
        <f>IF(C76="","",[1]!hks_val_ev2(C76,E76,"",1)/[1]!hks_fa_ebit2_ttm(C76,[1]!s_fa_latelyrd_bt(C76,[1]!lastradeday_s(C76,基本资料!$D$7)),"",1))</f>
        <v/>
      </c>
      <c r="AF76" s="35"/>
    </row>
    <row r="77" spans="1:32" s="36" customFormat="1" ht="16.5" x14ac:dyDescent="0.2">
      <c r="A77" s="2"/>
      <c r="B77" s="6"/>
      <c r="C77" s="28" t="str">
        <f>IF(表1[[#This Row],[列1]]="","",表1[[#This Row],[列1]])</f>
        <v/>
      </c>
      <c r="D77" s="19" t="str">
        <f>IF(C77="","",[1]!hks_info_name(C77))</f>
        <v/>
      </c>
      <c r="E77" s="19" t="str">
        <f ca="1">IF(C77="","",[1]!lastradeday_s(C77,TODAY()))</f>
        <v/>
      </c>
      <c r="F77" s="27" t="str">
        <f>IF(C77="","",[1]!hks_val_ev(C77,基本资料!$I$9,"",100000000))</f>
        <v/>
      </c>
      <c r="G77" s="23" t="str">
        <f>IF(C77="","",[1]!hks_val_ev(C77,基本资料!$I$8,"",100000000))</f>
        <v/>
      </c>
      <c r="H77" s="23" t="str">
        <f>IF(C77="","",[1]!hks_val_ev(C77,E77,"",100000000))</f>
        <v/>
      </c>
      <c r="I77" s="44"/>
      <c r="J77" s="27" t="str">
        <f>IF(C77="","",[1]!hks_val_mv_ard(C77,基本资料!$I$9,"",100000000))</f>
        <v/>
      </c>
      <c r="K77" s="23" t="str">
        <f>IF(C77="","",[1]!hks_val_mv_ard(C77,基本资料!$I$8,"",100000000))</f>
        <v/>
      </c>
      <c r="L77" s="45" t="str">
        <f>IF(C77="","",[1]!hks_val_mv_ard(C77,E77,"",100000000))</f>
        <v/>
      </c>
      <c r="M77" s="44"/>
      <c r="N77" s="47" t="str">
        <f>IF(C77="","",[1]!hks_val_pe(C77,基本资料!$I$9,基本资料!$G$9))</f>
        <v/>
      </c>
      <c r="O77" s="23" t="str">
        <f>IF(C77="","",[1]!hks_val_pe(C77,基本资料!$I$8,基本资料!$G$8))</f>
        <v/>
      </c>
      <c r="P77" s="23" t="str">
        <f>IF(C77="","",[1]!hks_val_pe_ttm(C77,E77))</f>
        <v/>
      </c>
      <c r="Q77" s="23" t="str">
        <f>IF(C77="","",[1]!s_val_estpe(C77,E77,YEAR([1]!s_stm_rpt_e(C77,基本资料!$I$8,0))+1))</f>
        <v/>
      </c>
      <c r="R77" s="48" t="str">
        <f>IF(C77="","",[1]!s_val_estpe(C77,E77,YEAR([1]!s_stm_rpt_e(C77,基本资料!$I$8,0))+2))</f>
        <v/>
      </c>
      <c r="S77" s="47" t="str">
        <f>IF(C77="","",[1]!hks_val_pb(C77,基本资料!$I$9,基本资料!$G$9))</f>
        <v/>
      </c>
      <c r="T77" s="23" t="str">
        <f>IF(C77="","",[1]!hks_val_pb(C77,基本资料!$I$8,基本资料!$G$8))</f>
        <v/>
      </c>
      <c r="U77" s="23" t="str">
        <f>IF(C77="","",[1]!pb_mrq(C77,E77))</f>
        <v/>
      </c>
      <c r="V77" s="23" t="str">
        <f>IF(C77="","",[1]!s_val_estpb(C77,E77,YEAR([1]!s_stm_rpt_e(C77,基本资料!$I$8,0))+1))</f>
        <v/>
      </c>
      <c r="W77" s="48" t="str">
        <f>IF(C77="","",[1]!s_val_estpb(C77,E77,YEAR([1]!s_stm_rpt_e(C77,基本资料!$I$8,0))+2))</f>
        <v/>
      </c>
      <c r="X77" s="47" t="str">
        <f>IF(C77="","",[1]!hks_val_ps(C77,基本资料!$I$9,基本资料!$G$9))</f>
        <v/>
      </c>
      <c r="Y77" s="23" t="str">
        <f>IF(C77="","",[1]!hks_val_ps(C77,基本资料!$I$8,基本资料!$G$8))</f>
        <v/>
      </c>
      <c r="Z77" s="48" t="str">
        <f>IF(C77="","",[1]!hks_val_ps_ttm(C77,E77))</f>
        <v/>
      </c>
      <c r="AA77" s="47" t="str">
        <f>IF(C77="","",[1]!hks_val_pcf(C77,基本资料!$I$9,基本资料!$G$9))</f>
        <v/>
      </c>
      <c r="AB77" s="23" t="str">
        <f>IF(C77="","",[1]!hks_val_pcf(C77,基本资料!$I$8,基本资料!$G$8))</f>
        <v/>
      </c>
      <c r="AC77" s="48" t="str">
        <f>IF(C77="","",[1]!hks_val_pcf_ttm(C77,E77))</f>
        <v/>
      </c>
      <c r="AD77" s="39" t="str">
        <f>IF(C77="","",[1]!s_val_evtoebitda2(C77,E77))</f>
        <v/>
      </c>
      <c r="AE77" s="47" t="str">
        <f>IF(C77="","",[1]!hks_val_ev2(C77,E77,"",1)/[1]!hks_fa_ebit2_ttm(C77,[1]!s_fa_latelyrd_bt(C77,[1]!lastradeday_s(C77,基本资料!$D$7)),"",1))</f>
        <v/>
      </c>
      <c r="AF77" s="35"/>
    </row>
    <row r="78" spans="1:32" s="36" customFormat="1" ht="16.5" x14ac:dyDescent="0.2">
      <c r="A78" s="2"/>
      <c r="B78" s="6"/>
      <c r="C78" s="28" t="str">
        <f>IF(表1[[#This Row],[列1]]="","",表1[[#This Row],[列1]])</f>
        <v/>
      </c>
      <c r="D78" s="19" t="str">
        <f>IF(C78="","",[1]!hks_info_name(C78))</f>
        <v/>
      </c>
      <c r="E78" s="19" t="str">
        <f ca="1">IF(C78="","",[1]!lastradeday_s(C78,TODAY()))</f>
        <v/>
      </c>
      <c r="F78" s="27" t="str">
        <f>IF(C78="","",[1]!hks_val_ev(C78,基本资料!$I$9,"",100000000))</f>
        <v/>
      </c>
      <c r="G78" s="23" t="str">
        <f>IF(C78="","",[1]!hks_val_ev(C78,基本资料!$I$8,"",100000000))</f>
        <v/>
      </c>
      <c r="H78" s="23" t="str">
        <f>IF(C78="","",[1]!hks_val_ev(C78,E78,"",100000000))</f>
        <v/>
      </c>
      <c r="I78" s="44"/>
      <c r="J78" s="27" t="str">
        <f>IF(C78="","",[1]!hks_val_mv_ard(C78,基本资料!$I$9,"",100000000))</f>
        <v/>
      </c>
      <c r="K78" s="23" t="str">
        <f>IF(C78="","",[1]!hks_val_mv_ard(C78,基本资料!$I$8,"",100000000))</f>
        <v/>
      </c>
      <c r="L78" s="45" t="str">
        <f>IF(C78="","",[1]!hks_val_mv_ard(C78,E78,"",100000000))</f>
        <v/>
      </c>
      <c r="M78" s="44"/>
      <c r="N78" s="47" t="str">
        <f>IF(C78="","",[1]!hks_val_pe(C78,基本资料!$I$9,基本资料!$G$9))</f>
        <v/>
      </c>
      <c r="O78" s="23" t="str">
        <f>IF(C78="","",[1]!hks_val_pe(C78,基本资料!$I$8,基本资料!$G$8))</f>
        <v/>
      </c>
      <c r="P78" s="23" t="str">
        <f>IF(C78="","",[1]!hks_val_pe_ttm(C78,E78))</f>
        <v/>
      </c>
      <c r="Q78" s="23" t="str">
        <f>IF(C78="","",[1]!s_val_estpe(C78,E78,YEAR([1]!s_stm_rpt_e(C78,基本资料!$I$8,0))+1))</f>
        <v/>
      </c>
      <c r="R78" s="48" t="str">
        <f>IF(C78="","",[1]!s_val_estpe(C78,E78,YEAR([1]!s_stm_rpt_e(C78,基本资料!$I$8,0))+2))</f>
        <v/>
      </c>
      <c r="S78" s="47" t="str">
        <f>IF(C78="","",[1]!hks_val_pb(C78,基本资料!$I$9,基本资料!$G$9))</f>
        <v/>
      </c>
      <c r="T78" s="23" t="str">
        <f>IF(C78="","",[1]!hks_val_pb(C78,基本资料!$I$8,基本资料!$G$8))</f>
        <v/>
      </c>
      <c r="U78" s="23" t="str">
        <f>IF(C78="","",[1]!pb_mrq(C78,E78))</f>
        <v/>
      </c>
      <c r="V78" s="23" t="str">
        <f>IF(C78="","",[1]!s_val_estpb(C78,E78,YEAR([1]!s_stm_rpt_e(C78,基本资料!$I$8,0))+1))</f>
        <v/>
      </c>
      <c r="W78" s="48" t="str">
        <f>IF(C78="","",[1]!s_val_estpb(C78,E78,YEAR([1]!s_stm_rpt_e(C78,基本资料!$I$8,0))+2))</f>
        <v/>
      </c>
      <c r="X78" s="47" t="str">
        <f>IF(C78="","",[1]!hks_val_ps(C78,基本资料!$I$9,基本资料!$G$9))</f>
        <v/>
      </c>
      <c r="Y78" s="23" t="str">
        <f>IF(C78="","",[1]!hks_val_ps(C78,基本资料!$I$8,基本资料!$G$8))</f>
        <v/>
      </c>
      <c r="Z78" s="48" t="str">
        <f>IF(C78="","",[1]!hks_val_ps_ttm(C78,E78))</f>
        <v/>
      </c>
      <c r="AA78" s="47" t="str">
        <f>IF(C78="","",[1]!hks_val_pcf(C78,基本资料!$I$9,基本资料!$G$9))</f>
        <v/>
      </c>
      <c r="AB78" s="23" t="str">
        <f>IF(C78="","",[1]!hks_val_pcf(C78,基本资料!$I$8,基本资料!$G$8))</f>
        <v/>
      </c>
      <c r="AC78" s="48" t="str">
        <f>IF(C78="","",[1]!hks_val_pcf_ttm(C78,E78))</f>
        <v/>
      </c>
      <c r="AD78" s="39" t="str">
        <f>IF(C78="","",[1]!s_val_evtoebitda2(C78,E78))</f>
        <v/>
      </c>
      <c r="AE78" s="47" t="str">
        <f>IF(C78="","",[1]!hks_val_ev2(C78,E78,"",1)/[1]!hks_fa_ebit2_ttm(C78,[1]!s_fa_latelyrd_bt(C78,[1]!lastradeday_s(C78,基本资料!$D$7)),"",1))</f>
        <v/>
      </c>
      <c r="AF78" s="35"/>
    </row>
    <row r="79" spans="1:32" s="36" customFormat="1" ht="16.5" x14ac:dyDescent="0.2">
      <c r="A79" s="2"/>
      <c r="B79" s="6"/>
      <c r="C79" s="28" t="str">
        <f>IF(表1[[#This Row],[列1]]="","",表1[[#This Row],[列1]])</f>
        <v/>
      </c>
      <c r="D79" s="19" t="str">
        <f>IF(C79="","",[1]!hks_info_name(C79))</f>
        <v/>
      </c>
      <c r="E79" s="19" t="str">
        <f ca="1">IF(C79="","",[1]!lastradeday_s(C79,TODAY()))</f>
        <v/>
      </c>
      <c r="F79" s="27" t="str">
        <f>IF(C79="","",[1]!hks_val_ev(C79,基本资料!$I$9,"",100000000))</f>
        <v/>
      </c>
      <c r="G79" s="23" t="str">
        <f>IF(C79="","",[1]!hks_val_ev(C79,基本资料!$I$8,"",100000000))</f>
        <v/>
      </c>
      <c r="H79" s="23" t="str">
        <f>IF(C79="","",[1]!hks_val_ev(C79,E79,"",100000000))</f>
        <v/>
      </c>
      <c r="I79" s="44"/>
      <c r="J79" s="27" t="str">
        <f>IF(C79="","",[1]!hks_val_mv_ard(C79,基本资料!$I$9,"",100000000))</f>
        <v/>
      </c>
      <c r="K79" s="23" t="str">
        <f>IF(C79="","",[1]!hks_val_mv_ard(C79,基本资料!$I$8,"",100000000))</f>
        <v/>
      </c>
      <c r="L79" s="45" t="str">
        <f>IF(C79="","",[1]!hks_val_mv_ard(C79,E79,"",100000000))</f>
        <v/>
      </c>
      <c r="M79" s="44"/>
      <c r="N79" s="47" t="str">
        <f>IF(C79="","",[1]!hks_val_pe(C79,基本资料!$I$9,基本资料!$G$9))</f>
        <v/>
      </c>
      <c r="O79" s="23" t="str">
        <f>IF(C79="","",[1]!hks_val_pe(C79,基本资料!$I$8,基本资料!$G$8))</f>
        <v/>
      </c>
      <c r="P79" s="23" t="str">
        <f>IF(C79="","",[1]!hks_val_pe_ttm(C79,E79))</f>
        <v/>
      </c>
      <c r="Q79" s="23" t="str">
        <f>IF(C79="","",[1]!s_val_estpe(C79,E79,YEAR([1]!s_stm_rpt_e(C79,基本资料!$I$8,0))+1))</f>
        <v/>
      </c>
      <c r="R79" s="48" t="str">
        <f>IF(C79="","",[1]!s_val_estpe(C79,E79,YEAR([1]!s_stm_rpt_e(C79,基本资料!$I$8,0))+2))</f>
        <v/>
      </c>
      <c r="S79" s="47" t="str">
        <f>IF(C79="","",[1]!hks_val_pb(C79,基本资料!$I$9,基本资料!$G$9))</f>
        <v/>
      </c>
      <c r="T79" s="23" t="str">
        <f>IF(C79="","",[1]!hks_val_pb(C79,基本资料!$I$8,基本资料!$G$8))</f>
        <v/>
      </c>
      <c r="U79" s="23" t="str">
        <f>IF(C79="","",[1]!pb_mrq(C79,E79))</f>
        <v/>
      </c>
      <c r="V79" s="23" t="str">
        <f>IF(C79="","",[1]!s_val_estpb(C79,E79,YEAR([1]!s_stm_rpt_e(C79,基本资料!$I$8,0))+1))</f>
        <v/>
      </c>
      <c r="W79" s="48" t="str">
        <f>IF(C79="","",[1]!s_val_estpb(C79,E79,YEAR([1]!s_stm_rpt_e(C79,基本资料!$I$8,0))+2))</f>
        <v/>
      </c>
      <c r="X79" s="47" t="str">
        <f>IF(C79="","",[1]!hks_val_ps(C79,基本资料!$I$9,基本资料!$G$9))</f>
        <v/>
      </c>
      <c r="Y79" s="23" t="str">
        <f>IF(C79="","",[1]!hks_val_ps(C79,基本资料!$I$8,基本资料!$G$8))</f>
        <v/>
      </c>
      <c r="Z79" s="48" t="str">
        <f>IF(C79="","",[1]!hks_val_ps_ttm(C79,E79))</f>
        <v/>
      </c>
      <c r="AA79" s="47" t="str">
        <f>IF(C79="","",[1]!hks_val_pcf(C79,基本资料!$I$9,基本资料!$G$9))</f>
        <v/>
      </c>
      <c r="AB79" s="23" t="str">
        <f>IF(C79="","",[1]!hks_val_pcf(C79,基本资料!$I$8,基本资料!$G$8))</f>
        <v/>
      </c>
      <c r="AC79" s="48" t="str">
        <f>IF(C79="","",[1]!hks_val_pcf_ttm(C79,E79))</f>
        <v/>
      </c>
      <c r="AD79" s="39" t="str">
        <f>IF(C79="","",[1]!s_val_evtoebitda2(C79,E79))</f>
        <v/>
      </c>
      <c r="AE79" s="47" t="str">
        <f>IF(C79="","",[1]!hks_val_ev2(C79,E79,"",1)/[1]!hks_fa_ebit2_ttm(C79,[1]!s_fa_latelyrd_bt(C79,[1]!lastradeday_s(C79,基本资料!$D$7)),"",1))</f>
        <v/>
      </c>
      <c r="AF79" s="35"/>
    </row>
    <row r="80" spans="1:32" s="36" customFormat="1" ht="16.5" x14ac:dyDescent="0.2">
      <c r="A80" s="2"/>
      <c r="B80" s="6"/>
      <c r="C80" s="28" t="str">
        <f>IF(表1[[#This Row],[列1]]="","",表1[[#This Row],[列1]])</f>
        <v/>
      </c>
      <c r="D80" s="19" t="str">
        <f>IF(C80="","",[1]!hks_info_name(C80))</f>
        <v/>
      </c>
      <c r="E80" s="19" t="str">
        <f ca="1">IF(C80="","",[1]!lastradeday_s(C80,TODAY()))</f>
        <v/>
      </c>
      <c r="F80" s="27" t="str">
        <f>IF(C80="","",[1]!hks_val_ev(C80,基本资料!$I$9,"",100000000))</f>
        <v/>
      </c>
      <c r="G80" s="23" t="str">
        <f>IF(C80="","",[1]!hks_val_ev(C80,基本资料!$I$8,"",100000000))</f>
        <v/>
      </c>
      <c r="H80" s="23" t="str">
        <f>IF(C80="","",[1]!hks_val_ev(C80,E80,"",100000000))</f>
        <v/>
      </c>
      <c r="I80" s="44"/>
      <c r="J80" s="27" t="str">
        <f>IF(C80="","",[1]!hks_val_mv_ard(C80,基本资料!$I$9,"",100000000))</f>
        <v/>
      </c>
      <c r="K80" s="23" t="str">
        <f>IF(C80="","",[1]!hks_val_mv_ard(C80,基本资料!$I$8,"",100000000))</f>
        <v/>
      </c>
      <c r="L80" s="45" t="str">
        <f>IF(C80="","",[1]!hks_val_mv_ard(C80,E80,"",100000000))</f>
        <v/>
      </c>
      <c r="M80" s="44"/>
      <c r="N80" s="47" t="str">
        <f>IF(C80="","",[1]!hks_val_pe(C80,基本资料!$I$9,基本资料!$G$9))</f>
        <v/>
      </c>
      <c r="O80" s="23" t="str">
        <f>IF(C80="","",[1]!hks_val_pe(C80,基本资料!$I$8,基本资料!$G$8))</f>
        <v/>
      </c>
      <c r="P80" s="23" t="str">
        <f>IF(C80="","",[1]!hks_val_pe_ttm(C80,E80))</f>
        <v/>
      </c>
      <c r="Q80" s="23" t="str">
        <f>IF(C80="","",[1]!s_val_estpe(C80,E80,YEAR([1]!s_stm_rpt_e(C80,基本资料!$I$8,0))+1))</f>
        <v/>
      </c>
      <c r="R80" s="48" t="str">
        <f>IF(C80="","",[1]!s_val_estpe(C80,E80,YEAR([1]!s_stm_rpt_e(C80,基本资料!$I$8,0))+2))</f>
        <v/>
      </c>
      <c r="S80" s="47" t="str">
        <f>IF(C80="","",[1]!hks_val_pb(C80,基本资料!$I$9,基本资料!$G$9))</f>
        <v/>
      </c>
      <c r="T80" s="23" t="str">
        <f>IF(C80="","",[1]!hks_val_pb(C80,基本资料!$I$8,基本资料!$G$8))</f>
        <v/>
      </c>
      <c r="U80" s="23" t="str">
        <f>IF(C80="","",[1]!pb_mrq(C80,E80))</f>
        <v/>
      </c>
      <c r="V80" s="23" t="str">
        <f>IF(C80="","",[1]!s_val_estpb(C80,E80,YEAR([1]!s_stm_rpt_e(C80,基本资料!$I$8,0))+1))</f>
        <v/>
      </c>
      <c r="W80" s="48" t="str">
        <f>IF(C80="","",[1]!s_val_estpb(C80,E80,YEAR([1]!s_stm_rpt_e(C80,基本资料!$I$8,0))+2))</f>
        <v/>
      </c>
      <c r="X80" s="47" t="str">
        <f>IF(C80="","",[1]!hks_val_ps(C80,基本资料!$I$9,基本资料!$G$9))</f>
        <v/>
      </c>
      <c r="Y80" s="23" t="str">
        <f>IF(C80="","",[1]!hks_val_ps(C80,基本资料!$I$8,基本资料!$G$8))</f>
        <v/>
      </c>
      <c r="Z80" s="48" t="str">
        <f>IF(C80="","",[1]!hks_val_ps_ttm(C80,E80))</f>
        <v/>
      </c>
      <c r="AA80" s="47" t="str">
        <f>IF(C80="","",[1]!hks_val_pcf(C80,基本资料!$I$9,基本资料!$G$9))</f>
        <v/>
      </c>
      <c r="AB80" s="23" t="str">
        <f>IF(C80="","",[1]!hks_val_pcf(C80,基本资料!$I$8,基本资料!$G$8))</f>
        <v/>
      </c>
      <c r="AC80" s="48" t="str">
        <f>IF(C80="","",[1]!hks_val_pcf_ttm(C80,E80))</f>
        <v/>
      </c>
      <c r="AD80" s="39" t="str">
        <f>IF(C80="","",[1]!s_val_evtoebitda2(C80,E80))</f>
        <v/>
      </c>
      <c r="AE80" s="47" t="str">
        <f>IF(C80="","",[1]!hks_val_ev2(C80,E80,"",1)/[1]!hks_fa_ebit2_ttm(C80,[1]!s_fa_latelyrd_bt(C80,[1]!lastradeday_s(C80,基本资料!$D$7)),"",1))</f>
        <v/>
      </c>
      <c r="AF80" s="35"/>
    </row>
    <row r="81" spans="1:32" s="36" customFormat="1" ht="16.5" x14ac:dyDescent="0.2">
      <c r="A81" s="2"/>
      <c r="B81" s="6"/>
      <c r="C81" s="28" t="str">
        <f>IF(表1[[#This Row],[列1]]="","",表1[[#This Row],[列1]])</f>
        <v/>
      </c>
      <c r="D81" s="19" t="str">
        <f>IF(C81="","",[1]!hks_info_name(C81))</f>
        <v/>
      </c>
      <c r="E81" s="19" t="str">
        <f ca="1">IF(C81="","",[1]!lastradeday_s(C81,TODAY()))</f>
        <v/>
      </c>
      <c r="F81" s="27" t="str">
        <f>IF(C81="","",[1]!hks_val_ev(C81,基本资料!$I$9,"",100000000))</f>
        <v/>
      </c>
      <c r="G81" s="23" t="str">
        <f>IF(C81="","",[1]!hks_val_ev(C81,基本资料!$I$8,"",100000000))</f>
        <v/>
      </c>
      <c r="H81" s="23" t="str">
        <f>IF(C81="","",[1]!hks_val_ev(C81,E81,"",100000000))</f>
        <v/>
      </c>
      <c r="I81" s="44"/>
      <c r="J81" s="27" t="str">
        <f>IF(C81="","",[1]!hks_val_mv_ard(C81,基本资料!$I$9,"",100000000))</f>
        <v/>
      </c>
      <c r="K81" s="23" t="str">
        <f>IF(C81="","",[1]!hks_val_mv_ard(C81,基本资料!$I$8,"",100000000))</f>
        <v/>
      </c>
      <c r="L81" s="45" t="str">
        <f>IF(C81="","",[1]!hks_val_mv_ard(C81,E81,"",100000000))</f>
        <v/>
      </c>
      <c r="M81" s="44"/>
      <c r="N81" s="47" t="str">
        <f>IF(C81="","",[1]!hks_val_pe(C81,基本资料!$I$9,基本资料!$G$9))</f>
        <v/>
      </c>
      <c r="O81" s="23" t="str">
        <f>IF(C81="","",[1]!hks_val_pe(C81,基本资料!$I$8,基本资料!$G$8))</f>
        <v/>
      </c>
      <c r="P81" s="23" t="str">
        <f>IF(C81="","",[1]!hks_val_pe_ttm(C81,E81))</f>
        <v/>
      </c>
      <c r="Q81" s="23" t="str">
        <f>IF(C81="","",[1]!s_val_estpe(C81,E81,YEAR([1]!s_stm_rpt_e(C81,基本资料!$I$8,0))+1))</f>
        <v/>
      </c>
      <c r="R81" s="48" t="str">
        <f>IF(C81="","",[1]!s_val_estpe(C81,E81,YEAR([1]!s_stm_rpt_e(C81,基本资料!$I$8,0))+2))</f>
        <v/>
      </c>
      <c r="S81" s="47" t="str">
        <f>IF(C81="","",[1]!hks_val_pb(C81,基本资料!$I$9,基本资料!$G$9))</f>
        <v/>
      </c>
      <c r="T81" s="23" t="str">
        <f>IF(C81="","",[1]!hks_val_pb(C81,基本资料!$I$8,基本资料!$G$8))</f>
        <v/>
      </c>
      <c r="U81" s="23" t="str">
        <f>IF(C81="","",[1]!pb_mrq(C81,E81))</f>
        <v/>
      </c>
      <c r="V81" s="23" t="str">
        <f>IF(C81="","",[1]!s_val_estpb(C81,E81,YEAR([1]!s_stm_rpt_e(C81,基本资料!$I$8,0))+1))</f>
        <v/>
      </c>
      <c r="W81" s="48" t="str">
        <f>IF(C81="","",[1]!s_val_estpb(C81,E81,YEAR([1]!s_stm_rpt_e(C81,基本资料!$I$8,0))+2))</f>
        <v/>
      </c>
      <c r="X81" s="47" t="str">
        <f>IF(C81="","",[1]!hks_val_ps(C81,基本资料!$I$9,基本资料!$G$9))</f>
        <v/>
      </c>
      <c r="Y81" s="23" t="str">
        <f>IF(C81="","",[1]!hks_val_ps(C81,基本资料!$I$8,基本资料!$G$8))</f>
        <v/>
      </c>
      <c r="Z81" s="48" t="str">
        <f>IF(C81="","",[1]!hks_val_ps_ttm(C81,E81))</f>
        <v/>
      </c>
      <c r="AA81" s="47" t="str">
        <f>IF(C81="","",[1]!hks_val_pcf(C81,基本资料!$I$9,基本资料!$G$9))</f>
        <v/>
      </c>
      <c r="AB81" s="23" t="str">
        <f>IF(C81="","",[1]!hks_val_pcf(C81,基本资料!$I$8,基本资料!$G$8))</f>
        <v/>
      </c>
      <c r="AC81" s="48" t="str">
        <f>IF(C81="","",[1]!hks_val_pcf_ttm(C81,E81))</f>
        <v/>
      </c>
      <c r="AD81" s="39" t="str">
        <f>IF(C81="","",[1]!s_val_evtoebitda2(C81,E81))</f>
        <v/>
      </c>
      <c r="AE81" s="47" t="str">
        <f>IF(C81="","",[1]!hks_val_ev2(C81,E81,"",1)/[1]!hks_fa_ebit2_ttm(C81,[1]!s_fa_latelyrd_bt(C81,[1]!lastradeday_s(C81,基本资料!$D$7)),"",1))</f>
        <v/>
      </c>
      <c r="AF81" s="35"/>
    </row>
    <row r="82" spans="1:32" s="36" customFormat="1" ht="16.5" x14ac:dyDescent="0.2">
      <c r="A82" s="2"/>
      <c r="B82" s="6"/>
      <c r="C82" s="28" t="str">
        <f>IF(表1[[#This Row],[列1]]="","",表1[[#This Row],[列1]])</f>
        <v/>
      </c>
      <c r="D82" s="19" t="str">
        <f>IF(C82="","",[1]!hks_info_name(C82))</f>
        <v/>
      </c>
      <c r="E82" s="19" t="str">
        <f ca="1">IF(C82="","",[1]!lastradeday_s(C82,TODAY()))</f>
        <v/>
      </c>
      <c r="F82" s="27" t="str">
        <f>IF(C82="","",[1]!hks_val_ev(C82,基本资料!$I$9,"",100000000))</f>
        <v/>
      </c>
      <c r="G82" s="23" t="str">
        <f>IF(C82="","",[1]!hks_val_ev(C82,基本资料!$I$8,"",100000000))</f>
        <v/>
      </c>
      <c r="H82" s="23" t="str">
        <f>IF(C82="","",[1]!hks_val_ev(C82,E82,"",100000000))</f>
        <v/>
      </c>
      <c r="I82" s="44"/>
      <c r="J82" s="27" t="str">
        <f>IF(C82="","",[1]!hks_val_mv_ard(C82,基本资料!$I$9,"",100000000))</f>
        <v/>
      </c>
      <c r="K82" s="23" t="str">
        <f>IF(C82="","",[1]!hks_val_mv_ard(C82,基本资料!$I$8,"",100000000))</f>
        <v/>
      </c>
      <c r="L82" s="45" t="str">
        <f>IF(C82="","",[1]!hks_val_mv_ard(C82,E82,"",100000000))</f>
        <v/>
      </c>
      <c r="M82" s="44"/>
      <c r="N82" s="47" t="str">
        <f>IF(C82="","",[1]!hks_val_pe(C82,基本资料!$I$9,基本资料!$G$9))</f>
        <v/>
      </c>
      <c r="O82" s="23" t="str">
        <f>IF(C82="","",[1]!hks_val_pe(C82,基本资料!$I$8,基本资料!$G$8))</f>
        <v/>
      </c>
      <c r="P82" s="23" t="str">
        <f>IF(C82="","",[1]!hks_val_pe_ttm(C82,E82))</f>
        <v/>
      </c>
      <c r="Q82" s="23" t="str">
        <f>IF(C82="","",[1]!s_val_estpe(C82,E82,YEAR([1]!s_stm_rpt_e(C82,基本资料!$I$8,0))+1))</f>
        <v/>
      </c>
      <c r="R82" s="48" t="str">
        <f>IF(C82="","",[1]!s_val_estpe(C82,E82,YEAR([1]!s_stm_rpt_e(C82,基本资料!$I$8,0))+2))</f>
        <v/>
      </c>
      <c r="S82" s="47" t="str">
        <f>IF(C82="","",[1]!hks_val_pb(C82,基本资料!$I$9,基本资料!$G$9))</f>
        <v/>
      </c>
      <c r="T82" s="23" t="str">
        <f>IF(C82="","",[1]!hks_val_pb(C82,基本资料!$I$8,基本资料!$G$8))</f>
        <v/>
      </c>
      <c r="U82" s="23" t="str">
        <f>IF(C82="","",[1]!pb_mrq(C82,E82))</f>
        <v/>
      </c>
      <c r="V82" s="23" t="str">
        <f>IF(C82="","",[1]!s_val_estpb(C82,E82,YEAR([1]!s_stm_rpt_e(C82,基本资料!$I$8,0))+1))</f>
        <v/>
      </c>
      <c r="W82" s="48" t="str">
        <f>IF(C82="","",[1]!s_val_estpb(C82,E82,YEAR([1]!s_stm_rpt_e(C82,基本资料!$I$8,0))+2))</f>
        <v/>
      </c>
      <c r="X82" s="47" t="str">
        <f>IF(C82="","",[1]!hks_val_ps(C82,基本资料!$I$9,基本资料!$G$9))</f>
        <v/>
      </c>
      <c r="Y82" s="23" t="str">
        <f>IF(C82="","",[1]!hks_val_ps(C82,基本资料!$I$8,基本资料!$G$8))</f>
        <v/>
      </c>
      <c r="Z82" s="48" t="str">
        <f>IF(C82="","",[1]!hks_val_ps_ttm(C82,E82))</f>
        <v/>
      </c>
      <c r="AA82" s="47" t="str">
        <f>IF(C82="","",[1]!hks_val_pcf(C82,基本资料!$I$9,基本资料!$G$9))</f>
        <v/>
      </c>
      <c r="AB82" s="23" t="str">
        <f>IF(C82="","",[1]!hks_val_pcf(C82,基本资料!$I$8,基本资料!$G$8))</f>
        <v/>
      </c>
      <c r="AC82" s="48" t="str">
        <f>IF(C82="","",[1]!hks_val_pcf_ttm(C82,E82))</f>
        <v/>
      </c>
      <c r="AD82" s="39" t="str">
        <f>IF(C82="","",[1]!s_val_evtoebitda2(C82,E82))</f>
        <v/>
      </c>
      <c r="AE82" s="47" t="str">
        <f>IF(C82="","",[1]!hks_val_ev2(C82,E82,"",1)/[1]!hks_fa_ebit2_ttm(C82,[1]!s_fa_latelyrd_bt(C82,[1]!lastradeday_s(C82,基本资料!$D$7)),"",1))</f>
        <v/>
      </c>
      <c r="AF82" s="35"/>
    </row>
    <row r="83" spans="1:32" s="36" customFormat="1" ht="16.5" x14ac:dyDescent="0.2">
      <c r="A83" s="2"/>
      <c r="B83" s="6"/>
      <c r="C83" s="28" t="str">
        <f>IF(表1[[#This Row],[列1]]="","",表1[[#This Row],[列1]])</f>
        <v/>
      </c>
      <c r="D83" s="19" t="str">
        <f>IF(C83="","",[1]!hks_info_name(C83))</f>
        <v/>
      </c>
      <c r="E83" s="19" t="str">
        <f ca="1">IF(C83="","",[1]!lastradeday_s(C83,TODAY()))</f>
        <v/>
      </c>
      <c r="F83" s="27" t="str">
        <f>IF(C83="","",[1]!hks_val_ev(C83,基本资料!$I$9,"",100000000))</f>
        <v/>
      </c>
      <c r="G83" s="23" t="str">
        <f>IF(C83="","",[1]!hks_val_ev(C83,基本资料!$I$8,"",100000000))</f>
        <v/>
      </c>
      <c r="H83" s="23" t="str">
        <f>IF(C83="","",[1]!hks_val_ev(C83,E83,"",100000000))</f>
        <v/>
      </c>
      <c r="I83" s="44"/>
      <c r="J83" s="27" t="str">
        <f>IF(C83="","",[1]!hks_val_mv_ard(C83,基本资料!$I$9,"",100000000))</f>
        <v/>
      </c>
      <c r="K83" s="23" t="str">
        <f>IF(C83="","",[1]!hks_val_mv_ard(C83,基本资料!$I$8,"",100000000))</f>
        <v/>
      </c>
      <c r="L83" s="45" t="str">
        <f>IF(C83="","",[1]!hks_val_mv_ard(C83,E83,"",100000000))</f>
        <v/>
      </c>
      <c r="M83" s="44"/>
      <c r="N83" s="47" t="str">
        <f>IF(C83="","",[1]!hks_val_pe(C83,基本资料!$I$9,基本资料!$G$9))</f>
        <v/>
      </c>
      <c r="O83" s="23" t="str">
        <f>IF(C83="","",[1]!hks_val_pe(C83,基本资料!$I$8,基本资料!$G$8))</f>
        <v/>
      </c>
      <c r="P83" s="23" t="str">
        <f>IF(C83="","",[1]!hks_val_pe_ttm(C83,E83))</f>
        <v/>
      </c>
      <c r="Q83" s="23" t="str">
        <f>IF(C83="","",[1]!s_val_estpe(C83,E83,YEAR([1]!s_stm_rpt_e(C83,基本资料!$I$8,0))+1))</f>
        <v/>
      </c>
      <c r="R83" s="48" t="str">
        <f>IF(C83="","",[1]!s_val_estpe(C83,E83,YEAR([1]!s_stm_rpt_e(C83,基本资料!$I$8,0))+2))</f>
        <v/>
      </c>
      <c r="S83" s="47" t="str">
        <f>IF(C83="","",[1]!hks_val_pb(C83,基本资料!$I$9,基本资料!$G$9))</f>
        <v/>
      </c>
      <c r="T83" s="23" t="str">
        <f>IF(C83="","",[1]!hks_val_pb(C83,基本资料!$I$8,基本资料!$G$8))</f>
        <v/>
      </c>
      <c r="U83" s="23" t="str">
        <f>IF(C83="","",[1]!pb_mrq(C83,E83))</f>
        <v/>
      </c>
      <c r="V83" s="23" t="str">
        <f>IF(C83="","",[1]!s_val_estpb(C83,E83,YEAR([1]!s_stm_rpt_e(C83,基本资料!$I$8,0))+1))</f>
        <v/>
      </c>
      <c r="W83" s="48" t="str">
        <f>IF(C83="","",[1]!s_val_estpb(C83,E83,YEAR([1]!s_stm_rpt_e(C83,基本资料!$I$8,0))+2))</f>
        <v/>
      </c>
      <c r="X83" s="47" t="str">
        <f>IF(C83="","",[1]!hks_val_ps(C83,基本资料!$I$9,基本资料!$G$9))</f>
        <v/>
      </c>
      <c r="Y83" s="23" t="str">
        <f>IF(C83="","",[1]!hks_val_ps(C83,基本资料!$I$8,基本资料!$G$8))</f>
        <v/>
      </c>
      <c r="Z83" s="48" t="str">
        <f>IF(C83="","",[1]!hks_val_ps_ttm(C83,E83))</f>
        <v/>
      </c>
      <c r="AA83" s="47" t="str">
        <f>IF(C83="","",[1]!hks_val_pcf(C83,基本资料!$I$9,基本资料!$G$9))</f>
        <v/>
      </c>
      <c r="AB83" s="23" t="str">
        <f>IF(C83="","",[1]!hks_val_pcf(C83,基本资料!$I$8,基本资料!$G$8))</f>
        <v/>
      </c>
      <c r="AC83" s="48" t="str">
        <f>IF(C83="","",[1]!hks_val_pcf_ttm(C83,E83))</f>
        <v/>
      </c>
      <c r="AD83" s="39" t="str">
        <f>IF(C83="","",[1]!s_val_evtoebitda2(C83,E83))</f>
        <v/>
      </c>
      <c r="AE83" s="47" t="str">
        <f>IF(C83="","",[1]!hks_val_ev2(C83,E83,"",1)/[1]!hks_fa_ebit2_ttm(C83,[1]!s_fa_latelyrd_bt(C83,[1]!lastradeday_s(C83,基本资料!$D$7)),"",1))</f>
        <v/>
      </c>
      <c r="AF83" s="35"/>
    </row>
    <row r="84" spans="1:32" s="36" customFormat="1" ht="16.5" x14ac:dyDescent="0.2">
      <c r="A84" s="2"/>
      <c r="B84" s="6"/>
      <c r="C84" s="28" t="str">
        <f>IF(表1[[#This Row],[列1]]="","",表1[[#This Row],[列1]])</f>
        <v/>
      </c>
      <c r="D84" s="19" t="str">
        <f>IF(C84="","",[1]!hks_info_name(C84))</f>
        <v/>
      </c>
      <c r="E84" s="19" t="str">
        <f ca="1">IF(C84="","",[1]!lastradeday_s(C84,TODAY()))</f>
        <v/>
      </c>
      <c r="F84" s="27" t="str">
        <f>IF(C84="","",[1]!hks_val_ev(C84,基本资料!$I$9,"",100000000))</f>
        <v/>
      </c>
      <c r="G84" s="23" t="str">
        <f>IF(C84="","",[1]!hks_val_ev(C84,基本资料!$I$8,"",100000000))</f>
        <v/>
      </c>
      <c r="H84" s="23" t="str">
        <f>IF(C84="","",[1]!hks_val_ev(C84,E84,"",100000000))</f>
        <v/>
      </c>
      <c r="I84" s="44"/>
      <c r="J84" s="27" t="str">
        <f>IF(C84="","",[1]!hks_val_mv_ard(C84,基本资料!$I$9,"",100000000))</f>
        <v/>
      </c>
      <c r="K84" s="23" t="str">
        <f>IF(C84="","",[1]!hks_val_mv_ard(C84,基本资料!$I$8,"",100000000))</f>
        <v/>
      </c>
      <c r="L84" s="45" t="str">
        <f>IF(C84="","",[1]!hks_val_mv_ard(C84,E84,"",100000000))</f>
        <v/>
      </c>
      <c r="M84" s="44"/>
      <c r="N84" s="47" t="str">
        <f>IF(C84="","",[1]!hks_val_pe(C84,基本资料!$I$9,基本资料!$G$9))</f>
        <v/>
      </c>
      <c r="O84" s="23" t="str">
        <f>IF(C84="","",[1]!hks_val_pe(C84,基本资料!$I$8,基本资料!$G$8))</f>
        <v/>
      </c>
      <c r="P84" s="23" t="str">
        <f>IF(C84="","",[1]!hks_val_pe_ttm(C84,E84))</f>
        <v/>
      </c>
      <c r="Q84" s="23" t="str">
        <f>IF(C84="","",[1]!s_val_estpe(C84,E84,YEAR([1]!s_stm_rpt_e(C84,基本资料!$I$8,0))+1))</f>
        <v/>
      </c>
      <c r="R84" s="48" t="str">
        <f>IF(C84="","",[1]!s_val_estpe(C84,E84,YEAR([1]!s_stm_rpt_e(C84,基本资料!$I$8,0))+2))</f>
        <v/>
      </c>
      <c r="S84" s="47" t="str">
        <f>IF(C84="","",[1]!hks_val_pb(C84,基本资料!$I$9,基本资料!$G$9))</f>
        <v/>
      </c>
      <c r="T84" s="23" t="str">
        <f>IF(C84="","",[1]!hks_val_pb(C84,基本资料!$I$8,基本资料!$G$8))</f>
        <v/>
      </c>
      <c r="U84" s="23" t="str">
        <f>IF(C84="","",[1]!pb_mrq(C84,E84))</f>
        <v/>
      </c>
      <c r="V84" s="23" t="str">
        <f>IF(C84="","",[1]!s_val_estpb(C84,E84,YEAR([1]!s_stm_rpt_e(C84,基本资料!$I$8,0))+1))</f>
        <v/>
      </c>
      <c r="W84" s="48" t="str">
        <f>IF(C84="","",[1]!s_val_estpb(C84,E84,YEAR([1]!s_stm_rpt_e(C84,基本资料!$I$8,0))+2))</f>
        <v/>
      </c>
      <c r="X84" s="47" t="str">
        <f>IF(C84="","",[1]!hks_val_ps(C84,基本资料!$I$9,基本资料!$G$9))</f>
        <v/>
      </c>
      <c r="Y84" s="23" t="str">
        <f>IF(C84="","",[1]!hks_val_ps(C84,基本资料!$I$8,基本资料!$G$8))</f>
        <v/>
      </c>
      <c r="Z84" s="48" t="str">
        <f>IF(C84="","",[1]!hks_val_ps_ttm(C84,E84))</f>
        <v/>
      </c>
      <c r="AA84" s="47" t="str">
        <f>IF(C84="","",[1]!hks_val_pcf(C84,基本资料!$I$9,基本资料!$G$9))</f>
        <v/>
      </c>
      <c r="AB84" s="23" t="str">
        <f>IF(C84="","",[1]!hks_val_pcf(C84,基本资料!$I$8,基本资料!$G$8))</f>
        <v/>
      </c>
      <c r="AC84" s="48" t="str">
        <f>IF(C84="","",[1]!hks_val_pcf_ttm(C84,E84))</f>
        <v/>
      </c>
      <c r="AD84" s="39" t="str">
        <f>IF(C84="","",[1]!s_val_evtoebitda2(C84,E84))</f>
        <v/>
      </c>
      <c r="AE84" s="47" t="str">
        <f>IF(C84="","",[1]!hks_val_ev2(C84,E84,"",1)/[1]!hks_fa_ebit2_ttm(C84,[1]!s_fa_latelyrd_bt(C84,[1]!lastradeday_s(C84,基本资料!$D$7)),"",1))</f>
        <v/>
      </c>
      <c r="AF84" s="35"/>
    </row>
    <row r="85" spans="1:32" s="36" customFormat="1" ht="16.5" x14ac:dyDescent="0.2">
      <c r="A85" s="2"/>
      <c r="B85" s="6"/>
      <c r="C85" s="28" t="str">
        <f>IF(表1[[#This Row],[列1]]="","",表1[[#This Row],[列1]])</f>
        <v/>
      </c>
      <c r="D85" s="19" t="str">
        <f>IF(C85="","",[1]!hks_info_name(C85))</f>
        <v/>
      </c>
      <c r="E85" s="19" t="str">
        <f ca="1">IF(C85="","",[1]!lastradeday_s(C85,TODAY()))</f>
        <v/>
      </c>
      <c r="F85" s="27" t="str">
        <f>IF(C85="","",[1]!hks_val_ev(C85,基本资料!$I$9,"",100000000))</f>
        <v/>
      </c>
      <c r="G85" s="23" t="str">
        <f>IF(C85="","",[1]!hks_val_ev(C85,基本资料!$I$8,"",100000000))</f>
        <v/>
      </c>
      <c r="H85" s="23" t="str">
        <f>IF(C85="","",[1]!hks_val_ev(C85,E85,"",100000000))</f>
        <v/>
      </c>
      <c r="I85" s="44"/>
      <c r="J85" s="27" t="str">
        <f>IF(C85="","",[1]!hks_val_mv_ard(C85,基本资料!$I$9,"",100000000))</f>
        <v/>
      </c>
      <c r="K85" s="23" t="str">
        <f>IF(C85="","",[1]!hks_val_mv_ard(C85,基本资料!$I$8,"",100000000))</f>
        <v/>
      </c>
      <c r="L85" s="45" t="str">
        <f>IF(C85="","",[1]!hks_val_mv_ard(C85,E85,"",100000000))</f>
        <v/>
      </c>
      <c r="M85" s="44"/>
      <c r="N85" s="47" t="str">
        <f>IF(C85="","",[1]!hks_val_pe(C85,基本资料!$I$9,基本资料!$G$9))</f>
        <v/>
      </c>
      <c r="O85" s="23" t="str">
        <f>IF(C85="","",[1]!hks_val_pe(C85,基本资料!$I$8,基本资料!$G$8))</f>
        <v/>
      </c>
      <c r="P85" s="23" t="str">
        <f>IF(C85="","",[1]!hks_val_pe_ttm(C85,E85))</f>
        <v/>
      </c>
      <c r="Q85" s="23" t="str">
        <f>IF(C85="","",[1]!s_val_estpe(C85,E85,YEAR([1]!s_stm_rpt_e(C85,基本资料!$I$8,0))+1))</f>
        <v/>
      </c>
      <c r="R85" s="48" t="str">
        <f>IF(C85="","",[1]!s_val_estpe(C85,E85,YEAR([1]!s_stm_rpt_e(C85,基本资料!$I$8,0))+2))</f>
        <v/>
      </c>
      <c r="S85" s="47" t="str">
        <f>IF(C85="","",[1]!hks_val_pb(C85,基本资料!$I$9,基本资料!$G$9))</f>
        <v/>
      </c>
      <c r="T85" s="23" t="str">
        <f>IF(C85="","",[1]!hks_val_pb(C85,基本资料!$I$8,基本资料!$G$8))</f>
        <v/>
      </c>
      <c r="U85" s="23" t="str">
        <f>IF(C85="","",[1]!pb_mrq(C85,E85))</f>
        <v/>
      </c>
      <c r="V85" s="23" t="str">
        <f>IF(C85="","",[1]!s_val_estpb(C85,E85,YEAR([1]!s_stm_rpt_e(C85,基本资料!$I$8,0))+1))</f>
        <v/>
      </c>
      <c r="W85" s="48" t="str">
        <f>IF(C85="","",[1]!s_val_estpb(C85,E85,YEAR([1]!s_stm_rpt_e(C85,基本资料!$I$8,0))+2))</f>
        <v/>
      </c>
      <c r="X85" s="47" t="str">
        <f>IF(C85="","",[1]!hks_val_ps(C85,基本资料!$I$9,基本资料!$G$9))</f>
        <v/>
      </c>
      <c r="Y85" s="23" t="str">
        <f>IF(C85="","",[1]!hks_val_ps(C85,基本资料!$I$8,基本资料!$G$8))</f>
        <v/>
      </c>
      <c r="Z85" s="48" t="str">
        <f>IF(C85="","",[1]!hks_val_ps_ttm(C85,E85))</f>
        <v/>
      </c>
      <c r="AA85" s="47" t="str">
        <f>IF(C85="","",[1]!hks_val_pcf(C85,基本资料!$I$9,基本资料!$G$9))</f>
        <v/>
      </c>
      <c r="AB85" s="23" t="str">
        <f>IF(C85="","",[1]!hks_val_pcf(C85,基本资料!$I$8,基本资料!$G$8))</f>
        <v/>
      </c>
      <c r="AC85" s="48" t="str">
        <f>IF(C85="","",[1]!hks_val_pcf_ttm(C85,E85))</f>
        <v/>
      </c>
      <c r="AD85" s="39" t="str">
        <f>IF(C85="","",[1]!s_val_evtoebitda2(C85,E85))</f>
        <v/>
      </c>
      <c r="AE85" s="47" t="str">
        <f>IF(C85="","",[1]!hks_val_ev2(C85,E85,"",1)/[1]!hks_fa_ebit2_ttm(C85,[1]!s_fa_latelyrd_bt(C85,[1]!lastradeday_s(C85,基本资料!$D$7)),"",1))</f>
        <v/>
      </c>
      <c r="AF85" s="35"/>
    </row>
    <row r="86" spans="1:32" s="36" customFormat="1" ht="16.5" x14ac:dyDescent="0.2">
      <c r="A86" s="2"/>
      <c r="B86" s="6"/>
      <c r="C86" s="28" t="str">
        <f>IF(表1[[#This Row],[列1]]="","",表1[[#This Row],[列1]])</f>
        <v/>
      </c>
      <c r="D86" s="19" t="str">
        <f>IF(C86="","",[1]!hks_info_name(C86))</f>
        <v/>
      </c>
      <c r="E86" s="19" t="str">
        <f ca="1">IF(C86="","",[1]!lastradeday_s(C86,TODAY()))</f>
        <v/>
      </c>
      <c r="F86" s="27" t="str">
        <f>IF(C86="","",[1]!hks_val_ev(C86,基本资料!$I$9,"",100000000))</f>
        <v/>
      </c>
      <c r="G86" s="23" t="str">
        <f>IF(C86="","",[1]!hks_val_ev(C86,基本资料!$I$8,"",100000000))</f>
        <v/>
      </c>
      <c r="H86" s="23" t="str">
        <f>IF(C86="","",[1]!hks_val_ev(C86,E86,"",100000000))</f>
        <v/>
      </c>
      <c r="I86" s="44"/>
      <c r="J86" s="27" t="str">
        <f>IF(C86="","",[1]!hks_val_mv_ard(C86,基本资料!$I$9,"",100000000))</f>
        <v/>
      </c>
      <c r="K86" s="23" t="str">
        <f>IF(C86="","",[1]!hks_val_mv_ard(C86,基本资料!$I$8,"",100000000))</f>
        <v/>
      </c>
      <c r="L86" s="45" t="str">
        <f>IF(C86="","",[1]!hks_val_mv_ard(C86,E86,"",100000000))</f>
        <v/>
      </c>
      <c r="M86" s="44"/>
      <c r="N86" s="47" t="str">
        <f>IF(C86="","",[1]!hks_val_pe(C86,基本资料!$I$9,基本资料!$G$9))</f>
        <v/>
      </c>
      <c r="O86" s="23" t="str">
        <f>IF(C86="","",[1]!hks_val_pe(C86,基本资料!$I$8,基本资料!$G$8))</f>
        <v/>
      </c>
      <c r="P86" s="23" t="str">
        <f>IF(C86="","",[1]!hks_val_pe_ttm(C86,E86))</f>
        <v/>
      </c>
      <c r="Q86" s="23" t="str">
        <f>IF(C86="","",[1]!s_val_estpe(C86,E86,YEAR([1]!s_stm_rpt_e(C86,基本资料!$I$8,0))+1))</f>
        <v/>
      </c>
      <c r="R86" s="48" t="str">
        <f>IF(C86="","",[1]!s_val_estpe(C86,E86,YEAR([1]!s_stm_rpt_e(C86,基本资料!$I$8,0))+2))</f>
        <v/>
      </c>
      <c r="S86" s="47" t="str">
        <f>IF(C86="","",[1]!hks_val_pb(C86,基本资料!$I$9,基本资料!$G$9))</f>
        <v/>
      </c>
      <c r="T86" s="23" t="str">
        <f>IF(C86="","",[1]!hks_val_pb(C86,基本资料!$I$8,基本资料!$G$8))</f>
        <v/>
      </c>
      <c r="U86" s="23" t="str">
        <f>IF(C86="","",[1]!pb_mrq(C86,E86))</f>
        <v/>
      </c>
      <c r="V86" s="23" t="str">
        <f>IF(C86="","",[1]!s_val_estpb(C86,E86,YEAR([1]!s_stm_rpt_e(C86,基本资料!$I$8,0))+1))</f>
        <v/>
      </c>
      <c r="W86" s="48" t="str">
        <f>IF(C86="","",[1]!s_val_estpb(C86,E86,YEAR([1]!s_stm_rpt_e(C86,基本资料!$I$8,0))+2))</f>
        <v/>
      </c>
      <c r="X86" s="47" t="str">
        <f>IF(C86="","",[1]!hks_val_ps(C86,基本资料!$I$9,基本资料!$G$9))</f>
        <v/>
      </c>
      <c r="Y86" s="23" t="str">
        <f>IF(C86="","",[1]!hks_val_ps(C86,基本资料!$I$8,基本资料!$G$8))</f>
        <v/>
      </c>
      <c r="Z86" s="48" t="str">
        <f>IF(C86="","",[1]!hks_val_ps_ttm(C86,E86))</f>
        <v/>
      </c>
      <c r="AA86" s="47" t="str">
        <f>IF(C86="","",[1]!hks_val_pcf(C86,基本资料!$I$9,基本资料!$G$9))</f>
        <v/>
      </c>
      <c r="AB86" s="23" t="str">
        <f>IF(C86="","",[1]!hks_val_pcf(C86,基本资料!$I$8,基本资料!$G$8))</f>
        <v/>
      </c>
      <c r="AC86" s="48" t="str">
        <f>IF(C86="","",[1]!hks_val_pcf_ttm(C86,E86))</f>
        <v/>
      </c>
      <c r="AD86" s="39" t="str">
        <f>IF(C86="","",[1]!s_val_evtoebitda2(C86,E86))</f>
        <v/>
      </c>
      <c r="AE86" s="47" t="str">
        <f>IF(C86="","",[1]!hks_val_ev2(C86,E86,"",1)/[1]!hks_fa_ebit2_ttm(C86,[1]!s_fa_latelyrd_bt(C86,[1]!lastradeday_s(C86,基本资料!$D$7)),"",1))</f>
        <v/>
      </c>
      <c r="AF86" s="35"/>
    </row>
    <row r="87" spans="1:32" s="36" customFormat="1" ht="16.5" x14ac:dyDescent="0.2">
      <c r="A87" s="2"/>
      <c r="B87" s="6"/>
      <c r="C87" s="28" t="str">
        <f>IF(表1[[#This Row],[列1]]="","",表1[[#This Row],[列1]])</f>
        <v/>
      </c>
      <c r="D87" s="19" t="str">
        <f>IF(C87="","",[1]!hks_info_name(C87))</f>
        <v/>
      </c>
      <c r="E87" s="19" t="str">
        <f ca="1">IF(C87="","",[1]!lastradeday_s(C87,TODAY()))</f>
        <v/>
      </c>
      <c r="F87" s="27" t="str">
        <f>IF(C87="","",[1]!hks_val_ev(C87,基本资料!$I$9,"",100000000))</f>
        <v/>
      </c>
      <c r="G87" s="23" t="str">
        <f>IF(C87="","",[1]!hks_val_ev(C87,基本资料!$I$8,"",100000000))</f>
        <v/>
      </c>
      <c r="H87" s="23" t="str">
        <f>IF(C87="","",[1]!hks_val_ev(C87,E87,"",100000000))</f>
        <v/>
      </c>
      <c r="I87" s="44"/>
      <c r="J87" s="27" t="str">
        <f>IF(C87="","",[1]!hks_val_mv_ard(C87,基本资料!$I$9,"",100000000))</f>
        <v/>
      </c>
      <c r="K87" s="23" t="str">
        <f>IF(C87="","",[1]!hks_val_mv_ard(C87,基本资料!$I$8,"",100000000))</f>
        <v/>
      </c>
      <c r="L87" s="45" t="str">
        <f>IF(C87="","",[1]!hks_val_mv_ard(C87,E87,"",100000000))</f>
        <v/>
      </c>
      <c r="M87" s="44"/>
      <c r="N87" s="47" t="str">
        <f>IF(C87="","",[1]!hks_val_pe(C87,基本资料!$I$9,基本资料!$G$9))</f>
        <v/>
      </c>
      <c r="O87" s="23" t="str">
        <f>IF(C87="","",[1]!hks_val_pe(C87,基本资料!$I$8,基本资料!$G$8))</f>
        <v/>
      </c>
      <c r="P87" s="23" t="str">
        <f>IF(C87="","",[1]!hks_val_pe_ttm(C87,E87))</f>
        <v/>
      </c>
      <c r="Q87" s="23" t="str">
        <f>IF(C87="","",[1]!s_val_estpe(C87,E87,YEAR([1]!s_stm_rpt_e(C87,基本资料!$I$8,0))+1))</f>
        <v/>
      </c>
      <c r="R87" s="48" t="str">
        <f>IF(C87="","",[1]!s_val_estpe(C87,E87,YEAR([1]!s_stm_rpt_e(C87,基本资料!$I$8,0))+2))</f>
        <v/>
      </c>
      <c r="S87" s="47" t="str">
        <f>IF(C87="","",[1]!hks_val_pb(C87,基本资料!$I$9,基本资料!$G$9))</f>
        <v/>
      </c>
      <c r="T87" s="23" t="str">
        <f>IF(C87="","",[1]!hks_val_pb(C87,基本资料!$I$8,基本资料!$G$8))</f>
        <v/>
      </c>
      <c r="U87" s="23" t="str">
        <f>IF(C87="","",[1]!pb_mrq(C87,E87))</f>
        <v/>
      </c>
      <c r="V87" s="23" t="str">
        <f>IF(C87="","",[1]!s_val_estpb(C87,E87,YEAR([1]!s_stm_rpt_e(C87,基本资料!$I$8,0))+1))</f>
        <v/>
      </c>
      <c r="W87" s="48" t="str">
        <f>IF(C87="","",[1]!s_val_estpb(C87,E87,YEAR([1]!s_stm_rpt_e(C87,基本资料!$I$8,0))+2))</f>
        <v/>
      </c>
      <c r="X87" s="47" t="str">
        <f>IF(C87="","",[1]!hks_val_ps(C87,基本资料!$I$9,基本资料!$G$9))</f>
        <v/>
      </c>
      <c r="Y87" s="23" t="str">
        <f>IF(C87="","",[1]!hks_val_ps(C87,基本资料!$I$8,基本资料!$G$8))</f>
        <v/>
      </c>
      <c r="Z87" s="48" t="str">
        <f>IF(C87="","",[1]!hks_val_ps_ttm(C87,E87))</f>
        <v/>
      </c>
      <c r="AA87" s="47" t="str">
        <f>IF(C87="","",[1]!hks_val_pcf(C87,基本资料!$I$9,基本资料!$G$9))</f>
        <v/>
      </c>
      <c r="AB87" s="23" t="str">
        <f>IF(C87="","",[1]!hks_val_pcf(C87,基本资料!$I$8,基本资料!$G$8))</f>
        <v/>
      </c>
      <c r="AC87" s="48" t="str">
        <f>IF(C87="","",[1]!hks_val_pcf_ttm(C87,E87))</f>
        <v/>
      </c>
      <c r="AD87" s="39" t="str">
        <f>IF(C87="","",[1]!s_val_evtoebitda2(C87,E87))</f>
        <v/>
      </c>
      <c r="AE87" s="47" t="str">
        <f>IF(C87="","",[1]!hks_val_ev2(C87,E87,"",1)/[1]!hks_fa_ebit2_ttm(C87,[1]!s_fa_latelyrd_bt(C87,[1]!lastradeday_s(C87,基本资料!$D$7)),"",1))</f>
        <v/>
      </c>
      <c r="AF87" s="35"/>
    </row>
    <row r="88" spans="1:32" s="36" customFormat="1" ht="16.5" x14ac:dyDescent="0.2">
      <c r="A88" s="2"/>
      <c r="B88" s="6"/>
      <c r="C88" s="28" t="str">
        <f>IF(表1[[#This Row],[列1]]="","",表1[[#This Row],[列1]])</f>
        <v/>
      </c>
      <c r="D88" s="19" t="str">
        <f>IF(C88="","",[1]!hks_info_name(C88))</f>
        <v/>
      </c>
      <c r="E88" s="19" t="str">
        <f ca="1">IF(C88="","",[1]!lastradeday_s(C88,TODAY()))</f>
        <v/>
      </c>
      <c r="F88" s="27" t="str">
        <f>IF(C88="","",[1]!hks_val_ev(C88,基本资料!$I$9,"",100000000))</f>
        <v/>
      </c>
      <c r="G88" s="23" t="str">
        <f>IF(C88="","",[1]!hks_val_ev(C88,基本资料!$I$8,"",100000000))</f>
        <v/>
      </c>
      <c r="H88" s="23" t="str">
        <f>IF(C88="","",[1]!hks_val_ev(C88,E88,"",100000000))</f>
        <v/>
      </c>
      <c r="I88" s="44"/>
      <c r="J88" s="27" t="str">
        <f>IF(C88="","",[1]!hks_val_mv_ard(C88,基本资料!$I$9,"",100000000))</f>
        <v/>
      </c>
      <c r="K88" s="23" t="str">
        <f>IF(C88="","",[1]!hks_val_mv_ard(C88,基本资料!$I$8,"",100000000))</f>
        <v/>
      </c>
      <c r="L88" s="45" t="str">
        <f>IF(C88="","",[1]!hks_val_mv_ard(C88,E88,"",100000000))</f>
        <v/>
      </c>
      <c r="M88" s="44"/>
      <c r="N88" s="47" t="str">
        <f>IF(C88="","",[1]!hks_val_pe(C88,基本资料!$I$9,基本资料!$G$9))</f>
        <v/>
      </c>
      <c r="O88" s="23" t="str">
        <f>IF(C88="","",[1]!hks_val_pe(C88,基本资料!$I$8,基本资料!$G$8))</f>
        <v/>
      </c>
      <c r="P88" s="23" t="str">
        <f>IF(C88="","",[1]!hks_val_pe_ttm(C88,E88))</f>
        <v/>
      </c>
      <c r="Q88" s="23" t="str">
        <f>IF(C88="","",[1]!s_val_estpe(C88,E88,YEAR([1]!s_stm_rpt_e(C88,基本资料!$I$8,0))+1))</f>
        <v/>
      </c>
      <c r="R88" s="48" t="str">
        <f>IF(C88="","",[1]!s_val_estpe(C88,E88,YEAR([1]!s_stm_rpt_e(C88,基本资料!$I$8,0))+2))</f>
        <v/>
      </c>
      <c r="S88" s="47" t="str">
        <f>IF(C88="","",[1]!hks_val_pb(C88,基本资料!$I$9,基本资料!$G$9))</f>
        <v/>
      </c>
      <c r="T88" s="23" t="str">
        <f>IF(C88="","",[1]!hks_val_pb(C88,基本资料!$I$8,基本资料!$G$8))</f>
        <v/>
      </c>
      <c r="U88" s="23" t="str">
        <f>IF(C88="","",[1]!pb_mrq(C88,E88))</f>
        <v/>
      </c>
      <c r="V88" s="23" t="str">
        <f>IF(C88="","",[1]!s_val_estpb(C88,E88,YEAR([1]!s_stm_rpt_e(C88,基本资料!$I$8,0))+1))</f>
        <v/>
      </c>
      <c r="W88" s="48" t="str">
        <f>IF(C88="","",[1]!s_val_estpb(C88,E88,YEAR([1]!s_stm_rpt_e(C88,基本资料!$I$8,0))+2))</f>
        <v/>
      </c>
      <c r="X88" s="47" t="str">
        <f>IF(C88="","",[1]!hks_val_ps(C88,基本资料!$I$9,基本资料!$G$9))</f>
        <v/>
      </c>
      <c r="Y88" s="23" t="str">
        <f>IF(C88="","",[1]!hks_val_ps(C88,基本资料!$I$8,基本资料!$G$8))</f>
        <v/>
      </c>
      <c r="Z88" s="48" t="str">
        <f>IF(C88="","",[1]!hks_val_ps_ttm(C88,E88))</f>
        <v/>
      </c>
      <c r="AA88" s="47" t="str">
        <f>IF(C88="","",[1]!hks_val_pcf(C88,基本资料!$I$9,基本资料!$G$9))</f>
        <v/>
      </c>
      <c r="AB88" s="23" t="str">
        <f>IF(C88="","",[1]!hks_val_pcf(C88,基本资料!$I$8,基本资料!$G$8))</f>
        <v/>
      </c>
      <c r="AC88" s="48" t="str">
        <f>IF(C88="","",[1]!hks_val_pcf_ttm(C88,E88))</f>
        <v/>
      </c>
      <c r="AD88" s="39" t="str">
        <f>IF(C88="","",[1]!s_val_evtoebitda2(C88,E88))</f>
        <v/>
      </c>
      <c r="AE88" s="47" t="str">
        <f>IF(C88="","",[1]!hks_val_ev2(C88,E88,"",1)/[1]!hks_fa_ebit2_ttm(C88,[1]!s_fa_latelyrd_bt(C88,[1]!lastradeday_s(C88,基本资料!$D$7)),"",1))</f>
        <v/>
      </c>
      <c r="AF88" s="35"/>
    </row>
    <row r="89" spans="1:32" s="36" customFormat="1" ht="16.5" x14ac:dyDescent="0.2">
      <c r="A89" s="2"/>
      <c r="B89" s="6"/>
      <c r="C89" s="28" t="str">
        <f>IF(表1[[#This Row],[列1]]="","",表1[[#This Row],[列1]])</f>
        <v/>
      </c>
      <c r="D89" s="19" t="str">
        <f>IF(C89="","",[1]!hks_info_name(C89))</f>
        <v/>
      </c>
      <c r="E89" s="19" t="str">
        <f ca="1">IF(C89="","",[1]!lastradeday_s(C89,TODAY()))</f>
        <v/>
      </c>
      <c r="F89" s="27" t="str">
        <f>IF(C89="","",[1]!hks_val_ev(C89,基本资料!$I$9,"",100000000))</f>
        <v/>
      </c>
      <c r="G89" s="23" t="str">
        <f>IF(C89="","",[1]!hks_val_ev(C89,基本资料!$I$8,"",100000000))</f>
        <v/>
      </c>
      <c r="H89" s="23" t="str">
        <f>IF(C89="","",[1]!hks_val_ev(C89,E89,"",100000000))</f>
        <v/>
      </c>
      <c r="I89" s="44"/>
      <c r="J89" s="27" t="str">
        <f>IF(C89="","",[1]!hks_val_mv_ard(C89,基本资料!$I$9,"",100000000))</f>
        <v/>
      </c>
      <c r="K89" s="23" t="str">
        <f>IF(C89="","",[1]!hks_val_mv_ard(C89,基本资料!$I$8,"",100000000))</f>
        <v/>
      </c>
      <c r="L89" s="45" t="str">
        <f>IF(C89="","",[1]!hks_val_mv_ard(C89,E89,"",100000000))</f>
        <v/>
      </c>
      <c r="M89" s="44"/>
      <c r="N89" s="47" t="str">
        <f>IF(C89="","",[1]!hks_val_pe(C89,基本资料!$I$9,基本资料!$G$9))</f>
        <v/>
      </c>
      <c r="O89" s="23" t="str">
        <f>IF(C89="","",[1]!hks_val_pe(C89,基本资料!$I$8,基本资料!$G$8))</f>
        <v/>
      </c>
      <c r="P89" s="23" t="str">
        <f>IF(C89="","",[1]!hks_val_pe_ttm(C89,E89))</f>
        <v/>
      </c>
      <c r="Q89" s="23" t="str">
        <f>IF(C89="","",[1]!s_val_estpe(C89,E89,YEAR([1]!s_stm_rpt_e(C89,基本资料!$I$8,0))+1))</f>
        <v/>
      </c>
      <c r="R89" s="48" t="str">
        <f>IF(C89="","",[1]!s_val_estpe(C89,E89,YEAR([1]!s_stm_rpt_e(C89,基本资料!$I$8,0))+2))</f>
        <v/>
      </c>
      <c r="S89" s="47" t="str">
        <f>IF(C89="","",[1]!hks_val_pb(C89,基本资料!$I$9,基本资料!$G$9))</f>
        <v/>
      </c>
      <c r="T89" s="23" t="str">
        <f>IF(C89="","",[1]!hks_val_pb(C89,基本资料!$I$8,基本资料!$G$8))</f>
        <v/>
      </c>
      <c r="U89" s="23" t="str">
        <f>IF(C89="","",[1]!pb_mrq(C89,E89))</f>
        <v/>
      </c>
      <c r="V89" s="23" t="str">
        <f>IF(C89="","",[1]!s_val_estpb(C89,E89,YEAR([1]!s_stm_rpt_e(C89,基本资料!$I$8,0))+1))</f>
        <v/>
      </c>
      <c r="W89" s="48" t="str">
        <f>IF(C89="","",[1]!s_val_estpb(C89,E89,YEAR([1]!s_stm_rpt_e(C89,基本资料!$I$8,0))+2))</f>
        <v/>
      </c>
      <c r="X89" s="47" t="str">
        <f>IF(C89="","",[1]!hks_val_ps(C89,基本资料!$I$9,基本资料!$G$9))</f>
        <v/>
      </c>
      <c r="Y89" s="23" t="str">
        <f>IF(C89="","",[1]!hks_val_ps(C89,基本资料!$I$8,基本资料!$G$8))</f>
        <v/>
      </c>
      <c r="Z89" s="48" t="str">
        <f>IF(C89="","",[1]!hks_val_ps_ttm(C89,E89))</f>
        <v/>
      </c>
      <c r="AA89" s="47" t="str">
        <f>IF(C89="","",[1]!hks_val_pcf(C89,基本资料!$I$9,基本资料!$G$9))</f>
        <v/>
      </c>
      <c r="AB89" s="23" t="str">
        <f>IF(C89="","",[1]!hks_val_pcf(C89,基本资料!$I$8,基本资料!$G$8))</f>
        <v/>
      </c>
      <c r="AC89" s="48" t="str">
        <f>IF(C89="","",[1]!hks_val_pcf_ttm(C89,E89))</f>
        <v/>
      </c>
      <c r="AD89" s="39" t="str">
        <f>IF(C89="","",[1]!s_val_evtoebitda2(C89,E89))</f>
        <v/>
      </c>
      <c r="AE89" s="47" t="str">
        <f>IF(C89="","",[1]!hks_val_ev2(C89,E89,"",1)/[1]!hks_fa_ebit2_ttm(C89,[1]!s_fa_latelyrd_bt(C89,[1]!lastradeday_s(C89,基本资料!$D$7)),"",1))</f>
        <v/>
      </c>
      <c r="AF89" s="35"/>
    </row>
    <row r="90" spans="1:32" s="36" customFormat="1" ht="16.5" x14ac:dyDescent="0.2">
      <c r="A90" s="2"/>
      <c r="B90" s="6"/>
      <c r="C90" s="28" t="str">
        <f>IF(表1[[#This Row],[列1]]="","",表1[[#This Row],[列1]])</f>
        <v/>
      </c>
      <c r="D90" s="19" t="str">
        <f>IF(C90="","",[1]!hks_info_name(C90))</f>
        <v/>
      </c>
      <c r="E90" s="19" t="str">
        <f ca="1">IF(C90="","",[1]!lastradeday_s(C90,TODAY()))</f>
        <v/>
      </c>
      <c r="F90" s="27" t="str">
        <f>IF(C90="","",[1]!hks_val_ev(C90,基本资料!$I$9,"",100000000))</f>
        <v/>
      </c>
      <c r="G90" s="23" t="str">
        <f>IF(C90="","",[1]!hks_val_ev(C90,基本资料!$I$8,"",100000000))</f>
        <v/>
      </c>
      <c r="H90" s="23" t="str">
        <f>IF(C90="","",[1]!hks_val_ev(C90,E90,"",100000000))</f>
        <v/>
      </c>
      <c r="I90" s="44"/>
      <c r="J90" s="27" t="str">
        <f>IF(C90="","",[1]!hks_val_mv_ard(C90,基本资料!$I$9,"",100000000))</f>
        <v/>
      </c>
      <c r="K90" s="23" t="str">
        <f>IF(C90="","",[1]!hks_val_mv_ard(C90,基本资料!$I$8,"",100000000))</f>
        <v/>
      </c>
      <c r="L90" s="45" t="str">
        <f>IF(C90="","",[1]!hks_val_mv_ard(C90,E90,"",100000000))</f>
        <v/>
      </c>
      <c r="M90" s="44"/>
      <c r="N90" s="47" t="str">
        <f>IF(C90="","",[1]!hks_val_pe(C90,基本资料!$I$9,基本资料!$G$9))</f>
        <v/>
      </c>
      <c r="O90" s="23" t="str">
        <f>IF(C90="","",[1]!hks_val_pe(C90,基本资料!$I$8,基本资料!$G$8))</f>
        <v/>
      </c>
      <c r="P90" s="23" t="str">
        <f>IF(C90="","",[1]!hks_val_pe_ttm(C90,E90))</f>
        <v/>
      </c>
      <c r="Q90" s="23" t="str">
        <f>IF(C90="","",[1]!s_val_estpe(C90,E90,YEAR([1]!s_stm_rpt_e(C90,基本资料!$I$8,0))+1))</f>
        <v/>
      </c>
      <c r="R90" s="48" t="str">
        <f>IF(C90="","",[1]!s_val_estpe(C90,E90,YEAR([1]!s_stm_rpt_e(C90,基本资料!$I$8,0))+2))</f>
        <v/>
      </c>
      <c r="S90" s="47" t="str">
        <f>IF(C90="","",[1]!hks_val_pb(C90,基本资料!$I$9,基本资料!$G$9))</f>
        <v/>
      </c>
      <c r="T90" s="23" t="str">
        <f>IF(C90="","",[1]!hks_val_pb(C90,基本资料!$I$8,基本资料!$G$8))</f>
        <v/>
      </c>
      <c r="U90" s="23" t="str">
        <f>IF(C90="","",[1]!pb_mrq(C90,E90))</f>
        <v/>
      </c>
      <c r="V90" s="23" t="str">
        <f>IF(C90="","",[1]!s_val_estpb(C90,E90,YEAR([1]!s_stm_rpt_e(C90,基本资料!$I$8,0))+1))</f>
        <v/>
      </c>
      <c r="W90" s="48" t="str">
        <f>IF(C90="","",[1]!s_val_estpb(C90,E90,YEAR([1]!s_stm_rpt_e(C90,基本资料!$I$8,0))+2))</f>
        <v/>
      </c>
      <c r="X90" s="47" t="str">
        <f>IF(C90="","",[1]!hks_val_ps(C90,基本资料!$I$9,基本资料!$G$9))</f>
        <v/>
      </c>
      <c r="Y90" s="23" t="str">
        <f>IF(C90="","",[1]!hks_val_ps(C90,基本资料!$I$8,基本资料!$G$8))</f>
        <v/>
      </c>
      <c r="Z90" s="48" t="str">
        <f>IF(C90="","",[1]!hks_val_ps_ttm(C90,E90))</f>
        <v/>
      </c>
      <c r="AA90" s="47" t="str">
        <f>IF(C90="","",[1]!hks_val_pcf(C90,基本资料!$I$9,基本资料!$G$9))</f>
        <v/>
      </c>
      <c r="AB90" s="23" t="str">
        <f>IF(C90="","",[1]!hks_val_pcf(C90,基本资料!$I$8,基本资料!$G$8))</f>
        <v/>
      </c>
      <c r="AC90" s="48" t="str">
        <f>IF(C90="","",[1]!hks_val_pcf_ttm(C90,E90))</f>
        <v/>
      </c>
      <c r="AD90" s="39" t="str">
        <f>IF(C90="","",[1]!s_val_evtoebitda2(C90,E90))</f>
        <v/>
      </c>
      <c r="AE90" s="47" t="str">
        <f>IF(C90="","",[1]!hks_val_ev2(C90,E90,"",1)/[1]!hks_fa_ebit2_ttm(C90,[1]!s_fa_latelyrd_bt(C90,[1]!lastradeday_s(C90,基本资料!$D$7)),"",1))</f>
        <v/>
      </c>
      <c r="AF90" s="35"/>
    </row>
    <row r="91" spans="1:32" s="36" customFormat="1" ht="16.5" x14ac:dyDescent="0.2">
      <c r="A91" s="2"/>
      <c r="B91" s="6"/>
      <c r="C91" s="28" t="str">
        <f>IF(表1[[#This Row],[列1]]="","",表1[[#This Row],[列1]])</f>
        <v/>
      </c>
      <c r="D91" s="19" t="str">
        <f>IF(C91="","",[1]!hks_info_name(C91))</f>
        <v/>
      </c>
      <c r="E91" s="19" t="str">
        <f ca="1">IF(C91="","",[1]!lastradeday_s(C91,TODAY()))</f>
        <v/>
      </c>
      <c r="F91" s="27" t="str">
        <f>IF(C91="","",[1]!hks_val_ev(C91,基本资料!$I$9,"",100000000))</f>
        <v/>
      </c>
      <c r="G91" s="23" t="str">
        <f>IF(C91="","",[1]!hks_val_ev(C91,基本资料!$I$8,"",100000000))</f>
        <v/>
      </c>
      <c r="H91" s="23" t="str">
        <f>IF(C91="","",[1]!hks_val_ev(C91,E91,"",100000000))</f>
        <v/>
      </c>
      <c r="I91" s="44"/>
      <c r="J91" s="27" t="str">
        <f>IF(C91="","",[1]!hks_val_mv_ard(C91,基本资料!$I$9,"",100000000))</f>
        <v/>
      </c>
      <c r="K91" s="23" t="str">
        <f>IF(C91="","",[1]!hks_val_mv_ard(C91,基本资料!$I$8,"",100000000))</f>
        <v/>
      </c>
      <c r="L91" s="45" t="str">
        <f>IF(C91="","",[1]!hks_val_mv_ard(C91,E91,"",100000000))</f>
        <v/>
      </c>
      <c r="M91" s="44"/>
      <c r="N91" s="47" t="str">
        <f>IF(C91="","",[1]!hks_val_pe(C91,基本资料!$I$9,基本资料!$G$9))</f>
        <v/>
      </c>
      <c r="O91" s="23" t="str">
        <f>IF(C91="","",[1]!hks_val_pe(C91,基本资料!$I$8,基本资料!$G$8))</f>
        <v/>
      </c>
      <c r="P91" s="23" t="str">
        <f>IF(C91="","",[1]!hks_val_pe_ttm(C91,E91))</f>
        <v/>
      </c>
      <c r="Q91" s="23" t="str">
        <f>IF(C91="","",[1]!s_val_estpe(C91,E91,YEAR([1]!s_stm_rpt_e(C91,基本资料!$I$8,0))+1))</f>
        <v/>
      </c>
      <c r="R91" s="48" t="str">
        <f>IF(C91="","",[1]!s_val_estpe(C91,E91,YEAR([1]!s_stm_rpt_e(C91,基本资料!$I$8,0))+2))</f>
        <v/>
      </c>
      <c r="S91" s="47" t="str">
        <f>IF(C91="","",[1]!hks_val_pb(C91,基本资料!$I$9,基本资料!$G$9))</f>
        <v/>
      </c>
      <c r="T91" s="23" t="str">
        <f>IF(C91="","",[1]!hks_val_pb(C91,基本资料!$I$8,基本资料!$G$8))</f>
        <v/>
      </c>
      <c r="U91" s="23" t="str">
        <f>IF(C91="","",[1]!pb_mrq(C91,E91))</f>
        <v/>
      </c>
      <c r="V91" s="23" t="str">
        <f>IF(C91="","",[1]!s_val_estpb(C91,E91,YEAR([1]!s_stm_rpt_e(C91,基本资料!$I$8,0))+1))</f>
        <v/>
      </c>
      <c r="W91" s="48" t="str">
        <f>IF(C91="","",[1]!s_val_estpb(C91,E91,YEAR([1]!s_stm_rpt_e(C91,基本资料!$I$8,0))+2))</f>
        <v/>
      </c>
      <c r="X91" s="47" t="str">
        <f>IF(C91="","",[1]!hks_val_ps(C91,基本资料!$I$9,基本资料!$G$9))</f>
        <v/>
      </c>
      <c r="Y91" s="23" t="str">
        <f>IF(C91="","",[1]!hks_val_ps(C91,基本资料!$I$8,基本资料!$G$8))</f>
        <v/>
      </c>
      <c r="Z91" s="48" t="str">
        <f>IF(C91="","",[1]!hks_val_ps_ttm(C91,E91))</f>
        <v/>
      </c>
      <c r="AA91" s="47" t="str">
        <f>IF(C91="","",[1]!hks_val_pcf(C91,基本资料!$I$9,基本资料!$G$9))</f>
        <v/>
      </c>
      <c r="AB91" s="23" t="str">
        <f>IF(C91="","",[1]!hks_val_pcf(C91,基本资料!$I$8,基本资料!$G$8))</f>
        <v/>
      </c>
      <c r="AC91" s="48" t="str">
        <f>IF(C91="","",[1]!hks_val_pcf_ttm(C91,E91))</f>
        <v/>
      </c>
      <c r="AD91" s="39" t="str">
        <f>IF(C91="","",[1]!s_val_evtoebitda2(C91,E91))</f>
        <v/>
      </c>
      <c r="AE91" s="47" t="str">
        <f>IF(C91="","",[1]!hks_val_ev2(C91,E91,"",1)/[1]!hks_fa_ebit2_ttm(C91,[1]!s_fa_latelyrd_bt(C91,[1]!lastradeday_s(C91,基本资料!$D$7)),"",1))</f>
        <v/>
      </c>
      <c r="AF91" s="35"/>
    </row>
    <row r="92" spans="1:32" s="36" customFormat="1" ht="16.5" x14ac:dyDescent="0.2">
      <c r="A92" s="2"/>
      <c r="B92" s="6"/>
      <c r="C92" s="28" t="str">
        <f>IF(表1[[#This Row],[列1]]="","",表1[[#This Row],[列1]])</f>
        <v/>
      </c>
      <c r="D92" s="19" t="str">
        <f>IF(C92="","",[1]!hks_info_name(C92))</f>
        <v/>
      </c>
      <c r="E92" s="19" t="str">
        <f ca="1">IF(C92="","",[1]!lastradeday_s(C92,TODAY()))</f>
        <v/>
      </c>
      <c r="F92" s="27" t="str">
        <f>IF(C92="","",[1]!hks_val_ev(C92,基本资料!$I$9,"",100000000))</f>
        <v/>
      </c>
      <c r="G92" s="23" t="str">
        <f>IF(C92="","",[1]!hks_val_ev(C92,基本资料!$I$8,"",100000000))</f>
        <v/>
      </c>
      <c r="H92" s="23" t="str">
        <f>IF(C92="","",[1]!hks_val_ev(C92,E92,"",100000000))</f>
        <v/>
      </c>
      <c r="I92" s="44"/>
      <c r="J92" s="27" t="str">
        <f>IF(C92="","",[1]!hks_val_mv_ard(C92,基本资料!$I$9,"",100000000))</f>
        <v/>
      </c>
      <c r="K92" s="23" t="str">
        <f>IF(C92="","",[1]!hks_val_mv_ard(C92,基本资料!$I$8,"",100000000))</f>
        <v/>
      </c>
      <c r="L92" s="45" t="str">
        <f>IF(C92="","",[1]!hks_val_mv_ard(C92,E92,"",100000000))</f>
        <v/>
      </c>
      <c r="M92" s="44"/>
      <c r="N92" s="47" t="str">
        <f>IF(C92="","",[1]!hks_val_pe(C92,基本资料!$I$9,基本资料!$G$9))</f>
        <v/>
      </c>
      <c r="O92" s="23" t="str">
        <f>IF(C92="","",[1]!hks_val_pe(C92,基本资料!$I$8,基本资料!$G$8))</f>
        <v/>
      </c>
      <c r="P92" s="23" t="str">
        <f>IF(C92="","",[1]!hks_val_pe_ttm(C92,E92))</f>
        <v/>
      </c>
      <c r="Q92" s="23" t="str">
        <f>IF(C92="","",[1]!s_val_estpe(C92,E92,YEAR([1]!s_stm_rpt_e(C92,基本资料!$I$8,0))+1))</f>
        <v/>
      </c>
      <c r="R92" s="48" t="str">
        <f>IF(C92="","",[1]!s_val_estpe(C92,E92,YEAR([1]!s_stm_rpt_e(C92,基本资料!$I$8,0))+2))</f>
        <v/>
      </c>
      <c r="S92" s="47" t="str">
        <f>IF(C92="","",[1]!hks_val_pb(C92,基本资料!$I$9,基本资料!$G$9))</f>
        <v/>
      </c>
      <c r="T92" s="23" t="str">
        <f>IF(C92="","",[1]!hks_val_pb(C92,基本资料!$I$8,基本资料!$G$8))</f>
        <v/>
      </c>
      <c r="U92" s="23" t="str">
        <f>IF(C92="","",[1]!pb_mrq(C92,E92))</f>
        <v/>
      </c>
      <c r="V92" s="23" t="str">
        <f>IF(C92="","",[1]!s_val_estpb(C92,E92,YEAR([1]!s_stm_rpt_e(C92,基本资料!$I$8,0))+1))</f>
        <v/>
      </c>
      <c r="W92" s="48" t="str">
        <f>IF(C92="","",[1]!s_val_estpb(C92,E92,YEAR([1]!s_stm_rpt_e(C92,基本资料!$I$8,0))+2))</f>
        <v/>
      </c>
      <c r="X92" s="47" t="str">
        <f>IF(C92="","",[1]!hks_val_ps(C92,基本资料!$I$9,基本资料!$G$9))</f>
        <v/>
      </c>
      <c r="Y92" s="23" t="str">
        <f>IF(C92="","",[1]!hks_val_ps(C92,基本资料!$I$8,基本资料!$G$8))</f>
        <v/>
      </c>
      <c r="Z92" s="48" t="str">
        <f>IF(C92="","",[1]!hks_val_ps_ttm(C92,E92))</f>
        <v/>
      </c>
      <c r="AA92" s="47" t="str">
        <f>IF(C92="","",[1]!hks_val_pcf(C92,基本资料!$I$9,基本资料!$G$9))</f>
        <v/>
      </c>
      <c r="AB92" s="23" t="str">
        <f>IF(C92="","",[1]!hks_val_pcf(C92,基本资料!$I$8,基本资料!$G$8))</f>
        <v/>
      </c>
      <c r="AC92" s="48" t="str">
        <f>IF(C92="","",[1]!hks_val_pcf_ttm(C92,E92))</f>
        <v/>
      </c>
      <c r="AD92" s="39" t="str">
        <f>IF(C92="","",[1]!s_val_evtoebitda2(C92,E92))</f>
        <v/>
      </c>
      <c r="AE92" s="47" t="str">
        <f>IF(C92="","",[1]!hks_val_ev2(C92,E92,"",1)/[1]!hks_fa_ebit2_ttm(C92,[1]!s_fa_latelyrd_bt(C92,[1]!lastradeday_s(C92,基本资料!$D$7)),"",1))</f>
        <v/>
      </c>
      <c r="AF92" s="35"/>
    </row>
    <row r="93" spans="1:32" s="36" customFormat="1" ht="16.5" x14ac:dyDescent="0.2">
      <c r="A93" s="2"/>
      <c r="B93" s="6"/>
      <c r="C93" s="28" t="str">
        <f>IF(表1[[#This Row],[列1]]="","",表1[[#This Row],[列1]])</f>
        <v/>
      </c>
      <c r="D93" s="19" t="str">
        <f>IF(C93="","",[1]!hks_info_name(C93))</f>
        <v/>
      </c>
      <c r="E93" s="19" t="str">
        <f ca="1">IF(C93="","",[1]!lastradeday_s(C93,TODAY()))</f>
        <v/>
      </c>
      <c r="F93" s="27" t="str">
        <f>IF(C93="","",[1]!hks_val_ev(C93,基本资料!$I$9,"",100000000))</f>
        <v/>
      </c>
      <c r="G93" s="23" t="str">
        <f>IF(C93="","",[1]!hks_val_ev(C93,基本资料!$I$8,"",100000000))</f>
        <v/>
      </c>
      <c r="H93" s="23" t="str">
        <f>IF(C93="","",[1]!hks_val_ev(C93,E93,"",100000000))</f>
        <v/>
      </c>
      <c r="I93" s="44"/>
      <c r="J93" s="27" t="str">
        <f>IF(C93="","",[1]!hks_val_mv_ard(C93,基本资料!$I$9,"",100000000))</f>
        <v/>
      </c>
      <c r="K93" s="23" t="str">
        <f>IF(C93="","",[1]!hks_val_mv_ard(C93,基本资料!$I$8,"",100000000))</f>
        <v/>
      </c>
      <c r="L93" s="45" t="str">
        <f>IF(C93="","",[1]!hks_val_mv_ard(C93,E93,"",100000000))</f>
        <v/>
      </c>
      <c r="M93" s="44"/>
      <c r="N93" s="47" t="str">
        <f>IF(C93="","",[1]!hks_val_pe(C93,基本资料!$I$9,基本资料!$G$9))</f>
        <v/>
      </c>
      <c r="O93" s="23" t="str">
        <f>IF(C93="","",[1]!hks_val_pe(C93,基本资料!$I$8,基本资料!$G$8))</f>
        <v/>
      </c>
      <c r="P93" s="23" t="str">
        <f>IF(C93="","",[1]!hks_val_pe_ttm(C93,E93))</f>
        <v/>
      </c>
      <c r="Q93" s="23" t="str">
        <f>IF(C93="","",[1]!s_val_estpe(C93,E93,YEAR([1]!s_stm_rpt_e(C93,基本资料!$I$8,0))+1))</f>
        <v/>
      </c>
      <c r="R93" s="48" t="str">
        <f>IF(C93="","",[1]!s_val_estpe(C93,E93,YEAR([1]!s_stm_rpt_e(C93,基本资料!$I$8,0))+2))</f>
        <v/>
      </c>
      <c r="S93" s="47" t="str">
        <f>IF(C93="","",[1]!hks_val_pb(C93,基本资料!$I$9,基本资料!$G$9))</f>
        <v/>
      </c>
      <c r="T93" s="23" t="str">
        <f>IF(C93="","",[1]!hks_val_pb(C93,基本资料!$I$8,基本资料!$G$8))</f>
        <v/>
      </c>
      <c r="U93" s="23" t="str">
        <f>IF(C93="","",[1]!pb_mrq(C93,E93))</f>
        <v/>
      </c>
      <c r="V93" s="23" t="str">
        <f>IF(C93="","",[1]!s_val_estpb(C93,E93,YEAR([1]!s_stm_rpt_e(C93,基本资料!$I$8,0))+1))</f>
        <v/>
      </c>
      <c r="W93" s="48" t="str">
        <f>IF(C93="","",[1]!s_val_estpb(C93,E93,YEAR([1]!s_stm_rpt_e(C93,基本资料!$I$8,0))+2))</f>
        <v/>
      </c>
      <c r="X93" s="47" t="str">
        <f>IF(C93="","",[1]!hks_val_ps(C93,基本资料!$I$9,基本资料!$G$9))</f>
        <v/>
      </c>
      <c r="Y93" s="23" t="str">
        <f>IF(C93="","",[1]!hks_val_ps(C93,基本资料!$I$8,基本资料!$G$8))</f>
        <v/>
      </c>
      <c r="Z93" s="48" t="str">
        <f>IF(C93="","",[1]!hks_val_ps_ttm(C93,E93))</f>
        <v/>
      </c>
      <c r="AA93" s="47" t="str">
        <f>IF(C93="","",[1]!hks_val_pcf(C93,基本资料!$I$9,基本资料!$G$9))</f>
        <v/>
      </c>
      <c r="AB93" s="23" t="str">
        <f>IF(C93="","",[1]!hks_val_pcf(C93,基本资料!$I$8,基本资料!$G$8))</f>
        <v/>
      </c>
      <c r="AC93" s="48" t="str">
        <f>IF(C93="","",[1]!hks_val_pcf_ttm(C93,E93))</f>
        <v/>
      </c>
      <c r="AD93" s="39" t="str">
        <f>IF(C93="","",[1]!s_val_evtoebitda2(C93,E93))</f>
        <v/>
      </c>
      <c r="AE93" s="47" t="str">
        <f>IF(C93="","",[1]!hks_val_ev2(C93,E93,"",1)/[1]!hks_fa_ebit2_ttm(C93,[1]!s_fa_latelyrd_bt(C93,[1]!lastradeday_s(C93,基本资料!$D$7)),"",1))</f>
        <v/>
      </c>
      <c r="AF93" s="35"/>
    </row>
    <row r="94" spans="1:32" s="36" customFormat="1" ht="16.5" x14ac:dyDescent="0.2">
      <c r="A94" s="2"/>
      <c r="B94" s="6"/>
      <c r="C94" s="28" t="str">
        <f>IF(表1[[#This Row],[列1]]="","",表1[[#This Row],[列1]])</f>
        <v/>
      </c>
      <c r="D94" s="19" t="str">
        <f>IF(C94="","",[1]!hks_info_name(C94))</f>
        <v/>
      </c>
      <c r="E94" s="19" t="str">
        <f ca="1">IF(C94="","",[1]!lastradeday_s(C94,TODAY()))</f>
        <v/>
      </c>
      <c r="F94" s="27" t="str">
        <f>IF(C94="","",[1]!hks_val_ev(C94,基本资料!$I$9,"",100000000))</f>
        <v/>
      </c>
      <c r="G94" s="23" t="str">
        <f>IF(C94="","",[1]!hks_val_ev(C94,基本资料!$I$8,"",100000000))</f>
        <v/>
      </c>
      <c r="H94" s="23" t="str">
        <f>IF(C94="","",[1]!hks_val_ev(C94,E94,"",100000000))</f>
        <v/>
      </c>
      <c r="I94" s="44"/>
      <c r="J94" s="27" t="str">
        <f>IF(C94="","",[1]!hks_val_mv_ard(C94,基本资料!$I$9,"",100000000))</f>
        <v/>
      </c>
      <c r="K94" s="23" t="str">
        <f>IF(C94="","",[1]!hks_val_mv_ard(C94,基本资料!$I$8,"",100000000))</f>
        <v/>
      </c>
      <c r="L94" s="45" t="str">
        <f>IF(C94="","",[1]!hks_val_mv_ard(C94,E94,"",100000000))</f>
        <v/>
      </c>
      <c r="M94" s="44"/>
      <c r="N94" s="47" t="str">
        <f>IF(C94="","",[1]!hks_val_pe(C94,基本资料!$I$9,基本资料!$G$9))</f>
        <v/>
      </c>
      <c r="O94" s="23" t="str">
        <f>IF(C94="","",[1]!hks_val_pe(C94,基本资料!$I$8,基本资料!$G$8))</f>
        <v/>
      </c>
      <c r="P94" s="23" t="str">
        <f>IF(C94="","",[1]!hks_val_pe_ttm(C94,E94))</f>
        <v/>
      </c>
      <c r="Q94" s="23" t="str">
        <f>IF(C94="","",[1]!s_val_estpe(C94,E94,YEAR([1]!s_stm_rpt_e(C94,基本资料!$I$8,0))+1))</f>
        <v/>
      </c>
      <c r="R94" s="48" t="str">
        <f>IF(C94="","",[1]!s_val_estpe(C94,E94,YEAR([1]!s_stm_rpt_e(C94,基本资料!$I$8,0))+2))</f>
        <v/>
      </c>
      <c r="S94" s="47" t="str">
        <f>IF(C94="","",[1]!hks_val_pb(C94,基本资料!$I$9,基本资料!$G$9))</f>
        <v/>
      </c>
      <c r="T94" s="23" t="str">
        <f>IF(C94="","",[1]!hks_val_pb(C94,基本资料!$I$8,基本资料!$G$8))</f>
        <v/>
      </c>
      <c r="U94" s="23" t="str">
        <f>IF(C94="","",[1]!pb_mrq(C94,E94))</f>
        <v/>
      </c>
      <c r="V94" s="23" t="str">
        <f>IF(C94="","",[1]!s_val_estpb(C94,E94,YEAR([1]!s_stm_rpt_e(C94,基本资料!$I$8,0))+1))</f>
        <v/>
      </c>
      <c r="W94" s="48" t="str">
        <f>IF(C94="","",[1]!s_val_estpb(C94,E94,YEAR([1]!s_stm_rpt_e(C94,基本资料!$I$8,0))+2))</f>
        <v/>
      </c>
      <c r="X94" s="47" t="str">
        <f>IF(C94="","",[1]!hks_val_ps(C94,基本资料!$I$9,基本资料!$G$9))</f>
        <v/>
      </c>
      <c r="Y94" s="23" t="str">
        <f>IF(C94="","",[1]!hks_val_ps(C94,基本资料!$I$8,基本资料!$G$8))</f>
        <v/>
      </c>
      <c r="Z94" s="48" t="str">
        <f>IF(C94="","",[1]!hks_val_ps_ttm(C94,E94))</f>
        <v/>
      </c>
      <c r="AA94" s="47" t="str">
        <f>IF(C94="","",[1]!hks_val_pcf(C94,基本资料!$I$9,基本资料!$G$9))</f>
        <v/>
      </c>
      <c r="AB94" s="23" t="str">
        <f>IF(C94="","",[1]!hks_val_pcf(C94,基本资料!$I$8,基本资料!$G$8))</f>
        <v/>
      </c>
      <c r="AC94" s="48" t="str">
        <f>IF(C94="","",[1]!hks_val_pcf_ttm(C94,E94))</f>
        <v/>
      </c>
      <c r="AD94" s="39" t="str">
        <f>IF(C94="","",[1]!s_val_evtoebitda2(C94,E94))</f>
        <v/>
      </c>
      <c r="AE94" s="47" t="str">
        <f>IF(C94="","",[1]!hks_val_ev2(C94,E94,"",1)/[1]!hks_fa_ebit2_ttm(C94,[1]!s_fa_latelyrd_bt(C94,[1]!lastradeday_s(C94,基本资料!$D$7)),"",1))</f>
        <v/>
      </c>
      <c r="AF94" s="35"/>
    </row>
    <row r="95" spans="1:32" s="36" customFormat="1" ht="16.5" x14ac:dyDescent="0.2">
      <c r="A95" s="2"/>
      <c r="B95" s="6"/>
      <c r="C95" s="28" t="str">
        <f>IF(表1[[#This Row],[列1]]="","",表1[[#This Row],[列1]])</f>
        <v/>
      </c>
      <c r="D95" s="19" t="str">
        <f>IF(C95="","",[1]!hks_info_name(C95))</f>
        <v/>
      </c>
      <c r="E95" s="19" t="str">
        <f ca="1">IF(C95="","",[1]!lastradeday_s(C95,TODAY()))</f>
        <v/>
      </c>
      <c r="F95" s="27" t="str">
        <f>IF(C95="","",[1]!hks_val_ev(C95,基本资料!$I$9,"",100000000))</f>
        <v/>
      </c>
      <c r="G95" s="23" t="str">
        <f>IF(C95="","",[1]!hks_val_ev(C95,基本资料!$I$8,"",100000000))</f>
        <v/>
      </c>
      <c r="H95" s="23" t="str">
        <f>IF(C95="","",[1]!hks_val_ev(C95,E95,"",100000000))</f>
        <v/>
      </c>
      <c r="I95" s="44"/>
      <c r="J95" s="27" t="str">
        <f>IF(C95="","",[1]!hks_val_mv_ard(C95,基本资料!$I$9,"",100000000))</f>
        <v/>
      </c>
      <c r="K95" s="23" t="str">
        <f>IF(C95="","",[1]!hks_val_mv_ard(C95,基本资料!$I$8,"",100000000))</f>
        <v/>
      </c>
      <c r="L95" s="45" t="str">
        <f>IF(C95="","",[1]!hks_val_mv_ard(C95,E95,"",100000000))</f>
        <v/>
      </c>
      <c r="M95" s="44"/>
      <c r="N95" s="47" t="str">
        <f>IF(C95="","",[1]!hks_val_pe(C95,基本资料!$I$9,基本资料!$G$9))</f>
        <v/>
      </c>
      <c r="O95" s="23" t="str">
        <f>IF(C95="","",[1]!hks_val_pe(C95,基本资料!$I$8,基本资料!$G$8))</f>
        <v/>
      </c>
      <c r="P95" s="23" t="str">
        <f>IF(C95="","",[1]!hks_val_pe_ttm(C95,E95))</f>
        <v/>
      </c>
      <c r="Q95" s="23" t="str">
        <f>IF(C95="","",[1]!s_val_estpe(C95,E95,YEAR([1]!s_stm_rpt_e(C95,基本资料!$I$8,0))+1))</f>
        <v/>
      </c>
      <c r="R95" s="48" t="str">
        <f>IF(C95="","",[1]!s_val_estpe(C95,E95,YEAR([1]!s_stm_rpt_e(C95,基本资料!$I$8,0))+2))</f>
        <v/>
      </c>
      <c r="S95" s="47" t="str">
        <f>IF(C95="","",[1]!hks_val_pb(C95,基本资料!$I$9,基本资料!$G$9))</f>
        <v/>
      </c>
      <c r="T95" s="23" t="str">
        <f>IF(C95="","",[1]!hks_val_pb(C95,基本资料!$I$8,基本资料!$G$8))</f>
        <v/>
      </c>
      <c r="U95" s="23" t="str">
        <f>IF(C95="","",[1]!pb_mrq(C95,E95))</f>
        <v/>
      </c>
      <c r="V95" s="23" t="str">
        <f>IF(C95="","",[1]!s_val_estpb(C95,E95,YEAR([1]!s_stm_rpt_e(C95,基本资料!$I$8,0))+1))</f>
        <v/>
      </c>
      <c r="W95" s="48" t="str">
        <f>IF(C95="","",[1]!s_val_estpb(C95,E95,YEAR([1]!s_stm_rpt_e(C95,基本资料!$I$8,0))+2))</f>
        <v/>
      </c>
      <c r="X95" s="47" t="str">
        <f>IF(C95="","",[1]!hks_val_ps(C95,基本资料!$I$9,基本资料!$G$9))</f>
        <v/>
      </c>
      <c r="Y95" s="23" t="str">
        <f>IF(C95="","",[1]!hks_val_ps(C95,基本资料!$I$8,基本资料!$G$8))</f>
        <v/>
      </c>
      <c r="Z95" s="48" t="str">
        <f>IF(C95="","",[1]!hks_val_ps_ttm(C95,E95))</f>
        <v/>
      </c>
      <c r="AA95" s="47" t="str">
        <f>IF(C95="","",[1]!hks_val_pcf(C95,基本资料!$I$9,基本资料!$G$9))</f>
        <v/>
      </c>
      <c r="AB95" s="23" t="str">
        <f>IF(C95="","",[1]!hks_val_pcf(C95,基本资料!$I$8,基本资料!$G$8))</f>
        <v/>
      </c>
      <c r="AC95" s="48" t="str">
        <f>IF(C95="","",[1]!hks_val_pcf_ttm(C95,E95))</f>
        <v/>
      </c>
      <c r="AD95" s="39" t="str">
        <f>IF(C95="","",[1]!s_val_evtoebitda2(C95,E95))</f>
        <v/>
      </c>
      <c r="AE95" s="47" t="str">
        <f>IF(C95="","",[1]!hks_val_ev2(C95,E95,"",1)/[1]!hks_fa_ebit2_ttm(C95,[1]!s_fa_latelyrd_bt(C95,[1]!lastradeday_s(C95,基本资料!$D$7)),"",1))</f>
        <v/>
      </c>
      <c r="AF95" s="35"/>
    </row>
    <row r="96" spans="1:32" s="36" customFormat="1" ht="16.5" x14ac:dyDescent="0.2">
      <c r="A96" s="2"/>
      <c r="B96" s="6"/>
      <c r="C96" s="28" t="str">
        <f>IF(表1[[#This Row],[列1]]="","",表1[[#This Row],[列1]])</f>
        <v/>
      </c>
      <c r="D96" s="19" t="str">
        <f>IF(C96="","",[1]!hks_info_name(C96))</f>
        <v/>
      </c>
      <c r="E96" s="19" t="str">
        <f ca="1">IF(C96="","",[1]!lastradeday_s(C96,TODAY()))</f>
        <v/>
      </c>
      <c r="F96" s="27" t="str">
        <f>IF(C96="","",[1]!hks_val_ev(C96,基本资料!$I$9,"",100000000))</f>
        <v/>
      </c>
      <c r="G96" s="23" t="str">
        <f>IF(C96="","",[1]!hks_val_ev(C96,基本资料!$I$8,"",100000000))</f>
        <v/>
      </c>
      <c r="H96" s="23" t="str">
        <f>IF(C96="","",[1]!hks_val_ev(C96,E96,"",100000000))</f>
        <v/>
      </c>
      <c r="I96" s="44"/>
      <c r="J96" s="27" t="str">
        <f>IF(C96="","",[1]!hks_val_mv_ard(C96,基本资料!$I$9,"",100000000))</f>
        <v/>
      </c>
      <c r="K96" s="23" t="str">
        <f>IF(C96="","",[1]!hks_val_mv_ard(C96,基本资料!$I$8,"",100000000))</f>
        <v/>
      </c>
      <c r="L96" s="45" t="str">
        <f>IF(C96="","",[1]!hks_val_mv_ard(C96,E96,"",100000000))</f>
        <v/>
      </c>
      <c r="M96" s="44"/>
      <c r="N96" s="47" t="str">
        <f>IF(C96="","",[1]!hks_val_pe(C96,基本资料!$I$9,基本资料!$G$9))</f>
        <v/>
      </c>
      <c r="O96" s="23" t="str">
        <f>IF(C96="","",[1]!hks_val_pe(C96,基本资料!$I$8,基本资料!$G$8))</f>
        <v/>
      </c>
      <c r="P96" s="23" t="str">
        <f>IF(C96="","",[1]!hks_val_pe_ttm(C96,E96))</f>
        <v/>
      </c>
      <c r="Q96" s="23" t="str">
        <f>IF(C96="","",[1]!s_val_estpe(C96,E96,YEAR([1]!s_stm_rpt_e(C96,基本资料!$I$8,0))+1))</f>
        <v/>
      </c>
      <c r="R96" s="48" t="str">
        <f>IF(C96="","",[1]!s_val_estpe(C96,E96,YEAR([1]!s_stm_rpt_e(C96,基本资料!$I$8,0))+2))</f>
        <v/>
      </c>
      <c r="S96" s="47" t="str">
        <f>IF(C96="","",[1]!hks_val_pb(C96,基本资料!$I$9,基本资料!$G$9))</f>
        <v/>
      </c>
      <c r="T96" s="23" t="str">
        <f>IF(C96="","",[1]!hks_val_pb(C96,基本资料!$I$8,基本资料!$G$8))</f>
        <v/>
      </c>
      <c r="U96" s="23" t="str">
        <f>IF(C96="","",[1]!pb_mrq(C96,E96))</f>
        <v/>
      </c>
      <c r="V96" s="23" t="str">
        <f>IF(C96="","",[1]!s_val_estpb(C96,E96,YEAR([1]!s_stm_rpt_e(C96,基本资料!$I$8,0))+1))</f>
        <v/>
      </c>
      <c r="W96" s="48" t="str">
        <f>IF(C96="","",[1]!s_val_estpb(C96,E96,YEAR([1]!s_stm_rpt_e(C96,基本资料!$I$8,0))+2))</f>
        <v/>
      </c>
      <c r="X96" s="47" t="str">
        <f>IF(C96="","",[1]!hks_val_ps(C96,基本资料!$I$9,基本资料!$G$9))</f>
        <v/>
      </c>
      <c r="Y96" s="23" t="str">
        <f>IF(C96="","",[1]!hks_val_ps(C96,基本资料!$I$8,基本资料!$G$8))</f>
        <v/>
      </c>
      <c r="Z96" s="48" t="str">
        <f>IF(C96="","",[1]!hks_val_ps_ttm(C96,E96))</f>
        <v/>
      </c>
      <c r="AA96" s="47" t="str">
        <f>IF(C96="","",[1]!hks_val_pcf(C96,基本资料!$I$9,基本资料!$G$9))</f>
        <v/>
      </c>
      <c r="AB96" s="23" t="str">
        <f>IF(C96="","",[1]!hks_val_pcf(C96,基本资料!$I$8,基本资料!$G$8))</f>
        <v/>
      </c>
      <c r="AC96" s="48" t="str">
        <f>IF(C96="","",[1]!hks_val_pcf_ttm(C96,E96))</f>
        <v/>
      </c>
      <c r="AD96" s="39" t="str">
        <f>IF(C96="","",[1]!s_val_evtoebitda2(C96,E96))</f>
        <v/>
      </c>
      <c r="AE96" s="47" t="str">
        <f>IF(C96="","",[1]!hks_val_ev2(C96,E96,"",1)/[1]!hks_fa_ebit2_ttm(C96,[1]!s_fa_latelyrd_bt(C96,[1]!lastradeday_s(C96,基本资料!$D$7)),"",1))</f>
        <v/>
      </c>
      <c r="AF96" s="35"/>
    </row>
    <row r="97" spans="1:32" s="36" customFormat="1" ht="16.5" x14ac:dyDescent="0.2">
      <c r="A97" s="2"/>
      <c r="B97" s="6"/>
      <c r="C97" s="28" t="str">
        <f>IF(表1[[#This Row],[列1]]="","",表1[[#This Row],[列1]])</f>
        <v/>
      </c>
      <c r="D97" s="19" t="str">
        <f>IF(C97="","",[1]!hks_info_name(C97))</f>
        <v/>
      </c>
      <c r="E97" s="19" t="str">
        <f ca="1">IF(C97="","",[1]!lastradeday_s(C97,TODAY()))</f>
        <v/>
      </c>
      <c r="F97" s="27" t="str">
        <f>IF(C97="","",[1]!hks_val_ev(C97,基本资料!$I$9,"",100000000))</f>
        <v/>
      </c>
      <c r="G97" s="23" t="str">
        <f>IF(C97="","",[1]!hks_val_ev(C97,基本资料!$I$8,"",100000000))</f>
        <v/>
      </c>
      <c r="H97" s="23" t="str">
        <f>IF(C97="","",[1]!hks_val_ev(C97,E97,"",100000000))</f>
        <v/>
      </c>
      <c r="I97" s="44"/>
      <c r="J97" s="27" t="str">
        <f>IF(C97="","",[1]!hks_val_mv_ard(C97,基本资料!$I$9,"",100000000))</f>
        <v/>
      </c>
      <c r="K97" s="23" t="str">
        <f>IF(C97="","",[1]!hks_val_mv_ard(C97,基本资料!$I$8,"",100000000))</f>
        <v/>
      </c>
      <c r="L97" s="45" t="str">
        <f>IF(C97="","",[1]!hks_val_mv_ard(C97,E97,"",100000000))</f>
        <v/>
      </c>
      <c r="M97" s="44"/>
      <c r="N97" s="47" t="str">
        <f>IF(C97="","",[1]!hks_val_pe(C97,基本资料!$I$9,基本资料!$G$9))</f>
        <v/>
      </c>
      <c r="O97" s="23" t="str">
        <f>IF(C97="","",[1]!hks_val_pe(C97,基本资料!$I$8,基本资料!$G$8))</f>
        <v/>
      </c>
      <c r="P97" s="23" t="str">
        <f>IF(C97="","",[1]!hks_val_pe_ttm(C97,E97))</f>
        <v/>
      </c>
      <c r="Q97" s="23" t="str">
        <f>IF(C97="","",[1]!s_val_estpe(C97,E97,YEAR([1]!s_stm_rpt_e(C97,基本资料!$I$8,0))+1))</f>
        <v/>
      </c>
      <c r="R97" s="48" t="str">
        <f>IF(C97="","",[1]!s_val_estpe(C97,E97,YEAR([1]!s_stm_rpt_e(C97,基本资料!$I$8,0))+2))</f>
        <v/>
      </c>
      <c r="S97" s="47" t="str">
        <f>IF(C97="","",[1]!hks_val_pb(C97,基本资料!$I$9,基本资料!$G$9))</f>
        <v/>
      </c>
      <c r="T97" s="23" t="str">
        <f>IF(C97="","",[1]!hks_val_pb(C97,基本资料!$I$8,基本资料!$G$8))</f>
        <v/>
      </c>
      <c r="U97" s="23" t="str">
        <f>IF(C97="","",[1]!pb_mrq(C97,E97))</f>
        <v/>
      </c>
      <c r="V97" s="23" t="str">
        <f>IF(C97="","",[1]!s_val_estpb(C97,E97,YEAR([1]!s_stm_rpt_e(C97,基本资料!$I$8,0))+1))</f>
        <v/>
      </c>
      <c r="W97" s="48" t="str">
        <f>IF(C97="","",[1]!s_val_estpb(C97,E97,YEAR([1]!s_stm_rpt_e(C97,基本资料!$I$8,0))+2))</f>
        <v/>
      </c>
      <c r="X97" s="47" t="str">
        <f>IF(C97="","",[1]!hks_val_ps(C97,基本资料!$I$9,基本资料!$G$9))</f>
        <v/>
      </c>
      <c r="Y97" s="23" t="str">
        <f>IF(C97="","",[1]!hks_val_ps(C97,基本资料!$I$8,基本资料!$G$8))</f>
        <v/>
      </c>
      <c r="Z97" s="48" t="str">
        <f>IF(C97="","",[1]!hks_val_ps_ttm(C97,E97))</f>
        <v/>
      </c>
      <c r="AA97" s="47" t="str">
        <f>IF(C97="","",[1]!hks_val_pcf(C97,基本资料!$I$9,基本资料!$G$9))</f>
        <v/>
      </c>
      <c r="AB97" s="23" t="str">
        <f>IF(C97="","",[1]!hks_val_pcf(C97,基本资料!$I$8,基本资料!$G$8))</f>
        <v/>
      </c>
      <c r="AC97" s="48" t="str">
        <f>IF(C97="","",[1]!hks_val_pcf_ttm(C97,E97))</f>
        <v/>
      </c>
      <c r="AD97" s="39" t="str">
        <f>IF(C97="","",[1]!s_val_evtoebitda2(C97,E97))</f>
        <v/>
      </c>
      <c r="AE97" s="47" t="str">
        <f>IF(C97="","",[1]!hks_val_ev2(C97,E97,"",1)/[1]!hks_fa_ebit2_ttm(C97,[1]!s_fa_latelyrd_bt(C97,[1]!lastradeday_s(C97,基本资料!$D$7)),"",1))</f>
        <v/>
      </c>
      <c r="AF97" s="35"/>
    </row>
    <row r="98" spans="1:32" s="36" customFormat="1" ht="16.5" x14ac:dyDescent="0.2">
      <c r="A98" s="2"/>
      <c r="B98" s="6"/>
      <c r="C98" s="28" t="str">
        <f>IF(表1[[#This Row],[列1]]="","",表1[[#This Row],[列1]])</f>
        <v/>
      </c>
      <c r="D98" s="19" t="str">
        <f>IF(C98="","",[1]!hks_info_name(C98))</f>
        <v/>
      </c>
      <c r="E98" s="19" t="str">
        <f ca="1">IF(C98="","",[1]!lastradeday_s(C98,TODAY()))</f>
        <v/>
      </c>
      <c r="F98" s="27" t="str">
        <f>IF(C98="","",[1]!hks_val_ev(C98,基本资料!$I$9,"",100000000))</f>
        <v/>
      </c>
      <c r="G98" s="23" t="str">
        <f>IF(C98="","",[1]!hks_val_ev(C98,基本资料!$I$8,"",100000000))</f>
        <v/>
      </c>
      <c r="H98" s="23" t="str">
        <f>IF(C98="","",[1]!hks_val_ev(C98,E98,"",100000000))</f>
        <v/>
      </c>
      <c r="I98" s="44"/>
      <c r="J98" s="27" t="str">
        <f>IF(C98="","",[1]!hks_val_mv_ard(C98,基本资料!$I$9,"",100000000))</f>
        <v/>
      </c>
      <c r="K98" s="23" t="str">
        <f>IF(C98="","",[1]!hks_val_mv_ard(C98,基本资料!$I$8,"",100000000))</f>
        <v/>
      </c>
      <c r="L98" s="45" t="str">
        <f>IF(C98="","",[1]!hks_val_mv_ard(C98,E98,"",100000000))</f>
        <v/>
      </c>
      <c r="M98" s="44"/>
      <c r="N98" s="47" t="str">
        <f>IF(C98="","",[1]!hks_val_pe(C98,基本资料!$I$9,基本资料!$G$9))</f>
        <v/>
      </c>
      <c r="O98" s="23" t="str">
        <f>IF(C98="","",[1]!hks_val_pe(C98,基本资料!$I$8,基本资料!$G$8))</f>
        <v/>
      </c>
      <c r="P98" s="23" t="str">
        <f>IF(C98="","",[1]!hks_val_pe_ttm(C98,E98))</f>
        <v/>
      </c>
      <c r="Q98" s="23" t="str">
        <f>IF(C98="","",[1]!s_val_estpe(C98,E98,YEAR([1]!s_stm_rpt_e(C98,基本资料!$I$8,0))+1))</f>
        <v/>
      </c>
      <c r="R98" s="48" t="str">
        <f>IF(C98="","",[1]!s_val_estpe(C98,E98,YEAR([1]!s_stm_rpt_e(C98,基本资料!$I$8,0))+2))</f>
        <v/>
      </c>
      <c r="S98" s="47" t="str">
        <f>IF(C98="","",[1]!hks_val_pb(C98,基本资料!$I$9,基本资料!$G$9))</f>
        <v/>
      </c>
      <c r="T98" s="23" t="str">
        <f>IF(C98="","",[1]!hks_val_pb(C98,基本资料!$I$8,基本资料!$G$8))</f>
        <v/>
      </c>
      <c r="U98" s="23" t="str">
        <f>IF(C98="","",[1]!pb_mrq(C98,E98))</f>
        <v/>
      </c>
      <c r="V98" s="23" t="str">
        <f>IF(C98="","",[1]!s_val_estpb(C98,E98,YEAR([1]!s_stm_rpt_e(C98,基本资料!$I$8,0))+1))</f>
        <v/>
      </c>
      <c r="W98" s="48" t="str">
        <f>IF(C98="","",[1]!s_val_estpb(C98,E98,YEAR([1]!s_stm_rpt_e(C98,基本资料!$I$8,0))+2))</f>
        <v/>
      </c>
      <c r="X98" s="47" t="str">
        <f>IF(C98="","",[1]!hks_val_ps(C98,基本资料!$I$9,基本资料!$G$9))</f>
        <v/>
      </c>
      <c r="Y98" s="23" t="str">
        <f>IF(C98="","",[1]!hks_val_ps(C98,基本资料!$I$8,基本资料!$G$8))</f>
        <v/>
      </c>
      <c r="Z98" s="48" t="str">
        <f>IF(C98="","",[1]!hks_val_ps_ttm(C98,E98))</f>
        <v/>
      </c>
      <c r="AA98" s="47" t="str">
        <f>IF(C98="","",[1]!hks_val_pcf(C98,基本资料!$I$9,基本资料!$G$9))</f>
        <v/>
      </c>
      <c r="AB98" s="23" t="str">
        <f>IF(C98="","",[1]!hks_val_pcf(C98,基本资料!$I$8,基本资料!$G$8))</f>
        <v/>
      </c>
      <c r="AC98" s="48" t="str">
        <f>IF(C98="","",[1]!hks_val_pcf_ttm(C98,E98))</f>
        <v/>
      </c>
      <c r="AD98" s="39" t="str">
        <f>IF(C98="","",[1]!s_val_evtoebitda2(C98,E98))</f>
        <v/>
      </c>
      <c r="AE98" s="47" t="str">
        <f>IF(C98="","",[1]!hks_val_ev2(C98,E98,"",1)/[1]!hks_fa_ebit2_ttm(C98,[1]!s_fa_latelyrd_bt(C98,[1]!lastradeday_s(C98,基本资料!$D$7)),"",1))</f>
        <v/>
      </c>
      <c r="AF98" s="35"/>
    </row>
    <row r="99" spans="1:32" s="36" customFormat="1" ht="16.5" x14ac:dyDescent="0.2">
      <c r="A99" s="2"/>
      <c r="B99" s="6"/>
      <c r="C99" s="28" t="str">
        <f>IF(表1[[#This Row],[列1]]="","",表1[[#This Row],[列1]])</f>
        <v/>
      </c>
      <c r="D99" s="19" t="str">
        <f>IF(C99="","",[1]!hks_info_name(C99))</f>
        <v/>
      </c>
      <c r="E99" s="19" t="str">
        <f ca="1">IF(C99="","",[1]!lastradeday_s(C99,TODAY()))</f>
        <v/>
      </c>
      <c r="F99" s="27" t="str">
        <f>IF(C99="","",[1]!hks_val_ev(C99,基本资料!$I$9,"",100000000))</f>
        <v/>
      </c>
      <c r="G99" s="23" t="str">
        <f>IF(C99="","",[1]!hks_val_ev(C99,基本资料!$I$8,"",100000000))</f>
        <v/>
      </c>
      <c r="H99" s="23" t="str">
        <f>IF(C99="","",[1]!hks_val_ev(C99,E99,"",100000000))</f>
        <v/>
      </c>
      <c r="I99" s="44"/>
      <c r="J99" s="27" t="str">
        <f>IF(C99="","",[1]!hks_val_mv_ard(C99,基本资料!$I$9,"",100000000))</f>
        <v/>
      </c>
      <c r="K99" s="23" t="str">
        <f>IF(C99="","",[1]!hks_val_mv_ard(C99,基本资料!$I$8,"",100000000))</f>
        <v/>
      </c>
      <c r="L99" s="45" t="str">
        <f>IF(C99="","",[1]!hks_val_mv_ard(C99,E99,"",100000000))</f>
        <v/>
      </c>
      <c r="M99" s="44"/>
      <c r="N99" s="47" t="str">
        <f>IF(C99="","",[1]!hks_val_pe(C99,基本资料!$I$9,基本资料!$G$9))</f>
        <v/>
      </c>
      <c r="O99" s="23" t="str">
        <f>IF(C99="","",[1]!hks_val_pe(C99,基本资料!$I$8,基本资料!$G$8))</f>
        <v/>
      </c>
      <c r="P99" s="23" t="str">
        <f>IF(C99="","",[1]!hks_val_pe_ttm(C99,E99))</f>
        <v/>
      </c>
      <c r="Q99" s="23" t="str">
        <f>IF(C99="","",[1]!s_val_estpe(C99,E99,YEAR([1]!s_stm_rpt_e(C99,基本资料!$I$8,0))+1))</f>
        <v/>
      </c>
      <c r="R99" s="48" t="str">
        <f>IF(C99="","",[1]!s_val_estpe(C99,E99,YEAR([1]!s_stm_rpt_e(C99,基本资料!$I$8,0))+2))</f>
        <v/>
      </c>
      <c r="S99" s="47" t="str">
        <f>IF(C99="","",[1]!hks_val_pb(C99,基本资料!$I$9,基本资料!$G$9))</f>
        <v/>
      </c>
      <c r="T99" s="23" t="str">
        <f>IF(C99="","",[1]!hks_val_pb(C99,基本资料!$I$8,基本资料!$G$8))</f>
        <v/>
      </c>
      <c r="U99" s="23" t="str">
        <f>IF(C99="","",[1]!pb_mrq(C99,E99))</f>
        <v/>
      </c>
      <c r="V99" s="23" t="str">
        <f>IF(C99="","",[1]!s_val_estpb(C99,E99,YEAR([1]!s_stm_rpt_e(C99,基本资料!$I$8,0))+1))</f>
        <v/>
      </c>
      <c r="W99" s="48" t="str">
        <f>IF(C99="","",[1]!s_val_estpb(C99,E99,YEAR([1]!s_stm_rpt_e(C99,基本资料!$I$8,0))+2))</f>
        <v/>
      </c>
      <c r="X99" s="47" t="str">
        <f>IF(C99="","",[1]!hks_val_ps(C99,基本资料!$I$9,基本资料!$G$9))</f>
        <v/>
      </c>
      <c r="Y99" s="23" t="str">
        <f>IF(C99="","",[1]!hks_val_ps(C99,基本资料!$I$8,基本资料!$G$8))</f>
        <v/>
      </c>
      <c r="Z99" s="48" t="str">
        <f>IF(C99="","",[1]!hks_val_ps_ttm(C99,E99))</f>
        <v/>
      </c>
      <c r="AA99" s="47" t="str">
        <f>IF(C99="","",[1]!hks_val_pcf(C99,基本资料!$I$9,基本资料!$G$9))</f>
        <v/>
      </c>
      <c r="AB99" s="23" t="str">
        <f>IF(C99="","",[1]!hks_val_pcf(C99,基本资料!$I$8,基本资料!$G$8))</f>
        <v/>
      </c>
      <c r="AC99" s="48" t="str">
        <f>IF(C99="","",[1]!hks_val_pcf_ttm(C99,E99))</f>
        <v/>
      </c>
      <c r="AD99" s="39" t="str">
        <f>IF(C99="","",[1]!s_val_evtoebitda2(C99,E99))</f>
        <v/>
      </c>
      <c r="AE99" s="47" t="str">
        <f>IF(C99="","",[1]!hks_val_ev2(C99,E99,"",1)/[1]!hks_fa_ebit2_ttm(C99,[1]!s_fa_latelyrd_bt(C99,[1]!lastradeday_s(C99,基本资料!$D$7)),"",1))</f>
        <v/>
      </c>
      <c r="AF99" s="35"/>
    </row>
    <row r="100" spans="1:32" s="36" customFormat="1" ht="16.5" x14ac:dyDescent="0.2">
      <c r="A100" s="2"/>
      <c r="B100" s="6"/>
      <c r="C100" s="28" t="str">
        <f>IF(表1[[#This Row],[列1]]="","",表1[[#This Row],[列1]])</f>
        <v/>
      </c>
      <c r="D100" s="19" t="str">
        <f>IF(C100="","",[1]!hks_info_name(C100))</f>
        <v/>
      </c>
      <c r="E100" s="19" t="str">
        <f ca="1">IF(C100="","",[1]!lastradeday_s(C100,TODAY()))</f>
        <v/>
      </c>
      <c r="F100" s="27" t="str">
        <f>IF(C100="","",[1]!hks_val_ev(C100,基本资料!$I$9,"",100000000))</f>
        <v/>
      </c>
      <c r="G100" s="23" t="str">
        <f>IF(C100="","",[1]!hks_val_ev(C100,基本资料!$I$8,"",100000000))</f>
        <v/>
      </c>
      <c r="H100" s="23" t="str">
        <f>IF(C100="","",[1]!hks_val_ev(C100,E100,"",100000000))</f>
        <v/>
      </c>
      <c r="I100" s="44"/>
      <c r="J100" s="27" t="str">
        <f>IF(C100="","",[1]!hks_val_mv_ard(C100,基本资料!$I$9,"",100000000))</f>
        <v/>
      </c>
      <c r="K100" s="23" t="str">
        <f>IF(C100="","",[1]!hks_val_mv_ard(C100,基本资料!$I$8,"",100000000))</f>
        <v/>
      </c>
      <c r="L100" s="45" t="str">
        <f>IF(C100="","",[1]!hks_val_mv_ard(C100,E100,"",100000000))</f>
        <v/>
      </c>
      <c r="M100" s="44"/>
      <c r="N100" s="47" t="str">
        <f>IF(C100="","",[1]!hks_val_pe(C100,基本资料!$I$9,基本资料!$G$9))</f>
        <v/>
      </c>
      <c r="O100" s="23" t="str">
        <f>IF(C100="","",[1]!hks_val_pe(C100,基本资料!$I$8,基本资料!$G$8))</f>
        <v/>
      </c>
      <c r="P100" s="23" t="str">
        <f>IF(C100="","",[1]!hks_val_pe_ttm(C100,E100))</f>
        <v/>
      </c>
      <c r="Q100" s="23" t="str">
        <f>IF(C100="","",[1]!s_val_estpe(C100,E100,YEAR([1]!s_stm_rpt_e(C100,基本资料!$I$8,0))+1))</f>
        <v/>
      </c>
      <c r="R100" s="48" t="str">
        <f>IF(C100="","",[1]!s_val_estpe(C100,E100,YEAR([1]!s_stm_rpt_e(C100,基本资料!$I$8,0))+2))</f>
        <v/>
      </c>
      <c r="S100" s="47" t="str">
        <f>IF(C100="","",[1]!hks_val_pb(C100,基本资料!$I$9,基本资料!$G$9))</f>
        <v/>
      </c>
      <c r="T100" s="23" t="str">
        <f>IF(C100="","",[1]!hks_val_pb(C100,基本资料!$I$8,基本资料!$G$8))</f>
        <v/>
      </c>
      <c r="U100" s="23" t="str">
        <f>IF(C100="","",[1]!pb_mrq(C100,E100))</f>
        <v/>
      </c>
      <c r="V100" s="23" t="str">
        <f>IF(C100="","",[1]!s_val_estpb(C100,E100,YEAR([1]!s_stm_rpt_e(C100,基本资料!$I$8,0))+1))</f>
        <v/>
      </c>
      <c r="W100" s="48" t="str">
        <f>IF(C100="","",[1]!s_val_estpb(C100,E100,YEAR([1]!s_stm_rpt_e(C100,基本资料!$I$8,0))+2))</f>
        <v/>
      </c>
      <c r="X100" s="47" t="str">
        <f>IF(C100="","",[1]!hks_val_ps(C100,基本资料!$I$9,基本资料!$G$9))</f>
        <v/>
      </c>
      <c r="Y100" s="23" t="str">
        <f>IF(C100="","",[1]!hks_val_ps(C100,基本资料!$I$8,基本资料!$G$8))</f>
        <v/>
      </c>
      <c r="Z100" s="48" t="str">
        <f>IF(C100="","",[1]!hks_val_ps_ttm(C100,E100))</f>
        <v/>
      </c>
      <c r="AA100" s="47" t="str">
        <f>IF(C100="","",[1]!hks_val_pcf(C100,基本资料!$I$9,基本资料!$G$9))</f>
        <v/>
      </c>
      <c r="AB100" s="23" t="str">
        <f>IF(C100="","",[1]!hks_val_pcf(C100,基本资料!$I$8,基本资料!$G$8))</f>
        <v/>
      </c>
      <c r="AC100" s="48" t="str">
        <f>IF(C100="","",[1]!hks_val_pcf_ttm(C100,E100))</f>
        <v/>
      </c>
      <c r="AD100" s="39" t="str">
        <f>IF(C100="","",[1]!s_val_evtoebitda2(C100,E100))</f>
        <v/>
      </c>
      <c r="AE100" s="47" t="str">
        <f>IF(C100="","",[1]!hks_val_ev2(C100,E100,"",1)/[1]!hks_fa_ebit2_ttm(C100,[1]!s_fa_latelyrd_bt(C100,[1]!lastradeday_s(C100,基本资料!$D$7)),"",1))</f>
        <v/>
      </c>
      <c r="AF100" s="35"/>
    </row>
    <row r="101" spans="1:32" s="36" customFormat="1" ht="9" customHeight="1" x14ac:dyDescent="0.2">
      <c r="A101" s="2"/>
      <c r="B101" s="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s="36" customFormat="1" ht="9" customHeight="1" x14ac:dyDescent="0.2">
      <c r="A102" s="2"/>
      <c r="B102" s="2"/>
    </row>
  </sheetData>
  <mergeCells count="12">
    <mergeCell ref="AE6:AE7"/>
    <mergeCell ref="N6:R6"/>
    <mergeCell ref="S6:W6"/>
    <mergeCell ref="X6:Z6"/>
    <mergeCell ref="AA6:AC6"/>
    <mergeCell ref="AD6:AD7"/>
    <mergeCell ref="D1:K1"/>
    <mergeCell ref="C6:C7"/>
    <mergeCell ref="D6:D7"/>
    <mergeCell ref="F6:I6"/>
    <mergeCell ref="E6:E7"/>
    <mergeCell ref="J6:M6"/>
  </mergeCells>
  <phoneticPr fontId="2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2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估值分析!J8:L8</xm:f>
              <xm:sqref>M8</xm:sqref>
            </x14:sparkline>
            <x14:sparkline>
              <xm:f>估值分析!J9:L9</xm:f>
              <xm:sqref>M9</xm:sqref>
            </x14:sparkline>
            <x14:sparkline>
              <xm:f>估值分析!J10:L10</xm:f>
              <xm:sqref>M10</xm:sqref>
            </x14:sparkline>
            <x14:sparkline>
              <xm:f>估值分析!J11:L11</xm:f>
              <xm:sqref>M11</xm:sqref>
            </x14:sparkline>
            <x14:sparkline>
              <xm:f>估值分析!J12:L12</xm:f>
              <xm:sqref>M12</xm:sqref>
            </x14:sparkline>
            <x14:sparkline>
              <xm:f>估值分析!J13:L13</xm:f>
              <xm:sqref>M13</xm:sqref>
            </x14:sparkline>
            <x14:sparkline>
              <xm:f>估值分析!J14:L14</xm:f>
              <xm:sqref>M14</xm:sqref>
            </x14:sparkline>
            <x14:sparkline>
              <xm:f>估值分析!J15:L15</xm:f>
              <xm:sqref>M15</xm:sqref>
            </x14:sparkline>
            <x14:sparkline>
              <xm:f>估值分析!J16:L16</xm:f>
              <xm:sqref>M16</xm:sqref>
            </x14:sparkline>
            <x14:sparkline>
              <xm:f>估值分析!J17:L17</xm:f>
              <xm:sqref>M17</xm:sqref>
            </x14:sparkline>
            <x14:sparkline>
              <xm:f>估值分析!J18:L18</xm:f>
              <xm:sqref>M18</xm:sqref>
            </x14:sparkline>
            <x14:sparkline>
              <xm:f>估值分析!J19:L19</xm:f>
              <xm:sqref>M19</xm:sqref>
            </x14:sparkline>
          </x14:sparklines>
        </x14:sparklineGroup>
        <x14:sparklineGroup displayEmptyCellsAs="gap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估值分析!F8:H8</xm:f>
              <xm:sqref>I8</xm:sqref>
            </x14:sparkline>
            <x14:sparkline>
              <xm:f>估值分析!F9:H9</xm:f>
              <xm:sqref>I9</xm:sqref>
            </x14:sparkline>
            <x14:sparkline>
              <xm:f>估值分析!F10:H10</xm:f>
              <xm:sqref>I10</xm:sqref>
            </x14:sparkline>
            <x14:sparkline>
              <xm:f>估值分析!F11:H11</xm:f>
              <xm:sqref>I11</xm:sqref>
            </x14:sparkline>
            <x14:sparkline>
              <xm:f>估值分析!F12:H12</xm:f>
              <xm:sqref>I12</xm:sqref>
            </x14:sparkline>
            <x14:sparkline>
              <xm:f>估值分析!F13:H13</xm:f>
              <xm:sqref>I13</xm:sqref>
            </x14:sparkline>
            <x14:sparkline>
              <xm:f>估值分析!F14:H14</xm:f>
              <xm:sqref>I14</xm:sqref>
            </x14:sparkline>
            <x14:sparkline>
              <xm:f>估值分析!F15:H15</xm:f>
              <xm:sqref>I15</xm:sqref>
            </x14:sparkline>
            <x14:sparkline>
              <xm:f>估值分析!F16:H16</xm:f>
              <xm:sqref>I16</xm:sqref>
            </x14:sparkline>
            <x14:sparkline>
              <xm:f>估值分析!F17:H17</xm:f>
              <xm:sqref>I17</xm:sqref>
            </x14:sparkline>
            <x14:sparkline>
              <xm:f>估值分析!F18:H18</xm:f>
              <xm:sqref>I18</xm:sqref>
            </x14:sparkline>
            <x14:sparkline>
              <xm:f>估值分析!F19:H19</xm:f>
              <xm:sqref>I19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63636D"/>
    <pageSetUpPr autoPageBreaks="0"/>
  </sheetPr>
  <dimension ref="A1:CX102"/>
  <sheetViews>
    <sheetView showGridLines="0" workbookViewId="0"/>
  </sheetViews>
  <sheetFormatPr defaultRowHeight="14.25" x14ac:dyDescent="0.2"/>
  <cols>
    <col min="1" max="1" width="2.125" style="3" customWidth="1"/>
    <col min="2" max="2" width="1.5" style="3" customWidth="1"/>
    <col min="3" max="3" width="10" style="37" customWidth="1"/>
    <col min="4" max="4" width="9" style="37"/>
    <col min="5" max="5" width="11.125" style="37" bestFit="1" customWidth="1"/>
    <col min="6" max="6" width="11.875" style="37" customWidth="1"/>
    <col min="7" max="8" width="12.375" style="37" customWidth="1"/>
    <col min="9" max="9" width="19.375" style="37" bestFit="1" customWidth="1"/>
    <col min="10" max="10" width="9.625" style="37" bestFit="1" customWidth="1"/>
    <col min="11" max="11" width="16.75" style="37" bestFit="1" customWidth="1"/>
    <col min="12" max="13" width="10" style="37" customWidth="1"/>
    <col min="14" max="14" width="15.125" style="37" bestFit="1" customWidth="1"/>
    <col min="15" max="15" width="20.125" style="37" bestFit="1" customWidth="1"/>
    <col min="16" max="17" width="17.75" style="37" customWidth="1"/>
    <col min="18" max="18" width="28.875" style="37" bestFit="1" customWidth="1"/>
    <col min="19" max="20" width="15.25" style="37" customWidth="1"/>
    <col min="21" max="21" width="15.875" style="37" bestFit="1" customWidth="1"/>
    <col min="22" max="22" width="32" style="37" bestFit="1" customWidth="1"/>
    <col min="23" max="23" width="9.625" style="37" bestFit="1" customWidth="1"/>
    <col min="24" max="24" width="11.375" style="37" bestFit="1" customWidth="1"/>
    <col min="25" max="25" width="14" style="37" bestFit="1" customWidth="1"/>
    <col min="26" max="27" width="15.875" style="37" bestFit="1" customWidth="1"/>
    <col min="28" max="28" width="17.625" style="37" bestFit="1" customWidth="1"/>
    <col min="29" max="30" width="9.25" style="37" customWidth="1"/>
    <col min="31" max="31" width="24.75" style="37" bestFit="1" customWidth="1"/>
    <col min="32" max="32" width="13.625" style="37" bestFit="1" customWidth="1"/>
    <col min="33" max="34" width="13.125" style="37" bestFit="1" customWidth="1"/>
    <col min="35" max="35" width="9.625" style="37" bestFit="1" customWidth="1"/>
    <col min="36" max="37" width="13.125" style="37" bestFit="1" customWidth="1"/>
    <col min="38" max="38" width="11.375" style="37" bestFit="1" customWidth="1"/>
    <col min="39" max="39" width="15" style="37" bestFit="1" customWidth="1"/>
    <col min="40" max="42" width="13.125" style="37" bestFit="1" customWidth="1"/>
    <col min="43" max="43" width="15" style="37" bestFit="1" customWidth="1"/>
    <col min="44" max="44" width="15.875" style="37" bestFit="1" customWidth="1"/>
    <col min="45" max="45" width="14" style="37" bestFit="1" customWidth="1"/>
    <col min="46" max="46" width="15.875" style="37" bestFit="1" customWidth="1"/>
    <col min="47" max="47" width="15" style="37" bestFit="1" customWidth="1"/>
    <col min="48" max="48" width="12.5" style="37" bestFit="1" customWidth="1"/>
    <col min="49" max="49" width="8" style="37" bestFit="1" customWidth="1"/>
    <col min="50" max="50" width="14.25" style="37" bestFit="1" customWidth="1"/>
    <col min="51" max="51" width="11.375" style="37" bestFit="1" customWidth="1"/>
    <col min="52" max="52" width="7.875" style="37" bestFit="1" customWidth="1"/>
    <col min="53" max="53" width="9.75" style="37" bestFit="1" customWidth="1"/>
    <col min="54" max="54" width="16.875" style="37" bestFit="1" customWidth="1"/>
    <col min="55" max="55" width="11.375" style="37" bestFit="1" customWidth="1"/>
    <col min="56" max="56" width="14.125" style="37" bestFit="1" customWidth="1"/>
    <col min="57" max="57" width="17.625" style="37" bestFit="1" customWidth="1"/>
    <col min="58" max="58" width="20.5" style="37" bestFit="1" customWidth="1"/>
    <col min="59" max="60" width="9.25" style="37" bestFit="1" customWidth="1"/>
    <col min="61" max="61" width="9.75" style="37" bestFit="1" customWidth="1"/>
    <col min="62" max="62" width="11.5" style="37" bestFit="1" customWidth="1"/>
    <col min="63" max="63" width="9.25" style="37" bestFit="1" customWidth="1"/>
    <col min="64" max="65" width="10.25" style="37" bestFit="1" customWidth="1"/>
    <col min="66" max="66" width="11.5" style="37" bestFit="1" customWidth="1"/>
    <col min="67" max="67" width="13.25" style="37" bestFit="1" customWidth="1"/>
    <col min="68" max="68" width="19.25" style="37" bestFit="1" customWidth="1"/>
    <col min="69" max="69" width="13.25" style="37" bestFit="1" customWidth="1"/>
    <col min="70" max="70" width="1.5" style="37" customWidth="1"/>
    <col min="71" max="16384" width="9" style="37"/>
  </cols>
  <sheetData>
    <row r="1" spans="1:102" s="5" customFormat="1" ht="27.75" x14ac:dyDescent="0.3">
      <c r="A1" s="4"/>
      <c r="B1" s="4"/>
      <c r="D1" s="87" t="s">
        <v>44</v>
      </c>
      <c r="E1" s="87"/>
      <c r="F1" s="87"/>
      <c r="G1" s="87"/>
      <c r="H1" s="87"/>
      <c r="I1" s="87"/>
      <c r="J1" s="87"/>
      <c r="K1" s="87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s="2" customFormat="1" ht="9" customHeight="1" x14ac:dyDescent="0.2"/>
    <row r="3" spans="1:102" s="2" customFormat="1" ht="9" customHeight="1" x14ac:dyDescent="0.2">
      <c r="B3" s="6"/>
      <c r="C3" s="6"/>
      <c r="D3" s="6"/>
      <c r="E3" s="1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</row>
    <row r="4" spans="1:102" s="2" customFormat="1" ht="17.25" x14ac:dyDescent="0.2">
      <c r="B4" s="6"/>
      <c r="C4" s="7" t="s">
        <v>43</v>
      </c>
      <c r="D4" s="7"/>
      <c r="E4" s="1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6"/>
    </row>
    <row r="5" spans="1:102" s="2" customFormat="1" ht="9" customHeight="1" x14ac:dyDescent="0.2"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</row>
    <row r="6" spans="1:102" s="36" customFormat="1" ht="16.5" x14ac:dyDescent="0.35">
      <c r="A6" s="2"/>
      <c r="B6" s="6"/>
      <c r="C6" s="78" t="s">
        <v>0</v>
      </c>
      <c r="D6" s="80" t="s">
        <v>6</v>
      </c>
      <c r="E6" s="80" t="s">
        <v>50</v>
      </c>
      <c r="F6" s="91" t="s">
        <v>53</v>
      </c>
      <c r="G6" s="91" t="s">
        <v>71</v>
      </c>
      <c r="H6" s="76" t="s">
        <v>67</v>
      </c>
      <c r="I6" s="77"/>
      <c r="J6" s="77"/>
      <c r="K6" s="98"/>
      <c r="L6" s="76" t="s">
        <v>79</v>
      </c>
      <c r="M6" s="77"/>
      <c r="N6" s="77"/>
      <c r="O6" s="77"/>
      <c r="P6" s="77"/>
      <c r="Q6" s="77"/>
      <c r="R6" s="77"/>
      <c r="S6" s="77"/>
      <c r="T6" s="98"/>
      <c r="U6" s="95" t="s">
        <v>85</v>
      </c>
      <c r="V6" s="97"/>
      <c r="W6" s="95" t="s">
        <v>88</v>
      </c>
      <c r="X6" s="96"/>
      <c r="Y6" s="96"/>
      <c r="Z6" s="96"/>
      <c r="AA6" s="96"/>
      <c r="AB6" s="97"/>
      <c r="AC6" s="95" t="s">
        <v>95</v>
      </c>
      <c r="AD6" s="96"/>
      <c r="AE6" s="96"/>
      <c r="AF6" s="97"/>
      <c r="AG6" s="95" t="s">
        <v>101</v>
      </c>
      <c r="AH6" s="96"/>
      <c r="AI6" s="96"/>
      <c r="AJ6" s="96"/>
      <c r="AK6" s="96"/>
      <c r="AL6" s="97"/>
      <c r="AM6" s="95" t="s">
        <v>108</v>
      </c>
      <c r="AN6" s="96"/>
      <c r="AO6" s="96"/>
      <c r="AP6" s="96"/>
      <c r="AQ6" s="97"/>
      <c r="AR6" s="95" t="s">
        <v>114</v>
      </c>
      <c r="AS6" s="96"/>
      <c r="AT6" s="96"/>
      <c r="AU6" s="96"/>
      <c r="AV6" s="96"/>
      <c r="AW6" s="96"/>
      <c r="AX6" s="96"/>
      <c r="AY6" s="97"/>
      <c r="AZ6" s="95" t="s">
        <v>141</v>
      </c>
      <c r="BA6" s="96"/>
      <c r="BB6" s="96"/>
      <c r="BC6" s="96"/>
      <c r="BD6" s="96"/>
      <c r="BE6" s="96"/>
      <c r="BF6" s="97"/>
      <c r="BG6" s="95" t="s">
        <v>142</v>
      </c>
      <c r="BH6" s="96"/>
      <c r="BI6" s="96"/>
      <c r="BJ6" s="96"/>
      <c r="BK6" s="96"/>
      <c r="BL6" s="96"/>
      <c r="BM6" s="96"/>
      <c r="BN6" s="96"/>
      <c r="BO6" s="97"/>
      <c r="BP6" s="95" t="s">
        <v>143</v>
      </c>
      <c r="BQ6" s="96"/>
      <c r="BR6" s="35"/>
    </row>
    <row r="7" spans="1:102" s="36" customFormat="1" ht="16.5" x14ac:dyDescent="0.35">
      <c r="A7" s="2"/>
      <c r="B7" s="6"/>
      <c r="C7" s="79"/>
      <c r="D7" s="81"/>
      <c r="E7" s="81"/>
      <c r="F7" s="92"/>
      <c r="G7" s="92"/>
      <c r="H7" s="40" t="s">
        <v>96</v>
      </c>
      <c r="I7" s="41" t="s">
        <v>68</v>
      </c>
      <c r="J7" s="41" t="s">
        <v>69</v>
      </c>
      <c r="K7" s="42" t="s">
        <v>70</v>
      </c>
      <c r="L7" s="40" t="s">
        <v>72</v>
      </c>
      <c r="M7" s="22" t="s">
        <v>73</v>
      </c>
      <c r="N7" s="22" t="s">
        <v>77</v>
      </c>
      <c r="O7" s="22" t="s">
        <v>78</v>
      </c>
      <c r="P7" s="22" t="s">
        <v>81</v>
      </c>
      <c r="Q7" s="22" t="s">
        <v>82</v>
      </c>
      <c r="R7" s="22" t="s">
        <v>80</v>
      </c>
      <c r="S7" s="22" t="s">
        <v>83</v>
      </c>
      <c r="T7" s="24" t="s">
        <v>84</v>
      </c>
      <c r="U7" s="46" t="s">
        <v>86</v>
      </c>
      <c r="V7" s="24" t="s">
        <v>87</v>
      </c>
      <c r="W7" s="26" t="s">
        <v>89</v>
      </c>
      <c r="X7" s="22" t="s">
        <v>90</v>
      </c>
      <c r="Y7" s="22" t="s">
        <v>91</v>
      </c>
      <c r="Z7" s="22" t="s">
        <v>92</v>
      </c>
      <c r="AA7" s="22" t="s">
        <v>93</v>
      </c>
      <c r="AB7" s="24" t="s">
        <v>94</v>
      </c>
      <c r="AC7" s="26" t="s">
        <v>97</v>
      </c>
      <c r="AD7" s="22" t="s">
        <v>98</v>
      </c>
      <c r="AE7" s="22" t="s">
        <v>99</v>
      </c>
      <c r="AF7" s="24" t="s">
        <v>100</v>
      </c>
      <c r="AG7" s="26" t="s">
        <v>102</v>
      </c>
      <c r="AH7" s="22" t="s">
        <v>103</v>
      </c>
      <c r="AI7" s="22" t="s">
        <v>104</v>
      </c>
      <c r="AJ7" s="22" t="s">
        <v>105</v>
      </c>
      <c r="AK7" s="22" t="s">
        <v>106</v>
      </c>
      <c r="AL7" s="24" t="s">
        <v>107</v>
      </c>
      <c r="AM7" s="26" t="s">
        <v>109</v>
      </c>
      <c r="AN7" s="22" t="s">
        <v>110</v>
      </c>
      <c r="AO7" s="22" t="s">
        <v>111</v>
      </c>
      <c r="AP7" s="22" t="s">
        <v>112</v>
      </c>
      <c r="AQ7" s="24" t="s">
        <v>113</v>
      </c>
      <c r="AR7" s="26" t="s">
        <v>115</v>
      </c>
      <c r="AS7" s="22" t="s">
        <v>116</v>
      </c>
      <c r="AT7" s="22" t="s">
        <v>117</v>
      </c>
      <c r="AU7" s="22" t="s">
        <v>118</v>
      </c>
      <c r="AV7" s="22" t="s">
        <v>120</v>
      </c>
      <c r="AW7" s="22" t="s">
        <v>119</v>
      </c>
      <c r="AX7" s="22" t="s">
        <v>121</v>
      </c>
      <c r="AY7" s="24" t="s">
        <v>122</v>
      </c>
      <c r="AZ7" s="26" t="s">
        <v>123</v>
      </c>
      <c r="BA7" s="22" t="s">
        <v>124</v>
      </c>
      <c r="BB7" s="22" t="s">
        <v>125</v>
      </c>
      <c r="BC7" s="22" t="s">
        <v>126</v>
      </c>
      <c r="BD7" s="22" t="s">
        <v>127</v>
      </c>
      <c r="BE7" s="22" t="s">
        <v>128</v>
      </c>
      <c r="BF7" s="24" t="s">
        <v>129</v>
      </c>
      <c r="BG7" s="26" t="s">
        <v>130</v>
      </c>
      <c r="BH7" s="22" t="s">
        <v>131</v>
      </c>
      <c r="BI7" s="22" t="s">
        <v>132</v>
      </c>
      <c r="BJ7" s="22" t="s">
        <v>133</v>
      </c>
      <c r="BK7" s="22" t="s">
        <v>134</v>
      </c>
      <c r="BL7" s="22" t="s">
        <v>135</v>
      </c>
      <c r="BM7" s="22" t="s">
        <v>136</v>
      </c>
      <c r="BN7" s="22" t="s">
        <v>137</v>
      </c>
      <c r="BO7" s="24" t="s">
        <v>138</v>
      </c>
      <c r="BP7" s="26" t="s">
        <v>139</v>
      </c>
      <c r="BQ7" s="38" t="s">
        <v>140</v>
      </c>
      <c r="BR7" s="35"/>
    </row>
    <row r="8" spans="1:102" s="36" customFormat="1" ht="16.5" x14ac:dyDescent="0.2">
      <c r="A8" s="2"/>
      <c r="B8" s="6"/>
      <c r="C8" s="28" t="str">
        <f>IF(表1[[#This Row],[列1]]="","",表1[[#This Row],[列1]])</f>
        <v>000001.SZ</v>
      </c>
      <c r="D8" s="19" t="str">
        <f>IF(C8="","",[1]!hks_info_name(C8))</f>
        <v>平安银行</v>
      </c>
      <c r="E8" s="19" t="str">
        <f ca="1">IF(C8="","",[1]!lastradeday_s(C8,TODAY()))</f>
        <v>2024-12-09</v>
      </c>
      <c r="F8" s="49" t="str">
        <f ca="1">IF(C8="","",IF(OR([1]!s_stm_rpt_e(C8,基本资料!$I$8,0)="#N/A",[1]!s_stm_rpt_e(C8,基本资料!$I$8,0)="",[1]!s_stm_rpt_e(C8,基本资料!$I$8,0)=0),[1]!s_stm_rpt_e(C8,基本资料!$I$9,0),[1]!s_stm_rpt_e(C8,基本资料!$I$8,0)))</f>
        <v>2023-12-31</v>
      </c>
      <c r="G8" s="49" t="str">
        <f ca="1">IF(C8="","",[1]!hks_info_cur2(C8,F8))</f>
        <v>CNY</v>
      </c>
      <c r="H8" s="27">
        <f ca="1">IF(C8="","",[1]!hks_fa_eps_basic(C8,F8,""))</f>
        <v>2.25</v>
      </c>
      <c r="I8" s="23">
        <f ca="1">IF(C8="","",[1]!hks_fa_eps_adjust2(C8,F8,""))</f>
        <v>2.3938573545459816</v>
      </c>
      <c r="J8" s="23">
        <f ca="1">IF(C8="","",[1]!hks_fa_bps(C8,F8,""))</f>
        <v>20.735099999999999</v>
      </c>
      <c r="K8" s="25">
        <f ca="1">IF(C8="","",[1]!hks_fa_ocfps(C8,F8,""))</f>
        <v>4.76</v>
      </c>
      <c r="L8" s="27">
        <f ca="1">IF(C8="","",[1]!hks_fa_grossprofitmargin(C8,F8))</f>
        <v>0</v>
      </c>
      <c r="M8" s="23">
        <f ca="1">IF(C8="","",[1]!hks_fa_netprofitmargin(C8,F8))</f>
        <v>28.503299999999999</v>
      </c>
      <c r="N8" s="23">
        <f ca="1">IF(C8="","",[1]!hks_fa_roe(C8,F8))</f>
        <v>10.243600000000001</v>
      </c>
      <c r="O8" s="23">
        <f ca="1">IF(C8="","",[1]!hks_fa_roe_deducted(C8,F8))</f>
        <v>10.367900000000001</v>
      </c>
      <c r="P8" s="23">
        <f ca="1">IF(C8="","",[1]!hks_fa_roa2(C8,F8))</f>
        <v>0</v>
      </c>
      <c r="Q8" s="23">
        <f ca="1">IF(C8="","",[1]!hks_fa_roic(C8,F8))</f>
        <v>0</v>
      </c>
      <c r="R8" s="23">
        <f ca="1">IF(C8="","",[1]!hks_fa_dupont_nptosales(C8,F8))</f>
        <v>28.503299999999999</v>
      </c>
      <c r="S8" s="23">
        <f ca="1">IF(C8="","",[1]!hks_fa_dupont_ebittosales(C8,F8))</f>
        <v>0</v>
      </c>
      <c r="T8" s="25">
        <f ca="1">IF(C8="","",[1]!hks_fa_ebitdatosales(C8,F8))</f>
        <v>0</v>
      </c>
      <c r="U8" s="47">
        <f ca="1">IF(C8="","",[1]!hks_fa_optoebt(C8,F8))</f>
        <v>100.3638</v>
      </c>
      <c r="V8" s="25">
        <f ca="1">IF(C8="","",[1]!hks_fa_ocftosales(C8,F8))</f>
        <v>56.731200000000001</v>
      </c>
      <c r="W8" s="27">
        <f ca="1">IF(C8="","",[1]!hks_fa_debttoassets(C8,F8))</f>
        <v>91.546099999999996</v>
      </c>
      <c r="X8" s="23">
        <f ca="1">IF(C8="","",[1]!s_fa_debttoeqy(C8,F8))</f>
        <v>10.828890093324977</v>
      </c>
      <c r="Y8" s="23">
        <f ca="1">IF(C8="","",[1]!hks_fa_catoassets(C8,F8))</f>
        <v>0</v>
      </c>
      <c r="Z8" s="23">
        <f ca="1">IF(C8="","",[1]!hks_fa_ncatoassets(C8,F8))</f>
        <v>0</v>
      </c>
      <c r="AA8" s="23">
        <f ca="1">IF(C8="","",[1]!hks_fa_currentdebttodebt(C8,F8))</f>
        <v>0</v>
      </c>
      <c r="AB8" s="25">
        <f ca="1">IF(C8="","",[1]!hks_fa_longdebtodebt(C8,F8))</f>
        <v>0</v>
      </c>
      <c r="AC8" s="25">
        <f ca="1">IF(C8="","",[1]!hks_fa_current(C8,F8))</f>
        <v>0</v>
      </c>
      <c r="AD8" s="25">
        <f ca="1">IF(C8="","",[1]!hks_fa_quick(C8,F8))</f>
        <v>0</v>
      </c>
      <c r="AE8" s="25">
        <f ca="1">IF(C8="","",[1]!hks_fa_ebittointerest(C8,F8))</f>
        <v>0</v>
      </c>
      <c r="AF8" s="25">
        <f ca="1">IF(C8="","",[1]!hks_fa_netdebtratio(C8,F8))</f>
        <v>1082.8890093324978</v>
      </c>
      <c r="AG8" s="27">
        <f ca="1">IF(C8="","",[1]!hks_fa_arturn(C8,F8))</f>
        <v>0</v>
      </c>
      <c r="AH8" s="23">
        <f ca="1">IF(C8="","",[1]!hks_fa_apturn(C8,F8))</f>
        <v>0</v>
      </c>
      <c r="AI8" s="23">
        <f ca="1">IF(C8="","",[1]!hks_fa_invturn(C8,F8))</f>
        <v>0</v>
      </c>
      <c r="AJ8" s="23">
        <f ca="1">IF(C8="","",[1]!hks_fa_caturn(C8,F8))</f>
        <v>0</v>
      </c>
      <c r="AK8" s="23">
        <f ca="1">IF(C8="","",[1]!hks_fa_faturn(C8,F8))</f>
        <v>15.5985</v>
      </c>
      <c r="AL8" s="25">
        <f ca="1">IF(C8="","",[1]!hks_fa_assetsturn(C8,F8))</f>
        <v>2.9899999999999999E-2</v>
      </c>
      <c r="AM8" s="23">
        <f ca="1">IF(C8="","",[1]!hks_fa_yoy_tr(C8,F8))</f>
        <v>-8.5239999999999991</v>
      </c>
      <c r="AN8" s="23">
        <f ca="1">IF(C8="","",[1]!hks_fa_yoy_or(C8,F8))</f>
        <v>-8.5239999999999991</v>
      </c>
      <c r="AO8" s="23">
        <f ca="1">IF(C8="","",[1]!hks_fa_yoyop2(C8,F8))</f>
        <v>0.78816876903001298</v>
      </c>
      <c r="AP8" s="23">
        <f ca="1">IF(C8="","",[1]!hks_fa_yoyebt(C8,F8))</f>
        <v>0.81220000000000003</v>
      </c>
      <c r="AQ8" s="23">
        <f ca="1">IF(C8="","",[1]!hks_fa_yoynetprofit(C8,F8))</f>
        <v>2.0630000000000002</v>
      </c>
      <c r="AR8" s="23">
        <f ca="1">IF(C8="","",[1]!hks_fa_dupont_np(C8,F8))</f>
        <v>100</v>
      </c>
      <c r="AS8" s="23">
        <f ca="1">IF(C8="","",[1]!hks_fa_dupont_taxburden(C8,F8))</f>
        <v>80.486199999999997</v>
      </c>
      <c r="AT8" s="23">
        <f ca="1">IF(C8="","",[1]!s_fa_dupont_nptosales(C8,F8))</f>
        <v>28.206</v>
      </c>
      <c r="AU8" s="23">
        <f ca="1">IF(C8="","",[1]!s_fa_dupont_roe(C8,F8))</f>
        <v>10.243600000000001</v>
      </c>
      <c r="AV8" s="23">
        <f ca="1">IF(C8="","",[1]!hks_fa_dupont_intburden(C8,F8))</f>
        <v>0</v>
      </c>
      <c r="AW8" s="23">
        <f ca="1">IF(C8="","",[1]!hks_fa_dupont_assetstoequity(C8,F8))</f>
        <v>12.026999999999999</v>
      </c>
      <c r="AX8" s="23">
        <f ca="1">IF(C8="","",[1]!s_fa_dupont_ebittosales(C8,F8))</f>
        <v>0</v>
      </c>
      <c r="AY8" s="23">
        <f ca="1">IF(C8="","",[1]!hks_fa_assetsturn(C8,F8))</f>
        <v>2.9899999999999999E-2</v>
      </c>
      <c r="AZ8" s="23">
        <f ca="1">IF(C8="","",[1]!hks_fa_grossmargin2(C8,F8,"",100000000))</f>
        <v>0</v>
      </c>
      <c r="BA8" s="23">
        <f ca="1">IF(C8="","",[1]!hks_fa_ebit3(C8,F8,1,"",100000000))</f>
        <v>0</v>
      </c>
      <c r="BB8" s="23">
        <f ca="1">IF(C8="","",[1]!hks_fa_ebitda(C8,F8,1,"",100000000))</f>
        <v>0</v>
      </c>
      <c r="BC8" s="23">
        <f ca="1">IF(C8="","",[1]!hks_fa_ebit(C8,F8,1,"",100000000))</f>
        <v>0</v>
      </c>
      <c r="BD8" s="23">
        <f ca="1">IF(C8="","",[1]!hks_fa_ebitda(C8,F8,1,"",100000000))</f>
        <v>0</v>
      </c>
      <c r="BE8" s="23">
        <f ca="1">IF(C8="","",[1]!hks_fa_nogaapprofit(C8,F8,1,"",100000000))</f>
        <v>0</v>
      </c>
      <c r="BF8" s="23">
        <f ca="1">IF(C8="","",[1]!hks_fa_deductedprofit(C8,F8,1,"",100000000))</f>
        <v>470.19</v>
      </c>
      <c r="BG8" s="23">
        <f ca="1">IF(C8="","",[1]!hks_fa_retainedearnings2(C8,F8,"",100000000))</f>
        <v>2212.5500000000002</v>
      </c>
      <c r="BH8" s="23">
        <f ca="1">IF(C8="","",[1]!hks_fa_workingcapital2(C8,F8,"",100000000))</f>
        <v>0</v>
      </c>
      <c r="BI8" s="23">
        <f ca="1">IF(C8="","",[1]!hks_fa_networkingcapital2(C8,F8,"",100000000))</f>
        <v>0</v>
      </c>
      <c r="BJ8" s="23">
        <f ca="1">IF(C8="","",[1]!hks_fa_investcapital2(C8,F8,"",100000000))</f>
        <v>55871.16</v>
      </c>
      <c r="BK8" s="23">
        <f ca="1">IF(C8="","",[1]!hks_fa_tangibleasset2(C8,F8,"",100000000))</f>
        <v>0</v>
      </c>
      <c r="BL8" s="23">
        <f ca="1">IF(C8="","",[1]!hks_fa_netdebt2(C8,F8,"",100000000))</f>
        <v>51147.88</v>
      </c>
      <c r="BM8" s="23">
        <f ca="1">IF(C8="","",[1]!hks_fa_interestdebt2(C8,F8,"",100000000))</f>
        <v>51147.88</v>
      </c>
      <c r="BN8" s="23">
        <f ca="1">IF(C8="","",[1]!hks_fa_exinterestdebt_current(C8,F8,"",100000000))</f>
        <v>0</v>
      </c>
      <c r="BO8" s="23">
        <f ca="1">IF(C8="","",[1]!hks_fa_exinterestdebt_noncurrent2(C8,F8,"",100000000))</f>
        <v>0</v>
      </c>
      <c r="BP8" s="23">
        <f ca="1">IF(C8="","",[1]!hks_fa_fcfe2(C8,F8,"",100000000))</f>
        <v>-8620.16</v>
      </c>
      <c r="BQ8" s="23">
        <f ca="1">IF(C8="","",[1]!hks_fa_fcff2(C8,F8,"",100000000))</f>
        <v>467.91</v>
      </c>
      <c r="BR8" s="35"/>
    </row>
    <row r="9" spans="1:102" s="36" customFormat="1" ht="16.5" x14ac:dyDescent="0.2">
      <c r="A9" s="2"/>
      <c r="B9" s="6"/>
      <c r="C9" s="28" t="str">
        <f>IF(表1[[#This Row],[列1]]="","",表1[[#This Row],[列1]])</f>
        <v>000002.SZ</v>
      </c>
      <c r="D9" s="19" t="str">
        <f>IF(C9="","",[1]!hks_info_name(C9))</f>
        <v>万科A</v>
      </c>
      <c r="E9" s="19" t="str">
        <f ca="1">IF(C9="","",[1]!lastradeday_s(C9,TODAY()))</f>
        <v>2024-12-09</v>
      </c>
      <c r="F9" s="49" t="str">
        <f ca="1">IF(C9="","",IF(OR([1]!s_stm_rpt_e(C9,基本资料!$I$8,0)="#N/A",[1]!s_stm_rpt_e(C9,基本资料!$I$8,0)="",[1]!s_stm_rpt_e(C9,基本资料!$I$8,0)=0),[1]!s_stm_rpt_e(C9,基本资料!$I$9,0),[1]!s_stm_rpt_e(C9,基本资料!$I$8,0)))</f>
        <v>2023-12-31</v>
      </c>
      <c r="G9" s="49" t="str">
        <f ca="1">IF(C9="","",[1]!hks_info_cur2(C9,F9))</f>
        <v>CNY</v>
      </c>
      <c r="H9" s="27">
        <f ca="1">IF(C9="","",[1]!hks_fa_eps_basic(C9,F9,""))</f>
        <v>1.03</v>
      </c>
      <c r="I9" s="23">
        <f ca="1">IF(C9="","",[1]!hks_fa_eps_adjust2(C9,F9,""))</f>
        <v>1.0194434815099522</v>
      </c>
      <c r="J9" s="23">
        <f ca="1">IF(C9="","",[1]!hks_fa_bps(C9,F9,""))</f>
        <v>21.020099999999999</v>
      </c>
      <c r="K9" s="25">
        <f ca="1">IF(C9="","",[1]!hks_fa_ocfps(C9,F9,""))</f>
        <v>0.32790000000000002</v>
      </c>
      <c r="L9" s="27">
        <f ca="1">IF(C9="","",[1]!hks_fa_grossprofitmargin(C9,F9))</f>
        <v>14.481999999999999</v>
      </c>
      <c r="M9" s="23">
        <f ca="1">IF(C9="","",[1]!hks_fa_netprofitmargin(C9,F9))</f>
        <v>4.3863000000000003</v>
      </c>
      <c r="N9" s="23">
        <f ca="1">IF(C9="","",[1]!hks_fa_roe(C9,F9))</f>
        <v>4.9294000000000002</v>
      </c>
      <c r="O9" s="23">
        <f ca="1">IF(C9="","",[1]!hks_fa_roe_deducted(C9,F9))</f>
        <v>3.524</v>
      </c>
      <c r="P9" s="23">
        <f ca="1">IF(C9="","",[1]!hks_fa_roa2(C9,F9))</f>
        <v>2.8704000000000001</v>
      </c>
      <c r="Q9" s="23">
        <f ca="1">IF(C9="","",[1]!hks_fa_roic(C9,F9))</f>
        <v>2.1511</v>
      </c>
      <c r="R9" s="23">
        <f ca="1">IF(C9="","",[1]!hks_fa_dupont_nptosales(C9,F9))</f>
        <v>4.3863000000000003</v>
      </c>
      <c r="S9" s="23">
        <f ca="1">IF(C9="","",[1]!hks_fa_dupont_ebittosales(C9,F9))</f>
        <v>10.0389</v>
      </c>
      <c r="T9" s="25">
        <f ca="1">IF(C9="","",[1]!hks_fa_ebitdatosales(C9,F9))</f>
        <v>11.986084078067417</v>
      </c>
      <c r="U9" s="47">
        <f ca="1">IF(C9="","",[1]!hks_fa_optoebt(C9,F9))</f>
        <v>97.391099999999994</v>
      </c>
      <c r="V9" s="25">
        <f ca="1">IF(C9="","",[1]!hks_fa_ocftosales(C9,F9))</f>
        <v>0.83889999999999998</v>
      </c>
      <c r="W9" s="27">
        <f ca="1">IF(C9="","",[1]!hks_fa_debttoassets(C9,F9))</f>
        <v>73.224699999999999</v>
      </c>
      <c r="X9" s="23">
        <f ca="1">IF(C9="","",[1]!s_fa_debttoeqy(C9,F9))</f>
        <v>4.3938765868134588</v>
      </c>
      <c r="Y9" s="23">
        <f ca="1">IF(C9="","",[1]!hks_fa_catoassets(C9,F9))</f>
        <v>76.437200000000004</v>
      </c>
      <c r="Z9" s="23">
        <f ca="1">IF(C9="","",[1]!hks_fa_ncatoassets(C9,F9))</f>
        <v>23.562799999999999</v>
      </c>
      <c r="AA9" s="23">
        <f ca="1">IF(C9="","",[1]!hks_fa_currentdebttodebt(C9,F9))</f>
        <v>74.576300000000003</v>
      </c>
      <c r="AB9" s="25">
        <f ca="1">IF(C9="","",[1]!hks_fa_longdebtodebt(C9,F9))</f>
        <v>25.4237</v>
      </c>
      <c r="AC9" s="25">
        <f ca="1">IF(C9="","",[1]!hks_fa_current(C9,F9))</f>
        <v>1.3996999999999999</v>
      </c>
      <c r="AD9" s="25">
        <f ca="1">IF(C9="","",[1]!hks_fa_quick(C9,F9))</f>
        <v>0.53939999999999999</v>
      </c>
      <c r="AE9" s="25">
        <f ca="1">IF(C9="","",[1]!hks_fa_ebittointerest(C9,F9))</f>
        <v>25.352599999999999</v>
      </c>
      <c r="AF9" s="25">
        <f ca="1">IF(C9="","",[1]!hks_fa_netdebtratio(C9,F9))</f>
        <v>55.771838953755385</v>
      </c>
      <c r="AG9" s="27">
        <f ca="1">IF(C9="","",[1]!hks_fa_arturn(C9,F9))</f>
        <v>62.884599999999999</v>
      </c>
      <c r="AH9" s="23">
        <f ca="1">IF(C9="","",[1]!hks_fa_apturn(C9,F9))</f>
        <v>1.5590587630997921</v>
      </c>
      <c r="AI9" s="23">
        <f ca="1">IF(C9="","",[1]!hks_fa_invturn(C9,F9))</f>
        <v>0.49149999999999999</v>
      </c>
      <c r="AJ9" s="23">
        <f ca="1">IF(C9="","",[1]!hks_fa_caturn(C9,F9))</f>
        <v>0.36349999999999999</v>
      </c>
      <c r="AK9" s="23">
        <f ca="1">IF(C9="","",[1]!hks_fa_faturn(C9,F9))</f>
        <v>15.4282</v>
      </c>
      <c r="AL9" s="25">
        <f ca="1">IF(C9="","",[1]!hks_fa_assetsturn(C9,F9))</f>
        <v>0.28589999999999999</v>
      </c>
      <c r="AM9" s="23">
        <f ca="1">IF(C9="","",[1]!hks_fa_yoy_tr(C9,F9))</f>
        <v>-7.5608000000000004</v>
      </c>
      <c r="AN9" s="23">
        <f ca="1">IF(C9="","",[1]!hks_fa_yoy_or(C9,F9))</f>
        <v>-7.5617999999999999</v>
      </c>
      <c r="AO9" s="23">
        <f ca="1">IF(C9="","",[1]!hks_fa_yoyop2(C9,F9))</f>
        <v>-37.30417506390836</v>
      </c>
      <c r="AP9" s="23">
        <f ca="1">IF(C9="","",[1]!hks_fa_yoyebt(C9,F9))</f>
        <v>-38.747599999999998</v>
      </c>
      <c r="AQ9" s="23">
        <f ca="1">IF(C9="","",[1]!hks_fa_yoynetprofit(C9,F9))</f>
        <v>-46.392899999999997</v>
      </c>
      <c r="AR9" s="23">
        <f ca="1">IF(C9="","",[1]!hks_fa_dupont_np(C9,F9))</f>
        <v>59.459099999999999</v>
      </c>
      <c r="AS9" s="23">
        <f ca="1">IF(C9="","",[1]!hks_fa_dupont_taxburden(C9,F9))</f>
        <v>45.486899999999999</v>
      </c>
      <c r="AT9" s="23">
        <f ca="1">IF(C9="","",[1]!s_fa_dupont_nptosales(C9,F9))</f>
        <v>4.3921000000000001</v>
      </c>
      <c r="AU9" s="23">
        <f ca="1">IF(C9="","",[1]!s_fa_dupont_roe(C9,F9))</f>
        <v>4.9294000000000002</v>
      </c>
      <c r="AV9" s="23">
        <f ca="1">IF(C9="","",[1]!hks_fa_dupont_intburden(C9,F9))</f>
        <v>96.055599999999998</v>
      </c>
      <c r="AW9" s="23">
        <f ca="1">IF(C9="","",[1]!hks_fa_dupont_assetstoequity(C9,F9))</f>
        <v>6.6102999999999996</v>
      </c>
      <c r="AX9" s="23">
        <f ca="1">IF(C9="","",[1]!s_fa_dupont_ebittosales(C9,F9))</f>
        <v>6.9880000000000004</v>
      </c>
      <c r="AY9" s="23">
        <f ca="1">IF(C9="","",[1]!hks_fa_assetsturn(C9,F9))</f>
        <v>0.28589999999999999</v>
      </c>
      <c r="AZ9" s="23">
        <f ca="1">IF(C9="","",[1]!hks_fa_grossmargin2(C9,F9,"",100000000))</f>
        <v>674.48208</v>
      </c>
      <c r="BA9" s="23">
        <f ca="1">IF(C9="","",[1]!hks_fa_ebit3(C9,F9,1,"",100000000))</f>
        <v>299.27726277570002</v>
      </c>
      <c r="BB9" s="23">
        <f ca="1">IF(C9="","",[1]!hks_fa_ebitda(C9,F9,1,"",100000000))</f>
        <v>558.97600999999997</v>
      </c>
      <c r="BC9" s="23">
        <f ca="1">IF(C9="","",[1]!hks_fa_ebit(C9,F9,1,"",100000000))</f>
        <v>468.16806000000003</v>
      </c>
      <c r="BD9" s="23">
        <f ca="1">IF(C9="","",[1]!hks_fa_ebitda(C9,F9,1,"",100000000))</f>
        <v>558.97600999999997</v>
      </c>
      <c r="BE9" s="23">
        <f ca="1">IF(C9="","",[1]!hks_fa_nogaapprofit(C9,F9,1,"",100000000))</f>
        <v>0</v>
      </c>
      <c r="BF9" s="23">
        <f ca="1">IF(C9="","",[1]!hks_fa_deductedprofit(C9,F9,1,"",100000000))</f>
        <v>86.950100000000006</v>
      </c>
      <c r="BG9" s="23">
        <f ca="1">IF(C9="","",[1]!hks_fa_retainedearnings2(C9,F9,"",100000000))</f>
        <v>936.16301999999996</v>
      </c>
      <c r="BH9" s="23">
        <f ca="1">IF(C9="","",[1]!hks_fa_workingcapital2(C9,F9,"",100000000))</f>
        <v>3284.9679599999999</v>
      </c>
      <c r="BI9" s="23">
        <f ca="1">IF(C9="","",[1]!hks_fa_networkingcapital2(C9,F9,"",100000000))</f>
        <v>2955.85077</v>
      </c>
      <c r="BJ9" s="23">
        <f ca="1">IF(C9="","",[1]!hks_fa_investcapital2(C9,F9,"",100000000))</f>
        <v>5724.5063</v>
      </c>
      <c r="BK9" s="23">
        <f ca="1">IF(C9="","",[1]!hks_fa_tangibleasset2(C9,F9,"",100000000))</f>
        <v>2410.33599</v>
      </c>
      <c r="BL9" s="23">
        <f ca="1">IF(C9="","",[1]!hks_fa_netdebt2(C9,F9,"",100000000))</f>
        <v>2247.2343999999998</v>
      </c>
      <c r="BM9" s="23">
        <f ca="1">IF(C9="","",[1]!hks_fa_interestdebt2(C9,F9,"",100000000))</f>
        <v>3216.6601700000001</v>
      </c>
      <c r="BN9" s="23">
        <f ca="1">IF(C9="","",[1]!hks_fa_exinterestdebt_current(C9,F9,"",100000000))</f>
        <v>7577.5439999999999</v>
      </c>
      <c r="BO9" s="23">
        <f ca="1">IF(C9="","",[1]!hks_fa_exinterestdebt_noncurrent2(C9,F9,"",100000000))</f>
        <v>225.18216000000001</v>
      </c>
      <c r="BP9" s="23">
        <f ca="1">IF(C9="","",[1]!hks_fa_fcfe2(C9,F9,"",100000000))</f>
        <v>-103.29528422627899</v>
      </c>
      <c r="BQ9" s="23">
        <f ca="1">IF(C9="","",[1]!hks_fa_fcff2(C9,F9,"",100000000))</f>
        <v>-119.59213422627899</v>
      </c>
      <c r="BR9" s="35"/>
    </row>
    <row r="10" spans="1:102" s="36" customFormat="1" ht="16.5" x14ac:dyDescent="0.2">
      <c r="A10" s="2"/>
      <c r="B10" s="6"/>
      <c r="C10" s="28" t="str">
        <f>IF(表1[[#This Row],[列1]]="","",表1[[#This Row],[列1]])</f>
        <v>002123.SZ</v>
      </c>
      <c r="D10" s="19" t="str">
        <f>IF(C10="","",[1]!hks_info_name(C10))</f>
        <v>梦网科技</v>
      </c>
      <c r="E10" s="19" t="str">
        <f ca="1">IF(C10="","",[1]!lastradeday_s(C10,TODAY()))</f>
        <v>2024-12-09</v>
      </c>
      <c r="F10" s="49" t="str">
        <f ca="1">IF(C10="","",IF(OR([1]!s_stm_rpt_e(C10,基本资料!$I$8,0)="#N/A",[1]!s_stm_rpt_e(C10,基本资料!$I$8,0)="",[1]!s_stm_rpt_e(C10,基本资料!$I$8,0)=0),[1]!s_stm_rpt_e(C10,基本资料!$I$9,0),[1]!s_stm_rpt_e(C10,基本资料!$I$8,0)))</f>
        <v>2023-12-31</v>
      </c>
      <c r="G10" s="49" t="str">
        <f ca="1">IF(C10="","",[1]!hks_info_cur2(C10,F10))</f>
        <v>CNY</v>
      </c>
      <c r="H10" s="27">
        <f ca="1">IF(C10="","",[1]!hks_fa_eps_basic(C10,F10,""))</f>
        <v>-2.2200000000000002</v>
      </c>
      <c r="I10" s="23">
        <f ca="1">IF(C10="","",[1]!hks_fa_eps_adjust2(C10,F10,""))</f>
        <v>-2.2769643150799088</v>
      </c>
      <c r="J10" s="23">
        <f ca="1">IF(C10="","",[1]!hks_fa_bps(C10,F10,""))</f>
        <v>2.0306999999999999</v>
      </c>
      <c r="K10" s="25">
        <f ca="1">IF(C10="","",[1]!hks_fa_ocfps(C10,F10,""))</f>
        <v>-0.49840000000000001</v>
      </c>
      <c r="L10" s="27">
        <f ca="1">IF(C10="","",[1]!hks_fa_grossprofitmargin(C10,F10))</f>
        <v>6.1426999999999996</v>
      </c>
      <c r="M10" s="23">
        <f ca="1">IF(C10="","",[1]!hks_fa_netprofitmargin(C10,F10))</f>
        <v>-34.976199999999999</v>
      </c>
      <c r="N10" s="23">
        <f ca="1">IF(C10="","",[1]!hks_fa_roe(C10,F10))</f>
        <v>-72.172200000000004</v>
      </c>
      <c r="O10" s="23">
        <f ca="1">IF(C10="","",[1]!hks_fa_roe_deducted(C10,F10))</f>
        <v>-71.843800000000002</v>
      </c>
      <c r="P10" s="23">
        <f ca="1">IF(C10="","",[1]!hks_fa_roa2(C10,F10))</f>
        <v>-34.459899999999998</v>
      </c>
      <c r="Q10" s="23">
        <f ca="1">IF(C10="","",[1]!hks_fa_roic(C10,F10))</f>
        <v>-40.086199999999998</v>
      </c>
      <c r="R10" s="23">
        <f ca="1">IF(C10="","",[1]!hks_fa_dupont_nptosales(C10,F10))</f>
        <v>-34.976199999999999</v>
      </c>
      <c r="S10" s="23">
        <f ca="1">IF(C10="","",[1]!hks_fa_dupont_ebittosales(C10,F10))</f>
        <v>-35.058799999999998</v>
      </c>
      <c r="T10" s="25">
        <f ca="1">IF(C10="","",[1]!hks_fa_ebitdatosales(C10,F10))</f>
        <v>-34.247267875544487</v>
      </c>
      <c r="U10" s="47">
        <f ca="1">IF(C10="","",[1]!hks_fa_optoebt(C10,F10))</f>
        <v>0</v>
      </c>
      <c r="V10" s="25">
        <f ca="1">IF(C10="","",[1]!hks_fa_ocftosales(C10,F10))</f>
        <v>-7.6323999999999996</v>
      </c>
      <c r="W10" s="27">
        <f ca="1">IF(C10="","",[1]!hks_fa_debttoassets(C10,F10))</f>
        <v>62.510300000000001</v>
      </c>
      <c r="X10" s="23">
        <f ca="1">IF(C10="","",[1]!s_fa_debttoeqy(C10,F10))</f>
        <v>1.6728735167915885</v>
      </c>
      <c r="Y10" s="23">
        <f ca="1">IF(C10="","",[1]!hks_fa_catoassets(C10,F10))</f>
        <v>79.643199999999993</v>
      </c>
      <c r="Z10" s="23">
        <f ca="1">IF(C10="","",[1]!hks_fa_ncatoassets(C10,F10))</f>
        <v>20.3568</v>
      </c>
      <c r="AA10" s="23">
        <f ca="1">IF(C10="","",[1]!hks_fa_currentdebttodebt(C10,F10))</f>
        <v>92.396699999999996</v>
      </c>
      <c r="AB10" s="25">
        <f ca="1">IF(C10="","",[1]!hks_fa_longdebtodebt(C10,F10))</f>
        <v>7.6032999999999999</v>
      </c>
      <c r="AC10" s="25">
        <f ca="1">IF(C10="","",[1]!hks_fa_current(C10,F10))</f>
        <v>1.3789</v>
      </c>
      <c r="AD10" s="25">
        <f ca="1">IF(C10="","",[1]!hks_fa_quick(C10,F10))</f>
        <v>0</v>
      </c>
      <c r="AE10" s="25">
        <f ca="1">IF(C10="","",[1]!hks_fa_ebittointerest(C10,F10))</f>
        <v>0</v>
      </c>
      <c r="AF10" s="25">
        <f ca="1">IF(C10="","",[1]!hks_fa_netdebtratio(C10,F10))</f>
        <v>95.542255138324208</v>
      </c>
      <c r="AG10" s="27">
        <f ca="1">IF(C10="","",[1]!hks_fa_arturn(C10,F10))</f>
        <v>2.8956</v>
      </c>
      <c r="AH10" s="23">
        <f ca="1">IF(C10="","",[1]!hks_fa_apturn(C10,F10))</f>
        <v>11.133769421670701</v>
      </c>
      <c r="AI10" s="23">
        <f ca="1">IF(C10="","",[1]!hks_fa_invturn(C10,F10))</f>
        <v>0</v>
      </c>
      <c r="AJ10" s="23">
        <f ca="1">IF(C10="","",[1]!hks_fa_caturn(C10,F10))</f>
        <v>1.4898</v>
      </c>
      <c r="AK10" s="23">
        <f ca="1">IF(C10="","",[1]!hks_fa_faturn(C10,F10))</f>
        <v>15.292299999999999</v>
      </c>
      <c r="AL10" s="25">
        <f ca="1">IF(C10="","",[1]!hks_fa_assetsturn(C10,F10))</f>
        <v>0.9829</v>
      </c>
      <c r="AM10" s="23">
        <f ca="1">IF(C10="","",[1]!hks_fa_yoy_tr(C10,F10))</f>
        <v>25.827200000000001</v>
      </c>
      <c r="AN10" s="23">
        <f ca="1">IF(C10="","",[1]!hks_fa_yoy_or(C10,F10))</f>
        <v>25.827200000000001</v>
      </c>
      <c r="AO10" s="23">
        <f ca="1">IF(C10="","",[1]!hks_fa_yoyop2(C10,F10))</f>
        <v>-138.08297460986481</v>
      </c>
      <c r="AP10" s="23">
        <f ca="1">IF(C10="","",[1]!hks_fa_yoyebt(C10,F10))</f>
        <v>-148.4923</v>
      </c>
      <c r="AQ10" s="23">
        <f ca="1">IF(C10="","",[1]!hks_fa_yoynetprofit(C10,F10))</f>
        <v>-152.3989</v>
      </c>
      <c r="AR10" s="23">
        <f ca="1">IF(C10="","",[1]!hks_fa_dupont_np(C10,F10))</f>
        <v>99.689599999999999</v>
      </c>
      <c r="AS10" s="23">
        <f ca="1">IF(C10="","",[1]!hks_fa_dupont_taxburden(C10,F10))</f>
        <v>99.764499999999998</v>
      </c>
      <c r="AT10" s="23">
        <f ca="1">IF(C10="","",[1]!s_fa_dupont_nptosales(C10,F10))</f>
        <v>-34.926000000000002</v>
      </c>
      <c r="AU10" s="23">
        <f ca="1">IF(C10="","",[1]!s_fa_dupont_roe(C10,F10))</f>
        <v>-72.172200000000004</v>
      </c>
      <c r="AV10" s="23">
        <f ca="1">IF(C10="","",[1]!hks_fa_dupont_intburden(C10,F10))</f>
        <v>100</v>
      </c>
      <c r="AW10" s="23">
        <f ca="1">IF(C10="","",[1]!hks_fa_dupont_assetstoequity(C10,F10))</f>
        <v>2.1059000000000001</v>
      </c>
      <c r="AX10" s="23">
        <f ca="1">IF(C10="","",[1]!s_fa_dupont_ebittosales(C10,F10))</f>
        <v>-34.340899999999998</v>
      </c>
      <c r="AY10" s="23">
        <f ca="1">IF(C10="","",[1]!hks_fa_assetsturn(C10,F10))</f>
        <v>0.9829</v>
      </c>
      <c r="AZ10" s="23">
        <f ca="1">IF(C10="","",[1]!hks_fa_grossmargin2(C10,F10,"",100000000))</f>
        <v>3.2106869491000003</v>
      </c>
      <c r="BA10" s="23">
        <f ca="1">IF(C10="","",[1]!hks_fa_ebit3(C10,F10,1,"",100000000))</f>
        <v>-1.3384227755</v>
      </c>
      <c r="BB10" s="23">
        <f ca="1">IF(C10="","",[1]!hks_fa_ebitda(C10,F10,1,"",100000000))</f>
        <v>-17.900584480599999</v>
      </c>
      <c r="BC10" s="23">
        <f ca="1">IF(C10="","",[1]!hks_fa_ebit(C10,F10,1,"",100000000))</f>
        <v>-18.3247603704</v>
      </c>
      <c r="BD10" s="23">
        <f ca="1">IF(C10="","",[1]!hks_fa_ebitda(C10,F10,1,"",100000000))</f>
        <v>-17.900584480599999</v>
      </c>
      <c r="BE10" s="23">
        <f ca="1">IF(C10="","",[1]!hks_fa_nogaapprofit(C10,F10,1,"",100000000))</f>
        <v>0</v>
      </c>
      <c r="BF10" s="23">
        <f ca="1">IF(C10="","",[1]!hks_fa_deductedprofit(C10,F10,1,"",100000000))</f>
        <v>-18.141905769699999</v>
      </c>
      <c r="BG10" s="23">
        <f ca="1">IF(C10="","",[1]!hks_fa_retainedearnings2(C10,F10,"",100000000))</f>
        <v>-16.787422145800001</v>
      </c>
      <c r="BH10" s="23">
        <f ca="1">IF(C10="","",[1]!hks_fa_workingcapital2(C10,F10,"",100000000))</f>
        <v>9.5195168668000001</v>
      </c>
      <c r="BI10" s="23">
        <f ca="1">IF(C10="","",[1]!hks_fa_networkingcapital2(C10,F10,"",100000000))</f>
        <v>23.177600849200001</v>
      </c>
      <c r="BJ10" s="23">
        <f ca="1">IF(C10="","",[1]!hks_fa_investcapital2(C10,F10,"",100000000))</f>
        <v>35.616974702100002</v>
      </c>
      <c r="BK10" s="23">
        <f ca="1">IF(C10="","",[1]!hks_fa_tangibleasset2(C10,F10,"",100000000))</f>
        <v>13.8681590979</v>
      </c>
      <c r="BL10" s="23">
        <f ca="1">IF(C10="","",[1]!hks_fa_netdebt2(C10,F10,"",100000000))</f>
        <v>15.5798031338</v>
      </c>
      <c r="BM10" s="23">
        <f ca="1">IF(C10="","",[1]!hks_fa_interestdebt2(C10,F10,"",100000000))</f>
        <v>19.363618044599999</v>
      </c>
      <c r="BN10" s="23">
        <f ca="1">IF(C10="","",[1]!hks_fa_exinterestdebt_current(C10,F10,"",100000000))</f>
        <v>7.6805997671000004</v>
      </c>
      <c r="BO10" s="23">
        <f ca="1">IF(C10="","",[1]!hks_fa_exinterestdebt_noncurrent2(C10,F10,"",100000000))</f>
        <v>0.1455920996</v>
      </c>
      <c r="BP10" s="23">
        <f ca="1">IF(C10="","",[1]!hks_fa_fcfe2(C10,F10,"",100000000))</f>
        <v>-20.2528148687</v>
      </c>
      <c r="BQ10" s="23">
        <f ca="1">IF(C10="","",[1]!hks_fa_fcff2(C10,F10,"",100000000))</f>
        <v>-18.337000908</v>
      </c>
      <c r="BR10" s="35"/>
    </row>
    <row r="11" spans="1:102" s="36" customFormat="1" ht="16.5" x14ac:dyDescent="0.2">
      <c r="A11" s="2"/>
      <c r="B11" s="6"/>
      <c r="C11" s="28" t="str">
        <f>IF(表1[[#This Row],[列1]]="","",表1[[#This Row],[列1]])</f>
        <v>002230.SZ</v>
      </c>
      <c r="D11" s="19" t="str">
        <f>IF(C11="","",[1]!hks_info_name(C11))</f>
        <v>科大讯飞</v>
      </c>
      <c r="E11" s="19" t="str">
        <f ca="1">IF(C11="","",[1]!lastradeday_s(C11,TODAY()))</f>
        <v>2024-12-09</v>
      </c>
      <c r="F11" s="49" t="str">
        <f ca="1">IF(C11="","",IF(OR([1]!s_stm_rpt_e(C11,基本资料!$I$8,0)="#N/A",[1]!s_stm_rpt_e(C11,基本资料!$I$8,0)="",[1]!s_stm_rpt_e(C11,基本资料!$I$8,0)=0),[1]!s_stm_rpt_e(C11,基本资料!$I$9,0),[1]!s_stm_rpt_e(C11,基本资料!$I$8,0)))</f>
        <v>2023-12-31</v>
      </c>
      <c r="G11" s="49" t="str">
        <f ca="1">IF(C11="","",[1]!hks_info_cur2(C11,F11))</f>
        <v>CNY</v>
      </c>
      <c r="H11" s="27">
        <f ca="1">IF(C11="","",[1]!hks_fa_eps_basic(C11,F11,""))</f>
        <v>0.28000000000000003</v>
      </c>
      <c r="I11" s="23">
        <f ca="1">IF(C11="","",[1]!hks_fa_eps_adjust2(C11,F11,""))</f>
        <v>0.28433758193526909</v>
      </c>
      <c r="J11" s="23">
        <f ca="1">IF(C11="","",[1]!hks_fa_bps(C11,F11,""))</f>
        <v>7.3552</v>
      </c>
      <c r="K11" s="25">
        <f ca="1">IF(C11="","",[1]!hks_fa_ocfps(C11,F11,""))</f>
        <v>0.151</v>
      </c>
      <c r="L11" s="27">
        <f ca="1">IF(C11="","",[1]!hks_fa_grossprofitmargin(C11,F11))</f>
        <v>42.293500000000002</v>
      </c>
      <c r="M11" s="23">
        <f ca="1">IF(C11="","",[1]!hks_fa_netprofitmargin(C11,F11))</f>
        <v>3.1404999999999998</v>
      </c>
      <c r="N11" s="23">
        <f ca="1">IF(C11="","",[1]!hks_fa_roe(C11,F11))</f>
        <v>3.9321999999999999</v>
      </c>
      <c r="O11" s="23">
        <f ca="1">IF(C11="","",[1]!hks_fa_roe_deducted(C11,F11))</f>
        <v>3.5105</v>
      </c>
      <c r="P11" s="23">
        <f ca="1">IF(C11="","",[1]!hks_fa_roa2(C11,F11))</f>
        <v>1.1876</v>
      </c>
      <c r="Q11" s="23">
        <f ca="1">IF(C11="","",[1]!hks_fa_roic(C11,F11))</f>
        <v>3.1547000000000001</v>
      </c>
      <c r="R11" s="23">
        <f ca="1">IF(C11="","",[1]!hks_fa_dupont_nptosales(C11,F11))</f>
        <v>3.1404999999999998</v>
      </c>
      <c r="S11" s="23">
        <f ca="1">IF(C11="","",[1]!hks_fa_dupont_ebittosales(C11,F11))</f>
        <v>2.15</v>
      </c>
      <c r="T11" s="25">
        <f ca="1">IF(C11="","",[1]!hks_fa_ebitdatosales(C11,F11))</f>
        <v>11.345698169207557</v>
      </c>
      <c r="U11" s="47">
        <f ca="1">IF(C11="","",[1]!hks_fa_optoebt(C11,F11))</f>
        <v>-244.2218</v>
      </c>
      <c r="V11" s="25">
        <f ca="1">IF(C11="","",[1]!hks_fa_ocftosales(C11,F11))</f>
        <v>1.7914000000000001</v>
      </c>
      <c r="W11" s="27">
        <f ca="1">IF(C11="","",[1]!hks_fa_debttoassets(C11,F11))</f>
        <v>53.128500000000003</v>
      </c>
      <c r="X11" s="23">
        <f ca="1">IF(C11="","",[1]!s_fa_debttoeqy(C11,F11))</f>
        <v>1.1800583381929604</v>
      </c>
      <c r="Y11" s="23">
        <f ca="1">IF(C11="","",[1]!hks_fa_catoassets(C11,F11))</f>
        <v>56.0383</v>
      </c>
      <c r="Z11" s="23">
        <f ca="1">IF(C11="","",[1]!hks_fa_ncatoassets(C11,F11))</f>
        <v>43.9617</v>
      </c>
      <c r="AA11" s="23">
        <f ca="1">IF(C11="","",[1]!hks_fa_currentdebttodebt(C11,F11))</f>
        <v>64.219700000000003</v>
      </c>
      <c r="AB11" s="25">
        <f ca="1">IF(C11="","",[1]!hks_fa_longdebtodebt(C11,F11))</f>
        <v>35.780299999999997</v>
      </c>
      <c r="AC11" s="25">
        <f ca="1">IF(C11="","",[1]!hks_fa_current(C11,F11))</f>
        <v>1.6424000000000001</v>
      </c>
      <c r="AD11" s="25">
        <f ca="1">IF(C11="","",[1]!hks_fa_quick(C11,F11))</f>
        <v>1.4519</v>
      </c>
      <c r="AE11" s="25">
        <f ca="1">IF(C11="","",[1]!hks_fa_ebittointerest(C11,F11))</f>
        <v>0</v>
      </c>
      <c r="AF11" s="25">
        <f ca="1">IF(C11="","",[1]!hks_fa_netdebtratio(C11,F11))</f>
        <v>13.294200409285228</v>
      </c>
      <c r="AG11" s="27">
        <f ca="1">IF(C11="","",[1]!hks_fa_arturn(C11,F11))</f>
        <v>1.6998</v>
      </c>
      <c r="AH11" s="23">
        <f ca="1">IF(C11="","",[1]!hks_fa_apturn(C11,F11))</f>
        <v>1.4661049457433899</v>
      </c>
      <c r="AI11" s="23">
        <f ca="1">IF(C11="","",[1]!hks_fa_invturn(C11,F11))</f>
        <v>4.3432000000000004</v>
      </c>
      <c r="AJ11" s="23">
        <f ca="1">IF(C11="","",[1]!hks_fa_caturn(C11,F11))</f>
        <v>0.95340000000000003</v>
      </c>
      <c r="AK11" s="23">
        <f ca="1">IF(C11="","",[1]!hks_fa_faturn(C11,F11))</f>
        <v>4.3897000000000004</v>
      </c>
      <c r="AL11" s="25">
        <f ca="1">IF(C11="","",[1]!hks_fa_assetsturn(C11,F11))</f>
        <v>0.5524</v>
      </c>
      <c r="AM11" s="23">
        <f ca="1">IF(C11="","",[1]!hks_fa_yoy_tr(C11,F11))</f>
        <v>4.3605</v>
      </c>
      <c r="AN11" s="23">
        <f ca="1">IF(C11="","",[1]!hks_fa_yoy_or(C11,F11))</f>
        <v>4.3605</v>
      </c>
      <c r="AO11" s="23">
        <f ca="1">IF(C11="","",[1]!hks_fa_yoyop2(C11,F11))</f>
        <v>-44.29543405368149</v>
      </c>
      <c r="AP11" s="23">
        <f ca="1">IF(C11="","",[1]!hks_fa_yoyebt(C11,F11))</f>
        <v>69.432100000000005</v>
      </c>
      <c r="AQ11" s="23">
        <f ca="1">IF(C11="","",[1]!hks_fa_yoynetprofit(C11,F11))</f>
        <v>17.1236</v>
      </c>
      <c r="AR11" s="23">
        <f ca="1">IF(C11="","",[1]!hks_fa_dupont_np(C11,F11))</f>
        <v>107.2032</v>
      </c>
      <c r="AS11" s="23">
        <f ca="1">IF(C11="","",[1]!hks_fa_dupont_taxburden(C11,F11))</f>
        <v>146.0669</v>
      </c>
      <c r="AT11" s="23">
        <f ca="1">IF(C11="","",[1]!s_fa_dupont_nptosales(C11,F11))</f>
        <v>3.1202999999999999</v>
      </c>
      <c r="AU11" s="23">
        <f ca="1">IF(C11="","",[1]!s_fa_dupont_roe(C11,F11))</f>
        <v>3.9321999999999999</v>
      </c>
      <c r="AV11" s="23">
        <f ca="1">IF(C11="","",[1]!hks_fa_dupont_intburden(C11,F11))</f>
        <v>100</v>
      </c>
      <c r="AW11" s="23">
        <f ca="1">IF(C11="","",[1]!hks_fa_dupont_assetstoequity(C11,F11))</f>
        <v>2.1143999999999998</v>
      </c>
      <c r="AX11" s="23">
        <f ca="1">IF(C11="","",[1]!s_fa_dupont_ebittosales(C11,F11))</f>
        <v>2.1901000000000002</v>
      </c>
      <c r="AY11" s="23">
        <f ca="1">IF(C11="","",[1]!hks_fa_assetsturn(C11,F11))</f>
        <v>0.5524</v>
      </c>
      <c r="AZ11" s="23">
        <f ca="1">IF(C11="","",[1]!hks_fa_grossmargin2(C11,F11,"",100000000))</f>
        <v>82.573355044899998</v>
      </c>
      <c r="BA11" s="23">
        <f ca="1">IF(C11="","",[1]!hks_fa_ebit3(C11,F11,1,"",100000000))</f>
        <v>2.1671653302</v>
      </c>
      <c r="BB11" s="23">
        <f ca="1">IF(C11="","",[1]!hks_fa_ebitda(C11,F11,1,"",100000000))</f>
        <v>22.151206587899999</v>
      </c>
      <c r="BC11" s="23">
        <f ca="1">IF(C11="","",[1]!hks_fa_ebit(C11,F11,1,"",100000000))</f>
        <v>4.1977100270999994</v>
      </c>
      <c r="BD11" s="23">
        <f ca="1">IF(C11="","",[1]!hks_fa_ebitda(C11,F11,1,"",100000000))</f>
        <v>22.151206587899999</v>
      </c>
      <c r="BE11" s="23">
        <f ca="1">IF(C11="","",[1]!hks_fa_nogaapprofit(C11,F11,1,"",100000000))</f>
        <v>0</v>
      </c>
      <c r="BF11" s="23">
        <f ca="1">IF(C11="","",[1]!hks_fa_deductedprofit(C11,F11,1,"",100000000))</f>
        <v>5.8682092476000003</v>
      </c>
      <c r="BG11" s="23">
        <f ca="1">IF(C11="","",[1]!hks_fa_retainedearnings2(C11,F11,"",100000000))</f>
        <v>53.694318564799993</v>
      </c>
      <c r="BH11" s="23">
        <f ca="1">IF(C11="","",[1]!hks_fa_workingcapital2(C11,F11,"",100000000))</f>
        <v>82.9233657061</v>
      </c>
      <c r="BI11" s="23">
        <f ca="1">IF(C11="","",[1]!hks_fa_networkingcapital2(C11,F11,"",100000000))</f>
        <v>60.949765703000004</v>
      </c>
      <c r="BJ11" s="23">
        <f ca="1">IF(C11="","",[1]!hks_fa_investcapital2(C11,F11,"",100000000))</f>
        <v>227.7252692264</v>
      </c>
      <c r="BK11" s="23">
        <f ca="1">IF(C11="","",[1]!hks_fa_tangibleasset2(C11,F11,"",100000000))</f>
        <v>107.42002653510001</v>
      </c>
      <c r="BL11" s="23">
        <f ca="1">IF(C11="","",[1]!hks_fa_netdebt2(C11,F11,"",100000000))</f>
        <v>23.573320863000003</v>
      </c>
      <c r="BM11" s="23">
        <f ca="1">IF(C11="","",[1]!hks_fa_interestdebt2(C11,F11,"",100000000))</f>
        <v>57.402424109199998</v>
      </c>
      <c r="BN11" s="23">
        <f ca="1">IF(C11="","",[1]!hks_fa_exinterestdebt_current(C11,F11,"",100000000))</f>
        <v>117.2203214916</v>
      </c>
      <c r="BO11" s="23">
        <f ca="1">IF(C11="","",[1]!hks_fa_exinterestdebt_noncurrent2(C11,F11,"",100000000))</f>
        <v>26.368147964499997</v>
      </c>
      <c r="BP11" s="23">
        <f ca="1">IF(C11="","",[1]!hks_fa_fcfe2(C11,F11,"",100000000))</f>
        <v>10.09923378</v>
      </c>
      <c r="BQ11" s="23">
        <f ca="1">IF(C11="","",[1]!hks_fa_fcff2(C11,F11,"",100000000))</f>
        <v>-22.905587895700002</v>
      </c>
      <c r="BR11" s="35"/>
    </row>
    <row r="12" spans="1:102" s="36" customFormat="1" ht="16.5" x14ac:dyDescent="0.2">
      <c r="A12" s="2"/>
      <c r="B12" s="6"/>
      <c r="C12" s="28" t="str">
        <f>IF(表1[[#This Row],[列1]]="","",表1[[#This Row],[列1]])</f>
        <v>600004.SH</v>
      </c>
      <c r="D12" s="19" t="str">
        <f>IF(C12="","",[1]!hks_info_name(C12))</f>
        <v>白云机场</v>
      </c>
      <c r="E12" s="19" t="str">
        <f ca="1">IF(C12="","",[1]!lastradeday_s(C12,TODAY()))</f>
        <v>2024-12-09</v>
      </c>
      <c r="F12" s="49" t="str">
        <f ca="1">IF(C12="","",IF(OR([1]!s_stm_rpt_e(C12,基本资料!$I$8,0)="#N/A",[1]!s_stm_rpt_e(C12,基本资料!$I$8,0)="",[1]!s_stm_rpt_e(C12,基本资料!$I$8,0)=0),[1]!s_stm_rpt_e(C12,基本资料!$I$9,0),[1]!s_stm_rpt_e(C12,基本资料!$I$8,0)))</f>
        <v>2023-12-31</v>
      </c>
      <c r="G12" s="49" t="str">
        <f ca="1">IF(C12="","",[1]!hks_info_cur2(C12,F12))</f>
        <v>CNY</v>
      </c>
      <c r="H12" s="27">
        <f ca="1">IF(C12="","",[1]!hks_fa_eps_basic(C12,F12,""))</f>
        <v>0.19</v>
      </c>
      <c r="I12" s="23">
        <f ca="1">IF(C12="","",[1]!hks_fa_eps_adjust2(C12,F12,""))</f>
        <v>0.18671665253282704</v>
      </c>
      <c r="J12" s="23">
        <f ca="1">IF(C12="","",[1]!hks_fa_bps(C12,F12,""))</f>
        <v>7.4336000000000002</v>
      </c>
      <c r="K12" s="25">
        <f ca="1">IF(C12="","",[1]!hks_fa_ocfps(C12,F12,""))</f>
        <v>0.997</v>
      </c>
      <c r="L12" s="27">
        <f ca="1">IF(C12="","",[1]!hks_fa_grossprofitmargin(C12,F12))</f>
        <v>19.189299999999999</v>
      </c>
      <c r="M12" s="23">
        <f ca="1">IF(C12="","",[1]!hks_fa_netprofitmargin(C12,F12))</f>
        <v>7.6631999999999998</v>
      </c>
      <c r="N12" s="23">
        <f ca="1">IF(C12="","",[1]!hks_fa_roe(C12,F12))</f>
        <v>2.5409000000000002</v>
      </c>
      <c r="O12" s="23">
        <f ca="1">IF(C12="","",[1]!hks_fa_roe_deducted(C12,F12))</f>
        <v>2.5038999999999998</v>
      </c>
      <c r="P12" s="23">
        <f ca="1">IF(C12="","",[1]!hks_fa_roa2(C12,F12))</f>
        <v>2.5514000000000001</v>
      </c>
      <c r="Q12" s="23">
        <f ca="1">IF(C12="","",[1]!hks_fa_roic(C12,F12))</f>
        <v>2.5007999999999999</v>
      </c>
      <c r="R12" s="23">
        <f ca="1">IF(C12="","",[1]!hks_fa_dupont_nptosales(C12,F12))</f>
        <v>7.6631999999999998</v>
      </c>
      <c r="S12" s="23">
        <f ca="1">IF(C12="","",[1]!hks_fa_dupont_ebittosales(C12,F12))</f>
        <v>10.7982</v>
      </c>
      <c r="T12" s="25">
        <f ca="1">IF(C12="","",[1]!hks_fa_ebitdatosales(C12,F12))</f>
        <v>33.63019618738474</v>
      </c>
      <c r="U12" s="47">
        <f ca="1">IF(C12="","",[1]!hks_fa_optoebt(C12,F12))</f>
        <v>88.259799999999998</v>
      </c>
      <c r="V12" s="25">
        <f ca="1">IF(C12="","",[1]!hks_fa_ocftosales(C12,F12))</f>
        <v>37.593499999999999</v>
      </c>
      <c r="W12" s="27">
        <f ca="1">IF(C12="","",[1]!hks_fa_debttoassets(C12,F12))</f>
        <v>32.011000000000003</v>
      </c>
      <c r="X12" s="23">
        <f ca="1">IF(C12="","",[1]!s_fa_debttoeqy(C12,F12))</f>
        <v>0.47652900252903724</v>
      </c>
      <c r="Y12" s="23">
        <f ca="1">IF(C12="","",[1]!hks_fa_catoassets(C12,F12))</f>
        <v>15.373100000000001</v>
      </c>
      <c r="Z12" s="23">
        <f ca="1">IF(C12="","",[1]!hks_fa_ncatoassets(C12,F12))</f>
        <v>84.626900000000006</v>
      </c>
      <c r="AA12" s="23">
        <f ca="1">IF(C12="","",[1]!hks_fa_currentdebttodebt(C12,F12))</f>
        <v>70.428899999999999</v>
      </c>
      <c r="AB12" s="25">
        <f ca="1">IF(C12="","",[1]!hks_fa_longdebtodebt(C12,F12))</f>
        <v>29.571100000000001</v>
      </c>
      <c r="AC12" s="25">
        <f ca="1">IF(C12="","",[1]!hks_fa_current(C12,F12))</f>
        <v>0.68189999999999995</v>
      </c>
      <c r="AD12" s="25">
        <f ca="1">IF(C12="","",[1]!hks_fa_quick(C12,F12))</f>
        <v>0.67190000000000005</v>
      </c>
      <c r="AE12" s="25">
        <f ca="1">IF(C12="","",[1]!hks_fa_ebittointerest(C12,F12))</f>
        <v>0</v>
      </c>
      <c r="AF12" s="25">
        <f ca="1">IF(C12="","",[1]!hks_fa_netdebtratio(C12,F12))</f>
        <v>-12.424157958983248</v>
      </c>
      <c r="AG12" s="27">
        <f ca="1">IF(C12="","",[1]!hks_fa_arturn(C12,F12))</f>
        <v>6.2626999999999997</v>
      </c>
      <c r="AH12" s="23">
        <f ca="1">IF(C12="","",[1]!hks_fa_apturn(C12,F12))</f>
        <v>5.4485689987258556</v>
      </c>
      <c r="AI12" s="23">
        <f ca="1">IF(C12="","",[1]!hks_fa_invturn(C12,F12))</f>
        <v>84.932199999999995</v>
      </c>
      <c r="AJ12" s="23">
        <f ca="1">IF(C12="","",[1]!hks_fa_caturn(C12,F12))</f>
        <v>1.6714</v>
      </c>
      <c r="AK12" s="23">
        <f ca="1">IF(C12="","",[1]!hks_fa_faturn(C12,F12))</f>
        <v>0.33439999999999998</v>
      </c>
      <c r="AL12" s="25">
        <f ca="1">IF(C12="","",[1]!hks_fa_assetsturn(C12,F12))</f>
        <v>0.23630000000000001</v>
      </c>
      <c r="AM12" s="23">
        <f ca="1">IF(C12="","",[1]!hks_fa_yoy_tr(C12,F12))</f>
        <v>62.161700000000003</v>
      </c>
      <c r="AN12" s="23">
        <f ca="1">IF(C12="","",[1]!hks_fa_yoy_or(C12,F12))</f>
        <v>62.161700000000003</v>
      </c>
      <c r="AO12" s="23">
        <f ca="1">IF(C12="","",[1]!hks_fa_yoyop2(C12,F12))</f>
        <v>139.83461942569431</v>
      </c>
      <c r="AP12" s="23">
        <f ca="1">IF(C12="","",[1]!hks_fa_yoyebt(C12,F12))</f>
        <v>146.88460000000001</v>
      </c>
      <c r="AQ12" s="23">
        <f ca="1">IF(C12="","",[1]!hks_fa_yoynetprofit(C12,F12))</f>
        <v>141.25319999999999</v>
      </c>
      <c r="AR12" s="23">
        <f ca="1">IF(C12="","",[1]!hks_fa_dupont_np(C12,F12))</f>
        <v>91.871600000000001</v>
      </c>
      <c r="AS12" s="23">
        <f ca="1">IF(C12="","",[1]!hks_fa_dupont_taxburden(C12,F12))</f>
        <v>70.967500000000001</v>
      </c>
      <c r="AT12" s="23">
        <f ca="1">IF(C12="","",[1]!s_fa_dupont_nptosales(C12,F12))</f>
        <v>7.4795999999999996</v>
      </c>
      <c r="AU12" s="23">
        <f ca="1">IF(C12="","",[1]!s_fa_dupont_roe(C12,F12))</f>
        <v>2.5409000000000002</v>
      </c>
      <c r="AV12" s="23">
        <f ca="1">IF(C12="","",[1]!hks_fa_dupont_intburden(C12,F12))</f>
        <v>100</v>
      </c>
      <c r="AW12" s="23">
        <f ca="1">IF(C12="","",[1]!hks_fa_dupont_assetstoequity(C12,F12))</f>
        <v>1.5275000000000001</v>
      </c>
      <c r="AX12" s="23">
        <f ca="1">IF(C12="","",[1]!s_fa_dupont_ebittosales(C12,F12))</f>
        <v>11.8872</v>
      </c>
      <c r="AY12" s="23">
        <f ca="1">IF(C12="","",[1]!hks_fa_assetsturn(C12,F12))</f>
        <v>0.23630000000000001</v>
      </c>
      <c r="AZ12" s="23">
        <f ca="1">IF(C12="","",[1]!hks_fa_grossmargin2(C12,F12,"",100000000))</f>
        <v>12.044688748499999</v>
      </c>
      <c r="BA12" s="23">
        <f ca="1">IF(C12="","",[1]!hks_fa_ebit3(C12,F12,1,"",100000000))</f>
        <v>6.4555956750999997</v>
      </c>
      <c r="BB12" s="23">
        <f ca="1">IF(C12="","",[1]!hks_fa_ebitda(C12,F12,1,"",100000000))</f>
        <v>21.1089645102</v>
      </c>
      <c r="BC12" s="23">
        <f ca="1">IF(C12="","",[1]!hks_fa_ebit(C12,F12,1,"",100000000))</f>
        <v>6.7778002164000002</v>
      </c>
      <c r="BD12" s="23">
        <f ca="1">IF(C12="","",[1]!hks_fa_ebitda(C12,F12,1,"",100000000))</f>
        <v>21.1089645102</v>
      </c>
      <c r="BE12" s="23">
        <f ca="1">IF(C12="","",[1]!hks_fa_nogaapprofit(C12,F12,1,"",100000000))</f>
        <v>0</v>
      </c>
      <c r="BF12" s="23">
        <f ca="1">IF(C12="","",[1]!hks_fa_deductedprofit(C12,F12,1,"",100000000))</f>
        <v>4.3547824035999998</v>
      </c>
      <c r="BG12" s="23">
        <f ca="1">IF(C12="","",[1]!hks_fa_retainedearnings2(C12,F12,"",100000000))</f>
        <v>44.049295797500001</v>
      </c>
      <c r="BH12" s="23">
        <f ca="1">IF(C12="","",[1]!hks_fa_workingcapital2(C12,F12,"",100000000))</f>
        <v>-18.783130860299998</v>
      </c>
      <c r="BI12" s="23">
        <f ca="1">IF(C12="","",[1]!hks_fa_networkingcapital2(C12,F12,"",100000000))</f>
        <v>-40.906012526700003</v>
      </c>
      <c r="BJ12" s="23">
        <f ca="1">IF(C12="","",[1]!hks_fa_investcapital2(C12,F12,"",100000000))</f>
        <v>179.02527162419997</v>
      </c>
      <c r="BK12" s="23">
        <f ca="1">IF(C12="","",[1]!hks_fa_tangibleasset2(C12,F12,"",100000000))</f>
        <v>164.78546952850002</v>
      </c>
      <c r="BL12" s="23">
        <f ca="1">IF(C12="","",[1]!hks_fa_netdebt2(C12,F12,"",100000000))</f>
        <v>-22.122881666399998</v>
      </c>
      <c r="BM12" s="23">
        <f ca="1">IF(C12="","",[1]!hks_fa_interestdebt2(C12,F12,"",100000000))</f>
        <v>3.0925854160999999</v>
      </c>
      <c r="BN12" s="23">
        <f ca="1">IF(C12="","",[1]!hks_fa_exinterestdebt_current(C12,F12,"",100000000))</f>
        <v>55.952881348000005</v>
      </c>
      <c r="BO12" s="23">
        <f ca="1">IF(C12="","",[1]!hks_fa_exinterestdebt_noncurrent2(C12,F12,"",100000000))</f>
        <v>24.7915607069</v>
      </c>
      <c r="BP12" s="23">
        <f ca="1">IF(C12="","",[1]!hks_fa_fcfe2(C12,F12,"",100000000))</f>
        <v>-12.365688907200001</v>
      </c>
      <c r="BQ12" s="23">
        <f ca="1">IF(C12="","",[1]!hks_fa_fcff2(C12,F12,"",100000000))</f>
        <v>-2.3656889072</v>
      </c>
      <c r="BR12" s="35"/>
    </row>
    <row r="13" spans="1:102" s="36" customFormat="1" ht="16.5" x14ac:dyDescent="0.2">
      <c r="A13" s="2"/>
      <c r="B13" s="6"/>
      <c r="C13" s="28" t="str">
        <f>IF(表1[[#This Row],[列1]]="","",表1[[#This Row],[列1]])</f>
        <v>600006.SH</v>
      </c>
      <c r="D13" s="19" t="str">
        <f>IF(C13="","",[1]!hks_info_name(C13))</f>
        <v>东风股份</v>
      </c>
      <c r="E13" s="19" t="str">
        <f ca="1">IF(C13="","",[1]!lastradeday_s(C13,TODAY()))</f>
        <v>2024-12-09</v>
      </c>
      <c r="F13" s="49" t="str">
        <f ca="1">IF(C13="","",IF(OR([1]!s_stm_rpt_e(C13,基本资料!$I$8,0)="#N/A",[1]!s_stm_rpt_e(C13,基本资料!$I$8,0)="",[1]!s_stm_rpt_e(C13,基本资料!$I$8,0)=0),[1]!s_stm_rpt_e(C13,基本资料!$I$9,0),[1]!s_stm_rpt_e(C13,基本资料!$I$8,0)))</f>
        <v>2023-12-31</v>
      </c>
      <c r="G13" s="49" t="str">
        <f ca="1">IF(C13="","",[1]!hks_info_cur2(C13,F13))</f>
        <v>CNY</v>
      </c>
      <c r="H13" s="27">
        <f ca="1">IF(C13="","",[1]!hks_fa_eps_basic(C13,F13,""))</f>
        <v>0.1</v>
      </c>
      <c r="I13" s="23">
        <f ca="1">IF(C13="","",[1]!hks_fa_eps_adjust2(C13,F13,""))</f>
        <v>0.100020585735</v>
      </c>
      <c r="J13" s="23">
        <f ca="1">IF(C13="","",[1]!hks_fa_bps(C13,F13,""))</f>
        <v>4.1547999999999998</v>
      </c>
      <c r="K13" s="25">
        <f ca="1">IF(C13="","",[1]!hks_fa_ocfps(C13,F13,""))</f>
        <v>-0.1328</v>
      </c>
      <c r="L13" s="27">
        <f ca="1">IF(C13="","",[1]!hks_fa_grossprofitmargin(C13,F13))</f>
        <v>3.4367000000000001</v>
      </c>
      <c r="M13" s="23">
        <f ca="1">IF(C13="","",[1]!hks_fa_netprofitmargin(C13,F13))</f>
        <v>1.6959</v>
      </c>
      <c r="N13" s="23">
        <f ca="1">IF(C13="","",[1]!hks_fa_roe(C13,F13))</f>
        <v>2.4239000000000002</v>
      </c>
      <c r="O13" s="23">
        <f ca="1">IF(C13="","",[1]!hks_fa_roe_deducted(C13,F13))</f>
        <v>2.3816000000000002</v>
      </c>
      <c r="P13" s="23">
        <f ca="1">IF(C13="","",[1]!hks_fa_roa2(C13,F13))</f>
        <v>1.1157999999999999</v>
      </c>
      <c r="Q13" s="23">
        <f ca="1">IF(C13="","",[1]!hks_fa_roic(C13,F13))</f>
        <v>2.4226000000000001</v>
      </c>
      <c r="R13" s="23">
        <f ca="1">IF(C13="","",[1]!hks_fa_dupont_nptosales(C13,F13))</f>
        <v>1.6959</v>
      </c>
      <c r="S13" s="23">
        <f ca="1">IF(C13="","",[1]!hks_fa_dupont_ebittosales(C13,F13))</f>
        <v>1.7182999999999999</v>
      </c>
      <c r="T13" s="25">
        <f ca="1">IF(C13="","",[1]!hks_fa_ebitdatosales(C13,F13))</f>
        <v>4.1421007278409814</v>
      </c>
      <c r="U13" s="47">
        <f ca="1">IF(C13="","",[1]!hks_fa_optoebt(C13,F13))</f>
        <v>-392.53190000000001</v>
      </c>
      <c r="V13" s="25">
        <f ca="1">IF(C13="","",[1]!hks_fa_ocftosales(C13,F13))</f>
        <v>-2.2191000000000001</v>
      </c>
      <c r="W13" s="27">
        <f ca="1">IF(C13="","",[1]!hks_fa_debttoassets(C13,F13))</f>
        <v>55.152900000000002</v>
      </c>
      <c r="X13" s="23">
        <f ca="1">IF(C13="","",[1]!s_fa_debttoeqy(C13,F13))</f>
        <v>1.2724812531806535</v>
      </c>
      <c r="Y13" s="23">
        <f ca="1">IF(C13="","",[1]!hks_fa_catoassets(C13,F13))</f>
        <v>76.2089</v>
      </c>
      <c r="Z13" s="23">
        <f ca="1">IF(C13="","",[1]!hks_fa_ncatoassets(C13,F13))</f>
        <v>23.7911</v>
      </c>
      <c r="AA13" s="23">
        <f ca="1">IF(C13="","",[1]!hks_fa_currentdebttodebt(C13,F13))</f>
        <v>92.007599999999996</v>
      </c>
      <c r="AB13" s="25">
        <f ca="1">IF(C13="","",[1]!hks_fa_longdebtodebt(C13,F13))</f>
        <v>7.9923999999999999</v>
      </c>
      <c r="AC13" s="25">
        <f ca="1">IF(C13="","",[1]!hks_fa_current(C13,F13))</f>
        <v>1.5018</v>
      </c>
      <c r="AD13" s="25">
        <f ca="1">IF(C13="","",[1]!hks_fa_quick(C13,F13))</f>
        <v>1.2994000000000001</v>
      </c>
      <c r="AE13" s="25">
        <f ca="1">IF(C13="","",[1]!hks_fa_ebittointerest(C13,F13))</f>
        <v>0</v>
      </c>
      <c r="AF13" s="25">
        <f ca="1">IF(C13="","",[1]!hks_fa_netdebtratio(C13,F13))</f>
        <v>-56.527658045341489</v>
      </c>
      <c r="AG13" s="27">
        <f ca="1">IF(C13="","",[1]!hks_fa_arturn(C13,F13))</f>
        <v>3.0910000000000002</v>
      </c>
      <c r="AH13" s="23">
        <f ca="1">IF(C13="","",[1]!hks_fa_apturn(C13,F13))</f>
        <v>1.6109551306478529</v>
      </c>
      <c r="AI13" s="23">
        <f ca="1">IF(C13="","",[1]!hks_fa_invturn(C13,F13))</f>
        <v>6.6882000000000001</v>
      </c>
      <c r="AJ13" s="23">
        <f ca="1">IF(C13="","",[1]!hks_fa_caturn(C13,F13))</f>
        <v>0.85640000000000005</v>
      </c>
      <c r="AK13" s="23">
        <f ca="1">IF(C13="","",[1]!hks_fa_faturn(C13,F13))</f>
        <v>6.7026000000000003</v>
      </c>
      <c r="AL13" s="25">
        <f ca="1">IF(C13="","",[1]!hks_fa_assetsturn(C13,F13))</f>
        <v>0.64929999999999999</v>
      </c>
      <c r="AM13" s="23">
        <f ca="1">IF(C13="","",[1]!hks_fa_yoy_tr(C13,F13))</f>
        <v>-1.0026999999999999</v>
      </c>
      <c r="AN13" s="23">
        <f ca="1">IF(C13="","",[1]!hks_fa_yoy_or(C13,F13))</f>
        <v>-1.0026999999999999</v>
      </c>
      <c r="AO13" s="23">
        <f ca="1">IF(C13="","",[1]!hks_fa_yoyop2(C13,F13))</f>
        <v>-83.572420386604335</v>
      </c>
      <c r="AP13" s="23">
        <f ca="1">IF(C13="","",[1]!hks_fa_yoyebt(C13,F13))</f>
        <v>-27.83</v>
      </c>
      <c r="AQ13" s="23">
        <f ca="1">IF(C13="","",[1]!hks_fa_yoynetprofit(C13,F13))</f>
        <v>-29.8308</v>
      </c>
      <c r="AR13" s="23">
        <f ca="1">IF(C13="","",[1]!hks_fa_dupont_np(C13,F13))</f>
        <v>98.569800000000001</v>
      </c>
      <c r="AS13" s="23">
        <f ca="1">IF(C13="","",[1]!hks_fa_dupont_taxburden(C13,F13))</f>
        <v>98.695099999999996</v>
      </c>
      <c r="AT13" s="23">
        <f ca="1">IF(C13="","",[1]!s_fa_dupont_nptosales(C13,F13))</f>
        <v>1.6814</v>
      </c>
      <c r="AU13" s="23">
        <f ca="1">IF(C13="","",[1]!s_fa_dupont_roe(C13,F13))</f>
        <v>2.4239000000000002</v>
      </c>
      <c r="AV13" s="23">
        <f ca="1">IF(C13="","",[1]!hks_fa_dupont_intburden(C13,F13))</f>
        <v>100</v>
      </c>
      <c r="AW13" s="23">
        <f ca="1">IF(C13="","",[1]!hks_fa_dupont_assetstoequity(C13,F13))</f>
        <v>2.2330000000000001</v>
      </c>
      <c r="AX13" s="23">
        <f ca="1">IF(C13="","",[1]!s_fa_dupont_ebittosales(C13,F13))</f>
        <v>0.48959999999999998</v>
      </c>
      <c r="AY13" s="23">
        <f ca="1">IF(C13="","",[1]!hks_fa_assetsturn(C13,F13))</f>
        <v>0.64929999999999999</v>
      </c>
      <c r="AZ13" s="23">
        <f ca="1">IF(C13="","",[1]!hks_fa_grossmargin2(C13,F13,"",100000000))</f>
        <v>4.1126413035000002</v>
      </c>
      <c r="BA13" s="23">
        <f ca="1">IF(C13="","",[1]!hks_fa_ebit3(C13,F13,1,"",100000000))</f>
        <v>-4.6876234600000002</v>
      </c>
      <c r="BB13" s="23">
        <f ca="1">IF(C13="","",[1]!hks_fa_ebitda(C13,F13,1,"",100000000))</f>
        <v>4.9567803554000003</v>
      </c>
      <c r="BC13" s="23">
        <f ca="1">IF(C13="","",[1]!hks_fa_ebit(C13,F13,1,"",100000000))</f>
        <v>2.0562678709000002</v>
      </c>
      <c r="BD13" s="23">
        <f ca="1">IF(C13="","",[1]!hks_fa_ebitda(C13,F13,1,"",100000000))</f>
        <v>4.9567803554000003</v>
      </c>
      <c r="BE13" s="23">
        <f ca="1">IF(C13="","",[1]!hks_fa_nogaapprofit(C13,F13,1,"",100000000))</f>
        <v>0</v>
      </c>
      <c r="BF13" s="23">
        <f ca="1">IF(C13="","",[1]!hks_fa_deductedprofit(C13,F13,1,"",100000000))</f>
        <v>1.9655276953999998</v>
      </c>
      <c r="BG13" s="23">
        <f ca="1">IF(C13="","",[1]!hks_fa_retainedearnings2(C13,F13,"",100000000))</f>
        <v>47.285064626199997</v>
      </c>
      <c r="BH13" s="23">
        <f ca="1">IF(C13="","",[1]!hks_fa_workingcapital2(C13,F13,"",100000000))</f>
        <v>48.819402478100002</v>
      </c>
      <c r="BI13" s="23">
        <f ca="1">IF(C13="","",[1]!hks_fa_networkingcapital2(C13,F13,"",100000000))</f>
        <v>0.21676241149999997</v>
      </c>
      <c r="BJ13" s="23">
        <f ca="1">IF(C13="","",[1]!hks_fa_investcapital2(C13,F13,"",100000000))</f>
        <v>83.134056033500002</v>
      </c>
      <c r="BK13" s="23">
        <f ca="1">IF(C13="","",[1]!hks_fa_tangibleasset2(C13,F13,"",100000000))</f>
        <v>75.416511898300001</v>
      </c>
      <c r="BL13" s="23">
        <f ca="1">IF(C13="","",[1]!hks_fa_netdebt2(C13,F13,"",100000000))</f>
        <v>-48.602640066599996</v>
      </c>
      <c r="BM13" s="23">
        <f ca="1">IF(C13="","",[1]!hks_fa_interestdebt2(C13,F13,"",100000000))</f>
        <v>3.7681859500000005E-2</v>
      </c>
      <c r="BN13" s="23">
        <f ca="1">IF(C13="","",[1]!hks_fa_exinterestdebt_current(C13,F13,"",100000000))</f>
        <v>97.249799946100012</v>
      </c>
      <c r="BO13" s="23">
        <f ca="1">IF(C13="","",[1]!hks_fa_exinterestdebt_noncurrent2(C13,F13,"",100000000))</f>
        <v>8.4510965380999998</v>
      </c>
      <c r="BP13" s="23">
        <f ca="1">IF(C13="","",[1]!hks_fa_fcfe2(C13,F13,"",100000000))</f>
        <v>3.9390866149999999</v>
      </c>
      <c r="BQ13" s="23">
        <f ca="1">IF(C13="","",[1]!hks_fa_fcff2(C13,F13,"",100000000))</f>
        <v>3.9390866149999999</v>
      </c>
      <c r="BR13" s="35"/>
    </row>
    <row r="14" spans="1:102" s="36" customFormat="1" ht="16.5" x14ac:dyDescent="0.2">
      <c r="A14" s="2"/>
      <c r="B14" s="6"/>
      <c r="C14" s="28" t="str">
        <f>IF(表1[[#This Row],[列1]]="","",表1[[#This Row],[列1]])</f>
        <v>600007.SH</v>
      </c>
      <c r="D14" s="19" t="str">
        <f>IF(C14="","",[1]!hks_info_name(C14))</f>
        <v>中国国贸</v>
      </c>
      <c r="E14" s="19" t="str">
        <f ca="1">IF(C14="","",[1]!lastradeday_s(C14,TODAY()))</f>
        <v>2024-12-09</v>
      </c>
      <c r="F14" s="49" t="str">
        <f ca="1">IF(C14="","",IF(OR([1]!s_stm_rpt_e(C14,基本资料!$I$8,0)="#N/A",[1]!s_stm_rpt_e(C14,基本资料!$I$8,0)="",[1]!s_stm_rpt_e(C14,基本资料!$I$8,0)=0),[1]!s_stm_rpt_e(C14,基本资料!$I$9,0),[1]!s_stm_rpt_e(C14,基本资料!$I$8,0)))</f>
        <v>2023-12-31</v>
      </c>
      <c r="G14" s="49" t="str">
        <f ca="1">IF(C14="","",[1]!hks_info_cur2(C14,F14))</f>
        <v>CNY</v>
      </c>
      <c r="H14" s="27">
        <f ca="1">IF(C14="","",[1]!hks_fa_eps_basic(C14,F14,""))</f>
        <v>1.25</v>
      </c>
      <c r="I14" s="23">
        <f ca="1">IF(C14="","",[1]!hks_fa_eps_adjust2(C14,F14,""))</f>
        <v>1.2500974498183843</v>
      </c>
      <c r="J14" s="23">
        <f ca="1">IF(C14="","",[1]!hks_fa_bps(C14,F14,""))</f>
        <v>9.6300000000000008</v>
      </c>
      <c r="K14" s="25">
        <f ca="1">IF(C14="","",[1]!hks_fa_ocfps(C14,F14,""))</f>
        <v>1.9048</v>
      </c>
      <c r="L14" s="27">
        <f ca="1">IF(C14="","",[1]!hks_fa_grossprofitmargin(C14,F14))</f>
        <v>53.492400000000004</v>
      </c>
      <c r="M14" s="23">
        <f ca="1">IF(C14="","",[1]!hks_fa_netprofitmargin(C14,F14))</f>
        <v>35.302300000000002</v>
      </c>
      <c r="N14" s="23">
        <f ca="1">IF(C14="","",[1]!hks_fa_roe(C14,F14))</f>
        <v>13.363300000000001</v>
      </c>
      <c r="O14" s="23">
        <f ca="1">IF(C14="","",[1]!hks_fa_roe_deducted(C14,F14))</f>
        <v>13.281000000000001</v>
      </c>
      <c r="P14" s="23">
        <f ca="1">IF(C14="","",[1]!hks_fa_roa2(C14,F14))</f>
        <v>13.0717</v>
      </c>
      <c r="Q14" s="23">
        <f ca="1">IF(C14="","",[1]!hks_fa_roic(C14,F14))</f>
        <v>11.182399999999999</v>
      </c>
      <c r="R14" s="23">
        <f ca="1">IF(C14="","",[1]!hks_fa_dupont_nptosales(C14,F14))</f>
        <v>35.302300000000002</v>
      </c>
      <c r="S14" s="23">
        <f ca="1">IF(C14="","",[1]!hks_fa_dupont_ebittosales(C14,F14))</f>
        <v>47.073099999999997</v>
      </c>
      <c r="T14" s="25">
        <f ca="1">IF(C14="","",[1]!hks_fa_ebitdatosales(C14,F14))</f>
        <v>60.285665852921966</v>
      </c>
      <c r="U14" s="47">
        <f ca="1">IF(C14="","",[1]!hks_fa_optoebt(C14,F14))</f>
        <v>101.301</v>
      </c>
      <c r="V14" s="25">
        <f ca="1">IF(C14="","",[1]!hks_fa_ocftosales(C14,F14))</f>
        <v>53.752099999999999</v>
      </c>
      <c r="W14" s="27">
        <f ca="1">IF(C14="","",[1]!hks_fa_debttoassets(C14,F14))</f>
        <v>24.665099999999999</v>
      </c>
      <c r="X14" s="23">
        <f ca="1">IF(C14="","",[1]!s_fa_debttoeqy(C14,F14))</f>
        <v>0.3275359988874128</v>
      </c>
      <c r="Y14" s="23">
        <f ca="1">IF(C14="","",[1]!hks_fa_catoassets(C14,F14))</f>
        <v>34.345999999999997</v>
      </c>
      <c r="Z14" s="23">
        <f ca="1">IF(C14="","",[1]!hks_fa_ncatoassets(C14,F14))</f>
        <v>65.653999999999996</v>
      </c>
      <c r="AA14" s="23">
        <f ca="1">IF(C14="","",[1]!hks_fa_currentdebttodebt(C14,F14))</f>
        <v>64.660300000000007</v>
      </c>
      <c r="AB14" s="25">
        <f ca="1">IF(C14="","",[1]!hks_fa_longdebtodebt(C14,F14))</f>
        <v>35.339700000000001</v>
      </c>
      <c r="AC14" s="25">
        <f ca="1">IF(C14="","",[1]!hks_fa_current(C14,F14))</f>
        <v>2.1535000000000002</v>
      </c>
      <c r="AD14" s="25">
        <f ca="1">IF(C14="","",[1]!hks_fa_quick(C14,F14))</f>
        <v>2.1377999999999999</v>
      </c>
      <c r="AE14" s="25">
        <f ca="1">IF(C14="","",[1]!hks_fa_ebittointerest(C14,F14))</f>
        <v>0</v>
      </c>
      <c r="AF14" s="25">
        <f ca="1">IF(C14="","",[1]!hks_fa_netdebtratio(C14,F14))</f>
        <v>-23.780241690975881</v>
      </c>
      <c r="AG14" s="27">
        <f ca="1">IF(C14="","",[1]!hks_fa_arturn(C14,F14))</f>
        <v>11.2324</v>
      </c>
      <c r="AH14" s="23">
        <f ca="1">IF(C14="","",[1]!hks_fa_apturn(C14,F14))</f>
        <v>18.326265098687433</v>
      </c>
      <c r="AI14" s="23">
        <f ca="1">IF(C14="","",[1]!hks_fa_invturn(C14,F14))</f>
        <v>51.539700000000003</v>
      </c>
      <c r="AJ14" s="23">
        <f ca="1">IF(C14="","",[1]!hks_fa_caturn(C14,F14))</f>
        <v>0.8538</v>
      </c>
      <c r="AK14" s="23">
        <f ca="1">IF(C14="","",[1]!hks_fa_faturn(C14,F14))</f>
        <v>2.3502000000000001</v>
      </c>
      <c r="AL14" s="25">
        <f ca="1">IF(C14="","",[1]!hks_fa_assetsturn(C14,F14))</f>
        <v>0.2777</v>
      </c>
      <c r="AM14" s="23">
        <f ca="1">IF(C14="","",[1]!hks_fa_yoy_tr(C14,F14))</f>
        <v>15.9178</v>
      </c>
      <c r="AN14" s="23">
        <f ca="1">IF(C14="","",[1]!hks_fa_yoy_or(C14,F14))</f>
        <v>15.9178</v>
      </c>
      <c r="AO14" s="23">
        <f ca="1">IF(C14="","",[1]!hks_fa_yoyop2(C14,F14))</f>
        <v>22.659382091734447</v>
      </c>
      <c r="AP14" s="23">
        <f ca="1">IF(C14="","",[1]!hks_fa_yoyebt(C14,F14))</f>
        <v>12.4862</v>
      </c>
      <c r="AQ14" s="23">
        <f ca="1">IF(C14="","",[1]!hks_fa_yoynetprofit(C14,F14))</f>
        <v>12.8447</v>
      </c>
      <c r="AR14" s="23">
        <f ca="1">IF(C14="","",[1]!hks_fa_dupont_np(C14,F14))</f>
        <v>99.928399999999996</v>
      </c>
      <c r="AS14" s="23">
        <f ca="1">IF(C14="","",[1]!hks_fa_dupont_taxburden(C14,F14))</f>
        <v>74.994600000000005</v>
      </c>
      <c r="AT14" s="23">
        <f ca="1">IF(C14="","",[1]!s_fa_dupont_nptosales(C14,F14))</f>
        <v>31.870999999999999</v>
      </c>
      <c r="AU14" s="23">
        <f ca="1">IF(C14="","",[1]!s_fa_dupont_roe(C14,F14))</f>
        <v>13.363300000000001</v>
      </c>
      <c r="AV14" s="23">
        <f ca="1">IF(C14="","",[1]!hks_fa_dupont_intburden(C14,F14))</f>
        <v>100</v>
      </c>
      <c r="AW14" s="23">
        <f ca="1">IF(C14="","",[1]!hks_fa_dupont_assetstoequity(C14,F14))</f>
        <v>1.3642000000000001</v>
      </c>
      <c r="AX14" s="23">
        <f ca="1">IF(C14="","",[1]!s_fa_dupont_ebittosales(C14,F14))</f>
        <v>43.4953</v>
      </c>
      <c r="AY14" s="23">
        <f ca="1">IF(C14="","",[1]!hks_fa_assetsturn(C14,F14))</f>
        <v>0.2777</v>
      </c>
      <c r="AZ14" s="23">
        <f ca="1">IF(C14="","",[1]!hks_fa_grossmargin2(C14,F14,"",100000000))</f>
        <v>19.09390878</v>
      </c>
      <c r="BA14" s="23">
        <f ca="1">IF(C14="","",[1]!hks_fa_ebit3(C14,F14,1,"",100000000))</f>
        <v>17.10964345</v>
      </c>
      <c r="BB14" s="23">
        <f ca="1">IF(C14="","",[1]!hks_fa_ebitda(C14,F14,1,"",100000000))</f>
        <v>21.51875566</v>
      </c>
      <c r="BC14" s="23">
        <f ca="1">IF(C14="","",[1]!hks_fa_ebit(C14,F14,1,"",100000000))</f>
        <v>16.802588249999999</v>
      </c>
      <c r="BD14" s="23">
        <f ca="1">IF(C14="","",[1]!hks_fa_ebitda(C14,F14,1,"",100000000))</f>
        <v>21.51875566</v>
      </c>
      <c r="BE14" s="23">
        <f ca="1">IF(C14="","",[1]!hks_fa_nogaapprofit(C14,F14,1,"",100000000))</f>
        <v>0</v>
      </c>
      <c r="BF14" s="23">
        <f ca="1">IF(C14="","",[1]!hks_fa_deductedprofit(C14,F14,1,"",100000000))</f>
        <v>12.51443063</v>
      </c>
      <c r="BG14" s="23">
        <f ca="1">IF(C14="","",[1]!hks_fa_retainedearnings2(C14,F14,"",100000000))</f>
        <v>63.156473419999998</v>
      </c>
      <c r="BH14" s="23">
        <f ca="1">IF(C14="","",[1]!hks_fa_workingcapital2(C14,F14,"",100000000))</f>
        <v>23.698002630000001</v>
      </c>
      <c r="BI14" s="23">
        <f ca="1">IF(C14="","",[1]!hks_fa_networkingcapital2(C14,F14,"",100000000))</f>
        <v>-10.22830583</v>
      </c>
      <c r="BJ14" s="23">
        <f ca="1">IF(C14="","",[1]!hks_fa_investcapital2(C14,F14,"",100000000))</f>
        <v>112.82696597</v>
      </c>
      <c r="BK14" s="23">
        <f ca="1">IF(C14="","",[1]!hks_fa_tangibleasset2(C14,F14,"",100000000))</f>
        <v>91.851338620000007</v>
      </c>
      <c r="BL14" s="23">
        <f ca="1">IF(C14="","",[1]!hks_fa_netdebt2(C14,F14,"",100000000))</f>
        <v>-23.07630846</v>
      </c>
      <c r="BM14" s="23">
        <f ca="1">IF(C14="","",[1]!hks_fa_interestdebt2(C14,F14,"",100000000))</f>
        <v>15.8253827</v>
      </c>
      <c r="BN14" s="23">
        <f ca="1">IF(C14="","",[1]!hks_fa_exinterestdebt_current(C14,F14,"",100000000))</f>
        <v>15.56817236</v>
      </c>
      <c r="BO14" s="23">
        <f ca="1">IF(C14="","",[1]!hks_fa_exinterestdebt_noncurrent2(C14,F14,"",100000000))</f>
        <v>0.37795540999999999</v>
      </c>
      <c r="BP14" s="23">
        <f ca="1">IF(C14="","",[1]!hks_fa_fcfe2(C14,F14,"",100000000))</f>
        <v>11.60516848</v>
      </c>
      <c r="BQ14" s="23">
        <f ca="1">IF(C14="","",[1]!hks_fa_fcff2(C14,F14,"",100000000))</f>
        <v>16.705168480000001</v>
      </c>
      <c r="BR14" s="35"/>
    </row>
    <row r="15" spans="1:102" s="36" customFormat="1" ht="16.5" x14ac:dyDescent="0.2">
      <c r="A15" s="2"/>
      <c r="B15" s="6"/>
      <c r="C15" s="28" t="str">
        <f>IF(表1[[#This Row],[列1]]="","",表1[[#This Row],[列1]])</f>
        <v>600941.SH</v>
      </c>
      <c r="D15" s="19" t="str">
        <f>IF(C15="","",[1]!hks_info_name(C15))</f>
        <v>中国移动</v>
      </c>
      <c r="E15" s="19" t="str">
        <f ca="1">IF(C15="","",[1]!lastradeday_s(C15,TODAY()))</f>
        <v>2024-12-09</v>
      </c>
      <c r="F15" s="49" t="str">
        <f ca="1">IF(C15="","",IF(OR([1]!s_stm_rpt_e(C15,基本资料!$I$8,0)="#N/A",[1]!s_stm_rpt_e(C15,基本资料!$I$8,0)="",[1]!s_stm_rpt_e(C15,基本资料!$I$8,0)=0),[1]!s_stm_rpt_e(C15,基本资料!$I$9,0),[1]!s_stm_rpt_e(C15,基本资料!$I$8,0)))</f>
        <v>2023-12-31</v>
      </c>
      <c r="G15" s="49" t="str">
        <f ca="1">IF(C15="","",[1]!hks_info_cur2(C15,F15))</f>
        <v>CNY</v>
      </c>
      <c r="H15" s="27">
        <f ca="1">IF(C15="","",[1]!hks_fa_eps_basic(C15,F15,""))</f>
        <v>6.16</v>
      </c>
      <c r="I15" s="23">
        <f ca="1">IF(C15="","",[1]!hks_fa_eps_adjust2(C15,F15,""))</f>
        <v>6.1323303339522344</v>
      </c>
      <c r="J15" s="23">
        <f ca="1">IF(C15="","",[1]!hks_fa_bps(C15,F15,""))</f>
        <v>61.074300000000001</v>
      </c>
      <c r="K15" s="25">
        <f ca="1">IF(C15="","",[1]!hks_fa_ocfps(C15,F15,""))</f>
        <v>14.2014</v>
      </c>
      <c r="L15" s="27">
        <f ca="1">IF(C15="","",[1]!hks_fa_grossprofitmargin(C15,F15))</f>
        <v>28.1587</v>
      </c>
      <c r="M15" s="23">
        <f ca="1">IF(C15="","",[1]!hks_fa_netprofitmargin(C15,F15))</f>
        <v>13.0182</v>
      </c>
      <c r="N15" s="23">
        <f ca="1">IF(C15="","",[1]!hks_fa_roe(C15,F15))</f>
        <v>9.9857999999999993</v>
      </c>
      <c r="O15" s="23">
        <f ca="1">IF(C15="","",[1]!hks_fa_roe_deducted(C15,F15))</f>
        <v>8.8462999999999994</v>
      </c>
      <c r="P15" s="23">
        <f ca="1">IF(C15="","",[1]!hks_fa_roa2(C15,F15))</f>
        <v>8.49</v>
      </c>
      <c r="Q15" s="23">
        <f ca="1">IF(C15="","",[1]!hks_fa_roic(C15,F15))</f>
        <v>9.9297000000000004</v>
      </c>
      <c r="R15" s="23">
        <f ca="1">IF(C15="","",[1]!hks_fa_dupont_nptosales(C15,F15))</f>
        <v>13.0182</v>
      </c>
      <c r="S15" s="23">
        <f ca="1">IF(C15="","",[1]!hks_fa_dupont_ebittosales(C15,F15))</f>
        <v>16.453499999999998</v>
      </c>
      <c r="T15" s="25">
        <f ca="1">IF(C15="","",[1]!hks_fa_ebitdatosales(C15,F15))</f>
        <v>36.891446005201942</v>
      </c>
      <c r="U15" s="47">
        <f ca="1">IF(C15="","",[1]!hks_fa_optoebt(C15,F15))</f>
        <v>81.575199999999995</v>
      </c>
      <c r="V15" s="25">
        <f ca="1">IF(C15="","",[1]!hks_fa_ocftosales(C15,F15))</f>
        <v>29.974299999999999</v>
      </c>
      <c r="W15" s="27">
        <f ca="1">IF(C15="","",[1]!hks_fa_debttoassets(C15,F15))</f>
        <v>32.452800000000003</v>
      </c>
      <c r="X15" s="23">
        <f ca="1">IF(C15="","",[1]!s_fa_debttoeqy(C15,F15))</f>
        <v>0.49499093714789594</v>
      </c>
      <c r="Y15" s="23">
        <f ca="1">IF(C15="","",[1]!hks_fa_catoassets(C15,F15))</f>
        <v>24.997</v>
      </c>
      <c r="Z15" s="23">
        <f ca="1">IF(C15="","",[1]!hks_fa_ncatoassets(C15,F15))</f>
        <v>75.003</v>
      </c>
      <c r="AA15" s="23">
        <f ca="1">IF(C15="","",[1]!hks_fa_currentdebttodebt(C15,F15))</f>
        <v>86.375299999999996</v>
      </c>
      <c r="AB15" s="25">
        <f ca="1">IF(C15="","",[1]!hks_fa_longdebtodebt(C15,F15))</f>
        <v>13.624700000000001</v>
      </c>
      <c r="AC15" s="25">
        <f ca="1">IF(C15="","",[1]!hks_fa_current(C15,F15))</f>
        <v>0.89180000000000004</v>
      </c>
      <c r="AD15" s="25">
        <f ca="1">IF(C15="","",[1]!hks_fa_quick(C15,F15))</f>
        <v>0.87019999999999997</v>
      </c>
      <c r="AE15" s="25">
        <f ca="1">IF(C15="","",[1]!hks_fa_ebittointerest(C15,F15))</f>
        <v>-44.113999999999997</v>
      </c>
      <c r="AF15" s="25">
        <f ca="1">IF(C15="","",[1]!hks_fa_netdebtratio(C15,F15))</f>
        <v>-10.263933104752281</v>
      </c>
      <c r="AG15" s="27">
        <f ca="1">IF(C15="","",[1]!hks_fa_arturn(C15,F15))</f>
        <v>17.928100000000001</v>
      </c>
      <c r="AH15" s="23">
        <f ca="1">IF(C15="","",[1]!hks_fa_apturn(C15,F15))</f>
        <v>3.3431413759282611</v>
      </c>
      <c r="AI15" s="23">
        <f ca="1">IF(C15="","",[1]!hks_fa_invturn(C15,F15))</f>
        <v>52.302500000000002</v>
      </c>
      <c r="AJ15" s="23">
        <f ca="1">IF(C15="","",[1]!hks_fa_caturn(C15,F15))</f>
        <v>2.1236000000000002</v>
      </c>
      <c r="AK15" s="23">
        <f ca="1">IF(C15="","",[1]!hks_fa_faturn(C15,F15))</f>
        <v>1.2642</v>
      </c>
      <c r="AL15" s="25">
        <f ca="1">IF(C15="","",[1]!hks_fa_assetsturn(C15,F15))</f>
        <v>0.51600000000000001</v>
      </c>
      <c r="AM15" s="23">
        <f ca="1">IF(C15="","",[1]!hks_fa_yoy_tr(C15,F15))</f>
        <v>7.6699000000000002</v>
      </c>
      <c r="AN15" s="23">
        <f ca="1">IF(C15="","",[1]!hks_fa_yoy_or(C15,F15))</f>
        <v>6.3365</v>
      </c>
      <c r="AO15" s="23">
        <f ca="1">IF(C15="","",[1]!hks_fa_yoyop2(C15,F15))</f>
        <v>3.5907632047300972</v>
      </c>
      <c r="AP15" s="23">
        <f ca="1">IF(C15="","",[1]!hks_fa_yoyebt(C15,F15))</f>
        <v>4.7024999999999997</v>
      </c>
      <c r="AQ15" s="23">
        <f ca="1">IF(C15="","",[1]!hks_fa_yoynetprofit(C15,F15))</f>
        <v>5.0270999999999999</v>
      </c>
      <c r="AR15" s="23">
        <f ca="1">IF(C15="","",[1]!hks_fa_dupont_np(C15,F15))</f>
        <v>99.871899999999997</v>
      </c>
      <c r="AS15" s="23">
        <f ca="1">IF(C15="","",[1]!hks_fa_dupont_taxburden(C15,F15))</f>
        <v>77.367199999999997</v>
      </c>
      <c r="AT15" s="23">
        <f ca="1">IF(C15="","",[1]!s_fa_dupont_nptosales(C15,F15))</f>
        <v>13.0718</v>
      </c>
      <c r="AU15" s="23">
        <f ca="1">IF(C15="","",[1]!s_fa_dupont_roe(C15,F15))</f>
        <v>10.260199999999999</v>
      </c>
      <c r="AV15" s="23">
        <f ca="1">IF(C15="","",[1]!hks_fa_dupont_intburden(C15,F15))</f>
        <v>102.26690000000001</v>
      </c>
      <c r="AW15" s="23">
        <f ca="1">IF(C15="","",[1]!hks_fa_dupont_assetstoequity(C15,F15))</f>
        <v>1.4884999999999999</v>
      </c>
      <c r="AX15" s="23">
        <f ca="1">IF(C15="","",[1]!s_fa_dupont_ebittosales(C15,F15))</f>
        <v>16.538900000000002</v>
      </c>
      <c r="AY15" s="23">
        <f ca="1">IF(C15="","",[1]!hks_fa_assetsturn(C15,F15))</f>
        <v>0.51600000000000001</v>
      </c>
      <c r="AZ15" s="23">
        <f ca="1">IF(C15="","",[1]!hks_fa_grossmargin2(C15,F15,"",100000000))</f>
        <v>2431.54</v>
      </c>
      <c r="BA15" s="23">
        <f ca="1">IF(C15="","",[1]!hks_fa_ebit3(C15,F15,1,"",100000000))</f>
        <v>1427.14</v>
      </c>
      <c r="BB15" s="23">
        <f ca="1">IF(C15="","",[1]!hks_fa_ebitda(C15,F15,1,"",100000000))</f>
        <v>3738.83</v>
      </c>
      <c r="BC15" s="23">
        <f ca="1">IF(C15="","",[1]!hks_fa_ebit(C15,F15,1,"",100000000))</f>
        <v>1667.51</v>
      </c>
      <c r="BD15" s="23">
        <f ca="1">IF(C15="","",[1]!hks_fa_ebitda(C15,F15,1,"",100000000))</f>
        <v>3738.83</v>
      </c>
      <c r="BE15" s="23">
        <f ca="1">IF(C15="","",[1]!hks_fa_nogaapprofit(C15,F15,1,"",100000000))</f>
        <v>0</v>
      </c>
      <c r="BF15" s="23">
        <f ca="1">IF(C15="","",[1]!hks_fa_deductedprofit(C15,F15,1,"",100000000))</f>
        <v>1167.31</v>
      </c>
      <c r="BG15" s="23">
        <f ca="1">IF(C15="","",[1]!hks_fa_retainedearnings2(C15,F15,"",100000000))</f>
        <v>7771.61</v>
      </c>
      <c r="BH15" s="23">
        <f ca="1">IF(C15="","",[1]!hks_fa_workingcapital2(C15,F15,"",100000000))</f>
        <v>-604.61</v>
      </c>
      <c r="BI15" s="23">
        <f ca="1">IF(C15="","",[1]!hks_fa_networkingcapital2(C15,F15,"",100000000))</f>
        <v>-1986.12</v>
      </c>
      <c r="BJ15" s="23">
        <f ca="1">IF(C15="","",[1]!hks_fa_investcapital2(C15,F15,"",100000000))</f>
        <v>13451.4</v>
      </c>
      <c r="BK15" s="23">
        <f ca="1">IF(C15="","",[1]!hks_fa_tangibleasset2(C15,F15,"",100000000))</f>
        <v>11789.58</v>
      </c>
      <c r="BL15" s="23">
        <f ca="1">IF(C15="","",[1]!hks_fa_netdebt2(C15,F15,"",100000000))</f>
        <v>-1381.51</v>
      </c>
      <c r="BM15" s="23">
        <f ca="1">IF(C15="","",[1]!hks_fa_interestdebt2(C15,F15,"",100000000))</f>
        <v>34.08</v>
      </c>
      <c r="BN15" s="23">
        <f ca="1">IF(C15="","",[1]!hks_fa_exinterestdebt_current(C15,F15,"",100000000))</f>
        <v>5551.57</v>
      </c>
      <c r="BO15" s="23">
        <f ca="1">IF(C15="","",[1]!hks_fa_exinterestdebt_noncurrent2(C15,F15,"",100000000))</f>
        <v>881.07</v>
      </c>
      <c r="BP15" s="23">
        <f ca="1">IF(C15="","",[1]!hks_fa_fcfe2(C15,F15,"",100000000))</f>
        <v>681.94775735790006</v>
      </c>
      <c r="BQ15" s="23">
        <f ca="1">IF(C15="","",[1]!hks_fa_fcff2(C15,F15,"",100000000))</f>
        <v>1023.1177573578999</v>
      </c>
      <c r="BR15" s="35"/>
    </row>
    <row r="16" spans="1:102" s="36" customFormat="1" ht="16.5" x14ac:dyDescent="0.2">
      <c r="A16" s="2"/>
      <c r="B16" s="6"/>
      <c r="C16" s="28" t="str">
        <f>IF(表1[[#This Row],[列1]]="","",表1[[#This Row],[列1]])</f>
        <v>603160.SH</v>
      </c>
      <c r="D16" s="19" t="str">
        <f>IF(C16="","",[1]!hks_info_name(C16))</f>
        <v>汇顶科技</v>
      </c>
      <c r="E16" s="19" t="str">
        <f ca="1">IF(C16="","",[1]!lastradeday_s(C16,TODAY()))</f>
        <v>2024-12-09</v>
      </c>
      <c r="F16" s="49" t="str">
        <f ca="1">IF(C16="","",IF(OR([1]!s_stm_rpt_e(C16,基本资料!$I$8,0)="#N/A",[1]!s_stm_rpt_e(C16,基本资料!$I$8,0)="",[1]!s_stm_rpt_e(C16,基本资料!$I$8,0)=0),[1]!s_stm_rpt_e(C16,基本资料!$I$9,0),[1]!s_stm_rpt_e(C16,基本资料!$I$8,0)))</f>
        <v>2023-12-31</v>
      </c>
      <c r="G16" s="49" t="str">
        <f ca="1">IF(C16="","",[1]!hks_info_cur2(C16,F16))</f>
        <v>CNY</v>
      </c>
      <c r="H16" s="27">
        <f ca="1">IF(C16="","",[1]!hks_fa_eps_basic(C16,F16,""))</f>
        <v>0.36</v>
      </c>
      <c r="I16" s="23">
        <f ca="1">IF(C16="","",[1]!hks_fa_eps_adjust2(C16,F16,""))</f>
        <v>0.36017293951121554</v>
      </c>
      <c r="J16" s="23">
        <f ca="1">IF(C16="","",[1]!hks_fa_bps(C16,F16,""))</f>
        <v>17.565999999999999</v>
      </c>
      <c r="K16" s="25">
        <f ca="1">IF(C16="","",[1]!hks_fa_ocfps(C16,F16,""))</f>
        <v>3.899</v>
      </c>
      <c r="L16" s="27">
        <f ca="1">IF(C16="","",[1]!hks_fa_grossprofitmargin(C16,F16))</f>
        <v>40.072600000000001</v>
      </c>
      <c r="M16" s="23">
        <f ca="1">IF(C16="","",[1]!hks_fa_netprofitmargin(C16,F16))</f>
        <v>3.7688999999999999</v>
      </c>
      <c r="N16" s="23">
        <f ca="1">IF(C16="","",[1]!hks_fa_roe(C16,F16))</f>
        <v>2.0861999999999998</v>
      </c>
      <c r="O16" s="23">
        <f ca="1">IF(C16="","",[1]!hks_fa_roe_deducted(C16,F16))</f>
        <v>2.4308999999999998</v>
      </c>
      <c r="P16" s="23">
        <f ca="1">IF(C16="","",[1]!hks_fa_roa2(C16,F16))</f>
        <v>0.77510000000000001</v>
      </c>
      <c r="Q16" s="23">
        <f ca="1">IF(C16="","",[1]!hks_fa_roic(C16,F16))</f>
        <v>1.9337</v>
      </c>
      <c r="R16" s="23">
        <f ca="1">IF(C16="","",[1]!hks_fa_dupont_nptosales(C16,F16))</f>
        <v>3.7688999999999999</v>
      </c>
      <c r="S16" s="23">
        <f ca="1">IF(C16="","",[1]!hks_fa_dupont_ebittosales(C16,F16))</f>
        <v>1.6951000000000001</v>
      </c>
      <c r="T16" s="25">
        <f ca="1">IF(C16="","",[1]!hks_fa_ebitdatosales(C16,F16))</f>
        <v>8.5797555039986246</v>
      </c>
      <c r="U16" s="47">
        <f ca="1">IF(C16="","",[1]!hks_fa_optoebt(C16,F16))</f>
        <v>-643.59500000000003</v>
      </c>
      <c r="V16" s="25">
        <f ca="1">IF(C16="","",[1]!hks_fa_ocftosales(C16,F16))</f>
        <v>40.777799999999999</v>
      </c>
      <c r="W16" s="27">
        <f ca="1">IF(C16="","",[1]!hks_fa_debttoassets(C16,F16))</f>
        <v>17.2895</v>
      </c>
      <c r="X16" s="23">
        <f ca="1">IF(C16="","",[1]!s_fa_debttoeqy(C16,F16))</f>
        <v>0.20903566282402397</v>
      </c>
      <c r="Y16" s="23">
        <f ca="1">IF(C16="","",[1]!hks_fa_catoassets(C16,F16))</f>
        <v>57.086300000000001</v>
      </c>
      <c r="Z16" s="23">
        <f ca="1">IF(C16="","",[1]!hks_fa_ncatoassets(C16,F16))</f>
        <v>42.913699999999999</v>
      </c>
      <c r="AA16" s="23">
        <f ca="1">IF(C16="","",[1]!hks_fa_currentdebttodebt(C16,F16))</f>
        <v>78.8035</v>
      </c>
      <c r="AB16" s="25">
        <f ca="1">IF(C16="","",[1]!hks_fa_longdebtodebt(C16,F16))</f>
        <v>21.1965</v>
      </c>
      <c r="AC16" s="25">
        <f ca="1">IF(C16="","",[1]!hks_fa_current(C16,F16))</f>
        <v>4.1898999999999997</v>
      </c>
      <c r="AD16" s="25">
        <f ca="1">IF(C16="","",[1]!hks_fa_quick(C16,F16))</f>
        <v>3.6497000000000002</v>
      </c>
      <c r="AE16" s="25">
        <f ca="1">IF(C16="","",[1]!hks_fa_ebittointerest(C16,F16))</f>
        <v>0</v>
      </c>
      <c r="AF16" s="25">
        <f ca="1">IF(C16="","",[1]!hks_fa_netdebtratio(C16,F16))</f>
        <v>-4.3101938326468785</v>
      </c>
      <c r="AG16" s="27">
        <f ca="1">IF(C16="","",[1]!hks_fa_arturn(C16,F16))</f>
        <v>8.5716000000000001</v>
      </c>
      <c r="AH16" s="23">
        <f ca="1">IF(C16="","",[1]!hks_fa_apturn(C16,F16))</f>
        <v>8.6258340376948865</v>
      </c>
      <c r="AI16" s="23">
        <f ca="1">IF(C16="","",[1]!hks_fa_invturn(C16,F16))</f>
        <v>2.09</v>
      </c>
      <c r="AJ16" s="23">
        <f ca="1">IF(C16="","",[1]!hks_fa_caturn(C16,F16))</f>
        <v>0.79610000000000003</v>
      </c>
      <c r="AK16" s="23">
        <f ca="1">IF(C16="","",[1]!hks_fa_faturn(C16,F16))</f>
        <v>6.2380000000000004</v>
      </c>
      <c r="AL16" s="25">
        <f ca="1">IF(C16="","",[1]!hks_fa_assetsturn(C16,F16))</f>
        <v>0.45729999999999998</v>
      </c>
      <c r="AM16" s="23">
        <f ca="1">IF(C16="","",[1]!hks_fa_yoy_tr(C16,F16))</f>
        <v>30.027200000000001</v>
      </c>
      <c r="AN16" s="23">
        <f ca="1">IF(C16="","",[1]!hks_fa_yoy_or(C16,F16))</f>
        <v>30.027200000000001</v>
      </c>
      <c r="AO16" s="23">
        <f ca="1">IF(C16="","",[1]!hks_fa_yoyop2(C16,F16))</f>
        <v>74.875046480915515</v>
      </c>
      <c r="AP16" s="23">
        <f ca="1">IF(C16="","",[1]!hks_fa_yoyebt(C16,F16))</f>
        <v>107.4336</v>
      </c>
      <c r="AQ16" s="23">
        <f ca="1">IF(C16="","",[1]!hks_fa_yoynetprofit(C16,F16))</f>
        <v>122.0767</v>
      </c>
      <c r="AR16" s="23">
        <f ca="1">IF(C16="","",[1]!hks_fa_dupont_np(C16,F16))</f>
        <v>100.0027</v>
      </c>
      <c r="AS16" s="23">
        <f ca="1">IF(C16="","",[1]!hks_fa_dupont_taxburden(C16,F16))</f>
        <v>222.3356</v>
      </c>
      <c r="AT16" s="23">
        <f ca="1">IF(C16="","",[1]!s_fa_dupont_nptosales(C16,F16))</f>
        <v>3.7443</v>
      </c>
      <c r="AU16" s="23">
        <f ca="1">IF(C16="","",[1]!s_fa_dupont_roe(C16,F16))</f>
        <v>2.0861999999999998</v>
      </c>
      <c r="AV16" s="23">
        <f ca="1">IF(C16="","",[1]!hks_fa_dupont_intburden(C16,F16))</f>
        <v>100</v>
      </c>
      <c r="AW16" s="23">
        <f ca="1">IF(C16="","",[1]!hks_fa_dupont_assetstoequity(C16,F16))</f>
        <v>1.2104999999999999</v>
      </c>
      <c r="AX16" s="23">
        <f ca="1">IF(C16="","",[1]!s_fa_dupont_ebittosales(C16,F16))</f>
        <v>-0.04</v>
      </c>
      <c r="AY16" s="23">
        <f ca="1">IF(C16="","",[1]!hks_fa_assetsturn(C16,F16))</f>
        <v>0.45729999999999998</v>
      </c>
      <c r="AZ16" s="23">
        <f ca="1">IF(C16="","",[1]!hks_fa_grossmargin2(C16,F16,"",100000000))</f>
        <v>17.548899604900001</v>
      </c>
      <c r="BA16" s="23">
        <f ca="1">IF(C16="","",[1]!hks_fa_ebit3(C16,F16,1,"",100000000))</f>
        <v>2.1357238788999999</v>
      </c>
      <c r="BB16" s="23">
        <f ca="1">IF(C16="","",[1]!hks_fa_ebitda(C16,F16,1,"",100000000))</f>
        <v>3.7573116524999999</v>
      </c>
      <c r="BC16" s="23">
        <f ca="1">IF(C16="","",[1]!hks_fa_ebit(C16,F16,1,"",100000000))</f>
        <v>0.74234867069999988</v>
      </c>
      <c r="BD16" s="23">
        <f ca="1">IF(C16="","",[1]!hks_fa_ebitda(C16,F16,1,"",100000000))</f>
        <v>3.7573116524999999</v>
      </c>
      <c r="BE16" s="23">
        <f ca="1">IF(C16="","",[1]!hks_fa_nogaapprofit(C16,F16,1,"",100000000))</f>
        <v>0</v>
      </c>
      <c r="BF16" s="23">
        <f ca="1">IF(C16="","",[1]!hks_fa_deductedprofit(C16,F16,1,"",100000000))</f>
        <v>1.9232502567000003</v>
      </c>
      <c r="BG16" s="23">
        <f ca="1">IF(C16="","",[1]!hks_fa_retainedearnings2(C16,F16,"",100000000))</f>
        <v>58.583851855100001</v>
      </c>
      <c r="BH16" s="23">
        <f ca="1">IF(C16="","",[1]!hks_fa_workingcapital2(C16,F16,"",100000000))</f>
        <v>42.275271849200003</v>
      </c>
      <c r="BI16" s="23">
        <f ca="1">IF(C16="","",[1]!hks_fa_networkingcapital2(C16,F16,"",100000000))</f>
        <v>36.3867043698</v>
      </c>
      <c r="BJ16" s="23">
        <f ca="1">IF(C16="","",[1]!hks_fa_investcapital2(C16,F16,"",100000000))</f>
        <v>85.273443552000003</v>
      </c>
      <c r="BK16" s="23">
        <f ca="1">IF(C16="","",[1]!hks_fa_tangibleasset2(C16,F16,"",100000000))</f>
        <v>58.258914772799997</v>
      </c>
      <c r="BL16" s="23">
        <f ca="1">IF(C16="","",[1]!hks_fa_netdebt2(C16,F16,"",100000000))</f>
        <v>-3.4676718798000001</v>
      </c>
      <c r="BM16" s="23">
        <f ca="1">IF(C16="","",[1]!hks_fa_interestdebt2(C16,F16,"",100000000))</f>
        <v>4.8206460121000001</v>
      </c>
      <c r="BN16" s="23">
        <f ca="1">IF(C16="","",[1]!hks_fa_exinterestdebt_current(C16,F16,"",100000000))</f>
        <v>10.8530331078</v>
      </c>
      <c r="BO16" s="23">
        <f ca="1">IF(C16="","",[1]!hks_fa_exinterestdebt_noncurrent2(C16,F16,"",100000000))</f>
        <v>1.1438247398999999</v>
      </c>
      <c r="BP16" s="23">
        <f ca="1">IF(C16="","",[1]!hks_fa_fcfe2(C16,F16,"",100000000))</f>
        <v>-3.7041022862999999</v>
      </c>
      <c r="BQ16" s="23">
        <f ca="1">IF(C16="","",[1]!hks_fa_fcff2(C16,F16,"",100000000))</f>
        <v>-0.9676805772</v>
      </c>
      <c r="BR16" s="35"/>
    </row>
    <row r="17" spans="1:70" s="36" customFormat="1" ht="16.5" x14ac:dyDescent="0.2">
      <c r="A17" s="2"/>
      <c r="B17" s="6"/>
      <c r="C17" s="28" t="str">
        <f>IF(表1[[#This Row],[列1]]="","",表1[[#This Row],[列1]])</f>
        <v>688111.SH</v>
      </c>
      <c r="D17" s="19" t="str">
        <f>IF(C17="","",[1]!hks_info_name(C17))</f>
        <v>金山办公</v>
      </c>
      <c r="E17" s="19" t="str">
        <f ca="1">IF(C17="","",[1]!lastradeday_s(C17,TODAY()))</f>
        <v>2024-12-09</v>
      </c>
      <c r="F17" s="49" t="str">
        <f ca="1">IF(C17="","",IF(OR([1]!s_stm_rpt_e(C17,基本资料!$I$8,0)="#N/A",[1]!s_stm_rpt_e(C17,基本资料!$I$8,0)="",[1]!s_stm_rpt_e(C17,基本资料!$I$8,0)=0),[1]!s_stm_rpt_e(C17,基本资料!$I$9,0),[1]!s_stm_rpt_e(C17,基本资料!$I$8,0)))</f>
        <v>2023-12-31</v>
      </c>
      <c r="G17" s="49" t="str">
        <f ca="1">IF(C17="","",[1]!hks_info_cur2(C17,F17))</f>
        <v>CNY</v>
      </c>
      <c r="H17" s="27">
        <f ca="1">IF(C17="","",[1]!hks_fa_eps_basic(C17,F17,""))</f>
        <v>2.86</v>
      </c>
      <c r="I17" s="23">
        <f ca="1">IF(C17="","",[1]!hks_fa_eps_adjust2(C17,F17,""))</f>
        <v>2.8490032123256785</v>
      </c>
      <c r="J17" s="23">
        <f ca="1">IF(C17="","",[1]!hks_fa_bps(C17,F17,""))</f>
        <v>21.5471</v>
      </c>
      <c r="K17" s="25">
        <f ca="1">IF(C17="","",[1]!hks_fa_ocfps(C17,F17,""))</f>
        <v>4.4561999999999999</v>
      </c>
      <c r="L17" s="27">
        <f ca="1">IF(C17="","",[1]!hks_fa_grossprofitmargin(C17,F17))</f>
        <v>85.176599999999993</v>
      </c>
      <c r="M17" s="23">
        <f ca="1">IF(C17="","",[1]!hks_fa_netprofitmargin(C17,F17))</f>
        <v>29.088699999999999</v>
      </c>
      <c r="N17" s="23">
        <f ca="1">IF(C17="","",[1]!hks_fa_roe(C17,F17))</f>
        <v>14.1137</v>
      </c>
      <c r="O17" s="23">
        <f ca="1">IF(C17="","",[1]!hks_fa_roe_deducted(C17,F17))</f>
        <v>14.2569</v>
      </c>
      <c r="P17" s="23">
        <f ca="1">IF(C17="","",[1]!hks_fa_roa2(C17,F17))</f>
        <v>10.678100000000001</v>
      </c>
      <c r="Q17" s="23">
        <f ca="1">IF(C17="","",[1]!hks_fa_roic(C17,F17))</f>
        <v>14.0366</v>
      </c>
      <c r="R17" s="23">
        <f ca="1">IF(C17="","",[1]!hks_fa_dupont_nptosales(C17,F17))</f>
        <v>29.088699999999999</v>
      </c>
      <c r="S17" s="23">
        <f ca="1">IF(C17="","",[1]!hks_fa_dupont_ebittosales(C17,F17))</f>
        <v>30.756799999999998</v>
      </c>
      <c r="T17" s="25">
        <f ca="1">IF(C17="","",[1]!hks_fa_ebitdatosales(C17,F17))</f>
        <v>32.535029077920555</v>
      </c>
      <c r="U17" s="47">
        <f ca="1">IF(C17="","",[1]!hks_fa_optoebt(C17,F17))</f>
        <v>67.245500000000007</v>
      </c>
      <c r="V17" s="25">
        <f ca="1">IF(C17="","",[1]!hks_fa_ocftosales(C17,F17))</f>
        <v>45.533000000000001</v>
      </c>
      <c r="W17" s="27">
        <f ca="1">IF(C17="","",[1]!hks_fa_debttoassets(C17,F17))</f>
        <v>28.298300000000001</v>
      </c>
      <c r="X17" s="23">
        <f ca="1">IF(C17="","",[1]!s_fa_debttoeqy(C17,F17))</f>
        <v>0.3974766778200769</v>
      </c>
      <c r="Y17" s="23">
        <f ca="1">IF(C17="","",[1]!hks_fa_catoassets(C17,F17))</f>
        <v>72.613</v>
      </c>
      <c r="Z17" s="23">
        <f ca="1">IF(C17="","",[1]!hks_fa_ncatoassets(C17,F17))</f>
        <v>27.387</v>
      </c>
      <c r="AA17" s="23">
        <f ca="1">IF(C17="","",[1]!hks_fa_currentdebttodebt(C17,F17))</f>
        <v>79.753600000000006</v>
      </c>
      <c r="AB17" s="25">
        <f ca="1">IF(C17="","",[1]!hks_fa_longdebtodebt(C17,F17))</f>
        <v>20.246400000000001</v>
      </c>
      <c r="AC17" s="25">
        <f ca="1">IF(C17="","",[1]!hks_fa_current(C17,F17))</f>
        <v>3.2174</v>
      </c>
      <c r="AD17" s="25">
        <f ca="1">IF(C17="","",[1]!hks_fa_quick(C17,F17))</f>
        <v>3.2168999999999999</v>
      </c>
      <c r="AE17" s="25">
        <f ca="1">IF(C17="","",[1]!hks_fa_ebittointerest(C17,F17))</f>
        <v>0</v>
      </c>
      <c r="AF17" s="25">
        <f ca="1">IF(C17="","",[1]!hks_fa_netdebtratio(C17,F17))</f>
        <v>-34.304622794585939</v>
      </c>
      <c r="AG17" s="27">
        <f ca="1">IF(C17="","",[1]!hks_fa_arturn(C17,F17))</f>
        <v>8.4521999999999995</v>
      </c>
      <c r="AH17" s="23">
        <f ca="1">IF(C17="","",[1]!hks_fa_apturn(C17,F17))</f>
        <v>1.7632260458533837</v>
      </c>
      <c r="AI17" s="23">
        <f ca="1">IF(C17="","",[1]!hks_fa_invturn(C17,F17))</f>
        <v>521.12339999999995</v>
      </c>
      <c r="AJ17" s="23">
        <f ca="1">IF(C17="","",[1]!hks_fa_caturn(C17,F17))</f>
        <v>0.4536</v>
      </c>
      <c r="AK17" s="23">
        <f ca="1">IF(C17="","",[1]!hks_fa_faturn(C17,F17))</f>
        <v>17.376200000000001</v>
      </c>
      <c r="AL17" s="25">
        <f ca="1">IF(C17="","",[1]!hks_fa_assetsturn(C17,F17))</f>
        <v>0.34720000000000001</v>
      </c>
      <c r="AM17" s="23">
        <f ca="1">IF(C17="","",[1]!hks_fa_yoy_tr(C17,F17))</f>
        <v>17.364999999999998</v>
      </c>
      <c r="AN17" s="23">
        <f ca="1">IF(C17="","",[1]!hks_fa_yoy_or(C17,F17))</f>
        <v>17.364999999999998</v>
      </c>
      <c r="AO17" s="23">
        <f ca="1">IF(C17="","",[1]!hks_fa_yoyop2(C17,F17))</f>
        <v>38.743332949211137</v>
      </c>
      <c r="AP17" s="23">
        <f ca="1">IF(C17="","",[1]!hks_fa_yoyebt(C17,F17))</f>
        <v>15.989800000000001</v>
      </c>
      <c r="AQ17" s="23">
        <f ca="1">IF(C17="","",[1]!hks_fa_yoynetprofit(C17,F17))</f>
        <v>17.915199999999999</v>
      </c>
      <c r="AR17" s="23">
        <f ca="1">IF(C17="","",[1]!hks_fa_dupont_np(C17,F17))</f>
        <v>100.2492</v>
      </c>
      <c r="AS17" s="23">
        <f ca="1">IF(C17="","",[1]!hks_fa_dupont_taxburden(C17,F17))</f>
        <v>94.576499999999996</v>
      </c>
      <c r="AT17" s="23">
        <f ca="1">IF(C17="","",[1]!s_fa_dupont_nptosales(C17,F17))</f>
        <v>28.851400000000002</v>
      </c>
      <c r="AU17" s="23">
        <f ca="1">IF(C17="","",[1]!s_fa_dupont_roe(C17,F17))</f>
        <v>14.1137</v>
      </c>
      <c r="AV17" s="23">
        <f ca="1">IF(C17="","",[1]!hks_fa_dupont_intburden(C17,F17))</f>
        <v>100</v>
      </c>
      <c r="AW17" s="23">
        <f ca="1">IF(C17="","",[1]!hks_fa_dupont_assetstoequity(C17,F17))</f>
        <v>1.3940999999999999</v>
      </c>
      <c r="AX17" s="23">
        <f ca="1">IF(C17="","",[1]!s_fa_dupont_ebittosales(C17,F17))</f>
        <v>28.404699999999998</v>
      </c>
      <c r="AY17" s="23">
        <f ca="1">IF(C17="","",[1]!hks_fa_assetsturn(C17,F17))</f>
        <v>0.34720000000000001</v>
      </c>
      <c r="AZ17" s="23">
        <f ca="1">IF(C17="","",[1]!hks_fa_grossmargin2(C17,F17,"",100000000))</f>
        <v>38.489667199099998</v>
      </c>
      <c r="BA17" s="23">
        <f ca="1">IF(C17="","",[1]!hks_fa_ebit3(C17,F17,1,"",100000000))</f>
        <v>10.911181871199998</v>
      </c>
      <c r="BB17" s="23">
        <f ca="1">IF(C17="","",[1]!hks_fa_ebitda(C17,F17,1,"",100000000))</f>
        <v>14.701951255799999</v>
      </c>
      <c r="BC17" s="23">
        <f ca="1">IF(C17="","",[1]!hks_fa_ebit(C17,F17,1,"",100000000))</f>
        <v>13.898394719700001</v>
      </c>
      <c r="BD17" s="23">
        <f ca="1">IF(C17="","",[1]!hks_fa_ebitda(C17,F17,1,"",100000000))</f>
        <v>14.701951255799999</v>
      </c>
      <c r="BE17" s="23">
        <f ca="1">IF(C17="","",[1]!hks_fa_nogaapprofit(C17,F17,1,"",100000000))</f>
        <v>0</v>
      </c>
      <c r="BF17" s="23">
        <f ca="1">IF(C17="","",[1]!hks_fa_deductedprofit(C17,F17,1,"",100000000))</f>
        <v>13.311048766300001</v>
      </c>
      <c r="BG17" s="23">
        <f ca="1">IF(C17="","",[1]!hks_fa_retainedearnings2(C17,F17,"",100000000))</f>
        <v>40.930628096999996</v>
      </c>
      <c r="BH17" s="23">
        <f ca="1">IF(C17="","",[1]!hks_fa_workingcapital2(C17,F17,"",100000000))</f>
        <v>69.931729962999995</v>
      </c>
      <c r="BI17" s="23">
        <f ca="1">IF(C17="","",[1]!hks_fa_networkingcapital2(C17,F17,"",100000000))</f>
        <v>35.559848705699999</v>
      </c>
      <c r="BJ17" s="23">
        <f ca="1">IF(C17="","",[1]!hks_fa_investcapital2(C17,F17,"",100000000))</f>
        <v>99.855324565400011</v>
      </c>
      <c r="BK17" s="23">
        <f ca="1">IF(C17="","",[1]!hks_fa_tangibleasset2(C17,F17,"",100000000))</f>
        <v>96.363729049699998</v>
      </c>
      <c r="BL17" s="23">
        <f ca="1">IF(C17="","",[1]!hks_fa_netdebt2(C17,F17,"",100000000))</f>
        <v>-34.371881257300004</v>
      </c>
      <c r="BM17" s="23">
        <f ca="1">IF(C17="","",[1]!hks_fa_interestdebt2(C17,F17,"",100000000))</f>
        <v>0.36734728789999999</v>
      </c>
      <c r="BN17" s="23">
        <f ca="1">IF(C17="","",[1]!hks_fa_exinterestdebt_current(C17,F17,"",100000000))</f>
        <v>31.170530574000001</v>
      </c>
      <c r="BO17" s="23">
        <f ca="1">IF(C17="","",[1]!hks_fa_exinterestdebt_noncurrent2(C17,F17,"",100000000))</f>
        <v>8.0062728294000003</v>
      </c>
      <c r="BP17" s="23">
        <f ca="1">IF(C17="","",[1]!hks_fa_fcfe2(C17,F17,"",100000000))</f>
        <v>12.608923814400001</v>
      </c>
      <c r="BQ17" s="23">
        <f ca="1">IF(C17="","",[1]!hks_fa_fcff2(C17,F17,"",100000000))</f>
        <v>12.608923814400001</v>
      </c>
      <c r="BR17" s="35"/>
    </row>
    <row r="18" spans="1:70" s="36" customFormat="1" ht="16.5" x14ac:dyDescent="0.2">
      <c r="A18" s="2"/>
      <c r="B18" s="6"/>
      <c r="C18" s="28" t="str">
        <f>IF(表1[[#This Row],[列1]]="","",表1[[#This Row],[列1]])</f>
        <v>0700.HK</v>
      </c>
      <c r="D18" s="19" t="str">
        <f>IF(C18="","",[1]!hks_info_name(C18))</f>
        <v>腾讯控股</v>
      </c>
      <c r="E18" s="19" t="str">
        <f ca="1">IF(C18="","",[1]!lastradeday_s(C18,TODAY()))</f>
        <v>2024-12-06</v>
      </c>
      <c r="F18" s="49" t="str">
        <f ca="1">IF(C18="","",IF(OR([1]!s_stm_rpt_e(C18,基本资料!$I$8,0)="#N/A",[1]!s_stm_rpt_e(C18,基本资料!$I$8,0)="",[1]!s_stm_rpt_e(C18,基本资料!$I$8,0)=0),[1]!s_stm_rpt_e(C18,基本资料!$I$9,0),[1]!s_stm_rpt_e(C18,基本资料!$I$8,0)))</f>
        <v>2023-12-31</v>
      </c>
      <c r="G18" s="49" t="str">
        <f ca="1">IF(C18="","",[1]!hks_info_cur2(C18,F18))</f>
        <v>CNY</v>
      </c>
      <c r="H18" s="27">
        <f ca="1">IF(C18="","",[1]!hks_fa_eps_basic(C18,F18,""))</f>
        <v>12.186</v>
      </c>
      <c r="I18" s="23">
        <f ca="1">IF(C18="","",[1]!hks_fa_eps_adjust2(C18,F18,""))</f>
        <v>12.432299036500602</v>
      </c>
      <c r="J18" s="23">
        <f ca="1">IF(C18="","",[1]!hks_fa_bps(C18,F18,""))</f>
        <v>85.267490480000006</v>
      </c>
      <c r="K18" s="25">
        <f ca="1">IF(C18="","",[1]!hks_fa_ocfps(C18,F18,""))</f>
        <v>23.406323740000001</v>
      </c>
      <c r="L18" s="27">
        <f ca="1">IF(C18="","",[1]!hks_fa_grossprofitmargin(C18,F18))</f>
        <v>48.128399999999999</v>
      </c>
      <c r="M18" s="23">
        <f ca="1">IF(C18="","",[1]!hks_fa_netprofitmargin(C18,F18))</f>
        <v>19.383400000000002</v>
      </c>
      <c r="N18" s="23">
        <f ca="1">IF(C18="","",[1]!hks_fa_roe(C18,F18))</f>
        <v>15.0611</v>
      </c>
      <c r="O18" s="23">
        <f ca="1">IF(C18="","",[1]!hks_fa_roe_deducted(C18,F18))</f>
        <v>14.2111</v>
      </c>
      <c r="P18" s="23">
        <f ca="1">IF(C18="","",[1]!hks_fa_roa2(C18,F18))</f>
        <v>10.1035</v>
      </c>
      <c r="Q18" s="23">
        <f ca="1">IF(C18="","",[1]!hks_fa_roic(C18,F18))</f>
        <v>10.5299</v>
      </c>
      <c r="R18" s="23">
        <f ca="1">IF(C18="","",[1]!hks_fa_dupont_nptosales(C18,F18))</f>
        <v>19.383400000000002</v>
      </c>
      <c r="S18" s="23">
        <f ca="1">IF(C18="","",[1]!hks_fa_dupont_ebittosales(C18,F18))</f>
        <v>26.1736</v>
      </c>
      <c r="T18" s="25">
        <f ca="1">IF(C18="","",[1]!hks_fa_ebitdatosales(C18,F18))</f>
        <v>35.862663481195042</v>
      </c>
      <c r="U18" s="47">
        <f ca="1">IF(C18="","",[1]!hks_fa_optoebt(C18,F18))</f>
        <v>94.706299999999999</v>
      </c>
      <c r="V18" s="25">
        <f ca="1">IF(C18="","",[1]!hks_fa_ocftosales(C18,F18))</f>
        <v>36.446100000000001</v>
      </c>
      <c r="W18" s="27">
        <f ca="1">IF(C18="","",[1]!hks_fa_debttoassets(C18,F18))</f>
        <v>44.607199999999999</v>
      </c>
      <c r="X18" s="23">
        <f ca="1">IF(C18="","",[1]!s_fa_debttoeqy(C18,F18))</f>
        <v>0.87011233120329068</v>
      </c>
      <c r="Y18" s="23">
        <f ca="1">IF(C18="","",[1]!hks_fa_catoassets(C18,F18))</f>
        <v>32.8703</v>
      </c>
      <c r="Z18" s="23">
        <f ca="1">IF(C18="","",[1]!hks_fa_ncatoassets(C18,F18))</f>
        <v>67.1297</v>
      </c>
      <c r="AA18" s="23">
        <f ca="1">IF(C18="","",[1]!hks_fa_currentdebttodebt(C18,F18))</f>
        <v>50.053199999999997</v>
      </c>
      <c r="AB18" s="25">
        <f ca="1">IF(C18="","",[1]!hks_fa_longdebtodebt(C18,F18))</f>
        <v>49.946800000000003</v>
      </c>
      <c r="AC18" s="25">
        <f ca="1">IF(C18="","",[1]!hks_fa_current(C18,F18))</f>
        <v>1.4722</v>
      </c>
      <c r="AD18" s="25">
        <f ca="1">IF(C18="","",[1]!hks_fa_quick(C18,F18))</f>
        <v>1.4709000000000001</v>
      </c>
      <c r="AE18" s="25">
        <f ca="1">IF(C18="","",[1]!hks_fa_ebittointerest(C18,F18))</f>
        <v>-82.891800000000003</v>
      </c>
      <c r="AF18" s="25">
        <f ca="1">IF(C18="","",[1]!hks_fa_netdebtratio(C18,F18))</f>
        <v>18.557917592347778</v>
      </c>
      <c r="AG18" s="27">
        <f ca="1">IF(C18="","",[1]!hks_fa_arturn(C18,F18))</f>
        <v>13.228999999999999</v>
      </c>
      <c r="AH18" s="23">
        <f ca="1">IF(C18="","",[1]!hks_fa_apturn(C18,F18))</f>
        <v>2.8990712869833346</v>
      </c>
      <c r="AI18" s="23">
        <f ca="1">IF(C18="","",[1]!hks_fa_invturn(C18,F18))</f>
        <v>226.53710000000001</v>
      </c>
      <c r="AJ18" s="23">
        <f ca="1">IF(C18="","",[1]!hks_fa_caturn(C18,F18))</f>
        <v>1.1232</v>
      </c>
      <c r="AK18" s="23">
        <f ca="1">IF(C18="","",[1]!hks_fa_faturn(C18,F18))</f>
        <v>9.3679000000000006</v>
      </c>
      <c r="AL18" s="25">
        <f ca="1">IF(C18="","",[1]!hks_fa_assetsturn(C18,F18))</f>
        <v>0.38600000000000001</v>
      </c>
      <c r="AM18" s="23">
        <f ca="1">IF(C18="","",[1]!hks_fa_yoy_tr(C18,F18))</f>
        <v>9.8210999999999995</v>
      </c>
      <c r="AN18" s="23">
        <f ca="1">IF(C18="","",[1]!hks_fa_yoy_or(C18,F18))</f>
        <v>9.8210999999999995</v>
      </c>
      <c r="AO18" s="23">
        <f ca="1">IF(C18="","",[1]!hks_fa_yoyop2(C18,F18))</f>
        <v>53.231435792514134</v>
      </c>
      <c r="AP18" s="23">
        <f ca="1">IF(C18="","",[1]!hks_fa_yoyebt(C18,F18))</f>
        <v>-23.261299999999999</v>
      </c>
      <c r="AQ18" s="23">
        <f ca="1">IF(C18="","",[1]!hks_fa_yoynetprofit(C18,F18))</f>
        <v>-38.793999999999997</v>
      </c>
      <c r="AR18" s="23">
        <f ca="1">IF(C18="","",[1]!hks_fa_dupont_np(C18,F18))</f>
        <v>97.600999999999999</v>
      </c>
      <c r="AS18" s="23">
        <f ca="1">IF(C18="","",[1]!hks_fa_dupont_taxburden(C18,F18))</f>
        <v>73.174499999999995</v>
      </c>
      <c r="AT18" s="23">
        <f ca="1">IF(C18="","",[1]!s_fa_dupont_nptosales(C18,F18))</f>
        <v>19.383400000000002</v>
      </c>
      <c r="AU18" s="23">
        <f ca="1">IF(C18="","",[1]!s_fa_dupont_roe(C18,F18))</f>
        <v>15.0611</v>
      </c>
      <c r="AV18" s="23">
        <f ca="1">IF(C18="","",[1]!hks_fa_dupont_intburden(C18,F18))</f>
        <v>101.2064</v>
      </c>
      <c r="AW18" s="23">
        <f ca="1">IF(C18="","",[1]!hks_fa_dupont_assetstoequity(C18,F18))</f>
        <v>2.0623999999999998</v>
      </c>
      <c r="AX18" s="23">
        <f ca="1">IF(C18="","",[1]!s_fa_dupont_ebittosales(C18,F18))</f>
        <v>26.1736</v>
      </c>
      <c r="AY18" s="23">
        <f ca="1">IF(C18="","",[1]!hks_fa_assetsturn(C18,F18))</f>
        <v>0.38600000000000001</v>
      </c>
      <c r="AZ18" s="23">
        <f ca="1">IF(C18="","",[1]!hks_fa_grossmargin2(C18,F18,"",100000000))</f>
        <v>2931.09</v>
      </c>
      <c r="BA18" s="23">
        <f ca="1">IF(C18="","",[1]!hks_fa_ebit3(C18,F18,1,"",100000000))</f>
        <v>1527.84</v>
      </c>
      <c r="BB18" s="23">
        <f ca="1">IF(C18="","",[1]!hks_fa_ebitda(C18,F18,1,"",100000000))</f>
        <v>2184.09</v>
      </c>
      <c r="BC18" s="23">
        <f ca="1">IF(C18="","",[1]!hks_fa_ebit(C18,F18,1,"",100000000))</f>
        <v>1594.01</v>
      </c>
      <c r="BD18" s="23">
        <f ca="1">IF(C18="","",[1]!hks_fa_ebitda(C18,F18,1,"",100000000))</f>
        <v>2184.09</v>
      </c>
      <c r="BE18" s="23">
        <f ca="1">IF(C18="","",[1]!hks_fa_nogaapprofit(C18,F18,1,"",100000000))</f>
        <v>1617.34</v>
      </c>
      <c r="BF18" s="23">
        <f ca="1">IF(C18="","",[1]!hks_fa_deductedprofit(C18,F18,1,"",100000000))</f>
        <v>1087.1400000000001</v>
      </c>
      <c r="BG18" s="23">
        <f ca="1">IF(C18="","",[1]!hks_fa_retainedearnings2(C18,F18,"",100000000))</f>
        <v>8139.11</v>
      </c>
      <c r="BH18" s="23">
        <f ca="1">IF(C18="","",[1]!hks_fa_workingcapital2(C18,F18,"",100000000))</f>
        <v>1662.89</v>
      </c>
      <c r="BI18" s="23">
        <f ca="1">IF(C18="","",[1]!hks_fa_networkingcapital2(C18,F18,"",100000000))</f>
        <v>355.06</v>
      </c>
      <c r="BJ18" s="23">
        <f ca="1">IF(C18="","",[1]!hks_fa_investcapital2(C18,F18,"",100000000))</f>
        <v>11430.48</v>
      </c>
      <c r="BK18" s="23">
        <f ca="1">IF(C18="","",[1]!hks_fa_tangibleasset2(C18,F18,"",100000000))</f>
        <v>6104</v>
      </c>
      <c r="BL18" s="23">
        <f ca="1">IF(C18="","",[1]!hks_fa_netdebt2(C18,F18,"",100000000))</f>
        <v>1621.37</v>
      </c>
      <c r="BM18" s="23">
        <f ca="1">IF(C18="","",[1]!hks_fa_interestdebt2(C18,F18,"",100000000))</f>
        <v>3344.57</v>
      </c>
      <c r="BN18" s="23">
        <f ca="1">IF(C18="","",[1]!hks_fa_exinterestdebt_current(C18,F18,"",100000000))</f>
        <v>3106.2</v>
      </c>
      <c r="BO18" s="23">
        <f ca="1">IF(C18="","",[1]!hks_fa_exinterestdebt_noncurrent2(C18,F18,"",100000000))</f>
        <v>584.88</v>
      </c>
      <c r="BP18" s="23">
        <f ca="1">IF(C18="","",[1]!hks_fa_fcfe2(C18,F18,"",100000000))</f>
        <v>771.71899308224397</v>
      </c>
      <c r="BQ18" s="23">
        <f ca="1">IF(C18="","",[1]!hks_fa_fcff2(C18,F18,"",100000000))</f>
        <v>745.19899308224399</v>
      </c>
      <c r="BR18" s="35"/>
    </row>
    <row r="19" spans="1:70" s="36" customFormat="1" ht="16.5" x14ac:dyDescent="0.2">
      <c r="A19" s="2"/>
      <c r="B19" s="6"/>
      <c r="C19" s="28" t="str">
        <f>IF(表1[[#This Row],[列1]]="","",表1[[#This Row],[列1]])</f>
        <v>9896.HK</v>
      </c>
      <c r="D19" s="19" t="str">
        <f>IF(C19="","",[1]!hks_info_name(C19))</f>
        <v>名创优品</v>
      </c>
      <c r="E19" s="19" t="str">
        <f ca="1">IF(C19="","",[1]!lastradeday_s(C19,TODAY()))</f>
        <v>2024-12-06</v>
      </c>
      <c r="F19" s="49" t="str">
        <f ca="1">IF(C19="","",IF(OR([1]!s_stm_rpt_e(C19,基本资料!$I$8,0)="#N/A",[1]!s_stm_rpt_e(C19,基本资料!$I$8,0)="",[1]!s_stm_rpt_e(C19,基本资料!$I$8,0)=0),[1]!s_stm_rpt_e(C19,基本资料!$I$9,0),[1]!s_stm_rpt_e(C19,基本资料!$I$8,0)))</f>
        <v>2023-06-30</v>
      </c>
      <c r="G19" s="49" t="str">
        <f ca="1">IF(C19="","",[1]!hks_info_cur2(C19,F19))</f>
        <v>CNY</v>
      </c>
      <c r="H19" s="27">
        <f ca="1">IF(C19="","",[1]!hks_fa_eps_basic(C19,F19,""))</f>
        <v>0.61</v>
      </c>
      <c r="I19" s="23">
        <f ca="1">IF(C19="","",[1]!hks_fa_eps_adjust2(C19,F19,""))</f>
        <v>0.60821630328907317</v>
      </c>
      <c r="J19" s="23">
        <f ca="1">IF(C19="","",[1]!hks_fa_bps(C19,F19,""))</f>
        <v>6.1622003599999999</v>
      </c>
      <c r="K19" s="25">
        <f ca="1">IF(C19="","",[1]!hks_fa_ocfps(C19,F19,""))</f>
        <v>0.34195785000000001</v>
      </c>
      <c r="L19" s="27">
        <f ca="1">IF(C19="","",[1]!hks_fa_grossprofitmargin(C19,F19))</f>
        <v>37.700899999999997</v>
      </c>
      <c r="M19" s="23">
        <f ca="1">IF(C19="","",[1]!hks_fa_netprofitmargin(C19,F19))</f>
        <v>14.504099999999999</v>
      </c>
      <c r="N19" s="23">
        <f ca="1">IF(C19="","",[1]!hks_fa_roe(C19,F19))</f>
        <v>10.298400000000001</v>
      </c>
      <c r="O19" s="23">
        <f ca="1">IF(C19="","",[1]!hks_fa_roe_deducted(C19,F19))</f>
        <v>10.3484</v>
      </c>
      <c r="P19" s="23">
        <f ca="1">IF(C19="","",[1]!hks_fa_roa2(C19,F19))</f>
        <v>8.2225000000000001</v>
      </c>
      <c r="Q19" s="23">
        <f ca="1">IF(C19="","",[1]!hks_fa_roic(C19,F19))</f>
        <v>10.2887</v>
      </c>
      <c r="R19" s="23">
        <f ca="1">IF(C19="","",[1]!hks_fa_dupont_nptosales(C19,F19))</f>
        <v>14.504099999999999</v>
      </c>
      <c r="S19" s="23">
        <f ca="1">IF(C19="","",[1]!hks_fa_dupont_ebittosales(C19,F19))</f>
        <v>18.171500000000002</v>
      </c>
      <c r="T19" s="25">
        <f ca="1">IF(C19="","",[1]!hks_fa_ebitdatosales(C19,F19))</f>
        <v>0</v>
      </c>
      <c r="U19" s="47">
        <f ca="1">IF(C19="","",[1]!hks_fa_optoebt(C19,F19))</f>
        <v>86.892499999999998</v>
      </c>
      <c r="V19" s="25">
        <f ca="1">IF(C19="","",[1]!hks_fa_ocftosales(C19,F19))</f>
        <v>8.2260000000000009</v>
      </c>
      <c r="W19" s="27">
        <f ca="1">IF(C19="","",[1]!hks_fa_debttoassets(C19,F19))</f>
        <v>34.910600000000002</v>
      </c>
      <c r="X19" s="23">
        <f ca="1">IF(C19="","",[1]!s_fa_debttoeqy(C19,F19))</f>
        <v>0.53645766690041852</v>
      </c>
      <c r="Y19" s="23">
        <f ca="1">IF(C19="","",[1]!hks_fa_catoassets(C19,F19))</f>
        <v>72.88</v>
      </c>
      <c r="Z19" s="23">
        <f ca="1">IF(C19="","",[1]!hks_fa_ncatoassets(C19,F19))</f>
        <v>27.12</v>
      </c>
      <c r="AA19" s="23">
        <f ca="1">IF(C19="","",[1]!hks_fa_currentdebttodebt(C19,F19))</f>
        <v>88.616200000000006</v>
      </c>
      <c r="AB19" s="25">
        <f ca="1">IF(C19="","",[1]!hks_fa_longdebtodebt(C19,F19))</f>
        <v>11.383800000000001</v>
      </c>
      <c r="AC19" s="25">
        <f ca="1">IF(C19="","",[1]!hks_fa_current(C19,F19))</f>
        <v>2.3557999999999999</v>
      </c>
      <c r="AD19" s="25">
        <f ca="1">IF(C19="","",[1]!hks_fa_quick(C19,F19))</f>
        <v>1.9583999999999999</v>
      </c>
      <c r="AE19" s="25">
        <f ca="1">IF(C19="","",[1]!hks_fa_ebittointerest(C19,F19))</f>
        <v>-19.799099999999999</v>
      </c>
      <c r="AF19" s="25">
        <f ca="1">IF(C19="","",[1]!hks_fa_netdebtratio(C19,F19))</f>
        <v>-66.328417099851237</v>
      </c>
      <c r="AG19" s="27">
        <f ca="1">IF(C19="","",[1]!hks_fa_arturn(C19,F19))</f>
        <v>7.0968</v>
      </c>
      <c r="AH19" s="23">
        <f ca="1">IF(C19="","",[1]!hks_fa_apturn(C19,F19))</f>
        <v>1.8213926983158648</v>
      </c>
      <c r="AI19" s="23">
        <f ca="1">IF(C19="","",[1]!hks_fa_invturn(C19,F19))</f>
        <v>2.4643999999999999</v>
      </c>
      <c r="AJ19" s="23">
        <f ca="1">IF(C19="","",[1]!hks_fa_caturn(C19,F19))</f>
        <v>0.62639999999999996</v>
      </c>
      <c r="AK19" s="23">
        <f ca="1">IF(C19="","",[1]!hks_fa_faturn(C19,F19))</f>
        <v>11.8675</v>
      </c>
      <c r="AL19" s="25">
        <f ca="1">IF(C19="","",[1]!hks_fa_assetsturn(C19,F19))</f>
        <v>0.45250000000000001</v>
      </c>
      <c r="AM19" s="23">
        <f ca="1">IF(C19="","",[1]!hks_fa_yoy_tr(C19,F19))</f>
        <v>-2.9487999999999999</v>
      </c>
      <c r="AN19" s="23">
        <f ca="1">IF(C19="","",[1]!hks_fa_yoy_or(C19,F19))</f>
        <v>-2.9487999999999999</v>
      </c>
      <c r="AO19" s="23">
        <f ca="1">IF(C19="","",[1]!hks_fa_yoyop2(C19,F19))</f>
        <v>101.74978754064439</v>
      </c>
      <c r="AP19" s="23">
        <f ca="1">IF(C19="","",[1]!hks_fa_yoyebt(C19,F19))</f>
        <v>113.93680000000001</v>
      </c>
      <c r="AQ19" s="23">
        <f ca="1">IF(C19="","",[1]!hks_fa_yoynetprofit(C19,F19))</f>
        <v>126.8817</v>
      </c>
      <c r="AR19" s="23">
        <f ca="1">IF(C19="","",[1]!hks_fa_dupont_np(C19,F19))</f>
        <v>100.0234</v>
      </c>
      <c r="AS19" s="23">
        <f ca="1">IF(C19="","",[1]!hks_fa_dupont_taxburden(C19,F19))</f>
        <v>75.980099999999993</v>
      </c>
      <c r="AT19" s="23">
        <f ca="1">IF(C19="","",[1]!s_fa_dupont_nptosales(C19,F19))</f>
        <v>14.504099999999999</v>
      </c>
      <c r="AU19" s="23">
        <f ca="1">IF(C19="","",[1]!s_fa_dupont_roe(C19,F19))</f>
        <v>10.298400000000001</v>
      </c>
      <c r="AV19" s="23">
        <f ca="1">IF(C19="","",[1]!hks_fa_dupont_intburden(C19,F19))</f>
        <v>105.05070000000001</v>
      </c>
      <c r="AW19" s="23">
        <f ca="1">IF(C19="","",[1]!hks_fa_dupont_assetstoequity(C19,F19))</f>
        <v>1.5688</v>
      </c>
      <c r="AX19" s="23">
        <f ca="1">IF(C19="","",[1]!s_fa_dupont_ebittosales(C19,F19))</f>
        <v>18.171500000000002</v>
      </c>
      <c r="AY19" s="23">
        <f ca="1">IF(C19="","",[1]!hks_fa_assetsturn(C19,F19))</f>
        <v>0.45250000000000001</v>
      </c>
      <c r="AZ19" s="23">
        <f ca="1">IF(C19="","",[1]!hks_fa_grossmargin2(C19,F19,"",100000000))</f>
        <v>19.8566</v>
      </c>
      <c r="BA19" s="23">
        <f ca="1">IF(C19="","",[1]!hks_fa_ebit3(C19,F19,1,"",100000000))</f>
        <v>8.7362500000000001</v>
      </c>
      <c r="BB19" s="23">
        <f ca="1">IF(C19="","",[1]!hks_fa_ebitda(C19,F19,1,"",100000000))</f>
        <v>0</v>
      </c>
      <c r="BC19" s="23">
        <f ca="1">IF(C19="","",[1]!hks_fa_ebit(C19,F19,1,"",100000000))</f>
        <v>9.5707000000000004</v>
      </c>
      <c r="BD19" s="23">
        <f ca="1">IF(C19="","",[1]!hks_fa_ebitda(C19,F19,1,"",100000000))</f>
        <v>0</v>
      </c>
      <c r="BE19" s="23">
        <f ca="1">IF(C19="","",[1]!hks_fa_nogaapprofit(C19,F19,1,"",100000000))</f>
        <v>0</v>
      </c>
      <c r="BF19" s="23">
        <f ca="1">IF(C19="","",[1]!hks_fa_deductedprofit(C19,F19,1,"",100000000))</f>
        <v>7.6780600000000003</v>
      </c>
      <c r="BG19" s="23">
        <f ca="1">IF(C19="","",[1]!hks_fa_retainedearnings2(C19,F19,"",100000000))</f>
        <v>-11.964029999999999</v>
      </c>
      <c r="BH19" s="23">
        <f ca="1">IF(C19="","",[1]!hks_fa_workingcapital2(C19,F19,"",100000000))</f>
        <v>50.321339999999999</v>
      </c>
      <c r="BI19" s="23">
        <f ca="1">IF(C19="","",[1]!hks_fa_networkingcapital2(C19,F19,"",100000000))</f>
        <v>-1.54467</v>
      </c>
      <c r="BJ19" s="23">
        <f ca="1">IF(C19="","",[1]!hks_fa_investcapital2(C19,F19,"",100000000))</f>
        <v>78.144220000000004</v>
      </c>
      <c r="BK19" s="23">
        <f ca="1">IF(C19="","",[1]!hks_fa_tangibleasset2(C19,F19,"",100000000))</f>
        <v>54.160829999999997</v>
      </c>
      <c r="BL19" s="23">
        <f ca="1">IF(C19="","",[1]!hks_fa_netdebt2(C19,F19,"",100000000))</f>
        <v>-51.796039999999998</v>
      </c>
      <c r="BM19" s="23">
        <f ca="1">IF(C19="","",[1]!hks_fa_interestdebt2(C19,F19,"",100000000))</f>
        <v>6.9970000000000004E-2</v>
      </c>
      <c r="BN19" s="23">
        <f ca="1">IF(C19="","",[1]!hks_fa_exinterestdebt_current(C19,F19,"",100000000))</f>
        <v>37.115580000000001</v>
      </c>
      <c r="BO19" s="23">
        <f ca="1">IF(C19="","",[1]!hks_fa_exinterestdebt_noncurrent2(C19,F19,"",100000000))</f>
        <v>4.6979800000000003</v>
      </c>
      <c r="BP19" s="23">
        <f ca="1">IF(C19="","",[1]!hks_fa_fcfe2(C19,F19,"",100000000))</f>
        <v>-4.9440364596899995</v>
      </c>
      <c r="BQ19" s="23">
        <f ca="1">IF(C19="","",[1]!hks_fa_fcff2(C19,F19,"",100000000))</f>
        <v>-3.23939645969</v>
      </c>
      <c r="BR19" s="35"/>
    </row>
    <row r="20" spans="1:70" s="36" customFormat="1" ht="16.5" x14ac:dyDescent="0.2">
      <c r="A20" s="2"/>
      <c r="B20" s="6"/>
      <c r="C20" s="28" t="str">
        <f>IF(表1[[#This Row],[列1]]="","",表1[[#This Row],[列1]])</f>
        <v>9999.HK</v>
      </c>
      <c r="D20" s="19" t="str">
        <f>IF(C20="","",[1]!hks_info_name(C20))</f>
        <v>网易-S</v>
      </c>
      <c r="E20" s="19" t="str">
        <f ca="1">IF(C20="","",[1]!lastradeday_s(C20,TODAY()))</f>
        <v>2024-12-09</v>
      </c>
      <c r="F20" s="49" t="str">
        <f ca="1">IF(C20="","",IF(OR([1]!s_stm_rpt_e(C20,基本资料!$I$8,0)="#N/A",[1]!s_stm_rpt_e(C20,基本资料!$I$8,0)="",[1]!s_stm_rpt_e(C20,基本资料!$I$8,0)=0),[1]!s_stm_rpt_e(C20,基本资料!$I$9,0),[1]!s_stm_rpt_e(C20,基本资料!$I$8,0)))</f>
        <v>2023-12-31</v>
      </c>
      <c r="G20" s="49" t="str">
        <f ca="1">IF(C20="","",[1]!hks_info_cur2(C20,F20))</f>
        <v>CNY</v>
      </c>
      <c r="H20" s="27">
        <f ca="1">IF(C20="","",[1]!hks_fa_eps_basic(C20,F20,""))</f>
        <v>9.0500000000000007</v>
      </c>
      <c r="I20" s="23">
        <f ca="1">IF(C20="","",[1]!hks_fa_eps_adjust2(C20,F20,""))</f>
        <v>9.1617996944004751</v>
      </c>
      <c r="J20" s="23">
        <f ca="1">IF(C20="","",[1]!hks_fa_bps(C20,F20,""))</f>
        <v>38.70886651</v>
      </c>
      <c r="K20" s="25">
        <f ca="1">IF(C20="","",[1]!hks_fa_ocfps(C20,F20,""))</f>
        <v>11.003943100000001</v>
      </c>
      <c r="L20" s="27">
        <f ca="1">IF(C20="","",[1]!hks_fa_grossprofitmargin(C20,F20))</f>
        <v>60.949599999999997</v>
      </c>
      <c r="M20" s="23">
        <f ca="1">IF(C20="","",[1]!hks_fa_netprofitmargin(C20,F20))</f>
        <v>28.373200000000001</v>
      </c>
      <c r="N20" s="23">
        <f ca="1">IF(C20="","",[1]!hks_fa_roe(C20,F20))</f>
        <v>25.689399999999999</v>
      </c>
      <c r="O20" s="23">
        <f ca="1">IF(C20="","",[1]!hks_fa_roe_deducted(C20,F20))</f>
        <v>25.689399999999999</v>
      </c>
      <c r="P20" s="23">
        <f ca="1">IF(C20="","",[1]!hks_fa_roa2(C20,F20))</f>
        <v>18.989799999999999</v>
      </c>
      <c r="Q20" s="23">
        <f ca="1">IF(C20="","",[1]!hks_fa_roic(C20,F20))</f>
        <v>21.299700000000001</v>
      </c>
      <c r="R20" s="23">
        <f ca="1">IF(C20="","",[1]!hks_fa_dupont_nptosales(C20,F20))</f>
        <v>28.373200000000001</v>
      </c>
      <c r="S20" s="23">
        <f ca="1">IF(C20="","",[1]!hks_fa_dupont_ebittosales(C20,F20))</f>
        <v>32.915399999999998</v>
      </c>
      <c r="T20" s="25">
        <f ca="1">IF(C20="","",[1]!hks_fa_ebitdatosales(C20,F20))</f>
        <v>35.868220096580629</v>
      </c>
      <c r="U20" s="47">
        <f ca="1">IF(C20="","",[1]!hks_fa_optoebt(C20,F20))</f>
        <v>81.3613</v>
      </c>
      <c r="V20" s="25">
        <f ca="1">IF(C20="","",[1]!hks_fa_ocftosales(C20,F20))</f>
        <v>34.146999999999998</v>
      </c>
      <c r="W20" s="27">
        <f ca="1">IF(C20="","",[1]!hks_fa_debttoassets(C20,F20))</f>
        <v>31.1098</v>
      </c>
      <c r="X20" s="23">
        <f ca="1">IF(C20="","",[1]!s_fa_debttoeqy(C20,F20))</f>
        <v>0.46538629649783897</v>
      </c>
      <c r="Y20" s="23">
        <f ca="1">IF(C20="","",[1]!hks_fa_catoassets(C20,F20))</f>
        <v>76.747399999999999</v>
      </c>
      <c r="Z20" s="23">
        <f ca="1">IF(C20="","",[1]!hks_fa_ncatoassets(C20,F20))</f>
        <v>23.252600000000001</v>
      </c>
      <c r="AA20" s="23">
        <f ca="1">IF(C20="","",[1]!hks_fa_currentdebttodebt(C20,F20))</f>
        <v>93.087199999999996</v>
      </c>
      <c r="AB20" s="25">
        <f ca="1">IF(C20="","",[1]!hks_fa_longdebtodebt(C20,F20))</f>
        <v>6.9127999999999998</v>
      </c>
      <c r="AC20" s="25">
        <f ca="1">IF(C20="","",[1]!hks_fa_current(C20,F20))</f>
        <v>2.6501999999999999</v>
      </c>
      <c r="AD20" s="25">
        <f ca="1">IF(C20="","",[1]!hks_fa_quick(C20,F20))</f>
        <v>2.6373000000000002</v>
      </c>
      <c r="AE20" s="25">
        <f ca="1">IF(C20="","",[1]!hks_fa_ebittointerest(C20,F20))</f>
        <v>0</v>
      </c>
      <c r="AF20" s="25">
        <f ca="1">IF(C20="","",[1]!hks_fa_netdebtratio(C20,F20))</f>
        <v>-1.3746766860122135</v>
      </c>
      <c r="AG20" s="27">
        <f ca="1">IF(C20="","",[1]!hks_fa_arturn(C20,F20))</f>
        <v>18.112100000000002</v>
      </c>
      <c r="AH20" s="23">
        <f ca="1">IF(C20="","",[1]!hks_fa_apturn(C20,F20))</f>
        <v>33.837612016295409</v>
      </c>
      <c r="AI20" s="23">
        <f ca="1">IF(C20="","",[1]!hks_fa_invturn(C20,F20))</f>
        <v>47.844299999999997</v>
      </c>
      <c r="AJ20" s="23">
        <f ca="1">IF(C20="","",[1]!hks_fa_caturn(C20,F20))</f>
        <v>0.75439999999999996</v>
      </c>
      <c r="AK20" s="23">
        <f ca="1">IF(C20="","",[1]!hks_fa_faturn(C20,F20))</f>
        <v>14.353300000000001</v>
      </c>
      <c r="AL20" s="25">
        <f ca="1">IF(C20="","",[1]!hks_fa_assetsturn(C20,F20))</f>
        <v>0.57689999999999997</v>
      </c>
      <c r="AM20" s="23">
        <f ca="1">IF(C20="","",[1]!hks_fa_yoy_tr(C20,F20))</f>
        <v>7.2255000000000003</v>
      </c>
      <c r="AN20" s="23">
        <f ca="1">IF(C20="","",[1]!hks_fa_yoy_or(C20,F20))</f>
        <v>7.2255000000000003</v>
      </c>
      <c r="AO20" s="23">
        <f ca="1">IF(C20="","",[1]!hks_fa_yoyop2(C20,F20))</f>
        <v>41.167245150989679</v>
      </c>
      <c r="AP20" s="23">
        <f ca="1">IF(C20="","",[1]!hks_fa_yoyebt(C20,F20))</f>
        <v>40.439399999999999</v>
      </c>
      <c r="AQ20" s="23">
        <f ca="1">IF(C20="","",[1]!hks_fa_yoynetprofit(C20,F20))</f>
        <v>44.641199999999998</v>
      </c>
      <c r="AR20" s="23">
        <f ca="1">IF(C20="","",[1]!hks_fa_dupont_np(C20,F20))</f>
        <v>100.2021</v>
      </c>
      <c r="AS20" s="23">
        <f ca="1">IF(C20="","",[1]!hks_fa_dupont_taxburden(C20,F20))</f>
        <v>86.200400000000002</v>
      </c>
      <c r="AT20" s="23">
        <f ca="1">IF(C20="","",[1]!s_fa_dupont_nptosales(C20,F20))</f>
        <v>28.373200000000001</v>
      </c>
      <c r="AU20" s="23">
        <f ca="1">IF(C20="","",[1]!s_fa_dupont_roe(C20,F20))</f>
        <v>25.689399999999999</v>
      </c>
      <c r="AV20" s="23">
        <f ca="1">IF(C20="","",[1]!hks_fa_dupont_intburden(C20,F20))</f>
        <v>100</v>
      </c>
      <c r="AW20" s="23">
        <f ca="1">IF(C20="","",[1]!hks_fa_dupont_assetstoequity(C20,F20))</f>
        <v>1.5662</v>
      </c>
      <c r="AX20" s="23">
        <f ca="1">IF(C20="","",[1]!s_fa_dupont_ebittosales(C20,F20))</f>
        <v>32.915399999999998</v>
      </c>
      <c r="AY20" s="23">
        <f ca="1">IF(C20="","",[1]!hks_fa_assetsturn(C20,F20))</f>
        <v>0.57689999999999997</v>
      </c>
      <c r="AZ20" s="23">
        <f ca="1">IF(C20="","",[1]!hks_fa_grossmargin2(C20,F20,"",100000000))</f>
        <v>630.63394000000005</v>
      </c>
      <c r="BA20" s="23">
        <f ca="1">IF(C20="","",[1]!hks_fa_ebit3(C20,F20,1,"",100000000))</f>
        <v>277.09143999999998</v>
      </c>
      <c r="BB20" s="23">
        <f ca="1">IF(C20="","",[1]!hks_fa_ebitda(C20,F20,1,"",100000000))</f>
        <v>371.12187</v>
      </c>
      <c r="BC20" s="23">
        <f ca="1">IF(C20="","",[1]!hks_fa_ebit(C20,F20,1,"",100000000))</f>
        <v>340.56927000000002</v>
      </c>
      <c r="BD20" s="23">
        <f ca="1">IF(C20="","",[1]!hks_fa_ebitda(C20,F20,1,"",100000000))</f>
        <v>371.12187</v>
      </c>
      <c r="BE20" s="23">
        <f ca="1">IF(C20="","",[1]!hks_fa_nogaapprofit(C20,F20,1,"",100000000))</f>
        <v>326.08305000000001</v>
      </c>
      <c r="BF20" s="23">
        <f ca="1">IF(C20="","",[1]!hks_fa_deductedprofit(C20,F20,1,"",100000000))</f>
        <v>294.16552000000001</v>
      </c>
      <c r="BG20" s="23">
        <f ca="1">IF(C20="","",[1]!hks_fa_retainedearnings2(C20,F20,"",100000000))</f>
        <v>1122.1458299999999</v>
      </c>
      <c r="BH20" s="23">
        <f ca="1">IF(C20="","",[1]!hks_fa_workingcapital2(C20,F20,"",100000000))</f>
        <v>888.50100999999995</v>
      </c>
      <c r="BI20" s="23">
        <f ca="1">IF(C20="","",[1]!hks_fa_networkingcapital2(C20,F20,"",100000000))</f>
        <v>866.61361999999997</v>
      </c>
      <c r="BJ20" s="23">
        <f ca="1">IF(C20="","",[1]!hks_fa_investcapital2(C20,F20,"",100000000))</f>
        <v>1439.53936</v>
      </c>
      <c r="BK20" s="23">
        <f ca="1">IF(C20="","",[1]!hks_fa_tangibleasset2(C20,F20,"",100000000))</f>
        <v>1235.36501</v>
      </c>
      <c r="BL20" s="23">
        <f ca="1">IF(C20="","",[1]!hks_fa_netdebt2(C20,F20,"",100000000))</f>
        <v>-17.607420000000001</v>
      </c>
      <c r="BM20" s="23">
        <f ca="1">IF(C20="","",[1]!hks_fa_interestdebt2(C20,F20,"",100000000))</f>
        <v>196.6816</v>
      </c>
      <c r="BN20" s="23">
        <f ca="1">IF(C20="","",[1]!hks_fa_exinterestdebt_current(C20,F20,"",100000000))</f>
        <v>346.02321000000001</v>
      </c>
      <c r="BO20" s="23">
        <f ca="1">IF(C20="","",[1]!hks_fa_exinterestdebt_noncurrent2(C20,F20,"",100000000))</f>
        <v>35.704160000000002</v>
      </c>
      <c r="BP20" s="23">
        <f ca="1">IF(C20="","",[1]!hks_fa_fcfe2(C20,F20,"",100000000))</f>
        <v>14.594667369037001</v>
      </c>
      <c r="BQ20" s="23">
        <f ca="1">IF(C20="","",[1]!hks_fa_fcff2(C20,F20,"",100000000))</f>
        <v>97.644827369037003</v>
      </c>
      <c r="BR20" s="35"/>
    </row>
    <row r="21" spans="1:70" s="36" customFormat="1" ht="16.5" x14ac:dyDescent="0.2">
      <c r="A21" s="2"/>
      <c r="B21" s="6"/>
      <c r="C21" s="28" t="str">
        <f>IF(表1[[#This Row],[列1]]="","",表1[[#This Row],[列1]])</f>
        <v/>
      </c>
      <c r="D21" s="19" t="str">
        <f>IF(C21="","",[1]!hks_info_name(C21))</f>
        <v/>
      </c>
      <c r="E21" s="19" t="str">
        <f ca="1">IF(C21="","",[1]!lastradeday_s(C21,TODAY()))</f>
        <v/>
      </c>
      <c r="F21" s="49" t="str">
        <f>IF(C21="","",IF(OR([1]!s_stm_rpt_e(C21,基本资料!$I$8,0)="#N/A",[1]!s_stm_rpt_e(C21,基本资料!$I$8,0)="",[1]!s_stm_rpt_e(C21,基本资料!$I$8,0)=0),[1]!s_stm_rpt_e(C21,基本资料!$I$9,0),[1]!s_stm_rpt_e(C21,基本资料!$I$8,0)))</f>
        <v/>
      </c>
      <c r="G21" s="49" t="str">
        <f>IF(C21="","",[1]!hks_info_cur2(C21,F21))</f>
        <v/>
      </c>
      <c r="H21" s="27" t="str">
        <f>IF(C21="","",[1]!hks_fa_eps_basic(C21,F21,""))</f>
        <v/>
      </c>
      <c r="I21" s="23" t="str">
        <f>IF(C21="","",[1]!hks_fa_eps_adjust2(C21,F21,""))</f>
        <v/>
      </c>
      <c r="J21" s="23" t="str">
        <f>IF(C21="","",[1]!hks_fa_bps(C21,F21,""))</f>
        <v/>
      </c>
      <c r="K21" s="25" t="str">
        <f>IF(C21="","",[1]!hks_fa_ocfps(C21,F21,""))</f>
        <v/>
      </c>
      <c r="L21" s="27" t="str">
        <f>IF(C21="","",[1]!hks_fa_grossprofitmargin(C21,F21))</f>
        <v/>
      </c>
      <c r="M21" s="23" t="str">
        <f>IF(C21="","",[1]!hks_fa_netprofitmargin(C21,F21))</f>
        <v/>
      </c>
      <c r="N21" s="23" t="str">
        <f>IF(C21="","",[1]!hks_fa_roe(C21,F21))</f>
        <v/>
      </c>
      <c r="O21" s="23" t="str">
        <f>IF(C21="","",[1]!hks_fa_roe_deducted(C21,F21))</f>
        <v/>
      </c>
      <c r="P21" s="23" t="str">
        <f>IF(C21="","",[1]!hks_fa_roa2(C21,F21))</f>
        <v/>
      </c>
      <c r="Q21" s="23" t="str">
        <f>IF(C21="","",[1]!hks_fa_roic(C21,F21))</f>
        <v/>
      </c>
      <c r="R21" s="23" t="str">
        <f>IF(C21="","",[1]!hks_fa_dupont_nptosales(C21,F21))</f>
        <v/>
      </c>
      <c r="S21" s="23" t="str">
        <f>IF(C21="","",[1]!hks_fa_dupont_ebittosales(C21,F21))</f>
        <v/>
      </c>
      <c r="T21" s="25" t="str">
        <f>IF(C21="","",[1]!hks_fa_ebitdatosales(C21,F21))</f>
        <v/>
      </c>
      <c r="U21" s="47" t="str">
        <f>IF(C21="","",[1]!hks_fa_optoebt(C21,F21))</f>
        <v/>
      </c>
      <c r="V21" s="25" t="str">
        <f>IF(C21="","",[1]!hks_fa_ocftosales(C21,F21))</f>
        <v/>
      </c>
      <c r="W21" s="27" t="str">
        <f>IF(C21="","",[1]!hks_fa_debttoassets(C21,F21))</f>
        <v/>
      </c>
      <c r="X21" s="23" t="str">
        <f>IF(C21="","",[1]!s_fa_debttoeqy(C21,F21))</f>
        <v/>
      </c>
      <c r="Y21" s="23" t="str">
        <f>IF(C21="","",[1]!hks_fa_catoassets(C21,F21))</f>
        <v/>
      </c>
      <c r="Z21" s="23" t="str">
        <f>IF(C21="","",[1]!hks_fa_ncatoassets(C21,F21))</f>
        <v/>
      </c>
      <c r="AA21" s="23" t="str">
        <f>IF(C21="","",[1]!hks_fa_currentdebttodebt(C21,F21))</f>
        <v/>
      </c>
      <c r="AB21" s="25" t="str">
        <f>IF(C21="","",[1]!hks_fa_longdebtodebt(C21,F21))</f>
        <v/>
      </c>
      <c r="AC21" s="25" t="str">
        <f>IF(C21="","",[1]!hks_fa_current(C21,F21))</f>
        <v/>
      </c>
      <c r="AD21" s="25" t="str">
        <f>IF(C21="","",[1]!hks_fa_quick(C21,F21))</f>
        <v/>
      </c>
      <c r="AE21" s="25" t="str">
        <f>IF(C21="","",[1]!hks_fa_ebittointerest(C21,F21))</f>
        <v/>
      </c>
      <c r="AF21" s="25" t="str">
        <f>IF(C21="","",[1]!hks_fa_netdebtratio(C21,F21))</f>
        <v/>
      </c>
      <c r="AG21" s="27" t="str">
        <f>IF(C21="","",[1]!hks_fa_arturn(C21,F21))</f>
        <v/>
      </c>
      <c r="AH21" s="23" t="str">
        <f>IF(C21="","",[1]!hks_fa_apturn(C21,F21))</f>
        <v/>
      </c>
      <c r="AI21" s="23" t="str">
        <f>IF(C21="","",[1]!hks_fa_invturn(C21,F21))</f>
        <v/>
      </c>
      <c r="AJ21" s="23" t="str">
        <f>IF(C21="","",[1]!hks_fa_caturn(C21,F21))</f>
        <v/>
      </c>
      <c r="AK21" s="23" t="str">
        <f>IF(C21="","",[1]!hks_fa_faturn(C21,F21))</f>
        <v/>
      </c>
      <c r="AL21" s="25" t="str">
        <f>IF(C21="","",[1]!hks_fa_assetsturn(C21,F21))</f>
        <v/>
      </c>
      <c r="AM21" s="23" t="str">
        <f>IF(C21="","",[1]!hks_fa_yoy_tr(C21,F21))</f>
        <v/>
      </c>
      <c r="AN21" s="23" t="str">
        <f>IF(C21="","",[1]!hks_fa_yoy_or(C21,F21))</f>
        <v/>
      </c>
      <c r="AO21" s="23" t="str">
        <f>IF(C21="","",[1]!hks_fa_yoyop2(C21,F21))</f>
        <v/>
      </c>
      <c r="AP21" s="23" t="str">
        <f>IF(C21="","",[1]!hks_fa_yoyebt(C21,F21))</f>
        <v/>
      </c>
      <c r="AQ21" s="23" t="str">
        <f>IF(C21="","",[1]!hks_fa_yoynetprofit(C21,F21))</f>
        <v/>
      </c>
      <c r="AR21" s="23" t="str">
        <f>IF(C21="","",[1]!hks_fa_dupont_np(C21,F21))</f>
        <v/>
      </c>
      <c r="AS21" s="23" t="str">
        <f>IF(C21="","",[1]!hks_fa_dupont_taxburden(C21,F21))</f>
        <v/>
      </c>
      <c r="AT21" s="23" t="str">
        <f>IF(C21="","",[1]!s_fa_dupont_nptosales(C21,F21))</f>
        <v/>
      </c>
      <c r="AU21" s="23" t="str">
        <f>IF(C21="","",[1]!s_fa_dupont_roe(C21,F21))</f>
        <v/>
      </c>
      <c r="AV21" s="23" t="str">
        <f>IF(C21="","",[1]!hks_fa_dupont_intburden(C21,F21))</f>
        <v/>
      </c>
      <c r="AW21" s="23" t="str">
        <f>IF(C21="","",[1]!hks_fa_dupont_assetstoequity(C21,F21))</f>
        <v/>
      </c>
      <c r="AX21" s="23" t="str">
        <f>IF(C21="","",[1]!s_fa_dupont_ebittosales(C21,F21))</f>
        <v/>
      </c>
      <c r="AY21" s="23" t="str">
        <f>IF(C21="","",[1]!hks_fa_assetsturn(C21,F21))</f>
        <v/>
      </c>
      <c r="AZ21" s="23" t="str">
        <f>IF(C21="","",[1]!hks_fa_grossmargin2(C21,F21,"",100000000))</f>
        <v/>
      </c>
      <c r="BA21" s="23" t="str">
        <f>IF(C21="","",[1]!hks_fa_ebit3(C21,F21,1,"",100000000))</f>
        <v/>
      </c>
      <c r="BB21" s="23" t="str">
        <f>IF(C21="","",[1]!hks_fa_ebitda(C21,F21,1,"",100000000))</f>
        <v/>
      </c>
      <c r="BC21" s="23" t="str">
        <f>IF(C21="","",[1]!hks_fa_ebit(C21,F21,1,"",100000000))</f>
        <v/>
      </c>
      <c r="BD21" s="23" t="str">
        <f>IF(C21="","",[1]!hks_fa_ebitda(C21,F21,1,"",100000000))</f>
        <v/>
      </c>
      <c r="BE21" s="23" t="str">
        <f>IF(C21="","",[1]!hks_fa_nogaapprofit(C21,F21,1,"",100000000))</f>
        <v/>
      </c>
      <c r="BF21" s="23" t="str">
        <f>IF(C21="","",[1]!hks_fa_deductedprofit(C21,F21,1,"",100000000))</f>
        <v/>
      </c>
      <c r="BG21" s="23" t="str">
        <f>IF(C21="","",[1]!hks_fa_retainedearnings2(C21,F21,"",100000000))</f>
        <v/>
      </c>
      <c r="BH21" s="23" t="str">
        <f>IF(C21="","",[1]!hks_fa_workingcapital2(C21,F21,"",100000000))</f>
        <v/>
      </c>
      <c r="BI21" s="23" t="str">
        <f>IF(C21="","",[1]!hks_fa_networkingcapital2(C21,F21,"",100000000))</f>
        <v/>
      </c>
      <c r="BJ21" s="23" t="str">
        <f>IF(C21="","",[1]!hks_fa_investcapital2(C21,F21,"",100000000))</f>
        <v/>
      </c>
      <c r="BK21" s="23" t="str">
        <f>IF(C21="","",[1]!hks_fa_tangibleasset2(C21,F21,"",100000000))</f>
        <v/>
      </c>
      <c r="BL21" s="23" t="str">
        <f>IF(C21="","",[1]!hks_fa_netdebt2(C21,F21,"",100000000))</f>
        <v/>
      </c>
      <c r="BM21" s="23" t="str">
        <f>IF(C21="","",[1]!hks_fa_interestdebt2(C21,F21,"",100000000))</f>
        <v/>
      </c>
      <c r="BN21" s="23" t="str">
        <f>IF(C21="","",[1]!hks_fa_exinterestdebt_current(C21,F21,"",100000000))</f>
        <v/>
      </c>
      <c r="BO21" s="23" t="str">
        <f>IF(C21="","",[1]!hks_fa_exinterestdebt_noncurrent2(C21,F21,"",100000000))</f>
        <v/>
      </c>
      <c r="BP21" s="23" t="str">
        <f>IF(C21="","",[1]!hks_fa_fcfe2(C21,F21,"",100000000))</f>
        <v/>
      </c>
      <c r="BQ21" s="23" t="str">
        <f>IF(C21="","",[1]!hks_fa_fcff2(C21,F21,"",100000000))</f>
        <v/>
      </c>
      <c r="BR21" s="35"/>
    </row>
    <row r="22" spans="1:70" s="36" customFormat="1" ht="16.5" x14ac:dyDescent="0.2">
      <c r="A22" s="2"/>
      <c r="B22" s="6"/>
      <c r="C22" s="28" t="str">
        <f>IF(表1[[#This Row],[列1]]="","",表1[[#This Row],[列1]])</f>
        <v/>
      </c>
      <c r="D22" s="19" t="str">
        <f>IF(C22="","",[1]!hks_info_name(C22))</f>
        <v/>
      </c>
      <c r="E22" s="19" t="str">
        <f ca="1">IF(C22="","",[1]!lastradeday_s(C22,TODAY()))</f>
        <v/>
      </c>
      <c r="F22" s="49" t="str">
        <f>IF(C22="","",IF(OR([1]!s_stm_rpt_e(C22,基本资料!$I$8,0)="#N/A",[1]!s_stm_rpt_e(C22,基本资料!$I$8,0)="",[1]!s_stm_rpt_e(C22,基本资料!$I$8,0)=0),[1]!s_stm_rpt_e(C22,基本资料!$I$9,0),[1]!s_stm_rpt_e(C22,基本资料!$I$8,0)))</f>
        <v/>
      </c>
      <c r="G22" s="49" t="str">
        <f>IF(C22="","",[1]!hks_info_cur2(C22,F22))</f>
        <v/>
      </c>
      <c r="H22" s="27" t="str">
        <f>IF(C22="","",[1]!hks_fa_eps_basic(C22,F22,""))</f>
        <v/>
      </c>
      <c r="I22" s="23" t="str">
        <f>IF(C22="","",[1]!hks_fa_eps_adjust2(C22,F22,""))</f>
        <v/>
      </c>
      <c r="J22" s="23" t="str">
        <f>IF(C22="","",[1]!hks_fa_bps(C22,F22,""))</f>
        <v/>
      </c>
      <c r="K22" s="25" t="str">
        <f>IF(C22="","",[1]!hks_fa_ocfps(C22,F22,""))</f>
        <v/>
      </c>
      <c r="L22" s="27" t="str">
        <f>IF(C22="","",[1]!hks_fa_grossprofitmargin(C22,F22))</f>
        <v/>
      </c>
      <c r="M22" s="23" t="str">
        <f>IF(C22="","",[1]!hks_fa_netprofitmargin(C22,F22))</f>
        <v/>
      </c>
      <c r="N22" s="23" t="str">
        <f>IF(C22="","",[1]!hks_fa_roe(C22,F22))</f>
        <v/>
      </c>
      <c r="O22" s="23" t="str">
        <f>IF(C22="","",[1]!hks_fa_roe_deducted(C22,F22))</f>
        <v/>
      </c>
      <c r="P22" s="23" t="str">
        <f>IF(C22="","",[1]!hks_fa_roa2(C22,F22))</f>
        <v/>
      </c>
      <c r="Q22" s="23" t="str">
        <f>IF(C22="","",[1]!hks_fa_roic(C22,F22))</f>
        <v/>
      </c>
      <c r="R22" s="23" t="str">
        <f>IF(C22="","",[1]!hks_fa_dupont_nptosales(C22,F22))</f>
        <v/>
      </c>
      <c r="S22" s="23" t="str">
        <f>IF(C22="","",[1]!hks_fa_dupont_ebittosales(C22,F22))</f>
        <v/>
      </c>
      <c r="T22" s="25" t="str">
        <f>IF(C22="","",[1]!hks_fa_ebitdatosales(C22,F22))</f>
        <v/>
      </c>
      <c r="U22" s="47" t="str">
        <f>IF(C22="","",[1]!hks_fa_optoebt(C22,F22))</f>
        <v/>
      </c>
      <c r="V22" s="25" t="str">
        <f>IF(C22="","",[1]!hks_fa_ocftosales(C22,F22))</f>
        <v/>
      </c>
      <c r="W22" s="27" t="str">
        <f>IF(C22="","",[1]!hks_fa_debttoassets(C22,F22))</f>
        <v/>
      </c>
      <c r="X22" s="23" t="str">
        <f>IF(C22="","",[1]!s_fa_debttoeqy(C22,F22))</f>
        <v/>
      </c>
      <c r="Y22" s="23" t="str">
        <f>IF(C22="","",[1]!hks_fa_catoassets(C22,F22))</f>
        <v/>
      </c>
      <c r="Z22" s="23" t="str">
        <f>IF(C22="","",[1]!hks_fa_ncatoassets(C22,F22))</f>
        <v/>
      </c>
      <c r="AA22" s="23" t="str">
        <f>IF(C22="","",[1]!hks_fa_currentdebttodebt(C22,F22))</f>
        <v/>
      </c>
      <c r="AB22" s="25" t="str">
        <f>IF(C22="","",[1]!hks_fa_longdebtodebt(C22,F22))</f>
        <v/>
      </c>
      <c r="AC22" s="25" t="str">
        <f>IF(C22="","",[1]!hks_fa_current(C22,F22))</f>
        <v/>
      </c>
      <c r="AD22" s="25" t="str">
        <f>IF(C22="","",[1]!hks_fa_quick(C22,F22))</f>
        <v/>
      </c>
      <c r="AE22" s="25" t="str">
        <f>IF(C22="","",[1]!hks_fa_ebittointerest(C22,F22))</f>
        <v/>
      </c>
      <c r="AF22" s="25" t="str">
        <f>IF(C22="","",[1]!hks_fa_netdebtratio(C22,F22))</f>
        <v/>
      </c>
      <c r="AG22" s="27" t="str">
        <f>IF(C22="","",[1]!hks_fa_arturn(C22,F22))</f>
        <v/>
      </c>
      <c r="AH22" s="23" t="str">
        <f>IF(C22="","",[1]!hks_fa_apturn(C22,F22))</f>
        <v/>
      </c>
      <c r="AI22" s="23" t="str">
        <f>IF(C22="","",[1]!hks_fa_invturn(C22,F22))</f>
        <v/>
      </c>
      <c r="AJ22" s="23" t="str">
        <f>IF(C22="","",[1]!hks_fa_caturn(C22,F22))</f>
        <v/>
      </c>
      <c r="AK22" s="23" t="str">
        <f>IF(C22="","",[1]!hks_fa_faturn(C22,F22))</f>
        <v/>
      </c>
      <c r="AL22" s="25" t="str">
        <f>IF(C22="","",[1]!hks_fa_assetsturn(C22,F22))</f>
        <v/>
      </c>
      <c r="AM22" s="23" t="str">
        <f>IF(C22="","",[1]!hks_fa_yoy_tr(C22,F22))</f>
        <v/>
      </c>
      <c r="AN22" s="23" t="str">
        <f>IF(C22="","",[1]!hks_fa_yoy_or(C22,F22))</f>
        <v/>
      </c>
      <c r="AO22" s="23" t="str">
        <f>IF(C22="","",[1]!hks_fa_yoyop2(C22,F22))</f>
        <v/>
      </c>
      <c r="AP22" s="23" t="str">
        <f>IF(C22="","",[1]!hks_fa_yoyebt(C22,F22))</f>
        <v/>
      </c>
      <c r="AQ22" s="23" t="str">
        <f>IF(C22="","",[1]!hks_fa_yoynetprofit(C22,F22))</f>
        <v/>
      </c>
      <c r="AR22" s="23" t="str">
        <f>IF(C22="","",[1]!hks_fa_dupont_np(C22,F22))</f>
        <v/>
      </c>
      <c r="AS22" s="23" t="str">
        <f>IF(C22="","",[1]!hks_fa_dupont_taxburden(C22,F22))</f>
        <v/>
      </c>
      <c r="AT22" s="23" t="str">
        <f>IF(C22="","",[1]!s_fa_dupont_nptosales(C22,F22))</f>
        <v/>
      </c>
      <c r="AU22" s="23" t="str">
        <f>IF(C22="","",[1]!s_fa_dupont_roe(C22,F22))</f>
        <v/>
      </c>
      <c r="AV22" s="23" t="str">
        <f>IF(C22="","",[1]!hks_fa_dupont_intburden(C22,F22))</f>
        <v/>
      </c>
      <c r="AW22" s="23" t="str">
        <f>IF(C22="","",[1]!hks_fa_dupont_assetstoequity(C22,F22))</f>
        <v/>
      </c>
      <c r="AX22" s="23" t="str">
        <f>IF(C22="","",[1]!s_fa_dupont_ebittosales(C22,F22))</f>
        <v/>
      </c>
      <c r="AY22" s="23" t="str">
        <f>IF(C22="","",[1]!hks_fa_assetsturn(C22,F22))</f>
        <v/>
      </c>
      <c r="AZ22" s="23" t="str">
        <f>IF(C22="","",[1]!hks_fa_grossmargin2(C22,F22,"",100000000))</f>
        <v/>
      </c>
      <c r="BA22" s="23" t="str">
        <f>IF(C22="","",[1]!hks_fa_ebit3(C22,F22,1,"",100000000))</f>
        <v/>
      </c>
      <c r="BB22" s="23" t="str">
        <f>IF(C22="","",[1]!hks_fa_ebitda(C22,F22,1,"",100000000))</f>
        <v/>
      </c>
      <c r="BC22" s="23" t="str">
        <f>IF(C22="","",[1]!hks_fa_ebit(C22,F22,1,"",100000000))</f>
        <v/>
      </c>
      <c r="BD22" s="23" t="str">
        <f>IF(C22="","",[1]!hks_fa_ebitda(C22,F22,1,"",100000000))</f>
        <v/>
      </c>
      <c r="BE22" s="23" t="str">
        <f>IF(C22="","",[1]!hks_fa_nogaapprofit(C22,F22,1,"",100000000))</f>
        <v/>
      </c>
      <c r="BF22" s="23" t="str">
        <f>IF(C22="","",[1]!hks_fa_deductedprofit(C22,F22,1,"",100000000))</f>
        <v/>
      </c>
      <c r="BG22" s="23" t="str">
        <f>IF(C22="","",[1]!hks_fa_retainedearnings2(C22,F22,"",100000000))</f>
        <v/>
      </c>
      <c r="BH22" s="23" t="str">
        <f>IF(C22="","",[1]!hks_fa_workingcapital2(C22,F22,"",100000000))</f>
        <v/>
      </c>
      <c r="BI22" s="23" t="str">
        <f>IF(C22="","",[1]!hks_fa_networkingcapital2(C22,F22,"",100000000))</f>
        <v/>
      </c>
      <c r="BJ22" s="23" t="str">
        <f>IF(C22="","",[1]!hks_fa_investcapital2(C22,F22,"",100000000))</f>
        <v/>
      </c>
      <c r="BK22" s="23" t="str">
        <f>IF(C22="","",[1]!hks_fa_tangibleasset2(C22,F22,"",100000000))</f>
        <v/>
      </c>
      <c r="BL22" s="23" t="str">
        <f>IF(C22="","",[1]!hks_fa_netdebt2(C22,F22,"",100000000))</f>
        <v/>
      </c>
      <c r="BM22" s="23" t="str">
        <f>IF(C22="","",[1]!hks_fa_interestdebt2(C22,F22,"",100000000))</f>
        <v/>
      </c>
      <c r="BN22" s="23" t="str">
        <f>IF(C22="","",[1]!hks_fa_exinterestdebt_current(C22,F22,"",100000000))</f>
        <v/>
      </c>
      <c r="BO22" s="23" t="str">
        <f>IF(C22="","",[1]!hks_fa_exinterestdebt_noncurrent2(C22,F22,"",100000000))</f>
        <v/>
      </c>
      <c r="BP22" s="23" t="str">
        <f>IF(C22="","",[1]!hks_fa_fcfe2(C22,F22,"",100000000))</f>
        <v/>
      </c>
      <c r="BQ22" s="23" t="str">
        <f>IF(C22="","",[1]!hks_fa_fcff2(C22,F22,"",100000000))</f>
        <v/>
      </c>
      <c r="BR22" s="35"/>
    </row>
    <row r="23" spans="1:70" s="36" customFormat="1" ht="16.5" x14ac:dyDescent="0.2">
      <c r="A23" s="2"/>
      <c r="B23" s="6"/>
      <c r="C23" s="28" t="str">
        <f>IF(表1[[#This Row],[列1]]="","",表1[[#This Row],[列1]])</f>
        <v/>
      </c>
      <c r="D23" s="19" t="str">
        <f>IF(C23="","",[1]!hks_info_name(C23))</f>
        <v/>
      </c>
      <c r="E23" s="19" t="str">
        <f ca="1">IF(C23="","",[1]!lastradeday_s(C23,TODAY()))</f>
        <v/>
      </c>
      <c r="F23" s="49" t="str">
        <f>IF(C23="","",IF(OR([1]!s_stm_rpt_e(C23,基本资料!$I$8,0)="#N/A",[1]!s_stm_rpt_e(C23,基本资料!$I$8,0)="",[1]!s_stm_rpt_e(C23,基本资料!$I$8,0)=0),[1]!s_stm_rpt_e(C23,基本资料!$I$9,0),[1]!s_stm_rpt_e(C23,基本资料!$I$8,0)))</f>
        <v/>
      </c>
      <c r="G23" s="49" t="str">
        <f>IF(C23="","",[1]!hks_info_cur2(C23,F23))</f>
        <v/>
      </c>
      <c r="H23" s="27" t="str">
        <f>IF(C23="","",[1]!hks_fa_eps_basic(C23,F23,""))</f>
        <v/>
      </c>
      <c r="I23" s="23" t="str">
        <f>IF(C23="","",[1]!hks_fa_eps_adjust2(C23,F23,""))</f>
        <v/>
      </c>
      <c r="J23" s="23" t="str">
        <f>IF(C23="","",[1]!hks_fa_bps(C23,F23,""))</f>
        <v/>
      </c>
      <c r="K23" s="25" t="str">
        <f>IF(C23="","",[1]!hks_fa_ocfps(C23,F23,""))</f>
        <v/>
      </c>
      <c r="L23" s="27" t="str">
        <f>IF(C23="","",[1]!hks_fa_grossprofitmargin(C23,F23))</f>
        <v/>
      </c>
      <c r="M23" s="23" t="str">
        <f>IF(C23="","",[1]!hks_fa_netprofitmargin(C23,F23))</f>
        <v/>
      </c>
      <c r="N23" s="23" t="str">
        <f>IF(C23="","",[1]!hks_fa_roe(C23,F23))</f>
        <v/>
      </c>
      <c r="O23" s="23" t="str">
        <f>IF(C23="","",[1]!hks_fa_roe_deducted(C23,F23))</f>
        <v/>
      </c>
      <c r="P23" s="23" t="str">
        <f>IF(C23="","",[1]!hks_fa_roa2(C23,F23))</f>
        <v/>
      </c>
      <c r="Q23" s="23" t="str">
        <f>IF(C23="","",[1]!hks_fa_roic(C23,F23))</f>
        <v/>
      </c>
      <c r="R23" s="23" t="str">
        <f>IF(C23="","",[1]!hks_fa_dupont_nptosales(C23,F23))</f>
        <v/>
      </c>
      <c r="S23" s="23" t="str">
        <f>IF(C23="","",[1]!hks_fa_dupont_ebittosales(C23,F23))</f>
        <v/>
      </c>
      <c r="T23" s="25" t="str">
        <f>IF(C23="","",[1]!hks_fa_ebitdatosales(C23,F23))</f>
        <v/>
      </c>
      <c r="U23" s="47" t="str">
        <f>IF(C23="","",[1]!hks_fa_optoebt(C23,F23))</f>
        <v/>
      </c>
      <c r="V23" s="25" t="str">
        <f>IF(C23="","",[1]!hks_fa_ocftosales(C23,F23))</f>
        <v/>
      </c>
      <c r="W23" s="27" t="str">
        <f>IF(C23="","",[1]!hks_fa_debttoassets(C23,F23))</f>
        <v/>
      </c>
      <c r="X23" s="23" t="str">
        <f>IF(C23="","",[1]!s_fa_debttoeqy(C23,F23))</f>
        <v/>
      </c>
      <c r="Y23" s="23" t="str">
        <f>IF(C23="","",[1]!hks_fa_catoassets(C23,F23))</f>
        <v/>
      </c>
      <c r="Z23" s="23" t="str">
        <f>IF(C23="","",[1]!hks_fa_ncatoassets(C23,F23))</f>
        <v/>
      </c>
      <c r="AA23" s="23" t="str">
        <f>IF(C23="","",[1]!hks_fa_currentdebttodebt(C23,F23))</f>
        <v/>
      </c>
      <c r="AB23" s="25" t="str">
        <f>IF(C23="","",[1]!hks_fa_longdebtodebt(C23,F23))</f>
        <v/>
      </c>
      <c r="AC23" s="25" t="str">
        <f>IF(C23="","",[1]!hks_fa_current(C23,F23))</f>
        <v/>
      </c>
      <c r="AD23" s="25" t="str">
        <f>IF(C23="","",[1]!hks_fa_quick(C23,F23))</f>
        <v/>
      </c>
      <c r="AE23" s="25" t="str">
        <f>IF(C23="","",[1]!hks_fa_ebittointerest(C23,F23))</f>
        <v/>
      </c>
      <c r="AF23" s="25" t="str">
        <f>IF(C23="","",[1]!hks_fa_netdebtratio(C23,F23))</f>
        <v/>
      </c>
      <c r="AG23" s="27" t="str">
        <f>IF(C23="","",[1]!hks_fa_arturn(C23,F23))</f>
        <v/>
      </c>
      <c r="AH23" s="23" t="str">
        <f>IF(C23="","",[1]!hks_fa_apturn(C23,F23))</f>
        <v/>
      </c>
      <c r="AI23" s="23" t="str">
        <f>IF(C23="","",[1]!hks_fa_invturn(C23,F23))</f>
        <v/>
      </c>
      <c r="AJ23" s="23" t="str">
        <f>IF(C23="","",[1]!hks_fa_caturn(C23,F23))</f>
        <v/>
      </c>
      <c r="AK23" s="23" t="str">
        <f>IF(C23="","",[1]!hks_fa_faturn(C23,F23))</f>
        <v/>
      </c>
      <c r="AL23" s="25" t="str">
        <f>IF(C23="","",[1]!hks_fa_assetsturn(C23,F23))</f>
        <v/>
      </c>
      <c r="AM23" s="23" t="str">
        <f>IF(C23="","",[1]!hks_fa_yoy_tr(C23,F23))</f>
        <v/>
      </c>
      <c r="AN23" s="23" t="str">
        <f>IF(C23="","",[1]!hks_fa_yoy_or(C23,F23))</f>
        <v/>
      </c>
      <c r="AO23" s="23" t="str">
        <f>IF(C23="","",[1]!hks_fa_yoyop2(C23,F23))</f>
        <v/>
      </c>
      <c r="AP23" s="23" t="str">
        <f>IF(C23="","",[1]!hks_fa_yoyebt(C23,F23))</f>
        <v/>
      </c>
      <c r="AQ23" s="23" t="str">
        <f>IF(C23="","",[1]!hks_fa_yoynetprofit(C23,F23))</f>
        <v/>
      </c>
      <c r="AR23" s="23" t="str">
        <f>IF(C23="","",[1]!hks_fa_dupont_np(C23,F23))</f>
        <v/>
      </c>
      <c r="AS23" s="23" t="str">
        <f>IF(C23="","",[1]!hks_fa_dupont_taxburden(C23,F23))</f>
        <v/>
      </c>
      <c r="AT23" s="23" t="str">
        <f>IF(C23="","",[1]!s_fa_dupont_nptosales(C23,F23))</f>
        <v/>
      </c>
      <c r="AU23" s="23" t="str">
        <f>IF(C23="","",[1]!s_fa_dupont_roe(C23,F23))</f>
        <v/>
      </c>
      <c r="AV23" s="23" t="str">
        <f>IF(C23="","",[1]!hks_fa_dupont_intburden(C23,F23))</f>
        <v/>
      </c>
      <c r="AW23" s="23" t="str">
        <f>IF(C23="","",[1]!hks_fa_dupont_assetstoequity(C23,F23))</f>
        <v/>
      </c>
      <c r="AX23" s="23" t="str">
        <f>IF(C23="","",[1]!s_fa_dupont_ebittosales(C23,F23))</f>
        <v/>
      </c>
      <c r="AY23" s="23" t="str">
        <f>IF(C23="","",[1]!hks_fa_assetsturn(C23,F23))</f>
        <v/>
      </c>
      <c r="AZ23" s="23" t="str">
        <f>IF(C23="","",[1]!hks_fa_grossmargin2(C23,F23,"",100000000))</f>
        <v/>
      </c>
      <c r="BA23" s="23" t="str">
        <f>IF(C23="","",[1]!hks_fa_ebit3(C23,F23,1,"",100000000))</f>
        <v/>
      </c>
      <c r="BB23" s="23" t="str">
        <f>IF(C23="","",[1]!hks_fa_ebitda(C23,F23,1,"",100000000))</f>
        <v/>
      </c>
      <c r="BC23" s="23" t="str">
        <f>IF(C23="","",[1]!hks_fa_ebit(C23,F23,1,"",100000000))</f>
        <v/>
      </c>
      <c r="BD23" s="23" t="str">
        <f>IF(C23="","",[1]!hks_fa_ebitda(C23,F23,1,"",100000000))</f>
        <v/>
      </c>
      <c r="BE23" s="23" t="str">
        <f>IF(C23="","",[1]!hks_fa_nogaapprofit(C23,F23,1,"",100000000))</f>
        <v/>
      </c>
      <c r="BF23" s="23" t="str">
        <f>IF(C23="","",[1]!hks_fa_deductedprofit(C23,F23,1,"",100000000))</f>
        <v/>
      </c>
      <c r="BG23" s="23" t="str">
        <f>IF(C23="","",[1]!hks_fa_retainedearnings2(C23,F23,"",100000000))</f>
        <v/>
      </c>
      <c r="BH23" s="23" t="str">
        <f>IF(C23="","",[1]!hks_fa_workingcapital2(C23,F23,"",100000000))</f>
        <v/>
      </c>
      <c r="BI23" s="23" t="str">
        <f>IF(C23="","",[1]!hks_fa_networkingcapital2(C23,F23,"",100000000))</f>
        <v/>
      </c>
      <c r="BJ23" s="23" t="str">
        <f>IF(C23="","",[1]!hks_fa_investcapital2(C23,F23,"",100000000))</f>
        <v/>
      </c>
      <c r="BK23" s="23" t="str">
        <f>IF(C23="","",[1]!hks_fa_tangibleasset2(C23,F23,"",100000000))</f>
        <v/>
      </c>
      <c r="BL23" s="23" t="str">
        <f>IF(C23="","",[1]!hks_fa_netdebt2(C23,F23,"",100000000))</f>
        <v/>
      </c>
      <c r="BM23" s="23" t="str">
        <f>IF(C23="","",[1]!hks_fa_interestdebt2(C23,F23,"",100000000))</f>
        <v/>
      </c>
      <c r="BN23" s="23" t="str">
        <f>IF(C23="","",[1]!hks_fa_exinterestdebt_current(C23,F23,"",100000000))</f>
        <v/>
      </c>
      <c r="BO23" s="23" t="str">
        <f>IF(C23="","",[1]!hks_fa_exinterestdebt_noncurrent2(C23,F23,"",100000000))</f>
        <v/>
      </c>
      <c r="BP23" s="23" t="str">
        <f>IF(C23="","",[1]!hks_fa_fcfe2(C23,F23,"",100000000))</f>
        <v/>
      </c>
      <c r="BQ23" s="23" t="str">
        <f>IF(C23="","",[1]!hks_fa_fcff2(C23,F23,"",100000000))</f>
        <v/>
      </c>
      <c r="BR23" s="35"/>
    </row>
    <row r="24" spans="1:70" s="36" customFormat="1" ht="16.5" x14ac:dyDescent="0.2">
      <c r="A24" s="2"/>
      <c r="B24" s="6"/>
      <c r="C24" s="28" t="str">
        <f>IF(表1[[#This Row],[列1]]="","",表1[[#This Row],[列1]])</f>
        <v/>
      </c>
      <c r="D24" s="19" t="str">
        <f>IF(C24="","",[1]!hks_info_name(C24))</f>
        <v/>
      </c>
      <c r="E24" s="19" t="str">
        <f ca="1">IF(C24="","",[1]!lastradeday_s(C24,TODAY()))</f>
        <v/>
      </c>
      <c r="F24" s="49" t="str">
        <f>IF(C24="","",IF(OR([1]!s_stm_rpt_e(C24,基本资料!$I$8,0)="#N/A",[1]!s_stm_rpt_e(C24,基本资料!$I$8,0)="",[1]!s_stm_rpt_e(C24,基本资料!$I$8,0)=0),[1]!s_stm_rpt_e(C24,基本资料!$I$9,0),[1]!s_stm_rpt_e(C24,基本资料!$I$8,0)))</f>
        <v/>
      </c>
      <c r="G24" s="49" t="str">
        <f>IF(C24="","",[1]!hks_info_cur2(C24,F24))</f>
        <v/>
      </c>
      <c r="H24" s="27" t="str">
        <f>IF(C24="","",[1]!hks_fa_eps_basic(C24,F24,""))</f>
        <v/>
      </c>
      <c r="I24" s="23" t="str">
        <f>IF(C24="","",[1]!hks_fa_eps_adjust2(C24,F24,""))</f>
        <v/>
      </c>
      <c r="J24" s="23" t="str">
        <f>IF(C24="","",[1]!hks_fa_bps(C24,F24,""))</f>
        <v/>
      </c>
      <c r="K24" s="25" t="str">
        <f>IF(C24="","",[1]!hks_fa_ocfps(C24,F24,""))</f>
        <v/>
      </c>
      <c r="L24" s="27" t="str">
        <f>IF(C24="","",[1]!hks_fa_grossprofitmargin(C24,F24))</f>
        <v/>
      </c>
      <c r="M24" s="23" t="str">
        <f>IF(C24="","",[1]!hks_fa_netprofitmargin(C24,F24))</f>
        <v/>
      </c>
      <c r="N24" s="23" t="str">
        <f>IF(C24="","",[1]!hks_fa_roe(C24,F24))</f>
        <v/>
      </c>
      <c r="O24" s="23" t="str">
        <f>IF(C24="","",[1]!hks_fa_roe_deducted(C24,F24))</f>
        <v/>
      </c>
      <c r="P24" s="23" t="str">
        <f>IF(C24="","",[1]!hks_fa_roa2(C24,F24))</f>
        <v/>
      </c>
      <c r="Q24" s="23" t="str">
        <f>IF(C24="","",[1]!hks_fa_roic(C24,F24))</f>
        <v/>
      </c>
      <c r="R24" s="23" t="str">
        <f>IF(C24="","",[1]!hks_fa_dupont_nptosales(C24,F24))</f>
        <v/>
      </c>
      <c r="S24" s="23" t="str">
        <f>IF(C24="","",[1]!hks_fa_dupont_ebittosales(C24,F24))</f>
        <v/>
      </c>
      <c r="T24" s="25" t="str">
        <f>IF(C24="","",[1]!hks_fa_ebitdatosales(C24,F24))</f>
        <v/>
      </c>
      <c r="U24" s="47" t="str">
        <f>IF(C24="","",[1]!hks_fa_optoebt(C24,F24))</f>
        <v/>
      </c>
      <c r="V24" s="25" t="str">
        <f>IF(C24="","",[1]!hks_fa_ocftosales(C24,F24))</f>
        <v/>
      </c>
      <c r="W24" s="27" t="str">
        <f>IF(C24="","",[1]!hks_fa_debttoassets(C24,F24))</f>
        <v/>
      </c>
      <c r="X24" s="23" t="str">
        <f>IF(C24="","",[1]!s_fa_debttoeqy(C24,F24))</f>
        <v/>
      </c>
      <c r="Y24" s="23" t="str">
        <f>IF(C24="","",[1]!hks_fa_catoassets(C24,F24))</f>
        <v/>
      </c>
      <c r="Z24" s="23" t="str">
        <f>IF(C24="","",[1]!hks_fa_ncatoassets(C24,F24))</f>
        <v/>
      </c>
      <c r="AA24" s="23" t="str">
        <f>IF(C24="","",[1]!hks_fa_currentdebttodebt(C24,F24))</f>
        <v/>
      </c>
      <c r="AB24" s="25" t="str">
        <f>IF(C24="","",[1]!hks_fa_longdebtodebt(C24,F24))</f>
        <v/>
      </c>
      <c r="AC24" s="25" t="str">
        <f>IF(C24="","",[1]!hks_fa_current(C24,F24))</f>
        <v/>
      </c>
      <c r="AD24" s="25" t="str">
        <f>IF(C24="","",[1]!hks_fa_quick(C24,F24))</f>
        <v/>
      </c>
      <c r="AE24" s="25" t="str">
        <f>IF(C24="","",[1]!hks_fa_ebittointerest(C24,F24))</f>
        <v/>
      </c>
      <c r="AF24" s="25" t="str">
        <f>IF(C24="","",[1]!hks_fa_netdebtratio(C24,F24))</f>
        <v/>
      </c>
      <c r="AG24" s="27" t="str">
        <f>IF(C24="","",[1]!hks_fa_arturn(C24,F24))</f>
        <v/>
      </c>
      <c r="AH24" s="23" t="str">
        <f>IF(C24="","",[1]!hks_fa_apturn(C24,F24))</f>
        <v/>
      </c>
      <c r="AI24" s="23" t="str">
        <f>IF(C24="","",[1]!hks_fa_invturn(C24,F24))</f>
        <v/>
      </c>
      <c r="AJ24" s="23" t="str">
        <f>IF(C24="","",[1]!hks_fa_caturn(C24,F24))</f>
        <v/>
      </c>
      <c r="AK24" s="23" t="str">
        <f>IF(C24="","",[1]!hks_fa_faturn(C24,F24))</f>
        <v/>
      </c>
      <c r="AL24" s="25" t="str">
        <f>IF(C24="","",[1]!hks_fa_assetsturn(C24,F24))</f>
        <v/>
      </c>
      <c r="AM24" s="23" t="str">
        <f>IF(C24="","",[1]!hks_fa_yoy_tr(C24,F24))</f>
        <v/>
      </c>
      <c r="AN24" s="23" t="str">
        <f>IF(C24="","",[1]!hks_fa_yoy_or(C24,F24))</f>
        <v/>
      </c>
      <c r="AO24" s="23" t="str">
        <f>IF(C24="","",[1]!hks_fa_yoyop2(C24,F24))</f>
        <v/>
      </c>
      <c r="AP24" s="23" t="str">
        <f>IF(C24="","",[1]!hks_fa_yoyebt(C24,F24))</f>
        <v/>
      </c>
      <c r="AQ24" s="23" t="str">
        <f>IF(C24="","",[1]!hks_fa_yoynetprofit(C24,F24))</f>
        <v/>
      </c>
      <c r="AR24" s="23" t="str">
        <f>IF(C24="","",[1]!hks_fa_dupont_np(C24,F24))</f>
        <v/>
      </c>
      <c r="AS24" s="23" t="str">
        <f>IF(C24="","",[1]!hks_fa_dupont_taxburden(C24,F24))</f>
        <v/>
      </c>
      <c r="AT24" s="23" t="str">
        <f>IF(C24="","",[1]!s_fa_dupont_nptosales(C24,F24))</f>
        <v/>
      </c>
      <c r="AU24" s="23" t="str">
        <f>IF(C24="","",[1]!s_fa_dupont_roe(C24,F24))</f>
        <v/>
      </c>
      <c r="AV24" s="23" t="str">
        <f>IF(C24="","",[1]!hks_fa_dupont_intburden(C24,F24))</f>
        <v/>
      </c>
      <c r="AW24" s="23" t="str">
        <f>IF(C24="","",[1]!hks_fa_dupont_assetstoequity(C24,F24))</f>
        <v/>
      </c>
      <c r="AX24" s="23" t="str">
        <f>IF(C24="","",[1]!s_fa_dupont_ebittosales(C24,F24))</f>
        <v/>
      </c>
      <c r="AY24" s="23" t="str">
        <f>IF(C24="","",[1]!hks_fa_assetsturn(C24,F24))</f>
        <v/>
      </c>
      <c r="AZ24" s="23" t="str">
        <f>IF(C24="","",[1]!hks_fa_grossmargin2(C24,F24,"",100000000))</f>
        <v/>
      </c>
      <c r="BA24" s="23" t="str">
        <f>IF(C24="","",[1]!hks_fa_ebit3(C24,F24,1,"",100000000))</f>
        <v/>
      </c>
      <c r="BB24" s="23" t="str">
        <f>IF(C24="","",[1]!hks_fa_ebitda(C24,F24,1,"",100000000))</f>
        <v/>
      </c>
      <c r="BC24" s="23" t="str">
        <f>IF(C24="","",[1]!hks_fa_ebit(C24,F24,1,"",100000000))</f>
        <v/>
      </c>
      <c r="BD24" s="23" t="str">
        <f>IF(C24="","",[1]!hks_fa_ebitda(C24,F24,1,"",100000000))</f>
        <v/>
      </c>
      <c r="BE24" s="23" t="str">
        <f>IF(C24="","",[1]!hks_fa_nogaapprofit(C24,F24,1,"",100000000))</f>
        <v/>
      </c>
      <c r="BF24" s="23" t="str">
        <f>IF(C24="","",[1]!hks_fa_deductedprofit(C24,F24,1,"",100000000))</f>
        <v/>
      </c>
      <c r="BG24" s="23" t="str">
        <f>IF(C24="","",[1]!hks_fa_retainedearnings2(C24,F24,"",100000000))</f>
        <v/>
      </c>
      <c r="BH24" s="23" t="str">
        <f>IF(C24="","",[1]!hks_fa_workingcapital2(C24,F24,"",100000000))</f>
        <v/>
      </c>
      <c r="BI24" s="23" t="str">
        <f>IF(C24="","",[1]!hks_fa_networkingcapital2(C24,F24,"",100000000))</f>
        <v/>
      </c>
      <c r="BJ24" s="23" t="str">
        <f>IF(C24="","",[1]!hks_fa_investcapital2(C24,F24,"",100000000))</f>
        <v/>
      </c>
      <c r="BK24" s="23" t="str">
        <f>IF(C24="","",[1]!hks_fa_tangibleasset2(C24,F24,"",100000000))</f>
        <v/>
      </c>
      <c r="BL24" s="23" t="str">
        <f>IF(C24="","",[1]!hks_fa_netdebt2(C24,F24,"",100000000))</f>
        <v/>
      </c>
      <c r="BM24" s="23" t="str">
        <f>IF(C24="","",[1]!hks_fa_interestdebt2(C24,F24,"",100000000))</f>
        <v/>
      </c>
      <c r="BN24" s="23" t="str">
        <f>IF(C24="","",[1]!hks_fa_exinterestdebt_current(C24,F24,"",100000000))</f>
        <v/>
      </c>
      <c r="BO24" s="23" t="str">
        <f>IF(C24="","",[1]!hks_fa_exinterestdebt_noncurrent2(C24,F24,"",100000000))</f>
        <v/>
      </c>
      <c r="BP24" s="23" t="str">
        <f>IF(C24="","",[1]!hks_fa_fcfe2(C24,F24,"",100000000))</f>
        <v/>
      </c>
      <c r="BQ24" s="23" t="str">
        <f>IF(C24="","",[1]!hks_fa_fcff2(C24,F24,"",100000000))</f>
        <v/>
      </c>
      <c r="BR24" s="35"/>
    </row>
    <row r="25" spans="1:70" s="36" customFormat="1" ht="16.5" x14ac:dyDescent="0.2">
      <c r="A25" s="2"/>
      <c r="B25" s="6"/>
      <c r="C25" s="28" t="str">
        <f>IF(表1[[#This Row],[列1]]="","",表1[[#This Row],[列1]])</f>
        <v/>
      </c>
      <c r="D25" s="19" t="str">
        <f>IF(C25="","",[1]!hks_info_name(C25))</f>
        <v/>
      </c>
      <c r="E25" s="19" t="str">
        <f ca="1">IF(C25="","",[1]!lastradeday_s(C25,TODAY()))</f>
        <v/>
      </c>
      <c r="F25" s="49" t="str">
        <f>IF(C25="","",IF(OR([1]!s_stm_rpt_e(C25,基本资料!$I$8,0)="#N/A",[1]!s_stm_rpt_e(C25,基本资料!$I$8,0)="",[1]!s_stm_rpt_e(C25,基本资料!$I$8,0)=0),[1]!s_stm_rpt_e(C25,基本资料!$I$9,0),[1]!s_stm_rpt_e(C25,基本资料!$I$8,0)))</f>
        <v/>
      </c>
      <c r="G25" s="49" t="str">
        <f>IF(C25="","",[1]!hks_info_cur2(C25,F25))</f>
        <v/>
      </c>
      <c r="H25" s="27" t="str">
        <f>IF(C25="","",[1]!hks_fa_eps_basic(C25,F25,""))</f>
        <v/>
      </c>
      <c r="I25" s="23" t="str">
        <f>IF(C25="","",[1]!hks_fa_eps_adjust2(C25,F25,""))</f>
        <v/>
      </c>
      <c r="J25" s="23" t="str">
        <f>IF(C25="","",[1]!hks_fa_bps(C25,F25,""))</f>
        <v/>
      </c>
      <c r="K25" s="25" t="str">
        <f>IF(C25="","",[1]!hks_fa_ocfps(C25,F25,""))</f>
        <v/>
      </c>
      <c r="L25" s="27" t="str">
        <f>IF(C25="","",[1]!hks_fa_grossprofitmargin(C25,F25))</f>
        <v/>
      </c>
      <c r="M25" s="23" t="str">
        <f>IF(C25="","",[1]!hks_fa_netprofitmargin(C25,F25))</f>
        <v/>
      </c>
      <c r="N25" s="23" t="str">
        <f>IF(C25="","",[1]!hks_fa_roe(C25,F25))</f>
        <v/>
      </c>
      <c r="O25" s="23" t="str">
        <f>IF(C25="","",[1]!hks_fa_roe_deducted(C25,F25))</f>
        <v/>
      </c>
      <c r="P25" s="23" t="str">
        <f>IF(C25="","",[1]!hks_fa_roa2(C25,F25))</f>
        <v/>
      </c>
      <c r="Q25" s="23" t="str">
        <f>IF(C25="","",[1]!hks_fa_roic(C25,F25))</f>
        <v/>
      </c>
      <c r="R25" s="23" t="str">
        <f>IF(C25="","",[1]!hks_fa_dupont_nptosales(C25,F25))</f>
        <v/>
      </c>
      <c r="S25" s="23" t="str">
        <f>IF(C25="","",[1]!hks_fa_dupont_ebittosales(C25,F25))</f>
        <v/>
      </c>
      <c r="T25" s="25" t="str">
        <f>IF(C25="","",[1]!hks_fa_ebitdatosales(C25,F25))</f>
        <v/>
      </c>
      <c r="U25" s="47" t="str">
        <f>IF(C25="","",[1]!hks_fa_optoebt(C25,F25))</f>
        <v/>
      </c>
      <c r="V25" s="25" t="str">
        <f>IF(C25="","",[1]!hks_fa_ocftosales(C25,F25))</f>
        <v/>
      </c>
      <c r="W25" s="27" t="str">
        <f>IF(C25="","",[1]!hks_fa_debttoassets(C25,F25))</f>
        <v/>
      </c>
      <c r="X25" s="23" t="str">
        <f>IF(C25="","",[1]!s_fa_debttoeqy(C25,F25))</f>
        <v/>
      </c>
      <c r="Y25" s="23" t="str">
        <f>IF(C25="","",[1]!hks_fa_catoassets(C25,F25))</f>
        <v/>
      </c>
      <c r="Z25" s="23" t="str">
        <f>IF(C25="","",[1]!hks_fa_ncatoassets(C25,F25))</f>
        <v/>
      </c>
      <c r="AA25" s="23" t="str">
        <f>IF(C25="","",[1]!hks_fa_currentdebttodebt(C25,F25))</f>
        <v/>
      </c>
      <c r="AB25" s="25" t="str">
        <f>IF(C25="","",[1]!hks_fa_longdebtodebt(C25,F25))</f>
        <v/>
      </c>
      <c r="AC25" s="25" t="str">
        <f>IF(C25="","",[1]!hks_fa_current(C25,F25))</f>
        <v/>
      </c>
      <c r="AD25" s="25" t="str">
        <f>IF(C25="","",[1]!hks_fa_quick(C25,F25))</f>
        <v/>
      </c>
      <c r="AE25" s="25" t="str">
        <f>IF(C25="","",[1]!hks_fa_ebittointerest(C25,F25))</f>
        <v/>
      </c>
      <c r="AF25" s="25" t="str">
        <f>IF(C25="","",[1]!hks_fa_netdebtratio(C25,F25))</f>
        <v/>
      </c>
      <c r="AG25" s="27" t="str">
        <f>IF(C25="","",[1]!hks_fa_arturn(C25,F25))</f>
        <v/>
      </c>
      <c r="AH25" s="23" t="str">
        <f>IF(C25="","",[1]!hks_fa_apturn(C25,F25))</f>
        <v/>
      </c>
      <c r="AI25" s="23" t="str">
        <f>IF(C25="","",[1]!hks_fa_invturn(C25,F25))</f>
        <v/>
      </c>
      <c r="AJ25" s="23" t="str">
        <f>IF(C25="","",[1]!hks_fa_caturn(C25,F25))</f>
        <v/>
      </c>
      <c r="AK25" s="23" t="str">
        <f>IF(C25="","",[1]!hks_fa_faturn(C25,F25))</f>
        <v/>
      </c>
      <c r="AL25" s="25" t="str">
        <f>IF(C25="","",[1]!hks_fa_assetsturn(C25,F25))</f>
        <v/>
      </c>
      <c r="AM25" s="23" t="str">
        <f>IF(C25="","",[1]!hks_fa_yoy_tr(C25,F25))</f>
        <v/>
      </c>
      <c r="AN25" s="23" t="str">
        <f>IF(C25="","",[1]!hks_fa_yoy_or(C25,F25))</f>
        <v/>
      </c>
      <c r="AO25" s="23" t="str">
        <f>IF(C25="","",[1]!hks_fa_yoyop2(C25,F25))</f>
        <v/>
      </c>
      <c r="AP25" s="23" t="str">
        <f>IF(C25="","",[1]!hks_fa_yoyebt(C25,F25))</f>
        <v/>
      </c>
      <c r="AQ25" s="23" t="str">
        <f>IF(C25="","",[1]!hks_fa_yoynetprofit(C25,F25))</f>
        <v/>
      </c>
      <c r="AR25" s="23" t="str">
        <f>IF(C25="","",[1]!hks_fa_dupont_np(C25,F25))</f>
        <v/>
      </c>
      <c r="AS25" s="23" t="str">
        <f>IF(C25="","",[1]!hks_fa_dupont_taxburden(C25,F25))</f>
        <v/>
      </c>
      <c r="AT25" s="23" t="str">
        <f>IF(C25="","",[1]!s_fa_dupont_nptosales(C25,F25))</f>
        <v/>
      </c>
      <c r="AU25" s="23" t="str">
        <f>IF(C25="","",[1]!s_fa_dupont_roe(C25,F25))</f>
        <v/>
      </c>
      <c r="AV25" s="23" t="str">
        <f>IF(C25="","",[1]!hks_fa_dupont_intburden(C25,F25))</f>
        <v/>
      </c>
      <c r="AW25" s="23" t="str">
        <f>IF(C25="","",[1]!hks_fa_dupont_assetstoequity(C25,F25))</f>
        <v/>
      </c>
      <c r="AX25" s="23" t="str">
        <f>IF(C25="","",[1]!s_fa_dupont_ebittosales(C25,F25))</f>
        <v/>
      </c>
      <c r="AY25" s="23" t="str">
        <f>IF(C25="","",[1]!hks_fa_assetsturn(C25,F25))</f>
        <v/>
      </c>
      <c r="AZ25" s="23" t="str">
        <f>IF(C25="","",[1]!hks_fa_grossmargin2(C25,F25,"",100000000))</f>
        <v/>
      </c>
      <c r="BA25" s="23" t="str">
        <f>IF(C25="","",[1]!hks_fa_ebit3(C25,F25,1,"",100000000))</f>
        <v/>
      </c>
      <c r="BB25" s="23" t="str">
        <f>IF(C25="","",[1]!hks_fa_ebitda(C25,F25,1,"",100000000))</f>
        <v/>
      </c>
      <c r="BC25" s="23" t="str">
        <f>IF(C25="","",[1]!hks_fa_ebit(C25,F25,1,"",100000000))</f>
        <v/>
      </c>
      <c r="BD25" s="23" t="str">
        <f>IF(C25="","",[1]!hks_fa_ebitda(C25,F25,1,"",100000000))</f>
        <v/>
      </c>
      <c r="BE25" s="23" t="str">
        <f>IF(C25="","",[1]!hks_fa_nogaapprofit(C25,F25,1,"",100000000))</f>
        <v/>
      </c>
      <c r="BF25" s="23" t="str">
        <f>IF(C25="","",[1]!hks_fa_deductedprofit(C25,F25,1,"",100000000))</f>
        <v/>
      </c>
      <c r="BG25" s="23" t="str">
        <f>IF(C25="","",[1]!hks_fa_retainedearnings2(C25,F25,"",100000000))</f>
        <v/>
      </c>
      <c r="BH25" s="23" t="str">
        <f>IF(C25="","",[1]!hks_fa_workingcapital2(C25,F25,"",100000000))</f>
        <v/>
      </c>
      <c r="BI25" s="23" t="str">
        <f>IF(C25="","",[1]!hks_fa_networkingcapital2(C25,F25,"",100000000))</f>
        <v/>
      </c>
      <c r="BJ25" s="23" t="str">
        <f>IF(C25="","",[1]!hks_fa_investcapital2(C25,F25,"",100000000))</f>
        <v/>
      </c>
      <c r="BK25" s="23" t="str">
        <f>IF(C25="","",[1]!hks_fa_tangibleasset2(C25,F25,"",100000000))</f>
        <v/>
      </c>
      <c r="BL25" s="23" t="str">
        <f>IF(C25="","",[1]!hks_fa_netdebt2(C25,F25,"",100000000))</f>
        <v/>
      </c>
      <c r="BM25" s="23" t="str">
        <f>IF(C25="","",[1]!hks_fa_interestdebt2(C25,F25,"",100000000))</f>
        <v/>
      </c>
      <c r="BN25" s="23" t="str">
        <f>IF(C25="","",[1]!hks_fa_exinterestdebt_current(C25,F25,"",100000000))</f>
        <v/>
      </c>
      <c r="BO25" s="23" t="str">
        <f>IF(C25="","",[1]!hks_fa_exinterestdebt_noncurrent2(C25,F25,"",100000000))</f>
        <v/>
      </c>
      <c r="BP25" s="23" t="str">
        <f>IF(C25="","",[1]!hks_fa_fcfe2(C25,F25,"",100000000))</f>
        <v/>
      </c>
      <c r="BQ25" s="23" t="str">
        <f>IF(C25="","",[1]!hks_fa_fcff2(C25,F25,"",100000000))</f>
        <v/>
      </c>
      <c r="BR25" s="35"/>
    </row>
    <row r="26" spans="1:70" s="36" customFormat="1" ht="16.5" x14ac:dyDescent="0.2">
      <c r="A26" s="2"/>
      <c r="B26" s="6"/>
      <c r="C26" s="28" t="str">
        <f>IF(表1[[#This Row],[列1]]="","",表1[[#This Row],[列1]])</f>
        <v/>
      </c>
      <c r="D26" s="19" t="str">
        <f>IF(C26="","",[1]!hks_info_name(C26))</f>
        <v/>
      </c>
      <c r="E26" s="19" t="str">
        <f ca="1">IF(C26="","",[1]!lastradeday_s(C26,TODAY()))</f>
        <v/>
      </c>
      <c r="F26" s="49" t="str">
        <f>IF(C26="","",IF(OR([1]!s_stm_rpt_e(C26,基本资料!$I$8,0)="#N/A",[1]!s_stm_rpt_e(C26,基本资料!$I$8,0)="",[1]!s_stm_rpt_e(C26,基本资料!$I$8,0)=0),[1]!s_stm_rpt_e(C26,基本资料!$I$9,0),[1]!s_stm_rpt_e(C26,基本资料!$I$8,0)))</f>
        <v/>
      </c>
      <c r="G26" s="49" t="str">
        <f>IF(C26="","",[1]!hks_info_cur2(C26,F26))</f>
        <v/>
      </c>
      <c r="H26" s="27" t="str">
        <f>IF(C26="","",[1]!hks_fa_eps_basic(C26,F26,""))</f>
        <v/>
      </c>
      <c r="I26" s="23" t="str">
        <f>IF(C26="","",[1]!hks_fa_eps_adjust2(C26,F26,""))</f>
        <v/>
      </c>
      <c r="J26" s="23" t="str">
        <f>IF(C26="","",[1]!hks_fa_bps(C26,F26,""))</f>
        <v/>
      </c>
      <c r="K26" s="25" t="str">
        <f>IF(C26="","",[1]!hks_fa_ocfps(C26,F26,""))</f>
        <v/>
      </c>
      <c r="L26" s="27" t="str">
        <f>IF(C26="","",[1]!hks_fa_grossprofitmargin(C26,F26))</f>
        <v/>
      </c>
      <c r="M26" s="23" t="str">
        <f>IF(C26="","",[1]!hks_fa_netprofitmargin(C26,F26))</f>
        <v/>
      </c>
      <c r="N26" s="23" t="str">
        <f>IF(C26="","",[1]!hks_fa_roe(C26,F26))</f>
        <v/>
      </c>
      <c r="O26" s="23" t="str">
        <f>IF(C26="","",[1]!hks_fa_roe_deducted(C26,F26))</f>
        <v/>
      </c>
      <c r="P26" s="23" t="str">
        <f>IF(C26="","",[1]!hks_fa_roa2(C26,F26))</f>
        <v/>
      </c>
      <c r="Q26" s="23" t="str">
        <f>IF(C26="","",[1]!hks_fa_roic(C26,F26))</f>
        <v/>
      </c>
      <c r="R26" s="23" t="str">
        <f>IF(C26="","",[1]!hks_fa_dupont_nptosales(C26,F26))</f>
        <v/>
      </c>
      <c r="S26" s="23" t="str">
        <f>IF(C26="","",[1]!hks_fa_dupont_ebittosales(C26,F26))</f>
        <v/>
      </c>
      <c r="T26" s="25" t="str">
        <f>IF(C26="","",[1]!hks_fa_ebitdatosales(C26,F26))</f>
        <v/>
      </c>
      <c r="U26" s="47" t="str">
        <f>IF(C26="","",[1]!hks_fa_optoebt(C26,F26))</f>
        <v/>
      </c>
      <c r="V26" s="25" t="str">
        <f>IF(C26="","",[1]!hks_fa_ocftosales(C26,F26))</f>
        <v/>
      </c>
      <c r="W26" s="27" t="str">
        <f>IF(C26="","",[1]!hks_fa_debttoassets(C26,F26))</f>
        <v/>
      </c>
      <c r="X26" s="23" t="str">
        <f>IF(C26="","",[1]!s_fa_debttoeqy(C26,F26))</f>
        <v/>
      </c>
      <c r="Y26" s="23" t="str">
        <f>IF(C26="","",[1]!hks_fa_catoassets(C26,F26))</f>
        <v/>
      </c>
      <c r="Z26" s="23" t="str">
        <f>IF(C26="","",[1]!hks_fa_ncatoassets(C26,F26))</f>
        <v/>
      </c>
      <c r="AA26" s="23" t="str">
        <f>IF(C26="","",[1]!hks_fa_currentdebttodebt(C26,F26))</f>
        <v/>
      </c>
      <c r="AB26" s="25" t="str">
        <f>IF(C26="","",[1]!hks_fa_longdebtodebt(C26,F26))</f>
        <v/>
      </c>
      <c r="AC26" s="25" t="str">
        <f>IF(C26="","",[1]!hks_fa_current(C26,F26))</f>
        <v/>
      </c>
      <c r="AD26" s="25" t="str">
        <f>IF(C26="","",[1]!hks_fa_quick(C26,F26))</f>
        <v/>
      </c>
      <c r="AE26" s="25" t="str">
        <f>IF(C26="","",[1]!hks_fa_ebittointerest(C26,F26))</f>
        <v/>
      </c>
      <c r="AF26" s="25" t="str">
        <f>IF(C26="","",[1]!hks_fa_netdebtratio(C26,F26))</f>
        <v/>
      </c>
      <c r="AG26" s="27" t="str">
        <f>IF(C26="","",[1]!hks_fa_arturn(C26,F26))</f>
        <v/>
      </c>
      <c r="AH26" s="23" t="str">
        <f>IF(C26="","",[1]!hks_fa_apturn(C26,F26))</f>
        <v/>
      </c>
      <c r="AI26" s="23" t="str">
        <f>IF(C26="","",[1]!hks_fa_invturn(C26,F26))</f>
        <v/>
      </c>
      <c r="AJ26" s="23" t="str">
        <f>IF(C26="","",[1]!hks_fa_caturn(C26,F26))</f>
        <v/>
      </c>
      <c r="AK26" s="23" t="str">
        <f>IF(C26="","",[1]!hks_fa_faturn(C26,F26))</f>
        <v/>
      </c>
      <c r="AL26" s="25" t="str">
        <f>IF(C26="","",[1]!hks_fa_assetsturn(C26,F26))</f>
        <v/>
      </c>
      <c r="AM26" s="23" t="str">
        <f>IF(C26="","",[1]!hks_fa_yoy_tr(C26,F26))</f>
        <v/>
      </c>
      <c r="AN26" s="23" t="str">
        <f>IF(C26="","",[1]!hks_fa_yoy_or(C26,F26))</f>
        <v/>
      </c>
      <c r="AO26" s="23" t="str">
        <f>IF(C26="","",[1]!hks_fa_yoyop2(C26,F26))</f>
        <v/>
      </c>
      <c r="AP26" s="23" t="str">
        <f>IF(C26="","",[1]!hks_fa_yoyebt(C26,F26))</f>
        <v/>
      </c>
      <c r="AQ26" s="23" t="str">
        <f>IF(C26="","",[1]!hks_fa_yoynetprofit(C26,F26))</f>
        <v/>
      </c>
      <c r="AR26" s="23" t="str">
        <f>IF(C26="","",[1]!hks_fa_dupont_np(C26,F26))</f>
        <v/>
      </c>
      <c r="AS26" s="23" t="str">
        <f>IF(C26="","",[1]!hks_fa_dupont_taxburden(C26,F26))</f>
        <v/>
      </c>
      <c r="AT26" s="23" t="str">
        <f>IF(C26="","",[1]!s_fa_dupont_nptosales(C26,F26))</f>
        <v/>
      </c>
      <c r="AU26" s="23" t="str">
        <f>IF(C26="","",[1]!s_fa_dupont_roe(C26,F26))</f>
        <v/>
      </c>
      <c r="AV26" s="23" t="str">
        <f>IF(C26="","",[1]!hks_fa_dupont_intburden(C26,F26))</f>
        <v/>
      </c>
      <c r="AW26" s="23" t="str">
        <f>IF(C26="","",[1]!hks_fa_dupont_assetstoequity(C26,F26))</f>
        <v/>
      </c>
      <c r="AX26" s="23" t="str">
        <f>IF(C26="","",[1]!s_fa_dupont_ebittosales(C26,F26))</f>
        <v/>
      </c>
      <c r="AY26" s="23" t="str">
        <f>IF(C26="","",[1]!hks_fa_assetsturn(C26,F26))</f>
        <v/>
      </c>
      <c r="AZ26" s="23" t="str">
        <f>IF(C26="","",[1]!hks_fa_grossmargin2(C26,F26,"",100000000))</f>
        <v/>
      </c>
      <c r="BA26" s="23" t="str">
        <f>IF(C26="","",[1]!hks_fa_ebit3(C26,F26,1,"",100000000))</f>
        <v/>
      </c>
      <c r="BB26" s="23" t="str">
        <f>IF(C26="","",[1]!hks_fa_ebitda(C26,F26,1,"",100000000))</f>
        <v/>
      </c>
      <c r="BC26" s="23" t="str">
        <f>IF(C26="","",[1]!hks_fa_ebit(C26,F26,1,"",100000000))</f>
        <v/>
      </c>
      <c r="BD26" s="23" t="str">
        <f>IF(C26="","",[1]!hks_fa_ebitda(C26,F26,1,"",100000000))</f>
        <v/>
      </c>
      <c r="BE26" s="23" t="str">
        <f>IF(C26="","",[1]!hks_fa_nogaapprofit(C26,F26,1,"",100000000))</f>
        <v/>
      </c>
      <c r="BF26" s="23" t="str">
        <f>IF(C26="","",[1]!hks_fa_deductedprofit(C26,F26,1,"",100000000))</f>
        <v/>
      </c>
      <c r="BG26" s="23" t="str">
        <f>IF(C26="","",[1]!hks_fa_retainedearnings2(C26,F26,"",100000000))</f>
        <v/>
      </c>
      <c r="BH26" s="23" t="str">
        <f>IF(C26="","",[1]!hks_fa_workingcapital2(C26,F26,"",100000000))</f>
        <v/>
      </c>
      <c r="BI26" s="23" t="str">
        <f>IF(C26="","",[1]!hks_fa_networkingcapital2(C26,F26,"",100000000))</f>
        <v/>
      </c>
      <c r="BJ26" s="23" t="str">
        <f>IF(C26="","",[1]!hks_fa_investcapital2(C26,F26,"",100000000))</f>
        <v/>
      </c>
      <c r="BK26" s="23" t="str">
        <f>IF(C26="","",[1]!hks_fa_tangibleasset2(C26,F26,"",100000000))</f>
        <v/>
      </c>
      <c r="BL26" s="23" t="str">
        <f>IF(C26="","",[1]!hks_fa_netdebt2(C26,F26,"",100000000))</f>
        <v/>
      </c>
      <c r="BM26" s="23" t="str">
        <f>IF(C26="","",[1]!hks_fa_interestdebt2(C26,F26,"",100000000))</f>
        <v/>
      </c>
      <c r="BN26" s="23" t="str">
        <f>IF(C26="","",[1]!hks_fa_exinterestdebt_current(C26,F26,"",100000000))</f>
        <v/>
      </c>
      <c r="BO26" s="23" t="str">
        <f>IF(C26="","",[1]!hks_fa_exinterestdebt_noncurrent2(C26,F26,"",100000000))</f>
        <v/>
      </c>
      <c r="BP26" s="23" t="str">
        <f>IF(C26="","",[1]!hks_fa_fcfe2(C26,F26,"",100000000))</f>
        <v/>
      </c>
      <c r="BQ26" s="23" t="str">
        <f>IF(C26="","",[1]!hks_fa_fcff2(C26,F26,"",100000000))</f>
        <v/>
      </c>
      <c r="BR26" s="35"/>
    </row>
    <row r="27" spans="1:70" s="36" customFormat="1" ht="16.5" x14ac:dyDescent="0.2">
      <c r="A27" s="2"/>
      <c r="B27" s="6"/>
      <c r="C27" s="28" t="str">
        <f>IF(表1[[#This Row],[列1]]="","",表1[[#This Row],[列1]])</f>
        <v/>
      </c>
      <c r="D27" s="19" t="str">
        <f>IF(C27="","",[1]!hks_info_name(C27))</f>
        <v/>
      </c>
      <c r="E27" s="19" t="str">
        <f ca="1">IF(C27="","",[1]!lastradeday_s(C27,TODAY()))</f>
        <v/>
      </c>
      <c r="F27" s="49" t="str">
        <f>IF(C27="","",IF(OR([1]!s_stm_rpt_e(C27,基本资料!$I$8,0)="#N/A",[1]!s_stm_rpt_e(C27,基本资料!$I$8,0)="",[1]!s_stm_rpt_e(C27,基本资料!$I$8,0)=0),[1]!s_stm_rpt_e(C27,基本资料!$I$9,0),[1]!s_stm_rpt_e(C27,基本资料!$I$8,0)))</f>
        <v/>
      </c>
      <c r="G27" s="49" t="str">
        <f>IF(C27="","",[1]!hks_info_cur2(C27,F27))</f>
        <v/>
      </c>
      <c r="H27" s="27" t="str">
        <f>IF(C27="","",[1]!hks_fa_eps_basic(C27,F27,""))</f>
        <v/>
      </c>
      <c r="I27" s="23" t="str">
        <f>IF(C27="","",[1]!hks_fa_eps_adjust2(C27,F27,""))</f>
        <v/>
      </c>
      <c r="J27" s="23" t="str">
        <f>IF(C27="","",[1]!hks_fa_bps(C27,F27,""))</f>
        <v/>
      </c>
      <c r="K27" s="25" t="str">
        <f>IF(C27="","",[1]!hks_fa_ocfps(C27,F27,""))</f>
        <v/>
      </c>
      <c r="L27" s="27" t="str">
        <f>IF(C27="","",[1]!hks_fa_grossprofitmargin(C27,F27))</f>
        <v/>
      </c>
      <c r="M27" s="23" t="str">
        <f>IF(C27="","",[1]!hks_fa_netprofitmargin(C27,F27))</f>
        <v/>
      </c>
      <c r="N27" s="23" t="str">
        <f>IF(C27="","",[1]!hks_fa_roe(C27,F27))</f>
        <v/>
      </c>
      <c r="O27" s="23" t="str">
        <f>IF(C27="","",[1]!hks_fa_roe_deducted(C27,F27))</f>
        <v/>
      </c>
      <c r="P27" s="23" t="str">
        <f>IF(C27="","",[1]!hks_fa_roa2(C27,F27))</f>
        <v/>
      </c>
      <c r="Q27" s="23" t="str">
        <f>IF(C27="","",[1]!hks_fa_roic(C27,F27))</f>
        <v/>
      </c>
      <c r="R27" s="23" t="str">
        <f>IF(C27="","",[1]!hks_fa_dupont_nptosales(C27,F27))</f>
        <v/>
      </c>
      <c r="S27" s="23" t="str">
        <f>IF(C27="","",[1]!hks_fa_dupont_ebittosales(C27,F27))</f>
        <v/>
      </c>
      <c r="T27" s="25" t="str">
        <f>IF(C27="","",[1]!hks_fa_ebitdatosales(C27,F27))</f>
        <v/>
      </c>
      <c r="U27" s="47" t="str">
        <f>IF(C27="","",[1]!hks_fa_optoebt(C27,F27))</f>
        <v/>
      </c>
      <c r="V27" s="25" t="str">
        <f>IF(C27="","",[1]!hks_fa_ocftosales(C27,F27))</f>
        <v/>
      </c>
      <c r="W27" s="27" t="str">
        <f>IF(C27="","",[1]!hks_fa_debttoassets(C27,F27))</f>
        <v/>
      </c>
      <c r="X27" s="23" t="str">
        <f>IF(C27="","",[1]!s_fa_debttoeqy(C27,F27))</f>
        <v/>
      </c>
      <c r="Y27" s="23" t="str">
        <f>IF(C27="","",[1]!hks_fa_catoassets(C27,F27))</f>
        <v/>
      </c>
      <c r="Z27" s="23" t="str">
        <f>IF(C27="","",[1]!hks_fa_ncatoassets(C27,F27))</f>
        <v/>
      </c>
      <c r="AA27" s="23" t="str">
        <f>IF(C27="","",[1]!hks_fa_currentdebttodebt(C27,F27))</f>
        <v/>
      </c>
      <c r="AB27" s="25" t="str">
        <f>IF(C27="","",[1]!hks_fa_longdebtodebt(C27,F27))</f>
        <v/>
      </c>
      <c r="AC27" s="25" t="str">
        <f>IF(C27="","",[1]!hks_fa_current(C27,F27))</f>
        <v/>
      </c>
      <c r="AD27" s="25" t="str">
        <f>IF(C27="","",[1]!hks_fa_quick(C27,F27))</f>
        <v/>
      </c>
      <c r="AE27" s="25" t="str">
        <f>IF(C27="","",[1]!hks_fa_ebittointerest(C27,F27))</f>
        <v/>
      </c>
      <c r="AF27" s="25" t="str">
        <f>IF(C27="","",[1]!hks_fa_netdebtratio(C27,F27))</f>
        <v/>
      </c>
      <c r="AG27" s="27" t="str">
        <f>IF(C27="","",[1]!hks_fa_arturn(C27,F27))</f>
        <v/>
      </c>
      <c r="AH27" s="23" t="str">
        <f>IF(C27="","",[1]!hks_fa_apturn(C27,F27))</f>
        <v/>
      </c>
      <c r="AI27" s="23" t="str">
        <f>IF(C27="","",[1]!hks_fa_invturn(C27,F27))</f>
        <v/>
      </c>
      <c r="AJ27" s="23" t="str">
        <f>IF(C27="","",[1]!hks_fa_caturn(C27,F27))</f>
        <v/>
      </c>
      <c r="AK27" s="23" t="str">
        <f>IF(C27="","",[1]!hks_fa_faturn(C27,F27))</f>
        <v/>
      </c>
      <c r="AL27" s="25" t="str">
        <f>IF(C27="","",[1]!hks_fa_assetsturn(C27,F27))</f>
        <v/>
      </c>
      <c r="AM27" s="23" t="str">
        <f>IF(C27="","",[1]!hks_fa_yoy_tr(C27,F27))</f>
        <v/>
      </c>
      <c r="AN27" s="23" t="str">
        <f>IF(C27="","",[1]!hks_fa_yoy_or(C27,F27))</f>
        <v/>
      </c>
      <c r="AO27" s="23" t="str">
        <f>IF(C27="","",[1]!hks_fa_yoyop2(C27,F27))</f>
        <v/>
      </c>
      <c r="AP27" s="23" t="str">
        <f>IF(C27="","",[1]!hks_fa_yoyebt(C27,F27))</f>
        <v/>
      </c>
      <c r="AQ27" s="23" t="str">
        <f>IF(C27="","",[1]!hks_fa_yoynetprofit(C27,F27))</f>
        <v/>
      </c>
      <c r="AR27" s="23" t="str">
        <f>IF(C27="","",[1]!hks_fa_dupont_np(C27,F27))</f>
        <v/>
      </c>
      <c r="AS27" s="23" t="str">
        <f>IF(C27="","",[1]!hks_fa_dupont_taxburden(C27,F27))</f>
        <v/>
      </c>
      <c r="AT27" s="23" t="str">
        <f>IF(C27="","",[1]!s_fa_dupont_nptosales(C27,F27))</f>
        <v/>
      </c>
      <c r="AU27" s="23" t="str">
        <f>IF(C27="","",[1]!s_fa_dupont_roe(C27,F27))</f>
        <v/>
      </c>
      <c r="AV27" s="23" t="str">
        <f>IF(C27="","",[1]!hks_fa_dupont_intburden(C27,F27))</f>
        <v/>
      </c>
      <c r="AW27" s="23" t="str">
        <f>IF(C27="","",[1]!hks_fa_dupont_assetstoequity(C27,F27))</f>
        <v/>
      </c>
      <c r="AX27" s="23" t="str">
        <f>IF(C27="","",[1]!s_fa_dupont_ebittosales(C27,F27))</f>
        <v/>
      </c>
      <c r="AY27" s="23" t="str">
        <f>IF(C27="","",[1]!hks_fa_assetsturn(C27,F27))</f>
        <v/>
      </c>
      <c r="AZ27" s="23" t="str">
        <f>IF(C27="","",[1]!hks_fa_grossmargin2(C27,F27,"",100000000))</f>
        <v/>
      </c>
      <c r="BA27" s="23" t="str">
        <f>IF(C27="","",[1]!hks_fa_ebit3(C27,F27,1,"",100000000))</f>
        <v/>
      </c>
      <c r="BB27" s="23" t="str">
        <f>IF(C27="","",[1]!hks_fa_ebitda(C27,F27,1,"",100000000))</f>
        <v/>
      </c>
      <c r="BC27" s="23" t="str">
        <f>IF(C27="","",[1]!hks_fa_ebit(C27,F27,1,"",100000000))</f>
        <v/>
      </c>
      <c r="BD27" s="23" t="str">
        <f>IF(C27="","",[1]!hks_fa_ebitda(C27,F27,1,"",100000000))</f>
        <v/>
      </c>
      <c r="BE27" s="23" t="str">
        <f>IF(C27="","",[1]!hks_fa_nogaapprofit(C27,F27,1,"",100000000))</f>
        <v/>
      </c>
      <c r="BF27" s="23" t="str">
        <f>IF(C27="","",[1]!hks_fa_deductedprofit(C27,F27,1,"",100000000))</f>
        <v/>
      </c>
      <c r="BG27" s="23" t="str">
        <f>IF(C27="","",[1]!hks_fa_retainedearnings2(C27,F27,"",100000000))</f>
        <v/>
      </c>
      <c r="BH27" s="23" t="str">
        <f>IF(C27="","",[1]!hks_fa_workingcapital2(C27,F27,"",100000000))</f>
        <v/>
      </c>
      <c r="BI27" s="23" t="str">
        <f>IF(C27="","",[1]!hks_fa_networkingcapital2(C27,F27,"",100000000))</f>
        <v/>
      </c>
      <c r="BJ27" s="23" t="str">
        <f>IF(C27="","",[1]!hks_fa_investcapital2(C27,F27,"",100000000))</f>
        <v/>
      </c>
      <c r="BK27" s="23" t="str">
        <f>IF(C27="","",[1]!hks_fa_tangibleasset2(C27,F27,"",100000000))</f>
        <v/>
      </c>
      <c r="BL27" s="23" t="str">
        <f>IF(C27="","",[1]!hks_fa_netdebt2(C27,F27,"",100000000))</f>
        <v/>
      </c>
      <c r="BM27" s="23" t="str">
        <f>IF(C27="","",[1]!hks_fa_interestdebt2(C27,F27,"",100000000))</f>
        <v/>
      </c>
      <c r="BN27" s="23" t="str">
        <f>IF(C27="","",[1]!hks_fa_exinterestdebt_current(C27,F27,"",100000000))</f>
        <v/>
      </c>
      <c r="BO27" s="23" t="str">
        <f>IF(C27="","",[1]!hks_fa_exinterestdebt_noncurrent2(C27,F27,"",100000000))</f>
        <v/>
      </c>
      <c r="BP27" s="23" t="str">
        <f>IF(C27="","",[1]!hks_fa_fcfe2(C27,F27,"",100000000))</f>
        <v/>
      </c>
      <c r="BQ27" s="23" t="str">
        <f>IF(C27="","",[1]!hks_fa_fcff2(C27,F27,"",100000000))</f>
        <v/>
      </c>
      <c r="BR27" s="35"/>
    </row>
    <row r="28" spans="1:70" s="36" customFormat="1" ht="16.5" x14ac:dyDescent="0.2">
      <c r="A28" s="2"/>
      <c r="B28" s="6"/>
      <c r="C28" s="28" t="str">
        <f>IF(表1[[#This Row],[列1]]="","",表1[[#This Row],[列1]])</f>
        <v/>
      </c>
      <c r="D28" s="19" t="str">
        <f>IF(C28="","",[1]!hks_info_name(C28))</f>
        <v/>
      </c>
      <c r="E28" s="19" t="str">
        <f ca="1">IF(C28="","",[1]!lastradeday_s(C28,TODAY()))</f>
        <v/>
      </c>
      <c r="F28" s="49" t="str">
        <f>IF(C28="","",IF(OR([1]!s_stm_rpt_e(C28,基本资料!$I$8,0)="#N/A",[1]!s_stm_rpt_e(C28,基本资料!$I$8,0)="",[1]!s_stm_rpt_e(C28,基本资料!$I$8,0)=0),[1]!s_stm_rpt_e(C28,基本资料!$I$9,0),[1]!s_stm_rpt_e(C28,基本资料!$I$8,0)))</f>
        <v/>
      </c>
      <c r="G28" s="49" t="str">
        <f>IF(C28="","",[1]!hks_info_cur2(C28,F28))</f>
        <v/>
      </c>
      <c r="H28" s="27" t="str">
        <f>IF(C28="","",[1]!hks_fa_eps_basic(C28,F28,""))</f>
        <v/>
      </c>
      <c r="I28" s="23" t="str">
        <f>IF(C28="","",[1]!hks_fa_eps_adjust2(C28,F28,""))</f>
        <v/>
      </c>
      <c r="J28" s="23" t="str">
        <f>IF(C28="","",[1]!hks_fa_bps(C28,F28,""))</f>
        <v/>
      </c>
      <c r="K28" s="25" t="str">
        <f>IF(C28="","",[1]!hks_fa_ocfps(C28,F28,""))</f>
        <v/>
      </c>
      <c r="L28" s="27" t="str">
        <f>IF(C28="","",[1]!hks_fa_grossprofitmargin(C28,F28))</f>
        <v/>
      </c>
      <c r="M28" s="23" t="str">
        <f>IF(C28="","",[1]!hks_fa_netprofitmargin(C28,F28))</f>
        <v/>
      </c>
      <c r="N28" s="23" t="str">
        <f>IF(C28="","",[1]!hks_fa_roe(C28,F28))</f>
        <v/>
      </c>
      <c r="O28" s="23" t="str">
        <f>IF(C28="","",[1]!hks_fa_roe_deducted(C28,F28))</f>
        <v/>
      </c>
      <c r="P28" s="23" t="str">
        <f>IF(C28="","",[1]!hks_fa_roa2(C28,F28))</f>
        <v/>
      </c>
      <c r="Q28" s="23" t="str">
        <f>IF(C28="","",[1]!hks_fa_roic(C28,F28))</f>
        <v/>
      </c>
      <c r="R28" s="23" t="str">
        <f>IF(C28="","",[1]!hks_fa_dupont_nptosales(C28,F28))</f>
        <v/>
      </c>
      <c r="S28" s="23" t="str">
        <f>IF(C28="","",[1]!hks_fa_dupont_ebittosales(C28,F28))</f>
        <v/>
      </c>
      <c r="T28" s="25" t="str">
        <f>IF(C28="","",[1]!hks_fa_ebitdatosales(C28,F28))</f>
        <v/>
      </c>
      <c r="U28" s="47" t="str">
        <f>IF(C28="","",[1]!hks_fa_optoebt(C28,F28))</f>
        <v/>
      </c>
      <c r="V28" s="25" t="str">
        <f>IF(C28="","",[1]!hks_fa_ocftosales(C28,F28))</f>
        <v/>
      </c>
      <c r="W28" s="27" t="str">
        <f>IF(C28="","",[1]!hks_fa_debttoassets(C28,F28))</f>
        <v/>
      </c>
      <c r="X28" s="23" t="str">
        <f>IF(C28="","",[1]!s_fa_debttoeqy(C28,F28))</f>
        <v/>
      </c>
      <c r="Y28" s="23" t="str">
        <f>IF(C28="","",[1]!hks_fa_catoassets(C28,F28))</f>
        <v/>
      </c>
      <c r="Z28" s="23" t="str">
        <f>IF(C28="","",[1]!hks_fa_ncatoassets(C28,F28))</f>
        <v/>
      </c>
      <c r="AA28" s="23" t="str">
        <f>IF(C28="","",[1]!hks_fa_currentdebttodebt(C28,F28))</f>
        <v/>
      </c>
      <c r="AB28" s="25" t="str">
        <f>IF(C28="","",[1]!hks_fa_longdebtodebt(C28,F28))</f>
        <v/>
      </c>
      <c r="AC28" s="25" t="str">
        <f>IF(C28="","",[1]!hks_fa_current(C28,F28))</f>
        <v/>
      </c>
      <c r="AD28" s="25" t="str">
        <f>IF(C28="","",[1]!hks_fa_quick(C28,F28))</f>
        <v/>
      </c>
      <c r="AE28" s="25" t="str">
        <f>IF(C28="","",[1]!hks_fa_ebittointerest(C28,F28))</f>
        <v/>
      </c>
      <c r="AF28" s="25" t="str">
        <f>IF(C28="","",[1]!hks_fa_netdebtratio(C28,F28))</f>
        <v/>
      </c>
      <c r="AG28" s="27" t="str">
        <f>IF(C28="","",[1]!hks_fa_arturn(C28,F28))</f>
        <v/>
      </c>
      <c r="AH28" s="23" t="str">
        <f>IF(C28="","",[1]!hks_fa_apturn(C28,F28))</f>
        <v/>
      </c>
      <c r="AI28" s="23" t="str">
        <f>IF(C28="","",[1]!hks_fa_invturn(C28,F28))</f>
        <v/>
      </c>
      <c r="AJ28" s="23" t="str">
        <f>IF(C28="","",[1]!hks_fa_caturn(C28,F28))</f>
        <v/>
      </c>
      <c r="AK28" s="23" t="str">
        <f>IF(C28="","",[1]!hks_fa_faturn(C28,F28))</f>
        <v/>
      </c>
      <c r="AL28" s="25" t="str">
        <f>IF(C28="","",[1]!hks_fa_assetsturn(C28,F28))</f>
        <v/>
      </c>
      <c r="AM28" s="23" t="str">
        <f>IF(C28="","",[1]!hks_fa_yoy_tr(C28,F28))</f>
        <v/>
      </c>
      <c r="AN28" s="23" t="str">
        <f>IF(C28="","",[1]!hks_fa_yoy_or(C28,F28))</f>
        <v/>
      </c>
      <c r="AO28" s="23" t="str">
        <f>IF(C28="","",[1]!hks_fa_yoyop2(C28,F28))</f>
        <v/>
      </c>
      <c r="AP28" s="23" t="str">
        <f>IF(C28="","",[1]!hks_fa_yoyebt(C28,F28))</f>
        <v/>
      </c>
      <c r="AQ28" s="23" t="str">
        <f>IF(C28="","",[1]!hks_fa_yoynetprofit(C28,F28))</f>
        <v/>
      </c>
      <c r="AR28" s="23" t="str">
        <f>IF(C28="","",[1]!hks_fa_dupont_np(C28,F28))</f>
        <v/>
      </c>
      <c r="AS28" s="23" t="str">
        <f>IF(C28="","",[1]!hks_fa_dupont_taxburden(C28,F28))</f>
        <v/>
      </c>
      <c r="AT28" s="23" t="str">
        <f>IF(C28="","",[1]!s_fa_dupont_nptosales(C28,F28))</f>
        <v/>
      </c>
      <c r="AU28" s="23" t="str">
        <f>IF(C28="","",[1]!s_fa_dupont_roe(C28,F28))</f>
        <v/>
      </c>
      <c r="AV28" s="23" t="str">
        <f>IF(C28="","",[1]!hks_fa_dupont_intburden(C28,F28))</f>
        <v/>
      </c>
      <c r="AW28" s="23" t="str">
        <f>IF(C28="","",[1]!hks_fa_dupont_assetstoequity(C28,F28))</f>
        <v/>
      </c>
      <c r="AX28" s="23" t="str">
        <f>IF(C28="","",[1]!s_fa_dupont_ebittosales(C28,F28))</f>
        <v/>
      </c>
      <c r="AY28" s="23" t="str">
        <f>IF(C28="","",[1]!hks_fa_assetsturn(C28,F28))</f>
        <v/>
      </c>
      <c r="AZ28" s="23" t="str">
        <f>IF(C28="","",[1]!hks_fa_grossmargin2(C28,F28,"",100000000))</f>
        <v/>
      </c>
      <c r="BA28" s="23" t="str">
        <f>IF(C28="","",[1]!hks_fa_ebit3(C28,F28,1,"",100000000))</f>
        <v/>
      </c>
      <c r="BB28" s="23" t="str">
        <f>IF(C28="","",[1]!hks_fa_ebitda(C28,F28,1,"",100000000))</f>
        <v/>
      </c>
      <c r="BC28" s="23" t="str">
        <f>IF(C28="","",[1]!hks_fa_ebit(C28,F28,1,"",100000000))</f>
        <v/>
      </c>
      <c r="BD28" s="23" t="str">
        <f>IF(C28="","",[1]!hks_fa_ebitda(C28,F28,1,"",100000000))</f>
        <v/>
      </c>
      <c r="BE28" s="23" t="str">
        <f>IF(C28="","",[1]!hks_fa_nogaapprofit(C28,F28,1,"",100000000))</f>
        <v/>
      </c>
      <c r="BF28" s="23" t="str">
        <f>IF(C28="","",[1]!hks_fa_deductedprofit(C28,F28,1,"",100000000))</f>
        <v/>
      </c>
      <c r="BG28" s="23" t="str">
        <f>IF(C28="","",[1]!hks_fa_retainedearnings2(C28,F28,"",100000000))</f>
        <v/>
      </c>
      <c r="BH28" s="23" t="str">
        <f>IF(C28="","",[1]!hks_fa_workingcapital2(C28,F28,"",100000000))</f>
        <v/>
      </c>
      <c r="BI28" s="23" t="str">
        <f>IF(C28="","",[1]!hks_fa_networkingcapital2(C28,F28,"",100000000))</f>
        <v/>
      </c>
      <c r="BJ28" s="23" t="str">
        <f>IF(C28="","",[1]!hks_fa_investcapital2(C28,F28,"",100000000))</f>
        <v/>
      </c>
      <c r="BK28" s="23" t="str">
        <f>IF(C28="","",[1]!hks_fa_tangibleasset2(C28,F28,"",100000000))</f>
        <v/>
      </c>
      <c r="BL28" s="23" t="str">
        <f>IF(C28="","",[1]!hks_fa_netdebt2(C28,F28,"",100000000))</f>
        <v/>
      </c>
      <c r="BM28" s="23" t="str">
        <f>IF(C28="","",[1]!hks_fa_interestdebt2(C28,F28,"",100000000))</f>
        <v/>
      </c>
      <c r="BN28" s="23" t="str">
        <f>IF(C28="","",[1]!hks_fa_exinterestdebt_current(C28,F28,"",100000000))</f>
        <v/>
      </c>
      <c r="BO28" s="23" t="str">
        <f>IF(C28="","",[1]!hks_fa_exinterestdebt_noncurrent2(C28,F28,"",100000000))</f>
        <v/>
      </c>
      <c r="BP28" s="23" t="str">
        <f>IF(C28="","",[1]!hks_fa_fcfe2(C28,F28,"",100000000))</f>
        <v/>
      </c>
      <c r="BQ28" s="23" t="str">
        <f>IF(C28="","",[1]!hks_fa_fcff2(C28,F28,"",100000000))</f>
        <v/>
      </c>
      <c r="BR28" s="35"/>
    </row>
    <row r="29" spans="1:70" s="36" customFormat="1" ht="16.5" x14ac:dyDescent="0.2">
      <c r="A29" s="2"/>
      <c r="B29" s="6"/>
      <c r="C29" s="28" t="str">
        <f>IF(表1[[#This Row],[列1]]="","",表1[[#This Row],[列1]])</f>
        <v/>
      </c>
      <c r="D29" s="19" t="str">
        <f>IF(C29="","",[1]!hks_info_name(C29))</f>
        <v/>
      </c>
      <c r="E29" s="19" t="str">
        <f ca="1">IF(C29="","",[1]!lastradeday_s(C29,TODAY()))</f>
        <v/>
      </c>
      <c r="F29" s="49" t="str">
        <f>IF(C29="","",IF(OR([1]!s_stm_rpt_e(C29,基本资料!$I$8,0)="#N/A",[1]!s_stm_rpt_e(C29,基本资料!$I$8,0)="",[1]!s_stm_rpt_e(C29,基本资料!$I$8,0)=0),[1]!s_stm_rpt_e(C29,基本资料!$I$9,0),[1]!s_stm_rpt_e(C29,基本资料!$I$8,0)))</f>
        <v/>
      </c>
      <c r="G29" s="49" t="str">
        <f>IF(C29="","",[1]!hks_info_cur2(C29,F29))</f>
        <v/>
      </c>
      <c r="H29" s="27" t="str">
        <f>IF(C29="","",[1]!hks_fa_eps_basic(C29,F29,""))</f>
        <v/>
      </c>
      <c r="I29" s="23" t="str">
        <f>IF(C29="","",[1]!hks_fa_eps_adjust2(C29,F29,""))</f>
        <v/>
      </c>
      <c r="J29" s="23" t="str">
        <f>IF(C29="","",[1]!hks_fa_bps(C29,F29,""))</f>
        <v/>
      </c>
      <c r="K29" s="25" t="str">
        <f>IF(C29="","",[1]!hks_fa_ocfps(C29,F29,""))</f>
        <v/>
      </c>
      <c r="L29" s="27" t="str">
        <f>IF(C29="","",[1]!hks_fa_grossprofitmargin(C29,F29))</f>
        <v/>
      </c>
      <c r="M29" s="23" t="str">
        <f>IF(C29="","",[1]!hks_fa_netprofitmargin(C29,F29))</f>
        <v/>
      </c>
      <c r="N29" s="23" t="str">
        <f>IF(C29="","",[1]!hks_fa_roe(C29,F29))</f>
        <v/>
      </c>
      <c r="O29" s="23" t="str">
        <f>IF(C29="","",[1]!hks_fa_roe_deducted(C29,F29))</f>
        <v/>
      </c>
      <c r="P29" s="23" t="str">
        <f>IF(C29="","",[1]!hks_fa_roa2(C29,F29))</f>
        <v/>
      </c>
      <c r="Q29" s="23" t="str">
        <f>IF(C29="","",[1]!hks_fa_roic(C29,F29))</f>
        <v/>
      </c>
      <c r="R29" s="23" t="str">
        <f>IF(C29="","",[1]!hks_fa_dupont_nptosales(C29,F29))</f>
        <v/>
      </c>
      <c r="S29" s="23" t="str">
        <f>IF(C29="","",[1]!hks_fa_dupont_ebittosales(C29,F29))</f>
        <v/>
      </c>
      <c r="T29" s="25" t="str">
        <f>IF(C29="","",[1]!hks_fa_ebitdatosales(C29,F29))</f>
        <v/>
      </c>
      <c r="U29" s="47" t="str">
        <f>IF(C29="","",[1]!hks_fa_optoebt(C29,F29))</f>
        <v/>
      </c>
      <c r="V29" s="25" t="str">
        <f>IF(C29="","",[1]!hks_fa_ocftosales(C29,F29))</f>
        <v/>
      </c>
      <c r="W29" s="27" t="str">
        <f>IF(C29="","",[1]!hks_fa_debttoassets(C29,F29))</f>
        <v/>
      </c>
      <c r="X29" s="23" t="str">
        <f>IF(C29="","",[1]!s_fa_debttoeqy(C29,F29))</f>
        <v/>
      </c>
      <c r="Y29" s="23" t="str">
        <f>IF(C29="","",[1]!hks_fa_catoassets(C29,F29))</f>
        <v/>
      </c>
      <c r="Z29" s="23" t="str">
        <f>IF(C29="","",[1]!hks_fa_ncatoassets(C29,F29))</f>
        <v/>
      </c>
      <c r="AA29" s="23" t="str">
        <f>IF(C29="","",[1]!hks_fa_currentdebttodebt(C29,F29))</f>
        <v/>
      </c>
      <c r="AB29" s="25" t="str">
        <f>IF(C29="","",[1]!hks_fa_longdebtodebt(C29,F29))</f>
        <v/>
      </c>
      <c r="AC29" s="25" t="str">
        <f>IF(C29="","",[1]!hks_fa_current(C29,F29))</f>
        <v/>
      </c>
      <c r="AD29" s="25" t="str">
        <f>IF(C29="","",[1]!hks_fa_quick(C29,F29))</f>
        <v/>
      </c>
      <c r="AE29" s="25" t="str">
        <f>IF(C29="","",[1]!hks_fa_ebittointerest(C29,F29))</f>
        <v/>
      </c>
      <c r="AF29" s="25" t="str">
        <f>IF(C29="","",[1]!hks_fa_netdebtratio(C29,F29))</f>
        <v/>
      </c>
      <c r="AG29" s="27" t="str">
        <f>IF(C29="","",[1]!hks_fa_arturn(C29,F29))</f>
        <v/>
      </c>
      <c r="AH29" s="23" t="str">
        <f>IF(C29="","",[1]!hks_fa_apturn(C29,F29))</f>
        <v/>
      </c>
      <c r="AI29" s="23" t="str">
        <f>IF(C29="","",[1]!hks_fa_invturn(C29,F29))</f>
        <v/>
      </c>
      <c r="AJ29" s="23" t="str">
        <f>IF(C29="","",[1]!hks_fa_caturn(C29,F29))</f>
        <v/>
      </c>
      <c r="AK29" s="23" t="str">
        <f>IF(C29="","",[1]!hks_fa_faturn(C29,F29))</f>
        <v/>
      </c>
      <c r="AL29" s="25" t="str">
        <f>IF(C29="","",[1]!hks_fa_assetsturn(C29,F29))</f>
        <v/>
      </c>
      <c r="AM29" s="23" t="str">
        <f>IF(C29="","",[1]!hks_fa_yoy_tr(C29,F29))</f>
        <v/>
      </c>
      <c r="AN29" s="23" t="str">
        <f>IF(C29="","",[1]!hks_fa_yoy_or(C29,F29))</f>
        <v/>
      </c>
      <c r="AO29" s="23" t="str">
        <f>IF(C29="","",[1]!hks_fa_yoyop2(C29,F29))</f>
        <v/>
      </c>
      <c r="AP29" s="23" t="str">
        <f>IF(C29="","",[1]!hks_fa_yoyebt(C29,F29))</f>
        <v/>
      </c>
      <c r="AQ29" s="23" t="str">
        <f>IF(C29="","",[1]!hks_fa_yoynetprofit(C29,F29))</f>
        <v/>
      </c>
      <c r="AR29" s="23" t="str">
        <f>IF(C29="","",[1]!hks_fa_dupont_np(C29,F29))</f>
        <v/>
      </c>
      <c r="AS29" s="23" t="str">
        <f>IF(C29="","",[1]!hks_fa_dupont_taxburden(C29,F29))</f>
        <v/>
      </c>
      <c r="AT29" s="23" t="str">
        <f>IF(C29="","",[1]!s_fa_dupont_nptosales(C29,F29))</f>
        <v/>
      </c>
      <c r="AU29" s="23" t="str">
        <f>IF(C29="","",[1]!s_fa_dupont_roe(C29,F29))</f>
        <v/>
      </c>
      <c r="AV29" s="23" t="str">
        <f>IF(C29="","",[1]!hks_fa_dupont_intburden(C29,F29))</f>
        <v/>
      </c>
      <c r="AW29" s="23" t="str">
        <f>IF(C29="","",[1]!hks_fa_dupont_assetstoequity(C29,F29))</f>
        <v/>
      </c>
      <c r="AX29" s="23" t="str">
        <f>IF(C29="","",[1]!s_fa_dupont_ebittosales(C29,F29))</f>
        <v/>
      </c>
      <c r="AY29" s="23" t="str">
        <f>IF(C29="","",[1]!hks_fa_assetsturn(C29,F29))</f>
        <v/>
      </c>
      <c r="AZ29" s="23" t="str">
        <f>IF(C29="","",[1]!hks_fa_grossmargin2(C29,F29,"",100000000))</f>
        <v/>
      </c>
      <c r="BA29" s="23" t="str">
        <f>IF(C29="","",[1]!hks_fa_ebit3(C29,F29,1,"",100000000))</f>
        <v/>
      </c>
      <c r="BB29" s="23" t="str">
        <f>IF(C29="","",[1]!hks_fa_ebitda(C29,F29,1,"",100000000))</f>
        <v/>
      </c>
      <c r="BC29" s="23" t="str">
        <f>IF(C29="","",[1]!hks_fa_ebit(C29,F29,1,"",100000000))</f>
        <v/>
      </c>
      <c r="BD29" s="23" t="str">
        <f>IF(C29="","",[1]!hks_fa_ebitda(C29,F29,1,"",100000000))</f>
        <v/>
      </c>
      <c r="BE29" s="23" t="str">
        <f>IF(C29="","",[1]!hks_fa_nogaapprofit(C29,F29,1,"",100000000))</f>
        <v/>
      </c>
      <c r="BF29" s="23" t="str">
        <f>IF(C29="","",[1]!hks_fa_deductedprofit(C29,F29,1,"",100000000))</f>
        <v/>
      </c>
      <c r="BG29" s="23" t="str">
        <f>IF(C29="","",[1]!hks_fa_retainedearnings2(C29,F29,"",100000000))</f>
        <v/>
      </c>
      <c r="BH29" s="23" t="str">
        <f>IF(C29="","",[1]!hks_fa_workingcapital2(C29,F29,"",100000000))</f>
        <v/>
      </c>
      <c r="BI29" s="23" t="str">
        <f>IF(C29="","",[1]!hks_fa_networkingcapital2(C29,F29,"",100000000))</f>
        <v/>
      </c>
      <c r="BJ29" s="23" t="str">
        <f>IF(C29="","",[1]!hks_fa_investcapital2(C29,F29,"",100000000))</f>
        <v/>
      </c>
      <c r="BK29" s="23" t="str">
        <f>IF(C29="","",[1]!hks_fa_tangibleasset2(C29,F29,"",100000000))</f>
        <v/>
      </c>
      <c r="BL29" s="23" t="str">
        <f>IF(C29="","",[1]!hks_fa_netdebt2(C29,F29,"",100000000))</f>
        <v/>
      </c>
      <c r="BM29" s="23" t="str">
        <f>IF(C29="","",[1]!hks_fa_interestdebt2(C29,F29,"",100000000))</f>
        <v/>
      </c>
      <c r="BN29" s="23" t="str">
        <f>IF(C29="","",[1]!hks_fa_exinterestdebt_current(C29,F29,"",100000000))</f>
        <v/>
      </c>
      <c r="BO29" s="23" t="str">
        <f>IF(C29="","",[1]!hks_fa_exinterestdebt_noncurrent2(C29,F29,"",100000000))</f>
        <v/>
      </c>
      <c r="BP29" s="23" t="str">
        <f>IF(C29="","",[1]!hks_fa_fcfe2(C29,F29,"",100000000))</f>
        <v/>
      </c>
      <c r="BQ29" s="23" t="str">
        <f>IF(C29="","",[1]!hks_fa_fcff2(C29,F29,"",100000000))</f>
        <v/>
      </c>
      <c r="BR29" s="35"/>
    </row>
    <row r="30" spans="1:70" s="36" customFormat="1" ht="16.5" x14ac:dyDescent="0.2">
      <c r="A30" s="2"/>
      <c r="B30" s="6"/>
      <c r="C30" s="28" t="str">
        <f>IF(表1[[#This Row],[列1]]="","",表1[[#This Row],[列1]])</f>
        <v/>
      </c>
      <c r="D30" s="19" t="str">
        <f>IF(C30="","",[1]!hks_info_name(C30))</f>
        <v/>
      </c>
      <c r="E30" s="19" t="str">
        <f ca="1">IF(C30="","",[1]!lastradeday_s(C30,TODAY()))</f>
        <v/>
      </c>
      <c r="F30" s="49" t="str">
        <f>IF(C30="","",IF(OR([1]!s_stm_rpt_e(C30,基本资料!$I$8,0)="#N/A",[1]!s_stm_rpt_e(C30,基本资料!$I$8,0)="",[1]!s_stm_rpt_e(C30,基本资料!$I$8,0)=0),[1]!s_stm_rpt_e(C30,基本资料!$I$9,0),[1]!s_stm_rpt_e(C30,基本资料!$I$8,0)))</f>
        <v/>
      </c>
      <c r="G30" s="49" t="str">
        <f>IF(C30="","",[1]!hks_info_cur2(C30,F30))</f>
        <v/>
      </c>
      <c r="H30" s="27" t="str">
        <f>IF(C30="","",[1]!hks_fa_eps_basic(C30,F30,""))</f>
        <v/>
      </c>
      <c r="I30" s="23" t="str">
        <f>IF(C30="","",[1]!hks_fa_eps_adjust2(C30,F30,""))</f>
        <v/>
      </c>
      <c r="J30" s="23" t="str">
        <f>IF(C30="","",[1]!hks_fa_bps(C30,F30,""))</f>
        <v/>
      </c>
      <c r="K30" s="25" t="str">
        <f>IF(C30="","",[1]!hks_fa_ocfps(C30,F30,""))</f>
        <v/>
      </c>
      <c r="L30" s="27" t="str">
        <f>IF(C30="","",[1]!hks_fa_grossprofitmargin(C30,F30))</f>
        <v/>
      </c>
      <c r="M30" s="23" t="str">
        <f>IF(C30="","",[1]!hks_fa_netprofitmargin(C30,F30))</f>
        <v/>
      </c>
      <c r="N30" s="23" t="str">
        <f>IF(C30="","",[1]!hks_fa_roe(C30,F30))</f>
        <v/>
      </c>
      <c r="O30" s="23" t="str">
        <f>IF(C30="","",[1]!hks_fa_roe_deducted(C30,F30))</f>
        <v/>
      </c>
      <c r="P30" s="23" t="str">
        <f>IF(C30="","",[1]!hks_fa_roa2(C30,F30))</f>
        <v/>
      </c>
      <c r="Q30" s="23" t="str">
        <f>IF(C30="","",[1]!hks_fa_roic(C30,F30))</f>
        <v/>
      </c>
      <c r="R30" s="23" t="str">
        <f>IF(C30="","",[1]!hks_fa_dupont_nptosales(C30,F30))</f>
        <v/>
      </c>
      <c r="S30" s="23" t="str">
        <f>IF(C30="","",[1]!hks_fa_dupont_ebittosales(C30,F30))</f>
        <v/>
      </c>
      <c r="T30" s="25" t="str">
        <f>IF(C30="","",[1]!hks_fa_ebitdatosales(C30,F30))</f>
        <v/>
      </c>
      <c r="U30" s="47" t="str">
        <f>IF(C30="","",[1]!hks_fa_optoebt(C30,F30))</f>
        <v/>
      </c>
      <c r="V30" s="25" t="str">
        <f>IF(C30="","",[1]!hks_fa_ocftosales(C30,F30))</f>
        <v/>
      </c>
      <c r="W30" s="27" t="str">
        <f>IF(C30="","",[1]!hks_fa_debttoassets(C30,F30))</f>
        <v/>
      </c>
      <c r="X30" s="23" t="str">
        <f>IF(C30="","",[1]!s_fa_debttoeqy(C30,F30))</f>
        <v/>
      </c>
      <c r="Y30" s="23" t="str">
        <f>IF(C30="","",[1]!hks_fa_catoassets(C30,F30))</f>
        <v/>
      </c>
      <c r="Z30" s="23" t="str">
        <f>IF(C30="","",[1]!hks_fa_ncatoassets(C30,F30))</f>
        <v/>
      </c>
      <c r="AA30" s="23" t="str">
        <f>IF(C30="","",[1]!hks_fa_currentdebttodebt(C30,F30))</f>
        <v/>
      </c>
      <c r="AB30" s="25" t="str">
        <f>IF(C30="","",[1]!hks_fa_longdebtodebt(C30,F30))</f>
        <v/>
      </c>
      <c r="AC30" s="25" t="str">
        <f>IF(C30="","",[1]!hks_fa_current(C30,F30))</f>
        <v/>
      </c>
      <c r="AD30" s="25" t="str">
        <f>IF(C30="","",[1]!hks_fa_quick(C30,F30))</f>
        <v/>
      </c>
      <c r="AE30" s="25" t="str">
        <f>IF(C30="","",[1]!hks_fa_ebittointerest(C30,F30))</f>
        <v/>
      </c>
      <c r="AF30" s="25" t="str">
        <f>IF(C30="","",[1]!hks_fa_netdebtratio(C30,F30))</f>
        <v/>
      </c>
      <c r="AG30" s="27" t="str">
        <f>IF(C30="","",[1]!hks_fa_arturn(C30,F30))</f>
        <v/>
      </c>
      <c r="AH30" s="23" t="str">
        <f>IF(C30="","",[1]!hks_fa_apturn(C30,F30))</f>
        <v/>
      </c>
      <c r="AI30" s="23" t="str">
        <f>IF(C30="","",[1]!hks_fa_invturn(C30,F30))</f>
        <v/>
      </c>
      <c r="AJ30" s="23" t="str">
        <f>IF(C30="","",[1]!hks_fa_caturn(C30,F30))</f>
        <v/>
      </c>
      <c r="AK30" s="23" t="str">
        <f>IF(C30="","",[1]!hks_fa_faturn(C30,F30))</f>
        <v/>
      </c>
      <c r="AL30" s="25" t="str">
        <f>IF(C30="","",[1]!hks_fa_assetsturn(C30,F30))</f>
        <v/>
      </c>
      <c r="AM30" s="23" t="str">
        <f>IF(C30="","",[1]!hks_fa_yoy_tr(C30,F30))</f>
        <v/>
      </c>
      <c r="AN30" s="23" t="str">
        <f>IF(C30="","",[1]!hks_fa_yoy_or(C30,F30))</f>
        <v/>
      </c>
      <c r="AO30" s="23" t="str">
        <f>IF(C30="","",[1]!hks_fa_yoyop2(C30,F30))</f>
        <v/>
      </c>
      <c r="AP30" s="23" t="str">
        <f>IF(C30="","",[1]!hks_fa_yoyebt(C30,F30))</f>
        <v/>
      </c>
      <c r="AQ30" s="23" t="str">
        <f>IF(C30="","",[1]!hks_fa_yoynetprofit(C30,F30))</f>
        <v/>
      </c>
      <c r="AR30" s="23" t="str">
        <f>IF(C30="","",[1]!hks_fa_dupont_np(C30,F30))</f>
        <v/>
      </c>
      <c r="AS30" s="23" t="str">
        <f>IF(C30="","",[1]!hks_fa_dupont_taxburden(C30,F30))</f>
        <v/>
      </c>
      <c r="AT30" s="23" t="str">
        <f>IF(C30="","",[1]!s_fa_dupont_nptosales(C30,F30))</f>
        <v/>
      </c>
      <c r="AU30" s="23" t="str">
        <f>IF(C30="","",[1]!s_fa_dupont_roe(C30,F30))</f>
        <v/>
      </c>
      <c r="AV30" s="23" t="str">
        <f>IF(C30="","",[1]!hks_fa_dupont_intburden(C30,F30))</f>
        <v/>
      </c>
      <c r="AW30" s="23" t="str">
        <f>IF(C30="","",[1]!hks_fa_dupont_assetstoequity(C30,F30))</f>
        <v/>
      </c>
      <c r="AX30" s="23" t="str">
        <f>IF(C30="","",[1]!s_fa_dupont_ebittosales(C30,F30))</f>
        <v/>
      </c>
      <c r="AY30" s="23" t="str">
        <f>IF(C30="","",[1]!hks_fa_assetsturn(C30,F30))</f>
        <v/>
      </c>
      <c r="AZ30" s="23" t="str">
        <f>IF(C30="","",[1]!hks_fa_grossmargin2(C30,F30,"",100000000))</f>
        <v/>
      </c>
      <c r="BA30" s="23" t="str">
        <f>IF(C30="","",[1]!hks_fa_ebit3(C30,F30,1,"",100000000))</f>
        <v/>
      </c>
      <c r="BB30" s="23" t="str">
        <f>IF(C30="","",[1]!hks_fa_ebitda(C30,F30,1,"",100000000))</f>
        <v/>
      </c>
      <c r="BC30" s="23" t="str">
        <f>IF(C30="","",[1]!hks_fa_ebit(C30,F30,1,"",100000000))</f>
        <v/>
      </c>
      <c r="BD30" s="23" t="str">
        <f>IF(C30="","",[1]!hks_fa_ebitda(C30,F30,1,"",100000000))</f>
        <v/>
      </c>
      <c r="BE30" s="23" t="str">
        <f>IF(C30="","",[1]!hks_fa_nogaapprofit(C30,F30,1,"",100000000))</f>
        <v/>
      </c>
      <c r="BF30" s="23" t="str">
        <f>IF(C30="","",[1]!hks_fa_deductedprofit(C30,F30,1,"",100000000))</f>
        <v/>
      </c>
      <c r="BG30" s="23" t="str">
        <f>IF(C30="","",[1]!hks_fa_retainedearnings2(C30,F30,"",100000000))</f>
        <v/>
      </c>
      <c r="BH30" s="23" t="str">
        <f>IF(C30="","",[1]!hks_fa_workingcapital2(C30,F30,"",100000000))</f>
        <v/>
      </c>
      <c r="BI30" s="23" t="str">
        <f>IF(C30="","",[1]!hks_fa_networkingcapital2(C30,F30,"",100000000))</f>
        <v/>
      </c>
      <c r="BJ30" s="23" t="str">
        <f>IF(C30="","",[1]!hks_fa_investcapital2(C30,F30,"",100000000))</f>
        <v/>
      </c>
      <c r="BK30" s="23" t="str">
        <f>IF(C30="","",[1]!hks_fa_tangibleasset2(C30,F30,"",100000000))</f>
        <v/>
      </c>
      <c r="BL30" s="23" t="str">
        <f>IF(C30="","",[1]!hks_fa_netdebt2(C30,F30,"",100000000))</f>
        <v/>
      </c>
      <c r="BM30" s="23" t="str">
        <f>IF(C30="","",[1]!hks_fa_interestdebt2(C30,F30,"",100000000))</f>
        <v/>
      </c>
      <c r="BN30" s="23" t="str">
        <f>IF(C30="","",[1]!hks_fa_exinterestdebt_current(C30,F30,"",100000000))</f>
        <v/>
      </c>
      <c r="BO30" s="23" t="str">
        <f>IF(C30="","",[1]!hks_fa_exinterestdebt_noncurrent2(C30,F30,"",100000000))</f>
        <v/>
      </c>
      <c r="BP30" s="23" t="str">
        <f>IF(C30="","",[1]!hks_fa_fcfe2(C30,F30,"",100000000))</f>
        <v/>
      </c>
      <c r="BQ30" s="23" t="str">
        <f>IF(C30="","",[1]!hks_fa_fcff2(C30,F30,"",100000000))</f>
        <v/>
      </c>
      <c r="BR30" s="35"/>
    </row>
    <row r="31" spans="1:70" s="36" customFormat="1" ht="16.5" x14ac:dyDescent="0.2">
      <c r="A31" s="2"/>
      <c r="B31" s="6"/>
      <c r="C31" s="28" t="str">
        <f>IF(表1[[#This Row],[列1]]="","",表1[[#This Row],[列1]])</f>
        <v/>
      </c>
      <c r="D31" s="19" t="str">
        <f>IF(C31="","",[1]!hks_info_name(C31))</f>
        <v/>
      </c>
      <c r="E31" s="19" t="str">
        <f ca="1">IF(C31="","",[1]!lastradeday_s(C31,TODAY()))</f>
        <v/>
      </c>
      <c r="F31" s="49" t="str">
        <f>IF(C31="","",IF(OR([1]!s_stm_rpt_e(C31,基本资料!$I$8,0)="#N/A",[1]!s_stm_rpt_e(C31,基本资料!$I$8,0)="",[1]!s_stm_rpt_e(C31,基本资料!$I$8,0)=0),[1]!s_stm_rpt_e(C31,基本资料!$I$9,0),[1]!s_stm_rpt_e(C31,基本资料!$I$8,0)))</f>
        <v/>
      </c>
      <c r="G31" s="49" t="str">
        <f>IF(C31="","",[1]!hks_info_cur2(C31,F31))</f>
        <v/>
      </c>
      <c r="H31" s="27" t="str">
        <f>IF(C31="","",[1]!hks_fa_eps_basic(C31,F31,""))</f>
        <v/>
      </c>
      <c r="I31" s="23" t="str">
        <f>IF(C31="","",[1]!hks_fa_eps_adjust2(C31,F31,""))</f>
        <v/>
      </c>
      <c r="J31" s="23" t="str">
        <f>IF(C31="","",[1]!hks_fa_bps(C31,F31,""))</f>
        <v/>
      </c>
      <c r="K31" s="25" t="str">
        <f>IF(C31="","",[1]!hks_fa_ocfps(C31,F31,""))</f>
        <v/>
      </c>
      <c r="L31" s="27" t="str">
        <f>IF(C31="","",[1]!hks_fa_grossprofitmargin(C31,F31))</f>
        <v/>
      </c>
      <c r="M31" s="23" t="str">
        <f>IF(C31="","",[1]!hks_fa_netprofitmargin(C31,F31))</f>
        <v/>
      </c>
      <c r="N31" s="23" t="str">
        <f>IF(C31="","",[1]!hks_fa_roe(C31,F31))</f>
        <v/>
      </c>
      <c r="O31" s="23" t="str">
        <f>IF(C31="","",[1]!hks_fa_roe_deducted(C31,F31))</f>
        <v/>
      </c>
      <c r="P31" s="23" t="str">
        <f>IF(C31="","",[1]!hks_fa_roa2(C31,F31))</f>
        <v/>
      </c>
      <c r="Q31" s="23" t="str">
        <f>IF(C31="","",[1]!hks_fa_roic(C31,F31))</f>
        <v/>
      </c>
      <c r="R31" s="23" t="str">
        <f>IF(C31="","",[1]!hks_fa_dupont_nptosales(C31,F31))</f>
        <v/>
      </c>
      <c r="S31" s="23" t="str">
        <f>IF(C31="","",[1]!hks_fa_dupont_ebittosales(C31,F31))</f>
        <v/>
      </c>
      <c r="T31" s="25" t="str">
        <f>IF(C31="","",[1]!hks_fa_ebitdatosales(C31,F31))</f>
        <v/>
      </c>
      <c r="U31" s="47" t="str">
        <f>IF(C31="","",[1]!hks_fa_optoebt(C31,F31))</f>
        <v/>
      </c>
      <c r="V31" s="25" t="str">
        <f>IF(C31="","",[1]!hks_fa_ocftosales(C31,F31))</f>
        <v/>
      </c>
      <c r="W31" s="27" t="str">
        <f>IF(C31="","",[1]!hks_fa_debttoassets(C31,F31))</f>
        <v/>
      </c>
      <c r="X31" s="23" t="str">
        <f>IF(C31="","",[1]!s_fa_debttoeqy(C31,F31))</f>
        <v/>
      </c>
      <c r="Y31" s="23" t="str">
        <f>IF(C31="","",[1]!hks_fa_catoassets(C31,F31))</f>
        <v/>
      </c>
      <c r="Z31" s="23" t="str">
        <f>IF(C31="","",[1]!hks_fa_ncatoassets(C31,F31))</f>
        <v/>
      </c>
      <c r="AA31" s="23" t="str">
        <f>IF(C31="","",[1]!hks_fa_currentdebttodebt(C31,F31))</f>
        <v/>
      </c>
      <c r="AB31" s="25" t="str">
        <f>IF(C31="","",[1]!hks_fa_longdebtodebt(C31,F31))</f>
        <v/>
      </c>
      <c r="AC31" s="25" t="str">
        <f>IF(C31="","",[1]!hks_fa_current(C31,F31))</f>
        <v/>
      </c>
      <c r="AD31" s="25" t="str">
        <f>IF(C31="","",[1]!hks_fa_quick(C31,F31))</f>
        <v/>
      </c>
      <c r="AE31" s="25" t="str">
        <f>IF(C31="","",[1]!hks_fa_ebittointerest(C31,F31))</f>
        <v/>
      </c>
      <c r="AF31" s="25" t="str">
        <f>IF(C31="","",[1]!hks_fa_netdebtratio(C31,F31))</f>
        <v/>
      </c>
      <c r="AG31" s="27" t="str">
        <f>IF(C31="","",[1]!hks_fa_arturn(C31,F31))</f>
        <v/>
      </c>
      <c r="AH31" s="23" t="str">
        <f>IF(C31="","",[1]!hks_fa_apturn(C31,F31))</f>
        <v/>
      </c>
      <c r="AI31" s="23" t="str">
        <f>IF(C31="","",[1]!hks_fa_invturn(C31,F31))</f>
        <v/>
      </c>
      <c r="AJ31" s="23" t="str">
        <f>IF(C31="","",[1]!hks_fa_caturn(C31,F31))</f>
        <v/>
      </c>
      <c r="AK31" s="23" t="str">
        <f>IF(C31="","",[1]!hks_fa_faturn(C31,F31))</f>
        <v/>
      </c>
      <c r="AL31" s="25" t="str">
        <f>IF(C31="","",[1]!hks_fa_assetsturn(C31,F31))</f>
        <v/>
      </c>
      <c r="AM31" s="23" t="str">
        <f>IF(C31="","",[1]!hks_fa_yoy_tr(C31,F31))</f>
        <v/>
      </c>
      <c r="AN31" s="23" t="str">
        <f>IF(C31="","",[1]!hks_fa_yoy_or(C31,F31))</f>
        <v/>
      </c>
      <c r="AO31" s="23" t="str">
        <f>IF(C31="","",[1]!hks_fa_yoyop2(C31,F31))</f>
        <v/>
      </c>
      <c r="AP31" s="23" t="str">
        <f>IF(C31="","",[1]!hks_fa_yoyebt(C31,F31))</f>
        <v/>
      </c>
      <c r="AQ31" s="23" t="str">
        <f>IF(C31="","",[1]!hks_fa_yoynetprofit(C31,F31))</f>
        <v/>
      </c>
      <c r="AR31" s="23" t="str">
        <f>IF(C31="","",[1]!hks_fa_dupont_np(C31,F31))</f>
        <v/>
      </c>
      <c r="AS31" s="23" t="str">
        <f>IF(C31="","",[1]!hks_fa_dupont_taxburden(C31,F31))</f>
        <v/>
      </c>
      <c r="AT31" s="23" t="str">
        <f>IF(C31="","",[1]!s_fa_dupont_nptosales(C31,F31))</f>
        <v/>
      </c>
      <c r="AU31" s="23" t="str">
        <f>IF(C31="","",[1]!s_fa_dupont_roe(C31,F31))</f>
        <v/>
      </c>
      <c r="AV31" s="23" t="str">
        <f>IF(C31="","",[1]!hks_fa_dupont_intburden(C31,F31))</f>
        <v/>
      </c>
      <c r="AW31" s="23" t="str">
        <f>IF(C31="","",[1]!hks_fa_dupont_assetstoequity(C31,F31))</f>
        <v/>
      </c>
      <c r="AX31" s="23" t="str">
        <f>IF(C31="","",[1]!s_fa_dupont_ebittosales(C31,F31))</f>
        <v/>
      </c>
      <c r="AY31" s="23" t="str">
        <f>IF(C31="","",[1]!hks_fa_assetsturn(C31,F31))</f>
        <v/>
      </c>
      <c r="AZ31" s="23" t="str">
        <f>IF(C31="","",[1]!hks_fa_grossmargin2(C31,F31,"",100000000))</f>
        <v/>
      </c>
      <c r="BA31" s="23" t="str">
        <f>IF(C31="","",[1]!hks_fa_ebit3(C31,F31,1,"",100000000))</f>
        <v/>
      </c>
      <c r="BB31" s="23" t="str">
        <f>IF(C31="","",[1]!hks_fa_ebitda(C31,F31,1,"",100000000))</f>
        <v/>
      </c>
      <c r="BC31" s="23" t="str">
        <f>IF(C31="","",[1]!hks_fa_ebit(C31,F31,1,"",100000000))</f>
        <v/>
      </c>
      <c r="BD31" s="23" t="str">
        <f>IF(C31="","",[1]!hks_fa_ebitda(C31,F31,1,"",100000000))</f>
        <v/>
      </c>
      <c r="BE31" s="23" t="str">
        <f>IF(C31="","",[1]!hks_fa_nogaapprofit(C31,F31,1,"",100000000))</f>
        <v/>
      </c>
      <c r="BF31" s="23" t="str">
        <f>IF(C31="","",[1]!hks_fa_deductedprofit(C31,F31,1,"",100000000))</f>
        <v/>
      </c>
      <c r="BG31" s="23" t="str">
        <f>IF(C31="","",[1]!hks_fa_retainedearnings2(C31,F31,"",100000000))</f>
        <v/>
      </c>
      <c r="BH31" s="23" t="str">
        <f>IF(C31="","",[1]!hks_fa_workingcapital2(C31,F31,"",100000000))</f>
        <v/>
      </c>
      <c r="BI31" s="23" t="str">
        <f>IF(C31="","",[1]!hks_fa_networkingcapital2(C31,F31,"",100000000))</f>
        <v/>
      </c>
      <c r="BJ31" s="23" t="str">
        <f>IF(C31="","",[1]!hks_fa_investcapital2(C31,F31,"",100000000))</f>
        <v/>
      </c>
      <c r="BK31" s="23" t="str">
        <f>IF(C31="","",[1]!hks_fa_tangibleasset2(C31,F31,"",100000000))</f>
        <v/>
      </c>
      <c r="BL31" s="23" t="str">
        <f>IF(C31="","",[1]!hks_fa_netdebt2(C31,F31,"",100000000))</f>
        <v/>
      </c>
      <c r="BM31" s="23" t="str">
        <f>IF(C31="","",[1]!hks_fa_interestdebt2(C31,F31,"",100000000))</f>
        <v/>
      </c>
      <c r="BN31" s="23" t="str">
        <f>IF(C31="","",[1]!hks_fa_exinterestdebt_current(C31,F31,"",100000000))</f>
        <v/>
      </c>
      <c r="BO31" s="23" t="str">
        <f>IF(C31="","",[1]!hks_fa_exinterestdebt_noncurrent2(C31,F31,"",100000000))</f>
        <v/>
      </c>
      <c r="BP31" s="23" t="str">
        <f>IF(C31="","",[1]!hks_fa_fcfe2(C31,F31,"",100000000))</f>
        <v/>
      </c>
      <c r="BQ31" s="23" t="str">
        <f>IF(C31="","",[1]!hks_fa_fcff2(C31,F31,"",100000000))</f>
        <v/>
      </c>
      <c r="BR31" s="35"/>
    </row>
    <row r="32" spans="1:70" s="36" customFormat="1" ht="16.5" x14ac:dyDescent="0.2">
      <c r="A32" s="2"/>
      <c r="B32" s="6"/>
      <c r="C32" s="28" t="str">
        <f>IF(表1[[#This Row],[列1]]="","",表1[[#This Row],[列1]])</f>
        <v/>
      </c>
      <c r="D32" s="19" t="str">
        <f>IF(C32="","",[1]!hks_info_name(C32))</f>
        <v/>
      </c>
      <c r="E32" s="19" t="str">
        <f ca="1">IF(C32="","",[1]!lastradeday_s(C32,TODAY()))</f>
        <v/>
      </c>
      <c r="F32" s="49" t="str">
        <f>IF(C32="","",IF(OR([1]!s_stm_rpt_e(C32,基本资料!$I$8,0)="#N/A",[1]!s_stm_rpt_e(C32,基本资料!$I$8,0)="",[1]!s_stm_rpt_e(C32,基本资料!$I$8,0)=0),[1]!s_stm_rpt_e(C32,基本资料!$I$9,0),[1]!s_stm_rpt_e(C32,基本资料!$I$8,0)))</f>
        <v/>
      </c>
      <c r="G32" s="49" t="str">
        <f>IF(C32="","",[1]!hks_info_cur2(C32,F32))</f>
        <v/>
      </c>
      <c r="H32" s="27" t="str">
        <f>IF(C32="","",[1]!hks_fa_eps_basic(C32,F32,""))</f>
        <v/>
      </c>
      <c r="I32" s="23" t="str">
        <f>IF(C32="","",[1]!hks_fa_eps_adjust2(C32,F32,""))</f>
        <v/>
      </c>
      <c r="J32" s="23" t="str">
        <f>IF(C32="","",[1]!hks_fa_bps(C32,F32,""))</f>
        <v/>
      </c>
      <c r="K32" s="25" t="str">
        <f>IF(C32="","",[1]!hks_fa_ocfps(C32,F32,""))</f>
        <v/>
      </c>
      <c r="L32" s="27" t="str">
        <f>IF(C32="","",[1]!hks_fa_grossprofitmargin(C32,F32))</f>
        <v/>
      </c>
      <c r="M32" s="23" t="str">
        <f>IF(C32="","",[1]!hks_fa_netprofitmargin(C32,F32))</f>
        <v/>
      </c>
      <c r="N32" s="23" t="str">
        <f>IF(C32="","",[1]!hks_fa_roe(C32,F32))</f>
        <v/>
      </c>
      <c r="O32" s="23" t="str">
        <f>IF(C32="","",[1]!hks_fa_roe_deducted(C32,F32))</f>
        <v/>
      </c>
      <c r="P32" s="23" t="str">
        <f>IF(C32="","",[1]!hks_fa_roa2(C32,F32))</f>
        <v/>
      </c>
      <c r="Q32" s="23" t="str">
        <f>IF(C32="","",[1]!hks_fa_roic(C32,F32))</f>
        <v/>
      </c>
      <c r="R32" s="23" t="str">
        <f>IF(C32="","",[1]!hks_fa_dupont_nptosales(C32,F32))</f>
        <v/>
      </c>
      <c r="S32" s="23" t="str">
        <f>IF(C32="","",[1]!hks_fa_dupont_ebittosales(C32,F32))</f>
        <v/>
      </c>
      <c r="T32" s="25" t="str">
        <f>IF(C32="","",[1]!hks_fa_ebitdatosales(C32,F32))</f>
        <v/>
      </c>
      <c r="U32" s="47" t="str">
        <f>IF(C32="","",[1]!hks_fa_optoebt(C32,F32))</f>
        <v/>
      </c>
      <c r="V32" s="25" t="str">
        <f>IF(C32="","",[1]!hks_fa_ocftosales(C32,F32))</f>
        <v/>
      </c>
      <c r="W32" s="27" t="str">
        <f>IF(C32="","",[1]!hks_fa_debttoassets(C32,F32))</f>
        <v/>
      </c>
      <c r="X32" s="23" t="str">
        <f>IF(C32="","",[1]!s_fa_debttoeqy(C32,F32))</f>
        <v/>
      </c>
      <c r="Y32" s="23" t="str">
        <f>IF(C32="","",[1]!hks_fa_catoassets(C32,F32))</f>
        <v/>
      </c>
      <c r="Z32" s="23" t="str">
        <f>IF(C32="","",[1]!hks_fa_ncatoassets(C32,F32))</f>
        <v/>
      </c>
      <c r="AA32" s="23" t="str">
        <f>IF(C32="","",[1]!hks_fa_currentdebttodebt(C32,F32))</f>
        <v/>
      </c>
      <c r="AB32" s="25" t="str">
        <f>IF(C32="","",[1]!hks_fa_longdebtodebt(C32,F32))</f>
        <v/>
      </c>
      <c r="AC32" s="25" t="str">
        <f>IF(C32="","",[1]!hks_fa_current(C32,F32))</f>
        <v/>
      </c>
      <c r="AD32" s="25" t="str">
        <f>IF(C32="","",[1]!hks_fa_quick(C32,F32))</f>
        <v/>
      </c>
      <c r="AE32" s="25" t="str">
        <f>IF(C32="","",[1]!hks_fa_ebittointerest(C32,F32))</f>
        <v/>
      </c>
      <c r="AF32" s="25" t="str">
        <f>IF(C32="","",[1]!hks_fa_netdebtratio(C32,F32))</f>
        <v/>
      </c>
      <c r="AG32" s="27" t="str">
        <f>IF(C32="","",[1]!hks_fa_arturn(C32,F32))</f>
        <v/>
      </c>
      <c r="AH32" s="23" t="str">
        <f>IF(C32="","",[1]!hks_fa_apturn(C32,F32))</f>
        <v/>
      </c>
      <c r="AI32" s="23" t="str">
        <f>IF(C32="","",[1]!hks_fa_invturn(C32,F32))</f>
        <v/>
      </c>
      <c r="AJ32" s="23" t="str">
        <f>IF(C32="","",[1]!hks_fa_caturn(C32,F32))</f>
        <v/>
      </c>
      <c r="AK32" s="23" t="str">
        <f>IF(C32="","",[1]!hks_fa_faturn(C32,F32))</f>
        <v/>
      </c>
      <c r="AL32" s="25" t="str">
        <f>IF(C32="","",[1]!hks_fa_assetsturn(C32,F32))</f>
        <v/>
      </c>
      <c r="AM32" s="23" t="str">
        <f>IF(C32="","",[1]!hks_fa_yoy_tr(C32,F32))</f>
        <v/>
      </c>
      <c r="AN32" s="23" t="str">
        <f>IF(C32="","",[1]!hks_fa_yoy_or(C32,F32))</f>
        <v/>
      </c>
      <c r="AO32" s="23" t="str">
        <f>IF(C32="","",[1]!hks_fa_yoyop2(C32,F32))</f>
        <v/>
      </c>
      <c r="AP32" s="23" t="str">
        <f>IF(C32="","",[1]!hks_fa_yoyebt(C32,F32))</f>
        <v/>
      </c>
      <c r="AQ32" s="23" t="str">
        <f>IF(C32="","",[1]!hks_fa_yoynetprofit(C32,F32))</f>
        <v/>
      </c>
      <c r="AR32" s="23" t="str">
        <f>IF(C32="","",[1]!hks_fa_dupont_np(C32,F32))</f>
        <v/>
      </c>
      <c r="AS32" s="23" t="str">
        <f>IF(C32="","",[1]!hks_fa_dupont_taxburden(C32,F32))</f>
        <v/>
      </c>
      <c r="AT32" s="23" t="str">
        <f>IF(C32="","",[1]!s_fa_dupont_nptosales(C32,F32))</f>
        <v/>
      </c>
      <c r="AU32" s="23" t="str">
        <f>IF(C32="","",[1]!s_fa_dupont_roe(C32,F32))</f>
        <v/>
      </c>
      <c r="AV32" s="23" t="str">
        <f>IF(C32="","",[1]!hks_fa_dupont_intburden(C32,F32))</f>
        <v/>
      </c>
      <c r="AW32" s="23" t="str">
        <f>IF(C32="","",[1]!hks_fa_dupont_assetstoequity(C32,F32))</f>
        <v/>
      </c>
      <c r="AX32" s="23" t="str">
        <f>IF(C32="","",[1]!s_fa_dupont_ebittosales(C32,F32))</f>
        <v/>
      </c>
      <c r="AY32" s="23" t="str">
        <f>IF(C32="","",[1]!hks_fa_assetsturn(C32,F32))</f>
        <v/>
      </c>
      <c r="AZ32" s="23" t="str">
        <f>IF(C32="","",[1]!hks_fa_grossmargin2(C32,F32,"",100000000))</f>
        <v/>
      </c>
      <c r="BA32" s="23" t="str">
        <f>IF(C32="","",[1]!hks_fa_ebit3(C32,F32,1,"",100000000))</f>
        <v/>
      </c>
      <c r="BB32" s="23" t="str">
        <f>IF(C32="","",[1]!hks_fa_ebitda(C32,F32,1,"",100000000))</f>
        <v/>
      </c>
      <c r="BC32" s="23" t="str">
        <f>IF(C32="","",[1]!hks_fa_ebit(C32,F32,1,"",100000000))</f>
        <v/>
      </c>
      <c r="BD32" s="23" t="str">
        <f>IF(C32="","",[1]!hks_fa_ebitda(C32,F32,1,"",100000000))</f>
        <v/>
      </c>
      <c r="BE32" s="23" t="str">
        <f>IF(C32="","",[1]!hks_fa_nogaapprofit(C32,F32,1,"",100000000))</f>
        <v/>
      </c>
      <c r="BF32" s="23" t="str">
        <f>IF(C32="","",[1]!hks_fa_deductedprofit(C32,F32,1,"",100000000))</f>
        <v/>
      </c>
      <c r="BG32" s="23" t="str">
        <f>IF(C32="","",[1]!hks_fa_retainedearnings2(C32,F32,"",100000000))</f>
        <v/>
      </c>
      <c r="BH32" s="23" t="str">
        <f>IF(C32="","",[1]!hks_fa_workingcapital2(C32,F32,"",100000000))</f>
        <v/>
      </c>
      <c r="BI32" s="23" t="str">
        <f>IF(C32="","",[1]!hks_fa_networkingcapital2(C32,F32,"",100000000))</f>
        <v/>
      </c>
      <c r="BJ32" s="23" t="str">
        <f>IF(C32="","",[1]!hks_fa_investcapital2(C32,F32,"",100000000))</f>
        <v/>
      </c>
      <c r="BK32" s="23" t="str">
        <f>IF(C32="","",[1]!hks_fa_tangibleasset2(C32,F32,"",100000000))</f>
        <v/>
      </c>
      <c r="BL32" s="23" t="str">
        <f>IF(C32="","",[1]!hks_fa_netdebt2(C32,F32,"",100000000))</f>
        <v/>
      </c>
      <c r="BM32" s="23" t="str">
        <f>IF(C32="","",[1]!hks_fa_interestdebt2(C32,F32,"",100000000))</f>
        <v/>
      </c>
      <c r="BN32" s="23" t="str">
        <f>IF(C32="","",[1]!hks_fa_exinterestdebt_current(C32,F32,"",100000000))</f>
        <v/>
      </c>
      <c r="BO32" s="23" t="str">
        <f>IF(C32="","",[1]!hks_fa_exinterestdebt_noncurrent2(C32,F32,"",100000000))</f>
        <v/>
      </c>
      <c r="BP32" s="23" t="str">
        <f>IF(C32="","",[1]!hks_fa_fcfe2(C32,F32,"",100000000))</f>
        <v/>
      </c>
      <c r="BQ32" s="23" t="str">
        <f>IF(C32="","",[1]!hks_fa_fcff2(C32,F32,"",100000000))</f>
        <v/>
      </c>
      <c r="BR32" s="35"/>
    </row>
    <row r="33" spans="1:70" s="36" customFormat="1" ht="16.5" x14ac:dyDescent="0.2">
      <c r="A33" s="2"/>
      <c r="B33" s="6"/>
      <c r="C33" s="28" t="str">
        <f>IF(表1[[#This Row],[列1]]="","",表1[[#This Row],[列1]])</f>
        <v/>
      </c>
      <c r="D33" s="19" t="str">
        <f>IF(C33="","",[1]!hks_info_name(C33))</f>
        <v/>
      </c>
      <c r="E33" s="19" t="str">
        <f ca="1">IF(C33="","",[1]!lastradeday_s(C33,TODAY()))</f>
        <v/>
      </c>
      <c r="F33" s="49" t="str">
        <f>IF(C33="","",IF(OR([1]!s_stm_rpt_e(C33,基本资料!$I$8,0)="#N/A",[1]!s_stm_rpt_e(C33,基本资料!$I$8,0)="",[1]!s_stm_rpt_e(C33,基本资料!$I$8,0)=0),[1]!s_stm_rpt_e(C33,基本资料!$I$9,0),[1]!s_stm_rpt_e(C33,基本资料!$I$8,0)))</f>
        <v/>
      </c>
      <c r="G33" s="49" t="str">
        <f>IF(C33="","",[1]!hks_info_cur2(C33,F33))</f>
        <v/>
      </c>
      <c r="H33" s="27" t="str">
        <f>IF(C33="","",[1]!hks_fa_eps_basic(C33,F33,""))</f>
        <v/>
      </c>
      <c r="I33" s="23" t="str">
        <f>IF(C33="","",[1]!hks_fa_eps_adjust2(C33,F33,""))</f>
        <v/>
      </c>
      <c r="J33" s="23" t="str">
        <f>IF(C33="","",[1]!hks_fa_bps(C33,F33,""))</f>
        <v/>
      </c>
      <c r="K33" s="25" t="str">
        <f>IF(C33="","",[1]!hks_fa_ocfps(C33,F33,""))</f>
        <v/>
      </c>
      <c r="L33" s="27" t="str">
        <f>IF(C33="","",[1]!hks_fa_grossprofitmargin(C33,F33))</f>
        <v/>
      </c>
      <c r="M33" s="23" t="str">
        <f>IF(C33="","",[1]!hks_fa_netprofitmargin(C33,F33))</f>
        <v/>
      </c>
      <c r="N33" s="23" t="str">
        <f>IF(C33="","",[1]!hks_fa_roe(C33,F33))</f>
        <v/>
      </c>
      <c r="O33" s="23" t="str">
        <f>IF(C33="","",[1]!hks_fa_roe_deducted(C33,F33))</f>
        <v/>
      </c>
      <c r="P33" s="23" t="str">
        <f>IF(C33="","",[1]!hks_fa_roa2(C33,F33))</f>
        <v/>
      </c>
      <c r="Q33" s="23" t="str">
        <f>IF(C33="","",[1]!hks_fa_roic(C33,F33))</f>
        <v/>
      </c>
      <c r="R33" s="23" t="str">
        <f>IF(C33="","",[1]!hks_fa_dupont_nptosales(C33,F33))</f>
        <v/>
      </c>
      <c r="S33" s="23" t="str">
        <f>IF(C33="","",[1]!hks_fa_dupont_ebittosales(C33,F33))</f>
        <v/>
      </c>
      <c r="T33" s="25" t="str">
        <f>IF(C33="","",[1]!hks_fa_ebitdatosales(C33,F33))</f>
        <v/>
      </c>
      <c r="U33" s="47" t="str">
        <f>IF(C33="","",[1]!hks_fa_optoebt(C33,F33))</f>
        <v/>
      </c>
      <c r="V33" s="25" t="str">
        <f>IF(C33="","",[1]!hks_fa_ocftosales(C33,F33))</f>
        <v/>
      </c>
      <c r="W33" s="27" t="str">
        <f>IF(C33="","",[1]!hks_fa_debttoassets(C33,F33))</f>
        <v/>
      </c>
      <c r="X33" s="23" t="str">
        <f>IF(C33="","",[1]!s_fa_debttoeqy(C33,F33))</f>
        <v/>
      </c>
      <c r="Y33" s="23" t="str">
        <f>IF(C33="","",[1]!hks_fa_catoassets(C33,F33))</f>
        <v/>
      </c>
      <c r="Z33" s="23" t="str">
        <f>IF(C33="","",[1]!hks_fa_ncatoassets(C33,F33))</f>
        <v/>
      </c>
      <c r="AA33" s="23" t="str">
        <f>IF(C33="","",[1]!hks_fa_currentdebttodebt(C33,F33))</f>
        <v/>
      </c>
      <c r="AB33" s="25" t="str">
        <f>IF(C33="","",[1]!hks_fa_longdebtodebt(C33,F33))</f>
        <v/>
      </c>
      <c r="AC33" s="25" t="str">
        <f>IF(C33="","",[1]!hks_fa_current(C33,F33))</f>
        <v/>
      </c>
      <c r="AD33" s="25" t="str">
        <f>IF(C33="","",[1]!hks_fa_quick(C33,F33))</f>
        <v/>
      </c>
      <c r="AE33" s="25" t="str">
        <f>IF(C33="","",[1]!hks_fa_ebittointerest(C33,F33))</f>
        <v/>
      </c>
      <c r="AF33" s="25" t="str">
        <f>IF(C33="","",[1]!hks_fa_netdebtratio(C33,F33))</f>
        <v/>
      </c>
      <c r="AG33" s="27" t="str">
        <f>IF(C33="","",[1]!hks_fa_arturn(C33,F33))</f>
        <v/>
      </c>
      <c r="AH33" s="23" t="str">
        <f>IF(C33="","",[1]!hks_fa_apturn(C33,F33))</f>
        <v/>
      </c>
      <c r="AI33" s="23" t="str">
        <f>IF(C33="","",[1]!hks_fa_invturn(C33,F33))</f>
        <v/>
      </c>
      <c r="AJ33" s="23" t="str">
        <f>IF(C33="","",[1]!hks_fa_caturn(C33,F33))</f>
        <v/>
      </c>
      <c r="AK33" s="23" t="str">
        <f>IF(C33="","",[1]!hks_fa_faturn(C33,F33))</f>
        <v/>
      </c>
      <c r="AL33" s="25" t="str">
        <f>IF(C33="","",[1]!hks_fa_assetsturn(C33,F33))</f>
        <v/>
      </c>
      <c r="AM33" s="23" t="str">
        <f>IF(C33="","",[1]!hks_fa_yoy_tr(C33,F33))</f>
        <v/>
      </c>
      <c r="AN33" s="23" t="str">
        <f>IF(C33="","",[1]!hks_fa_yoy_or(C33,F33))</f>
        <v/>
      </c>
      <c r="AO33" s="23" t="str">
        <f>IF(C33="","",[1]!hks_fa_yoyop2(C33,F33))</f>
        <v/>
      </c>
      <c r="AP33" s="23" t="str">
        <f>IF(C33="","",[1]!hks_fa_yoyebt(C33,F33))</f>
        <v/>
      </c>
      <c r="AQ33" s="23" t="str">
        <f>IF(C33="","",[1]!hks_fa_yoynetprofit(C33,F33))</f>
        <v/>
      </c>
      <c r="AR33" s="23" t="str">
        <f>IF(C33="","",[1]!hks_fa_dupont_np(C33,F33))</f>
        <v/>
      </c>
      <c r="AS33" s="23" t="str">
        <f>IF(C33="","",[1]!hks_fa_dupont_taxburden(C33,F33))</f>
        <v/>
      </c>
      <c r="AT33" s="23" t="str">
        <f>IF(C33="","",[1]!s_fa_dupont_nptosales(C33,F33))</f>
        <v/>
      </c>
      <c r="AU33" s="23" t="str">
        <f>IF(C33="","",[1]!s_fa_dupont_roe(C33,F33))</f>
        <v/>
      </c>
      <c r="AV33" s="23" t="str">
        <f>IF(C33="","",[1]!hks_fa_dupont_intburden(C33,F33))</f>
        <v/>
      </c>
      <c r="AW33" s="23" t="str">
        <f>IF(C33="","",[1]!hks_fa_dupont_assetstoequity(C33,F33))</f>
        <v/>
      </c>
      <c r="AX33" s="23" t="str">
        <f>IF(C33="","",[1]!s_fa_dupont_ebittosales(C33,F33))</f>
        <v/>
      </c>
      <c r="AY33" s="23" t="str">
        <f>IF(C33="","",[1]!hks_fa_assetsturn(C33,F33))</f>
        <v/>
      </c>
      <c r="AZ33" s="23" t="str">
        <f>IF(C33="","",[1]!hks_fa_grossmargin2(C33,F33,"",100000000))</f>
        <v/>
      </c>
      <c r="BA33" s="23" t="str">
        <f>IF(C33="","",[1]!hks_fa_ebit3(C33,F33,1,"",100000000))</f>
        <v/>
      </c>
      <c r="BB33" s="23" t="str">
        <f>IF(C33="","",[1]!hks_fa_ebitda(C33,F33,1,"",100000000))</f>
        <v/>
      </c>
      <c r="BC33" s="23" t="str">
        <f>IF(C33="","",[1]!hks_fa_ebit(C33,F33,1,"",100000000))</f>
        <v/>
      </c>
      <c r="BD33" s="23" t="str">
        <f>IF(C33="","",[1]!hks_fa_ebitda(C33,F33,1,"",100000000))</f>
        <v/>
      </c>
      <c r="BE33" s="23" t="str">
        <f>IF(C33="","",[1]!hks_fa_nogaapprofit(C33,F33,1,"",100000000))</f>
        <v/>
      </c>
      <c r="BF33" s="23" t="str">
        <f>IF(C33="","",[1]!hks_fa_deductedprofit(C33,F33,1,"",100000000))</f>
        <v/>
      </c>
      <c r="BG33" s="23" t="str">
        <f>IF(C33="","",[1]!hks_fa_retainedearnings2(C33,F33,"",100000000))</f>
        <v/>
      </c>
      <c r="BH33" s="23" t="str">
        <f>IF(C33="","",[1]!hks_fa_workingcapital2(C33,F33,"",100000000))</f>
        <v/>
      </c>
      <c r="BI33" s="23" t="str">
        <f>IF(C33="","",[1]!hks_fa_networkingcapital2(C33,F33,"",100000000))</f>
        <v/>
      </c>
      <c r="BJ33" s="23" t="str">
        <f>IF(C33="","",[1]!hks_fa_investcapital2(C33,F33,"",100000000))</f>
        <v/>
      </c>
      <c r="BK33" s="23" t="str">
        <f>IF(C33="","",[1]!hks_fa_tangibleasset2(C33,F33,"",100000000))</f>
        <v/>
      </c>
      <c r="BL33" s="23" t="str">
        <f>IF(C33="","",[1]!hks_fa_netdebt2(C33,F33,"",100000000))</f>
        <v/>
      </c>
      <c r="BM33" s="23" t="str">
        <f>IF(C33="","",[1]!hks_fa_interestdebt2(C33,F33,"",100000000))</f>
        <v/>
      </c>
      <c r="BN33" s="23" t="str">
        <f>IF(C33="","",[1]!hks_fa_exinterestdebt_current(C33,F33,"",100000000))</f>
        <v/>
      </c>
      <c r="BO33" s="23" t="str">
        <f>IF(C33="","",[1]!hks_fa_exinterestdebt_noncurrent2(C33,F33,"",100000000))</f>
        <v/>
      </c>
      <c r="BP33" s="23" t="str">
        <f>IF(C33="","",[1]!hks_fa_fcfe2(C33,F33,"",100000000))</f>
        <v/>
      </c>
      <c r="BQ33" s="23" t="str">
        <f>IF(C33="","",[1]!hks_fa_fcff2(C33,F33,"",100000000))</f>
        <v/>
      </c>
      <c r="BR33" s="35"/>
    </row>
    <row r="34" spans="1:70" s="36" customFormat="1" ht="16.5" x14ac:dyDescent="0.2">
      <c r="A34" s="2"/>
      <c r="B34" s="6"/>
      <c r="C34" s="28" t="str">
        <f>IF(表1[[#This Row],[列1]]="","",表1[[#This Row],[列1]])</f>
        <v/>
      </c>
      <c r="D34" s="19" t="str">
        <f>IF(C34="","",[1]!hks_info_name(C34))</f>
        <v/>
      </c>
      <c r="E34" s="19" t="str">
        <f ca="1">IF(C34="","",[1]!lastradeday_s(C34,TODAY()))</f>
        <v/>
      </c>
      <c r="F34" s="49" t="str">
        <f>IF(C34="","",IF(OR([1]!s_stm_rpt_e(C34,基本资料!$I$8,0)="#N/A",[1]!s_stm_rpt_e(C34,基本资料!$I$8,0)="",[1]!s_stm_rpt_e(C34,基本资料!$I$8,0)=0),[1]!s_stm_rpt_e(C34,基本资料!$I$9,0),[1]!s_stm_rpt_e(C34,基本资料!$I$8,0)))</f>
        <v/>
      </c>
      <c r="G34" s="49" t="str">
        <f>IF(C34="","",[1]!hks_info_cur2(C34,F34))</f>
        <v/>
      </c>
      <c r="H34" s="27" t="str">
        <f>IF(C34="","",[1]!hks_fa_eps_basic(C34,F34,""))</f>
        <v/>
      </c>
      <c r="I34" s="23" t="str">
        <f>IF(C34="","",[1]!hks_fa_eps_adjust2(C34,F34,""))</f>
        <v/>
      </c>
      <c r="J34" s="23" t="str">
        <f>IF(C34="","",[1]!hks_fa_bps(C34,F34,""))</f>
        <v/>
      </c>
      <c r="K34" s="25" t="str">
        <f>IF(C34="","",[1]!hks_fa_ocfps(C34,F34,""))</f>
        <v/>
      </c>
      <c r="L34" s="27" t="str">
        <f>IF(C34="","",[1]!hks_fa_grossprofitmargin(C34,F34))</f>
        <v/>
      </c>
      <c r="M34" s="23" t="str">
        <f>IF(C34="","",[1]!hks_fa_netprofitmargin(C34,F34))</f>
        <v/>
      </c>
      <c r="N34" s="23" t="str">
        <f>IF(C34="","",[1]!hks_fa_roe(C34,F34))</f>
        <v/>
      </c>
      <c r="O34" s="23" t="str">
        <f>IF(C34="","",[1]!hks_fa_roe_deducted(C34,F34))</f>
        <v/>
      </c>
      <c r="P34" s="23" t="str">
        <f>IF(C34="","",[1]!hks_fa_roa2(C34,F34))</f>
        <v/>
      </c>
      <c r="Q34" s="23" t="str">
        <f>IF(C34="","",[1]!hks_fa_roic(C34,F34))</f>
        <v/>
      </c>
      <c r="R34" s="23" t="str">
        <f>IF(C34="","",[1]!hks_fa_dupont_nptosales(C34,F34))</f>
        <v/>
      </c>
      <c r="S34" s="23" t="str">
        <f>IF(C34="","",[1]!hks_fa_dupont_ebittosales(C34,F34))</f>
        <v/>
      </c>
      <c r="T34" s="25" t="str">
        <f>IF(C34="","",[1]!hks_fa_ebitdatosales(C34,F34))</f>
        <v/>
      </c>
      <c r="U34" s="47" t="str">
        <f>IF(C34="","",[1]!hks_fa_optoebt(C34,F34))</f>
        <v/>
      </c>
      <c r="V34" s="25" t="str">
        <f>IF(C34="","",[1]!hks_fa_ocftosales(C34,F34))</f>
        <v/>
      </c>
      <c r="W34" s="27" t="str">
        <f>IF(C34="","",[1]!hks_fa_debttoassets(C34,F34))</f>
        <v/>
      </c>
      <c r="X34" s="23" t="str">
        <f>IF(C34="","",[1]!s_fa_debttoeqy(C34,F34))</f>
        <v/>
      </c>
      <c r="Y34" s="23" t="str">
        <f>IF(C34="","",[1]!hks_fa_catoassets(C34,F34))</f>
        <v/>
      </c>
      <c r="Z34" s="23" t="str">
        <f>IF(C34="","",[1]!hks_fa_ncatoassets(C34,F34))</f>
        <v/>
      </c>
      <c r="AA34" s="23" t="str">
        <f>IF(C34="","",[1]!hks_fa_currentdebttodebt(C34,F34))</f>
        <v/>
      </c>
      <c r="AB34" s="25" t="str">
        <f>IF(C34="","",[1]!hks_fa_longdebtodebt(C34,F34))</f>
        <v/>
      </c>
      <c r="AC34" s="25" t="str">
        <f>IF(C34="","",[1]!hks_fa_current(C34,F34))</f>
        <v/>
      </c>
      <c r="AD34" s="25" t="str">
        <f>IF(C34="","",[1]!hks_fa_quick(C34,F34))</f>
        <v/>
      </c>
      <c r="AE34" s="25" t="str">
        <f>IF(C34="","",[1]!hks_fa_ebittointerest(C34,F34))</f>
        <v/>
      </c>
      <c r="AF34" s="25" t="str">
        <f>IF(C34="","",[1]!hks_fa_netdebtratio(C34,F34))</f>
        <v/>
      </c>
      <c r="AG34" s="27" t="str">
        <f>IF(C34="","",[1]!hks_fa_arturn(C34,F34))</f>
        <v/>
      </c>
      <c r="AH34" s="23" t="str">
        <f>IF(C34="","",[1]!hks_fa_apturn(C34,F34))</f>
        <v/>
      </c>
      <c r="AI34" s="23" t="str">
        <f>IF(C34="","",[1]!hks_fa_invturn(C34,F34))</f>
        <v/>
      </c>
      <c r="AJ34" s="23" t="str">
        <f>IF(C34="","",[1]!hks_fa_caturn(C34,F34))</f>
        <v/>
      </c>
      <c r="AK34" s="23" t="str">
        <f>IF(C34="","",[1]!hks_fa_faturn(C34,F34))</f>
        <v/>
      </c>
      <c r="AL34" s="25" t="str">
        <f>IF(C34="","",[1]!hks_fa_assetsturn(C34,F34))</f>
        <v/>
      </c>
      <c r="AM34" s="23" t="str">
        <f>IF(C34="","",[1]!hks_fa_yoy_tr(C34,F34))</f>
        <v/>
      </c>
      <c r="AN34" s="23" t="str">
        <f>IF(C34="","",[1]!hks_fa_yoy_or(C34,F34))</f>
        <v/>
      </c>
      <c r="AO34" s="23" t="str">
        <f>IF(C34="","",[1]!hks_fa_yoyop2(C34,F34))</f>
        <v/>
      </c>
      <c r="AP34" s="23" t="str">
        <f>IF(C34="","",[1]!hks_fa_yoyebt(C34,F34))</f>
        <v/>
      </c>
      <c r="AQ34" s="23" t="str">
        <f>IF(C34="","",[1]!hks_fa_yoynetprofit(C34,F34))</f>
        <v/>
      </c>
      <c r="AR34" s="23" t="str">
        <f>IF(C34="","",[1]!hks_fa_dupont_np(C34,F34))</f>
        <v/>
      </c>
      <c r="AS34" s="23" t="str">
        <f>IF(C34="","",[1]!hks_fa_dupont_taxburden(C34,F34))</f>
        <v/>
      </c>
      <c r="AT34" s="23" t="str">
        <f>IF(C34="","",[1]!s_fa_dupont_nptosales(C34,F34))</f>
        <v/>
      </c>
      <c r="AU34" s="23" t="str">
        <f>IF(C34="","",[1]!s_fa_dupont_roe(C34,F34))</f>
        <v/>
      </c>
      <c r="AV34" s="23" t="str">
        <f>IF(C34="","",[1]!hks_fa_dupont_intburden(C34,F34))</f>
        <v/>
      </c>
      <c r="AW34" s="23" t="str">
        <f>IF(C34="","",[1]!hks_fa_dupont_assetstoequity(C34,F34))</f>
        <v/>
      </c>
      <c r="AX34" s="23" t="str">
        <f>IF(C34="","",[1]!s_fa_dupont_ebittosales(C34,F34))</f>
        <v/>
      </c>
      <c r="AY34" s="23" t="str">
        <f>IF(C34="","",[1]!hks_fa_assetsturn(C34,F34))</f>
        <v/>
      </c>
      <c r="AZ34" s="23" t="str">
        <f>IF(C34="","",[1]!hks_fa_grossmargin2(C34,F34,"",100000000))</f>
        <v/>
      </c>
      <c r="BA34" s="23" t="str">
        <f>IF(C34="","",[1]!hks_fa_ebit3(C34,F34,1,"",100000000))</f>
        <v/>
      </c>
      <c r="BB34" s="23" t="str">
        <f>IF(C34="","",[1]!hks_fa_ebitda(C34,F34,1,"",100000000))</f>
        <v/>
      </c>
      <c r="BC34" s="23" t="str">
        <f>IF(C34="","",[1]!hks_fa_ebit(C34,F34,1,"",100000000))</f>
        <v/>
      </c>
      <c r="BD34" s="23" t="str">
        <f>IF(C34="","",[1]!hks_fa_ebitda(C34,F34,1,"",100000000))</f>
        <v/>
      </c>
      <c r="BE34" s="23" t="str">
        <f>IF(C34="","",[1]!hks_fa_nogaapprofit(C34,F34,1,"",100000000))</f>
        <v/>
      </c>
      <c r="BF34" s="23" t="str">
        <f>IF(C34="","",[1]!hks_fa_deductedprofit(C34,F34,1,"",100000000))</f>
        <v/>
      </c>
      <c r="BG34" s="23" t="str">
        <f>IF(C34="","",[1]!hks_fa_retainedearnings2(C34,F34,"",100000000))</f>
        <v/>
      </c>
      <c r="BH34" s="23" t="str">
        <f>IF(C34="","",[1]!hks_fa_workingcapital2(C34,F34,"",100000000))</f>
        <v/>
      </c>
      <c r="BI34" s="23" t="str">
        <f>IF(C34="","",[1]!hks_fa_networkingcapital2(C34,F34,"",100000000))</f>
        <v/>
      </c>
      <c r="BJ34" s="23" t="str">
        <f>IF(C34="","",[1]!hks_fa_investcapital2(C34,F34,"",100000000))</f>
        <v/>
      </c>
      <c r="BK34" s="23" t="str">
        <f>IF(C34="","",[1]!hks_fa_tangibleasset2(C34,F34,"",100000000))</f>
        <v/>
      </c>
      <c r="BL34" s="23" t="str">
        <f>IF(C34="","",[1]!hks_fa_netdebt2(C34,F34,"",100000000))</f>
        <v/>
      </c>
      <c r="BM34" s="23" t="str">
        <f>IF(C34="","",[1]!hks_fa_interestdebt2(C34,F34,"",100000000))</f>
        <v/>
      </c>
      <c r="BN34" s="23" t="str">
        <f>IF(C34="","",[1]!hks_fa_exinterestdebt_current(C34,F34,"",100000000))</f>
        <v/>
      </c>
      <c r="BO34" s="23" t="str">
        <f>IF(C34="","",[1]!hks_fa_exinterestdebt_noncurrent2(C34,F34,"",100000000))</f>
        <v/>
      </c>
      <c r="BP34" s="23" t="str">
        <f>IF(C34="","",[1]!hks_fa_fcfe2(C34,F34,"",100000000))</f>
        <v/>
      </c>
      <c r="BQ34" s="23" t="str">
        <f>IF(C34="","",[1]!hks_fa_fcff2(C34,F34,"",100000000))</f>
        <v/>
      </c>
      <c r="BR34" s="35"/>
    </row>
    <row r="35" spans="1:70" s="36" customFormat="1" ht="16.5" x14ac:dyDescent="0.2">
      <c r="A35" s="2"/>
      <c r="B35" s="6"/>
      <c r="C35" s="28" t="str">
        <f>IF(表1[[#This Row],[列1]]="","",表1[[#This Row],[列1]])</f>
        <v/>
      </c>
      <c r="D35" s="19" t="str">
        <f>IF(C35="","",[1]!hks_info_name(C35))</f>
        <v/>
      </c>
      <c r="E35" s="19" t="str">
        <f ca="1">IF(C35="","",[1]!lastradeday_s(C35,TODAY()))</f>
        <v/>
      </c>
      <c r="F35" s="49" t="str">
        <f>IF(C35="","",IF(OR([1]!s_stm_rpt_e(C35,基本资料!$I$8,0)="#N/A",[1]!s_stm_rpt_e(C35,基本资料!$I$8,0)="",[1]!s_stm_rpt_e(C35,基本资料!$I$8,0)=0),[1]!s_stm_rpt_e(C35,基本资料!$I$9,0),[1]!s_stm_rpt_e(C35,基本资料!$I$8,0)))</f>
        <v/>
      </c>
      <c r="G35" s="49" t="str">
        <f>IF(C35="","",[1]!hks_info_cur2(C35,F35))</f>
        <v/>
      </c>
      <c r="H35" s="27" t="str">
        <f>IF(C35="","",[1]!hks_fa_eps_basic(C35,F35,""))</f>
        <v/>
      </c>
      <c r="I35" s="23" t="str">
        <f>IF(C35="","",[1]!hks_fa_eps_adjust2(C35,F35,""))</f>
        <v/>
      </c>
      <c r="J35" s="23" t="str">
        <f>IF(C35="","",[1]!hks_fa_bps(C35,F35,""))</f>
        <v/>
      </c>
      <c r="K35" s="25" t="str">
        <f>IF(C35="","",[1]!hks_fa_ocfps(C35,F35,""))</f>
        <v/>
      </c>
      <c r="L35" s="27" t="str">
        <f>IF(C35="","",[1]!hks_fa_grossprofitmargin(C35,F35))</f>
        <v/>
      </c>
      <c r="M35" s="23" t="str">
        <f>IF(C35="","",[1]!hks_fa_netprofitmargin(C35,F35))</f>
        <v/>
      </c>
      <c r="N35" s="23" t="str">
        <f>IF(C35="","",[1]!hks_fa_roe(C35,F35))</f>
        <v/>
      </c>
      <c r="O35" s="23" t="str">
        <f>IF(C35="","",[1]!hks_fa_roe_deducted(C35,F35))</f>
        <v/>
      </c>
      <c r="P35" s="23" t="str">
        <f>IF(C35="","",[1]!hks_fa_roa2(C35,F35))</f>
        <v/>
      </c>
      <c r="Q35" s="23" t="str">
        <f>IF(C35="","",[1]!hks_fa_roic(C35,F35))</f>
        <v/>
      </c>
      <c r="R35" s="23" t="str">
        <f>IF(C35="","",[1]!hks_fa_dupont_nptosales(C35,F35))</f>
        <v/>
      </c>
      <c r="S35" s="23" t="str">
        <f>IF(C35="","",[1]!hks_fa_dupont_ebittosales(C35,F35))</f>
        <v/>
      </c>
      <c r="T35" s="25" t="str">
        <f>IF(C35="","",[1]!hks_fa_ebitdatosales(C35,F35))</f>
        <v/>
      </c>
      <c r="U35" s="47" t="str">
        <f>IF(C35="","",[1]!hks_fa_optoebt(C35,F35))</f>
        <v/>
      </c>
      <c r="V35" s="25" t="str">
        <f>IF(C35="","",[1]!hks_fa_ocftosales(C35,F35))</f>
        <v/>
      </c>
      <c r="W35" s="27" t="str">
        <f>IF(C35="","",[1]!hks_fa_debttoassets(C35,F35))</f>
        <v/>
      </c>
      <c r="X35" s="23" t="str">
        <f>IF(C35="","",[1]!s_fa_debttoeqy(C35,F35))</f>
        <v/>
      </c>
      <c r="Y35" s="23" t="str">
        <f>IF(C35="","",[1]!hks_fa_catoassets(C35,F35))</f>
        <v/>
      </c>
      <c r="Z35" s="23" t="str">
        <f>IF(C35="","",[1]!hks_fa_ncatoassets(C35,F35))</f>
        <v/>
      </c>
      <c r="AA35" s="23" t="str">
        <f>IF(C35="","",[1]!hks_fa_currentdebttodebt(C35,F35))</f>
        <v/>
      </c>
      <c r="AB35" s="25" t="str">
        <f>IF(C35="","",[1]!hks_fa_longdebtodebt(C35,F35))</f>
        <v/>
      </c>
      <c r="AC35" s="25" t="str">
        <f>IF(C35="","",[1]!hks_fa_current(C35,F35))</f>
        <v/>
      </c>
      <c r="AD35" s="25" t="str">
        <f>IF(C35="","",[1]!hks_fa_quick(C35,F35))</f>
        <v/>
      </c>
      <c r="AE35" s="25" t="str">
        <f>IF(C35="","",[1]!hks_fa_ebittointerest(C35,F35))</f>
        <v/>
      </c>
      <c r="AF35" s="25" t="str">
        <f>IF(C35="","",[1]!hks_fa_netdebtratio(C35,F35))</f>
        <v/>
      </c>
      <c r="AG35" s="27" t="str">
        <f>IF(C35="","",[1]!hks_fa_arturn(C35,F35))</f>
        <v/>
      </c>
      <c r="AH35" s="23" t="str">
        <f>IF(C35="","",[1]!hks_fa_apturn(C35,F35))</f>
        <v/>
      </c>
      <c r="AI35" s="23" t="str">
        <f>IF(C35="","",[1]!hks_fa_invturn(C35,F35))</f>
        <v/>
      </c>
      <c r="AJ35" s="23" t="str">
        <f>IF(C35="","",[1]!hks_fa_caturn(C35,F35))</f>
        <v/>
      </c>
      <c r="AK35" s="23" t="str">
        <f>IF(C35="","",[1]!hks_fa_faturn(C35,F35))</f>
        <v/>
      </c>
      <c r="AL35" s="25" t="str">
        <f>IF(C35="","",[1]!hks_fa_assetsturn(C35,F35))</f>
        <v/>
      </c>
      <c r="AM35" s="23" t="str">
        <f>IF(C35="","",[1]!hks_fa_yoy_tr(C35,F35))</f>
        <v/>
      </c>
      <c r="AN35" s="23" t="str">
        <f>IF(C35="","",[1]!hks_fa_yoy_or(C35,F35))</f>
        <v/>
      </c>
      <c r="AO35" s="23" t="str">
        <f>IF(C35="","",[1]!hks_fa_yoyop2(C35,F35))</f>
        <v/>
      </c>
      <c r="AP35" s="23" t="str">
        <f>IF(C35="","",[1]!hks_fa_yoyebt(C35,F35))</f>
        <v/>
      </c>
      <c r="AQ35" s="23" t="str">
        <f>IF(C35="","",[1]!hks_fa_yoynetprofit(C35,F35))</f>
        <v/>
      </c>
      <c r="AR35" s="23" t="str">
        <f>IF(C35="","",[1]!hks_fa_dupont_np(C35,F35))</f>
        <v/>
      </c>
      <c r="AS35" s="23" t="str">
        <f>IF(C35="","",[1]!hks_fa_dupont_taxburden(C35,F35))</f>
        <v/>
      </c>
      <c r="AT35" s="23" t="str">
        <f>IF(C35="","",[1]!s_fa_dupont_nptosales(C35,F35))</f>
        <v/>
      </c>
      <c r="AU35" s="23" t="str">
        <f>IF(C35="","",[1]!s_fa_dupont_roe(C35,F35))</f>
        <v/>
      </c>
      <c r="AV35" s="23" t="str">
        <f>IF(C35="","",[1]!hks_fa_dupont_intburden(C35,F35))</f>
        <v/>
      </c>
      <c r="AW35" s="23" t="str">
        <f>IF(C35="","",[1]!hks_fa_dupont_assetstoequity(C35,F35))</f>
        <v/>
      </c>
      <c r="AX35" s="23" t="str">
        <f>IF(C35="","",[1]!s_fa_dupont_ebittosales(C35,F35))</f>
        <v/>
      </c>
      <c r="AY35" s="23" t="str">
        <f>IF(C35="","",[1]!hks_fa_assetsturn(C35,F35))</f>
        <v/>
      </c>
      <c r="AZ35" s="23" t="str">
        <f>IF(C35="","",[1]!hks_fa_grossmargin2(C35,F35,"",100000000))</f>
        <v/>
      </c>
      <c r="BA35" s="23" t="str">
        <f>IF(C35="","",[1]!hks_fa_ebit3(C35,F35,1,"",100000000))</f>
        <v/>
      </c>
      <c r="BB35" s="23" t="str">
        <f>IF(C35="","",[1]!hks_fa_ebitda(C35,F35,1,"",100000000))</f>
        <v/>
      </c>
      <c r="BC35" s="23" t="str">
        <f>IF(C35="","",[1]!hks_fa_ebit(C35,F35,1,"",100000000))</f>
        <v/>
      </c>
      <c r="BD35" s="23" t="str">
        <f>IF(C35="","",[1]!hks_fa_ebitda(C35,F35,1,"",100000000))</f>
        <v/>
      </c>
      <c r="BE35" s="23" t="str">
        <f>IF(C35="","",[1]!hks_fa_nogaapprofit(C35,F35,1,"",100000000))</f>
        <v/>
      </c>
      <c r="BF35" s="23" t="str">
        <f>IF(C35="","",[1]!hks_fa_deductedprofit(C35,F35,1,"",100000000))</f>
        <v/>
      </c>
      <c r="BG35" s="23" t="str">
        <f>IF(C35="","",[1]!hks_fa_retainedearnings2(C35,F35,"",100000000))</f>
        <v/>
      </c>
      <c r="BH35" s="23" t="str">
        <f>IF(C35="","",[1]!hks_fa_workingcapital2(C35,F35,"",100000000))</f>
        <v/>
      </c>
      <c r="BI35" s="23" t="str">
        <f>IF(C35="","",[1]!hks_fa_networkingcapital2(C35,F35,"",100000000))</f>
        <v/>
      </c>
      <c r="BJ35" s="23" t="str">
        <f>IF(C35="","",[1]!hks_fa_investcapital2(C35,F35,"",100000000))</f>
        <v/>
      </c>
      <c r="BK35" s="23" t="str">
        <f>IF(C35="","",[1]!hks_fa_tangibleasset2(C35,F35,"",100000000))</f>
        <v/>
      </c>
      <c r="BL35" s="23" t="str">
        <f>IF(C35="","",[1]!hks_fa_netdebt2(C35,F35,"",100000000))</f>
        <v/>
      </c>
      <c r="BM35" s="23" t="str">
        <f>IF(C35="","",[1]!hks_fa_interestdebt2(C35,F35,"",100000000))</f>
        <v/>
      </c>
      <c r="BN35" s="23" t="str">
        <f>IF(C35="","",[1]!hks_fa_exinterestdebt_current(C35,F35,"",100000000))</f>
        <v/>
      </c>
      <c r="BO35" s="23" t="str">
        <f>IF(C35="","",[1]!hks_fa_exinterestdebt_noncurrent2(C35,F35,"",100000000))</f>
        <v/>
      </c>
      <c r="BP35" s="23" t="str">
        <f>IF(C35="","",[1]!hks_fa_fcfe2(C35,F35,"",100000000))</f>
        <v/>
      </c>
      <c r="BQ35" s="23" t="str">
        <f>IF(C35="","",[1]!hks_fa_fcff2(C35,F35,"",100000000))</f>
        <v/>
      </c>
      <c r="BR35" s="35"/>
    </row>
    <row r="36" spans="1:70" s="36" customFormat="1" ht="16.5" x14ac:dyDescent="0.2">
      <c r="A36" s="2"/>
      <c r="B36" s="6"/>
      <c r="C36" s="28" t="str">
        <f>IF(表1[[#This Row],[列1]]="","",表1[[#This Row],[列1]])</f>
        <v/>
      </c>
      <c r="D36" s="19" t="str">
        <f>IF(C36="","",[1]!hks_info_name(C36))</f>
        <v/>
      </c>
      <c r="E36" s="19" t="str">
        <f ca="1">IF(C36="","",[1]!lastradeday_s(C36,TODAY()))</f>
        <v/>
      </c>
      <c r="F36" s="49" t="str">
        <f>IF(C36="","",IF(OR([1]!s_stm_rpt_e(C36,基本资料!$I$8,0)="#N/A",[1]!s_stm_rpt_e(C36,基本资料!$I$8,0)="",[1]!s_stm_rpt_e(C36,基本资料!$I$8,0)=0),[1]!s_stm_rpt_e(C36,基本资料!$I$9,0),[1]!s_stm_rpt_e(C36,基本资料!$I$8,0)))</f>
        <v/>
      </c>
      <c r="G36" s="49" t="str">
        <f>IF(C36="","",[1]!hks_info_cur2(C36,F36))</f>
        <v/>
      </c>
      <c r="H36" s="27" t="str">
        <f>IF(C36="","",[1]!hks_fa_eps_basic(C36,F36,""))</f>
        <v/>
      </c>
      <c r="I36" s="23" t="str">
        <f>IF(C36="","",[1]!hks_fa_eps_adjust2(C36,F36,""))</f>
        <v/>
      </c>
      <c r="J36" s="23" t="str">
        <f>IF(C36="","",[1]!hks_fa_bps(C36,F36,""))</f>
        <v/>
      </c>
      <c r="K36" s="25" t="str">
        <f>IF(C36="","",[1]!hks_fa_ocfps(C36,F36,""))</f>
        <v/>
      </c>
      <c r="L36" s="27" t="str">
        <f>IF(C36="","",[1]!hks_fa_grossprofitmargin(C36,F36))</f>
        <v/>
      </c>
      <c r="M36" s="23" t="str">
        <f>IF(C36="","",[1]!hks_fa_netprofitmargin(C36,F36))</f>
        <v/>
      </c>
      <c r="N36" s="23" t="str">
        <f>IF(C36="","",[1]!hks_fa_roe(C36,F36))</f>
        <v/>
      </c>
      <c r="O36" s="23" t="str">
        <f>IF(C36="","",[1]!hks_fa_roe_deducted(C36,F36))</f>
        <v/>
      </c>
      <c r="P36" s="23" t="str">
        <f>IF(C36="","",[1]!hks_fa_roa2(C36,F36))</f>
        <v/>
      </c>
      <c r="Q36" s="23" t="str">
        <f>IF(C36="","",[1]!hks_fa_roic(C36,F36))</f>
        <v/>
      </c>
      <c r="R36" s="23" t="str">
        <f>IF(C36="","",[1]!hks_fa_dupont_nptosales(C36,F36))</f>
        <v/>
      </c>
      <c r="S36" s="23" t="str">
        <f>IF(C36="","",[1]!hks_fa_dupont_ebittosales(C36,F36))</f>
        <v/>
      </c>
      <c r="T36" s="25" t="str">
        <f>IF(C36="","",[1]!hks_fa_ebitdatosales(C36,F36))</f>
        <v/>
      </c>
      <c r="U36" s="47" t="str">
        <f>IF(C36="","",[1]!hks_fa_optoebt(C36,F36))</f>
        <v/>
      </c>
      <c r="V36" s="25" t="str">
        <f>IF(C36="","",[1]!hks_fa_ocftosales(C36,F36))</f>
        <v/>
      </c>
      <c r="W36" s="27" t="str">
        <f>IF(C36="","",[1]!hks_fa_debttoassets(C36,F36))</f>
        <v/>
      </c>
      <c r="X36" s="23" t="str">
        <f>IF(C36="","",[1]!s_fa_debttoeqy(C36,F36))</f>
        <v/>
      </c>
      <c r="Y36" s="23" t="str">
        <f>IF(C36="","",[1]!hks_fa_catoassets(C36,F36))</f>
        <v/>
      </c>
      <c r="Z36" s="23" t="str">
        <f>IF(C36="","",[1]!hks_fa_ncatoassets(C36,F36))</f>
        <v/>
      </c>
      <c r="AA36" s="23" t="str">
        <f>IF(C36="","",[1]!hks_fa_currentdebttodebt(C36,F36))</f>
        <v/>
      </c>
      <c r="AB36" s="25" t="str">
        <f>IF(C36="","",[1]!hks_fa_longdebtodebt(C36,F36))</f>
        <v/>
      </c>
      <c r="AC36" s="25" t="str">
        <f>IF(C36="","",[1]!hks_fa_current(C36,F36))</f>
        <v/>
      </c>
      <c r="AD36" s="25" t="str">
        <f>IF(C36="","",[1]!hks_fa_quick(C36,F36))</f>
        <v/>
      </c>
      <c r="AE36" s="25" t="str">
        <f>IF(C36="","",[1]!hks_fa_ebittointerest(C36,F36))</f>
        <v/>
      </c>
      <c r="AF36" s="25" t="str">
        <f>IF(C36="","",[1]!hks_fa_netdebtratio(C36,F36))</f>
        <v/>
      </c>
      <c r="AG36" s="27" t="str">
        <f>IF(C36="","",[1]!hks_fa_arturn(C36,F36))</f>
        <v/>
      </c>
      <c r="AH36" s="23" t="str">
        <f>IF(C36="","",[1]!hks_fa_apturn(C36,F36))</f>
        <v/>
      </c>
      <c r="AI36" s="23" t="str">
        <f>IF(C36="","",[1]!hks_fa_invturn(C36,F36))</f>
        <v/>
      </c>
      <c r="AJ36" s="23" t="str">
        <f>IF(C36="","",[1]!hks_fa_caturn(C36,F36))</f>
        <v/>
      </c>
      <c r="AK36" s="23" t="str">
        <f>IF(C36="","",[1]!hks_fa_faturn(C36,F36))</f>
        <v/>
      </c>
      <c r="AL36" s="25" t="str">
        <f>IF(C36="","",[1]!hks_fa_assetsturn(C36,F36))</f>
        <v/>
      </c>
      <c r="AM36" s="23" t="str">
        <f>IF(C36="","",[1]!hks_fa_yoy_tr(C36,F36))</f>
        <v/>
      </c>
      <c r="AN36" s="23" t="str">
        <f>IF(C36="","",[1]!hks_fa_yoy_or(C36,F36))</f>
        <v/>
      </c>
      <c r="AO36" s="23" t="str">
        <f>IF(C36="","",[1]!hks_fa_yoyop2(C36,F36))</f>
        <v/>
      </c>
      <c r="AP36" s="23" t="str">
        <f>IF(C36="","",[1]!hks_fa_yoyebt(C36,F36))</f>
        <v/>
      </c>
      <c r="AQ36" s="23" t="str">
        <f>IF(C36="","",[1]!hks_fa_yoynetprofit(C36,F36))</f>
        <v/>
      </c>
      <c r="AR36" s="23" t="str">
        <f>IF(C36="","",[1]!hks_fa_dupont_np(C36,F36))</f>
        <v/>
      </c>
      <c r="AS36" s="23" t="str">
        <f>IF(C36="","",[1]!hks_fa_dupont_taxburden(C36,F36))</f>
        <v/>
      </c>
      <c r="AT36" s="23" t="str">
        <f>IF(C36="","",[1]!s_fa_dupont_nptosales(C36,F36))</f>
        <v/>
      </c>
      <c r="AU36" s="23" t="str">
        <f>IF(C36="","",[1]!s_fa_dupont_roe(C36,F36))</f>
        <v/>
      </c>
      <c r="AV36" s="23" t="str">
        <f>IF(C36="","",[1]!hks_fa_dupont_intburden(C36,F36))</f>
        <v/>
      </c>
      <c r="AW36" s="23" t="str">
        <f>IF(C36="","",[1]!hks_fa_dupont_assetstoequity(C36,F36))</f>
        <v/>
      </c>
      <c r="AX36" s="23" t="str">
        <f>IF(C36="","",[1]!s_fa_dupont_ebittosales(C36,F36))</f>
        <v/>
      </c>
      <c r="AY36" s="23" t="str">
        <f>IF(C36="","",[1]!hks_fa_assetsturn(C36,F36))</f>
        <v/>
      </c>
      <c r="AZ36" s="23" t="str">
        <f>IF(C36="","",[1]!hks_fa_grossmargin2(C36,F36,"",100000000))</f>
        <v/>
      </c>
      <c r="BA36" s="23" t="str">
        <f>IF(C36="","",[1]!hks_fa_ebit3(C36,F36,1,"",100000000))</f>
        <v/>
      </c>
      <c r="BB36" s="23" t="str">
        <f>IF(C36="","",[1]!hks_fa_ebitda(C36,F36,1,"",100000000))</f>
        <v/>
      </c>
      <c r="BC36" s="23" t="str">
        <f>IF(C36="","",[1]!hks_fa_ebit(C36,F36,1,"",100000000))</f>
        <v/>
      </c>
      <c r="BD36" s="23" t="str">
        <f>IF(C36="","",[1]!hks_fa_ebitda(C36,F36,1,"",100000000))</f>
        <v/>
      </c>
      <c r="BE36" s="23" t="str">
        <f>IF(C36="","",[1]!hks_fa_nogaapprofit(C36,F36,1,"",100000000))</f>
        <v/>
      </c>
      <c r="BF36" s="23" t="str">
        <f>IF(C36="","",[1]!hks_fa_deductedprofit(C36,F36,1,"",100000000))</f>
        <v/>
      </c>
      <c r="BG36" s="23" t="str">
        <f>IF(C36="","",[1]!hks_fa_retainedearnings2(C36,F36,"",100000000))</f>
        <v/>
      </c>
      <c r="BH36" s="23" t="str">
        <f>IF(C36="","",[1]!hks_fa_workingcapital2(C36,F36,"",100000000))</f>
        <v/>
      </c>
      <c r="BI36" s="23" t="str">
        <f>IF(C36="","",[1]!hks_fa_networkingcapital2(C36,F36,"",100000000))</f>
        <v/>
      </c>
      <c r="BJ36" s="23" t="str">
        <f>IF(C36="","",[1]!hks_fa_investcapital2(C36,F36,"",100000000))</f>
        <v/>
      </c>
      <c r="BK36" s="23" t="str">
        <f>IF(C36="","",[1]!hks_fa_tangibleasset2(C36,F36,"",100000000))</f>
        <v/>
      </c>
      <c r="BL36" s="23" t="str">
        <f>IF(C36="","",[1]!hks_fa_netdebt2(C36,F36,"",100000000))</f>
        <v/>
      </c>
      <c r="BM36" s="23" t="str">
        <f>IF(C36="","",[1]!hks_fa_interestdebt2(C36,F36,"",100000000))</f>
        <v/>
      </c>
      <c r="BN36" s="23" t="str">
        <f>IF(C36="","",[1]!hks_fa_exinterestdebt_current(C36,F36,"",100000000))</f>
        <v/>
      </c>
      <c r="BO36" s="23" t="str">
        <f>IF(C36="","",[1]!hks_fa_exinterestdebt_noncurrent2(C36,F36,"",100000000))</f>
        <v/>
      </c>
      <c r="BP36" s="23" t="str">
        <f>IF(C36="","",[1]!hks_fa_fcfe2(C36,F36,"",100000000))</f>
        <v/>
      </c>
      <c r="BQ36" s="23" t="str">
        <f>IF(C36="","",[1]!hks_fa_fcff2(C36,F36,"",100000000))</f>
        <v/>
      </c>
      <c r="BR36" s="35"/>
    </row>
    <row r="37" spans="1:70" s="36" customFormat="1" ht="16.5" x14ac:dyDescent="0.2">
      <c r="A37" s="2"/>
      <c r="B37" s="6"/>
      <c r="C37" s="28" t="str">
        <f>IF(表1[[#This Row],[列1]]="","",表1[[#This Row],[列1]])</f>
        <v/>
      </c>
      <c r="D37" s="19" t="str">
        <f>IF(C37="","",[1]!hks_info_name(C37))</f>
        <v/>
      </c>
      <c r="E37" s="19" t="str">
        <f ca="1">IF(C37="","",[1]!lastradeday_s(C37,TODAY()))</f>
        <v/>
      </c>
      <c r="F37" s="49" t="str">
        <f>IF(C37="","",IF(OR([1]!s_stm_rpt_e(C37,基本资料!$I$8,0)="#N/A",[1]!s_stm_rpt_e(C37,基本资料!$I$8,0)="",[1]!s_stm_rpt_e(C37,基本资料!$I$8,0)=0),[1]!s_stm_rpt_e(C37,基本资料!$I$9,0),[1]!s_stm_rpt_e(C37,基本资料!$I$8,0)))</f>
        <v/>
      </c>
      <c r="G37" s="49" t="str">
        <f>IF(C37="","",[1]!hks_info_cur2(C37,F37))</f>
        <v/>
      </c>
      <c r="H37" s="27" t="str">
        <f>IF(C37="","",[1]!hks_fa_eps_basic(C37,F37,""))</f>
        <v/>
      </c>
      <c r="I37" s="23" t="str">
        <f>IF(C37="","",[1]!hks_fa_eps_adjust2(C37,F37,""))</f>
        <v/>
      </c>
      <c r="J37" s="23" t="str">
        <f>IF(C37="","",[1]!hks_fa_bps(C37,F37,""))</f>
        <v/>
      </c>
      <c r="K37" s="25" t="str">
        <f>IF(C37="","",[1]!hks_fa_ocfps(C37,F37,""))</f>
        <v/>
      </c>
      <c r="L37" s="27" t="str">
        <f>IF(C37="","",[1]!hks_fa_grossprofitmargin(C37,F37))</f>
        <v/>
      </c>
      <c r="M37" s="23" t="str">
        <f>IF(C37="","",[1]!hks_fa_netprofitmargin(C37,F37))</f>
        <v/>
      </c>
      <c r="N37" s="23" t="str">
        <f>IF(C37="","",[1]!hks_fa_roe(C37,F37))</f>
        <v/>
      </c>
      <c r="O37" s="23" t="str">
        <f>IF(C37="","",[1]!hks_fa_roe_deducted(C37,F37))</f>
        <v/>
      </c>
      <c r="P37" s="23" t="str">
        <f>IF(C37="","",[1]!hks_fa_roa2(C37,F37))</f>
        <v/>
      </c>
      <c r="Q37" s="23" t="str">
        <f>IF(C37="","",[1]!hks_fa_roic(C37,F37))</f>
        <v/>
      </c>
      <c r="R37" s="23" t="str">
        <f>IF(C37="","",[1]!hks_fa_dupont_nptosales(C37,F37))</f>
        <v/>
      </c>
      <c r="S37" s="23" t="str">
        <f>IF(C37="","",[1]!hks_fa_dupont_ebittosales(C37,F37))</f>
        <v/>
      </c>
      <c r="T37" s="25" t="str">
        <f>IF(C37="","",[1]!hks_fa_ebitdatosales(C37,F37))</f>
        <v/>
      </c>
      <c r="U37" s="47" t="str">
        <f>IF(C37="","",[1]!hks_fa_optoebt(C37,F37))</f>
        <v/>
      </c>
      <c r="V37" s="25" t="str">
        <f>IF(C37="","",[1]!hks_fa_ocftosales(C37,F37))</f>
        <v/>
      </c>
      <c r="W37" s="27" t="str">
        <f>IF(C37="","",[1]!hks_fa_debttoassets(C37,F37))</f>
        <v/>
      </c>
      <c r="X37" s="23" t="str">
        <f>IF(C37="","",[1]!s_fa_debttoeqy(C37,F37))</f>
        <v/>
      </c>
      <c r="Y37" s="23" t="str">
        <f>IF(C37="","",[1]!hks_fa_catoassets(C37,F37))</f>
        <v/>
      </c>
      <c r="Z37" s="23" t="str">
        <f>IF(C37="","",[1]!hks_fa_ncatoassets(C37,F37))</f>
        <v/>
      </c>
      <c r="AA37" s="23" t="str">
        <f>IF(C37="","",[1]!hks_fa_currentdebttodebt(C37,F37))</f>
        <v/>
      </c>
      <c r="AB37" s="25" t="str">
        <f>IF(C37="","",[1]!hks_fa_longdebtodebt(C37,F37))</f>
        <v/>
      </c>
      <c r="AC37" s="25" t="str">
        <f>IF(C37="","",[1]!hks_fa_current(C37,F37))</f>
        <v/>
      </c>
      <c r="AD37" s="25" t="str">
        <f>IF(C37="","",[1]!hks_fa_quick(C37,F37))</f>
        <v/>
      </c>
      <c r="AE37" s="25" t="str">
        <f>IF(C37="","",[1]!hks_fa_ebittointerest(C37,F37))</f>
        <v/>
      </c>
      <c r="AF37" s="25" t="str">
        <f>IF(C37="","",[1]!hks_fa_netdebtratio(C37,F37))</f>
        <v/>
      </c>
      <c r="AG37" s="27" t="str">
        <f>IF(C37="","",[1]!hks_fa_arturn(C37,F37))</f>
        <v/>
      </c>
      <c r="AH37" s="23" t="str">
        <f>IF(C37="","",[1]!hks_fa_apturn(C37,F37))</f>
        <v/>
      </c>
      <c r="AI37" s="23" t="str">
        <f>IF(C37="","",[1]!hks_fa_invturn(C37,F37))</f>
        <v/>
      </c>
      <c r="AJ37" s="23" t="str">
        <f>IF(C37="","",[1]!hks_fa_caturn(C37,F37))</f>
        <v/>
      </c>
      <c r="AK37" s="23" t="str">
        <f>IF(C37="","",[1]!hks_fa_faturn(C37,F37))</f>
        <v/>
      </c>
      <c r="AL37" s="25" t="str">
        <f>IF(C37="","",[1]!hks_fa_assetsturn(C37,F37))</f>
        <v/>
      </c>
      <c r="AM37" s="23" t="str">
        <f>IF(C37="","",[1]!hks_fa_yoy_tr(C37,F37))</f>
        <v/>
      </c>
      <c r="AN37" s="23" t="str">
        <f>IF(C37="","",[1]!hks_fa_yoy_or(C37,F37))</f>
        <v/>
      </c>
      <c r="AO37" s="23" t="str">
        <f>IF(C37="","",[1]!hks_fa_yoyop2(C37,F37))</f>
        <v/>
      </c>
      <c r="AP37" s="23" t="str">
        <f>IF(C37="","",[1]!hks_fa_yoyebt(C37,F37))</f>
        <v/>
      </c>
      <c r="AQ37" s="23" t="str">
        <f>IF(C37="","",[1]!hks_fa_yoynetprofit(C37,F37))</f>
        <v/>
      </c>
      <c r="AR37" s="23" t="str">
        <f>IF(C37="","",[1]!hks_fa_dupont_np(C37,F37))</f>
        <v/>
      </c>
      <c r="AS37" s="23" t="str">
        <f>IF(C37="","",[1]!hks_fa_dupont_taxburden(C37,F37))</f>
        <v/>
      </c>
      <c r="AT37" s="23" t="str">
        <f>IF(C37="","",[1]!s_fa_dupont_nptosales(C37,F37))</f>
        <v/>
      </c>
      <c r="AU37" s="23" t="str">
        <f>IF(C37="","",[1]!s_fa_dupont_roe(C37,F37))</f>
        <v/>
      </c>
      <c r="AV37" s="23" t="str">
        <f>IF(C37="","",[1]!hks_fa_dupont_intburden(C37,F37))</f>
        <v/>
      </c>
      <c r="AW37" s="23" t="str">
        <f>IF(C37="","",[1]!hks_fa_dupont_assetstoequity(C37,F37))</f>
        <v/>
      </c>
      <c r="AX37" s="23" t="str">
        <f>IF(C37="","",[1]!s_fa_dupont_ebittosales(C37,F37))</f>
        <v/>
      </c>
      <c r="AY37" s="23" t="str">
        <f>IF(C37="","",[1]!hks_fa_assetsturn(C37,F37))</f>
        <v/>
      </c>
      <c r="AZ37" s="23" t="str">
        <f>IF(C37="","",[1]!hks_fa_grossmargin2(C37,F37,"",100000000))</f>
        <v/>
      </c>
      <c r="BA37" s="23" t="str">
        <f>IF(C37="","",[1]!hks_fa_ebit3(C37,F37,1,"",100000000))</f>
        <v/>
      </c>
      <c r="BB37" s="23" t="str">
        <f>IF(C37="","",[1]!hks_fa_ebitda(C37,F37,1,"",100000000))</f>
        <v/>
      </c>
      <c r="BC37" s="23" t="str">
        <f>IF(C37="","",[1]!hks_fa_ebit(C37,F37,1,"",100000000))</f>
        <v/>
      </c>
      <c r="BD37" s="23" t="str">
        <f>IF(C37="","",[1]!hks_fa_ebitda(C37,F37,1,"",100000000))</f>
        <v/>
      </c>
      <c r="BE37" s="23" t="str">
        <f>IF(C37="","",[1]!hks_fa_nogaapprofit(C37,F37,1,"",100000000))</f>
        <v/>
      </c>
      <c r="BF37" s="23" t="str">
        <f>IF(C37="","",[1]!hks_fa_deductedprofit(C37,F37,1,"",100000000))</f>
        <v/>
      </c>
      <c r="BG37" s="23" t="str">
        <f>IF(C37="","",[1]!hks_fa_retainedearnings2(C37,F37,"",100000000))</f>
        <v/>
      </c>
      <c r="BH37" s="23" t="str">
        <f>IF(C37="","",[1]!hks_fa_workingcapital2(C37,F37,"",100000000))</f>
        <v/>
      </c>
      <c r="BI37" s="23" t="str">
        <f>IF(C37="","",[1]!hks_fa_networkingcapital2(C37,F37,"",100000000))</f>
        <v/>
      </c>
      <c r="BJ37" s="23" t="str">
        <f>IF(C37="","",[1]!hks_fa_investcapital2(C37,F37,"",100000000))</f>
        <v/>
      </c>
      <c r="BK37" s="23" t="str">
        <f>IF(C37="","",[1]!hks_fa_tangibleasset2(C37,F37,"",100000000))</f>
        <v/>
      </c>
      <c r="BL37" s="23" t="str">
        <f>IF(C37="","",[1]!hks_fa_netdebt2(C37,F37,"",100000000))</f>
        <v/>
      </c>
      <c r="BM37" s="23" t="str">
        <f>IF(C37="","",[1]!hks_fa_interestdebt2(C37,F37,"",100000000))</f>
        <v/>
      </c>
      <c r="BN37" s="23" t="str">
        <f>IF(C37="","",[1]!hks_fa_exinterestdebt_current(C37,F37,"",100000000))</f>
        <v/>
      </c>
      <c r="BO37" s="23" t="str">
        <f>IF(C37="","",[1]!hks_fa_exinterestdebt_noncurrent2(C37,F37,"",100000000))</f>
        <v/>
      </c>
      <c r="BP37" s="23" t="str">
        <f>IF(C37="","",[1]!hks_fa_fcfe2(C37,F37,"",100000000))</f>
        <v/>
      </c>
      <c r="BQ37" s="23" t="str">
        <f>IF(C37="","",[1]!hks_fa_fcff2(C37,F37,"",100000000))</f>
        <v/>
      </c>
      <c r="BR37" s="35"/>
    </row>
    <row r="38" spans="1:70" s="36" customFormat="1" ht="16.5" x14ac:dyDescent="0.2">
      <c r="A38" s="2"/>
      <c r="B38" s="6"/>
      <c r="C38" s="28" t="str">
        <f>IF(表1[[#This Row],[列1]]="","",表1[[#This Row],[列1]])</f>
        <v/>
      </c>
      <c r="D38" s="19" t="str">
        <f>IF(C38="","",[1]!hks_info_name(C38))</f>
        <v/>
      </c>
      <c r="E38" s="19" t="str">
        <f ca="1">IF(C38="","",[1]!lastradeday_s(C38,TODAY()))</f>
        <v/>
      </c>
      <c r="F38" s="49" t="str">
        <f>IF(C38="","",IF(OR([1]!s_stm_rpt_e(C38,基本资料!$I$8,0)="#N/A",[1]!s_stm_rpt_e(C38,基本资料!$I$8,0)="",[1]!s_stm_rpt_e(C38,基本资料!$I$8,0)=0),[1]!s_stm_rpt_e(C38,基本资料!$I$9,0),[1]!s_stm_rpt_e(C38,基本资料!$I$8,0)))</f>
        <v/>
      </c>
      <c r="G38" s="49" t="str">
        <f>IF(C38="","",[1]!hks_info_cur2(C38,F38))</f>
        <v/>
      </c>
      <c r="H38" s="27" t="str">
        <f>IF(C38="","",[1]!hks_fa_eps_basic(C38,F38,""))</f>
        <v/>
      </c>
      <c r="I38" s="23" t="str">
        <f>IF(C38="","",[1]!hks_fa_eps_adjust2(C38,F38,""))</f>
        <v/>
      </c>
      <c r="J38" s="23" t="str">
        <f>IF(C38="","",[1]!hks_fa_bps(C38,F38,""))</f>
        <v/>
      </c>
      <c r="K38" s="25" t="str">
        <f>IF(C38="","",[1]!hks_fa_ocfps(C38,F38,""))</f>
        <v/>
      </c>
      <c r="L38" s="27" t="str">
        <f>IF(C38="","",[1]!hks_fa_grossprofitmargin(C38,F38))</f>
        <v/>
      </c>
      <c r="M38" s="23" t="str">
        <f>IF(C38="","",[1]!hks_fa_netprofitmargin(C38,F38))</f>
        <v/>
      </c>
      <c r="N38" s="23" t="str">
        <f>IF(C38="","",[1]!hks_fa_roe(C38,F38))</f>
        <v/>
      </c>
      <c r="O38" s="23" t="str">
        <f>IF(C38="","",[1]!hks_fa_roe_deducted(C38,F38))</f>
        <v/>
      </c>
      <c r="P38" s="23" t="str">
        <f>IF(C38="","",[1]!hks_fa_roa2(C38,F38))</f>
        <v/>
      </c>
      <c r="Q38" s="23" t="str">
        <f>IF(C38="","",[1]!hks_fa_roic(C38,F38))</f>
        <v/>
      </c>
      <c r="R38" s="23" t="str">
        <f>IF(C38="","",[1]!hks_fa_dupont_nptosales(C38,F38))</f>
        <v/>
      </c>
      <c r="S38" s="23" t="str">
        <f>IF(C38="","",[1]!hks_fa_dupont_ebittosales(C38,F38))</f>
        <v/>
      </c>
      <c r="T38" s="25" t="str">
        <f>IF(C38="","",[1]!hks_fa_ebitdatosales(C38,F38))</f>
        <v/>
      </c>
      <c r="U38" s="47" t="str">
        <f>IF(C38="","",[1]!hks_fa_optoebt(C38,F38))</f>
        <v/>
      </c>
      <c r="V38" s="25" t="str">
        <f>IF(C38="","",[1]!hks_fa_ocftosales(C38,F38))</f>
        <v/>
      </c>
      <c r="W38" s="27" t="str">
        <f>IF(C38="","",[1]!hks_fa_debttoassets(C38,F38))</f>
        <v/>
      </c>
      <c r="X38" s="23" t="str">
        <f>IF(C38="","",[1]!s_fa_debttoeqy(C38,F38))</f>
        <v/>
      </c>
      <c r="Y38" s="23" t="str">
        <f>IF(C38="","",[1]!hks_fa_catoassets(C38,F38))</f>
        <v/>
      </c>
      <c r="Z38" s="23" t="str">
        <f>IF(C38="","",[1]!hks_fa_ncatoassets(C38,F38))</f>
        <v/>
      </c>
      <c r="AA38" s="23" t="str">
        <f>IF(C38="","",[1]!hks_fa_currentdebttodebt(C38,F38))</f>
        <v/>
      </c>
      <c r="AB38" s="25" t="str">
        <f>IF(C38="","",[1]!hks_fa_longdebtodebt(C38,F38))</f>
        <v/>
      </c>
      <c r="AC38" s="25" t="str">
        <f>IF(C38="","",[1]!hks_fa_current(C38,F38))</f>
        <v/>
      </c>
      <c r="AD38" s="25" t="str">
        <f>IF(C38="","",[1]!hks_fa_quick(C38,F38))</f>
        <v/>
      </c>
      <c r="AE38" s="25" t="str">
        <f>IF(C38="","",[1]!hks_fa_ebittointerest(C38,F38))</f>
        <v/>
      </c>
      <c r="AF38" s="25" t="str">
        <f>IF(C38="","",[1]!hks_fa_netdebtratio(C38,F38))</f>
        <v/>
      </c>
      <c r="AG38" s="27" t="str">
        <f>IF(C38="","",[1]!hks_fa_arturn(C38,F38))</f>
        <v/>
      </c>
      <c r="AH38" s="23" t="str">
        <f>IF(C38="","",[1]!hks_fa_apturn(C38,F38))</f>
        <v/>
      </c>
      <c r="AI38" s="23" t="str">
        <f>IF(C38="","",[1]!hks_fa_invturn(C38,F38))</f>
        <v/>
      </c>
      <c r="AJ38" s="23" t="str">
        <f>IF(C38="","",[1]!hks_fa_caturn(C38,F38))</f>
        <v/>
      </c>
      <c r="AK38" s="23" t="str">
        <f>IF(C38="","",[1]!hks_fa_faturn(C38,F38))</f>
        <v/>
      </c>
      <c r="AL38" s="25" t="str">
        <f>IF(C38="","",[1]!hks_fa_assetsturn(C38,F38))</f>
        <v/>
      </c>
      <c r="AM38" s="23" t="str">
        <f>IF(C38="","",[1]!hks_fa_yoy_tr(C38,F38))</f>
        <v/>
      </c>
      <c r="AN38" s="23" t="str">
        <f>IF(C38="","",[1]!hks_fa_yoy_or(C38,F38))</f>
        <v/>
      </c>
      <c r="AO38" s="23" t="str">
        <f>IF(C38="","",[1]!hks_fa_yoyop2(C38,F38))</f>
        <v/>
      </c>
      <c r="AP38" s="23" t="str">
        <f>IF(C38="","",[1]!hks_fa_yoyebt(C38,F38))</f>
        <v/>
      </c>
      <c r="AQ38" s="23" t="str">
        <f>IF(C38="","",[1]!hks_fa_yoynetprofit(C38,F38))</f>
        <v/>
      </c>
      <c r="AR38" s="23" t="str">
        <f>IF(C38="","",[1]!hks_fa_dupont_np(C38,F38))</f>
        <v/>
      </c>
      <c r="AS38" s="23" t="str">
        <f>IF(C38="","",[1]!hks_fa_dupont_taxburden(C38,F38))</f>
        <v/>
      </c>
      <c r="AT38" s="23" t="str">
        <f>IF(C38="","",[1]!s_fa_dupont_nptosales(C38,F38))</f>
        <v/>
      </c>
      <c r="AU38" s="23" t="str">
        <f>IF(C38="","",[1]!s_fa_dupont_roe(C38,F38))</f>
        <v/>
      </c>
      <c r="AV38" s="23" t="str">
        <f>IF(C38="","",[1]!hks_fa_dupont_intburden(C38,F38))</f>
        <v/>
      </c>
      <c r="AW38" s="23" t="str">
        <f>IF(C38="","",[1]!hks_fa_dupont_assetstoequity(C38,F38))</f>
        <v/>
      </c>
      <c r="AX38" s="23" t="str">
        <f>IF(C38="","",[1]!s_fa_dupont_ebittosales(C38,F38))</f>
        <v/>
      </c>
      <c r="AY38" s="23" t="str">
        <f>IF(C38="","",[1]!hks_fa_assetsturn(C38,F38))</f>
        <v/>
      </c>
      <c r="AZ38" s="23" t="str">
        <f>IF(C38="","",[1]!hks_fa_grossmargin2(C38,F38,"",100000000))</f>
        <v/>
      </c>
      <c r="BA38" s="23" t="str">
        <f>IF(C38="","",[1]!hks_fa_ebit3(C38,F38,1,"",100000000))</f>
        <v/>
      </c>
      <c r="BB38" s="23" t="str">
        <f>IF(C38="","",[1]!hks_fa_ebitda(C38,F38,1,"",100000000))</f>
        <v/>
      </c>
      <c r="BC38" s="23" t="str">
        <f>IF(C38="","",[1]!hks_fa_ebit(C38,F38,1,"",100000000))</f>
        <v/>
      </c>
      <c r="BD38" s="23" t="str">
        <f>IF(C38="","",[1]!hks_fa_ebitda(C38,F38,1,"",100000000))</f>
        <v/>
      </c>
      <c r="BE38" s="23" t="str">
        <f>IF(C38="","",[1]!hks_fa_nogaapprofit(C38,F38,1,"",100000000))</f>
        <v/>
      </c>
      <c r="BF38" s="23" t="str">
        <f>IF(C38="","",[1]!hks_fa_deductedprofit(C38,F38,1,"",100000000))</f>
        <v/>
      </c>
      <c r="BG38" s="23" t="str">
        <f>IF(C38="","",[1]!hks_fa_retainedearnings2(C38,F38,"",100000000))</f>
        <v/>
      </c>
      <c r="BH38" s="23" t="str">
        <f>IF(C38="","",[1]!hks_fa_workingcapital2(C38,F38,"",100000000))</f>
        <v/>
      </c>
      <c r="BI38" s="23" t="str">
        <f>IF(C38="","",[1]!hks_fa_networkingcapital2(C38,F38,"",100000000))</f>
        <v/>
      </c>
      <c r="BJ38" s="23" t="str">
        <f>IF(C38="","",[1]!hks_fa_investcapital2(C38,F38,"",100000000))</f>
        <v/>
      </c>
      <c r="BK38" s="23" t="str">
        <f>IF(C38="","",[1]!hks_fa_tangibleasset2(C38,F38,"",100000000))</f>
        <v/>
      </c>
      <c r="BL38" s="23" t="str">
        <f>IF(C38="","",[1]!hks_fa_netdebt2(C38,F38,"",100000000))</f>
        <v/>
      </c>
      <c r="BM38" s="23" t="str">
        <f>IF(C38="","",[1]!hks_fa_interestdebt2(C38,F38,"",100000000))</f>
        <v/>
      </c>
      <c r="BN38" s="23" t="str">
        <f>IF(C38="","",[1]!hks_fa_exinterestdebt_current(C38,F38,"",100000000))</f>
        <v/>
      </c>
      <c r="BO38" s="23" t="str">
        <f>IF(C38="","",[1]!hks_fa_exinterestdebt_noncurrent2(C38,F38,"",100000000))</f>
        <v/>
      </c>
      <c r="BP38" s="23" t="str">
        <f>IF(C38="","",[1]!hks_fa_fcfe2(C38,F38,"",100000000))</f>
        <v/>
      </c>
      <c r="BQ38" s="23" t="str">
        <f>IF(C38="","",[1]!hks_fa_fcff2(C38,F38,"",100000000))</f>
        <v/>
      </c>
      <c r="BR38" s="35"/>
    </row>
    <row r="39" spans="1:70" s="36" customFormat="1" ht="16.5" x14ac:dyDescent="0.2">
      <c r="A39" s="2"/>
      <c r="B39" s="6"/>
      <c r="C39" s="28" t="str">
        <f>IF(表1[[#This Row],[列1]]="","",表1[[#This Row],[列1]])</f>
        <v/>
      </c>
      <c r="D39" s="19" t="str">
        <f>IF(C39="","",[1]!hks_info_name(C39))</f>
        <v/>
      </c>
      <c r="E39" s="19" t="str">
        <f ca="1">IF(C39="","",[1]!lastradeday_s(C39,TODAY()))</f>
        <v/>
      </c>
      <c r="F39" s="49" t="str">
        <f>IF(C39="","",IF(OR([1]!s_stm_rpt_e(C39,基本资料!$I$8,0)="#N/A",[1]!s_stm_rpt_e(C39,基本资料!$I$8,0)="",[1]!s_stm_rpt_e(C39,基本资料!$I$8,0)=0),[1]!s_stm_rpt_e(C39,基本资料!$I$9,0),[1]!s_stm_rpt_e(C39,基本资料!$I$8,0)))</f>
        <v/>
      </c>
      <c r="G39" s="49" t="str">
        <f>IF(C39="","",[1]!hks_info_cur2(C39,F39))</f>
        <v/>
      </c>
      <c r="H39" s="27" t="str">
        <f>IF(C39="","",[1]!hks_fa_eps_basic(C39,F39,""))</f>
        <v/>
      </c>
      <c r="I39" s="23" t="str">
        <f>IF(C39="","",[1]!hks_fa_eps_adjust2(C39,F39,""))</f>
        <v/>
      </c>
      <c r="J39" s="23" t="str">
        <f>IF(C39="","",[1]!hks_fa_bps(C39,F39,""))</f>
        <v/>
      </c>
      <c r="K39" s="25" t="str">
        <f>IF(C39="","",[1]!hks_fa_ocfps(C39,F39,""))</f>
        <v/>
      </c>
      <c r="L39" s="27" t="str">
        <f>IF(C39="","",[1]!hks_fa_grossprofitmargin(C39,F39))</f>
        <v/>
      </c>
      <c r="M39" s="23" t="str">
        <f>IF(C39="","",[1]!hks_fa_netprofitmargin(C39,F39))</f>
        <v/>
      </c>
      <c r="N39" s="23" t="str">
        <f>IF(C39="","",[1]!hks_fa_roe(C39,F39))</f>
        <v/>
      </c>
      <c r="O39" s="23" t="str">
        <f>IF(C39="","",[1]!hks_fa_roe_deducted(C39,F39))</f>
        <v/>
      </c>
      <c r="P39" s="23" t="str">
        <f>IF(C39="","",[1]!hks_fa_roa2(C39,F39))</f>
        <v/>
      </c>
      <c r="Q39" s="23" t="str">
        <f>IF(C39="","",[1]!hks_fa_roic(C39,F39))</f>
        <v/>
      </c>
      <c r="R39" s="23" t="str">
        <f>IF(C39="","",[1]!hks_fa_dupont_nptosales(C39,F39))</f>
        <v/>
      </c>
      <c r="S39" s="23" t="str">
        <f>IF(C39="","",[1]!hks_fa_dupont_ebittosales(C39,F39))</f>
        <v/>
      </c>
      <c r="T39" s="25" t="str">
        <f>IF(C39="","",[1]!hks_fa_ebitdatosales(C39,F39))</f>
        <v/>
      </c>
      <c r="U39" s="47" t="str">
        <f>IF(C39="","",[1]!hks_fa_optoebt(C39,F39))</f>
        <v/>
      </c>
      <c r="V39" s="25" t="str">
        <f>IF(C39="","",[1]!hks_fa_ocftosales(C39,F39))</f>
        <v/>
      </c>
      <c r="W39" s="27" t="str">
        <f>IF(C39="","",[1]!hks_fa_debttoassets(C39,F39))</f>
        <v/>
      </c>
      <c r="X39" s="23" t="str">
        <f>IF(C39="","",[1]!s_fa_debttoeqy(C39,F39))</f>
        <v/>
      </c>
      <c r="Y39" s="23" t="str">
        <f>IF(C39="","",[1]!hks_fa_catoassets(C39,F39))</f>
        <v/>
      </c>
      <c r="Z39" s="23" t="str">
        <f>IF(C39="","",[1]!hks_fa_ncatoassets(C39,F39))</f>
        <v/>
      </c>
      <c r="AA39" s="23" t="str">
        <f>IF(C39="","",[1]!hks_fa_currentdebttodebt(C39,F39))</f>
        <v/>
      </c>
      <c r="AB39" s="25" t="str">
        <f>IF(C39="","",[1]!hks_fa_longdebtodebt(C39,F39))</f>
        <v/>
      </c>
      <c r="AC39" s="25" t="str">
        <f>IF(C39="","",[1]!hks_fa_current(C39,F39))</f>
        <v/>
      </c>
      <c r="AD39" s="25" t="str">
        <f>IF(C39="","",[1]!hks_fa_quick(C39,F39))</f>
        <v/>
      </c>
      <c r="AE39" s="25" t="str">
        <f>IF(C39="","",[1]!hks_fa_ebittointerest(C39,F39))</f>
        <v/>
      </c>
      <c r="AF39" s="25" t="str">
        <f>IF(C39="","",[1]!hks_fa_netdebtratio(C39,F39))</f>
        <v/>
      </c>
      <c r="AG39" s="27" t="str">
        <f>IF(C39="","",[1]!hks_fa_arturn(C39,F39))</f>
        <v/>
      </c>
      <c r="AH39" s="23" t="str">
        <f>IF(C39="","",[1]!hks_fa_apturn(C39,F39))</f>
        <v/>
      </c>
      <c r="AI39" s="23" t="str">
        <f>IF(C39="","",[1]!hks_fa_invturn(C39,F39))</f>
        <v/>
      </c>
      <c r="AJ39" s="23" t="str">
        <f>IF(C39="","",[1]!hks_fa_caturn(C39,F39))</f>
        <v/>
      </c>
      <c r="AK39" s="23" t="str">
        <f>IF(C39="","",[1]!hks_fa_faturn(C39,F39))</f>
        <v/>
      </c>
      <c r="AL39" s="25" t="str">
        <f>IF(C39="","",[1]!hks_fa_assetsturn(C39,F39))</f>
        <v/>
      </c>
      <c r="AM39" s="23" t="str">
        <f>IF(C39="","",[1]!hks_fa_yoy_tr(C39,F39))</f>
        <v/>
      </c>
      <c r="AN39" s="23" t="str">
        <f>IF(C39="","",[1]!hks_fa_yoy_or(C39,F39))</f>
        <v/>
      </c>
      <c r="AO39" s="23" t="str">
        <f>IF(C39="","",[1]!hks_fa_yoyop2(C39,F39))</f>
        <v/>
      </c>
      <c r="AP39" s="23" t="str">
        <f>IF(C39="","",[1]!hks_fa_yoyebt(C39,F39))</f>
        <v/>
      </c>
      <c r="AQ39" s="23" t="str">
        <f>IF(C39="","",[1]!hks_fa_yoynetprofit(C39,F39))</f>
        <v/>
      </c>
      <c r="AR39" s="23" t="str">
        <f>IF(C39="","",[1]!hks_fa_dupont_np(C39,F39))</f>
        <v/>
      </c>
      <c r="AS39" s="23" t="str">
        <f>IF(C39="","",[1]!hks_fa_dupont_taxburden(C39,F39))</f>
        <v/>
      </c>
      <c r="AT39" s="23" t="str">
        <f>IF(C39="","",[1]!s_fa_dupont_nptosales(C39,F39))</f>
        <v/>
      </c>
      <c r="AU39" s="23" t="str">
        <f>IF(C39="","",[1]!s_fa_dupont_roe(C39,F39))</f>
        <v/>
      </c>
      <c r="AV39" s="23" t="str">
        <f>IF(C39="","",[1]!hks_fa_dupont_intburden(C39,F39))</f>
        <v/>
      </c>
      <c r="AW39" s="23" t="str">
        <f>IF(C39="","",[1]!hks_fa_dupont_assetstoequity(C39,F39))</f>
        <v/>
      </c>
      <c r="AX39" s="23" t="str">
        <f>IF(C39="","",[1]!s_fa_dupont_ebittosales(C39,F39))</f>
        <v/>
      </c>
      <c r="AY39" s="23" t="str">
        <f>IF(C39="","",[1]!hks_fa_assetsturn(C39,F39))</f>
        <v/>
      </c>
      <c r="AZ39" s="23" t="str">
        <f>IF(C39="","",[1]!hks_fa_grossmargin2(C39,F39,"",100000000))</f>
        <v/>
      </c>
      <c r="BA39" s="23" t="str">
        <f>IF(C39="","",[1]!hks_fa_ebit3(C39,F39,1,"",100000000))</f>
        <v/>
      </c>
      <c r="BB39" s="23" t="str">
        <f>IF(C39="","",[1]!hks_fa_ebitda(C39,F39,1,"",100000000))</f>
        <v/>
      </c>
      <c r="BC39" s="23" t="str">
        <f>IF(C39="","",[1]!hks_fa_ebit(C39,F39,1,"",100000000))</f>
        <v/>
      </c>
      <c r="BD39" s="23" t="str">
        <f>IF(C39="","",[1]!hks_fa_ebitda(C39,F39,1,"",100000000))</f>
        <v/>
      </c>
      <c r="BE39" s="23" t="str">
        <f>IF(C39="","",[1]!hks_fa_nogaapprofit(C39,F39,1,"",100000000))</f>
        <v/>
      </c>
      <c r="BF39" s="23" t="str">
        <f>IF(C39="","",[1]!hks_fa_deductedprofit(C39,F39,1,"",100000000))</f>
        <v/>
      </c>
      <c r="BG39" s="23" t="str">
        <f>IF(C39="","",[1]!hks_fa_retainedearnings2(C39,F39,"",100000000))</f>
        <v/>
      </c>
      <c r="BH39" s="23" t="str">
        <f>IF(C39="","",[1]!hks_fa_workingcapital2(C39,F39,"",100000000))</f>
        <v/>
      </c>
      <c r="BI39" s="23" t="str">
        <f>IF(C39="","",[1]!hks_fa_networkingcapital2(C39,F39,"",100000000))</f>
        <v/>
      </c>
      <c r="BJ39" s="23" t="str">
        <f>IF(C39="","",[1]!hks_fa_investcapital2(C39,F39,"",100000000))</f>
        <v/>
      </c>
      <c r="BK39" s="23" t="str">
        <f>IF(C39="","",[1]!hks_fa_tangibleasset2(C39,F39,"",100000000))</f>
        <v/>
      </c>
      <c r="BL39" s="23" t="str">
        <f>IF(C39="","",[1]!hks_fa_netdebt2(C39,F39,"",100000000))</f>
        <v/>
      </c>
      <c r="BM39" s="23" t="str">
        <f>IF(C39="","",[1]!hks_fa_interestdebt2(C39,F39,"",100000000))</f>
        <v/>
      </c>
      <c r="BN39" s="23" t="str">
        <f>IF(C39="","",[1]!hks_fa_exinterestdebt_current(C39,F39,"",100000000))</f>
        <v/>
      </c>
      <c r="BO39" s="23" t="str">
        <f>IF(C39="","",[1]!hks_fa_exinterestdebt_noncurrent2(C39,F39,"",100000000))</f>
        <v/>
      </c>
      <c r="BP39" s="23" t="str">
        <f>IF(C39="","",[1]!hks_fa_fcfe2(C39,F39,"",100000000))</f>
        <v/>
      </c>
      <c r="BQ39" s="23" t="str">
        <f>IF(C39="","",[1]!hks_fa_fcff2(C39,F39,"",100000000))</f>
        <v/>
      </c>
      <c r="BR39" s="35"/>
    </row>
    <row r="40" spans="1:70" s="36" customFormat="1" ht="16.5" x14ac:dyDescent="0.2">
      <c r="A40" s="2"/>
      <c r="B40" s="6"/>
      <c r="C40" s="28" t="str">
        <f>IF(表1[[#This Row],[列1]]="","",表1[[#This Row],[列1]])</f>
        <v/>
      </c>
      <c r="D40" s="19" t="str">
        <f>IF(C40="","",[1]!hks_info_name(C40))</f>
        <v/>
      </c>
      <c r="E40" s="19" t="str">
        <f ca="1">IF(C40="","",[1]!lastradeday_s(C40,TODAY()))</f>
        <v/>
      </c>
      <c r="F40" s="49" t="str">
        <f>IF(C40="","",IF(OR([1]!s_stm_rpt_e(C40,基本资料!$I$8,0)="#N/A",[1]!s_stm_rpt_e(C40,基本资料!$I$8,0)="",[1]!s_stm_rpt_e(C40,基本资料!$I$8,0)=0),[1]!s_stm_rpt_e(C40,基本资料!$I$9,0),[1]!s_stm_rpt_e(C40,基本资料!$I$8,0)))</f>
        <v/>
      </c>
      <c r="G40" s="49" t="str">
        <f>IF(C40="","",[1]!hks_info_cur2(C40,F40))</f>
        <v/>
      </c>
      <c r="H40" s="27" t="str">
        <f>IF(C40="","",[1]!hks_fa_eps_basic(C40,F40,""))</f>
        <v/>
      </c>
      <c r="I40" s="23" t="str">
        <f>IF(C40="","",[1]!hks_fa_eps_adjust2(C40,F40,""))</f>
        <v/>
      </c>
      <c r="J40" s="23" t="str">
        <f>IF(C40="","",[1]!hks_fa_bps(C40,F40,""))</f>
        <v/>
      </c>
      <c r="K40" s="25" t="str">
        <f>IF(C40="","",[1]!hks_fa_ocfps(C40,F40,""))</f>
        <v/>
      </c>
      <c r="L40" s="27" t="str">
        <f>IF(C40="","",[1]!hks_fa_grossprofitmargin(C40,F40))</f>
        <v/>
      </c>
      <c r="M40" s="23" t="str">
        <f>IF(C40="","",[1]!hks_fa_netprofitmargin(C40,F40))</f>
        <v/>
      </c>
      <c r="N40" s="23" t="str">
        <f>IF(C40="","",[1]!hks_fa_roe(C40,F40))</f>
        <v/>
      </c>
      <c r="O40" s="23" t="str">
        <f>IF(C40="","",[1]!hks_fa_roe_deducted(C40,F40))</f>
        <v/>
      </c>
      <c r="P40" s="23" t="str">
        <f>IF(C40="","",[1]!hks_fa_roa2(C40,F40))</f>
        <v/>
      </c>
      <c r="Q40" s="23" t="str">
        <f>IF(C40="","",[1]!hks_fa_roic(C40,F40))</f>
        <v/>
      </c>
      <c r="R40" s="23" t="str">
        <f>IF(C40="","",[1]!hks_fa_dupont_nptosales(C40,F40))</f>
        <v/>
      </c>
      <c r="S40" s="23" t="str">
        <f>IF(C40="","",[1]!hks_fa_dupont_ebittosales(C40,F40))</f>
        <v/>
      </c>
      <c r="T40" s="25" t="str">
        <f>IF(C40="","",[1]!hks_fa_ebitdatosales(C40,F40))</f>
        <v/>
      </c>
      <c r="U40" s="47" t="str">
        <f>IF(C40="","",[1]!hks_fa_optoebt(C40,F40))</f>
        <v/>
      </c>
      <c r="V40" s="25" t="str">
        <f>IF(C40="","",[1]!hks_fa_ocftosales(C40,F40))</f>
        <v/>
      </c>
      <c r="W40" s="27" t="str">
        <f>IF(C40="","",[1]!hks_fa_debttoassets(C40,F40))</f>
        <v/>
      </c>
      <c r="X40" s="23" t="str">
        <f>IF(C40="","",[1]!s_fa_debttoeqy(C40,F40))</f>
        <v/>
      </c>
      <c r="Y40" s="23" t="str">
        <f>IF(C40="","",[1]!hks_fa_catoassets(C40,F40))</f>
        <v/>
      </c>
      <c r="Z40" s="23" t="str">
        <f>IF(C40="","",[1]!hks_fa_ncatoassets(C40,F40))</f>
        <v/>
      </c>
      <c r="AA40" s="23" t="str">
        <f>IF(C40="","",[1]!hks_fa_currentdebttodebt(C40,F40))</f>
        <v/>
      </c>
      <c r="AB40" s="25" t="str">
        <f>IF(C40="","",[1]!hks_fa_longdebtodebt(C40,F40))</f>
        <v/>
      </c>
      <c r="AC40" s="25" t="str">
        <f>IF(C40="","",[1]!hks_fa_current(C40,F40))</f>
        <v/>
      </c>
      <c r="AD40" s="25" t="str">
        <f>IF(C40="","",[1]!hks_fa_quick(C40,F40))</f>
        <v/>
      </c>
      <c r="AE40" s="25" t="str">
        <f>IF(C40="","",[1]!hks_fa_ebittointerest(C40,F40))</f>
        <v/>
      </c>
      <c r="AF40" s="25" t="str">
        <f>IF(C40="","",[1]!hks_fa_netdebtratio(C40,F40))</f>
        <v/>
      </c>
      <c r="AG40" s="27" t="str">
        <f>IF(C40="","",[1]!hks_fa_arturn(C40,F40))</f>
        <v/>
      </c>
      <c r="AH40" s="23" t="str">
        <f>IF(C40="","",[1]!hks_fa_apturn(C40,F40))</f>
        <v/>
      </c>
      <c r="AI40" s="23" t="str">
        <f>IF(C40="","",[1]!hks_fa_invturn(C40,F40))</f>
        <v/>
      </c>
      <c r="AJ40" s="23" t="str">
        <f>IF(C40="","",[1]!hks_fa_caturn(C40,F40))</f>
        <v/>
      </c>
      <c r="AK40" s="23" t="str">
        <f>IF(C40="","",[1]!hks_fa_faturn(C40,F40))</f>
        <v/>
      </c>
      <c r="AL40" s="25" t="str">
        <f>IF(C40="","",[1]!hks_fa_assetsturn(C40,F40))</f>
        <v/>
      </c>
      <c r="AM40" s="23" t="str">
        <f>IF(C40="","",[1]!hks_fa_yoy_tr(C40,F40))</f>
        <v/>
      </c>
      <c r="AN40" s="23" t="str">
        <f>IF(C40="","",[1]!hks_fa_yoy_or(C40,F40))</f>
        <v/>
      </c>
      <c r="AO40" s="23" t="str">
        <f>IF(C40="","",[1]!hks_fa_yoyop2(C40,F40))</f>
        <v/>
      </c>
      <c r="AP40" s="23" t="str">
        <f>IF(C40="","",[1]!hks_fa_yoyebt(C40,F40))</f>
        <v/>
      </c>
      <c r="AQ40" s="23" t="str">
        <f>IF(C40="","",[1]!hks_fa_yoynetprofit(C40,F40))</f>
        <v/>
      </c>
      <c r="AR40" s="23" t="str">
        <f>IF(C40="","",[1]!hks_fa_dupont_np(C40,F40))</f>
        <v/>
      </c>
      <c r="AS40" s="23" t="str">
        <f>IF(C40="","",[1]!hks_fa_dupont_taxburden(C40,F40))</f>
        <v/>
      </c>
      <c r="AT40" s="23" t="str">
        <f>IF(C40="","",[1]!s_fa_dupont_nptosales(C40,F40))</f>
        <v/>
      </c>
      <c r="AU40" s="23" t="str">
        <f>IF(C40="","",[1]!s_fa_dupont_roe(C40,F40))</f>
        <v/>
      </c>
      <c r="AV40" s="23" t="str">
        <f>IF(C40="","",[1]!hks_fa_dupont_intburden(C40,F40))</f>
        <v/>
      </c>
      <c r="AW40" s="23" t="str">
        <f>IF(C40="","",[1]!hks_fa_dupont_assetstoequity(C40,F40))</f>
        <v/>
      </c>
      <c r="AX40" s="23" t="str">
        <f>IF(C40="","",[1]!s_fa_dupont_ebittosales(C40,F40))</f>
        <v/>
      </c>
      <c r="AY40" s="23" t="str">
        <f>IF(C40="","",[1]!hks_fa_assetsturn(C40,F40))</f>
        <v/>
      </c>
      <c r="AZ40" s="23" t="str">
        <f>IF(C40="","",[1]!hks_fa_grossmargin2(C40,F40,"",100000000))</f>
        <v/>
      </c>
      <c r="BA40" s="23" t="str">
        <f>IF(C40="","",[1]!hks_fa_ebit3(C40,F40,1,"",100000000))</f>
        <v/>
      </c>
      <c r="BB40" s="23" t="str">
        <f>IF(C40="","",[1]!hks_fa_ebitda(C40,F40,1,"",100000000))</f>
        <v/>
      </c>
      <c r="BC40" s="23" t="str">
        <f>IF(C40="","",[1]!hks_fa_ebit(C40,F40,1,"",100000000))</f>
        <v/>
      </c>
      <c r="BD40" s="23" t="str">
        <f>IF(C40="","",[1]!hks_fa_ebitda(C40,F40,1,"",100000000))</f>
        <v/>
      </c>
      <c r="BE40" s="23" t="str">
        <f>IF(C40="","",[1]!hks_fa_nogaapprofit(C40,F40,1,"",100000000))</f>
        <v/>
      </c>
      <c r="BF40" s="23" t="str">
        <f>IF(C40="","",[1]!hks_fa_deductedprofit(C40,F40,1,"",100000000))</f>
        <v/>
      </c>
      <c r="BG40" s="23" t="str">
        <f>IF(C40="","",[1]!hks_fa_retainedearnings2(C40,F40,"",100000000))</f>
        <v/>
      </c>
      <c r="BH40" s="23" t="str">
        <f>IF(C40="","",[1]!hks_fa_workingcapital2(C40,F40,"",100000000))</f>
        <v/>
      </c>
      <c r="BI40" s="23" t="str">
        <f>IF(C40="","",[1]!hks_fa_networkingcapital2(C40,F40,"",100000000))</f>
        <v/>
      </c>
      <c r="BJ40" s="23" t="str">
        <f>IF(C40="","",[1]!hks_fa_investcapital2(C40,F40,"",100000000))</f>
        <v/>
      </c>
      <c r="BK40" s="23" t="str">
        <f>IF(C40="","",[1]!hks_fa_tangibleasset2(C40,F40,"",100000000))</f>
        <v/>
      </c>
      <c r="BL40" s="23" t="str">
        <f>IF(C40="","",[1]!hks_fa_netdebt2(C40,F40,"",100000000))</f>
        <v/>
      </c>
      <c r="BM40" s="23" t="str">
        <f>IF(C40="","",[1]!hks_fa_interestdebt2(C40,F40,"",100000000))</f>
        <v/>
      </c>
      <c r="BN40" s="23" t="str">
        <f>IF(C40="","",[1]!hks_fa_exinterestdebt_current(C40,F40,"",100000000))</f>
        <v/>
      </c>
      <c r="BO40" s="23" t="str">
        <f>IF(C40="","",[1]!hks_fa_exinterestdebt_noncurrent2(C40,F40,"",100000000))</f>
        <v/>
      </c>
      <c r="BP40" s="23" t="str">
        <f>IF(C40="","",[1]!hks_fa_fcfe2(C40,F40,"",100000000))</f>
        <v/>
      </c>
      <c r="BQ40" s="23" t="str">
        <f>IF(C40="","",[1]!hks_fa_fcff2(C40,F40,"",100000000))</f>
        <v/>
      </c>
      <c r="BR40" s="35"/>
    </row>
    <row r="41" spans="1:70" s="36" customFormat="1" ht="16.5" x14ac:dyDescent="0.2">
      <c r="A41" s="2"/>
      <c r="B41" s="6"/>
      <c r="C41" s="28" t="str">
        <f>IF(表1[[#This Row],[列1]]="","",表1[[#This Row],[列1]])</f>
        <v/>
      </c>
      <c r="D41" s="19" t="str">
        <f>IF(C41="","",[1]!hks_info_name(C41))</f>
        <v/>
      </c>
      <c r="E41" s="19" t="str">
        <f ca="1">IF(C41="","",[1]!lastradeday_s(C41,TODAY()))</f>
        <v/>
      </c>
      <c r="F41" s="49" t="str">
        <f>IF(C41="","",IF(OR([1]!s_stm_rpt_e(C41,基本资料!$I$8,0)="#N/A",[1]!s_stm_rpt_e(C41,基本资料!$I$8,0)="",[1]!s_stm_rpt_e(C41,基本资料!$I$8,0)=0),[1]!s_stm_rpt_e(C41,基本资料!$I$9,0),[1]!s_stm_rpt_e(C41,基本资料!$I$8,0)))</f>
        <v/>
      </c>
      <c r="G41" s="49" t="str">
        <f>IF(C41="","",[1]!hks_info_cur2(C41,F41))</f>
        <v/>
      </c>
      <c r="H41" s="27" t="str">
        <f>IF(C41="","",[1]!hks_fa_eps_basic(C41,F41,""))</f>
        <v/>
      </c>
      <c r="I41" s="23" t="str">
        <f>IF(C41="","",[1]!hks_fa_eps_adjust2(C41,F41,""))</f>
        <v/>
      </c>
      <c r="J41" s="23" t="str">
        <f>IF(C41="","",[1]!hks_fa_bps(C41,F41,""))</f>
        <v/>
      </c>
      <c r="K41" s="25" t="str">
        <f>IF(C41="","",[1]!hks_fa_ocfps(C41,F41,""))</f>
        <v/>
      </c>
      <c r="L41" s="27" t="str">
        <f>IF(C41="","",[1]!hks_fa_grossprofitmargin(C41,F41))</f>
        <v/>
      </c>
      <c r="M41" s="23" t="str">
        <f>IF(C41="","",[1]!hks_fa_netprofitmargin(C41,F41))</f>
        <v/>
      </c>
      <c r="N41" s="23" t="str">
        <f>IF(C41="","",[1]!hks_fa_roe(C41,F41))</f>
        <v/>
      </c>
      <c r="O41" s="23" t="str">
        <f>IF(C41="","",[1]!hks_fa_roe_deducted(C41,F41))</f>
        <v/>
      </c>
      <c r="P41" s="23" t="str">
        <f>IF(C41="","",[1]!hks_fa_roa2(C41,F41))</f>
        <v/>
      </c>
      <c r="Q41" s="23" t="str">
        <f>IF(C41="","",[1]!hks_fa_roic(C41,F41))</f>
        <v/>
      </c>
      <c r="R41" s="23" t="str">
        <f>IF(C41="","",[1]!hks_fa_dupont_nptosales(C41,F41))</f>
        <v/>
      </c>
      <c r="S41" s="23" t="str">
        <f>IF(C41="","",[1]!hks_fa_dupont_ebittosales(C41,F41))</f>
        <v/>
      </c>
      <c r="T41" s="25" t="str">
        <f>IF(C41="","",[1]!hks_fa_ebitdatosales(C41,F41))</f>
        <v/>
      </c>
      <c r="U41" s="47" t="str">
        <f>IF(C41="","",[1]!hks_fa_optoebt(C41,F41))</f>
        <v/>
      </c>
      <c r="V41" s="25" t="str">
        <f>IF(C41="","",[1]!hks_fa_ocftosales(C41,F41))</f>
        <v/>
      </c>
      <c r="W41" s="27" t="str">
        <f>IF(C41="","",[1]!hks_fa_debttoassets(C41,F41))</f>
        <v/>
      </c>
      <c r="X41" s="23" t="str">
        <f>IF(C41="","",[1]!s_fa_debttoeqy(C41,F41))</f>
        <v/>
      </c>
      <c r="Y41" s="23" t="str">
        <f>IF(C41="","",[1]!hks_fa_catoassets(C41,F41))</f>
        <v/>
      </c>
      <c r="Z41" s="23" t="str">
        <f>IF(C41="","",[1]!hks_fa_ncatoassets(C41,F41))</f>
        <v/>
      </c>
      <c r="AA41" s="23" t="str">
        <f>IF(C41="","",[1]!hks_fa_currentdebttodebt(C41,F41))</f>
        <v/>
      </c>
      <c r="AB41" s="25" t="str">
        <f>IF(C41="","",[1]!hks_fa_longdebtodebt(C41,F41))</f>
        <v/>
      </c>
      <c r="AC41" s="25" t="str">
        <f>IF(C41="","",[1]!hks_fa_current(C41,F41))</f>
        <v/>
      </c>
      <c r="AD41" s="25" t="str">
        <f>IF(C41="","",[1]!hks_fa_quick(C41,F41))</f>
        <v/>
      </c>
      <c r="AE41" s="25" t="str">
        <f>IF(C41="","",[1]!hks_fa_ebittointerest(C41,F41))</f>
        <v/>
      </c>
      <c r="AF41" s="25" t="str">
        <f>IF(C41="","",[1]!hks_fa_netdebtratio(C41,F41))</f>
        <v/>
      </c>
      <c r="AG41" s="27" t="str">
        <f>IF(C41="","",[1]!hks_fa_arturn(C41,F41))</f>
        <v/>
      </c>
      <c r="AH41" s="23" t="str">
        <f>IF(C41="","",[1]!hks_fa_apturn(C41,F41))</f>
        <v/>
      </c>
      <c r="AI41" s="23" t="str">
        <f>IF(C41="","",[1]!hks_fa_invturn(C41,F41))</f>
        <v/>
      </c>
      <c r="AJ41" s="23" t="str">
        <f>IF(C41="","",[1]!hks_fa_caturn(C41,F41))</f>
        <v/>
      </c>
      <c r="AK41" s="23" t="str">
        <f>IF(C41="","",[1]!hks_fa_faturn(C41,F41))</f>
        <v/>
      </c>
      <c r="AL41" s="25" t="str">
        <f>IF(C41="","",[1]!hks_fa_assetsturn(C41,F41))</f>
        <v/>
      </c>
      <c r="AM41" s="23" t="str">
        <f>IF(C41="","",[1]!hks_fa_yoy_tr(C41,F41))</f>
        <v/>
      </c>
      <c r="AN41" s="23" t="str">
        <f>IF(C41="","",[1]!hks_fa_yoy_or(C41,F41))</f>
        <v/>
      </c>
      <c r="AO41" s="23" t="str">
        <f>IF(C41="","",[1]!hks_fa_yoyop2(C41,F41))</f>
        <v/>
      </c>
      <c r="AP41" s="23" t="str">
        <f>IF(C41="","",[1]!hks_fa_yoyebt(C41,F41))</f>
        <v/>
      </c>
      <c r="AQ41" s="23" t="str">
        <f>IF(C41="","",[1]!hks_fa_yoynetprofit(C41,F41))</f>
        <v/>
      </c>
      <c r="AR41" s="23" t="str">
        <f>IF(C41="","",[1]!hks_fa_dupont_np(C41,F41))</f>
        <v/>
      </c>
      <c r="AS41" s="23" t="str">
        <f>IF(C41="","",[1]!hks_fa_dupont_taxburden(C41,F41))</f>
        <v/>
      </c>
      <c r="AT41" s="23" t="str">
        <f>IF(C41="","",[1]!s_fa_dupont_nptosales(C41,F41))</f>
        <v/>
      </c>
      <c r="AU41" s="23" t="str">
        <f>IF(C41="","",[1]!s_fa_dupont_roe(C41,F41))</f>
        <v/>
      </c>
      <c r="AV41" s="23" t="str">
        <f>IF(C41="","",[1]!hks_fa_dupont_intburden(C41,F41))</f>
        <v/>
      </c>
      <c r="AW41" s="23" t="str">
        <f>IF(C41="","",[1]!hks_fa_dupont_assetstoequity(C41,F41))</f>
        <v/>
      </c>
      <c r="AX41" s="23" t="str">
        <f>IF(C41="","",[1]!s_fa_dupont_ebittosales(C41,F41))</f>
        <v/>
      </c>
      <c r="AY41" s="23" t="str">
        <f>IF(C41="","",[1]!hks_fa_assetsturn(C41,F41))</f>
        <v/>
      </c>
      <c r="AZ41" s="23" t="str">
        <f>IF(C41="","",[1]!hks_fa_grossmargin2(C41,F41,"",100000000))</f>
        <v/>
      </c>
      <c r="BA41" s="23" t="str">
        <f>IF(C41="","",[1]!hks_fa_ebit3(C41,F41,1,"",100000000))</f>
        <v/>
      </c>
      <c r="BB41" s="23" t="str">
        <f>IF(C41="","",[1]!hks_fa_ebitda(C41,F41,1,"",100000000))</f>
        <v/>
      </c>
      <c r="BC41" s="23" t="str">
        <f>IF(C41="","",[1]!hks_fa_ebit(C41,F41,1,"",100000000))</f>
        <v/>
      </c>
      <c r="BD41" s="23" t="str">
        <f>IF(C41="","",[1]!hks_fa_ebitda(C41,F41,1,"",100000000))</f>
        <v/>
      </c>
      <c r="BE41" s="23" t="str">
        <f>IF(C41="","",[1]!hks_fa_nogaapprofit(C41,F41,1,"",100000000))</f>
        <v/>
      </c>
      <c r="BF41" s="23" t="str">
        <f>IF(C41="","",[1]!hks_fa_deductedprofit(C41,F41,1,"",100000000))</f>
        <v/>
      </c>
      <c r="BG41" s="23" t="str">
        <f>IF(C41="","",[1]!hks_fa_retainedearnings2(C41,F41,"",100000000))</f>
        <v/>
      </c>
      <c r="BH41" s="23" t="str">
        <f>IF(C41="","",[1]!hks_fa_workingcapital2(C41,F41,"",100000000))</f>
        <v/>
      </c>
      <c r="BI41" s="23" t="str">
        <f>IF(C41="","",[1]!hks_fa_networkingcapital2(C41,F41,"",100000000))</f>
        <v/>
      </c>
      <c r="BJ41" s="23" t="str">
        <f>IF(C41="","",[1]!hks_fa_investcapital2(C41,F41,"",100000000))</f>
        <v/>
      </c>
      <c r="BK41" s="23" t="str">
        <f>IF(C41="","",[1]!hks_fa_tangibleasset2(C41,F41,"",100000000))</f>
        <v/>
      </c>
      <c r="BL41" s="23" t="str">
        <f>IF(C41="","",[1]!hks_fa_netdebt2(C41,F41,"",100000000))</f>
        <v/>
      </c>
      <c r="BM41" s="23" t="str">
        <f>IF(C41="","",[1]!hks_fa_interestdebt2(C41,F41,"",100000000))</f>
        <v/>
      </c>
      <c r="BN41" s="23" t="str">
        <f>IF(C41="","",[1]!hks_fa_exinterestdebt_current(C41,F41,"",100000000))</f>
        <v/>
      </c>
      <c r="BO41" s="23" t="str">
        <f>IF(C41="","",[1]!hks_fa_exinterestdebt_noncurrent2(C41,F41,"",100000000))</f>
        <v/>
      </c>
      <c r="BP41" s="23" t="str">
        <f>IF(C41="","",[1]!hks_fa_fcfe2(C41,F41,"",100000000))</f>
        <v/>
      </c>
      <c r="BQ41" s="23" t="str">
        <f>IF(C41="","",[1]!hks_fa_fcff2(C41,F41,"",100000000))</f>
        <v/>
      </c>
      <c r="BR41" s="35"/>
    </row>
    <row r="42" spans="1:70" s="36" customFormat="1" ht="16.5" x14ac:dyDescent="0.2">
      <c r="A42" s="2"/>
      <c r="B42" s="6"/>
      <c r="C42" s="28" t="str">
        <f>IF(表1[[#This Row],[列1]]="","",表1[[#This Row],[列1]])</f>
        <v/>
      </c>
      <c r="D42" s="19" t="str">
        <f>IF(C42="","",[1]!hks_info_name(C42))</f>
        <v/>
      </c>
      <c r="E42" s="19" t="str">
        <f ca="1">IF(C42="","",[1]!lastradeday_s(C42,TODAY()))</f>
        <v/>
      </c>
      <c r="F42" s="49" t="str">
        <f>IF(C42="","",IF(OR([1]!s_stm_rpt_e(C42,基本资料!$I$8,0)="#N/A",[1]!s_stm_rpt_e(C42,基本资料!$I$8,0)="",[1]!s_stm_rpt_e(C42,基本资料!$I$8,0)=0),[1]!s_stm_rpt_e(C42,基本资料!$I$9,0),[1]!s_stm_rpt_e(C42,基本资料!$I$8,0)))</f>
        <v/>
      </c>
      <c r="G42" s="49" t="str">
        <f>IF(C42="","",[1]!hks_info_cur2(C42,F42))</f>
        <v/>
      </c>
      <c r="H42" s="27" t="str">
        <f>IF(C42="","",[1]!hks_fa_eps_basic(C42,F42,""))</f>
        <v/>
      </c>
      <c r="I42" s="23" t="str">
        <f>IF(C42="","",[1]!hks_fa_eps_adjust2(C42,F42,""))</f>
        <v/>
      </c>
      <c r="J42" s="23" t="str">
        <f>IF(C42="","",[1]!hks_fa_bps(C42,F42,""))</f>
        <v/>
      </c>
      <c r="K42" s="25" t="str">
        <f>IF(C42="","",[1]!hks_fa_ocfps(C42,F42,""))</f>
        <v/>
      </c>
      <c r="L42" s="27" t="str">
        <f>IF(C42="","",[1]!hks_fa_grossprofitmargin(C42,F42))</f>
        <v/>
      </c>
      <c r="M42" s="23" t="str">
        <f>IF(C42="","",[1]!hks_fa_netprofitmargin(C42,F42))</f>
        <v/>
      </c>
      <c r="N42" s="23" t="str">
        <f>IF(C42="","",[1]!hks_fa_roe(C42,F42))</f>
        <v/>
      </c>
      <c r="O42" s="23" t="str">
        <f>IF(C42="","",[1]!hks_fa_roe_deducted(C42,F42))</f>
        <v/>
      </c>
      <c r="P42" s="23" t="str">
        <f>IF(C42="","",[1]!hks_fa_roa2(C42,F42))</f>
        <v/>
      </c>
      <c r="Q42" s="23" t="str">
        <f>IF(C42="","",[1]!hks_fa_roic(C42,F42))</f>
        <v/>
      </c>
      <c r="R42" s="23" t="str">
        <f>IF(C42="","",[1]!hks_fa_dupont_nptosales(C42,F42))</f>
        <v/>
      </c>
      <c r="S42" s="23" t="str">
        <f>IF(C42="","",[1]!hks_fa_dupont_ebittosales(C42,F42))</f>
        <v/>
      </c>
      <c r="T42" s="25" t="str">
        <f>IF(C42="","",[1]!hks_fa_ebitdatosales(C42,F42))</f>
        <v/>
      </c>
      <c r="U42" s="47" t="str">
        <f>IF(C42="","",[1]!hks_fa_optoebt(C42,F42))</f>
        <v/>
      </c>
      <c r="V42" s="25" t="str">
        <f>IF(C42="","",[1]!hks_fa_ocftosales(C42,F42))</f>
        <v/>
      </c>
      <c r="W42" s="27" t="str">
        <f>IF(C42="","",[1]!hks_fa_debttoassets(C42,F42))</f>
        <v/>
      </c>
      <c r="X42" s="23" t="str">
        <f>IF(C42="","",[1]!s_fa_debttoeqy(C42,F42))</f>
        <v/>
      </c>
      <c r="Y42" s="23" t="str">
        <f>IF(C42="","",[1]!hks_fa_catoassets(C42,F42))</f>
        <v/>
      </c>
      <c r="Z42" s="23" t="str">
        <f>IF(C42="","",[1]!hks_fa_ncatoassets(C42,F42))</f>
        <v/>
      </c>
      <c r="AA42" s="23" t="str">
        <f>IF(C42="","",[1]!hks_fa_currentdebttodebt(C42,F42))</f>
        <v/>
      </c>
      <c r="AB42" s="25" t="str">
        <f>IF(C42="","",[1]!hks_fa_longdebtodebt(C42,F42))</f>
        <v/>
      </c>
      <c r="AC42" s="25" t="str">
        <f>IF(C42="","",[1]!hks_fa_current(C42,F42))</f>
        <v/>
      </c>
      <c r="AD42" s="25" t="str">
        <f>IF(C42="","",[1]!hks_fa_quick(C42,F42))</f>
        <v/>
      </c>
      <c r="AE42" s="25" t="str">
        <f>IF(C42="","",[1]!hks_fa_ebittointerest(C42,F42))</f>
        <v/>
      </c>
      <c r="AF42" s="25" t="str">
        <f>IF(C42="","",[1]!hks_fa_netdebtratio(C42,F42))</f>
        <v/>
      </c>
      <c r="AG42" s="27" t="str">
        <f>IF(C42="","",[1]!hks_fa_arturn(C42,F42))</f>
        <v/>
      </c>
      <c r="AH42" s="23" t="str">
        <f>IF(C42="","",[1]!hks_fa_apturn(C42,F42))</f>
        <v/>
      </c>
      <c r="AI42" s="23" t="str">
        <f>IF(C42="","",[1]!hks_fa_invturn(C42,F42))</f>
        <v/>
      </c>
      <c r="AJ42" s="23" t="str">
        <f>IF(C42="","",[1]!hks_fa_caturn(C42,F42))</f>
        <v/>
      </c>
      <c r="AK42" s="23" t="str">
        <f>IF(C42="","",[1]!hks_fa_faturn(C42,F42))</f>
        <v/>
      </c>
      <c r="AL42" s="25" t="str">
        <f>IF(C42="","",[1]!hks_fa_assetsturn(C42,F42))</f>
        <v/>
      </c>
      <c r="AM42" s="23" t="str">
        <f>IF(C42="","",[1]!hks_fa_yoy_tr(C42,F42))</f>
        <v/>
      </c>
      <c r="AN42" s="23" t="str">
        <f>IF(C42="","",[1]!hks_fa_yoy_or(C42,F42))</f>
        <v/>
      </c>
      <c r="AO42" s="23" t="str">
        <f>IF(C42="","",[1]!hks_fa_yoyop2(C42,F42))</f>
        <v/>
      </c>
      <c r="AP42" s="23" t="str">
        <f>IF(C42="","",[1]!hks_fa_yoyebt(C42,F42))</f>
        <v/>
      </c>
      <c r="AQ42" s="23" t="str">
        <f>IF(C42="","",[1]!hks_fa_yoynetprofit(C42,F42))</f>
        <v/>
      </c>
      <c r="AR42" s="23" t="str">
        <f>IF(C42="","",[1]!hks_fa_dupont_np(C42,F42))</f>
        <v/>
      </c>
      <c r="AS42" s="23" t="str">
        <f>IF(C42="","",[1]!hks_fa_dupont_taxburden(C42,F42))</f>
        <v/>
      </c>
      <c r="AT42" s="23" t="str">
        <f>IF(C42="","",[1]!s_fa_dupont_nptosales(C42,F42))</f>
        <v/>
      </c>
      <c r="AU42" s="23" t="str">
        <f>IF(C42="","",[1]!s_fa_dupont_roe(C42,F42))</f>
        <v/>
      </c>
      <c r="AV42" s="23" t="str">
        <f>IF(C42="","",[1]!hks_fa_dupont_intburden(C42,F42))</f>
        <v/>
      </c>
      <c r="AW42" s="23" t="str">
        <f>IF(C42="","",[1]!hks_fa_dupont_assetstoequity(C42,F42))</f>
        <v/>
      </c>
      <c r="AX42" s="23" t="str">
        <f>IF(C42="","",[1]!s_fa_dupont_ebittosales(C42,F42))</f>
        <v/>
      </c>
      <c r="AY42" s="23" t="str">
        <f>IF(C42="","",[1]!hks_fa_assetsturn(C42,F42))</f>
        <v/>
      </c>
      <c r="AZ42" s="23" t="str">
        <f>IF(C42="","",[1]!hks_fa_grossmargin2(C42,F42,"",100000000))</f>
        <v/>
      </c>
      <c r="BA42" s="23" t="str">
        <f>IF(C42="","",[1]!hks_fa_ebit3(C42,F42,1,"",100000000))</f>
        <v/>
      </c>
      <c r="BB42" s="23" t="str">
        <f>IF(C42="","",[1]!hks_fa_ebitda(C42,F42,1,"",100000000))</f>
        <v/>
      </c>
      <c r="BC42" s="23" t="str">
        <f>IF(C42="","",[1]!hks_fa_ebit(C42,F42,1,"",100000000))</f>
        <v/>
      </c>
      <c r="BD42" s="23" t="str">
        <f>IF(C42="","",[1]!hks_fa_ebitda(C42,F42,1,"",100000000))</f>
        <v/>
      </c>
      <c r="BE42" s="23" t="str">
        <f>IF(C42="","",[1]!hks_fa_nogaapprofit(C42,F42,1,"",100000000))</f>
        <v/>
      </c>
      <c r="BF42" s="23" t="str">
        <f>IF(C42="","",[1]!hks_fa_deductedprofit(C42,F42,1,"",100000000))</f>
        <v/>
      </c>
      <c r="BG42" s="23" t="str">
        <f>IF(C42="","",[1]!hks_fa_retainedearnings2(C42,F42,"",100000000))</f>
        <v/>
      </c>
      <c r="BH42" s="23" t="str">
        <f>IF(C42="","",[1]!hks_fa_workingcapital2(C42,F42,"",100000000))</f>
        <v/>
      </c>
      <c r="BI42" s="23" t="str">
        <f>IF(C42="","",[1]!hks_fa_networkingcapital2(C42,F42,"",100000000))</f>
        <v/>
      </c>
      <c r="BJ42" s="23" t="str">
        <f>IF(C42="","",[1]!hks_fa_investcapital2(C42,F42,"",100000000))</f>
        <v/>
      </c>
      <c r="BK42" s="23" t="str">
        <f>IF(C42="","",[1]!hks_fa_tangibleasset2(C42,F42,"",100000000))</f>
        <v/>
      </c>
      <c r="BL42" s="23" t="str">
        <f>IF(C42="","",[1]!hks_fa_netdebt2(C42,F42,"",100000000))</f>
        <v/>
      </c>
      <c r="BM42" s="23" t="str">
        <f>IF(C42="","",[1]!hks_fa_interestdebt2(C42,F42,"",100000000))</f>
        <v/>
      </c>
      <c r="BN42" s="23" t="str">
        <f>IF(C42="","",[1]!hks_fa_exinterestdebt_current(C42,F42,"",100000000))</f>
        <v/>
      </c>
      <c r="BO42" s="23" t="str">
        <f>IF(C42="","",[1]!hks_fa_exinterestdebt_noncurrent2(C42,F42,"",100000000))</f>
        <v/>
      </c>
      <c r="BP42" s="23" t="str">
        <f>IF(C42="","",[1]!hks_fa_fcfe2(C42,F42,"",100000000))</f>
        <v/>
      </c>
      <c r="BQ42" s="23" t="str">
        <f>IF(C42="","",[1]!hks_fa_fcff2(C42,F42,"",100000000))</f>
        <v/>
      </c>
      <c r="BR42" s="35"/>
    </row>
    <row r="43" spans="1:70" s="36" customFormat="1" ht="16.5" x14ac:dyDescent="0.2">
      <c r="A43" s="2"/>
      <c r="B43" s="6"/>
      <c r="C43" s="28" t="str">
        <f>IF(表1[[#This Row],[列1]]="","",表1[[#This Row],[列1]])</f>
        <v/>
      </c>
      <c r="D43" s="19" t="str">
        <f>IF(C43="","",[1]!hks_info_name(C43))</f>
        <v/>
      </c>
      <c r="E43" s="19" t="str">
        <f ca="1">IF(C43="","",[1]!lastradeday_s(C43,TODAY()))</f>
        <v/>
      </c>
      <c r="F43" s="49" t="str">
        <f>IF(C43="","",IF(OR([1]!s_stm_rpt_e(C43,基本资料!$I$8,0)="#N/A",[1]!s_stm_rpt_e(C43,基本资料!$I$8,0)="",[1]!s_stm_rpt_e(C43,基本资料!$I$8,0)=0),[1]!s_stm_rpt_e(C43,基本资料!$I$9,0),[1]!s_stm_rpt_e(C43,基本资料!$I$8,0)))</f>
        <v/>
      </c>
      <c r="G43" s="49" t="str">
        <f>IF(C43="","",[1]!hks_info_cur2(C43,F43))</f>
        <v/>
      </c>
      <c r="H43" s="27" t="str">
        <f>IF(C43="","",[1]!hks_fa_eps_basic(C43,F43,""))</f>
        <v/>
      </c>
      <c r="I43" s="23" t="str">
        <f>IF(C43="","",[1]!hks_fa_eps_adjust2(C43,F43,""))</f>
        <v/>
      </c>
      <c r="J43" s="23" t="str">
        <f>IF(C43="","",[1]!hks_fa_bps(C43,F43,""))</f>
        <v/>
      </c>
      <c r="K43" s="25" t="str">
        <f>IF(C43="","",[1]!hks_fa_ocfps(C43,F43,""))</f>
        <v/>
      </c>
      <c r="L43" s="27" t="str">
        <f>IF(C43="","",[1]!hks_fa_grossprofitmargin(C43,F43))</f>
        <v/>
      </c>
      <c r="M43" s="23" t="str">
        <f>IF(C43="","",[1]!hks_fa_netprofitmargin(C43,F43))</f>
        <v/>
      </c>
      <c r="N43" s="23" t="str">
        <f>IF(C43="","",[1]!hks_fa_roe(C43,F43))</f>
        <v/>
      </c>
      <c r="O43" s="23" t="str">
        <f>IF(C43="","",[1]!hks_fa_roe_deducted(C43,F43))</f>
        <v/>
      </c>
      <c r="P43" s="23" t="str">
        <f>IF(C43="","",[1]!hks_fa_roa2(C43,F43))</f>
        <v/>
      </c>
      <c r="Q43" s="23" t="str">
        <f>IF(C43="","",[1]!hks_fa_roic(C43,F43))</f>
        <v/>
      </c>
      <c r="R43" s="23" t="str">
        <f>IF(C43="","",[1]!hks_fa_dupont_nptosales(C43,F43))</f>
        <v/>
      </c>
      <c r="S43" s="23" t="str">
        <f>IF(C43="","",[1]!hks_fa_dupont_ebittosales(C43,F43))</f>
        <v/>
      </c>
      <c r="T43" s="25" t="str">
        <f>IF(C43="","",[1]!hks_fa_ebitdatosales(C43,F43))</f>
        <v/>
      </c>
      <c r="U43" s="47" t="str">
        <f>IF(C43="","",[1]!hks_fa_optoebt(C43,F43))</f>
        <v/>
      </c>
      <c r="V43" s="25" t="str">
        <f>IF(C43="","",[1]!hks_fa_ocftosales(C43,F43))</f>
        <v/>
      </c>
      <c r="W43" s="27" t="str">
        <f>IF(C43="","",[1]!hks_fa_debttoassets(C43,F43))</f>
        <v/>
      </c>
      <c r="X43" s="23" t="str">
        <f>IF(C43="","",[1]!s_fa_debttoeqy(C43,F43))</f>
        <v/>
      </c>
      <c r="Y43" s="23" t="str">
        <f>IF(C43="","",[1]!hks_fa_catoassets(C43,F43))</f>
        <v/>
      </c>
      <c r="Z43" s="23" t="str">
        <f>IF(C43="","",[1]!hks_fa_ncatoassets(C43,F43))</f>
        <v/>
      </c>
      <c r="AA43" s="23" t="str">
        <f>IF(C43="","",[1]!hks_fa_currentdebttodebt(C43,F43))</f>
        <v/>
      </c>
      <c r="AB43" s="25" t="str">
        <f>IF(C43="","",[1]!hks_fa_longdebtodebt(C43,F43))</f>
        <v/>
      </c>
      <c r="AC43" s="25" t="str">
        <f>IF(C43="","",[1]!hks_fa_current(C43,F43))</f>
        <v/>
      </c>
      <c r="AD43" s="25" t="str">
        <f>IF(C43="","",[1]!hks_fa_quick(C43,F43))</f>
        <v/>
      </c>
      <c r="AE43" s="25" t="str">
        <f>IF(C43="","",[1]!hks_fa_ebittointerest(C43,F43))</f>
        <v/>
      </c>
      <c r="AF43" s="25" t="str">
        <f>IF(C43="","",[1]!hks_fa_netdebtratio(C43,F43))</f>
        <v/>
      </c>
      <c r="AG43" s="27" t="str">
        <f>IF(C43="","",[1]!hks_fa_arturn(C43,F43))</f>
        <v/>
      </c>
      <c r="AH43" s="23" t="str">
        <f>IF(C43="","",[1]!hks_fa_apturn(C43,F43))</f>
        <v/>
      </c>
      <c r="AI43" s="23" t="str">
        <f>IF(C43="","",[1]!hks_fa_invturn(C43,F43))</f>
        <v/>
      </c>
      <c r="AJ43" s="23" t="str">
        <f>IF(C43="","",[1]!hks_fa_caturn(C43,F43))</f>
        <v/>
      </c>
      <c r="AK43" s="23" t="str">
        <f>IF(C43="","",[1]!hks_fa_faturn(C43,F43))</f>
        <v/>
      </c>
      <c r="AL43" s="25" t="str">
        <f>IF(C43="","",[1]!hks_fa_assetsturn(C43,F43))</f>
        <v/>
      </c>
      <c r="AM43" s="23" t="str">
        <f>IF(C43="","",[1]!hks_fa_yoy_tr(C43,F43))</f>
        <v/>
      </c>
      <c r="AN43" s="23" t="str">
        <f>IF(C43="","",[1]!hks_fa_yoy_or(C43,F43))</f>
        <v/>
      </c>
      <c r="AO43" s="23" t="str">
        <f>IF(C43="","",[1]!hks_fa_yoyop2(C43,F43))</f>
        <v/>
      </c>
      <c r="AP43" s="23" t="str">
        <f>IF(C43="","",[1]!hks_fa_yoyebt(C43,F43))</f>
        <v/>
      </c>
      <c r="AQ43" s="23" t="str">
        <f>IF(C43="","",[1]!hks_fa_yoynetprofit(C43,F43))</f>
        <v/>
      </c>
      <c r="AR43" s="23" t="str">
        <f>IF(C43="","",[1]!hks_fa_dupont_np(C43,F43))</f>
        <v/>
      </c>
      <c r="AS43" s="23" t="str">
        <f>IF(C43="","",[1]!hks_fa_dupont_taxburden(C43,F43))</f>
        <v/>
      </c>
      <c r="AT43" s="23" t="str">
        <f>IF(C43="","",[1]!s_fa_dupont_nptosales(C43,F43))</f>
        <v/>
      </c>
      <c r="AU43" s="23" t="str">
        <f>IF(C43="","",[1]!s_fa_dupont_roe(C43,F43))</f>
        <v/>
      </c>
      <c r="AV43" s="23" t="str">
        <f>IF(C43="","",[1]!hks_fa_dupont_intburden(C43,F43))</f>
        <v/>
      </c>
      <c r="AW43" s="23" t="str">
        <f>IF(C43="","",[1]!hks_fa_dupont_assetstoequity(C43,F43))</f>
        <v/>
      </c>
      <c r="AX43" s="23" t="str">
        <f>IF(C43="","",[1]!s_fa_dupont_ebittosales(C43,F43))</f>
        <v/>
      </c>
      <c r="AY43" s="23" t="str">
        <f>IF(C43="","",[1]!hks_fa_assetsturn(C43,F43))</f>
        <v/>
      </c>
      <c r="AZ43" s="23" t="str">
        <f>IF(C43="","",[1]!hks_fa_grossmargin2(C43,F43,"",100000000))</f>
        <v/>
      </c>
      <c r="BA43" s="23" t="str">
        <f>IF(C43="","",[1]!hks_fa_ebit3(C43,F43,1,"",100000000))</f>
        <v/>
      </c>
      <c r="BB43" s="23" t="str">
        <f>IF(C43="","",[1]!hks_fa_ebitda(C43,F43,1,"",100000000))</f>
        <v/>
      </c>
      <c r="BC43" s="23" t="str">
        <f>IF(C43="","",[1]!hks_fa_ebit(C43,F43,1,"",100000000))</f>
        <v/>
      </c>
      <c r="BD43" s="23" t="str">
        <f>IF(C43="","",[1]!hks_fa_ebitda(C43,F43,1,"",100000000))</f>
        <v/>
      </c>
      <c r="BE43" s="23" t="str">
        <f>IF(C43="","",[1]!hks_fa_nogaapprofit(C43,F43,1,"",100000000))</f>
        <v/>
      </c>
      <c r="BF43" s="23" t="str">
        <f>IF(C43="","",[1]!hks_fa_deductedprofit(C43,F43,1,"",100000000))</f>
        <v/>
      </c>
      <c r="BG43" s="23" t="str">
        <f>IF(C43="","",[1]!hks_fa_retainedearnings2(C43,F43,"",100000000))</f>
        <v/>
      </c>
      <c r="BH43" s="23" t="str">
        <f>IF(C43="","",[1]!hks_fa_workingcapital2(C43,F43,"",100000000))</f>
        <v/>
      </c>
      <c r="BI43" s="23" t="str">
        <f>IF(C43="","",[1]!hks_fa_networkingcapital2(C43,F43,"",100000000))</f>
        <v/>
      </c>
      <c r="BJ43" s="23" t="str">
        <f>IF(C43="","",[1]!hks_fa_investcapital2(C43,F43,"",100000000))</f>
        <v/>
      </c>
      <c r="BK43" s="23" t="str">
        <f>IF(C43="","",[1]!hks_fa_tangibleasset2(C43,F43,"",100000000))</f>
        <v/>
      </c>
      <c r="BL43" s="23" t="str">
        <f>IF(C43="","",[1]!hks_fa_netdebt2(C43,F43,"",100000000))</f>
        <v/>
      </c>
      <c r="BM43" s="23" t="str">
        <f>IF(C43="","",[1]!hks_fa_interestdebt2(C43,F43,"",100000000))</f>
        <v/>
      </c>
      <c r="BN43" s="23" t="str">
        <f>IF(C43="","",[1]!hks_fa_exinterestdebt_current(C43,F43,"",100000000))</f>
        <v/>
      </c>
      <c r="BO43" s="23" t="str">
        <f>IF(C43="","",[1]!hks_fa_exinterestdebt_noncurrent2(C43,F43,"",100000000))</f>
        <v/>
      </c>
      <c r="BP43" s="23" t="str">
        <f>IF(C43="","",[1]!hks_fa_fcfe2(C43,F43,"",100000000))</f>
        <v/>
      </c>
      <c r="BQ43" s="23" t="str">
        <f>IF(C43="","",[1]!hks_fa_fcff2(C43,F43,"",100000000))</f>
        <v/>
      </c>
      <c r="BR43" s="35"/>
    </row>
    <row r="44" spans="1:70" s="36" customFormat="1" ht="16.5" x14ac:dyDescent="0.2">
      <c r="A44" s="2"/>
      <c r="B44" s="6"/>
      <c r="C44" s="28" t="str">
        <f>IF(表1[[#This Row],[列1]]="","",表1[[#This Row],[列1]])</f>
        <v/>
      </c>
      <c r="D44" s="19" t="str">
        <f>IF(C44="","",[1]!hks_info_name(C44))</f>
        <v/>
      </c>
      <c r="E44" s="19" t="str">
        <f ca="1">IF(C44="","",[1]!lastradeday_s(C44,TODAY()))</f>
        <v/>
      </c>
      <c r="F44" s="49" t="str">
        <f>IF(C44="","",IF(OR([1]!s_stm_rpt_e(C44,基本资料!$I$8,0)="#N/A",[1]!s_stm_rpt_e(C44,基本资料!$I$8,0)="",[1]!s_stm_rpt_e(C44,基本资料!$I$8,0)=0),[1]!s_stm_rpt_e(C44,基本资料!$I$9,0),[1]!s_stm_rpt_e(C44,基本资料!$I$8,0)))</f>
        <v/>
      </c>
      <c r="G44" s="49" t="str">
        <f>IF(C44="","",[1]!hks_info_cur2(C44,F44))</f>
        <v/>
      </c>
      <c r="H44" s="27" t="str">
        <f>IF(C44="","",[1]!hks_fa_eps_basic(C44,F44,""))</f>
        <v/>
      </c>
      <c r="I44" s="23" t="str">
        <f>IF(C44="","",[1]!hks_fa_eps_adjust2(C44,F44,""))</f>
        <v/>
      </c>
      <c r="J44" s="23" t="str">
        <f>IF(C44="","",[1]!hks_fa_bps(C44,F44,""))</f>
        <v/>
      </c>
      <c r="K44" s="25" t="str">
        <f>IF(C44="","",[1]!hks_fa_ocfps(C44,F44,""))</f>
        <v/>
      </c>
      <c r="L44" s="27" t="str">
        <f>IF(C44="","",[1]!hks_fa_grossprofitmargin(C44,F44))</f>
        <v/>
      </c>
      <c r="M44" s="23" t="str">
        <f>IF(C44="","",[1]!hks_fa_netprofitmargin(C44,F44))</f>
        <v/>
      </c>
      <c r="N44" s="23" t="str">
        <f>IF(C44="","",[1]!hks_fa_roe(C44,F44))</f>
        <v/>
      </c>
      <c r="O44" s="23" t="str">
        <f>IF(C44="","",[1]!hks_fa_roe_deducted(C44,F44))</f>
        <v/>
      </c>
      <c r="P44" s="23" t="str">
        <f>IF(C44="","",[1]!hks_fa_roa2(C44,F44))</f>
        <v/>
      </c>
      <c r="Q44" s="23" t="str">
        <f>IF(C44="","",[1]!hks_fa_roic(C44,F44))</f>
        <v/>
      </c>
      <c r="R44" s="23" t="str">
        <f>IF(C44="","",[1]!hks_fa_dupont_nptosales(C44,F44))</f>
        <v/>
      </c>
      <c r="S44" s="23" t="str">
        <f>IF(C44="","",[1]!hks_fa_dupont_ebittosales(C44,F44))</f>
        <v/>
      </c>
      <c r="T44" s="25" t="str">
        <f>IF(C44="","",[1]!hks_fa_ebitdatosales(C44,F44))</f>
        <v/>
      </c>
      <c r="U44" s="47" t="str">
        <f>IF(C44="","",[1]!hks_fa_optoebt(C44,F44))</f>
        <v/>
      </c>
      <c r="V44" s="25" t="str">
        <f>IF(C44="","",[1]!hks_fa_ocftosales(C44,F44))</f>
        <v/>
      </c>
      <c r="W44" s="27" t="str">
        <f>IF(C44="","",[1]!hks_fa_debttoassets(C44,F44))</f>
        <v/>
      </c>
      <c r="X44" s="23" t="str">
        <f>IF(C44="","",[1]!s_fa_debttoeqy(C44,F44))</f>
        <v/>
      </c>
      <c r="Y44" s="23" t="str">
        <f>IF(C44="","",[1]!hks_fa_catoassets(C44,F44))</f>
        <v/>
      </c>
      <c r="Z44" s="23" t="str">
        <f>IF(C44="","",[1]!hks_fa_ncatoassets(C44,F44))</f>
        <v/>
      </c>
      <c r="AA44" s="23" t="str">
        <f>IF(C44="","",[1]!hks_fa_currentdebttodebt(C44,F44))</f>
        <v/>
      </c>
      <c r="AB44" s="25" t="str">
        <f>IF(C44="","",[1]!hks_fa_longdebtodebt(C44,F44))</f>
        <v/>
      </c>
      <c r="AC44" s="25" t="str">
        <f>IF(C44="","",[1]!hks_fa_current(C44,F44))</f>
        <v/>
      </c>
      <c r="AD44" s="25" t="str">
        <f>IF(C44="","",[1]!hks_fa_quick(C44,F44))</f>
        <v/>
      </c>
      <c r="AE44" s="25" t="str">
        <f>IF(C44="","",[1]!hks_fa_ebittointerest(C44,F44))</f>
        <v/>
      </c>
      <c r="AF44" s="25" t="str">
        <f>IF(C44="","",[1]!hks_fa_netdebtratio(C44,F44))</f>
        <v/>
      </c>
      <c r="AG44" s="27" t="str">
        <f>IF(C44="","",[1]!hks_fa_arturn(C44,F44))</f>
        <v/>
      </c>
      <c r="AH44" s="23" t="str">
        <f>IF(C44="","",[1]!hks_fa_apturn(C44,F44))</f>
        <v/>
      </c>
      <c r="AI44" s="23" t="str">
        <f>IF(C44="","",[1]!hks_fa_invturn(C44,F44))</f>
        <v/>
      </c>
      <c r="AJ44" s="23" t="str">
        <f>IF(C44="","",[1]!hks_fa_caturn(C44,F44))</f>
        <v/>
      </c>
      <c r="AK44" s="23" t="str">
        <f>IF(C44="","",[1]!hks_fa_faturn(C44,F44))</f>
        <v/>
      </c>
      <c r="AL44" s="25" t="str">
        <f>IF(C44="","",[1]!hks_fa_assetsturn(C44,F44))</f>
        <v/>
      </c>
      <c r="AM44" s="23" t="str">
        <f>IF(C44="","",[1]!hks_fa_yoy_tr(C44,F44))</f>
        <v/>
      </c>
      <c r="AN44" s="23" t="str">
        <f>IF(C44="","",[1]!hks_fa_yoy_or(C44,F44))</f>
        <v/>
      </c>
      <c r="AO44" s="23" t="str">
        <f>IF(C44="","",[1]!hks_fa_yoyop2(C44,F44))</f>
        <v/>
      </c>
      <c r="AP44" s="23" t="str">
        <f>IF(C44="","",[1]!hks_fa_yoyebt(C44,F44))</f>
        <v/>
      </c>
      <c r="AQ44" s="23" t="str">
        <f>IF(C44="","",[1]!hks_fa_yoynetprofit(C44,F44))</f>
        <v/>
      </c>
      <c r="AR44" s="23" t="str">
        <f>IF(C44="","",[1]!hks_fa_dupont_np(C44,F44))</f>
        <v/>
      </c>
      <c r="AS44" s="23" t="str">
        <f>IF(C44="","",[1]!hks_fa_dupont_taxburden(C44,F44))</f>
        <v/>
      </c>
      <c r="AT44" s="23" t="str">
        <f>IF(C44="","",[1]!s_fa_dupont_nptosales(C44,F44))</f>
        <v/>
      </c>
      <c r="AU44" s="23" t="str">
        <f>IF(C44="","",[1]!s_fa_dupont_roe(C44,F44))</f>
        <v/>
      </c>
      <c r="AV44" s="23" t="str">
        <f>IF(C44="","",[1]!hks_fa_dupont_intburden(C44,F44))</f>
        <v/>
      </c>
      <c r="AW44" s="23" t="str">
        <f>IF(C44="","",[1]!hks_fa_dupont_assetstoequity(C44,F44))</f>
        <v/>
      </c>
      <c r="AX44" s="23" t="str">
        <f>IF(C44="","",[1]!s_fa_dupont_ebittosales(C44,F44))</f>
        <v/>
      </c>
      <c r="AY44" s="23" t="str">
        <f>IF(C44="","",[1]!hks_fa_assetsturn(C44,F44))</f>
        <v/>
      </c>
      <c r="AZ44" s="23" t="str">
        <f>IF(C44="","",[1]!hks_fa_grossmargin2(C44,F44,"",100000000))</f>
        <v/>
      </c>
      <c r="BA44" s="23" t="str">
        <f>IF(C44="","",[1]!hks_fa_ebit3(C44,F44,1,"",100000000))</f>
        <v/>
      </c>
      <c r="BB44" s="23" t="str">
        <f>IF(C44="","",[1]!hks_fa_ebitda(C44,F44,1,"",100000000))</f>
        <v/>
      </c>
      <c r="BC44" s="23" t="str">
        <f>IF(C44="","",[1]!hks_fa_ebit(C44,F44,1,"",100000000))</f>
        <v/>
      </c>
      <c r="BD44" s="23" t="str">
        <f>IF(C44="","",[1]!hks_fa_ebitda(C44,F44,1,"",100000000))</f>
        <v/>
      </c>
      <c r="BE44" s="23" t="str">
        <f>IF(C44="","",[1]!hks_fa_nogaapprofit(C44,F44,1,"",100000000))</f>
        <v/>
      </c>
      <c r="BF44" s="23" t="str">
        <f>IF(C44="","",[1]!hks_fa_deductedprofit(C44,F44,1,"",100000000))</f>
        <v/>
      </c>
      <c r="BG44" s="23" t="str">
        <f>IF(C44="","",[1]!hks_fa_retainedearnings2(C44,F44,"",100000000))</f>
        <v/>
      </c>
      <c r="BH44" s="23" t="str">
        <f>IF(C44="","",[1]!hks_fa_workingcapital2(C44,F44,"",100000000))</f>
        <v/>
      </c>
      <c r="BI44" s="23" t="str">
        <f>IF(C44="","",[1]!hks_fa_networkingcapital2(C44,F44,"",100000000))</f>
        <v/>
      </c>
      <c r="BJ44" s="23" t="str">
        <f>IF(C44="","",[1]!hks_fa_investcapital2(C44,F44,"",100000000))</f>
        <v/>
      </c>
      <c r="BK44" s="23" t="str">
        <f>IF(C44="","",[1]!hks_fa_tangibleasset2(C44,F44,"",100000000))</f>
        <v/>
      </c>
      <c r="BL44" s="23" t="str">
        <f>IF(C44="","",[1]!hks_fa_netdebt2(C44,F44,"",100000000))</f>
        <v/>
      </c>
      <c r="BM44" s="23" t="str">
        <f>IF(C44="","",[1]!hks_fa_interestdebt2(C44,F44,"",100000000))</f>
        <v/>
      </c>
      <c r="BN44" s="23" t="str">
        <f>IF(C44="","",[1]!hks_fa_exinterestdebt_current(C44,F44,"",100000000))</f>
        <v/>
      </c>
      <c r="BO44" s="23" t="str">
        <f>IF(C44="","",[1]!hks_fa_exinterestdebt_noncurrent2(C44,F44,"",100000000))</f>
        <v/>
      </c>
      <c r="BP44" s="23" t="str">
        <f>IF(C44="","",[1]!hks_fa_fcfe2(C44,F44,"",100000000))</f>
        <v/>
      </c>
      <c r="BQ44" s="23" t="str">
        <f>IF(C44="","",[1]!hks_fa_fcff2(C44,F44,"",100000000))</f>
        <v/>
      </c>
      <c r="BR44" s="35"/>
    </row>
    <row r="45" spans="1:70" s="36" customFormat="1" ht="16.5" x14ac:dyDescent="0.2">
      <c r="A45" s="2"/>
      <c r="B45" s="6"/>
      <c r="C45" s="28" t="str">
        <f>IF(表1[[#This Row],[列1]]="","",表1[[#This Row],[列1]])</f>
        <v/>
      </c>
      <c r="D45" s="19" t="str">
        <f>IF(C45="","",[1]!hks_info_name(C45))</f>
        <v/>
      </c>
      <c r="E45" s="19" t="str">
        <f ca="1">IF(C45="","",[1]!lastradeday_s(C45,TODAY()))</f>
        <v/>
      </c>
      <c r="F45" s="49" t="str">
        <f>IF(C45="","",IF(OR([1]!s_stm_rpt_e(C45,基本资料!$I$8,0)="#N/A",[1]!s_stm_rpt_e(C45,基本资料!$I$8,0)="",[1]!s_stm_rpt_e(C45,基本资料!$I$8,0)=0),[1]!s_stm_rpt_e(C45,基本资料!$I$9,0),[1]!s_stm_rpt_e(C45,基本资料!$I$8,0)))</f>
        <v/>
      </c>
      <c r="G45" s="49" t="str">
        <f>IF(C45="","",[1]!hks_info_cur2(C45,F45))</f>
        <v/>
      </c>
      <c r="H45" s="27" t="str">
        <f>IF(C45="","",[1]!hks_fa_eps_basic(C45,F45,""))</f>
        <v/>
      </c>
      <c r="I45" s="23" t="str">
        <f>IF(C45="","",[1]!hks_fa_eps_adjust2(C45,F45,""))</f>
        <v/>
      </c>
      <c r="J45" s="23" t="str">
        <f>IF(C45="","",[1]!hks_fa_bps(C45,F45,""))</f>
        <v/>
      </c>
      <c r="K45" s="25" t="str">
        <f>IF(C45="","",[1]!hks_fa_ocfps(C45,F45,""))</f>
        <v/>
      </c>
      <c r="L45" s="27" t="str">
        <f>IF(C45="","",[1]!hks_fa_grossprofitmargin(C45,F45))</f>
        <v/>
      </c>
      <c r="M45" s="23" t="str">
        <f>IF(C45="","",[1]!hks_fa_netprofitmargin(C45,F45))</f>
        <v/>
      </c>
      <c r="N45" s="23" t="str">
        <f>IF(C45="","",[1]!hks_fa_roe(C45,F45))</f>
        <v/>
      </c>
      <c r="O45" s="23" t="str">
        <f>IF(C45="","",[1]!hks_fa_roe_deducted(C45,F45))</f>
        <v/>
      </c>
      <c r="P45" s="23" t="str">
        <f>IF(C45="","",[1]!hks_fa_roa2(C45,F45))</f>
        <v/>
      </c>
      <c r="Q45" s="23" t="str">
        <f>IF(C45="","",[1]!hks_fa_roic(C45,F45))</f>
        <v/>
      </c>
      <c r="R45" s="23" t="str">
        <f>IF(C45="","",[1]!hks_fa_dupont_nptosales(C45,F45))</f>
        <v/>
      </c>
      <c r="S45" s="23" t="str">
        <f>IF(C45="","",[1]!hks_fa_dupont_ebittosales(C45,F45))</f>
        <v/>
      </c>
      <c r="T45" s="25" t="str">
        <f>IF(C45="","",[1]!hks_fa_ebitdatosales(C45,F45))</f>
        <v/>
      </c>
      <c r="U45" s="47" t="str">
        <f>IF(C45="","",[1]!hks_fa_optoebt(C45,F45))</f>
        <v/>
      </c>
      <c r="V45" s="25" t="str">
        <f>IF(C45="","",[1]!hks_fa_ocftosales(C45,F45))</f>
        <v/>
      </c>
      <c r="W45" s="27" t="str">
        <f>IF(C45="","",[1]!hks_fa_debttoassets(C45,F45))</f>
        <v/>
      </c>
      <c r="X45" s="23" t="str">
        <f>IF(C45="","",[1]!s_fa_debttoeqy(C45,F45))</f>
        <v/>
      </c>
      <c r="Y45" s="23" t="str">
        <f>IF(C45="","",[1]!hks_fa_catoassets(C45,F45))</f>
        <v/>
      </c>
      <c r="Z45" s="23" t="str">
        <f>IF(C45="","",[1]!hks_fa_ncatoassets(C45,F45))</f>
        <v/>
      </c>
      <c r="AA45" s="23" t="str">
        <f>IF(C45="","",[1]!hks_fa_currentdebttodebt(C45,F45))</f>
        <v/>
      </c>
      <c r="AB45" s="25" t="str">
        <f>IF(C45="","",[1]!hks_fa_longdebtodebt(C45,F45))</f>
        <v/>
      </c>
      <c r="AC45" s="25" t="str">
        <f>IF(C45="","",[1]!hks_fa_current(C45,F45))</f>
        <v/>
      </c>
      <c r="AD45" s="25" t="str">
        <f>IF(C45="","",[1]!hks_fa_quick(C45,F45))</f>
        <v/>
      </c>
      <c r="AE45" s="25" t="str">
        <f>IF(C45="","",[1]!hks_fa_ebittointerest(C45,F45))</f>
        <v/>
      </c>
      <c r="AF45" s="25" t="str">
        <f>IF(C45="","",[1]!hks_fa_netdebtratio(C45,F45))</f>
        <v/>
      </c>
      <c r="AG45" s="27" t="str">
        <f>IF(C45="","",[1]!hks_fa_arturn(C45,F45))</f>
        <v/>
      </c>
      <c r="AH45" s="23" t="str">
        <f>IF(C45="","",[1]!hks_fa_apturn(C45,F45))</f>
        <v/>
      </c>
      <c r="AI45" s="23" t="str">
        <f>IF(C45="","",[1]!hks_fa_invturn(C45,F45))</f>
        <v/>
      </c>
      <c r="AJ45" s="23" t="str">
        <f>IF(C45="","",[1]!hks_fa_caturn(C45,F45))</f>
        <v/>
      </c>
      <c r="AK45" s="23" t="str">
        <f>IF(C45="","",[1]!hks_fa_faturn(C45,F45))</f>
        <v/>
      </c>
      <c r="AL45" s="25" t="str">
        <f>IF(C45="","",[1]!hks_fa_assetsturn(C45,F45))</f>
        <v/>
      </c>
      <c r="AM45" s="23" t="str">
        <f>IF(C45="","",[1]!hks_fa_yoy_tr(C45,F45))</f>
        <v/>
      </c>
      <c r="AN45" s="23" t="str">
        <f>IF(C45="","",[1]!hks_fa_yoy_or(C45,F45))</f>
        <v/>
      </c>
      <c r="AO45" s="23" t="str">
        <f>IF(C45="","",[1]!hks_fa_yoyop2(C45,F45))</f>
        <v/>
      </c>
      <c r="AP45" s="23" t="str">
        <f>IF(C45="","",[1]!hks_fa_yoyebt(C45,F45))</f>
        <v/>
      </c>
      <c r="AQ45" s="23" t="str">
        <f>IF(C45="","",[1]!hks_fa_yoynetprofit(C45,F45))</f>
        <v/>
      </c>
      <c r="AR45" s="23" t="str">
        <f>IF(C45="","",[1]!hks_fa_dupont_np(C45,F45))</f>
        <v/>
      </c>
      <c r="AS45" s="23" t="str">
        <f>IF(C45="","",[1]!hks_fa_dupont_taxburden(C45,F45))</f>
        <v/>
      </c>
      <c r="AT45" s="23" t="str">
        <f>IF(C45="","",[1]!s_fa_dupont_nptosales(C45,F45))</f>
        <v/>
      </c>
      <c r="AU45" s="23" t="str">
        <f>IF(C45="","",[1]!s_fa_dupont_roe(C45,F45))</f>
        <v/>
      </c>
      <c r="AV45" s="23" t="str">
        <f>IF(C45="","",[1]!hks_fa_dupont_intburden(C45,F45))</f>
        <v/>
      </c>
      <c r="AW45" s="23" t="str">
        <f>IF(C45="","",[1]!hks_fa_dupont_assetstoequity(C45,F45))</f>
        <v/>
      </c>
      <c r="AX45" s="23" t="str">
        <f>IF(C45="","",[1]!s_fa_dupont_ebittosales(C45,F45))</f>
        <v/>
      </c>
      <c r="AY45" s="23" t="str">
        <f>IF(C45="","",[1]!hks_fa_assetsturn(C45,F45))</f>
        <v/>
      </c>
      <c r="AZ45" s="23" t="str">
        <f>IF(C45="","",[1]!hks_fa_grossmargin2(C45,F45,"",100000000))</f>
        <v/>
      </c>
      <c r="BA45" s="23" t="str">
        <f>IF(C45="","",[1]!hks_fa_ebit3(C45,F45,1,"",100000000))</f>
        <v/>
      </c>
      <c r="BB45" s="23" t="str">
        <f>IF(C45="","",[1]!hks_fa_ebitda(C45,F45,1,"",100000000))</f>
        <v/>
      </c>
      <c r="BC45" s="23" t="str">
        <f>IF(C45="","",[1]!hks_fa_ebit(C45,F45,1,"",100000000))</f>
        <v/>
      </c>
      <c r="BD45" s="23" t="str">
        <f>IF(C45="","",[1]!hks_fa_ebitda(C45,F45,1,"",100000000))</f>
        <v/>
      </c>
      <c r="BE45" s="23" t="str">
        <f>IF(C45="","",[1]!hks_fa_nogaapprofit(C45,F45,1,"",100000000))</f>
        <v/>
      </c>
      <c r="BF45" s="23" t="str">
        <f>IF(C45="","",[1]!hks_fa_deductedprofit(C45,F45,1,"",100000000))</f>
        <v/>
      </c>
      <c r="BG45" s="23" t="str">
        <f>IF(C45="","",[1]!hks_fa_retainedearnings2(C45,F45,"",100000000))</f>
        <v/>
      </c>
      <c r="BH45" s="23" t="str">
        <f>IF(C45="","",[1]!hks_fa_workingcapital2(C45,F45,"",100000000))</f>
        <v/>
      </c>
      <c r="BI45" s="23" t="str">
        <f>IF(C45="","",[1]!hks_fa_networkingcapital2(C45,F45,"",100000000))</f>
        <v/>
      </c>
      <c r="BJ45" s="23" t="str">
        <f>IF(C45="","",[1]!hks_fa_investcapital2(C45,F45,"",100000000))</f>
        <v/>
      </c>
      <c r="BK45" s="23" t="str">
        <f>IF(C45="","",[1]!hks_fa_tangibleasset2(C45,F45,"",100000000))</f>
        <v/>
      </c>
      <c r="BL45" s="23" t="str">
        <f>IF(C45="","",[1]!hks_fa_netdebt2(C45,F45,"",100000000))</f>
        <v/>
      </c>
      <c r="BM45" s="23" t="str">
        <f>IF(C45="","",[1]!hks_fa_interestdebt2(C45,F45,"",100000000))</f>
        <v/>
      </c>
      <c r="BN45" s="23" t="str">
        <f>IF(C45="","",[1]!hks_fa_exinterestdebt_current(C45,F45,"",100000000))</f>
        <v/>
      </c>
      <c r="BO45" s="23" t="str">
        <f>IF(C45="","",[1]!hks_fa_exinterestdebt_noncurrent2(C45,F45,"",100000000))</f>
        <v/>
      </c>
      <c r="BP45" s="23" t="str">
        <f>IF(C45="","",[1]!hks_fa_fcfe2(C45,F45,"",100000000))</f>
        <v/>
      </c>
      <c r="BQ45" s="23" t="str">
        <f>IF(C45="","",[1]!hks_fa_fcff2(C45,F45,"",100000000))</f>
        <v/>
      </c>
      <c r="BR45" s="35"/>
    </row>
    <row r="46" spans="1:70" s="36" customFormat="1" ht="16.5" x14ac:dyDescent="0.2">
      <c r="A46" s="2"/>
      <c r="B46" s="6"/>
      <c r="C46" s="28" t="str">
        <f>IF(表1[[#This Row],[列1]]="","",表1[[#This Row],[列1]])</f>
        <v/>
      </c>
      <c r="D46" s="19" t="str">
        <f>IF(C46="","",[1]!hks_info_name(C46))</f>
        <v/>
      </c>
      <c r="E46" s="19" t="str">
        <f ca="1">IF(C46="","",[1]!lastradeday_s(C46,TODAY()))</f>
        <v/>
      </c>
      <c r="F46" s="49" t="str">
        <f>IF(C46="","",IF(OR([1]!s_stm_rpt_e(C46,基本资料!$I$8,0)="#N/A",[1]!s_stm_rpt_e(C46,基本资料!$I$8,0)="",[1]!s_stm_rpt_e(C46,基本资料!$I$8,0)=0),[1]!s_stm_rpt_e(C46,基本资料!$I$9,0),[1]!s_stm_rpt_e(C46,基本资料!$I$8,0)))</f>
        <v/>
      </c>
      <c r="G46" s="49" t="str">
        <f>IF(C46="","",[1]!hks_info_cur2(C46,F46))</f>
        <v/>
      </c>
      <c r="H46" s="27" t="str">
        <f>IF(C46="","",[1]!hks_fa_eps_basic(C46,F46,""))</f>
        <v/>
      </c>
      <c r="I46" s="23" t="str">
        <f>IF(C46="","",[1]!hks_fa_eps_adjust2(C46,F46,""))</f>
        <v/>
      </c>
      <c r="J46" s="23" t="str">
        <f>IF(C46="","",[1]!hks_fa_bps(C46,F46,""))</f>
        <v/>
      </c>
      <c r="K46" s="25" t="str">
        <f>IF(C46="","",[1]!hks_fa_ocfps(C46,F46,""))</f>
        <v/>
      </c>
      <c r="L46" s="27" t="str">
        <f>IF(C46="","",[1]!hks_fa_grossprofitmargin(C46,F46))</f>
        <v/>
      </c>
      <c r="M46" s="23" t="str">
        <f>IF(C46="","",[1]!hks_fa_netprofitmargin(C46,F46))</f>
        <v/>
      </c>
      <c r="N46" s="23" t="str">
        <f>IF(C46="","",[1]!hks_fa_roe(C46,F46))</f>
        <v/>
      </c>
      <c r="O46" s="23" t="str">
        <f>IF(C46="","",[1]!hks_fa_roe_deducted(C46,F46))</f>
        <v/>
      </c>
      <c r="P46" s="23" t="str">
        <f>IF(C46="","",[1]!hks_fa_roa2(C46,F46))</f>
        <v/>
      </c>
      <c r="Q46" s="23" t="str">
        <f>IF(C46="","",[1]!hks_fa_roic(C46,F46))</f>
        <v/>
      </c>
      <c r="R46" s="23" t="str">
        <f>IF(C46="","",[1]!hks_fa_dupont_nptosales(C46,F46))</f>
        <v/>
      </c>
      <c r="S46" s="23" t="str">
        <f>IF(C46="","",[1]!hks_fa_dupont_ebittosales(C46,F46))</f>
        <v/>
      </c>
      <c r="T46" s="25" t="str">
        <f>IF(C46="","",[1]!hks_fa_ebitdatosales(C46,F46))</f>
        <v/>
      </c>
      <c r="U46" s="47" t="str">
        <f>IF(C46="","",[1]!hks_fa_optoebt(C46,F46))</f>
        <v/>
      </c>
      <c r="V46" s="25" t="str">
        <f>IF(C46="","",[1]!hks_fa_ocftosales(C46,F46))</f>
        <v/>
      </c>
      <c r="W46" s="27" t="str">
        <f>IF(C46="","",[1]!hks_fa_debttoassets(C46,F46))</f>
        <v/>
      </c>
      <c r="X46" s="23" t="str">
        <f>IF(C46="","",[1]!s_fa_debttoeqy(C46,F46))</f>
        <v/>
      </c>
      <c r="Y46" s="23" t="str">
        <f>IF(C46="","",[1]!hks_fa_catoassets(C46,F46))</f>
        <v/>
      </c>
      <c r="Z46" s="23" t="str">
        <f>IF(C46="","",[1]!hks_fa_ncatoassets(C46,F46))</f>
        <v/>
      </c>
      <c r="AA46" s="23" t="str">
        <f>IF(C46="","",[1]!hks_fa_currentdebttodebt(C46,F46))</f>
        <v/>
      </c>
      <c r="AB46" s="25" t="str">
        <f>IF(C46="","",[1]!hks_fa_longdebtodebt(C46,F46))</f>
        <v/>
      </c>
      <c r="AC46" s="25" t="str">
        <f>IF(C46="","",[1]!hks_fa_current(C46,F46))</f>
        <v/>
      </c>
      <c r="AD46" s="25" t="str">
        <f>IF(C46="","",[1]!hks_fa_quick(C46,F46))</f>
        <v/>
      </c>
      <c r="AE46" s="25" t="str">
        <f>IF(C46="","",[1]!hks_fa_ebittointerest(C46,F46))</f>
        <v/>
      </c>
      <c r="AF46" s="25" t="str">
        <f>IF(C46="","",[1]!hks_fa_netdebtratio(C46,F46))</f>
        <v/>
      </c>
      <c r="AG46" s="27" t="str">
        <f>IF(C46="","",[1]!hks_fa_arturn(C46,F46))</f>
        <v/>
      </c>
      <c r="AH46" s="23" t="str">
        <f>IF(C46="","",[1]!hks_fa_apturn(C46,F46))</f>
        <v/>
      </c>
      <c r="AI46" s="23" t="str">
        <f>IF(C46="","",[1]!hks_fa_invturn(C46,F46))</f>
        <v/>
      </c>
      <c r="AJ46" s="23" t="str">
        <f>IF(C46="","",[1]!hks_fa_caturn(C46,F46))</f>
        <v/>
      </c>
      <c r="AK46" s="23" t="str">
        <f>IF(C46="","",[1]!hks_fa_faturn(C46,F46))</f>
        <v/>
      </c>
      <c r="AL46" s="25" t="str">
        <f>IF(C46="","",[1]!hks_fa_assetsturn(C46,F46))</f>
        <v/>
      </c>
      <c r="AM46" s="23" t="str">
        <f>IF(C46="","",[1]!hks_fa_yoy_tr(C46,F46))</f>
        <v/>
      </c>
      <c r="AN46" s="23" t="str">
        <f>IF(C46="","",[1]!hks_fa_yoy_or(C46,F46))</f>
        <v/>
      </c>
      <c r="AO46" s="23" t="str">
        <f>IF(C46="","",[1]!hks_fa_yoyop2(C46,F46))</f>
        <v/>
      </c>
      <c r="AP46" s="23" t="str">
        <f>IF(C46="","",[1]!hks_fa_yoyebt(C46,F46))</f>
        <v/>
      </c>
      <c r="AQ46" s="23" t="str">
        <f>IF(C46="","",[1]!hks_fa_yoynetprofit(C46,F46))</f>
        <v/>
      </c>
      <c r="AR46" s="23" t="str">
        <f>IF(C46="","",[1]!hks_fa_dupont_np(C46,F46))</f>
        <v/>
      </c>
      <c r="AS46" s="23" t="str">
        <f>IF(C46="","",[1]!hks_fa_dupont_taxburden(C46,F46))</f>
        <v/>
      </c>
      <c r="AT46" s="23" t="str">
        <f>IF(C46="","",[1]!s_fa_dupont_nptosales(C46,F46))</f>
        <v/>
      </c>
      <c r="AU46" s="23" t="str">
        <f>IF(C46="","",[1]!s_fa_dupont_roe(C46,F46))</f>
        <v/>
      </c>
      <c r="AV46" s="23" t="str">
        <f>IF(C46="","",[1]!hks_fa_dupont_intburden(C46,F46))</f>
        <v/>
      </c>
      <c r="AW46" s="23" t="str">
        <f>IF(C46="","",[1]!hks_fa_dupont_assetstoequity(C46,F46))</f>
        <v/>
      </c>
      <c r="AX46" s="23" t="str">
        <f>IF(C46="","",[1]!s_fa_dupont_ebittosales(C46,F46))</f>
        <v/>
      </c>
      <c r="AY46" s="23" t="str">
        <f>IF(C46="","",[1]!hks_fa_assetsturn(C46,F46))</f>
        <v/>
      </c>
      <c r="AZ46" s="23" t="str">
        <f>IF(C46="","",[1]!hks_fa_grossmargin2(C46,F46,"",100000000))</f>
        <v/>
      </c>
      <c r="BA46" s="23" t="str">
        <f>IF(C46="","",[1]!hks_fa_ebit3(C46,F46,1,"",100000000))</f>
        <v/>
      </c>
      <c r="BB46" s="23" t="str">
        <f>IF(C46="","",[1]!hks_fa_ebitda(C46,F46,1,"",100000000))</f>
        <v/>
      </c>
      <c r="BC46" s="23" t="str">
        <f>IF(C46="","",[1]!hks_fa_ebit(C46,F46,1,"",100000000))</f>
        <v/>
      </c>
      <c r="BD46" s="23" t="str">
        <f>IF(C46="","",[1]!hks_fa_ebitda(C46,F46,1,"",100000000))</f>
        <v/>
      </c>
      <c r="BE46" s="23" t="str">
        <f>IF(C46="","",[1]!hks_fa_nogaapprofit(C46,F46,1,"",100000000))</f>
        <v/>
      </c>
      <c r="BF46" s="23" t="str">
        <f>IF(C46="","",[1]!hks_fa_deductedprofit(C46,F46,1,"",100000000))</f>
        <v/>
      </c>
      <c r="BG46" s="23" t="str">
        <f>IF(C46="","",[1]!hks_fa_retainedearnings2(C46,F46,"",100000000))</f>
        <v/>
      </c>
      <c r="BH46" s="23" t="str">
        <f>IF(C46="","",[1]!hks_fa_workingcapital2(C46,F46,"",100000000))</f>
        <v/>
      </c>
      <c r="BI46" s="23" t="str">
        <f>IF(C46="","",[1]!hks_fa_networkingcapital2(C46,F46,"",100000000))</f>
        <v/>
      </c>
      <c r="BJ46" s="23" t="str">
        <f>IF(C46="","",[1]!hks_fa_investcapital2(C46,F46,"",100000000))</f>
        <v/>
      </c>
      <c r="BK46" s="23" t="str">
        <f>IF(C46="","",[1]!hks_fa_tangibleasset2(C46,F46,"",100000000))</f>
        <v/>
      </c>
      <c r="BL46" s="23" t="str">
        <f>IF(C46="","",[1]!hks_fa_netdebt2(C46,F46,"",100000000))</f>
        <v/>
      </c>
      <c r="BM46" s="23" t="str">
        <f>IF(C46="","",[1]!hks_fa_interestdebt2(C46,F46,"",100000000))</f>
        <v/>
      </c>
      <c r="BN46" s="23" t="str">
        <f>IF(C46="","",[1]!hks_fa_exinterestdebt_current(C46,F46,"",100000000))</f>
        <v/>
      </c>
      <c r="BO46" s="23" t="str">
        <f>IF(C46="","",[1]!hks_fa_exinterestdebt_noncurrent2(C46,F46,"",100000000))</f>
        <v/>
      </c>
      <c r="BP46" s="23" t="str">
        <f>IF(C46="","",[1]!hks_fa_fcfe2(C46,F46,"",100000000))</f>
        <v/>
      </c>
      <c r="BQ46" s="23" t="str">
        <f>IF(C46="","",[1]!hks_fa_fcff2(C46,F46,"",100000000))</f>
        <v/>
      </c>
      <c r="BR46" s="35"/>
    </row>
    <row r="47" spans="1:70" s="36" customFormat="1" ht="16.5" x14ac:dyDescent="0.2">
      <c r="A47" s="2"/>
      <c r="B47" s="6"/>
      <c r="C47" s="28" t="str">
        <f>IF(表1[[#This Row],[列1]]="","",表1[[#This Row],[列1]])</f>
        <v/>
      </c>
      <c r="D47" s="19" t="str">
        <f>IF(C47="","",[1]!hks_info_name(C47))</f>
        <v/>
      </c>
      <c r="E47" s="19" t="str">
        <f ca="1">IF(C47="","",[1]!lastradeday_s(C47,TODAY()))</f>
        <v/>
      </c>
      <c r="F47" s="49" t="str">
        <f>IF(C47="","",IF(OR([1]!s_stm_rpt_e(C47,基本资料!$I$8,0)="#N/A",[1]!s_stm_rpt_e(C47,基本资料!$I$8,0)="",[1]!s_stm_rpt_e(C47,基本资料!$I$8,0)=0),[1]!s_stm_rpt_e(C47,基本资料!$I$9,0),[1]!s_stm_rpt_e(C47,基本资料!$I$8,0)))</f>
        <v/>
      </c>
      <c r="G47" s="49" t="str">
        <f>IF(C47="","",[1]!hks_info_cur2(C47,F47))</f>
        <v/>
      </c>
      <c r="H47" s="27" t="str">
        <f>IF(C47="","",[1]!hks_fa_eps_basic(C47,F47,""))</f>
        <v/>
      </c>
      <c r="I47" s="23" t="str">
        <f>IF(C47="","",[1]!hks_fa_eps_adjust2(C47,F47,""))</f>
        <v/>
      </c>
      <c r="J47" s="23" t="str">
        <f>IF(C47="","",[1]!hks_fa_bps(C47,F47,""))</f>
        <v/>
      </c>
      <c r="K47" s="25" t="str">
        <f>IF(C47="","",[1]!hks_fa_ocfps(C47,F47,""))</f>
        <v/>
      </c>
      <c r="L47" s="27" t="str">
        <f>IF(C47="","",[1]!hks_fa_grossprofitmargin(C47,F47))</f>
        <v/>
      </c>
      <c r="M47" s="23" t="str">
        <f>IF(C47="","",[1]!hks_fa_netprofitmargin(C47,F47))</f>
        <v/>
      </c>
      <c r="N47" s="23" t="str">
        <f>IF(C47="","",[1]!hks_fa_roe(C47,F47))</f>
        <v/>
      </c>
      <c r="O47" s="23" t="str">
        <f>IF(C47="","",[1]!hks_fa_roe_deducted(C47,F47))</f>
        <v/>
      </c>
      <c r="P47" s="23" t="str">
        <f>IF(C47="","",[1]!hks_fa_roa2(C47,F47))</f>
        <v/>
      </c>
      <c r="Q47" s="23" t="str">
        <f>IF(C47="","",[1]!hks_fa_roic(C47,F47))</f>
        <v/>
      </c>
      <c r="R47" s="23" t="str">
        <f>IF(C47="","",[1]!hks_fa_dupont_nptosales(C47,F47))</f>
        <v/>
      </c>
      <c r="S47" s="23" t="str">
        <f>IF(C47="","",[1]!hks_fa_dupont_ebittosales(C47,F47))</f>
        <v/>
      </c>
      <c r="T47" s="25" t="str">
        <f>IF(C47="","",[1]!hks_fa_ebitdatosales(C47,F47))</f>
        <v/>
      </c>
      <c r="U47" s="47" t="str">
        <f>IF(C47="","",[1]!hks_fa_optoebt(C47,F47))</f>
        <v/>
      </c>
      <c r="V47" s="25" t="str">
        <f>IF(C47="","",[1]!hks_fa_ocftosales(C47,F47))</f>
        <v/>
      </c>
      <c r="W47" s="27" t="str">
        <f>IF(C47="","",[1]!hks_fa_debttoassets(C47,F47))</f>
        <v/>
      </c>
      <c r="X47" s="23" t="str">
        <f>IF(C47="","",[1]!s_fa_debttoeqy(C47,F47))</f>
        <v/>
      </c>
      <c r="Y47" s="23" t="str">
        <f>IF(C47="","",[1]!hks_fa_catoassets(C47,F47))</f>
        <v/>
      </c>
      <c r="Z47" s="23" t="str">
        <f>IF(C47="","",[1]!hks_fa_ncatoassets(C47,F47))</f>
        <v/>
      </c>
      <c r="AA47" s="23" t="str">
        <f>IF(C47="","",[1]!hks_fa_currentdebttodebt(C47,F47))</f>
        <v/>
      </c>
      <c r="AB47" s="25" t="str">
        <f>IF(C47="","",[1]!hks_fa_longdebtodebt(C47,F47))</f>
        <v/>
      </c>
      <c r="AC47" s="25" t="str">
        <f>IF(C47="","",[1]!hks_fa_current(C47,F47))</f>
        <v/>
      </c>
      <c r="AD47" s="25" t="str">
        <f>IF(C47="","",[1]!hks_fa_quick(C47,F47))</f>
        <v/>
      </c>
      <c r="AE47" s="25" t="str">
        <f>IF(C47="","",[1]!hks_fa_ebittointerest(C47,F47))</f>
        <v/>
      </c>
      <c r="AF47" s="25" t="str">
        <f>IF(C47="","",[1]!hks_fa_netdebtratio(C47,F47))</f>
        <v/>
      </c>
      <c r="AG47" s="27" t="str">
        <f>IF(C47="","",[1]!hks_fa_arturn(C47,F47))</f>
        <v/>
      </c>
      <c r="AH47" s="23" t="str">
        <f>IF(C47="","",[1]!hks_fa_apturn(C47,F47))</f>
        <v/>
      </c>
      <c r="AI47" s="23" t="str">
        <f>IF(C47="","",[1]!hks_fa_invturn(C47,F47))</f>
        <v/>
      </c>
      <c r="AJ47" s="23" t="str">
        <f>IF(C47="","",[1]!hks_fa_caturn(C47,F47))</f>
        <v/>
      </c>
      <c r="AK47" s="23" t="str">
        <f>IF(C47="","",[1]!hks_fa_faturn(C47,F47))</f>
        <v/>
      </c>
      <c r="AL47" s="25" t="str">
        <f>IF(C47="","",[1]!hks_fa_assetsturn(C47,F47))</f>
        <v/>
      </c>
      <c r="AM47" s="23" t="str">
        <f>IF(C47="","",[1]!hks_fa_yoy_tr(C47,F47))</f>
        <v/>
      </c>
      <c r="AN47" s="23" t="str">
        <f>IF(C47="","",[1]!hks_fa_yoy_or(C47,F47))</f>
        <v/>
      </c>
      <c r="AO47" s="23" t="str">
        <f>IF(C47="","",[1]!hks_fa_yoyop2(C47,F47))</f>
        <v/>
      </c>
      <c r="AP47" s="23" t="str">
        <f>IF(C47="","",[1]!hks_fa_yoyebt(C47,F47))</f>
        <v/>
      </c>
      <c r="AQ47" s="23" t="str">
        <f>IF(C47="","",[1]!hks_fa_yoynetprofit(C47,F47))</f>
        <v/>
      </c>
      <c r="AR47" s="23" t="str">
        <f>IF(C47="","",[1]!hks_fa_dupont_np(C47,F47))</f>
        <v/>
      </c>
      <c r="AS47" s="23" t="str">
        <f>IF(C47="","",[1]!hks_fa_dupont_taxburden(C47,F47))</f>
        <v/>
      </c>
      <c r="AT47" s="23" t="str">
        <f>IF(C47="","",[1]!s_fa_dupont_nptosales(C47,F47))</f>
        <v/>
      </c>
      <c r="AU47" s="23" t="str">
        <f>IF(C47="","",[1]!s_fa_dupont_roe(C47,F47))</f>
        <v/>
      </c>
      <c r="AV47" s="23" t="str">
        <f>IF(C47="","",[1]!hks_fa_dupont_intburden(C47,F47))</f>
        <v/>
      </c>
      <c r="AW47" s="23" t="str">
        <f>IF(C47="","",[1]!hks_fa_dupont_assetstoequity(C47,F47))</f>
        <v/>
      </c>
      <c r="AX47" s="23" t="str">
        <f>IF(C47="","",[1]!s_fa_dupont_ebittosales(C47,F47))</f>
        <v/>
      </c>
      <c r="AY47" s="23" t="str">
        <f>IF(C47="","",[1]!hks_fa_assetsturn(C47,F47))</f>
        <v/>
      </c>
      <c r="AZ47" s="23" t="str">
        <f>IF(C47="","",[1]!hks_fa_grossmargin2(C47,F47,"",100000000))</f>
        <v/>
      </c>
      <c r="BA47" s="23" t="str">
        <f>IF(C47="","",[1]!hks_fa_ebit3(C47,F47,1,"",100000000))</f>
        <v/>
      </c>
      <c r="BB47" s="23" t="str">
        <f>IF(C47="","",[1]!hks_fa_ebitda(C47,F47,1,"",100000000))</f>
        <v/>
      </c>
      <c r="BC47" s="23" t="str">
        <f>IF(C47="","",[1]!hks_fa_ebit(C47,F47,1,"",100000000))</f>
        <v/>
      </c>
      <c r="BD47" s="23" t="str">
        <f>IF(C47="","",[1]!hks_fa_ebitda(C47,F47,1,"",100000000))</f>
        <v/>
      </c>
      <c r="BE47" s="23" t="str">
        <f>IF(C47="","",[1]!hks_fa_nogaapprofit(C47,F47,1,"",100000000))</f>
        <v/>
      </c>
      <c r="BF47" s="23" t="str">
        <f>IF(C47="","",[1]!hks_fa_deductedprofit(C47,F47,1,"",100000000))</f>
        <v/>
      </c>
      <c r="BG47" s="23" t="str">
        <f>IF(C47="","",[1]!hks_fa_retainedearnings2(C47,F47,"",100000000))</f>
        <v/>
      </c>
      <c r="BH47" s="23" t="str">
        <f>IF(C47="","",[1]!hks_fa_workingcapital2(C47,F47,"",100000000))</f>
        <v/>
      </c>
      <c r="BI47" s="23" t="str">
        <f>IF(C47="","",[1]!hks_fa_networkingcapital2(C47,F47,"",100000000))</f>
        <v/>
      </c>
      <c r="BJ47" s="23" t="str">
        <f>IF(C47="","",[1]!hks_fa_investcapital2(C47,F47,"",100000000))</f>
        <v/>
      </c>
      <c r="BK47" s="23" t="str">
        <f>IF(C47="","",[1]!hks_fa_tangibleasset2(C47,F47,"",100000000))</f>
        <v/>
      </c>
      <c r="BL47" s="23" t="str">
        <f>IF(C47="","",[1]!hks_fa_netdebt2(C47,F47,"",100000000))</f>
        <v/>
      </c>
      <c r="BM47" s="23" t="str">
        <f>IF(C47="","",[1]!hks_fa_interestdebt2(C47,F47,"",100000000))</f>
        <v/>
      </c>
      <c r="BN47" s="23" t="str">
        <f>IF(C47="","",[1]!hks_fa_exinterestdebt_current(C47,F47,"",100000000))</f>
        <v/>
      </c>
      <c r="BO47" s="23" t="str">
        <f>IF(C47="","",[1]!hks_fa_exinterestdebt_noncurrent2(C47,F47,"",100000000))</f>
        <v/>
      </c>
      <c r="BP47" s="23" t="str">
        <f>IF(C47="","",[1]!hks_fa_fcfe2(C47,F47,"",100000000))</f>
        <v/>
      </c>
      <c r="BQ47" s="23" t="str">
        <f>IF(C47="","",[1]!hks_fa_fcff2(C47,F47,"",100000000))</f>
        <v/>
      </c>
      <c r="BR47" s="35"/>
    </row>
    <row r="48" spans="1:70" s="36" customFormat="1" ht="16.5" x14ac:dyDescent="0.2">
      <c r="A48" s="2"/>
      <c r="B48" s="6"/>
      <c r="C48" s="28" t="str">
        <f>IF(表1[[#This Row],[列1]]="","",表1[[#This Row],[列1]])</f>
        <v/>
      </c>
      <c r="D48" s="19" t="str">
        <f>IF(C48="","",[1]!hks_info_name(C48))</f>
        <v/>
      </c>
      <c r="E48" s="19" t="str">
        <f ca="1">IF(C48="","",[1]!lastradeday_s(C48,TODAY()))</f>
        <v/>
      </c>
      <c r="F48" s="49" t="str">
        <f>IF(C48="","",IF(OR([1]!s_stm_rpt_e(C48,基本资料!$I$8,0)="#N/A",[1]!s_stm_rpt_e(C48,基本资料!$I$8,0)="",[1]!s_stm_rpt_e(C48,基本资料!$I$8,0)=0),[1]!s_stm_rpt_e(C48,基本资料!$I$9,0),[1]!s_stm_rpt_e(C48,基本资料!$I$8,0)))</f>
        <v/>
      </c>
      <c r="G48" s="49" t="str">
        <f>IF(C48="","",[1]!hks_info_cur2(C48,F48))</f>
        <v/>
      </c>
      <c r="H48" s="27" t="str">
        <f>IF(C48="","",[1]!hks_fa_eps_basic(C48,F48,""))</f>
        <v/>
      </c>
      <c r="I48" s="23" t="str">
        <f>IF(C48="","",[1]!hks_fa_eps_adjust2(C48,F48,""))</f>
        <v/>
      </c>
      <c r="J48" s="23" t="str">
        <f>IF(C48="","",[1]!hks_fa_bps(C48,F48,""))</f>
        <v/>
      </c>
      <c r="K48" s="25" t="str">
        <f>IF(C48="","",[1]!hks_fa_ocfps(C48,F48,""))</f>
        <v/>
      </c>
      <c r="L48" s="27" t="str">
        <f>IF(C48="","",[1]!hks_fa_grossprofitmargin(C48,F48))</f>
        <v/>
      </c>
      <c r="M48" s="23" t="str">
        <f>IF(C48="","",[1]!hks_fa_netprofitmargin(C48,F48))</f>
        <v/>
      </c>
      <c r="N48" s="23" t="str">
        <f>IF(C48="","",[1]!hks_fa_roe(C48,F48))</f>
        <v/>
      </c>
      <c r="O48" s="23" t="str">
        <f>IF(C48="","",[1]!hks_fa_roe_deducted(C48,F48))</f>
        <v/>
      </c>
      <c r="P48" s="23" t="str">
        <f>IF(C48="","",[1]!hks_fa_roa2(C48,F48))</f>
        <v/>
      </c>
      <c r="Q48" s="23" t="str">
        <f>IF(C48="","",[1]!hks_fa_roic(C48,F48))</f>
        <v/>
      </c>
      <c r="R48" s="23" t="str">
        <f>IF(C48="","",[1]!hks_fa_dupont_nptosales(C48,F48))</f>
        <v/>
      </c>
      <c r="S48" s="23" t="str">
        <f>IF(C48="","",[1]!hks_fa_dupont_ebittosales(C48,F48))</f>
        <v/>
      </c>
      <c r="T48" s="25" t="str">
        <f>IF(C48="","",[1]!hks_fa_ebitdatosales(C48,F48))</f>
        <v/>
      </c>
      <c r="U48" s="47" t="str">
        <f>IF(C48="","",[1]!hks_fa_optoebt(C48,F48))</f>
        <v/>
      </c>
      <c r="V48" s="25" t="str">
        <f>IF(C48="","",[1]!hks_fa_ocftosales(C48,F48))</f>
        <v/>
      </c>
      <c r="W48" s="27" t="str">
        <f>IF(C48="","",[1]!hks_fa_debttoassets(C48,F48))</f>
        <v/>
      </c>
      <c r="X48" s="23" t="str">
        <f>IF(C48="","",[1]!s_fa_debttoeqy(C48,F48))</f>
        <v/>
      </c>
      <c r="Y48" s="23" t="str">
        <f>IF(C48="","",[1]!hks_fa_catoassets(C48,F48))</f>
        <v/>
      </c>
      <c r="Z48" s="23" t="str">
        <f>IF(C48="","",[1]!hks_fa_ncatoassets(C48,F48))</f>
        <v/>
      </c>
      <c r="AA48" s="23" t="str">
        <f>IF(C48="","",[1]!hks_fa_currentdebttodebt(C48,F48))</f>
        <v/>
      </c>
      <c r="AB48" s="25" t="str">
        <f>IF(C48="","",[1]!hks_fa_longdebtodebt(C48,F48))</f>
        <v/>
      </c>
      <c r="AC48" s="25" t="str">
        <f>IF(C48="","",[1]!hks_fa_current(C48,F48))</f>
        <v/>
      </c>
      <c r="AD48" s="25" t="str">
        <f>IF(C48="","",[1]!hks_fa_quick(C48,F48))</f>
        <v/>
      </c>
      <c r="AE48" s="25" t="str">
        <f>IF(C48="","",[1]!hks_fa_ebittointerest(C48,F48))</f>
        <v/>
      </c>
      <c r="AF48" s="25" t="str">
        <f>IF(C48="","",[1]!hks_fa_netdebtratio(C48,F48))</f>
        <v/>
      </c>
      <c r="AG48" s="27" t="str">
        <f>IF(C48="","",[1]!hks_fa_arturn(C48,F48))</f>
        <v/>
      </c>
      <c r="AH48" s="23" t="str">
        <f>IF(C48="","",[1]!hks_fa_apturn(C48,F48))</f>
        <v/>
      </c>
      <c r="AI48" s="23" t="str">
        <f>IF(C48="","",[1]!hks_fa_invturn(C48,F48))</f>
        <v/>
      </c>
      <c r="AJ48" s="23" t="str">
        <f>IF(C48="","",[1]!hks_fa_caturn(C48,F48))</f>
        <v/>
      </c>
      <c r="AK48" s="23" t="str">
        <f>IF(C48="","",[1]!hks_fa_faturn(C48,F48))</f>
        <v/>
      </c>
      <c r="AL48" s="25" t="str">
        <f>IF(C48="","",[1]!hks_fa_assetsturn(C48,F48))</f>
        <v/>
      </c>
      <c r="AM48" s="23" t="str">
        <f>IF(C48="","",[1]!hks_fa_yoy_tr(C48,F48))</f>
        <v/>
      </c>
      <c r="AN48" s="23" t="str">
        <f>IF(C48="","",[1]!hks_fa_yoy_or(C48,F48))</f>
        <v/>
      </c>
      <c r="AO48" s="23" t="str">
        <f>IF(C48="","",[1]!hks_fa_yoyop2(C48,F48))</f>
        <v/>
      </c>
      <c r="AP48" s="23" t="str">
        <f>IF(C48="","",[1]!hks_fa_yoyebt(C48,F48))</f>
        <v/>
      </c>
      <c r="AQ48" s="23" t="str">
        <f>IF(C48="","",[1]!hks_fa_yoynetprofit(C48,F48))</f>
        <v/>
      </c>
      <c r="AR48" s="23" t="str">
        <f>IF(C48="","",[1]!hks_fa_dupont_np(C48,F48))</f>
        <v/>
      </c>
      <c r="AS48" s="23" t="str">
        <f>IF(C48="","",[1]!hks_fa_dupont_taxburden(C48,F48))</f>
        <v/>
      </c>
      <c r="AT48" s="23" t="str">
        <f>IF(C48="","",[1]!s_fa_dupont_nptosales(C48,F48))</f>
        <v/>
      </c>
      <c r="AU48" s="23" t="str">
        <f>IF(C48="","",[1]!s_fa_dupont_roe(C48,F48))</f>
        <v/>
      </c>
      <c r="AV48" s="23" t="str">
        <f>IF(C48="","",[1]!hks_fa_dupont_intburden(C48,F48))</f>
        <v/>
      </c>
      <c r="AW48" s="23" t="str">
        <f>IF(C48="","",[1]!hks_fa_dupont_assetstoequity(C48,F48))</f>
        <v/>
      </c>
      <c r="AX48" s="23" t="str">
        <f>IF(C48="","",[1]!s_fa_dupont_ebittosales(C48,F48))</f>
        <v/>
      </c>
      <c r="AY48" s="23" t="str">
        <f>IF(C48="","",[1]!hks_fa_assetsturn(C48,F48))</f>
        <v/>
      </c>
      <c r="AZ48" s="23" t="str">
        <f>IF(C48="","",[1]!hks_fa_grossmargin2(C48,F48,"",100000000))</f>
        <v/>
      </c>
      <c r="BA48" s="23" t="str">
        <f>IF(C48="","",[1]!hks_fa_ebit3(C48,F48,1,"",100000000))</f>
        <v/>
      </c>
      <c r="BB48" s="23" t="str">
        <f>IF(C48="","",[1]!hks_fa_ebitda(C48,F48,1,"",100000000))</f>
        <v/>
      </c>
      <c r="BC48" s="23" t="str">
        <f>IF(C48="","",[1]!hks_fa_ebit(C48,F48,1,"",100000000))</f>
        <v/>
      </c>
      <c r="BD48" s="23" t="str">
        <f>IF(C48="","",[1]!hks_fa_ebitda(C48,F48,1,"",100000000))</f>
        <v/>
      </c>
      <c r="BE48" s="23" t="str">
        <f>IF(C48="","",[1]!hks_fa_nogaapprofit(C48,F48,1,"",100000000))</f>
        <v/>
      </c>
      <c r="BF48" s="23" t="str">
        <f>IF(C48="","",[1]!hks_fa_deductedprofit(C48,F48,1,"",100000000))</f>
        <v/>
      </c>
      <c r="BG48" s="23" t="str">
        <f>IF(C48="","",[1]!hks_fa_retainedearnings2(C48,F48,"",100000000))</f>
        <v/>
      </c>
      <c r="BH48" s="23" t="str">
        <f>IF(C48="","",[1]!hks_fa_workingcapital2(C48,F48,"",100000000))</f>
        <v/>
      </c>
      <c r="BI48" s="23" t="str">
        <f>IF(C48="","",[1]!hks_fa_networkingcapital2(C48,F48,"",100000000))</f>
        <v/>
      </c>
      <c r="BJ48" s="23" t="str">
        <f>IF(C48="","",[1]!hks_fa_investcapital2(C48,F48,"",100000000))</f>
        <v/>
      </c>
      <c r="BK48" s="23" t="str">
        <f>IF(C48="","",[1]!hks_fa_tangibleasset2(C48,F48,"",100000000))</f>
        <v/>
      </c>
      <c r="BL48" s="23" t="str">
        <f>IF(C48="","",[1]!hks_fa_netdebt2(C48,F48,"",100000000))</f>
        <v/>
      </c>
      <c r="BM48" s="23" t="str">
        <f>IF(C48="","",[1]!hks_fa_interestdebt2(C48,F48,"",100000000))</f>
        <v/>
      </c>
      <c r="BN48" s="23" t="str">
        <f>IF(C48="","",[1]!hks_fa_exinterestdebt_current(C48,F48,"",100000000))</f>
        <v/>
      </c>
      <c r="BO48" s="23" t="str">
        <f>IF(C48="","",[1]!hks_fa_exinterestdebt_noncurrent2(C48,F48,"",100000000))</f>
        <v/>
      </c>
      <c r="BP48" s="23" t="str">
        <f>IF(C48="","",[1]!hks_fa_fcfe2(C48,F48,"",100000000))</f>
        <v/>
      </c>
      <c r="BQ48" s="23" t="str">
        <f>IF(C48="","",[1]!hks_fa_fcff2(C48,F48,"",100000000))</f>
        <v/>
      </c>
      <c r="BR48" s="35"/>
    </row>
    <row r="49" spans="1:70" s="36" customFormat="1" ht="16.5" x14ac:dyDescent="0.2">
      <c r="A49" s="2"/>
      <c r="B49" s="6"/>
      <c r="C49" s="28" t="str">
        <f>IF(表1[[#This Row],[列1]]="","",表1[[#This Row],[列1]])</f>
        <v/>
      </c>
      <c r="D49" s="19" t="str">
        <f>IF(C49="","",[1]!hks_info_name(C49))</f>
        <v/>
      </c>
      <c r="E49" s="19" t="str">
        <f ca="1">IF(C49="","",[1]!lastradeday_s(C49,TODAY()))</f>
        <v/>
      </c>
      <c r="F49" s="49" t="str">
        <f>IF(C49="","",IF(OR([1]!s_stm_rpt_e(C49,基本资料!$I$8,0)="#N/A",[1]!s_stm_rpt_e(C49,基本资料!$I$8,0)="",[1]!s_stm_rpt_e(C49,基本资料!$I$8,0)=0),[1]!s_stm_rpt_e(C49,基本资料!$I$9,0),[1]!s_stm_rpt_e(C49,基本资料!$I$8,0)))</f>
        <v/>
      </c>
      <c r="G49" s="49" t="str">
        <f>IF(C49="","",[1]!hks_info_cur2(C49,F49))</f>
        <v/>
      </c>
      <c r="H49" s="27" t="str">
        <f>IF(C49="","",[1]!hks_fa_eps_basic(C49,F49,""))</f>
        <v/>
      </c>
      <c r="I49" s="23" t="str">
        <f>IF(C49="","",[1]!hks_fa_eps_adjust2(C49,F49,""))</f>
        <v/>
      </c>
      <c r="J49" s="23" t="str">
        <f>IF(C49="","",[1]!hks_fa_bps(C49,F49,""))</f>
        <v/>
      </c>
      <c r="K49" s="25" t="str">
        <f>IF(C49="","",[1]!hks_fa_ocfps(C49,F49,""))</f>
        <v/>
      </c>
      <c r="L49" s="27" t="str">
        <f>IF(C49="","",[1]!hks_fa_grossprofitmargin(C49,F49))</f>
        <v/>
      </c>
      <c r="M49" s="23" t="str">
        <f>IF(C49="","",[1]!hks_fa_netprofitmargin(C49,F49))</f>
        <v/>
      </c>
      <c r="N49" s="23" t="str">
        <f>IF(C49="","",[1]!hks_fa_roe(C49,F49))</f>
        <v/>
      </c>
      <c r="O49" s="23" t="str">
        <f>IF(C49="","",[1]!hks_fa_roe_deducted(C49,F49))</f>
        <v/>
      </c>
      <c r="P49" s="23" t="str">
        <f>IF(C49="","",[1]!hks_fa_roa2(C49,F49))</f>
        <v/>
      </c>
      <c r="Q49" s="23" t="str">
        <f>IF(C49="","",[1]!hks_fa_roic(C49,F49))</f>
        <v/>
      </c>
      <c r="R49" s="23" t="str">
        <f>IF(C49="","",[1]!hks_fa_dupont_nptosales(C49,F49))</f>
        <v/>
      </c>
      <c r="S49" s="23" t="str">
        <f>IF(C49="","",[1]!hks_fa_dupont_ebittosales(C49,F49))</f>
        <v/>
      </c>
      <c r="T49" s="25" t="str">
        <f>IF(C49="","",[1]!hks_fa_ebitdatosales(C49,F49))</f>
        <v/>
      </c>
      <c r="U49" s="47" t="str">
        <f>IF(C49="","",[1]!hks_fa_optoebt(C49,F49))</f>
        <v/>
      </c>
      <c r="V49" s="25" t="str">
        <f>IF(C49="","",[1]!hks_fa_ocftosales(C49,F49))</f>
        <v/>
      </c>
      <c r="W49" s="27" t="str">
        <f>IF(C49="","",[1]!hks_fa_debttoassets(C49,F49))</f>
        <v/>
      </c>
      <c r="X49" s="23" t="str">
        <f>IF(C49="","",[1]!s_fa_debttoeqy(C49,F49))</f>
        <v/>
      </c>
      <c r="Y49" s="23" t="str">
        <f>IF(C49="","",[1]!hks_fa_catoassets(C49,F49))</f>
        <v/>
      </c>
      <c r="Z49" s="23" t="str">
        <f>IF(C49="","",[1]!hks_fa_ncatoassets(C49,F49))</f>
        <v/>
      </c>
      <c r="AA49" s="23" t="str">
        <f>IF(C49="","",[1]!hks_fa_currentdebttodebt(C49,F49))</f>
        <v/>
      </c>
      <c r="AB49" s="25" t="str">
        <f>IF(C49="","",[1]!hks_fa_longdebtodebt(C49,F49))</f>
        <v/>
      </c>
      <c r="AC49" s="25" t="str">
        <f>IF(C49="","",[1]!hks_fa_current(C49,F49))</f>
        <v/>
      </c>
      <c r="AD49" s="25" t="str">
        <f>IF(C49="","",[1]!hks_fa_quick(C49,F49))</f>
        <v/>
      </c>
      <c r="AE49" s="25" t="str">
        <f>IF(C49="","",[1]!hks_fa_ebittointerest(C49,F49))</f>
        <v/>
      </c>
      <c r="AF49" s="25" t="str">
        <f>IF(C49="","",[1]!hks_fa_netdebtratio(C49,F49))</f>
        <v/>
      </c>
      <c r="AG49" s="27" t="str">
        <f>IF(C49="","",[1]!hks_fa_arturn(C49,F49))</f>
        <v/>
      </c>
      <c r="AH49" s="23" t="str">
        <f>IF(C49="","",[1]!hks_fa_apturn(C49,F49))</f>
        <v/>
      </c>
      <c r="AI49" s="23" t="str">
        <f>IF(C49="","",[1]!hks_fa_invturn(C49,F49))</f>
        <v/>
      </c>
      <c r="AJ49" s="23" t="str">
        <f>IF(C49="","",[1]!hks_fa_caturn(C49,F49))</f>
        <v/>
      </c>
      <c r="AK49" s="23" t="str">
        <f>IF(C49="","",[1]!hks_fa_faturn(C49,F49))</f>
        <v/>
      </c>
      <c r="AL49" s="25" t="str">
        <f>IF(C49="","",[1]!hks_fa_assetsturn(C49,F49))</f>
        <v/>
      </c>
      <c r="AM49" s="23" t="str">
        <f>IF(C49="","",[1]!hks_fa_yoy_tr(C49,F49))</f>
        <v/>
      </c>
      <c r="AN49" s="23" t="str">
        <f>IF(C49="","",[1]!hks_fa_yoy_or(C49,F49))</f>
        <v/>
      </c>
      <c r="AO49" s="23" t="str">
        <f>IF(C49="","",[1]!hks_fa_yoyop2(C49,F49))</f>
        <v/>
      </c>
      <c r="AP49" s="23" t="str">
        <f>IF(C49="","",[1]!hks_fa_yoyebt(C49,F49))</f>
        <v/>
      </c>
      <c r="AQ49" s="23" t="str">
        <f>IF(C49="","",[1]!hks_fa_yoynetprofit(C49,F49))</f>
        <v/>
      </c>
      <c r="AR49" s="23" t="str">
        <f>IF(C49="","",[1]!hks_fa_dupont_np(C49,F49))</f>
        <v/>
      </c>
      <c r="AS49" s="23" t="str">
        <f>IF(C49="","",[1]!hks_fa_dupont_taxburden(C49,F49))</f>
        <v/>
      </c>
      <c r="AT49" s="23" t="str">
        <f>IF(C49="","",[1]!s_fa_dupont_nptosales(C49,F49))</f>
        <v/>
      </c>
      <c r="AU49" s="23" t="str">
        <f>IF(C49="","",[1]!s_fa_dupont_roe(C49,F49))</f>
        <v/>
      </c>
      <c r="AV49" s="23" t="str">
        <f>IF(C49="","",[1]!hks_fa_dupont_intburden(C49,F49))</f>
        <v/>
      </c>
      <c r="AW49" s="23" t="str">
        <f>IF(C49="","",[1]!hks_fa_dupont_assetstoequity(C49,F49))</f>
        <v/>
      </c>
      <c r="AX49" s="23" t="str">
        <f>IF(C49="","",[1]!s_fa_dupont_ebittosales(C49,F49))</f>
        <v/>
      </c>
      <c r="AY49" s="23" t="str">
        <f>IF(C49="","",[1]!hks_fa_assetsturn(C49,F49))</f>
        <v/>
      </c>
      <c r="AZ49" s="23" t="str">
        <f>IF(C49="","",[1]!hks_fa_grossmargin2(C49,F49,"",100000000))</f>
        <v/>
      </c>
      <c r="BA49" s="23" t="str">
        <f>IF(C49="","",[1]!hks_fa_ebit3(C49,F49,1,"",100000000))</f>
        <v/>
      </c>
      <c r="BB49" s="23" t="str">
        <f>IF(C49="","",[1]!hks_fa_ebitda(C49,F49,1,"",100000000))</f>
        <v/>
      </c>
      <c r="BC49" s="23" t="str">
        <f>IF(C49="","",[1]!hks_fa_ebit(C49,F49,1,"",100000000))</f>
        <v/>
      </c>
      <c r="BD49" s="23" t="str">
        <f>IF(C49="","",[1]!hks_fa_ebitda(C49,F49,1,"",100000000))</f>
        <v/>
      </c>
      <c r="BE49" s="23" t="str">
        <f>IF(C49="","",[1]!hks_fa_nogaapprofit(C49,F49,1,"",100000000))</f>
        <v/>
      </c>
      <c r="BF49" s="23" t="str">
        <f>IF(C49="","",[1]!hks_fa_deductedprofit(C49,F49,1,"",100000000))</f>
        <v/>
      </c>
      <c r="BG49" s="23" t="str">
        <f>IF(C49="","",[1]!hks_fa_retainedearnings2(C49,F49,"",100000000))</f>
        <v/>
      </c>
      <c r="BH49" s="23" t="str">
        <f>IF(C49="","",[1]!hks_fa_workingcapital2(C49,F49,"",100000000))</f>
        <v/>
      </c>
      <c r="BI49" s="23" t="str">
        <f>IF(C49="","",[1]!hks_fa_networkingcapital2(C49,F49,"",100000000))</f>
        <v/>
      </c>
      <c r="BJ49" s="23" t="str">
        <f>IF(C49="","",[1]!hks_fa_investcapital2(C49,F49,"",100000000))</f>
        <v/>
      </c>
      <c r="BK49" s="23" t="str">
        <f>IF(C49="","",[1]!hks_fa_tangibleasset2(C49,F49,"",100000000))</f>
        <v/>
      </c>
      <c r="BL49" s="23" t="str">
        <f>IF(C49="","",[1]!hks_fa_netdebt2(C49,F49,"",100000000))</f>
        <v/>
      </c>
      <c r="BM49" s="23" t="str">
        <f>IF(C49="","",[1]!hks_fa_interestdebt2(C49,F49,"",100000000))</f>
        <v/>
      </c>
      <c r="BN49" s="23" t="str">
        <f>IF(C49="","",[1]!hks_fa_exinterestdebt_current(C49,F49,"",100000000))</f>
        <v/>
      </c>
      <c r="BO49" s="23" t="str">
        <f>IF(C49="","",[1]!hks_fa_exinterestdebt_noncurrent2(C49,F49,"",100000000))</f>
        <v/>
      </c>
      <c r="BP49" s="23" t="str">
        <f>IF(C49="","",[1]!hks_fa_fcfe2(C49,F49,"",100000000))</f>
        <v/>
      </c>
      <c r="BQ49" s="23" t="str">
        <f>IF(C49="","",[1]!hks_fa_fcff2(C49,F49,"",100000000))</f>
        <v/>
      </c>
      <c r="BR49" s="35"/>
    </row>
    <row r="50" spans="1:70" s="36" customFormat="1" ht="16.5" x14ac:dyDescent="0.2">
      <c r="A50" s="2"/>
      <c r="B50" s="6"/>
      <c r="C50" s="28" t="str">
        <f>IF(表1[[#This Row],[列1]]="","",表1[[#This Row],[列1]])</f>
        <v/>
      </c>
      <c r="D50" s="19" t="str">
        <f>IF(C50="","",[1]!hks_info_name(C50))</f>
        <v/>
      </c>
      <c r="E50" s="19" t="str">
        <f ca="1">IF(C50="","",[1]!lastradeday_s(C50,TODAY()))</f>
        <v/>
      </c>
      <c r="F50" s="49" t="str">
        <f>IF(C50="","",IF(OR([1]!s_stm_rpt_e(C50,基本资料!$I$8,0)="#N/A",[1]!s_stm_rpt_e(C50,基本资料!$I$8,0)="",[1]!s_stm_rpt_e(C50,基本资料!$I$8,0)=0),[1]!s_stm_rpt_e(C50,基本资料!$I$9,0),[1]!s_stm_rpt_e(C50,基本资料!$I$8,0)))</f>
        <v/>
      </c>
      <c r="G50" s="49" t="str">
        <f>IF(C50="","",[1]!hks_info_cur2(C50,F50))</f>
        <v/>
      </c>
      <c r="H50" s="27" t="str">
        <f>IF(C50="","",[1]!hks_fa_eps_basic(C50,F50,""))</f>
        <v/>
      </c>
      <c r="I50" s="23" t="str">
        <f>IF(C50="","",[1]!hks_fa_eps_adjust2(C50,F50,""))</f>
        <v/>
      </c>
      <c r="J50" s="23" t="str">
        <f>IF(C50="","",[1]!hks_fa_bps(C50,F50,""))</f>
        <v/>
      </c>
      <c r="K50" s="25" t="str">
        <f>IF(C50="","",[1]!hks_fa_ocfps(C50,F50,""))</f>
        <v/>
      </c>
      <c r="L50" s="27" t="str">
        <f>IF(C50="","",[1]!hks_fa_grossprofitmargin(C50,F50))</f>
        <v/>
      </c>
      <c r="M50" s="23" t="str">
        <f>IF(C50="","",[1]!hks_fa_netprofitmargin(C50,F50))</f>
        <v/>
      </c>
      <c r="N50" s="23" t="str">
        <f>IF(C50="","",[1]!hks_fa_roe(C50,F50))</f>
        <v/>
      </c>
      <c r="O50" s="23" t="str">
        <f>IF(C50="","",[1]!hks_fa_roe_deducted(C50,F50))</f>
        <v/>
      </c>
      <c r="P50" s="23" t="str">
        <f>IF(C50="","",[1]!hks_fa_roa2(C50,F50))</f>
        <v/>
      </c>
      <c r="Q50" s="23" t="str">
        <f>IF(C50="","",[1]!hks_fa_roic(C50,F50))</f>
        <v/>
      </c>
      <c r="R50" s="23" t="str">
        <f>IF(C50="","",[1]!hks_fa_dupont_nptosales(C50,F50))</f>
        <v/>
      </c>
      <c r="S50" s="23" t="str">
        <f>IF(C50="","",[1]!hks_fa_dupont_ebittosales(C50,F50))</f>
        <v/>
      </c>
      <c r="T50" s="25" t="str">
        <f>IF(C50="","",[1]!hks_fa_ebitdatosales(C50,F50))</f>
        <v/>
      </c>
      <c r="U50" s="47" t="str">
        <f>IF(C50="","",[1]!hks_fa_optoebt(C50,F50))</f>
        <v/>
      </c>
      <c r="V50" s="25" t="str">
        <f>IF(C50="","",[1]!hks_fa_ocftosales(C50,F50))</f>
        <v/>
      </c>
      <c r="W50" s="27" t="str">
        <f>IF(C50="","",[1]!hks_fa_debttoassets(C50,F50))</f>
        <v/>
      </c>
      <c r="X50" s="23" t="str">
        <f>IF(C50="","",[1]!s_fa_debttoeqy(C50,F50))</f>
        <v/>
      </c>
      <c r="Y50" s="23" t="str">
        <f>IF(C50="","",[1]!hks_fa_catoassets(C50,F50))</f>
        <v/>
      </c>
      <c r="Z50" s="23" t="str">
        <f>IF(C50="","",[1]!hks_fa_ncatoassets(C50,F50))</f>
        <v/>
      </c>
      <c r="AA50" s="23" t="str">
        <f>IF(C50="","",[1]!hks_fa_currentdebttodebt(C50,F50))</f>
        <v/>
      </c>
      <c r="AB50" s="25" t="str">
        <f>IF(C50="","",[1]!hks_fa_longdebtodebt(C50,F50))</f>
        <v/>
      </c>
      <c r="AC50" s="25" t="str">
        <f>IF(C50="","",[1]!hks_fa_current(C50,F50))</f>
        <v/>
      </c>
      <c r="AD50" s="25" t="str">
        <f>IF(C50="","",[1]!hks_fa_quick(C50,F50))</f>
        <v/>
      </c>
      <c r="AE50" s="25" t="str">
        <f>IF(C50="","",[1]!hks_fa_ebittointerest(C50,F50))</f>
        <v/>
      </c>
      <c r="AF50" s="25" t="str">
        <f>IF(C50="","",[1]!hks_fa_netdebtratio(C50,F50))</f>
        <v/>
      </c>
      <c r="AG50" s="27" t="str">
        <f>IF(C50="","",[1]!hks_fa_arturn(C50,F50))</f>
        <v/>
      </c>
      <c r="AH50" s="23" t="str">
        <f>IF(C50="","",[1]!hks_fa_apturn(C50,F50))</f>
        <v/>
      </c>
      <c r="AI50" s="23" t="str">
        <f>IF(C50="","",[1]!hks_fa_invturn(C50,F50))</f>
        <v/>
      </c>
      <c r="AJ50" s="23" t="str">
        <f>IF(C50="","",[1]!hks_fa_caturn(C50,F50))</f>
        <v/>
      </c>
      <c r="AK50" s="23" t="str">
        <f>IF(C50="","",[1]!hks_fa_faturn(C50,F50))</f>
        <v/>
      </c>
      <c r="AL50" s="25" t="str">
        <f>IF(C50="","",[1]!hks_fa_assetsturn(C50,F50))</f>
        <v/>
      </c>
      <c r="AM50" s="23" t="str">
        <f>IF(C50="","",[1]!hks_fa_yoy_tr(C50,F50))</f>
        <v/>
      </c>
      <c r="AN50" s="23" t="str">
        <f>IF(C50="","",[1]!hks_fa_yoy_or(C50,F50))</f>
        <v/>
      </c>
      <c r="AO50" s="23" t="str">
        <f>IF(C50="","",[1]!hks_fa_yoyop2(C50,F50))</f>
        <v/>
      </c>
      <c r="AP50" s="23" t="str">
        <f>IF(C50="","",[1]!hks_fa_yoyebt(C50,F50))</f>
        <v/>
      </c>
      <c r="AQ50" s="23" t="str">
        <f>IF(C50="","",[1]!hks_fa_yoynetprofit(C50,F50))</f>
        <v/>
      </c>
      <c r="AR50" s="23" t="str">
        <f>IF(C50="","",[1]!hks_fa_dupont_np(C50,F50))</f>
        <v/>
      </c>
      <c r="AS50" s="23" t="str">
        <f>IF(C50="","",[1]!hks_fa_dupont_taxburden(C50,F50))</f>
        <v/>
      </c>
      <c r="AT50" s="23" t="str">
        <f>IF(C50="","",[1]!s_fa_dupont_nptosales(C50,F50))</f>
        <v/>
      </c>
      <c r="AU50" s="23" t="str">
        <f>IF(C50="","",[1]!s_fa_dupont_roe(C50,F50))</f>
        <v/>
      </c>
      <c r="AV50" s="23" t="str">
        <f>IF(C50="","",[1]!hks_fa_dupont_intburden(C50,F50))</f>
        <v/>
      </c>
      <c r="AW50" s="23" t="str">
        <f>IF(C50="","",[1]!hks_fa_dupont_assetstoequity(C50,F50))</f>
        <v/>
      </c>
      <c r="AX50" s="23" t="str">
        <f>IF(C50="","",[1]!s_fa_dupont_ebittosales(C50,F50))</f>
        <v/>
      </c>
      <c r="AY50" s="23" t="str">
        <f>IF(C50="","",[1]!hks_fa_assetsturn(C50,F50))</f>
        <v/>
      </c>
      <c r="AZ50" s="23" t="str">
        <f>IF(C50="","",[1]!hks_fa_grossmargin2(C50,F50,"",100000000))</f>
        <v/>
      </c>
      <c r="BA50" s="23" t="str">
        <f>IF(C50="","",[1]!hks_fa_ebit3(C50,F50,1,"",100000000))</f>
        <v/>
      </c>
      <c r="BB50" s="23" t="str">
        <f>IF(C50="","",[1]!hks_fa_ebitda(C50,F50,1,"",100000000))</f>
        <v/>
      </c>
      <c r="BC50" s="23" t="str">
        <f>IF(C50="","",[1]!hks_fa_ebit(C50,F50,1,"",100000000))</f>
        <v/>
      </c>
      <c r="BD50" s="23" t="str">
        <f>IF(C50="","",[1]!hks_fa_ebitda(C50,F50,1,"",100000000))</f>
        <v/>
      </c>
      <c r="BE50" s="23" t="str">
        <f>IF(C50="","",[1]!hks_fa_nogaapprofit(C50,F50,1,"",100000000))</f>
        <v/>
      </c>
      <c r="BF50" s="23" t="str">
        <f>IF(C50="","",[1]!hks_fa_deductedprofit(C50,F50,1,"",100000000))</f>
        <v/>
      </c>
      <c r="BG50" s="23" t="str">
        <f>IF(C50="","",[1]!hks_fa_retainedearnings2(C50,F50,"",100000000))</f>
        <v/>
      </c>
      <c r="BH50" s="23" t="str">
        <f>IF(C50="","",[1]!hks_fa_workingcapital2(C50,F50,"",100000000))</f>
        <v/>
      </c>
      <c r="BI50" s="23" t="str">
        <f>IF(C50="","",[1]!hks_fa_networkingcapital2(C50,F50,"",100000000))</f>
        <v/>
      </c>
      <c r="BJ50" s="23" t="str">
        <f>IF(C50="","",[1]!hks_fa_investcapital2(C50,F50,"",100000000))</f>
        <v/>
      </c>
      <c r="BK50" s="23" t="str">
        <f>IF(C50="","",[1]!hks_fa_tangibleasset2(C50,F50,"",100000000))</f>
        <v/>
      </c>
      <c r="BL50" s="23" t="str">
        <f>IF(C50="","",[1]!hks_fa_netdebt2(C50,F50,"",100000000))</f>
        <v/>
      </c>
      <c r="BM50" s="23" t="str">
        <f>IF(C50="","",[1]!hks_fa_interestdebt2(C50,F50,"",100000000))</f>
        <v/>
      </c>
      <c r="BN50" s="23" t="str">
        <f>IF(C50="","",[1]!hks_fa_exinterestdebt_current(C50,F50,"",100000000))</f>
        <v/>
      </c>
      <c r="BO50" s="23" t="str">
        <f>IF(C50="","",[1]!hks_fa_exinterestdebt_noncurrent2(C50,F50,"",100000000))</f>
        <v/>
      </c>
      <c r="BP50" s="23" t="str">
        <f>IF(C50="","",[1]!hks_fa_fcfe2(C50,F50,"",100000000))</f>
        <v/>
      </c>
      <c r="BQ50" s="23" t="str">
        <f>IF(C50="","",[1]!hks_fa_fcff2(C50,F50,"",100000000))</f>
        <v/>
      </c>
      <c r="BR50" s="35"/>
    </row>
    <row r="51" spans="1:70" s="36" customFormat="1" ht="16.5" x14ac:dyDescent="0.2">
      <c r="A51" s="2"/>
      <c r="B51" s="6"/>
      <c r="C51" s="28" t="str">
        <f>IF(表1[[#This Row],[列1]]="","",表1[[#This Row],[列1]])</f>
        <v/>
      </c>
      <c r="D51" s="19" t="str">
        <f>IF(C51="","",[1]!hks_info_name(C51))</f>
        <v/>
      </c>
      <c r="E51" s="19" t="str">
        <f ca="1">IF(C51="","",[1]!lastradeday_s(C51,TODAY()))</f>
        <v/>
      </c>
      <c r="F51" s="49" t="str">
        <f>IF(C51="","",IF(OR([1]!s_stm_rpt_e(C51,基本资料!$I$8,0)="#N/A",[1]!s_stm_rpt_e(C51,基本资料!$I$8,0)="",[1]!s_stm_rpt_e(C51,基本资料!$I$8,0)=0),[1]!s_stm_rpt_e(C51,基本资料!$I$9,0),[1]!s_stm_rpt_e(C51,基本资料!$I$8,0)))</f>
        <v/>
      </c>
      <c r="G51" s="49" t="str">
        <f>IF(C51="","",[1]!hks_info_cur2(C51,F51))</f>
        <v/>
      </c>
      <c r="H51" s="27" t="str">
        <f>IF(C51="","",[1]!hks_fa_eps_basic(C51,F51,""))</f>
        <v/>
      </c>
      <c r="I51" s="23" t="str">
        <f>IF(C51="","",[1]!hks_fa_eps_adjust2(C51,F51,""))</f>
        <v/>
      </c>
      <c r="J51" s="23" t="str">
        <f>IF(C51="","",[1]!hks_fa_bps(C51,F51,""))</f>
        <v/>
      </c>
      <c r="K51" s="25" t="str">
        <f>IF(C51="","",[1]!hks_fa_ocfps(C51,F51,""))</f>
        <v/>
      </c>
      <c r="L51" s="27" t="str">
        <f>IF(C51="","",[1]!hks_fa_grossprofitmargin(C51,F51))</f>
        <v/>
      </c>
      <c r="M51" s="23" t="str">
        <f>IF(C51="","",[1]!hks_fa_netprofitmargin(C51,F51))</f>
        <v/>
      </c>
      <c r="N51" s="23" t="str">
        <f>IF(C51="","",[1]!hks_fa_roe(C51,F51))</f>
        <v/>
      </c>
      <c r="O51" s="23" t="str">
        <f>IF(C51="","",[1]!hks_fa_roe_deducted(C51,F51))</f>
        <v/>
      </c>
      <c r="P51" s="23" t="str">
        <f>IF(C51="","",[1]!hks_fa_roa2(C51,F51))</f>
        <v/>
      </c>
      <c r="Q51" s="23" t="str">
        <f>IF(C51="","",[1]!hks_fa_roic(C51,F51))</f>
        <v/>
      </c>
      <c r="R51" s="23" t="str">
        <f>IF(C51="","",[1]!hks_fa_dupont_nptosales(C51,F51))</f>
        <v/>
      </c>
      <c r="S51" s="23" t="str">
        <f>IF(C51="","",[1]!hks_fa_dupont_ebittosales(C51,F51))</f>
        <v/>
      </c>
      <c r="T51" s="25" t="str">
        <f>IF(C51="","",[1]!hks_fa_ebitdatosales(C51,F51))</f>
        <v/>
      </c>
      <c r="U51" s="47" t="str">
        <f>IF(C51="","",[1]!hks_fa_optoebt(C51,F51))</f>
        <v/>
      </c>
      <c r="V51" s="25" t="str">
        <f>IF(C51="","",[1]!hks_fa_ocftosales(C51,F51))</f>
        <v/>
      </c>
      <c r="W51" s="27" t="str">
        <f>IF(C51="","",[1]!hks_fa_debttoassets(C51,F51))</f>
        <v/>
      </c>
      <c r="X51" s="23" t="str">
        <f>IF(C51="","",[1]!s_fa_debttoeqy(C51,F51))</f>
        <v/>
      </c>
      <c r="Y51" s="23" t="str">
        <f>IF(C51="","",[1]!hks_fa_catoassets(C51,F51))</f>
        <v/>
      </c>
      <c r="Z51" s="23" t="str">
        <f>IF(C51="","",[1]!hks_fa_ncatoassets(C51,F51))</f>
        <v/>
      </c>
      <c r="AA51" s="23" t="str">
        <f>IF(C51="","",[1]!hks_fa_currentdebttodebt(C51,F51))</f>
        <v/>
      </c>
      <c r="AB51" s="25" t="str">
        <f>IF(C51="","",[1]!hks_fa_longdebtodebt(C51,F51))</f>
        <v/>
      </c>
      <c r="AC51" s="25" t="str">
        <f>IF(C51="","",[1]!hks_fa_current(C51,F51))</f>
        <v/>
      </c>
      <c r="AD51" s="25" t="str">
        <f>IF(C51="","",[1]!hks_fa_quick(C51,F51))</f>
        <v/>
      </c>
      <c r="AE51" s="25" t="str">
        <f>IF(C51="","",[1]!hks_fa_ebittointerest(C51,F51))</f>
        <v/>
      </c>
      <c r="AF51" s="25" t="str">
        <f>IF(C51="","",[1]!hks_fa_netdebtratio(C51,F51))</f>
        <v/>
      </c>
      <c r="AG51" s="27" t="str">
        <f>IF(C51="","",[1]!hks_fa_arturn(C51,F51))</f>
        <v/>
      </c>
      <c r="AH51" s="23" t="str">
        <f>IF(C51="","",[1]!hks_fa_apturn(C51,F51))</f>
        <v/>
      </c>
      <c r="AI51" s="23" t="str">
        <f>IF(C51="","",[1]!hks_fa_invturn(C51,F51))</f>
        <v/>
      </c>
      <c r="AJ51" s="23" t="str">
        <f>IF(C51="","",[1]!hks_fa_caturn(C51,F51))</f>
        <v/>
      </c>
      <c r="AK51" s="23" t="str">
        <f>IF(C51="","",[1]!hks_fa_faturn(C51,F51))</f>
        <v/>
      </c>
      <c r="AL51" s="25" t="str">
        <f>IF(C51="","",[1]!hks_fa_assetsturn(C51,F51))</f>
        <v/>
      </c>
      <c r="AM51" s="23" t="str">
        <f>IF(C51="","",[1]!hks_fa_yoy_tr(C51,F51))</f>
        <v/>
      </c>
      <c r="AN51" s="23" t="str">
        <f>IF(C51="","",[1]!hks_fa_yoy_or(C51,F51))</f>
        <v/>
      </c>
      <c r="AO51" s="23" t="str">
        <f>IF(C51="","",[1]!hks_fa_yoyop2(C51,F51))</f>
        <v/>
      </c>
      <c r="AP51" s="23" t="str">
        <f>IF(C51="","",[1]!hks_fa_yoyebt(C51,F51))</f>
        <v/>
      </c>
      <c r="AQ51" s="23" t="str">
        <f>IF(C51="","",[1]!hks_fa_yoynetprofit(C51,F51))</f>
        <v/>
      </c>
      <c r="AR51" s="23" t="str">
        <f>IF(C51="","",[1]!hks_fa_dupont_np(C51,F51))</f>
        <v/>
      </c>
      <c r="AS51" s="23" t="str">
        <f>IF(C51="","",[1]!hks_fa_dupont_taxburden(C51,F51))</f>
        <v/>
      </c>
      <c r="AT51" s="23" t="str">
        <f>IF(C51="","",[1]!s_fa_dupont_nptosales(C51,F51))</f>
        <v/>
      </c>
      <c r="AU51" s="23" t="str">
        <f>IF(C51="","",[1]!s_fa_dupont_roe(C51,F51))</f>
        <v/>
      </c>
      <c r="AV51" s="23" t="str">
        <f>IF(C51="","",[1]!hks_fa_dupont_intburden(C51,F51))</f>
        <v/>
      </c>
      <c r="AW51" s="23" t="str">
        <f>IF(C51="","",[1]!hks_fa_dupont_assetstoequity(C51,F51))</f>
        <v/>
      </c>
      <c r="AX51" s="23" t="str">
        <f>IF(C51="","",[1]!s_fa_dupont_ebittosales(C51,F51))</f>
        <v/>
      </c>
      <c r="AY51" s="23" t="str">
        <f>IF(C51="","",[1]!hks_fa_assetsturn(C51,F51))</f>
        <v/>
      </c>
      <c r="AZ51" s="23" t="str">
        <f>IF(C51="","",[1]!hks_fa_grossmargin2(C51,F51,"",100000000))</f>
        <v/>
      </c>
      <c r="BA51" s="23" t="str">
        <f>IF(C51="","",[1]!hks_fa_ebit3(C51,F51,1,"",100000000))</f>
        <v/>
      </c>
      <c r="BB51" s="23" t="str">
        <f>IF(C51="","",[1]!hks_fa_ebitda(C51,F51,1,"",100000000))</f>
        <v/>
      </c>
      <c r="BC51" s="23" t="str">
        <f>IF(C51="","",[1]!hks_fa_ebit(C51,F51,1,"",100000000))</f>
        <v/>
      </c>
      <c r="BD51" s="23" t="str">
        <f>IF(C51="","",[1]!hks_fa_ebitda(C51,F51,1,"",100000000))</f>
        <v/>
      </c>
      <c r="BE51" s="23" t="str">
        <f>IF(C51="","",[1]!hks_fa_nogaapprofit(C51,F51,1,"",100000000))</f>
        <v/>
      </c>
      <c r="BF51" s="23" t="str">
        <f>IF(C51="","",[1]!hks_fa_deductedprofit(C51,F51,1,"",100000000))</f>
        <v/>
      </c>
      <c r="BG51" s="23" t="str">
        <f>IF(C51="","",[1]!hks_fa_retainedearnings2(C51,F51,"",100000000))</f>
        <v/>
      </c>
      <c r="BH51" s="23" t="str">
        <f>IF(C51="","",[1]!hks_fa_workingcapital2(C51,F51,"",100000000))</f>
        <v/>
      </c>
      <c r="BI51" s="23" t="str">
        <f>IF(C51="","",[1]!hks_fa_networkingcapital2(C51,F51,"",100000000))</f>
        <v/>
      </c>
      <c r="BJ51" s="23" t="str">
        <f>IF(C51="","",[1]!hks_fa_investcapital2(C51,F51,"",100000000))</f>
        <v/>
      </c>
      <c r="BK51" s="23" t="str">
        <f>IF(C51="","",[1]!hks_fa_tangibleasset2(C51,F51,"",100000000))</f>
        <v/>
      </c>
      <c r="BL51" s="23" t="str">
        <f>IF(C51="","",[1]!hks_fa_netdebt2(C51,F51,"",100000000))</f>
        <v/>
      </c>
      <c r="BM51" s="23" t="str">
        <f>IF(C51="","",[1]!hks_fa_interestdebt2(C51,F51,"",100000000))</f>
        <v/>
      </c>
      <c r="BN51" s="23" t="str">
        <f>IF(C51="","",[1]!hks_fa_exinterestdebt_current(C51,F51,"",100000000))</f>
        <v/>
      </c>
      <c r="BO51" s="23" t="str">
        <f>IF(C51="","",[1]!hks_fa_exinterestdebt_noncurrent2(C51,F51,"",100000000))</f>
        <v/>
      </c>
      <c r="BP51" s="23" t="str">
        <f>IF(C51="","",[1]!hks_fa_fcfe2(C51,F51,"",100000000))</f>
        <v/>
      </c>
      <c r="BQ51" s="23" t="str">
        <f>IF(C51="","",[1]!hks_fa_fcff2(C51,F51,"",100000000))</f>
        <v/>
      </c>
      <c r="BR51" s="35"/>
    </row>
    <row r="52" spans="1:70" s="36" customFormat="1" ht="16.5" x14ac:dyDescent="0.2">
      <c r="A52" s="2"/>
      <c r="B52" s="6"/>
      <c r="C52" s="28" t="str">
        <f>IF(表1[[#This Row],[列1]]="","",表1[[#This Row],[列1]])</f>
        <v/>
      </c>
      <c r="D52" s="19" t="str">
        <f>IF(C52="","",[1]!hks_info_name(C52))</f>
        <v/>
      </c>
      <c r="E52" s="19" t="str">
        <f ca="1">IF(C52="","",[1]!lastradeday_s(C52,TODAY()))</f>
        <v/>
      </c>
      <c r="F52" s="49" t="str">
        <f>IF(C52="","",IF(OR([1]!s_stm_rpt_e(C52,基本资料!$I$8,0)="#N/A",[1]!s_stm_rpt_e(C52,基本资料!$I$8,0)="",[1]!s_stm_rpt_e(C52,基本资料!$I$8,0)=0),[1]!s_stm_rpt_e(C52,基本资料!$I$9,0),[1]!s_stm_rpt_e(C52,基本资料!$I$8,0)))</f>
        <v/>
      </c>
      <c r="G52" s="49" t="str">
        <f>IF(C52="","",[1]!hks_info_cur2(C52,F52))</f>
        <v/>
      </c>
      <c r="H52" s="27" t="str">
        <f>IF(C52="","",[1]!hks_fa_eps_basic(C52,F52,""))</f>
        <v/>
      </c>
      <c r="I52" s="23" t="str">
        <f>IF(C52="","",[1]!hks_fa_eps_adjust2(C52,F52,""))</f>
        <v/>
      </c>
      <c r="J52" s="23" t="str">
        <f>IF(C52="","",[1]!hks_fa_bps(C52,F52,""))</f>
        <v/>
      </c>
      <c r="K52" s="25" t="str">
        <f>IF(C52="","",[1]!hks_fa_ocfps(C52,F52,""))</f>
        <v/>
      </c>
      <c r="L52" s="27" t="str">
        <f>IF(C52="","",[1]!hks_fa_grossprofitmargin(C52,F52))</f>
        <v/>
      </c>
      <c r="M52" s="23" t="str">
        <f>IF(C52="","",[1]!hks_fa_netprofitmargin(C52,F52))</f>
        <v/>
      </c>
      <c r="N52" s="23" t="str">
        <f>IF(C52="","",[1]!hks_fa_roe(C52,F52))</f>
        <v/>
      </c>
      <c r="O52" s="23" t="str">
        <f>IF(C52="","",[1]!hks_fa_roe_deducted(C52,F52))</f>
        <v/>
      </c>
      <c r="P52" s="23" t="str">
        <f>IF(C52="","",[1]!hks_fa_roa2(C52,F52))</f>
        <v/>
      </c>
      <c r="Q52" s="23" t="str">
        <f>IF(C52="","",[1]!hks_fa_roic(C52,F52))</f>
        <v/>
      </c>
      <c r="R52" s="23" t="str">
        <f>IF(C52="","",[1]!hks_fa_dupont_nptosales(C52,F52))</f>
        <v/>
      </c>
      <c r="S52" s="23" t="str">
        <f>IF(C52="","",[1]!hks_fa_dupont_ebittosales(C52,F52))</f>
        <v/>
      </c>
      <c r="T52" s="25" t="str">
        <f>IF(C52="","",[1]!hks_fa_ebitdatosales(C52,F52))</f>
        <v/>
      </c>
      <c r="U52" s="47" t="str">
        <f>IF(C52="","",[1]!hks_fa_optoebt(C52,F52))</f>
        <v/>
      </c>
      <c r="V52" s="25" t="str">
        <f>IF(C52="","",[1]!hks_fa_ocftosales(C52,F52))</f>
        <v/>
      </c>
      <c r="W52" s="27" t="str">
        <f>IF(C52="","",[1]!hks_fa_debttoassets(C52,F52))</f>
        <v/>
      </c>
      <c r="X52" s="23" t="str">
        <f>IF(C52="","",[1]!s_fa_debttoeqy(C52,F52))</f>
        <v/>
      </c>
      <c r="Y52" s="23" t="str">
        <f>IF(C52="","",[1]!hks_fa_catoassets(C52,F52))</f>
        <v/>
      </c>
      <c r="Z52" s="23" t="str">
        <f>IF(C52="","",[1]!hks_fa_ncatoassets(C52,F52))</f>
        <v/>
      </c>
      <c r="AA52" s="23" t="str">
        <f>IF(C52="","",[1]!hks_fa_currentdebttodebt(C52,F52))</f>
        <v/>
      </c>
      <c r="AB52" s="25" t="str">
        <f>IF(C52="","",[1]!hks_fa_longdebtodebt(C52,F52))</f>
        <v/>
      </c>
      <c r="AC52" s="25" t="str">
        <f>IF(C52="","",[1]!hks_fa_current(C52,F52))</f>
        <v/>
      </c>
      <c r="AD52" s="25" t="str">
        <f>IF(C52="","",[1]!hks_fa_quick(C52,F52))</f>
        <v/>
      </c>
      <c r="AE52" s="25" t="str">
        <f>IF(C52="","",[1]!hks_fa_ebittointerest(C52,F52))</f>
        <v/>
      </c>
      <c r="AF52" s="25" t="str">
        <f>IF(C52="","",[1]!hks_fa_netdebtratio(C52,F52))</f>
        <v/>
      </c>
      <c r="AG52" s="27" t="str">
        <f>IF(C52="","",[1]!hks_fa_arturn(C52,F52))</f>
        <v/>
      </c>
      <c r="AH52" s="23" t="str">
        <f>IF(C52="","",[1]!hks_fa_apturn(C52,F52))</f>
        <v/>
      </c>
      <c r="AI52" s="23" t="str">
        <f>IF(C52="","",[1]!hks_fa_invturn(C52,F52))</f>
        <v/>
      </c>
      <c r="AJ52" s="23" t="str">
        <f>IF(C52="","",[1]!hks_fa_caturn(C52,F52))</f>
        <v/>
      </c>
      <c r="AK52" s="23" t="str">
        <f>IF(C52="","",[1]!hks_fa_faturn(C52,F52))</f>
        <v/>
      </c>
      <c r="AL52" s="25" t="str">
        <f>IF(C52="","",[1]!hks_fa_assetsturn(C52,F52))</f>
        <v/>
      </c>
      <c r="AM52" s="23" t="str">
        <f>IF(C52="","",[1]!hks_fa_yoy_tr(C52,F52))</f>
        <v/>
      </c>
      <c r="AN52" s="23" t="str">
        <f>IF(C52="","",[1]!hks_fa_yoy_or(C52,F52))</f>
        <v/>
      </c>
      <c r="AO52" s="23" t="str">
        <f>IF(C52="","",[1]!hks_fa_yoyop2(C52,F52))</f>
        <v/>
      </c>
      <c r="AP52" s="23" t="str">
        <f>IF(C52="","",[1]!hks_fa_yoyebt(C52,F52))</f>
        <v/>
      </c>
      <c r="AQ52" s="23" t="str">
        <f>IF(C52="","",[1]!hks_fa_yoynetprofit(C52,F52))</f>
        <v/>
      </c>
      <c r="AR52" s="23" t="str">
        <f>IF(C52="","",[1]!hks_fa_dupont_np(C52,F52))</f>
        <v/>
      </c>
      <c r="AS52" s="23" t="str">
        <f>IF(C52="","",[1]!hks_fa_dupont_taxburden(C52,F52))</f>
        <v/>
      </c>
      <c r="AT52" s="23" t="str">
        <f>IF(C52="","",[1]!s_fa_dupont_nptosales(C52,F52))</f>
        <v/>
      </c>
      <c r="AU52" s="23" t="str">
        <f>IF(C52="","",[1]!s_fa_dupont_roe(C52,F52))</f>
        <v/>
      </c>
      <c r="AV52" s="23" t="str">
        <f>IF(C52="","",[1]!hks_fa_dupont_intburden(C52,F52))</f>
        <v/>
      </c>
      <c r="AW52" s="23" t="str">
        <f>IF(C52="","",[1]!hks_fa_dupont_assetstoequity(C52,F52))</f>
        <v/>
      </c>
      <c r="AX52" s="23" t="str">
        <f>IF(C52="","",[1]!s_fa_dupont_ebittosales(C52,F52))</f>
        <v/>
      </c>
      <c r="AY52" s="23" t="str">
        <f>IF(C52="","",[1]!hks_fa_assetsturn(C52,F52))</f>
        <v/>
      </c>
      <c r="AZ52" s="23" t="str">
        <f>IF(C52="","",[1]!hks_fa_grossmargin2(C52,F52,"",100000000))</f>
        <v/>
      </c>
      <c r="BA52" s="23" t="str">
        <f>IF(C52="","",[1]!hks_fa_ebit3(C52,F52,1,"",100000000))</f>
        <v/>
      </c>
      <c r="BB52" s="23" t="str">
        <f>IF(C52="","",[1]!hks_fa_ebitda(C52,F52,1,"",100000000))</f>
        <v/>
      </c>
      <c r="BC52" s="23" t="str">
        <f>IF(C52="","",[1]!hks_fa_ebit(C52,F52,1,"",100000000))</f>
        <v/>
      </c>
      <c r="BD52" s="23" t="str">
        <f>IF(C52="","",[1]!hks_fa_ebitda(C52,F52,1,"",100000000))</f>
        <v/>
      </c>
      <c r="BE52" s="23" t="str">
        <f>IF(C52="","",[1]!hks_fa_nogaapprofit(C52,F52,1,"",100000000))</f>
        <v/>
      </c>
      <c r="BF52" s="23" t="str">
        <f>IF(C52="","",[1]!hks_fa_deductedprofit(C52,F52,1,"",100000000))</f>
        <v/>
      </c>
      <c r="BG52" s="23" t="str">
        <f>IF(C52="","",[1]!hks_fa_retainedearnings2(C52,F52,"",100000000))</f>
        <v/>
      </c>
      <c r="BH52" s="23" t="str">
        <f>IF(C52="","",[1]!hks_fa_workingcapital2(C52,F52,"",100000000))</f>
        <v/>
      </c>
      <c r="BI52" s="23" t="str">
        <f>IF(C52="","",[1]!hks_fa_networkingcapital2(C52,F52,"",100000000))</f>
        <v/>
      </c>
      <c r="BJ52" s="23" t="str">
        <f>IF(C52="","",[1]!hks_fa_investcapital2(C52,F52,"",100000000))</f>
        <v/>
      </c>
      <c r="BK52" s="23" t="str">
        <f>IF(C52="","",[1]!hks_fa_tangibleasset2(C52,F52,"",100000000))</f>
        <v/>
      </c>
      <c r="BL52" s="23" t="str">
        <f>IF(C52="","",[1]!hks_fa_netdebt2(C52,F52,"",100000000))</f>
        <v/>
      </c>
      <c r="BM52" s="23" t="str">
        <f>IF(C52="","",[1]!hks_fa_interestdebt2(C52,F52,"",100000000))</f>
        <v/>
      </c>
      <c r="BN52" s="23" t="str">
        <f>IF(C52="","",[1]!hks_fa_exinterestdebt_current(C52,F52,"",100000000))</f>
        <v/>
      </c>
      <c r="BO52" s="23" t="str">
        <f>IF(C52="","",[1]!hks_fa_exinterestdebt_noncurrent2(C52,F52,"",100000000))</f>
        <v/>
      </c>
      <c r="BP52" s="23" t="str">
        <f>IF(C52="","",[1]!hks_fa_fcfe2(C52,F52,"",100000000))</f>
        <v/>
      </c>
      <c r="BQ52" s="23" t="str">
        <f>IF(C52="","",[1]!hks_fa_fcff2(C52,F52,"",100000000))</f>
        <v/>
      </c>
      <c r="BR52" s="35"/>
    </row>
    <row r="53" spans="1:70" s="36" customFormat="1" ht="16.5" x14ac:dyDescent="0.2">
      <c r="A53" s="2"/>
      <c r="B53" s="6"/>
      <c r="C53" s="28" t="str">
        <f>IF(表1[[#This Row],[列1]]="","",表1[[#This Row],[列1]])</f>
        <v/>
      </c>
      <c r="D53" s="19" t="str">
        <f>IF(C53="","",[1]!hks_info_name(C53))</f>
        <v/>
      </c>
      <c r="E53" s="19" t="str">
        <f ca="1">IF(C53="","",[1]!lastradeday_s(C53,TODAY()))</f>
        <v/>
      </c>
      <c r="F53" s="49" t="str">
        <f>IF(C53="","",IF(OR([1]!s_stm_rpt_e(C53,基本资料!$I$8,0)="#N/A",[1]!s_stm_rpt_e(C53,基本资料!$I$8,0)="",[1]!s_stm_rpt_e(C53,基本资料!$I$8,0)=0),[1]!s_stm_rpt_e(C53,基本资料!$I$9,0),[1]!s_stm_rpt_e(C53,基本资料!$I$8,0)))</f>
        <v/>
      </c>
      <c r="G53" s="49" t="str">
        <f>IF(C53="","",[1]!hks_info_cur2(C53,F53))</f>
        <v/>
      </c>
      <c r="H53" s="27" t="str">
        <f>IF(C53="","",[1]!hks_fa_eps_basic(C53,F53,""))</f>
        <v/>
      </c>
      <c r="I53" s="23" t="str">
        <f>IF(C53="","",[1]!hks_fa_eps_adjust2(C53,F53,""))</f>
        <v/>
      </c>
      <c r="J53" s="23" t="str">
        <f>IF(C53="","",[1]!hks_fa_bps(C53,F53,""))</f>
        <v/>
      </c>
      <c r="K53" s="25" t="str">
        <f>IF(C53="","",[1]!hks_fa_ocfps(C53,F53,""))</f>
        <v/>
      </c>
      <c r="L53" s="27" t="str">
        <f>IF(C53="","",[1]!hks_fa_grossprofitmargin(C53,F53))</f>
        <v/>
      </c>
      <c r="M53" s="23" t="str">
        <f>IF(C53="","",[1]!hks_fa_netprofitmargin(C53,F53))</f>
        <v/>
      </c>
      <c r="N53" s="23" t="str">
        <f>IF(C53="","",[1]!hks_fa_roe(C53,F53))</f>
        <v/>
      </c>
      <c r="O53" s="23" t="str">
        <f>IF(C53="","",[1]!hks_fa_roe_deducted(C53,F53))</f>
        <v/>
      </c>
      <c r="P53" s="23" t="str">
        <f>IF(C53="","",[1]!hks_fa_roa2(C53,F53))</f>
        <v/>
      </c>
      <c r="Q53" s="23" t="str">
        <f>IF(C53="","",[1]!hks_fa_roic(C53,F53))</f>
        <v/>
      </c>
      <c r="R53" s="23" t="str">
        <f>IF(C53="","",[1]!hks_fa_dupont_nptosales(C53,F53))</f>
        <v/>
      </c>
      <c r="S53" s="23" t="str">
        <f>IF(C53="","",[1]!hks_fa_dupont_ebittosales(C53,F53))</f>
        <v/>
      </c>
      <c r="T53" s="25" t="str">
        <f>IF(C53="","",[1]!hks_fa_ebitdatosales(C53,F53))</f>
        <v/>
      </c>
      <c r="U53" s="47" t="str">
        <f>IF(C53="","",[1]!hks_fa_optoebt(C53,F53))</f>
        <v/>
      </c>
      <c r="V53" s="25" t="str">
        <f>IF(C53="","",[1]!hks_fa_ocftosales(C53,F53))</f>
        <v/>
      </c>
      <c r="W53" s="27" t="str">
        <f>IF(C53="","",[1]!hks_fa_debttoassets(C53,F53))</f>
        <v/>
      </c>
      <c r="X53" s="23" t="str">
        <f>IF(C53="","",[1]!s_fa_debttoeqy(C53,F53))</f>
        <v/>
      </c>
      <c r="Y53" s="23" t="str">
        <f>IF(C53="","",[1]!hks_fa_catoassets(C53,F53))</f>
        <v/>
      </c>
      <c r="Z53" s="23" t="str">
        <f>IF(C53="","",[1]!hks_fa_ncatoassets(C53,F53))</f>
        <v/>
      </c>
      <c r="AA53" s="23" t="str">
        <f>IF(C53="","",[1]!hks_fa_currentdebttodebt(C53,F53))</f>
        <v/>
      </c>
      <c r="AB53" s="25" t="str">
        <f>IF(C53="","",[1]!hks_fa_longdebtodebt(C53,F53))</f>
        <v/>
      </c>
      <c r="AC53" s="25" t="str">
        <f>IF(C53="","",[1]!hks_fa_current(C53,F53))</f>
        <v/>
      </c>
      <c r="AD53" s="25" t="str">
        <f>IF(C53="","",[1]!hks_fa_quick(C53,F53))</f>
        <v/>
      </c>
      <c r="AE53" s="25" t="str">
        <f>IF(C53="","",[1]!hks_fa_ebittointerest(C53,F53))</f>
        <v/>
      </c>
      <c r="AF53" s="25" t="str">
        <f>IF(C53="","",[1]!hks_fa_netdebtratio(C53,F53))</f>
        <v/>
      </c>
      <c r="AG53" s="27" t="str">
        <f>IF(C53="","",[1]!hks_fa_arturn(C53,F53))</f>
        <v/>
      </c>
      <c r="AH53" s="23" t="str">
        <f>IF(C53="","",[1]!hks_fa_apturn(C53,F53))</f>
        <v/>
      </c>
      <c r="AI53" s="23" t="str">
        <f>IF(C53="","",[1]!hks_fa_invturn(C53,F53))</f>
        <v/>
      </c>
      <c r="AJ53" s="23" t="str">
        <f>IF(C53="","",[1]!hks_fa_caturn(C53,F53))</f>
        <v/>
      </c>
      <c r="AK53" s="23" t="str">
        <f>IF(C53="","",[1]!hks_fa_faturn(C53,F53))</f>
        <v/>
      </c>
      <c r="AL53" s="25" t="str">
        <f>IF(C53="","",[1]!hks_fa_assetsturn(C53,F53))</f>
        <v/>
      </c>
      <c r="AM53" s="23" t="str">
        <f>IF(C53="","",[1]!hks_fa_yoy_tr(C53,F53))</f>
        <v/>
      </c>
      <c r="AN53" s="23" t="str">
        <f>IF(C53="","",[1]!hks_fa_yoy_or(C53,F53))</f>
        <v/>
      </c>
      <c r="AO53" s="23" t="str">
        <f>IF(C53="","",[1]!hks_fa_yoyop2(C53,F53))</f>
        <v/>
      </c>
      <c r="AP53" s="23" t="str">
        <f>IF(C53="","",[1]!hks_fa_yoyebt(C53,F53))</f>
        <v/>
      </c>
      <c r="AQ53" s="23" t="str">
        <f>IF(C53="","",[1]!hks_fa_yoynetprofit(C53,F53))</f>
        <v/>
      </c>
      <c r="AR53" s="23" t="str">
        <f>IF(C53="","",[1]!hks_fa_dupont_np(C53,F53))</f>
        <v/>
      </c>
      <c r="AS53" s="23" t="str">
        <f>IF(C53="","",[1]!hks_fa_dupont_taxburden(C53,F53))</f>
        <v/>
      </c>
      <c r="AT53" s="23" t="str">
        <f>IF(C53="","",[1]!s_fa_dupont_nptosales(C53,F53))</f>
        <v/>
      </c>
      <c r="AU53" s="23" t="str">
        <f>IF(C53="","",[1]!s_fa_dupont_roe(C53,F53))</f>
        <v/>
      </c>
      <c r="AV53" s="23" t="str">
        <f>IF(C53="","",[1]!hks_fa_dupont_intburden(C53,F53))</f>
        <v/>
      </c>
      <c r="AW53" s="23" t="str">
        <f>IF(C53="","",[1]!hks_fa_dupont_assetstoequity(C53,F53))</f>
        <v/>
      </c>
      <c r="AX53" s="23" t="str">
        <f>IF(C53="","",[1]!s_fa_dupont_ebittosales(C53,F53))</f>
        <v/>
      </c>
      <c r="AY53" s="23" t="str">
        <f>IF(C53="","",[1]!hks_fa_assetsturn(C53,F53))</f>
        <v/>
      </c>
      <c r="AZ53" s="23" t="str">
        <f>IF(C53="","",[1]!hks_fa_grossmargin2(C53,F53,"",100000000))</f>
        <v/>
      </c>
      <c r="BA53" s="23" t="str">
        <f>IF(C53="","",[1]!hks_fa_ebit3(C53,F53,1,"",100000000))</f>
        <v/>
      </c>
      <c r="BB53" s="23" t="str">
        <f>IF(C53="","",[1]!hks_fa_ebitda(C53,F53,1,"",100000000))</f>
        <v/>
      </c>
      <c r="BC53" s="23" t="str">
        <f>IF(C53="","",[1]!hks_fa_ebit(C53,F53,1,"",100000000))</f>
        <v/>
      </c>
      <c r="BD53" s="23" t="str">
        <f>IF(C53="","",[1]!hks_fa_ebitda(C53,F53,1,"",100000000))</f>
        <v/>
      </c>
      <c r="BE53" s="23" t="str">
        <f>IF(C53="","",[1]!hks_fa_nogaapprofit(C53,F53,1,"",100000000))</f>
        <v/>
      </c>
      <c r="BF53" s="23" t="str">
        <f>IF(C53="","",[1]!hks_fa_deductedprofit(C53,F53,1,"",100000000))</f>
        <v/>
      </c>
      <c r="BG53" s="23" t="str">
        <f>IF(C53="","",[1]!hks_fa_retainedearnings2(C53,F53,"",100000000))</f>
        <v/>
      </c>
      <c r="BH53" s="23" t="str">
        <f>IF(C53="","",[1]!hks_fa_workingcapital2(C53,F53,"",100000000))</f>
        <v/>
      </c>
      <c r="BI53" s="23" t="str">
        <f>IF(C53="","",[1]!hks_fa_networkingcapital2(C53,F53,"",100000000))</f>
        <v/>
      </c>
      <c r="BJ53" s="23" t="str">
        <f>IF(C53="","",[1]!hks_fa_investcapital2(C53,F53,"",100000000))</f>
        <v/>
      </c>
      <c r="BK53" s="23" t="str">
        <f>IF(C53="","",[1]!hks_fa_tangibleasset2(C53,F53,"",100000000))</f>
        <v/>
      </c>
      <c r="BL53" s="23" t="str">
        <f>IF(C53="","",[1]!hks_fa_netdebt2(C53,F53,"",100000000))</f>
        <v/>
      </c>
      <c r="BM53" s="23" t="str">
        <f>IF(C53="","",[1]!hks_fa_interestdebt2(C53,F53,"",100000000))</f>
        <v/>
      </c>
      <c r="BN53" s="23" t="str">
        <f>IF(C53="","",[1]!hks_fa_exinterestdebt_current(C53,F53,"",100000000))</f>
        <v/>
      </c>
      <c r="BO53" s="23" t="str">
        <f>IF(C53="","",[1]!hks_fa_exinterestdebt_noncurrent2(C53,F53,"",100000000))</f>
        <v/>
      </c>
      <c r="BP53" s="23" t="str">
        <f>IF(C53="","",[1]!hks_fa_fcfe2(C53,F53,"",100000000))</f>
        <v/>
      </c>
      <c r="BQ53" s="23" t="str">
        <f>IF(C53="","",[1]!hks_fa_fcff2(C53,F53,"",100000000))</f>
        <v/>
      </c>
      <c r="BR53" s="35"/>
    </row>
    <row r="54" spans="1:70" s="36" customFormat="1" ht="16.5" x14ac:dyDescent="0.2">
      <c r="A54" s="2"/>
      <c r="B54" s="6"/>
      <c r="C54" s="28" t="str">
        <f>IF(表1[[#This Row],[列1]]="","",表1[[#This Row],[列1]])</f>
        <v/>
      </c>
      <c r="D54" s="19" t="str">
        <f>IF(C54="","",[1]!hks_info_name(C54))</f>
        <v/>
      </c>
      <c r="E54" s="19" t="str">
        <f ca="1">IF(C54="","",[1]!lastradeday_s(C54,TODAY()))</f>
        <v/>
      </c>
      <c r="F54" s="49" t="str">
        <f>IF(C54="","",IF(OR([1]!s_stm_rpt_e(C54,基本资料!$I$8,0)="#N/A",[1]!s_stm_rpt_e(C54,基本资料!$I$8,0)="",[1]!s_stm_rpt_e(C54,基本资料!$I$8,0)=0),[1]!s_stm_rpt_e(C54,基本资料!$I$9,0),[1]!s_stm_rpt_e(C54,基本资料!$I$8,0)))</f>
        <v/>
      </c>
      <c r="G54" s="49" t="str">
        <f>IF(C54="","",[1]!hks_info_cur2(C54,F54))</f>
        <v/>
      </c>
      <c r="H54" s="27" t="str">
        <f>IF(C54="","",[1]!hks_fa_eps_basic(C54,F54,""))</f>
        <v/>
      </c>
      <c r="I54" s="23" t="str">
        <f>IF(C54="","",[1]!hks_fa_eps_adjust2(C54,F54,""))</f>
        <v/>
      </c>
      <c r="J54" s="23" t="str">
        <f>IF(C54="","",[1]!hks_fa_bps(C54,F54,""))</f>
        <v/>
      </c>
      <c r="K54" s="25" t="str">
        <f>IF(C54="","",[1]!hks_fa_ocfps(C54,F54,""))</f>
        <v/>
      </c>
      <c r="L54" s="27" t="str">
        <f>IF(C54="","",[1]!hks_fa_grossprofitmargin(C54,F54))</f>
        <v/>
      </c>
      <c r="M54" s="23" t="str">
        <f>IF(C54="","",[1]!hks_fa_netprofitmargin(C54,F54))</f>
        <v/>
      </c>
      <c r="N54" s="23" t="str">
        <f>IF(C54="","",[1]!hks_fa_roe(C54,F54))</f>
        <v/>
      </c>
      <c r="O54" s="23" t="str">
        <f>IF(C54="","",[1]!hks_fa_roe_deducted(C54,F54))</f>
        <v/>
      </c>
      <c r="P54" s="23" t="str">
        <f>IF(C54="","",[1]!hks_fa_roa2(C54,F54))</f>
        <v/>
      </c>
      <c r="Q54" s="23" t="str">
        <f>IF(C54="","",[1]!hks_fa_roic(C54,F54))</f>
        <v/>
      </c>
      <c r="R54" s="23" t="str">
        <f>IF(C54="","",[1]!hks_fa_dupont_nptosales(C54,F54))</f>
        <v/>
      </c>
      <c r="S54" s="23" t="str">
        <f>IF(C54="","",[1]!hks_fa_dupont_ebittosales(C54,F54))</f>
        <v/>
      </c>
      <c r="T54" s="25" t="str">
        <f>IF(C54="","",[1]!hks_fa_ebitdatosales(C54,F54))</f>
        <v/>
      </c>
      <c r="U54" s="47" t="str">
        <f>IF(C54="","",[1]!hks_fa_optoebt(C54,F54))</f>
        <v/>
      </c>
      <c r="V54" s="25" t="str">
        <f>IF(C54="","",[1]!hks_fa_ocftosales(C54,F54))</f>
        <v/>
      </c>
      <c r="W54" s="27" t="str">
        <f>IF(C54="","",[1]!hks_fa_debttoassets(C54,F54))</f>
        <v/>
      </c>
      <c r="X54" s="23" t="str">
        <f>IF(C54="","",[1]!s_fa_debttoeqy(C54,F54))</f>
        <v/>
      </c>
      <c r="Y54" s="23" t="str">
        <f>IF(C54="","",[1]!hks_fa_catoassets(C54,F54))</f>
        <v/>
      </c>
      <c r="Z54" s="23" t="str">
        <f>IF(C54="","",[1]!hks_fa_ncatoassets(C54,F54))</f>
        <v/>
      </c>
      <c r="AA54" s="23" t="str">
        <f>IF(C54="","",[1]!hks_fa_currentdebttodebt(C54,F54))</f>
        <v/>
      </c>
      <c r="AB54" s="25" t="str">
        <f>IF(C54="","",[1]!hks_fa_longdebtodebt(C54,F54))</f>
        <v/>
      </c>
      <c r="AC54" s="25" t="str">
        <f>IF(C54="","",[1]!hks_fa_current(C54,F54))</f>
        <v/>
      </c>
      <c r="AD54" s="25" t="str">
        <f>IF(C54="","",[1]!hks_fa_quick(C54,F54))</f>
        <v/>
      </c>
      <c r="AE54" s="25" t="str">
        <f>IF(C54="","",[1]!hks_fa_ebittointerest(C54,F54))</f>
        <v/>
      </c>
      <c r="AF54" s="25" t="str">
        <f>IF(C54="","",[1]!hks_fa_netdebtratio(C54,F54))</f>
        <v/>
      </c>
      <c r="AG54" s="27" t="str">
        <f>IF(C54="","",[1]!hks_fa_arturn(C54,F54))</f>
        <v/>
      </c>
      <c r="AH54" s="23" t="str">
        <f>IF(C54="","",[1]!hks_fa_apturn(C54,F54))</f>
        <v/>
      </c>
      <c r="AI54" s="23" t="str">
        <f>IF(C54="","",[1]!hks_fa_invturn(C54,F54))</f>
        <v/>
      </c>
      <c r="AJ54" s="23" t="str">
        <f>IF(C54="","",[1]!hks_fa_caturn(C54,F54))</f>
        <v/>
      </c>
      <c r="AK54" s="23" t="str">
        <f>IF(C54="","",[1]!hks_fa_faturn(C54,F54))</f>
        <v/>
      </c>
      <c r="AL54" s="25" t="str">
        <f>IF(C54="","",[1]!hks_fa_assetsturn(C54,F54))</f>
        <v/>
      </c>
      <c r="AM54" s="23" t="str">
        <f>IF(C54="","",[1]!hks_fa_yoy_tr(C54,F54))</f>
        <v/>
      </c>
      <c r="AN54" s="23" t="str">
        <f>IF(C54="","",[1]!hks_fa_yoy_or(C54,F54))</f>
        <v/>
      </c>
      <c r="AO54" s="23" t="str">
        <f>IF(C54="","",[1]!hks_fa_yoyop2(C54,F54))</f>
        <v/>
      </c>
      <c r="AP54" s="23" t="str">
        <f>IF(C54="","",[1]!hks_fa_yoyebt(C54,F54))</f>
        <v/>
      </c>
      <c r="AQ54" s="23" t="str">
        <f>IF(C54="","",[1]!hks_fa_yoynetprofit(C54,F54))</f>
        <v/>
      </c>
      <c r="AR54" s="23" t="str">
        <f>IF(C54="","",[1]!hks_fa_dupont_np(C54,F54))</f>
        <v/>
      </c>
      <c r="AS54" s="23" t="str">
        <f>IF(C54="","",[1]!hks_fa_dupont_taxburden(C54,F54))</f>
        <v/>
      </c>
      <c r="AT54" s="23" t="str">
        <f>IF(C54="","",[1]!s_fa_dupont_nptosales(C54,F54))</f>
        <v/>
      </c>
      <c r="AU54" s="23" t="str">
        <f>IF(C54="","",[1]!s_fa_dupont_roe(C54,F54))</f>
        <v/>
      </c>
      <c r="AV54" s="23" t="str">
        <f>IF(C54="","",[1]!hks_fa_dupont_intburden(C54,F54))</f>
        <v/>
      </c>
      <c r="AW54" s="23" t="str">
        <f>IF(C54="","",[1]!hks_fa_dupont_assetstoequity(C54,F54))</f>
        <v/>
      </c>
      <c r="AX54" s="23" t="str">
        <f>IF(C54="","",[1]!s_fa_dupont_ebittosales(C54,F54))</f>
        <v/>
      </c>
      <c r="AY54" s="23" t="str">
        <f>IF(C54="","",[1]!hks_fa_assetsturn(C54,F54))</f>
        <v/>
      </c>
      <c r="AZ54" s="23" t="str">
        <f>IF(C54="","",[1]!hks_fa_grossmargin2(C54,F54,"",100000000))</f>
        <v/>
      </c>
      <c r="BA54" s="23" t="str">
        <f>IF(C54="","",[1]!hks_fa_ebit3(C54,F54,1,"",100000000))</f>
        <v/>
      </c>
      <c r="BB54" s="23" t="str">
        <f>IF(C54="","",[1]!hks_fa_ebitda(C54,F54,1,"",100000000))</f>
        <v/>
      </c>
      <c r="BC54" s="23" t="str">
        <f>IF(C54="","",[1]!hks_fa_ebit(C54,F54,1,"",100000000))</f>
        <v/>
      </c>
      <c r="BD54" s="23" t="str">
        <f>IF(C54="","",[1]!hks_fa_ebitda(C54,F54,1,"",100000000))</f>
        <v/>
      </c>
      <c r="BE54" s="23" t="str">
        <f>IF(C54="","",[1]!hks_fa_nogaapprofit(C54,F54,1,"",100000000))</f>
        <v/>
      </c>
      <c r="BF54" s="23" t="str">
        <f>IF(C54="","",[1]!hks_fa_deductedprofit(C54,F54,1,"",100000000))</f>
        <v/>
      </c>
      <c r="BG54" s="23" t="str">
        <f>IF(C54="","",[1]!hks_fa_retainedearnings2(C54,F54,"",100000000))</f>
        <v/>
      </c>
      <c r="BH54" s="23" t="str">
        <f>IF(C54="","",[1]!hks_fa_workingcapital2(C54,F54,"",100000000))</f>
        <v/>
      </c>
      <c r="BI54" s="23" t="str">
        <f>IF(C54="","",[1]!hks_fa_networkingcapital2(C54,F54,"",100000000))</f>
        <v/>
      </c>
      <c r="BJ54" s="23" t="str">
        <f>IF(C54="","",[1]!hks_fa_investcapital2(C54,F54,"",100000000))</f>
        <v/>
      </c>
      <c r="BK54" s="23" t="str">
        <f>IF(C54="","",[1]!hks_fa_tangibleasset2(C54,F54,"",100000000))</f>
        <v/>
      </c>
      <c r="BL54" s="23" t="str">
        <f>IF(C54="","",[1]!hks_fa_netdebt2(C54,F54,"",100000000))</f>
        <v/>
      </c>
      <c r="BM54" s="23" t="str">
        <f>IF(C54="","",[1]!hks_fa_interestdebt2(C54,F54,"",100000000))</f>
        <v/>
      </c>
      <c r="BN54" s="23" t="str">
        <f>IF(C54="","",[1]!hks_fa_exinterestdebt_current(C54,F54,"",100000000))</f>
        <v/>
      </c>
      <c r="BO54" s="23" t="str">
        <f>IF(C54="","",[1]!hks_fa_exinterestdebt_noncurrent2(C54,F54,"",100000000))</f>
        <v/>
      </c>
      <c r="BP54" s="23" t="str">
        <f>IF(C54="","",[1]!hks_fa_fcfe2(C54,F54,"",100000000))</f>
        <v/>
      </c>
      <c r="BQ54" s="23" t="str">
        <f>IF(C54="","",[1]!hks_fa_fcff2(C54,F54,"",100000000))</f>
        <v/>
      </c>
      <c r="BR54" s="35"/>
    </row>
    <row r="55" spans="1:70" s="36" customFormat="1" ht="16.5" x14ac:dyDescent="0.2">
      <c r="A55" s="2"/>
      <c r="B55" s="6"/>
      <c r="C55" s="28" t="str">
        <f>IF(表1[[#This Row],[列1]]="","",表1[[#This Row],[列1]])</f>
        <v/>
      </c>
      <c r="D55" s="19" t="str">
        <f>IF(C55="","",[1]!hks_info_name(C55))</f>
        <v/>
      </c>
      <c r="E55" s="19" t="str">
        <f ca="1">IF(C55="","",[1]!lastradeday_s(C55,TODAY()))</f>
        <v/>
      </c>
      <c r="F55" s="49" t="str">
        <f>IF(C55="","",IF(OR([1]!s_stm_rpt_e(C55,基本资料!$I$8,0)="#N/A",[1]!s_stm_rpt_e(C55,基本资料!$I$8,0)="",[1]!s_stm_rpt_e(C55,基本资料!$I$8,0)=0),[1]!s_stm_rpt_e(C55,基本资料!$I$9,0),[1]!s_stm_rpt_e(C55,基本资料!$I$8,0)))</f>
        <v/>
      </c>
      <c r="G55" s="49" t="str">
        <f>IF(C55="","",[1]!hks_info_cur2(C55,F55))</f>
        <v/>
      </c>
      <c r="H55" s="27" t="str">
        <f>IF(C55="","",[1]!hks_fa_eps_basic(C55,F55,""))</f>
        <v/>
      </c>
      <c r="I55" s="23" t="str">
        <f>IF(C55="","",[1]!hks_fa_eps_adjust2(C55,F55,""))</f>
        <v/>
      </c>
      <c r="J55" s="23" t="str">
        <f>IF(C55="","",[1]!hks_fa_bps(C55,F55,""))</f>
        <v/>
      </c>
      <c r="K55" s="25" t="str">
        <f>IF(C55="","",[1]!hks_fa_ocfps(C55,F55,""))</f>
        <v/>
      </c>
      <c r="L55" s="27" t="str">
        <f>IF(C55="","",[1]!hks_fa_grossprofitmargin(C55,F55))</f>
        <v/>
      </c>
      <c r="M55" s="23" t="str">
        <f>IF(C55="","",[1]!hks_fa_netprofitmargin(C55,F55))</f>
        <v/>
      </c>
      <c r="N55" s="23" t="str">
        <f>IF(C55="","",[1]!hks_fa_roe(C55,F55))</f>
        <v/>
      </c>
      <c r="O55" s="23" t="str">
        <f>IF(C55="","",[1]!hks_fa_roe_deducted(C55,F55))</f>
        <v/>
      </c>
      <c r="P55" s="23" t="str">
        <f>IF(C55="","",[1]!hks_fa_roa2(C55,F55))</f>
        <v/>
      </c>
      <c r="Q55" s="23" t="str">
        <f>IF(C55="","",[1]!hks_fa_roic(C55,F55))</f>
        <v/>
      </c>
      <c r="R55" s="23" t="str">
        <f>IF(C55="","",[1]!hks_fa_dupont_nptosales(C55,F55))</f>
        <v/>
      </c>
      <c r="S55" s="23" t="str">
        <f>IF(C55="","",[1]!hks_fa_dupont_ebittosales(C55,F55))</f>
        <v/>
      </c>
      <c r="T55" s="25" t="str">
        <f>IF(C55="","",[1]!hks_fa_ebitdatosales(C55,F55))</f>
        <v/>
      </c>
      <c r="U55" s="47" t="str">
        <f>IF(C55="","",[1]!hks_fa_optoebt(C55,F55))</f>
        <v/>
      </c>
      <c r="V55" s="25" t="str">
        <f>IF(C55="","",[1]!hks_fa_ocftosales(C55,F55))</f>
        <v/>
      </c>
      <c r="W55" s="27" t="str">
        <f>IF(C55="","",[1]!hks_fa_debttoassets(C55,F55))</f>
        <v/>
      </c>
      <c r="X55" s="23" t="str">
        <f>IF(C55="","",[1]!s_fa_debttoeqy(C55,F55))</f>
        <v/>
      </c>
      <c r="Y55" s="23" t="str">
        <f>IF(C55="","",[1]!hks_fa_catoassets(C55,F55))</f>
        <v/>
      </c>
      <c r="Z55" s="23" t="str">
        <f>IF(C55="","",[1]!hks_fa_ncatoassets(C55,F55))</f>
        <v/>
      </c>
      <c r="AA55" s="23" t="str">
        <f>IF(C55="","",[1]!hks_fa_currentdebttodebt(C55,F55))</f>
        <v/>
      </c>
      <c r="AB55" s="25" t="str">
        <f>IF(C55="","",[1]!hks_fa_longdebtodebt(C55,F55))</f>
        <v/>
      </c>
      <c r="AC55" s="25" t="str">
        <f>IF(C55="","",[1]!hks_fa_current(C55,F55))</f>
        <v/>
      </c>
      <c r="AD55" s="25" t="str">
        <f>IF(C55="","",[1]!hks_fa_quick(C55,F55))</f>
        <v/>
      </c>
      <c r="AE55" s="25" t="str">
        <f>IF(C55="","",[1]!hks_fa_ebittointerest(C55,F55))</f>
        <v/>
      </c>
      <c r="AF55" s="25" t="str">
        <f>IF(C55="","",[1]!hks_fa_netdebtratio(C55,F55))</f>
        <v/>
      </c>
      <c r="AG55" s="27" t="str">
        <f>IF(C55="","",[1]!hks_fa_arturn(C55,F55))</f>
        <v/>
      </c>
      <c r="AH55" s="23" t="str">
        <f>IF(C55="","",[1]!hks_fa_apturn(C55,F55))</f>
        <v/>
      </c>
      <c r="AI55" s="23" t="str">
        <f>IF(C55="","",[1]!hks_fa_invturn(C55,F55))</f>
        <v/>
      </c>
      <c r="AJ55" s="23" t="str">
        <f>IF(C55="","",[1]!hks_fa_caturn(C55,F55))</f>
        <v/>
      </c>
      <c r="AK55" s="23" t="str">
        <f>IF(C55="","",[1]!hks_fa_faturn(C55,F55))</f>
        <v/>
      </c>
      <c r="AL55" s="25" t="str">
        <f>IF(C55="","",[1]!hks_fa_assetsturn(C55,F55))</f>
        <v/>
      </c>
      <c r="AM55" s="23" t="str">
        <f>IF(C55="","",[1]!hks_fa_yoy_tr(C55,F55))</f>
        <v/>
      </c>
      <c r="AN55" s="23" t="str">
        <f>IF(C55="","",[1]!hks_fa_yoy_or(C55,F55))</f>
        <v/>
      </c>
      <c r="AO55" s="23" t="str">
        <f>IF(C55="","",[1]!hks_fa_yoyop2(C55,F55))</f>
        <v/>
      </c>
      <c r="AP55" s="23" t="str">
        <f>IF(C55="","",[1]!hks_fa_yoyebt(C55,F55))</f>
        <v/>
      </c>
      <c r="AQ55" s="23" t="str">
        <f>IF(C55="","",[1]!hks_fa_yoynetprofit(C55,F55))</f>
        <v/>
      </c>
      <c r="AR55" s="23" t="str">
        <f>IF(C55="","",[1]!hks_fa_dupont_np(C55,F55))</f>
        <v/>
      </c>
      <c r="AS55" s="23" t="str">
        <f>IF(C55="","",[1]!hks_fa_dupont_taxburden(C55,F55))</f>
        <v/>
      </c>
      <c r="AT55" s="23" t="str">
        <f>IF(C55="","",[1]!s_fa_dupont_nptosales(C55,F55))</f>
        <v/>
      </c>
      <c r="AU55" s="23" t="str">
        <f>IF(C55="","",[1]!s_fa_dupont_roe(C55,F55))</f>
        <v/>
      </c>
      <c r="AV55" s="23" t="str">
        <f>IF(C55="","",[1]!hks_fa_dupont_intburden(C55,F55))</f>
        <v/>
      </c>
      <c r="AW55" s="23" t="str">
        <f>IF(C55="","",[1]!hks_fa_dupont_assetstoequity(C55,F55))</f>
        <v/>
      </c>
      <c r="AX55" s="23" t="str">
        <f>IF(C55="","",[1]!s_fa_dupont_ebittosales(C55,F55))</f>
        <v/>
      </c>
      <c r="AY55" s="23" t="str">
        <f>IF(C55="","",[1]!hks_fa_assetsturn(C55,F55))</f>
        <v/>
      </c>
      <c r="AZ55" s="23" t="str">
        <f>IF(C55="","",[1]!hks_fa_grossmargin2(C55,F55,"",100000000))</f>
        <v/>
      </c>
      <c r="BA55" s="23" t="str">
        <f>IF(C55="","",[1]!hks_fa_ebit3(C55,F55,1,"",100000000))</f>
        <v/>
      </c>
      <c r="BB55" s="23" t="str">
        <f>IF(C55="","",[1]!hks_fa_ebitda(C55,F55,1,"",100000000))</f>
        <v/>
      </c>
      <c r="BC55" s="23" t="str">
        <f>IF(C55="","",[1]!hks_fa_ebit(C55,F55,1,"",100000000))</f>
        <v/>
      </c>
      <c r="BD55" s="23" t="str">
        <f>IF(C55="","",[1]!hks_fa_ebitda(C55,F55,1,"",100000000))</f>
        <v/>
      </c>
      <c r="BE55" s="23" t="str">
        <f>IF(C55="","",[1]!hks_fa_nogaapprofit(C55,F55,1,"",100000000))</f>
        <v/>
      </c>
      <c r="BF55" s="23" t="str">
        <f>IF(C55="","",[1]!hks_fa_deductedprofit(C55,F55,1,"",100000000))</f>
        <v/>
      </c>
      <c r="BG55" s="23" t="str">
        <f>IF(C55="","",[1]!hks_fa_retainedearnings2(C55,F55,"",100000000))</f>
        <v/>
      </c>
      <c r="BH55" s="23" t="str">
        <f>IF(C55="","",[1]!hks_fa_workingcapital2(C55,F55,"",100000000))</f>
        <v/>
      </c>
      <c r="BI55" s="23" t="str">
        <f>IF(C55="","",[1]!hks_fa_networkingcapital2(C55,F55,"",100000000))</f>
        <v/>
      </c>
      <c r="BJ55" s="23" t="str">
        <f>IF(C55="","",[1]!hks_fa_investcapital2(C55,F55,"",100000000))</f>
        <v/>
      </c>
      <c r="BK55" s="23" t="str">
        <f>IF(C55="","",[1]!hks_fa_tangibleasset2(C55,F55,"",100000000))</f>
        <v/>
      </c>
      <c r="BL55" s="23" t="str">
        <f>IF(C55="","",[1]!hks_fa_netdebt2(C55,F55,"",100000000))</f>
        <v/>
      </c>
      <c r="BM55" s="23" t="str">
        <f>IF(C55="","",[1]!hks_fa_interestdebt2(C55,F55,"",100000000))</f>
        <v/>
      </c>
      <c r="BN55" s="23" t="str">
        <f>IF(C55="","",[1]!hks_fa_exinterestdebt_current(C55,F55,"",100000000))</f>
        <v/>
      </c>
      <c r="BO55" s="23" t="str">
        <f>IF(C55="","",[1]!hks_fa_exinterestdebt_noncurrent2(C55,F55,"",100000000))</f>
        <v/>
      </c>
      <c r="BP55" s="23" t="str">
        <f>IF(C55="","",[1]!hks_fa_fcfe2(C55,F55,"",100000000))</f>
        <v/>
      </c>
      <c r="BQ55" s="23" t="str">
        <f>IF(C55="","",[1]!hks_fa_fcff2(C55,F55,"",100000000))</f>
        <v/>
      </c>
      <c r="BR55" s="35"/>
    </row>
    <row r="56" spans="1:70" s="36" customFormat="1" ht="16.5" x14ac:dyDescent="0.2">
      <c r="A56" s="2"/>
      <c r="B56" s="6"/>
      <c r="C56" s="28" t="str">
        <f>IF(表1[[#This Row],[列1]]="","",表1[[#This Row],[列1]])</f>
        <v/>
      </c>
      <c r="D56" s="19" t="str">
        <f>IF(C56="","",[1]!hks_info_name(C56))</f>
        <v/>
      </c>
      <c r="E56" s="19" t="str">
        <f ca="1">IF(C56="","",[1]!lastradeday_s(C56,TODAY()))</f>
        <v/>
      </c>
      <c r="F56" s="49" t="str">
        <f>IF(C56="","",IF(OR([1]!s_stm_rpt_e(C56,基本资料!$I$8,0)="#N/A",[1]!s_stm_rpt_e(C56,基本资料!$I$8,0)="",[1]!s_stm_rpt_e(C56,基本资料!$I$8,0)=0),[1]!s_stm_rpt_e(C56,基本资料!$I$9,0),[1]!s_stm_rpt_e(C56,基本资料!$I$8,0)))</f>
        <v/>
      </c>
      <c r="G56" s="49" t="str">
        <f>IF(C56="","",[1]!hks_info_cur2(C56,F56))</f>
        <v/>
      </c>
      <c r="H56" s="27" t="str">
        <f>IF(C56="","",[1]!hks_fa_eps_basic(C56,F56,""))</f>
        <v/>
      </c>
      <c r="I56" s="23" t="str">
        <f>IF(C56="","",[1]!hks_fa_eps_adjust2(C56,F56,""))</f>
        <v/>
      </c>
      <c r="J56" s="23" t="str">
        <f>IF(C56="","",[1]!hks_fa_bps(C56,F56,""))</f>
        <v/>
      </c>
      <c r="K56" s="25" t="str">
        <f>IF(C56="","",[1]!hks_fa_ocfps(C56,F56,""))</f>
        <v/>
      </c>
      <c r="L56" s="27" t="str">
        <f>IF(C56="","",[1]!hks_fa_grossprofitmargin(C56,F56))</f>
        <v/>
      </c>
      <c r="M56" s="23" t="str">
        <f>IF(C56="","",[1]!hks_fa_netprofitmargin(C56,F56))</f>
        <v/>
      </c>
      <c r="N56" s="23" t="str">
        <f>IF(C56="","",[1]!hks_fa_roe(C56,F56))</f>
        <v/>
      </c>
      <c r="O56" s="23" t="str">
        <f>IF(C56="","",[1]!hks_fa_roe_deducted(C56,F56))</f>
        <v/>
      </c>
      <c r="P56" s="23" t="str">
        <f>IF(C56="","",[1]!hks_fa_roa2(C56,F56))</f>
        <v/>
      </c>
      <c r="Q56" s="23" t="str">
        <f>IF(C56="","",[1]!hks_fa_roic(C56,F56))</f>
        <v/>
      </c>
      <c r="R56" s="23" t="str">
        <f>IF(C56="","",[1]!hks_fa_dupont_nptosales(C56,F56))</f>
        <v/>
      </c>
      <c r="S56" s="23" t="str">
        <f>IF(C56="","",[1]!hks_fa_dupont_ebittosales(C56,F56))</f>
        <v/>
      </c>
      <c r="T56" s="25" t="str">
        <f>IF(C56="","",[1]!hks_fa_ebitdatosales(C56,F56))</f>
        <v/>
      </c>
      <c r="U56" s="47" t="str">
        <f>IF(C56="","",[1]!hks_fa_optoebt(C56,F56))</f>
        <v/>
      </c>
      <c r="V56" s="25" t="str">
        <f>IF(C56="","",[1]!hks_fa_ocftosales(C56,F56))</f>
        <v/>
      </c>
      <c r="W56" s="27" t="str">
        <f>IF(C56="","",[1]!hks_fa_debttoassets(C56,F56))</f>
        <v/>
      </c>
      <c r="X56" s="23" t="str">
        <f>IF(C56="","",[1]!s_fa_debttoeqy(C56,F56))</f>
        <v/>
      </c>
      <c r="Y56" s="23" t="str">
        <f>IF(C56="","",[1]!hks_fa_catoassets(C56,F56))</f>
        <v/>
      </c>
      <c r="Z56" s="23" t="str">
        <f>IF(C56="","",[1]!hks_fa_ncatoassets(C56,F56))</f>
        <v/>
      </c>
      <c r="AA56" s="23" t="str">
        <f>IF(C56="","",[1]!hks_fa_currentdebttodebt(C56,F56))</f>
        <v/>
      </c>
      <c r="AB56" s="25" t="str">
        <f>IF(C56="","",[1]!hks_fa_longdebtodebt(C56,F56))</f>
        <v/>
      </c>
      <c r="AC56" s="25" t="str">
        <f>IF(C56="","",[1]!hks_fa_current(C56,F56))</f>
        <v/>
      </c>
      <c r="AD56" s="25" t="str">
        <f>IF(C56="","",[1]!hks_fa_quick(C56,F56))</f>
        <v/>
      </c>
      <c r="AE56" s="25" t="str">
        <f>IF(C56="","",[1]!hks_fa_ebittointerest(C56,F56))</f>
        <v/>
      </c>
      <c r="AF56" s="25" t="str">
        <f>IF(C56="","",[1]!hks_fa_netdebtratio(C56,F56))</f>
        <v/>
      </c>
      <c r="AG56" s="27" t="str">
        <f>IF(C56="","",[1]!hks_fa_arturn(C56,F56))</f>
        <v/>
      </c>
      <c r="AH56" s="23" t="str">
        <f>IF(C56="","",[1]!hks_fa_apturn(C56,F56))</f>
        <v/>
      </c>
      <c r="AI56" s="23" t="str">
        <f>IF(C56="","",[1]!hks_fa_invturn(C56,F56))</f>
        <v/>
      </c>
      <c r="AJ56" s="23" t="str">
        <f>IF(C56="","",[1]!hks_fa_caturn(C56,F56))</f>
        <v/>
      </c>
      <c r="AK56" s="23" t="str">
        <f>IF(C56="","",[1]!hks_fa_faturn(C56,F56))</f>
        <v/>
      </c>
      <c r="AL56" s="25" t="str">
        <f>IF(C56="","",[1]!hks_fa_assetsturn(C56,F56))</f>
        <v/>
      </c>
      <c r="AM56" s="23" t="str">
        <f>IF(C56="","",[1]!hks_fa_yoy_tr(C56,F56))</f>
        <v/>
      </c>
      <c r="AN56" s="23" t="str">
        <f>IF(C56="","",[1]!hks_fa_yoy_or(C56,F56))</f>
        <v/>
      </c>
      <c r="AO56" s="23" t="str">
        <f>IF(C56="","",[1]!hks_fa_yoyop2(C56,F56))</f>
        <v/>
      </c>
      <c r="AP56" s="23" t="str">
        <f>IF(C56="","",[1]!hks_fa_yoyebt(C56,F56))</f>
        <v/>
      </c>
      <c r="AQ56" s="23" t="str">
        <f>IF(C56="","",[1]!hks_fa_yoynetprofit(C56,F56))</f>
        <v/>
      </c>
      <c r="AR56" s="23" t="str">
        <f>IF(C56="","",[1]!hks_fa_dupont_np(C56,F56))</f>
        <v/>
      </c>
      <c r="AS56" s="23" t="str">
        <f>IF(C56="","",[1]!hks_fa_dupont_taxburden(C56,F56))</f>
        <v/>
      </c>
      <c r="AT56" s="23" t="str">
        <f>IF(C56="","",[1]!s_fa_dupont_nptosales(C56,F56))</f>
        <v/>
      </c>
      <c r="AU56" s="23" t="str">
        <f>IF(C56="","",[1]!s_fa_dupont_roe(C56,F56))</f>
        <v/>
      </c>
      <c r="AV56" s="23" t="str">
        <f>IF(C56="","",[1]!hks_fa_dupont_intburden(C56,F56))</f>
        <v/>
      </c>
      <c r="AW56" s="23" t="str">
        <f>IF(C56="","",[1]!hks_fa_dupont_assetstoequity(C56,F56))</f>
        <v/>
      </c>
      <c r="AX56" s="23" t="str">
        <f>IF(C56="","",[1]!s_fa_dupont_ebittosales(C56,F56))</f>
        <v/>
      </c>
      <c r="AY56" s="23" t="str">
        <f>IF(C56="","",[1]!hks_fa_assetsturn(C56,F56))</f>
        <v/>
      </c>
      <c r="AZ56" s="23" t="str">
        <f>IF(C56="","",[1]!hks_fa_grossmargin2(C56,F56,"",100000000))</f>
        <v/>
      </c>
      <c r="BA56" s="23" t="str">
        <f>IF(C56="","",[1]!hks_fa_ebit3(C56,F56,1,"",100000000))</f>
        <v/>
      </c>
      <c r="BB56" s="23" t="str">
        <f>IF(C56="","",[1]!hks_fa_ebitda(C56,F56,1,"",100000000))</f>
        <v/>
      </c>
      <c r="BC56" s="23" t="str">
        <f>IF(C56="","",[1]!hks_fa_ebit(C56,F56,1,"",100000000))</f>
        <v/>
      </c>
      <c r="BD56" s="23" t="str">
        <f>IF(C56="","",[1]!hks_fa_ebitda(C56,F56,1,"",100000000))</f>
        <v/>
      </c>
      <c r="BE56" s="23" t="str">
        <f>IF(C56="","",[1]!hks_fa_nogaapprofit(C56,F56,1,"",100000000))</f>
        <v/>
      </c>
      <c r="BF56" s="23" t="str">
        <f>IF(C56="","",[1]!hks_fa_deductedprofit(C56,F56,1,"",100000000))</f>
        <v/>
      </c>
      <c r="BG56" s="23" t="str">
        <f>IF(C56="","",[1]!hks_fa_retainedearnings2(C56,F56,"",100000000))</f>
        <v/>
      </c>
      <c r="BH56" s="23" t="str">
        <f>IF(C56="","",[1]!hks_fa_workingcapital2(C56,F56,"",100000000))</f>
        <v/>
      </c>
      <c r="BI56" s="23" t="str">
        <f>IF(C56="","",[1]!hks_fa_networkingcapital2(C56,F56,"",100000000))</f>
        <v/>
      </c>
      <c r="BJ56" s="23" t="str">
        <f>IF(C56="","",[1]!hks_fa_investcapital2(C56,F56,"",100000000))</f>
        <v/>
      </c>
      <c r="BK56" s="23" t="str">
        <f>IF(C56="","",[1]!hks_fa_tangibleasset2(C56,F56,"",100000000))</f>
        <v/>
      </c>
      <c r="BL56" s="23" t="str">
        <f>IF(C56="","",[1]!hks_fa_netdebt2(C56,F56,"",100000000))</f>
        <v/>
      </c>
      <c r="BM56" s="23" t="str">
        <f>IF(C56="","",[1]!hks_fa_interestdebt2(C56,F56,"",100000000))</f>
        <v/>
      </c>
      <c r="BN56" s="23" t="str">
        <f>IF(C56="","",[1]!hks_fa_exinterestdebt_current(C56,F56,"",100000000))</f>
        <v/>
      </c>
      <c r="BO56" s="23" t="str">
        <f>IF(C56="","",[1]!hks_fa_exinterestdebt_noncurrent2(C56,F56,"",100000000))</f>
        <v/>
      </c>
      <c r="BP56" s="23" t="str">
        <f>IF(C56="","",[1]!hks_fa_fcfe2(C56,F56,"",100000000))</f>
        <v/>
      </c>
      <c r="BQ56" s="23" t="str">
        <f>IF(C56="","",[1]!hks_fa_fcff2(C56,F56,"",100000000))</f>
        <v/>
      </c>
      <c r="BR56" s="35"/>
    </row>
    <row r="57" spans="1:70" s="36" customFormat="1" ht="16.5" x14ac:dyDescent="0.2">
      <c r="A57" s="2"/>
      <c r="B57" s="6"/>
      <c r="C57" s="28" t="str">
        <f>IF(表1[[#This Row],[列1]]="","",表1[[#This Row],[列1]])</f>
        <v/>
      </c>
      <c r="D57" s="19" t="str">
        <f>IF(C57="","",[1]!hks_info_name(C57))</f>
        <v/>
      </c>
      <c r="E57" s="19" t="str">
        <f ca="1">IF(C57="","",[1]!lastradeday_s(C57,TODAY()))</f>
        <v/>
      </c>
      <c r="F57" s="49" t="str">
        <f>IF(C57="","",IF(OR([1]!s_stm_rpt_e(C57,基本资料!$I$8,0)="#N/A",[1]!s_stm_rpt_e(C57,基本资料!$I$8,0)="",[1]!s_stm_rpt_e(C57,基本资料!$I$8,0)=0),[1]!s_stm_rpt_e(C57,基本资料!$I$9,0),[1]!s_stm_rpt_e(C57,基本资料!$I$8,0)))</f>
        <v/>
      </c>
      <c r="G57" s="49" t="str">
        <f>IF(C57="","",[1]!hks_info_cur2(C57,F57))</f>
        <v/>
      </c>
      <c r="H57" s="27" t="str">
        <f>IF(C57="","",[1]!hks_fa_eps_basic(C57,F57,""))</f>
        <v/>
      </c>
      <c r="I57" s="23" t="str">
        <f>IF(C57="","",[1]!hks_fa_eps_adjust2(C57,F57,""))</f>
        <v/>
      </c>
      <c r="J57" s="23" t="str">
        <f>IF(C57="","",[1]!hks_fa_bps(C57,F57,""))</f>
        <v/>
      </c>
      <c r="K57" s="25" t="str">
        <f>IF(C57="","",[1]!hks_fa_ocfps(C57,F57,""))</f>
        <v/>
      </c>
      <c r="L57" s="27" t="str">
        <f>IF(C57="","",[1]!hks_fa_grossprofitmargin(C57,F57))</f>
        <v/>
      </c>
      <c r="M57" s="23" t="str">
        <f>IF(C57="","",[1]!hks_fa_netprofitmargin(C57,F57))</f>
        <v/>
      </c>
      <c r="N57" s="23" t="str">
        <f>IF(C57="","",[1]!hks_fa_roe(C57,F57))</f>
        <v/>
      </c>
      <c r="O57" s="23" t="str">
        <f>IF(C57="","",[1]!hks_fa_roe_deducted(C57,F57))</f>
        <v/>
      </c>
      <c r="P57" s="23" t="str">
        <f>IF(C57="","",[1]!hks_fa_roa2(C57,F57))</f>
        <v/>
      </c>
      <c r="Q57" s="23" t="str">
        <f>IF(C57="","",[1]!hks_fa_roic(C57,F57))</f>
        <v/>
      </c>
      <c r="R57" s="23" t="str">
        <f>IF(C57="","",[1]!hks_fa_dupont_nptosales(C57,F57))</f>
        <v/>
      </c>
      <c r="S57" s="23" t="str">
        <f>IF(C57="","",[1]!hks_fa_dupont_ebittosales(C57,F57))</f>
        <v/>
      </c>
      <c r="T57" s="25" t="str">
        <f>IF(C57="","",[1]!hks_fa_ebitdatosales(C57,F57))</f>
        <v/>
      </c>
      <c r="U57" s="47" t="str">
        <f>IF(C57="","",[1]!hks_fa_optoebt(C57,F57))</f>
        <v/>
      </c>
      <c r="V57" s="25" t="str">
        <f>IF(C57="","",[1]!hks_fa_ocftosales(C57,F57))</f>
        <v/>
      </c>
      <c r="W57" s="27" t="str">
        <f>IF(C57="","",[1]!hks_fa_debttoassets(C57,F57))</f>
        <v/>
      </c>
      <c r="X57" s="23" t="str">
        <f>IF(C57="","",[1]!s_fa_debttoeqy(C57,F57))</f>
        <v/>
      </c>
      <c r="Y57" s="23" t="str">
        <f>IF(C57="","",[1]!hks_fa_catoassets(C57,F57))</f>
        <v/>
      </c>
      <c r="Z57" s="23" t="str">
        <f>IF(C57="","",[1]!hks_fa_ncatoassets(C57,F57))</f>
        <v/>
      </c>
      <c r="AA57" s="23" t="str">
        <f>IF(C57="","",[1]!hks_fa_currentdebttodebt(C57,F57))</f>
        <v/>
      </c>
      <c r="AB57" s="25" t="str">
        <f>IF(C57="","",[1]!hks_fa_longdebtodebt(C57,F57))</f>
        <v/>
      </c>
      <c r="AC57" s="25" t="str">
        <f>IF(C57="","",[1]!hks_fa_current(C57,F57))</f>
        <v/>
      </c>
      <c r="AD57" s="25" t="str">
        <f>IF(C57="","",[1]!hks_fa_quick(C57,F57))</f>
        <v/>
      </c>
      <c r="AE57" s="25" t="str">
        <f>IF(C57="","",[1]!hks_fa_ebittointerest(C57,F57))</f>
        <v/>
      </c>
      <c r="AF57" s="25" t="str">
        <f>IF(C57="","",[1]!hks_fa_netdebtratio(C57,F57))</f>
        <v/>
      </c>
      <c r="AG57" s="27" t="str">
        <f>IF(C57="","",[1]!hks_fa_arturn(C57,F57))</f>
        <v/>
      </c>
      <c r="AH57" s="23" t="str">
        <f>IF(C57="","",[1]!hks_fa_apturn(C57,F57))</f>
        <v/>
      </c>
      <c r="AI57" s="23" t="str">
        <f>IF(C57="","",[1]!hks_fa_invturn(C57,F57))</f>
        <v/>
      </c>
      <c r="AJ57" s="23" t="str">
        <f>IF(C57="","",[1]!hks_fa_caturn(C57,F57))</f>
        <v/>
      </c>
      <c r="AK57" s="23" t="str">
        <f>IF(C57="","",[1]!hks_fa_faturn(C57,F57))</f>
        <v/>
      </c>
      <c r="AL57" s="25" t="str">
        <f>IF(C57="","",[1]!hks_fa_assetsturn(C57,F57))</f>
        <v/>
      </c>
      <c r="AM57" s="23" t="str">
        <f>IF(C57="","",[1]!hks_fa_yoy_tr(C57,F57))</f>
        <v/>
      </c>
      <c r="AN57" s="23" t="str">
        <f>IF(C57="","",[1]!hks_fa_yoy_or(C57,F57))</f>
        <v/>
      </c>
      <c r="AO57" s="23" t="str">
        <f>IF(C57="","",[1]!hks_fa_yoyop2(C57,F57))</f>
        <v/>
      </c>
      <c r="AP57" s="23" t="str">
        <f>IF(C57="","",[1]!hks_fa_yoyebt(C57,F57))</f>
        <v/>
      </c>
      <c r="AQ57" s="23" t="str">
        <f>IF(C57="","",[1]!hks_fa_yoynetprofit(C57,F57))</f>
        <v/>
      </c>
      <c r="AR57" s="23" t="str">
        <f>IF(C57="","",[1]!hks_fa_dupont_np(C57,F57))</f>
        <v/>
      </c>
      <c r="AS57" s="23" t="str">
        <f>IF(C57="","",[1]!hks_fa_dupont_taxburden(C57,F57))</f>
        <v/>
      </c>
      <c r="AT57" s="23" t="str">
        <f>IF(C57="","",[1]!s_fa_dupont_nptosales(C57,F57))</f>
        <v/>
      </c>
      <c r="AU57" s="23" t="str">
        <f>IF(C57="","",[1]!s_fa_dupont_roe(C57,F57))</f>
        <v/>
      </c>
      <c r="AV57" s="23" t="str">
        <f>IF(C57="","",[1]!hks_fa_dupont_intburden(C57,F57))</f>
        <v/>
      </c>
      <c r="AW57" s="23" t="str">
        <f>IF(C57="","",[1]!hks_fa_dupont_assetstoequity(C57,F57))</f>
        <v/>
      </c>
      <c r="AX57" s="23" t="str">
        <f>IF(C57="","",[1]!s_fa_dupont_ebittosales(C57,F57))</f>
        <v/>
      </c>
      <c r="AY57" s="23" t="str">
        <f>IF(C57="","",[1]!hks_fa_assetsturn(C57,F57))</f>
        <v/>
      </c>
      <c r="AZ57" s="23" t="str">
        <f>IF(C57="","",[1]!hks_fa_grossmargin2(C57,F57,"",100000000))</f>
        <v/>
      </c>
      <c r="BA57" s="23" t="str">
        <f>IF(C57="","",[1]!hks_fa_ebit3(C57,F57,1,"",100000000))</f>
        <v/>
      </c>
      <c r="BB57" s="23" t="str">
        <f>IF(C57="","",[1]!hks_fa_ebitda(C57,F57,1,"",100000000))</f>
        <v/>
      </c>
      <c r="BC57" s="23" t="str">
        <f>IF(C57="","",[1]!hks_fa_ebit(C57,F57,1,"",100000000))</f>
        <v/>
      </c>
      <c r="BD57" s="23" t="str">
        <f>IF(C57="","",[1]!hks_fa_ebitda(C57,F57,1,"",100000000))</f>
        <v/>
      </c>
      <c r="BE57" s="23" t="str">
        <f>IF(C57="","",[1]!hks_fa_nogaapprofit(C57,F57,1,"",100000000))</f>
        <v/>
      </c>
      <c r="BF57" s="23" t="str">
        <f>IF(C57="","",[1]!hks_fa_deductedprofit(C57,F57,1,"",100000000))</f>
        <v/>
      </c>
      <c r="BG57" s="23" t="str">
        <f>IF(C57="","",[1]!hks_fa_retainedearnings2(C57,F57,"",100000000))</f>
        <v/>
      </c>
      <c r="BH57" s="23" t="str">
        <f>IF(C57="","",[1]!hks_fa_workingcapital2(C57,F57,"",100000000))</f>
        <v/>
      </c>
      <c r="BI57" s="23" t="str">
        <f>IF(C57="","",[1]!hks_fa_networkingcapital2(C57,F57,"",100000000))</f>
        <v/>
      </c>
      <c r="BJ57" s="23" t="str">
        <f>IF(C57="","",[1]!hks_fa_investcapital2(C57,F57,"",100000000))</f>
        <v/>
      </c>
      <c r="BK57" s="23" t="str">
        <f>IF(C57="","",[1]!hks_fa_tangibleasset2(C57,F57,"",100000000))</f>
        <v/>
      </c>
      <c r="BL57" s="23" t="str">
        <f>IF(C57="","",[1]!hks_fa_netdebt2(C57,F57,"",100000000))</f>
        <v/>
      </c>
      <c r="BM57" s="23" t="str">
        <f>IF(C57="","",[1]!hks_fa_interestdebt2(C57,F57,"",100000000))</f>
        <v/>
      </c>
      <c r="BN57" s="23" t="str">
        <f>IF(C57="","",[1]!hks_fa_exinterestdebt_current(C57,F57,"",100000000))</f>
        <v/>
      </c>
      <c r="BO57" s="23" t="str">
        <f>IF(C57="","",[1]!hks_fa_exinterestdebt_noncurrent2(C57,F57,"",100000000))</f>
        <v/>
      </c>
      <c r="BP57" s="23" t="str">
        <f>IF(C57="","",[1]!hks_fa_fcfe2(C57,F57,"",100000000))</f>
        <v/>
      </c>
      <c r="BQ57" s="23" t="str">
        <f>IF(C57="","",[1]!hks_fa_fcff2(C57,F57,"",100000000))</f>
        <v/>
      </c>
      <c r="BR57" s="35"/>
    </row>
    <row r="58" spans="1:70" s="36" customFormat="1" ht="16.5" x14ac:dyDescent="0.2">
      <c r="A58" s="2"/>
      <c r="B58" s="6"/>
      <c r="C58" s="28" t="str">
        <f>IF(表1[[#This Row],[列1]]="","",表1[[#This Row],[列1]])</f>
        <v/>
      </c>
      <c r="D58" s="19" t="str">
        <f>IF(C58="","",[1]!hks_info_name(C58))</f>
        <v/>
      </c>
      <c r="E58" s="19" t="str">
        <f ca="1">IF(C58="","",[1]!lastradeday_s(C58,TODAY()))</f>
        <v/>
      </c>
      <c r="F58" s="49" t="str">
        <f>IF(C58="","",IF(OR([1]!s_stm_rpt_e(C58,基本资料!$I$8,0)="#N/A",[1]!s_stm_rpt_e(C58,基本资料!$I$8,0)="",[1]!s_stm_rpt_e(C58,基本资料!$I$8,0)=0),[1]!s_stm_rpt_e(C58,基本资料!$I$9,0),[1]!s_stm_rpt_e(C58,基本资料!$I$8,0)))</f>
        <v/>
      </c>
      <c r="G58" s="49" t="str">
        <f>IF(C58="","",[1]!hks_info_cur2(C58,F58))</f>
        <v/>
      </c>
      <c r="H58" s="27" t="str">
        <f>IF(C58="","",[1]!hks_fa_eps_basic(C58,F58,""))</f>
        <v/>
      </c>
      <c r="I58" s="23" t="str">
        <f>IF(C58="","",[1]!hks_fa_eps_adjust2(C58,F58,""))</f>
        <v/>
      </c>
      <c r="J58" s="23" t="str">
        <f>IF(C58="","",[1]!hks_fa_bps(C58,F58,""))</f>
        <v/>
      </c>
      <c r="K58" s="25" t="str">
        <f>IF(C58="","",[1]!hks_fa_ocfps(C58,F58,""))</f>
        <v/>
      </c>
      <c r="L58" s="27" t="str">
        <f>IF(C58="","",[1]!hks_fa_grossprofitmargin(C58,F58))</f>
        <v/>
      </c>
      <c r="M58" s="23" t="str">
        <f>IF(C58="","",[1]!hks_fa_netprofitmargin(C58,F58))</f>
        <v/>
      </c>
      <c r="N58" s="23" t="str">
        <f>IF(C58="","",[1]!hks_fa_roe(C58,F58))</f>
        <v/>
      </c>
      <c r="O58" s="23" t="str">
        <f>IF(C58="","",[1]!hks_fa_roe_deducted(C58,F58))</f>
        <v/>
      </c>
      <c r="P58" s="23" t="str">
        <f>IF(C58="","",[1]!hks_fa_roa2(C58,F58))</f>
        <v/>
      </c>
      <c r="Q58" s="23" t="str">
        <f>IF(C58="","",[1]!hks_fa_roic(C58,F58))</f>
        <v/>
      </c>
      <c r="R58" s="23" t="str">
        <f>IF(C58="","",[1]!hks_fa_dupont_nptosales(C58,F58))</f>
        <v/>
      </c>
      <c r="S58" s="23" t="str">
        <f>IF(C58="","",[1]!hks_fa_dupont_ebittosales(C58,F58))</f>
        <v/>
      </c>
      <c r="T58" s="25" t="str">
        <f>IF(C58="","",[1]!hks_fa_ebitdatosales(C58,F58))</f>
        <v/>
      </c>
      <c r="U58" s="47" t="str">
        <f>IF(C58="","",[1]!hks_fa_optoebt(C58,F58))</f>
        <v/>
      </c>
      <c r="V58" s="25" t="str">
        <f>IF(C58="","",[1]!hks_fa_ocftosales(C58,F58))</f>
        <v/>
      </c>
      <c r="W58" s="27" t="str">
        <f>IF(C58="","",[1]!hks_fa_debttoassets(C58,F58))</f>
        <v/>
      </c>
      <c r="X58" s="23" t="str">
        <f>IF(C58="","",[1]!s_fa_debttoeqy(C58,F58))</f>
        <v/>
      </c>
      <c r="Y58" s="23" t="str">
        <f>IF(C58="","",[1]!hks_fa_catoassets(C58,F58))</f>
        <v/>
      </c>
      <c r="Z58" s="23" t="str">
        <f>IF(C58="","",[1]!hks_fa_ncatoassets(C58,F58))</f>
        <v/>
      </c>
      <c r="AA58" s="23" t="str">
        <f>IF(C58="","",[1]!hks_fa_currentdebttodebt(C58,F58))</f>
        <v/>
      </c>
      <c r="AB58" s="25" t="str">
        <f>IF(C58="","",[1]!hks_fa_longdebtodebt(C58,F58))</f>
        <v/>
      </c>
      <c r="AC58" s="25" t="str">
        <f>IF(C58="","",[1]!hks_fa_current(C58,F58))</f>
        <v/>
      </c>
      <c r="AD58" s="25" t="str">
        <f>IF(C58="","",[1]!hks_fa_quick(C58,F58))</f>
        <v/>
      </c>
      <c r="AE58" s="25" t="str">
        <f>IF(C58="","",[1]!hks_fa_ebittointerest(C58,F58))</f>
        <v/>
      </c>
      <c r="AF58" s="25" t="str">
        <f>IF(C58="","",[1]!hks_fa_netdebtratio(C58,F58))</f>
        <v/>
      </c>
      <c r="AG58" s="27" t="str">
        <f>IF(C58="","",[1]!hks_fa_arturn(C58,F58))</f>
        <v/>
      </c>
      <c r="AH58" s="23" t="str">
        <f>IF(C58="","",[1]!hks_fa_apturn(C58,F58))</f>
        <v/>
      </c>
      <c r="AI58" s="23" t="str">
        <f>IF(C58="","",[1]!hks_fa_invturn(C58,F58))</f>
        <v/>
      </c>
      <c r="AJ58" s="23" t="str">
        <f>IF(C58="","",[1]!hks_fa_caturn(C58,F58))</f>
        <v/>
      </c>
      <c r="AK58" s="23" t="str">
        <f>IF(C58="","",[1]!hks_fa_faturn(C58,F58))</f>
        <v/>
      </c>
      <c r="AL58" s="25" t="str">
        <f>IF(C58="","",[1]!hks_fa_assetsturn(C58,F58))</f>
        <v/>
      </c>
      <c r="AM58" s="23" t="str">
        <f>IF(C58="","",[1]!hks_fa_yoy_tr(C58,F58))</f>
        <v/>
      </c>
      <c r="AN58" s="23" t="str">
        <f>IF(C58="","",[1]!hks_fa_yoy_or(C58,F58))</f>
        <v/>
      </c>
      <c r="AO58" s="23" t="str">
        <f>IF(C58="","",[1]!hks_fa_yoyop2(C58,F58))</f>
        <v/>
      </c>
      <c r="AP58" s="23" t="str">
        <f>IF(C58="","",[1]!hks_fa_yoyebt(C58,F58))</f>
        <v/>
      </c>
      <c r="AQ58" s="23" t="str">
        <f>IF(C58="","",[1]!hks_fa_yoynetprofit(C58,F58))</f>
        <v/>
      </c>
      <c r="AR58" s="23" t="str">
        <f>IF(C58="","",[1]!hks_fa_dupont_np(C58,F58))</f>
        <v/>
      </c>
      <c r="AS58" s="23" t="str">
        <f>IF(C58="","",[1]!hks_fa_dupont_taxburden(C58,F58))</f>
        <v/>
      </c>
      <c r="AT58" s="23" t="str">
        <f>IF(C58="","",[1]!s_fa_dupont_nptosales(C58,F58))</f>
        <v/>
      </c>
      <c r="AU58" s="23" t="str">
        <f>IF(C58="","",[1]!s_fa_dupont_roe(C58,F58))</f>
        <v/>
      </c>
      <c r="AV58" s="23" t="str">
        <f>IF(C58="","",[1]!hks_fa_dupont_intburden(C58,F58))</f>
        <v/>
      </c>
      <c r="AW58" s="23" t="str">
        <f>IF(C58="","",[1]!hks_fa_dupont_assetstoequity(C58,F58))</f>
        <v/>
      </c>
      <c r="AX58" s="23" t="str">
        <f>IF(C58="","",[1]!s_fa_dupont_ebittosales(C58,F58))</f>
        <v/>
      </c>
      <c r="AY58" s="23" t="str">
        <f>IF(C58="","",[1]!hks_fa_assetsturn(C58,F58))</f>
        <v/>
      </c>
      <c r="AZ58" s="23" t="str">
        <f>IF(C58="","",[1]!hks_fa_grossmargin2(C58,F58,"",100000000))</f>
        <v/>
      </c>
      <c r="BA58" s="23" t="str">
        <f>IF(C58="","",[1]!hks_fa_ebit3(C58,F58,1,"",100000000))</f>
        <v/>
      </c>
      <c r="BB58" s="23" t="str">
        <f>IF(C58="","",[1]!hks_fa_ebitda(C58,F58,1,"",100000000))</f>
        <v/>
      </c>
      <c r="BC58" s="23" t="str">
        <f>IF(C58="","",[1]!hks_fa_ebit(C58,F58,1,"",100000000))</f>
        <v/>
      </c>
      <c r="BD58" s="23" t="str">
        <f>IF(C58="","",[1]!hks_fa_ebitda(C58,F58,1,"",100000000))</f>
        <v/>
      </c>
      <c r="BE58" s="23" t="str">
        <f>IF(C58="","",[1]!hks_fa_nogaapprofit(C58,F58,1,"",100000000))</f>
        <v/>
      </c>
      <c r="BF58" s="23" t="str">
        <f>IF(C58="","",[1]!hks_fa_deductedprofit(C58,F58,1,"",100000000))</f>
        <v/>
      </c>
      <c r="BG58" s="23" t="str">
        <f>IF(C58="","",[1]!hks_fa_retainedearnings2(C58,F58,"",100000000))</f>
        <v/>
      </c>
      <c r="BH58" s="23" t="str">
        <f>IF(C58="","",[1]!hks_fa_workingcapital2(C58,F58,"",100000000))</f>
        <v/>
      </c>
      <c r="BI58" s="23" t="str">
        <f>IF(C58="","",[1]!hks_fa_networkingcapital2(C58,F58,"",100000000))</f>
        <v/>
      </c>
      <c r="BJ58" s="23" t="str">
        <f>IF(C58="","",[1]!hks_fa_investcapital2(C58,F58,"",100000000))</f>
        <v/>
      </c>
      <c r="BK58" s="23" t="str">
        <f>IF(C58="","",[1]!hks_fa_tangibleasset2(C58,F58,"",100000000))</f>
        <v/>
      </c>
      <c r="BL58" s="23" t="str">
        <f>IF(C58="","",[1]!hks_fa_netdebt2(C58,F58,"",100000000))</f>
        <v/>
      </c>
      <c r="BM58" s="23" t="str">
        <f>IF(C58="","",[1]!hks_fa_interestdebt2(C58,F58,"",100000000))</f>
        <v/>
      </c>
      <c r="BN58" s="23" t="str">
        <f>IF(C58="","",[1]!hks_fa_exinterestdebt_current(C58,F58,"",100000000))</f>
        <v/>
      </c>
      <c r="BO58" s="23" t="str">
        <f>IF(C58="","",[1]!hks_fa_exinterestdebt_noncurrent2(C58,F58,"",100000000))</f>
        <v/>
      </c>
      <c r="BP58" s="23" t="str">
        <f>IF(C58="","",[1]!hks_fa_fcfe2(C58,F58,"",100000000))</f>
        <v/>
      </c>
      <c r="BQ58" s="23" t="str">
        <f>IF(C58="","",[1]!hks_fa_fcff2(C58,F58,"",100000000))</f>
        <v/>
      </c>
      <c r="BR58" s="35"/>
    </row>
    <row r="59" spans="1:70" s="36" customFormat="1" ht="16.5" x14ac:dyDescent="0.2">
      <c r="A59" s="2"/>
      <c r="B59" s="6"/>
      <c r="C59" s="28" t="str">
        <f>IF(表1[[#This Row],[列1]]="","",表1[[#This Row],[列1]])</f>
        <v/>
      </c>
      <c r="D59" s="19" t="str">
        <f>IF(C59="","",[1]!hks_info_name(C59))</f>
        <v/>
      </c>
      <c r="E59" s="19" t="str">
        <f ca="1">IF(C59="","",[1]!lastradeday_s(C59,TODAY()))</f>
        <v/>
      </c>
      <c r="F59" s="49" t="str">
        <f>IF(C59="","",IF(OR([1]!s_stm_rpt_e(C59,基本资料!$I$8,0)="#N/A",[1]!s_stm_rpt_e(C59,基本资料!$I$8,0)="",[1]!s_stm_rpt_e(C59,基本资料!$I$8,0)=0),[1]!s_stm_rpt_e(C59,基本资料!$I$9,0),[1]!s_stm_rpt_e(C59,基本资料!$I$8,0)))</f>
        <v/>
      </c>
      <c r="G59" s="49" t="str">
        <f>IF(C59="","",[1]!hks_info_cur2(C59,F59))</f>
        <v/>
      </c>
      <c r="H59" s="27" t="str">
        <f>IF(C59="","",[1]!hks_fa_eps_basic(C59,F59,""))</f>
        <v/>
      </c>
      <c r="I59" s="23" t="str">
        <f>IF(C59="","",[1]!hks_fa_eps_adjust2(C59,F59,""))</f>
        <v/>
      </c>
      <c r="J59" s="23" t="str">
        <f>IF(C59="","",[1]!hks_fa_bps(C59,F59,""))</f>
        <v/>
      </c>
      <c r="K59" s="25" t="str">
        <f>IF(C59="","",[1]!hks_fa_ocfps(C59,F59,""))</f>
        <v/>
      </c>
      <c r="L59" s="27" t="str">
        <f>IF(C59="","",[1]!hks_fa_grossprofitmargin(C59,F59))</f>
        <v/>
      </c>
      <c r="M59" s="23" t="str">
        <f>IF(C59="","",[1]!hks_fa_netprofitmargin(C59,F59))</f>
        <v/>
      </c>
      <c r="N59" s="23" t="str">
        <f>IF(C59="","",[1]!hks_fa_roe(C59,F59))</f>
        <v/>
      </c>
      <c r="O59" s="23" t="str">
        <f>IF(C59="","",[1]!hks_fa_roe_deducted(C59,F59))</f>
        <v/>
      </c>
      <c r="P59" s="23" t="str">
        <f>IF(C59="","",[1]!hks_fa_roa2(C59,F59))</f>
        <v/>
      </c>
      <c r="Q59" s="23" t="str">
        <f>IF(C59="","",[1]!hks_fa_roic(C59,F59))</f>
        <v/>
      </c>
      <c r="R59" s="23" t="str">
        <f>IF(C59="","",[1]!hks_fa_dupont_nptosales(C59,F59))</f>
        <v/>
      </c>
      <c r="S59" s="23" t="str">
        <f>IF(C59="","",[1]!hks_fa_dupont_ebittosales(C59,F59))</f>
        <v/>
      </c>
      <c r="T59" s="25" t="str">
        <f>IF(C59="","",[1]!hks_fa_ebitdatosales(C59,F59))</f>
        <v/>
      </c>
      <c r="U59" s="47" t="str">
        <f>IF(C59="","",[1]!hks_fa_optoebt(C59,F59))</f>
        <v/>
      </c>
      <c r="V59" s="25" t="str">
        <f>IF(C59="","",[1]!hks_fa_ocftosales(C59,F59))</f>
        <v/>
      </c>
      <c r="W59" s="27" t="str">
        <f>IF(C59="","",[1]!hks_fa_debttoassets(C59,F59))</f>
        <v/>
      </c>
      <c r="X59" s="23" t="str">
        <f>IF(C59="","",[1]!s_fa_debttoeqy(C59,F59))</f>
        <v/>
      </c>
      <c r="Y59" s="23" t="str">
        <f>IF(C59="","",[1]!hks_fa_catoassets(C59,F59))</f>
        <v/>
      </c>
      <c r="Z59" s="23" t="str">
        <f>IF(C59="","",[1]!hks_fa_ncatoassets(C59,F59))</f>
        <v/>
      </c>
      <c r="AA59" s="23" t="str">
        <f>IF(C59="","",[1]!hks_fa_currentdebttodebt(C59,F59))</f>
        <v/>
      </c>
      <c r="AB59" s="25" t="str">
        <f>IF(C59="","",[1]!hks_fa_longdebtodebt(C59,F59))</f>
        <v/>
      </c>
      <c r="AC59" s="25" t="str">
        <f>IF(C59="","",[1]!hks_fa_current(C59,F59))</f>
        <v/>
      </c>
      <c r="AD59" s="25" t="str">
        <f>IF(C59="","",[1]!hks_fa_quick(C59,F59))</f>
        <v/>
      </c>
      <c r="AE59" s="25" t="str">
        <f>IF(C59="","",[1]!hks_fa_ebittointerest(C59,F59))</f>
        <v/>
      </c>
      <c r="AF59" s="25" t="str">
        <f>IF(C59="","",[1]!hks_fa_netdebtratio(C59,F59))</f>
        <v/>
      </c>
      <c r="AG59" s="27" t="str">
        <f>IF(C59="","",[1]!hks_fa_arturn(C59,F59))</f>
        <v/>
      </c>
      <c r="AH59" s="23" t="str">
        <f>IF(C59="","",[1]!hks_fa_apturn(C59,F59))</f>
        <v/>
      </c>
      <c r="AI59" s="23" t="str">
        <f>IF(C59="","",[1]!hks_fa_invturn(C59,F59))</f>
        <v/>
      </c>
      <c r="AJ59" s="23" t="str">
        <f>IF(C59="","",[1]!hks_fa_caturn(C59,F59))</f>
        <v/>
      </c>
      <c r="AK59" s="23" t="str">
        <f>IF(C59="","",[1]!hks_fa_faturn(C59,F59))</f>
        <v/>
      </c>
      <c r="AL59" s="25" t="str">
        <f>IF(C59="","",[1]!hks_fa_assetsturn(C59,F59))</f>
        <v/>
      </c>
      <c r="AM59" s="23" t="str">
        <f>IF(C59="","",[1]!hks_fa_yoy_tr(C59,F59))</f>
        <v/>
      </c>
      <c r="AN59" s="23" t="str">
        <f>IF(C59="","",[1]!hks_fa_yoy_or(C59,F59))</f>
        <v/>
      </c>
      <c r="AO59" s="23" t="str">
        <f>IF(C59="","",[1]!hks_fa_yoyop2(C59,F59))</f>
        <v/>
      </c>
      <c r="AP59" s="23" t="str">
        <f>IF(C59="","",[1]!hks_fa_yoyebt(C59,F59))</f>
        <v/>
      </c>
      <c r="AQ59" s="23" t="str">
        <f>IF(C59="","",[1]!hks_fa_yoynetprofit(C59,F59))</f>
        <v/>
      </c>
      <c r="AR59" s="23" t="str">
        <f>IF(C59="","",[1]!hks_fa_dupont_np(C59,F59))</f>
        <v/>
      </c>
      <c r="AS59" s="23" t="str">
        <f>IF(C59="","",[1]!hks_fa_dupont_taxburden(C59,F59))</f>
        <v/>
      </c>
      <c r="AT59" s="23" t="str">
        <f>IF(C59="","",[1]!s_fa_dupont_nptosales(C59,F59))</f>
        <v/>
      </c>
      <c r="AU59" s="23" t="str">
        <f>IF(C59="","",[1]!s_fa_dupont_roe(C59,F59))</f>
        <v/>
      </c>
      <c r="AV59" s="23" t="str">
        <f>IF(C59="","",[1]!hks_fa_dupont_intburden(C59,F59))</f>
        <v/>
      </c>
      <c r="AW59" s="23" t="str">
        <f>IF(C59="","",[1]!hks_fa_dupont_assetstoequity(C59,F59))</f>
        <v/>
      </c>
      <c r="AX59" s="23" t="str">
        <f>IF(C59="","",[1]!s_fa_dupont_ebittosales(C59,F59))</f>
        <v/>
      </c>
      <c r="AY59" s="23" t="str">
        <f>IF(C59="","",[1]!hks_fa_assetsturn(C59,F59))</f>
        <v/>
      </c>
      <c r="AZ59" s="23" t="str">
        <f>IF(C59="","",[1]!hks_fa_grossmargin2(C59,F59,"",100000000))</f>
        <v/>
      </c>
      <c r="BA59" s="23" t="str">
        <f>IF(C59="","",[1]!hks_fa_ebit3(C59,F59,1,"",100000000))</f>
        <v/>
      </c>
      <c r="BB59" s="23" t="str">
        <f>IF(C59="","",[1]!hks_fa_ebitda(C59,F59,1,"",100000000))</f>
        <v/>
      </c>
      <c r="BC59" s="23" t="str">
        <f>IF(C59="","",[1]!hks_fa_ebit(C59,F59,1,"",100000000))</f>
        <v/>
      </c>
      <c r="BD59" s="23" t="str">
        <f>IF(C59="","",[1]!hks_fa_ebitda(C59,F59,1,"",100000000))</f>
        <v/>
      </c>
      <c r="BE59" s="23" t="str">
        <f>IF(C59="","",[1]!hks_fa_nogaapprofit(C59,F59,1,"",100000000))</f>
        <v/>
      </c>
      <c r="BF59" s="23" t="str">
        <f>IF(C59="","",[1]!hks_fa_deductedprofit(C59,F59,1,"",100000000))</f>
        <v/>
      </c>
      <c r="BG59" s="23" t="str">
        <f>IF(C59="","",[1]!hks_fa_retainedearnings2(C59,F59,"",100000000))</f>
        <v/>
      </c>
      <c r="BH59" s="23" t="str">
        <f>IF(C59="","",[1]!hks_fa_workingcapital2(C59,F59,"",100000000))</f>
        <v/>
      </c>
      <c r="BI59" s="23" t="str">
        <f>IF(C59="","",[1]!hks_fa_networkingcapital2(C59,F59,"",100000000))</f>
        <v/>
      </c>
      <c r="BJ59" s="23" t="str">
        <f>IF(C59="","",[1]!hks_fa_investcapital2(C59,F59,"",100000000))</f>
        <v/>
      </c>
      <c r="BK59" s="23" t="str">
        <f>IF(C59="","",[1]!hks_fa_tangibleasset2(C59,F59,"",100000000))</f>
        <v/>
      </c>
      <c r="BL59" s="23" t="str">
        <f>IF(C59="","",[1]!hks_fa_netdebt2(C59,F59,"",100000000))</f>
        <v/>
      </c>
      <c r="BM59" s="23" t="str">
        <f>IF(C59="","",[1]!hks_fa_interestdebt2(C59,F59,"",100000000))</f>
        <v/>
      </c>
      <c r="BN59" s="23" t="str">
        <f>IF(C59="","",[1]!hks_fa_exinterestdebt_current(C59,F59,"",100000000))</f>
        <v/>
      </c>
      <c r="BO59" s="23" t="str">
        <f>IF(C59="","",[1]!hks_fa_exinterestdebt_noncurrent2(C59,F59,"",100000000))</f>
        <v/>
      </c>
      <c r="BP59" s="23" t="str">
        <f>IF(C59="","",[1]!hks_fa_fcfe2(C59,F59,"",100000000))</f>
        <v/>
      </c>
      <c r="BQ59" s="23" t="str">
        <f>IF(C59="","",[1]!hks_fa_fcff2(C59,F59,"",100000000))</f>
        <v/>
      </c>
      <c r="BR59" s="35"/>
    </row>
    <row r="60" spans="1:70" s="36" customFormat="1" ht="16.5" x14ac:dyDescent="0.2">
      <c r="A60" s="2"/>
      <c r="B60" s="6"/>
      <c r="C60" s="28" t="str">
        <f>IF(表1[[#This Row],[列1]]="","",表1[[#This Row],[列1]])</f>
        <v/>
      </c>
      <c r="D60" s="19" t="str">
        <f>IF(C60="","",[1]!hks_info_name(C60))</f>
        <v/>
      </c>
      <c r="E60" s="19" t="str">
        <f ca="1">IF(C60="","",[1]!lastradeday_s(C60,TODAY()))</f>
        <v/>
      </c>
      <c r="F60" s="49" t="str">
        <f>IF(C60="","",IF(OR([1]!s_stm_rpt_e(C60,基本资料!$I$8,0)="#N/A",[1]!s_stm_rpt_e(C60,基本资料!$I$8,0)="",[1]!s_stm_rpt_e(C60,基本资料!$I$8,0)=0),[1]!s_stm_rpt_e(C60,基本资料!$I$9,0),[1]!s_stm_rpt_e(C60,基本资料!$I$8,0)))</f>
        <v/>
      </c>
      <c r="G60" s="49" t="str">
        <f>IF(C60="","",[1]!hks_info_cur2(C60,F60))</f>
        <v/>
      </c>
      <c r="H60" s="27" t="str">
        <f>IF(C60="","",[1]!hks_fa_eps_basic(C60,F60,""))</f>
        <v/>
      </c>
      <c r="I60" s="23" t="str">
        <f>IF(C60="","",[1]!hks_fa_eps_adjust2(C60,F60,""))</f>
        <v/>
      </c>
      <c r="J60" s="23" t="str">
        <f>IF(C60="","",[1]!hks_fa_bps(C60,F60,""))</f>
        <v/>
      </c>
      <c r="K60" s="25" t="str">
        <f>IF(C60="","",[1]!hks_fa_ocfps(C60,F60,""))</f>
        <v/>
      </c>
      <c r="L60" s="27" t="str">
        <f>IF(C60="","",[1]!hks_fa_grossprofitmargin(C60,F60))</f>
        <v/>
      </c>
      <c r="M60" s="23" t="str">
        <f>IF(C60="","",[1]!hks_fa_netprofitmargin(C60,F60))</f>
        <v/>
      </c>
      <c r="N60" s="23" t="str">
        <f>IF(C60="","",[1]!hks_fa_roe(C60,F60))</f>
        <v/>
      </c>
      <c r="O60" s="23" t="str">
        <f>IF(C60="","",[1]!hks_fa_roe_deducted(C60,F60))</f>
        <v/>
      </c>
      <c r="P60" s="23" t="str">
        <f>IF(C60="","",[1]!hks_fa_roa2(C60,F60))</f>
        <v/>
      </c>
      <c r="Q60" s="23" t="str">
        <f>IF(C60="","",[1]!hks_fa_roic(C60,F60))</f>
        <v/>
      </c>
      <c r="R60" s="23" t="str">
        <f>IF(C60="","",[1]!hks_fa_dupont_nptosales(C60,F60))</f>
        <v/>
      </c>
      <c r="S60" s="23" t="str">
        <f>IF(C60="","",[1]!hks_fa_dupont_ebittosales(C60,F60))</f>
        <v/>
      </c>
      <c r="T60" s="25" t="str">
        <f>IF(C60="","",[1]!hks_fa_ebitdatosales(C60,F60))</f>
        <v/>
      </c>
      <c r="U60" s="47" t="str">
        <f>IF(C60="","",[1]!hks_fa_optoebt(C60,F60))</f>
        <v/>
      </c>
      <c r="V60" s="25" t="str">
        <f>IF(C60="","",[1]!hks_fa_ocftosales(C60,F60))</f>
        <v/>
      </c>
      <c r="W60" s="27" t="str">
        <f>IF(C60="","",[1]!hks_fa_debttoassets(C60,F60))</f>
        <v/>
      </c>
      <c r="X60" s="23" t="str">
        <f>IF(C60="","",[1]!s_fa_debttoeqy(C60,F60))</f>
        <v/>
      </c>
      <c r="Y60" s="23" t="str">
        <f>IF(C60="","",[1]!hks_fa_catoassets(C60,F60))</f>
        <v/>
      </c>
      <c r="Z60" s="23" t="str">
        <f>IF(C60="","",[1]!hks_fa_ncatoassets(C60,F60))</f>
        <v/>
      </c>
      <c r="AA60" s="23" t="str">
        <f>IF(C60="","",[1]!hks_fa_currentdebttodebt(C60,F60))</f>
        <v/>
      </c>
      <c r="AB60" s="25" t="str">
        <f>IF(C60="","",[1]!hks_fa_longdebtodebt(C60,F60))</f>
        <v/>
      </c>
      <c r="AC60" s="25" t="str">
        <f>IF(C60="","",[1]!hks_fa_current(C60,F60))</f>
        <v/>
      </c>
      <c r="AD60" s="25" t="str">
        <f>IF(C60="","",[1]!hks_fa_quick(C60,F60))</f>
        <v/>
      </c>
      <c r="AE60" s="25" t="str">
        <f>IF(C60="","",[1]!hks_fa_ebittointerest(C60,F60))</f>
        <v/>
      </c>
      <c r="AF60" s="25" t="str">
        <f>IF(C60="","",[1]!hks_fa_netdebtratio(C60,F60))</f>
        <v/>
      </c>
      <c r="AG60" s="27" t="str">
        <f>IF(C60="","",[1]!hks_fa_arturn(C60,F60))</f>
        <v/>
      </c>
      <c r="AH60" s="23" t="str">
        <f>IF(C60="","",[1]!hks_fa_apturn(C60,F60))</f>
        <v/>
      </c>
      <c r="AI60" s="23" t="str">
        <f>IF(C60="","",[1]!hks_fa_invturn(C60,F60))</f>
        <v/>
      </c>
      <c r="AJ60" s="23" t="str">
        <f>IF(C60="","",[1]!hks_fa_caturn(C60,F60))</f>
        <v/>
      </c>
      <c r="AK60" s="23" t="str">
        <f>IF(C60="","",[1]!hks_fa_faturn(C60,F60))</f>
        <v/>
      </c>
      <c r="AL60" s="25" t="str">
        <f>IF(C60="","",[1]!hks_fa_assetsturn(C60,F60))</f>
        <v/>
      </c>
      <c r="AM60" s="23" t="str">
        <f>IF(C60="","",[1]!hks_fa_yoy_tr(C60,F60))</f>
        <v/>
      </c>
      <c r="AN60" s="23" t="str">
        <f>IF(C60="","",[1]!hks_fa_yoy_or(C60,F60))</f>
        <v/>
      </c>
      <c r="AO60" s="23" t="str">
        <f>IF(C60="","",[1]!hks_fa_yoyop2(C60,F60))</f>
        <v/>
      </c>
      <c r="AP60" s="23" t="str">
        <f>IF(C60="","",[1]!hks_fa_yoyebt(C60,F60))</f>
        <v/>
      </c>
      <c r="AQ60" s="23" t="str">
        <f>IF(C60="","",[1]!hks_fa_yoynetprofit(C60,F60))</f>
        <v/>
      </c>
      <c r="AR60" s="23" t="str">
        <f>IF(C60="","",[1]!hks_fa_dupont_np(C60,F60))</f>
        <v/>
      </c>
      <c r="AS60" s="23" t="str">
        <f>IF(C60="","",[1]!hks_fa_dupont_taxburden(C60,F60))</f>
        <v/>
      </c>
      <c r="AT60" s="23" t="str">
        <f>IF(C60="","",[1]!s_fa_dupont_nptosales(C60,F60))</f>
        <v/>
      </c>
      <c r="AU60" s="23" t="str">
        <f>IF(C60="","",[1]!s_fa_dupont_roe(C60,F60))</f>
        <v/>
      </c>
      <c r="AV60" s="23" t="str">
        <f>IF(C60="","",[1]!hks_fa_dupont_intburden(C60,F60))</f>
        <v/>
      </c>
      <c r="AW60" s="23" t="str">
        <f>IF(C60="","",[1]!hks_fa_dupont_assetstoequity(C60,F60))</f>
        <v/>
      </c>
      <c r="AX60" s="23" t="str">
        <f>IF(C60="","",[1]!s_fa_dupont_ebittosales(C60,F60))</f>
        <v/>
      </c>
      <c r="AY60" s="23" t="str">
        <f>IF(C60="","",[1]!hks_fa_assetsturn(C60,F60))</f>
        <v/>
      </c>
      <c r="AZ60" s="23" t="str">
        <f>IF(C60="","",[1]!hks_fa_grossmargin2(C60,F60,"",100000000))</f>
        <v/>
      </c>
      <c r="BA60" s="23" t="str">
        <f>IF(C60="","",[1]!hks_fa_ebit3(C60,F60,1,"",100000000))</f>
        <v/>
      </c>
      <c r="BB60" s="23" t="str">
        <f>IF(C60="","",[1]!hks_fa_ebitda(C60,F60,1,"",100000000))</f>
        <v/>
      </c>
      <c r="BC60" s="23" t="str">
        <f>IF(C60="","",[1]!hks_fa_ebit(C60,F60,1,"",100000000))</f>
        <v/>
      </c>
      <c r="BD60" s="23" t="str">
        <f>IF(C60="","",[1]!hks_fa_ebitda(C60,F60,1,"",100000000))</f>
        <v/>
      </c>
      <c r="BE60" s="23" t="str">
        <f>IF(C60="","",[1]!hks_fa_nogaapprofit(C60,F60,1,"",100000000))</f>
        <v/>
      </c>
      <c r="BF60" s="23" t="str">
        <f>IF(C60="","",[1]!hks_fa_deductedprofit(C60,F60,1,"",100000000))</f>
        <v/>
      </c>
      <c r="BG60" s="23" t="str">
        <f>IF(C60="","",[1]!hks_fa_retainedearnings2(C60,F60,"",100000000))</f>
        <v/>
      </c>
      <c r="BH60" s="23" t="str">
        <f>IF(C60="","",[1]!hks_fa_workingcapital2(C60,F60,"",100000000))</f>
        <v/>
      </c>
      <c r="BI60" s="23" t="str">
        <f>IF(C60="","",[1]!hks_fa_networkingcapital2(C60,F60,"",100000000))</f>
        <v/>
      </c>
      <c r="BJ60" s="23" t="str">
        <f>IF(C60="","",[1]!hks_fa_investcapital2(C60,F60,"",100000000))</f>
        <v/>
      </c>
      <c r="BK60" s="23" t="str">
        <f>IF(C60="","",[1]!hks_fa_tangibleasset2(C60,F60,"",100000000))</f>
        <v/>
      </c>
      <c r="BL60" s="23" t="str">
        <f>IF(C60="","",[1]!hks_fa_netdebt2(C60,F60,"",100000000))</f>
        <v/>
      </c>
      <c r="BM60" s="23" t="str">
        <f>IF(C60="","",[1]!hks_fa_interestdebt2(C60,F60,"",100000000))</f>
        <v/>
      </c>
      <c r="BN60" s="23" t="str">
        <f>IF(C60="","",[1]!hks_fa_exinterestdebt_current(C60,F60,"",100000000))</f>
        <v/>
      </c>
      <c r="BO60" s="23" t="str">
        <f>IF(C60="","",[1]!hks_fa_exinterestdebt_noncurrent2(C60,F60,"",100000000))</f>
        <v/>
      </c>
      <c r="BP60" s="23" t="str">
        <f>IF(C60="","",[1]!hks_fa_fcfe2(C60,F60,"",100000000))</f>
        <v/>
      </c>
      <c r="BQ60" s="23" t="str">
        <f>IF(C60="","",[1]!hks_fa_fcff2(C60,F60,"",100000000))</f>
        <v/>
      </c>
      <c r="BR60" s="35"/>
    </row>
    <row r="61" spans="1:70" s="36" customFormat="1" ht="16.5" x14ac:dyDescent="0.2">
      <c r="A61" s="2"/>
      <c r="B61" s="6"/>
      <c r="C61" s="28" t="str">
        <f>IF(表1[[#This Row],[列1]]="","",表1[[#This Row],[列1]])</f>
        <v/>
      </c>
      <c r="D61" s="19" t="str">
        <f>IF(C61="","",[1]!hks_info_name(C61))</f>
        <v/>
      </c>
      <c r="E61" s="19" t="str">
        <f ca="1">IF(C61="","",[1]!lastradeday_s(C61,TODAY()))</f>
        <v/>
      </c>
      <c r="F61" s="49" t="str">
        <f>IF(C61="","",IF(OR([1]!s_stm_rpt_e(C61,基本资料!$I$8,0)="#N/A",[1]!s_stm_rpt_e(C61,基本资料!$I$8,0)="",[1]!s_stm_rpt_e(C61,基本资料!$I$8,0)=0),[1]!s_stm_rpt_e(C61,基本资料!$I$9,0),[1]!s_stm_rpt_e(C61,基本资料!$I$8,0)))</f>
        <v/>
      </c>
      <c r="G61" s="49" t="str">
        <f>IF(C61="","",[1]!hks_info_cur2(C61,F61))</f>
        <v/>
      </c>
      <c r="H61" s="27" t="str">
        <f>IF(C61="","",[1]!hks_fa_eps_basic(C61,F61,""))</f>
        <v/>
      </c>
      <c r="I61" s="23" t="str">
        <f>IF(C61="","",[1]!hks_fa_eps_adjust2(C61,F61,""))</f>
        <v/>
      </c>
      <c r="J61" s="23" t="str">
        <f>IF(C61="","",[1]!hks_fa_bps(C61,F61,""))</f>
        <v/>
      </c>
      <c r="K61" s="25" t="str">
        <f>IF(C61="","",[1]!hks_fa_ocfps(C61,F61,""))</f>
        <v/>
      </c>
      <c r="L61" s="27" t="str">
        <f>IF(C61="","",[1]!hks_fa_grossprofitmargin(C61,F61))</f>
        <v/>
      </c>
      <c r="M61" s="23" t="str">
        <f>IF(C61="","",[1]!hks_fa_netprofitmargin(C61,F61))</f>
        <v/>
      </c>
      <c r="N61" s="23" t="str">
        <f>IF(C61="","",[1]!hks_fa_roe(C61,F61))</f>
        <v/>
      </c>
      <c r="O61" s="23" t="str">
        <f>IF(C61="","",[1]!hks_fa_roe_deducted(C61,F61))</f>
        <v/>
      </c>
      <c r="P61" s="23" t="str">
        <f>IF(C61="","",[1]!hks_fa_roa2(C61,F61))</f>
        <v/>
      </c>
      <c r="Q61" s="23" t="str">
        <f>IF(C61="","",[1]!hks_fa_roic(C61,F61))</f>
        <v/>
      </c>
      <c r="R61" s="23" t="str">
        <f>IF(C61="","",[1]!hks_fa_dupont_nptosales(C61,F61))</f>
        <v/>
      </c>
      <c r="S61" s="23" t="str">
        <f>IF(C61="","",[1]!hks_fa_dupont_ebittosales(C61,F61))</f>
        <v/>
      </c>
      <c r="T61" s="25" t="str">
        <f>IF(C61="","",[1]!hks_fa_ebitdatosales(C61,F61))</f>
        <v/>
      </c>
      <c r="U61" s="47" t="str">
        <f>IF(C61="","",[1]!hks_fa_optoebt(C61,F61))</f>
        <v/>
      </c>
      <c r="V61" s="25" t="str">
        <f>IF(C61="","",[1]!hks_fa_ocftosales(C61,F61))</f>
        <v/>
      </c>
      <c r="W61" s="27" t="str">
        <f>IF(C61="","",[1]!hks_fa_debttoassets(C61,F61))</f>
        <v/>
      </c>
      <c r="X61" s="23" t="str">
        <f>IF(C61="","",[1]!s_fa_debttoeqy(C61,F61))</f>
        <v/>
      </c>
      <c r="Y61" s="23" t="str">
        <f>IF(C61="","",[1]!hks_fa_catoassets(C61,F61))</f>
        <v/>
      </c>
      <c r="Z61" s="23" t="str">
        <f>IF(C61="","",[1]!hks_fa_ncatoassets(C61,F61))</f>
        <v/>
      </c>
      <c r="AA61" s="23" t="str">
        <f>IF(C61="","",[1]!hks_fa_currentdebttodebt(C61,F61))</f>
        <v/>
      </c>
      <c r="AB61" s="25" t="str">
        <f>IF(C61="","",[1]!hks_fa_longdebtodebt(C61,F61))</f>
        <v/>
      </c>
      <c r="AC61" s="25" t="str">
        <f>IF(C61="","",[1]!hks_fa_current(C61,F61))</f>
        <v/>
      </c>
      <c r="AD61" s="25" t="str">
        <f>IF(C61="","",[1]!hks_fa_quick(C61,F61))</f>
        <v/>
      </c>
      <c r="AE61" s="25" t="str">
        <f>IF(C61="","",[1]!hks_fa_ebittointerest(C61,F61))</f>
        <v/>
      </c>
      <c r="AF61" s="25" t="str">
        <f>IF(C61="","",[1]!hks_fa_netdebtratio(C61,F61))</f>
        <v/>
      </c>
      <c r="AG61" s="27" t="str">
        <f>IF(C61="","",[1]!hks_fa_arturn(C61,F61))</f>
        <v/>
      </c>
      <c r="AH61" s="23" t="str">
        <f>IF(C61="","",[1]!hks_fa_apturn(C61,F61))</f>
        <v/>
      </c>
      <c r="AI61" s="23" t="str">
        <f>IF(C61="","",[1]!hks_fa_invturn(C61,F61))</f>
        <v/>
      </c>
      <c r="AJ61" s="23" t="str">
        <f>IF(C61="","",[1]!hks_fa_caturn(C61,F61))</f>
        <v/>
      </c>
      <c r="AK61" s="23" t="str">
        <f>IF(C61="","",[1]!hks_fa_faturn(C61,F61))</f>
        <v/>
      </c>
      <c r="AL61" s="25" t="str">
        <f>IF(C61="","",[1]!hks_fa_assetsturn(C61,F61))</f>
        <v/>
      </c>
      <c r="AM61" s="23" t="str">
        <f>IF(C61="","",[1]!hks_fa_yoy_tr(C61,F61))</f>
        <v/>
      </c>
      <c r="AN61" s="23" t="str">
        <f>IF(C61="","",[1]!hks_fa_yoy_or(C61,F61))</f>
        <v/>
      </c>
      <c r="AO61" s="23" t="str">
        <f>IF(C61="","",[1]!hks_fa_yoyop2(C61,F61))</f>
        <v/>
      </c>
      <c r="AP61" s="23" t="str">
        <f>IF(C61="","",[1]!hks_fa_yoyebt(C61,F61))</f>
        <v/>
      </c>
      <c r="AQ61" s="23" t="str">
        <f>IF(C61="","",[1]!hks_fa_yoynetprofit(C61,F61))</f>
        <v/>
      </c>
      <c r="AR61" s="23" t="str">
        <f>IF(C61="","",[1]!hks_fa_dupont_np(C61,F61))</f>
        <v/>
      </c>
      <c r="AS61" s="23" t="str">
        <f>IF(C61="","",[1]!hks_fa_dupont_taxburden(C61,F61))</f>
        <v/>
      </c>
      <c r="AT61" s="23" t="str">
        <f>IF(C61="","",[1]!s_fa_dupont_nptosales(C61,F61))</f>
        <v/>
      </c>
      <c r="AU61" s="23" t="str">
        <f>IF(C61="","",[1]!s_fa_dupont_roe(C61,F61))</f>
        <v/>
      </c>
      <c r="AV61" s="23" t="str">
        <f>IF(C61="","",[1]!hks_fa_dupont_intburden(C61,F61))</f>
        <v/>
      </c>
      <c r="AW61" s="23" t="str">
        <f>IF(C61="","",[1]!hks_fa_dupont_assetstoequity(C61,F61))</f>
        <v/>
      </c>
      <c r="AX61" s="23" t="str">
        <f>IF(C61="","",[1]!s_fa_dupont_ebittosales(C61,F61))</f>
        <v/>
      </c>
      <c r="AY61" s="23" t="str">
        <f>IF(C61="","",[1]!hks_fa_assetsturn(C61,F61))</f>
        <v/>
      </c>
      <c r="AZ61" s="23" t="str">
        <f>IF(C61="","",[1]!hks_fa_grossmargin2(C61,F61,"",100000000))</f>
        <v/>
      </c>
      <c r="BA61" s="23" t="str">
        <f>IF(C61="","",[1]!hks_fa_ebit3(C61,F61,1,"",100000000))</f>
        <v/>
      </c>
      <c r="BB61" s="23" t="str">
        <f>IF(C61="","",[1]!hks_fa_ebitda(C61,F61,1,"",100000000))</f>
        <v/>
      </c>
      <c r="BC61" s="23" t="str">
        <f>IF(C61="","",[1]!hks_fa_ebit(C61,F61,1,"",100000000))</f>
        <v/>
      </c>
      <c r="BD61" s="23" t="str">
        <f>IF(C61="","",[1]!hks_fa_ebitda(C61,F61,1,"",100000000))</f>
        <v/>
      </c>
      <c r="BE61" s="23" t="str">
        <f>IF(C61="","",[1]!hks_fa_nogaapprofit(C61,F61,1,"",100000000))</f>
        <v/>
      </c>
      <c r="BF61" s="23" t="str">
        <f>IF(C61="","",[1]!hks_fa_deductedprofit(C61,F61,1,"",100000000))</f>
        <v/>
      </c>
      <c r="BG61" s="23" t="str">
        <f>IF(C61="","",[1]!hks_fa_retainedearnings2(C61,F61,"",100000000))</f>
        <v/>
      </c>
      <c r="BH61" s="23" t="str">
        <f>IF(C61="","",[1]!hks_fa_workingcapital2(C61,F61,"",100000000))</f>
        <v/>
      </c>
      <c r="BI61" s="23" t="str">
        <f>IF(C61="","",[1]!hks_fa_networkingcapital2(C61,F61,"",100000000))</f>
        <v/>
      </c>
      <c r="BJ61" s="23" t="str">
        <f>IF(C61="","",[1]!hks_fa_investcapital2(C61,F61,"",100000000))</f>
        <v/>
      </c>
      <c r="BK61" s="23" t="str">
        <f>IF(C61="","",[1]!hks_fa_tangibleasset2(C61,F61,"",100000000))</f>
        <v/>
      </c>
      <c r="BL61" s="23" t="str">
        <f>IF(C61="","",[1]!hks_fa_netdebt2(C61,F61,"",100000000))</f>
        <v/>
      </c>
      <c r="BM61" s="23" t="str">
        <f>IF(C61="","",[1]!hks_fa_interestdebt2(C61,F61,"",100000000))</f>
        <v/>
      </c>
      <c r="BN61" s="23" t="str">
        <f>IF(C61="","",[1]!hks_fa_exinterestdebt_current(C61,F61,"",100000000))</f>
        <v/>
      </c>
      <c r="BO61" s="23" t="str">
        <f>IF(C61="","",[1]!hks_fa_exinterestdebt_noncurrent2(C61,F61,"",100000000))</f>
        <v/>
      </c>
      <c r="BP61" s="23" t="str">
        <f>IF(C61="","",[1]!hks_fa_fcfe2(C61,F61,"",100000000))</f>
        <v/>
      </c>
      <c r="BQ61" s="23" t="str">
        <f>IF(C61="","",[1]!hks_fa_fcff2(C61,F61,"",100000000))</f>
        <v/>
      </c>
      <c r="BR61" s="35"/>
    </row>
    <row r="62" spans="1:70" s="36" customFormat="1" ht="16.5" x14ac:dyDescent="0.2">
      <c r="A62" s="2"/>
      <c r="B62" s="6"/>
      <c r="C62" s="28" t="str">
        <f>IF(表1[[#This Row],[列1]]="","",表1[[#This Row],[列1]])</f>
        <v/>
      </c>
      <c r="D62" s="19" t="str">
        <f>IF(C62="","",[1]!hks_info_name(C62))</f>
        <v/>
      </c>
      <c r="E62" s="19" t="str">
        <f ca="1">IF(C62="","",[1]!lastradeday_s(C62,TODAY()))</f>
        <v/>
      </c>
      <c r="F62" s="49" t="str">
        <f>IF(C62="","",IF(OR([1]!s_stm_rpt_e(C62,基本资料!$I$8,0)="#N/A",[1]!s_stm_rpt_e(C62,基本资料!$I$8,0)="",[1]!s_stm_rpt_e(C62,基本资料!$I$8,0)=0),[1]!s_stm_rpt_e(C62,基本资料!$I$9,0),[1]!s_stm_rpt_e(C62,基本资料!$I$8,0)))</f>
        <v/>
      </c>
      <c r="G62" s="49" t="str">
        <f>IF(C62="","",[1]!hks_info_cur2(C62,F62))</f>
        <v/>
      </c>
      <c r="H62" s="27" t="str">
        <f>IF(C62="","",[1]!hks_fa_eps_basic(C62,F62,""))</f>
        <v/>
      </c>
      <c r="I62" s="23" t="str">
        <f>IF(C62="","",[1]!hks_fa_eps_adjust2(C62,F62,""))</f>
        <v/>
      </c>
      <c r="J62" s="23" t="str">
        <f>IF(C62="","",[1]!hks_fa_bps(C62,F62,""))</f>
        <v/>
      </c>
      <c r="K62" s="25" t="str">
        <f>IF(C62="","",[1]!hks_fa_ocfps(C62,F62,""))</f>
        <v/>
      </c>
      <c r="L62" s="27" t="str">
        <f>IF(C62="","",[1]!hks_fa_grossprofitmargin(C62,F62))</f>
        <v/>
      </c>
      <c r="M62" s="23" t="str">
        <f>IF(C62="","",[1]!hks_fa_netprofitmargin(C62,F62))</f>
        <v/>
      </c>
      <c r="N62" s="23" t="str">
        <f>IF(C62="","",[1]!hks_fa_roe(C62,F62))</f>
        <v/>
      </c>
      <c r="O62" s="23" t="str">
        <f>IF(C62="","",[1]!hks_fa_roe_deducted(C62,F62))</f>
        <v/>
      </c>
      <c r="P62" s="23" t="str">
        <f>IF(C62="","",[1]!hks_fa_roa2(C62,F62))</f>
        <v/>
      </c>
      <c r="Q62" s="23" t="str">
        <f>IF(C62="","",[1]!hks_fa_roic(C62,F62))</f>
        <v/>
      </c>
      <c r="R62" s="23" t="str">
        <f>IF(C62="","",[1]!hks_fa_dupont_nptosales(C62,F62))</f>
        <v/>
      </c>
      <c r="S62" s="23" t="str">
        <f>IF(C62="","",[1]!hks_fa_dupont_ebittosales(C62,F62))</f>
        <v/>
      </c>
      <c r="T62" s="25" t="str">
        <f>IF(C62="","",[1]!hks_fa_ebitdatosales(C62,F62))</f>
        <v/>
      </c>
      <c r="U62" s="47" t="str">
        <f>IF(C62="","",[1]!hks_fa_optoebt(C62,F62))</f>
        <v/>
      </c>
      <c r="V62" s="25" t="str">
        <f>IF(C62="","",[1]!hks_fa_ocftosales(C62,F62))</f>
        <v/>
      </c>
      <c r="W62" s="27" t="str">
        <f>IF(C62="","",[1]!hks_fa_debttoassets(C62,F62))</f>
        <v/>
      </c>
      <c r="X62" s="23" t="str">
        <f>IF(C62="","",[1]!s_fa_debttoeqy(C62,F62))</f>
        <v/>
      </c>
      <c r="Y62" s="23" t="str">
        <f>IF(C62="","",[1]!hks_fa_catoassets(C62,F62))</f>
        <v/>
      </c>
      <c r="Z62" s="23" t="str">
        <f>IF(C62="","",[1]!hks_fa_ncatoassets(C62,F62))</f>
        <v/>
      </c>
      <c r="AA62" s="23" t="str">
        <f>IF(C62="","",[1]!hks_fa_currentdebttodebt(C62,F62))</f>
        <v/>
      </c>
      <c r="AB62" s="25" t="str">
        <f>IF(C62="","",[1]!hks_fa_longdebtodebt(C62,F62))</f>
        <v/>
      </c>
      <c r="AC62" s="25" t="str">
        <f>IF(C62="","",[1]!hks_fa_current(C62,F62))</f>
        <v/>
      </c>
      <c r="AD62" s="25" t="str">
        <f>IF(C62="","",[1]!hks_fa_quick(C62,F62))</f>
        <v/>
      </c>
      <c r="AE62" s="25" t="str">
        <f>IF(C62="","",[1]!hks_fa_ebittointerest(C62,F62))</f>
        <v/>
      </c>
      <c r="AF62" s="25" t="str">
        <f>IF(C62="","",[1]!hks_fa_netdebtratio(C62,F62))</f>
        <v/>
      </c>
      <c r="AG62" s="27" t="str">
        <f>IF(C62="","",[1]!hks_fa_arturn(C62,F62))</f>
        <v/>
      </c>
      <c r="AH62" s="23" t="str">
        <f>IF(C62="","",[1]!hks_fa_apturn(C62,F62))</f>
        <v/>
      </c>
      <c r="AI62" s="23" t="str">
        <f>IF(C62="","",[1]!hks_fa_invturn(C62,F62))</f>
        <v/>
      </c>
      <c r="AJ62" s="23" t="str">
        <f>IF(C62="","",[1]!hks_fa_caturn(C62,F62))</f>
        <v/>
      </c>
      <c r="AK62" s="23" t="str">
        <f>IF(C62="","",[1]!hks_fa_faturn(C62,F62))</f>
        <v/>
      </c>
      <c r="AL62" s="25" t="str">
        <f>IF(C62="","",[1]!hks_fa_assetsturn(C62,F62))</f>
        <v/>
      </c>
      <c r="AM62" s="23" t="str">
        <f>IF(C62="","",[1]!hks_fa_yoy_tr(C62,F62))</f>
        <v/>
      </c>
      <c r="AN62" s="23" t="str">
        <f>IF(C62="","",[1]!hks_fa_yoy_or(C62,F62))</f>
        <v/>
      </c>
      <c r="AO62" s="23" t="str">
        <f>IF(C62="","",[1]!hks_fa_yoyop2(C62,F62))</f>
        <v/>
      </c>
      <c r="AP62" s="23" t="str">
        <f>IF(C62="","",[1]!hks_fa_yoyebt(C62,F62))</f>
        <v/>
      </c>
      <c r="AQ62" s="23" t="str">
        <f>IF(C62="","",[1]!hks_fa_yoynetprofit(C62,F62))</f>
        <v/>
      </c>
      <c r="AR62" s="23" t="str">
        <f>IF(C62="","",[1]!hks_fa_dupont_np(C62,F62))</f>
        <v/>
      </c>
      <c r="AS62" s="23" t="str">
        <f>IF(C62="","",[1]!hks_fa_dupont_taxburden(C62,F62))</f>
        <v/>
      </c>
      <c r="AT62" s="23" t="str">
        <f>IF(C62="","",[1]!s_fa_dupont_nptosales(C62,F62))</f>
        <v/>
      </c>
      <c r="AU62" s="23" t="str">
        <f>IF(C62="","",[1]!s_fa_dupont_roe(C62,F62))</f>
        <v/>
      </c>
      <c r="AV62" s="23" t="str">
        <f>IF(C62="","",[1]!hks_fa_dupont_intburden(C62,F62))</f>
        <v/>
      </c>
      <c r="AW62" s="23" t="str">
        <f>IF(C62="","",[1]!hks_fa_dupont_assetstoequity(C62,F62))</f>
        <v/>
      </c>
      <c r="AX62" s="23" t="str">
        <f>IF(C62="","",[1]!s_fa_dupont_ebittosales(C62,F62))</f>
        <v/>
      </c>
      <c r="AY62" s="23" t="str">
        <f>IF(C62="","",[1]!hks_fa_assetsturn(C62,F62))</f>
        <v/>
      </c>
      <c r="AZ62" s="23" t="str">
        <f>IF(C62="","",[1]!hks_fa_grossmargin2(C62,F62,"",100000000))</f>
        <v/>
      </c>
      <c r="BA62" s="23" t="str">
        <f>IF(C62="","",[1]!hks_fa_ebit3(C62,F62,1,"",100000000))</f>
        <v/>
      </c>
      <c r="BB62" s="23" t="str">
        <f>IF(C62="","",[1]!hks_fa_ebitda(C62,F62,1,"",100000000))</f>
        <v/>
      </c>
      <c r="BC62" s="23" t="str">
        <f>IF(C62="","",[1]!hks_fa_ebit(C62,F62,1,"",100000000))</f>
        <v/>
      </c>
      <c r="BD62" s="23" t="str">
        <f>IF(C62="","",[1]!hks_fa_ebitda(C62,F62,1,"",100000000))</f>
        <v/>
      </c>
      <c r="BE62" s="23" t="str">
        <f>IF(C62="","",[1]!hks_fa_nogaapprofit(C62,F62,1,"",100000000))</f>
        <v/>
      </c>
      <c r="BF62" s="23" t="str">
        <f>IF(C62="","",[1]!hks_fa_deductedprofit(C62,F62,1,"",100000000))</f>
        <v/>
      </c>
      <c r="BG62" s="23" t="str">
        <f>IF(C62="","",[1]!hks_fa_retainedearnings2(C62,F62,"",100000000))</f>
        <v/>
      </c>
      <c r="BH62" s="23" t="str">
        <f>IF(C62="","",[1]!hks_fa_workingcapital2(C62,F62,"",100000000))</f>
        <v/>
      </c>
      <c r="BI62" s="23" t="str">
        <f>IF(C62="","",[1]!hks_fa_networkingcapital2(C62,F62,"",100000000))</f>
        <v/>
      </c>
      <c r="BJ62" s="23" t="str">
        <f>IF(C62="","",[1]!hks_fa_investcapital2(C62,F62,"",100000000))</f>
        <v/>
      </c>
      <c r="BK62" s="23" t="str">
        <f>IF(C62="","",[1]!hks_fa_tangibleasset2(C62,F62,"",100000000))</f>
        <v/>
      </c>
      <c r="BL62" s="23" t="str">
        <f>IF(C62="","",[1]!hks_fa_netdebt2(C62,F62,"",100000000))</f>
        <v/>
      </c>
      <c r="BM62" s="23" t="str">
        <f>IF(C62="","",[1]!hks_fa_interestdebt2(C62,F62,"",100000000))</f>
        <v/>
      </c>
      <c r="BN62" s="23" t="str">
        <f>IF(C62="","",[1]!hks_fa_exinterestdebt_current(C62,F62,"",100000000))</f>
        <v/>
      </c>
      <c r="BO62" s="23" t="str">
        <f>IF(C62="","",[1]!hks_fa_exinterestdebt_noncurrent2(C62,F62,"",100000000))</f>
        <v/>
      </c>
      <c r="BP62" s="23" t="str">
        <f>IF(C62="","",[1]!hks_fa_fcfe2(C62,F62,"",100000000))</f>
        <v/>
      </c>
      <c r="BQ62" s="23" t="str">
        <f>IF(C62="","",[1]!hks_fa_fcff2(C62,F62,"",100000000))</f>
        <v/>
      </c>
      <c r="BR62" s="35"/>
    </row>
    <row r="63" spans="1:70" s="36" customFormat="1" ht="16.5" x14ac:dyDescent="0.2">
      <c r="A63" s="2"/>
      <c r="B63" s="6"/>
      <c r="C63" s="28" t="str">
        <f>IF(表1[[#This Row],[列1]]="","",表1[[#This Row],[列1]])</f>
        <v/>
      </c>
      <c r="D63" s="19" t="str">
        <f>IF(C63="","",[1]!hks_info_name(C63))</f>
        <v/>
      </c>
      <c r="E63" s="19" t="str">
        <f ca="1">IF(C63="","",[1]!lastradeday_s(C63,TODAY()))</f>
        <v/>
      </c>
      <c r="F63" s="49" t="str">
        <f>IF(C63="","",IF(OR([1]!s_stm_rpt_e(C63,基本资料!$I$8,0)="#N/A",[1]!s_stm_rpt_e(C63,基本资料!$I$8,0)="",[1]!s_stm_rpt_e(C63,基本资料!$I$8,0)=0),[1]!s_stm_rpt_e(C63,基本资料!$I$9,0),[1]!s_stm_rpt_e(C63,基本资料!$I$8,0)))</f>
        <v/>
      </c>
      <c r="G63" s="49" t="str">
        <f>IF(C63="","",[1]!hks_info_cur2(C63,F63))</f>
        <v/>
      </c>
      <c r="H63" s="27" t="str">
        <f>IF(C63="","",[1]!hks_fa_eps_basic(C63,F63,""))</f>
        <v/>
      </c>
      <c r="I63" s="23" t="str">
        <f>IF(C63="","",[1]!hks_fa_eps_adjust2(C63,F63,""))</f>
        <v/>
      </c>
      <c r="J63" s="23" t="str">
        <f>IF(C63="","",[1]!hks_fa_bps(C63,F63,""))</f>
        <v/>
      </c>
      <c r="K63" s="25" t="str">
        <f>IF(C63="","",[1]!hks_fa_ocfps(C63,F63,""))</f>
        <v/>
      </c>
      <c r="L63" s="27" t="str">
        <f>IF(C63="","",[1]!hks_fa_grossprofitmargin(C63,F63))</f>
        <v/>
      </c>
      <c r="M63" s="23" t="str">
        <f>IF(C63="","",[1]!hks_fa_netprofitmargin(C63,F63))</f>
        <v/>
      </c>
      <c r="N63" s="23" t="str">
        <f>IF(C63="","",[1]!hks_fa_roe(C63,F63))</f>
        <v/>
      </c>
      <c r="O63" s="23" t="str">
        <f>IF(C63="","",[1]!hks_fa_roe_deducted(C63,F63))</f>
        <v/>
      </c>
      <c r="P63" s="23" t="str">
        <f>IF(C63="","",[1]!hks_fa_roa2(C63,F63))</f>
        <v/>
      </c>
      <c r="Q63" s="23" t="str">
        <f>IF(C63="","",[1]!hks_fa_roic(C63,F63))</f>
        <v/>
      </c>
      <c r="R63" s="23" t="str">
        <f>IF(C63="","",[1]!hks_fa_dupont_nptosales(C63,F63))</f>
        <v/>
      </c>
      <c r="S63" s="23" t="str">
        <f>IF(C63="","",[1]!hks_fa_dupont_ebittosales(C63,F63))</f>
        <v/>
      </c>
      <c r="T63" s="25" t="str">
        <f>IF(C63="","",[1]!hks_fa_ebitdatosales(C63,F63))</f>
        <v/>
      </c>
      <c r="U63" s="47" t="str">
        <f>IF(C63="","",[1]!hks_fa_optoebt(C63,F63))</f>
        <v/>
      </c>
      <c r="V63" s="25" t="str">
        <f>IF(C63="","",[1]!hks_fa_ocftosales(C63,F63))</f>
        <v/>
      </c>
      <c r="W63" s="27" t="str">
        <f>IF(C63="","",[1]!hks_fa_debttoassets(C63,F63))</f>
        <v/>
      </c>
      <c r="X63" s="23" t="str">
        <f>IF(C63="","",[1]!s_fa_debttoeqy(C63,F63))</f>
        <v/>
      </c>
      <c r="Y63" s="23" t="str">
        <f>IF(C63="","",[1]!hks_fa_catoassets(C63,F63))</f>
        <v/>
      </c>
      <c r="Z63" s="23" t="str">
        <f>IF(C63="","",[1]!hks_fa_ncatoassets(C63,F63))</f>
        <v/>
      </c>
      <c r="AA63" s="23" t="str">
        <f>IF(C63="","",[1]!hks_fa_currentdebttodebt(C63,F63))</f>
        <v/>
      </c>
      <c r="AB63" s="25" t="str">
        <f>IF(C63="","",[1]!hks_fa_longdebtodebt(C63,F63))</f>
        <v/>
      </c>
      <c r="AC63" s="25" t="str">
        <f>IF(C63="","",[1]!hks_fa_current(C63,F63))</f>
        <v/>
      </c>
      <c r="AD63" s="25" t="str">
        <f>IF(C63="","",[1]!hks_fa_quick(C63,F63))</f>
        <v/>
      </c>
      <c r="AE63" s="25" t="str">
        <f>IF(C63="","",[1]!hks_fa_ebittointerest(C63,F63))</f>
        <v/>
      </c>
      <c r="AF63" s="25" t="str">
        <f>IF(C63="","",[1]!hks_fa_netdebtratio(C63,F63))</f>
        <v/>
      </c>
      <c r="AG63" s="27" t="str">
        <f>IF(C63="","",[1]!hks_fa_arturn(C63,F63))</f>
        <v/>
      </c>
      <c r="AH63" s="23" t="str">
        <f>IF(C63="","",[1]!hks_fa_apturn(C63,F63))</f>
        <v/>
      </c>
      <c r="AI63" s="23" t="str">
        <f>IF(C63="","",[1]!hks_fa_invturn(C63,F63))</f>
        <v/>
      </c>
      <c r="AJ63" s="23" t="str">
        <f>IF(C63="","",[1]!hks_fa_caturn(C63,F63))</f>
        <v/>
      </c>
      <c r="AK63" s="23" t="str">
        <f>IF(C63="","",[1]!hks_fa_faturn(C63,F63))</f>
        <v/>
      </c>
      <c r="AL63" s="25" t="str">
        <f>IF(C63="","",[1]!hks_fa_assetsturn(C63,F63))</f>
        <v/>
      </c>
      <c r="AM63" s="23" t="str">
        <f>IF(C63="","",[1]!hks_fa_yoy_tr(C63,F63))</f>
        <v/>
      </c>
      <c r="AN63" s="23" t="str">
        <f>IF(C63="","",[1]!hks_fa_yoy_or(C63,F63))</f>
        <v/>
      </c>
      <c r="AO63" s="23" t="str">
        <f>IF(C63="","",[1]!hks_fa_yoyop2(C63,F63))</f>
        <v/>
      </c>
      <c r="AP63" s="23" t="str">
        <f>IF(C63="","",[1]!hks_fa_yoyebt(C63,F63))</f>
        <v/>
      </c>
      <c r="AQ63" s="23" t="str">
        <f>IF(C63="","",[1]!hks_fa_yoynetprofit(C63,F63))</f>
        <v/>
      </c>
      <c r="AR63" s="23" t="str">
        <f>IF(C63="","",[1]!hks_fa_dupont_np(C63,F63))</f>
        <v/>
      </c>
      <c r="AS63" s="23" t="str">
        <f>IF(C63="","",[1]!hks_fa_dupont_taxburden(C63,F63))</f>
        <v/>
      </c>
      <c r="AT63" s="23" t="str">
        <f>IF(C63="","",[1]!s_fa_dupont_nptosales(C63,F63))</f>
        <v/>
      </c>
      <c r="AU63" s="23" t="str">
        <f>IF(C63="","",[1]!s_fa_dupont_roe(C63,F63))</f>
        <v/>
      </c>
      <c r="AV63" s="23" t="str">
        <f>IF(C63="","",[1]!hks_fa_dupont_intburden(C63,F63))</f>
        <v/>
      </c>
      <c r="AW63" s="23" t="str">
        <f>IF(C63="","",[1]!hks_fa_dupont_assetstoequity(C63,F63))</f>
        <v/>
      </c>
      <c r="AX63" s="23" t="str">
        <f>IF(C63="","",[1]!s_fa_dupont_ebittosales(C63,F63))</f>
        <v/>
      </c>
      <c r="AY63" s="23" t="str">
        <f>IF(C63="","",[1]!hks_fa_assetsturn(C63,F63))</f>
        <v/>
      </c>
      <c r="AZ63" s="23" t="str">
        <f>IF(C63="","",[1]!hks_fa_grossmargin2(C63,F63,"",100000000))</f>
        <v/>
      </c>
      <c r="BA63" s="23" t="str">
        <f>IF(C63="","",[1]!hks_fa_ebit3(C63,F63,1,"",100000000))</f>
        <v/>
      </c>
      <c r="BB63" s="23" t="str">
        <f>IF(C63="","",[1]!hks_fa_ebitda(C63,F63,1,"",100000000))</f>
        <v/>
      </c>
      <c r="BC63" s="23" t="str">
        <f>IF(C63="","",[1]!hks_fa_ebit(C63,F63,1,"",100000000))</f>
        <v/>
      </c>
      <c r="BD63" s="23" t="str">
        <f>IF(C63="","",[1]!hks_fa_ebitda(C63,F63,1,"",100000000))</f>
        <v/>
      </c>
      <c r="BE63" s="23" t="str">
        <f>IF(C63="","",[1]!hks_fa_nogaapprofit(C63,F63,1,"",100000000))</f>
        <v/>
      </c>
      <c r="BF63" s="23" t="str">
        <f>IF(C63="","",[1]!hks_fa_deductedprofit(C63,F63,1,"",100000000))</f>
        <v/>
      </c>
      <c r="BG63" s="23" t="str">
        <f>IF(C63="","",[1]!hks_fa_retainedearnings2(C63,F63,"",100000000))</f>
        <v/>
      </c>
      <c r="BH63" s="23" t="str">
        <f>IF(C63="","",[1]!hks_fa_workingcapital2(C63,F63,"",100000000))</f>
        <v/>
      </c>
      <c r="BI63" s="23" t="str">
        <f>IF(C63="","",[1]!hks_fa_networkingcapital2(C63,F63,"",100000000))</f>
        <v/>
      </c>
      <c r="BJ63" s="23" t="str">
        <f>IF(C63="","",[1]!hks_fa_investcapital2(C63,F63,"",100000000))</f>
        <v/>
      </c>
      <c r="BK63" s="23" t="str">
        <f>IF(C63="","",[1]!hks_fa_tangibleasset2(C63,F63,"",100000000))</f>
        <v/>
      </c>
      <c r="BL63" s="23" t="str">
        <f>IF(C63="","",[1]!hks_fa_netdebt2(C63,F63,"",100000000))</f>
        <v/>
      </c>
      <c r="BM63" s="23" t="str">
        <f>IF(C63="","",[1]!hks_fa_interestdebt2(C63,F63,"",100000000))</f>
        <v/>
      </c>
      <c r="BN63" s="23" t="str">
        <f>IF(C63="","",[1]!hks_fa_exinterestdebt_current(C63,F63,"",100000000))</f>
        <v/>
      </c>
      <c r="BO63" s="23" t="str">
        <f>IF(C63="","",[1]!hks_fa_exinterestdebt_noncurrent2(C63,F63,"",100000000))</f>
        <v/>
      </c>
      <c r="BP63" s="23" t="str">
        <f>IF(C63="","",[1]!hks_fa_fcfe2(C63,F63,"",100000000))</f>
        <v/>
      </c>
      <c r="BQ63" s="23" t="str">
        <f>IF(C63="","",[1]!hks_fa_fcff2(C63,F63,"",100000000))</f>
        <v/>
      </c>
      <c r="BR63" s="35"/>
    </row>
    <row r="64" spans="1:70" s="36" customFormat="1" ht="16.5" x14ac:dyDescent="0.2">
      <c r="A64" s="2"/>
      <c r="B64" s="6"/>
      <c r="C64" s="28" t="str">
        <f>IF(表1[[#This Row],[列1]]="","",表1[[#This Row],[列1]])</f>
        <v/>
      </c>
      <c r="D64" s="19" t="str">
        <f>IF(C64="","",[1]!hks_info_name(C64))</f>
        <v/>
      </c>
      <c r="E64" s="19" t="str">
        <f ca="1">IF(C64="","",[1]!lastradeday_s(C64,TODAY()))</f>
        <v/>
      </c>
      <c r="F64" s="49" t="str">
        <f>IF(C64="","",IF(OR([1]!s_stm_rpt_e(C64,基本资料!$I$8,0)="#N/A",[1]!s_stm_rpt_e(C64,基本资料!$I$8,0)="",[1]!s_stm_rpt_e(C64,基本资料!$I$8,0)=0),[1]!s_stm_rpt_e(C64,基本资料!$I$9,0),[1]!s_stm_rpt_e(C64,基本资料!$I$8,0)))</f>
        <v/>
      </c>
      <c r="G64" s="49" t="str">
        <f>IF(C64="","",[1]!hks_info_cur2(C64,F64))</f>
        <v/>
      </c>
      <c r="H64" s="27" t="str">
        <f>IF(C64="","",[1]!hks_fa_eps_basic(C64,F64,""))</f>
        <v/>
      </c>
      <c r="I64" s="23" t="str">
        <f>IF(C64="","",[1]!hks_fa_eps_adjust2(C64,F64,""))</f>
        <v/>
      </c>
      <c r="J64" s="23" t="str">
        <f>IF(C64="","",[1]!hks_fa_bps(C64,F64,""))</f>
        <v/>
      </c>
      <c r="K64" s="25" t="str">
        <f>IF(C64="","",[1]!hks_fa_ocfps(C64,F64,""))</f>
        <v/>
      </c>
      <c r="L64" s="27" t="str">
        <f>IF(C64="","",[1]!hks_fa_grossprofitmargin(C64,F64))</f>
        <v/>
      </c>
      <c r="M64" s="23" t="str">
        <f>IF(C64="","",[1]!hks_fa_netprofitmargin(C64,F64))</f>
        <v/>
      </c>
      <c r="N64" s="23" t="str">
        <f>IF(C64="","",[1]!hks_fa_roe(C64,F64))</f>
        <v/>
      </c>
      <c r="O64" s="23" t="str">
        <f>IF(C64="","",[1]!hks_fa_roe_deducted(C64,F64))</f>
        <v/>
      </c>
      <c r="P64" s="23" t="str">
        <f>IF(C64="","",[1]!hks_fa_roa2(C64,F64))</f>
        <v/>
      </c>
      <c r="Q64" s="23" t="str">
        <f>IF(C64="","",[1]!hks_fa_roic(C64,F64))</f>
        <v/>
      </c>
      <c r="R64" s="23" t="str">
        <f>IF(C64="","",[1]!hks_fa_dupont_nptosales(C64,F64))</f>
        <v/>
      </c>
      <c r="S64" s="23" t="str">
        <f>IF(C64="","",[1]!hks_fa_dupont_ebittosales(C64,F64))</f>
        <v/>
      </c>
      <c r="T64" s="25" t="str">
        <f>IF(C64="","",[1]!hks_fa_ebitdatosales(C64,F64))</f>
        <v/>
      </c>
      <c r="U64" s="47" t="str">
        <f>IF(C64="","",[1]!hks_fa_optoebt(C64,F64))</f>
        <v/>
      </c>
      <c r="V64" s="25" t="str">
        <f>IF(C64="","",[1]!hks_fa_ocftosales(C64,F64))</f>
        <v/>
      </c>
      <c r="W64" s="27" t="str">
        <f>IF(C64="","",[1]!hks_fa_debttoassets(C64,F64))</f>
        <v/>
      </c>
      <c r="X64" s="23" t="str">
        <f>IF(C64="","",[1]!s_fa_debttoeqy(C64,F64))</f>
        <v/>
      </c>
      <c r="Y64" s="23" t="str">
        <f>IF(C64="","",[1]!hks_fa_catoassets(C64,F64))</f>
        <v/>
      </c>
      <c r="Z64" s="23" t="str">
        <f>IF(C64="","",[1]!hks_fa_ncatoassets(C64,F64))</f>
        <v/>
      </c>
      <c r="AA64" s="23" t="str">
        <f>IF(C64="","",[1]!hks_fa_currentdebttodebt(C64,F64))</f>
        <v/>
      </c>
      <c r="AB64" s="25" t="str">
        <f>IF(C64="","",[1]!hks_fa_longdebtodebt(C64,F64))</f>
        <v/>
      </c>
      <c r="AC64" s="25" t="str">
        <f>IF(C64="","",[1]!hks_fa_current(C64,F64))</f>
        <v/>
      </c>
      <c r="AD64" s="25" t="str">
        <f>IF(C64="","",[1]!hks_fa_quick(C64,F64))</f>
        <v/>
      </c>
      <c r="AE64" s="25" t="str">
        <f>IF(C64="","",[1]!hks_fa_ebittointerest(C64,F64))</f>
        <v/>
      </c>
      <c r="AF64" s="25" t="str">
        <f>IF(C64="","",[1]!hks_fa_netdebtratio(C64,F64))</f>
        <v/>
      </c>
      <c r="AG64" s="27" t="str">
        <f>IF(C64="","",[1]!hks_fa_arturn(C64,F64))</f>
        <v/>
      </c>
      <c r="AH64" s="23" t="str">
        <f>IF(C64="","",[1]!hks_fa_apturn(C64,F64))</f>
        <v/>
      </c>
      <c r="AI64" s="23" t="str">
        <f>IF(C64="","",[1]!hks_fa_invturn(C64,F64))</f>
        <v/>
      </c>
      <c r="AJ64" s="23" t="str">
        <f>IF(C64="","",[1]!hks_fa_caturn(C64,F64))</f>
        <v/>
      </c>
      <c r="AK64" s="23" t="str">
        <f>IF(C64="","",[1]!hks_fa_faturn(C64,F64))</f>
        <v/>
      </c>
      <c r="AL64" s="25" t="str">
        <f>IF(C64="","",[1]!hks_fa_assetsturn(C64,F64))</f>
        <v/>
      </c>
      <c r="AM64" s="23" t="str">
        <f>IF(C64="","",[1]!hks_fa_yoy_tr(C64,F64))</f>
        <v/>
      </c>
      <c r="AN64" s="23" t="str">
        <f>IF(C64="","",[1]!hks_fa_yoy_or(C64,F64))</f>
        <v/>
      </c>
      <c r="AO64" s="23" t="str">
        <f>IF(C64="","",[1]!hks_fa_yoyop2(C64,F64))</f>
        <v/>
      </c>
      <c r="AP64" s="23" t="str">
        <f>IF(C64="","",[1]!hks_fa_yoyebt(C64,F64))</f>
        <v/>
      </c>
      <c r="AQ64" s="23" t="str">
        <f>IF(C64="","",[1]!hks_fa_yoynetprofit(C64,F64))</f>
        <v/>
      </c>
      <c r="AR64" s="23" t="str">
        <f>IF(C64="","",[1]!hks_fa_dupont_np(C64,F64))</f>
        <v/>
      </c>
      <c r="AS64" s="23" t="str">
        <f>IF(C64="","",[1]!hks_fa_dupont_taxburden(C64,F64))</f>
        <v/>
      </c>
      <c r="AT64" s="23" t="str">
        <f>IF(C64="","",[1]!s_fa_dupont_nptosales(C64,F64))</f>
        <v/>
      </c>
      <c r="AU64" s="23" t="str">
        <f>IF(C64="","",[1]!s_fa_dupont_roe(C64,F64))</f>
        <v/>
      </c>
      <c r="AV64" s="23" t="str">
        <f>IF(C64="","",[1]!hks_fa_dupont_intburden(C64,F64))</f>
        <v/>
      </c>
      <c r="AW64" s="23" t="str">
        <f>IF(C64="","",[1]!hks_fa_dupont_assetstoequity(C64,F64))</f>
        <v/>
      </c>
      <c r="AX64" s="23" t="str">
        <f>IF(C64="","",[1]!s_fa_dupont_ebittosales(C64,F64))</f>
        <v/>
      </c>
      <c r="AY64" s="23" t="str">
        <f>IF(C64="","",[1]!hks_fa_assetsturn(C64,F64))</f>
        <v/>
      </c>
      <c r="AZ64" s="23" t="str">
        <f>IF(C64="","",[1]!hks_fa_grossmargin2(C64,F64,"",100000000))</f>
        <v/>
      </c>
      <c r="BA64" s="23" t="str">
        <f>IF(C64="","",[1]!hks_fa_ebit3(C64,F64,1,"",100000000))</f>
        <v/>
      </c>
      <c r="BB64" s="23" t="str">
        <f>IF(C64="","",[1]!hks_fa_ebitda(C64,F64,1,"",100000000))</f>
        <v/>
      </c>
      <c r="BC64" s="23" t="str">
        <f>IF(C64="","",[1]!hks_fa_ebit(C64,F64,1,"",100000000))</f>
        <v/>
      </c>
      <c r="BD64" s="23" t="str">
        <f>IF(C64="","",[1]!hks_fa_ebitda(C64,F64,1,"",100000000))</f>
        <v/>
      </c>
      <c r="BE64" s="23" t="str">
        <f>IF(C64="","",[1]!hks_fa_nogaapprofit(C64,F64,1,"",100000000))</f>
        <v/>
      </c>
      <c r="BF64" s="23" t="str">
        <f>IF(C64="","",[1]!hks_fa_deductedprofit(C64,F64,1,"",100000000))</f>
        <v/>
      </c>
      <c r="BG64" s="23" t="str">
        <f>IF(C64="","",[1]!hks_fa_retainedearnings2(C64,F64,"",100000000))</f>
        <v/>
      </c>
      <c r="BH64" s="23" t="str">
        <f>IF(C64="","",[1]!hks_fa_workingcapital2(C64,F64,"",100000000))</f>
        <v/>
      </c>
      <c r="BI64" s="23" t="str">
        <f>IF(C64="","",[1]!hks_fa_networkingcapital2(C64,F64,"",100000000))</f>
        <v/>
      </c>
      <c r="BJ64" s="23" t="str">
        <f>IF(C64="","",[1]!hks_fa_investcapital2(C64,F64,"",100000000))</f>
        <v/>
      </c>
      <c r="BK64" s="23" t="str">
        <f>IF(C64="","",[1]!hks_fa_tangibleasset2(C64,F64,"",100000000))</f>
        <v/>
      </c>
      <c r="BL64" s="23" t="str">
        <f>IF(C64="","",[1]!hks_fa_netdebt2(C64,F64,"",100000000))</f>
        <v/>
      </c>
      <c r="BM64" s="23" t="str">
        <f>IF(C64="","",[1]!hks_fa_interestdebt2(C64,F64,"",100000000))</f>
        <v/>
      </c>
      <c r="BN64" s="23" t="str">
        <f>IF(C64="","",[1]!hks_fa_exinterestdebt_current(C64,F64,"",100000000))</f>
        <v/>
      </c>
      <c r="BO64" s="23" t="str">
        <f>IF(C64="","",[1]!hks_fa_exinterestdebt_noncurrent2(C64,F64,"",100000000))</f>
        <v/>
      </c>
      <c r="BP64" s="23" t="str">
        <f>IF(C64="","",[1]!hks_fa_fcfe2(C64,F64,"",100000000))</f>
        <v/>
      </c>
      <c r="BQ64" s="23" t="str">
        <f>IF(C64="","",[1]!hks_fa_fcff2(C64,F64,"",100000000))</f>
        <v/>
      </c>
      <c r="BR64" s="35"/>
    </row>
    <row r="65" spans="1:70" s="36" customFormat="1" ht="16.5" x14ac:dyDescent="0.2">
      <c r="A65" s="2"/>
      <c r="B65" s="6"/>
      <c r="C65" s="28" t="str">
        <f>IF(表1[[#This Row],[列1]]="","",表1[[#This Row],[列1]])</f>
        <v/>
      </c>
      <c r="D65" s="19" t="str">
        <f>IF(C65="","",[1]!hks_info_name(C65))</f>
        <v/>
      </c>
      <c r="E65" s="19" t="str">
        <f ca="1">IF(C65="","",[1]!lastradeday_s(C65,TODAY()))</f>
        <v/>
      </c>
      <c r="F65" s="49" t="str">
        <f>IF(C65="","",IF(OR([1]!s_stm_rpt_e(C65,基本资料!$I$8,0)="#N/A",[1]!s_stm_rpt_e(C65,基本资料!$I$8,0)="",[1]!s_stm_rpt_e(C65,基本资料!$I$8,0)=0),[1]!s_stm_rpt_e(C65,基本资料!$I$9,0),[1]!s_stm_rpt_e(C65,基本资料!$I$8,0)))</f>
        <v/>
      </c>
      <c r="G65" s="49" t="str">
        <f>IF(C65="","",[1]!hks_info_cur2(C65,F65))</f>
        <v/>
      </c>
      <c r="H65" s="27" t="str">
        <f>IF(C65="","",[1]!hks_fa_eps_basic(C65,F65,""))</f>
        <v/>
      </c>
      <c r="I65" s="23" t="str">
        <f>IF(C65="","",[1]!hks_fa_eps_adjust2(C65,F65,""))</f>
        <v/>
      </c>
      <c r="J65" s="23" t="str">
        <f>IF(C65="","",[1]!hks_fa_bps(C65,F65,""))</f>
        <v/>
      </c>
      <c r="K65" s="25" t="str">
        <f>IF(C65="","",[1]!hks_fa_ocfps(C65,F65,""))</f>
        <v/>
      </c>
      <c r="L65" s="27" t="str">
        <f>IF(C65="","",[1]!hks_fa_grossprofitmargin(C65,F65))</f>
        <v/>
      </c>
      <c r="M65" s="23" t="str">
        <f>IF(C65="","",[1]!hks_fa_netprofitmargin(C65,F65))</f>
        <v/>
      </c>
      <c r="N65" s="23" t="str">
        <f>IF(C65="","",[1]!hks_fa_roe(C65,F65))</f>
        <v/>
      </c>
      <c r="O65" s="23" t="str">
        <f>IF(C65="","",[1]!hks_fa_roe_deducted(C65,F65))</f>
        <v/>
      </c>
      <c r="P65" s="23" t="str">
        <f>IF(C65="","",[1]!hks_fa_roa2(C65,F65))</f>
        <v/>
      </c>
      <c r="Q65" s="23" t="str">
        <f>IF(C65="","",[1]!hks_fa_roic(C65,F65))</f>
        <v/>
      </c>
      <c r="R65" s="23" t="str">
        <f>IF(C65="","",[1]!hks_fa_dupont_nptosales(C65,F65))</f>
        <v/>
      </c>
      <c r="S65" s="23" t="str">
        <f>IF(C65="","",[1]!hks_fa_dupont_ebittosales(C65,F65))</f>
        <v/>
      </c>
      <c r="T65" s="25" t="str">
        <f>IF(C65="","",[1]!hks_fa_ebitdatosales(C65,F65))</f>
        <v/>
      </c>
      <c r="U65" s="47" t="str">
        <f>IF(C65="","",[1]!hks_fa_optoebt(C65,F65))</f>
        <v/>
      </c>
      <c r="V65" s="25" t="str">
        <f>IF(C65="","",[1]!hks_fa_ocftosales(C65,F65))</f>
        <v/>
      </c>
      <c r="W65" s="27" t="str">
        <f>IF(C65="","",[1]!hks_fa_debttoassets(C65,F65))</f>
        <v/>
      </c>
      <c r="X65" s="23" t="str">
        <f>IF(C65="","",[1]!s_fa_debttoeqy(C65,F65))</f>
        <v/>
      </c>
      <c r="Y65" s="23" t="str">
        <f>IF(C65="","",[1]!hks_fa_catoassets(C65,F65))</f>
        <v/>
      </c>
      <c r="Z65" s="23" t="str">
        <f>IF(C65="","",[1]!hks_fa_ncatoassets(C65,F65))</f>
        <v/>
      </c>
      <c r="AA65" s="23" t="str">
        <f>IF(C65="","",[1]!hks_fa_currentdebttodebt(C65,F65))</f>
        <v/>
      </c>
      <c r="AB65" s="25" t="str">
        <f>IF(C65="","",[1]!hks_fa_longdebtodebt(C65,F65))</f>
        <v/>
      </c>
      <c r="AC65" s="25" t="str">
        <f>IF(C65="","",[1]!hks_fa_current(C65,F65))</f>
        <v/>
      </c>
      <c r="AD65" s="25" t="str">
        <f>IF(C65="","",[1]!hks_fa_quick(C65,F65))</f>
        <v/>
      </c>
      <c r="AE65" s="25" t="str">
        <f>IF(C65="","",[1]!hks_fa_ebittointerest(C65,F65))</f>
        <v/>
      </c>
      <c r="AF65" s="25" t="str">
        <f>IF(C65="","",[1]!hks_fa_netdebtratio(C65,F65))</f>
        <v/>
      </c>
      <c r="AG65" s="27" t="str">
        <f>IF(C65="","",[1]!hks_fa_arturn(C65,F65))</f>
        <v/>
      </c>
      <c r="AH65" s="23" t="str">
        <f>IF(C65="","",[1]!hks_fa_apturn(C65,F65))</f>
        <v/>
      </c>
      <c r="AI65" s="23" t="str">
        <f>IF(C65="","",[1]!hks_fa_invturn(C65,F65))</f>
        <v/>
      </c>
      <c r="AJ65" s="23" t="str">
        <f>IF(C65="","",[1]!hks_fa_caturn(C65,F65))</f>
        <v/>
      </c>
      <c r="AK65" s="23" t="str">
        <f>IF(C65="","",[1]!hks_fa_faturn(C65,F65))</f>
        <v/>
      </c>
      <c r="AL65" s="25" t="str">
        <f>IF(C65="","",[1]!hks_fa_assetsturn(C65,F65))</f>
        <v/>
      </c>
      <c r="AM65" s="23" t="str">
        <f>IF(C65="","",[1]!hks_fa_yoy_tr(C65,F65))</f>
        <v/>
      </c>
      <c r="AN65" s="23" t="str">
        <f>IF(C65="","",[1]!hks_fa_yoy_or(C65,F65))</f>
        <v/>
      </c>
      <c r="AO65" s="23" t="str">
        <f>IF(C65="","",[1]!hks_fa_yoyop2(C65,F65))</f>
        <v/>
      </c>
      <c r="AP65" s="23" t="str">
        <f>IF(C65="","",[1]!hks_fa_yoyebt(C65,F65))</f>
        <v/>
      </c>
      <c r="AQ65" s="23" t="str">
        <f>IF(C65="","",[1]!hks_fa_yoynetprofit(C65,F65))</f>
        <v/>
      </c>
      <c r="AR65" s="23" t="str">
        <f>IF(C65="","",[1]!hks_fa_dupont_np(C65,F65))</f>
        <v/>
      </c>
      <c r="AS65" s="23" t="str">
        <f>IF(C65="","",[1]!hks_fa_dupont_taxburden(C65,F65))</f>
        <v/>
      </c>
      <c r="AT65" s="23" t="str">
        <f>IF(C65="","",[1]!s_fa_dupont_nptosales(C65,F65))</f>
        <v/>
      </c>
      <c r="AU65" s="23" t="str">
        <f>IF(C65="","",[1]!s_fa_dupont_roe(C65,F65))</f>
        <v/>
      </c>
      <c r="AV65" s="23" t="str">
        <f>IF(C65="","",[1]!hks_fa_dupont_intburden(C65,F65))</f>
        <v/>
      </c>
      <c r="AW65" s="23" t="str">
        <f>IF(C65="","",[1]!hks_fa_dupont_assetstoequity(C65,F65))</f>
        <v/>
      </c>
      <c r="AX65" s="23" t="str">
        <f>IF(C65="","",[1]!s_fa_dupont_ebittosales(C65,F65))</f>
        <v/>
      </c>
      <c r="AY65" s="23" t="str">
        <f>IF(C65="","",[1]!hks_fa_assetsturn(C65,F65))</f>
        <v/>
      </c>
      <c r="AZ65" s="23" t="str">
        <f>IF(C65="","",[1]!hks_fa_grossmargin2(C65,F65,"",100000000))</f>
        <v/>
      </c>
      <c r="BA65" s="23" t="str">
        <f>IF(C65="","",[1]!hks_fa_ebit3(C65,F65,1,"",100000000))</f>
        <v/>
      </c>
      <c r="BB65" s="23" t="str">
        <f>IF(C65="","",[1]!hks_fa_ebitda(C65,F65,1,"",100000000))</f>
        <v/>
      </c>
      <c r="BC65" s="23" t="str">
        <f>IF(C65="","",[1]!hks_fa_ebit(C65,F65,1,"",100000000))</f>
        <v/>
      </c>
      <c r="BD65" s="23" t="str">
        <f>IF(C65="","",[1]!hks_fa_ebitda(C65,F65,1,"",100000000))</f>
        <v/>
      </c>
      <c r="BE65" s="23" t="str">
        <f>IF(C65="","",[1]!hks_fa_nogaapprofit(C65,F65,1,"",100000000))</f>
        <v/>
      </c>
      <c r="BF65" s="23" t="str">
        <f>IF(C65="","",[1]!hks_fa_deductedprofit(C65,F65,1,"",100000000))</f>
        <v/>
      </c>
      <c r="BG65" s="23" t="str">
        <f>IF(C65="","",[1]!hks_fa_retainedearnings2(C65,F65,"",100000000))</f>
        <v/>
      </c>
      <c r="BH65" s="23" t="str">
        <f>IF(C65="","",[1]!hks_fa_workingcapital2(C65,F65,"",100000000))</f>
        <v/>
      </c>
      <c r="BI65" s="23" t="str">
        <f>IF(C65="","",[1]!hks_fa_networkingcapital2(C65,F65,"",100000000))</f>
        <v/>
      </c>
      <c r="BJ65" s="23" t="str">
        <f>IF(C65="","",[1]!hks_fa_investcapital2(C65,F65,"",100000000))</f>
        <v/>
      </c>
      <c r="BK65" s="23" t="str">
        <f>IF(C65="","",[1]!hks_fa_tangibleasset2(C65,F65,"",100000000))</f>
        <v/>
      </c>
      <c r="BL65" s="23" t="str">
        <f>IF(C65="","",[1]!hks_fa_netdebt2(C65,F65,"",100000000))</f>
        <v/>
      </c>
      <c r="BM65" s="23" t="str">
        <f>IF(C65="","",[1]!hks_fa_interestdebt2(C65,F65,"",100000000))</f>
        <v/>
      </c>
      <c r="BN65" s="23" t="str">
        <f>IF(C65="","",[1]!hks_fa_exinterestdebt_current(C65,F65,"",100000000))</f>
        <v/>
      </c>
      <c r="BO65" s="23" t="str">
        <f>IF(C65="","",[1]!hks_fa_exinterestdebt_noncurrent2(C65,F65,"",100000000))</f>
        <v/>
      </c>
      <c r="BP65" s="23" t="str">
        <f>IF(C65="","",[1]!hks_fa_fcfe2(C65,F65,"",100000000))</f>
        <v/>
      </c>
      <c r="BQ65" s="23" t="str">
        <f>IF(C65="","",[1]!hks_fa_fcff2(C65,F65,"",100000000))</f>
        <v/>
      </c>
      <c r="BR65" s="35"/>
    </row>
    <row r="66" spans="1:70" s="36" customFormat="1" ht="16.5" x14ac:dyDescent="0.2">
      <c r="A66" s="2"/>
      <c r="B66" s="6"/>
      <c r="C66" s="28" t="str">
        <f>IF(表1[[#This Row],[列1]]="","",表1[[#This Row],[列1]])</f>
        <v/>
      </c>
      <c r="D66" s="19" t="str">
        <f>IF(C66="","",[1]!hks_info_name(C66))</f>
        <v/>
      </c>
      <c r="E66" s="19" t="str">
        <f ca="1">IF(C66="","",[1]!lastradeday_s(C66,TODAY()))</f>
        <v/>
      </c>
      <c r="F66" s="49" t="str">
        <f>IF(C66="","",IF(OR([1]!s_stm_rpt_e(C66,基本资料!$I$8,0)="#N/A",[1]!s_stm_rpt_e(C66,基本资料!$I$8,0)="",[1]!s_stm_rpt_e(C66,基本资料!$I$8,0)=0),[1]!s_stm_rpt_e(C66,基本资料!$I$9,0),[1]!s_stm_rpt_e(C66,基本资料!$I$8,0)))</f>
        <v/>
      </c>
      <c r="G66" s="49" t="str">
        <f>IF(C66="","",[1]!hks_info_cur2(C66,F66))</f>
        <v/>
      </c>
      <c r="H66" s="27" t="str">
        <f>IF(C66="","",[1]!hks_fa_eps_basic(C66,F66,""))</f>
        <v/>
      </c>
      <c r="I66" s="23" t="str">
        <f>IF(C66="","",[1]!hks_fa_eps_adjust2(C66,F66,""))</f>
        <v/>
      </c>
      <c r="J66" s="23" t="str">
        <f>IF(C66="","",[1]!hks_fa_bps(C66,F66,""))</f>
        <v/>
      </c>
      <c r="K66" s="25" t="str">
        <f>IF(C66="","",[1]!hks_fa_ocfps(C66,F66,""))</f>
        <v/>
      </c>
      <c r="L66" s="27" t="str">
        <f>IF(C66="","",[1]!hks_fa_grossprofitmargin(C66,F66))</f>
        <v/>
      </c>
      <c r="M66" s="23" t="str">
        <f>IF(C66="","",[1]!hks_fa_netprofitmargin(C66,F66))</f>
        <v/>
      </c>
      <c r="N66" s="23" t="str">
        <f>IF(C66="","",[1]!hks_fa_roe(C66,F66))</f>
        <v/>
      </c>
      <c r="O66" s="23" t="str">
        <f>IF(C66="","",[1]!hks_fa_roe_deducted(C66,F66))</f>
        <v/>
      </c>
      <c r="P66" s="23" t="str">
        <f>IF(C66="","",[1]!hks_fa_roa2(C66,F66))</f>
        <v/>
      </c>
      <c r="Q66" s="23" t="str">
        <f>IF(C66="","",[1]!hks_fa_roic(C66,F66))</f>
        <v/>
      </c>
      <c r="R66" s="23" t="str">
        <f>IF(C66="","",[1]!hks_fa_dupont_nptosales(C66,F66))</f>
        <v/>
      </c>
      <c r="S66" s="23" t="str">
        <f>IF(C66="","",[1]!hks_fa_dupont_ebittosales(C66,F66))</f>
        <v/>
      </c>
      <c r="T66" s="25" t="str">
        <f>IF(C66="","",[1]!hks_fa_ebitdatosales(C66,F66))</f>
        <v/>
      </c>
      <c r="U66" s="47" t="str">
        <f>IF(C66="","",[1]!hks_fa_optoebt(C66,F66))</f>
        <v/>
      </c>
      <c r="V66" s="25" t="str">
        <f>IF(C66="","",[1]!hks_fa_ocftosales(C66,F66))</f>
        <v/>
      </c>
      <c r="W66" s="27" t="str">
        <f>IF(C66="","",[1]!hks_fa_debttoassets(C66,F66))</f>
        <v/>
      </c>
      <c r="X66" s="23" t="str">
        <f>IF(C66="","",[1]!s_fa_debttoeqy(C66,F66))</f>
        <v/>
      </c>
      <c r="Y66" s="23" t="str">
        <f>IF(C66="","",[1]!hks_fa_catoassets(C66,F66))</f>
        <v/>
      </c>
      <c r="Z66" s="23" t="str">
        <f>IF(C66="","",[1]!hks_fa_ncatoassets(C66,F66))</f>
        <v/>
      </c>
      <c r="AA66" s="23" t="str">
        <f>IF(C66="","",[1]!hks_fa_currentdebttodebt(C66,F66))</f>
        <v/>
      </c>
      <c r="AB66" s="25" t="str">
        <f>IF(C66="","",[1]!hks_fa_longdebtodebt(C66,F66))</f>
        <v/>
      </c>
      <c r="AC66" s="25" t="str">
        <f>IF(C66="","",[1]!hks_fa_current(C66,F66))</f>
        <v/>
      </c>
      <c r="AD66" s="25" t="str">
        <f>IF(C66="","",[1]!hks_fa_quick(C66,F66))</f>
        <v/>
      </c>
      <c r="AE66" s="25" t="str">
        <f>IF(C66="","",[1]!hks_fa_ebittointerest(C66,F66))</f>
        <v/>
      </c>
      <c r="AF66" s="25" t="str">
        <f>IF(C66="","",[1]!hks_fa_netdebtratio(C66,F66))</f>
        <v/>
      </c>
      <c r="AG66" s="27" t="str">
        <f>IF(C66="","",[1]!hks_fa_arturn(C66,F66))</f>
        <v/>
      </c>
      <c r="AH66" s="23" t="str">
        <f>IF(C66="","",[1]!hks_fa_apturn(C66,F66))</f>
        <v/>
      </c>
      <c r="AI66" s="23" t="str">
        <f>IF(C66="","",[1]!hks_fa_invturn(C66,F66))</f>
        <v/>
      </c>
      <c r="AJ66" s="23" t="str">
        <f>IF(C66="","",[1]!hks_fa_caturn(C66,F66))</f>
        <v/>
      </c>
      <c r="AK66" s="23" t="str">
        <f>IF(C66="","",[1]!hks_fa_faturn(C66,F66))</f>
        <v/>
      </c>
      <c r="AL66" s="25" t="str">
        <f>IF(C66="","",[1]!hks_fa_assetsturn(C66,F66))</f>
        <v/>
      </c>
      <c r="AM66" s="23" t="str">
        <f>IF(C66="","",[1]!hks_fa_yoy_tr(C66,F66))</f>
        <v/>
      </c>
      <c r="AN66" s="23" t="str">
        <f>IF(C66="","",[1]!hks_fa_yoy_or(C66,F66))</f>
        <v/>
      </c>
      <c r="AO66" s="23" t="str">
        <f>IF(C66="","",[1]!hks_fa_yoyop2(C66,F66))</f>
        <v/>
      </c>
      <c r="AP66" s="23" t="str">
        <f>IF(C66="","",[1]!hks_fa_yoyebt(C66,F66))</f>
        <v/>
      </c>
      <c r="AQ66" s="23" t="str">
        <f>IF(C66="","",[1]!hks_fa_yoynetprofit(C66,F66))</f>
        <v/>
      </c>
      <c r="AR66" s="23" t="str">
        <f>IF(C66="","",[1]!hks_fa_dupont_np(C66,F66))</f>
        <v/>
      </c>
      <c r="AS66" s="23" t="str">
        <f>IF(C66="","",[1]!hks_fa_dupont_taxburden(C66,F66))</f>
        <v/>
      </c>
      <c r="AT66" s="23" t="str">
        <f>IF(C66="","",[1]!s_fa_dupont_nptosales(C66,F66))</f>
        <v/>
      </c>
      <c r="AU66" s="23" t="str">
        <f>IF(C66="","",[1]!s_fa_dupont_roe(C66,F66))</f>
        <v/>
      </c>
      <c r="AV66" s="23" t="str">
        <f>IF(C66="","",[1]!hks_fa_dupont_intburden(C66,F66))</f>
        <v/>
      </c>
      <c r="AW66" s="23" t="str">
        <f>IF(C66="","",[1]!hks_fa_dupont_assetstoequity(C66,F66))</f>
        <v/>
      </c>
      <c r="AX66" s="23" t="str">
        <f>IF(C66="","",[1]!s_fa_dupont_ebittosales(C66,F66))</f>
        <v/>
      </c>
      <c r="AY66" s="23" t="str">
        <f>IF(C66="","",[1]!hks_fa_assetsturn(C66,F66))</f>
        <v/>
      </c>
      <c r="AZ66" s="23" t="str">
        <f>IF(C66="","",[1]!hks_fa_grossmargin2(C66,F66,"",100000000))</f>
        <v/>
      </c>
      <c r="BA66" s="23" t="str">
        <f>IF(C66="","",[1]!hks_fa_ebit3(C66,F66,1,"",100000000))</f>
        <v/>
      </c>
      <c r="BB66" s="23" t="str">
        <f>IF(C66="","",[1]!hks_fa_ebitda(C66,F66,1,"",100000000))</f>
        <v/>
      </c>
      <c r="BC66" s="23" t="str">
        <f>IF(C66="","",[1]!hks_fa_ebit(C66,F66,1,"",100000000))</f>
        <v/>
      </c>
      <c r="BD66" s="23" t="str">
        <f>IF(C66="","",[1]!hks_fa_ebitda(C66,F66,1,"",100000000))</f>
        <v/>
      </c>
      <c r="BE66" s="23" t="str">
        <f>IF(C66="","",[1]!hks_fa_nogaapprofit(C66,F66,1,"",100000000))</f>
        <v/>
      </c>
      <c r="BF66" s="23" t="str">
        <f>IF(C66="","",[1]!hks_fa_deductedprofit(C66,F66,1,"",100000000))</f>
        <v/>
      </c>
      <c r="BG66" s="23" t="str">
        <f>IF(C66="","",[1]!hks_fa_retainedearnings2(C66,F66,"",100000000))</f>
        <v/>
      </c>
      <c r="BH66" s="23" t="str">
        <f>IF(C66="","",[1]!hks_fa_workingcapital2(C66,F66,"",100000000))</f>
        <v/>
      </c>
      <c r="BI66" s="23" t="str">
        <f>IF(C66="","",[1]!hks_fa_networkingcapital2(C66,F66,"",100000000))</f>
        <v/>
      </c>
      <c r="BJ66" s="23" t="str">
        <f>IF(C66="","",[1]!hks_fa_investcapital2(C66,F66,"",100000000))</f>
        <v/>
      </c>
      <c r="BK66" s="23" t="str">
        <f>IF(C66="","",[1]!hks_fa_tangibleasset2(C66,F66,"",100000000))</f>
        <v/>
      </c>
      <c r="BL66" s="23" t="str">
        <f>IF(C66="","",[1]!hks_fa_netdebt2(C66,F66,"",100000000))</f>
        <v/>
      </c>
      <c r="BM66" s="23" t="str">
        <f>IF(C66="","",[1]!hks_fa_interestdebt2(C66,F66,"",100000000))</f>
        <v/>
      </c>
      <c r="BN66" s="23" t="str">
        <f>IF(C66="","",[1]!hks_fa_exinterestdebt_current(C66,F66,"",100000000))</f>
        <v/>
      </c>
      <c r="BO66" s="23" t="str">
        <f>IF(C66="","",[1]!hks_fa_exinterestdebt_noncurrent2(C66,F66,"",100000000))</f>
        <v/>
      </c>
      <c r="BP66" s="23" t="str">
        <f>IF(C66="","",[1]!hks_fa_fcfe2(C66,F66,"",100000000))</f>
        <v/>
      </c>
      <c r="BQ66" s="23" t="str">
        <f>IF(C66="","",[1]!hks_fa_fcff2(C66,F66,"",100000000))</f>
        <v/>
      </c>
      <c r="BR66" s="35"/>
    </row>
    <row r="67" spans="1:70" s="36" customFormat="1" ht="16.5" x14ac:dyDescent="0.2">
      <c r="A67" s="2"/>
      <c r="B67" s="6"/>
      <c r="C67" s="28" t="str">
        <f>IF(表1[[#This Row],[列1]]="","",表1[[#This Row],[列1]])</f>
        <v/>
      </c>
      <c r="D67" s="19" t="str">
        <f>IF(C67="","",[1]!hks_info_name(C67))</f>
        <v/>
      </c>
      <c r="E67" s="19" t="str">
        <f ca="1">IF(C67="","",[1]!lastradeday_s(C67,TODAY()))</f>
        <v/>
      </c>
      <c r="F67" s="49" t="str">
        <f>IF(C67="","",IF(OR([1]!s_stm_rpt_e(C67,基本资料!$I$8,0)="#N/A",[1]!s_stm_rpt_e(C67,基本资料!$I$8,0)="",[1]!s_stm_rpt_e(C67,基本资料!$I$8,0)=0),[1]!s_stm_rpt_e(C67,基本资料!$I$9,0),[1]!s_stm_rpt_e(C67,基本资料!$I$8,0)))</f>
        <v/>
      </c>
      <c r="G67" s="49" t="str">
        <f>IF(C67="","",[1]!hks_info_cur2(C67,F67))</f>
        <v/>
      </c>
      <c r="H67" s="27" t="str">
        <f>IF(C67="","",[1]!hks_fa_eps_basic(C67,F67,""))</f>
        <v/>
      </c>
      <c r="I67" s="23" t="str">
        <f>IF(C67="","",[1]!hks_fa_eps_adjust2(C67,F67,""))</f>
        <v/>
      </c>
      <c r="J67" s="23" t="str">
        <f>IF(C67="","",[1]!hks_fa_bps(C67,F67,""))</f>
        <v/>
      </c>
      <c r="K67" s="25" t="str">
        <f>IF(C67="","",[1]!hks_fa_ocfps(C67,F67,""))</f>
        <v/>
      </c>
      <c r="L67" s="27" t="str">
        <f>IF(C67="","",[1]!hks_fa_grossprofitmargin(C67,F67))</f>
        <v/>
      </c>
      <c r="M67" s="23" t="str">
        <f>IF(C67="","",[1]!hks_fa_netprofitmargin(C67,F67))</f>
        <v/>
      </c>
      <c r="N67" s="23" t="str">
        <f>IF(C67="","",[1]!hks_fa_roe(C67,F67))</f>
        <v/>
      </c>
      <c r="O67" s="23" t="str">
        <f>IF(C67="","",[1]!hks_fa_roe_deducted(C67,F67))</f>
        <v/>
      </c>
      <c r="P67" s="23" t="str">
        <f>IF(C67="","",[1]!hks_fa_roa2(C67,F67))</f>
        <v/>
      </c>
      <c r="Q67" s="23" t="str">
        <f>IF(C67="","",[1]!hks_fa_roic(C67,F67))</f>
        <v/>
      </c>
      <c r="R67" s="23" t="str">
        <f>IF(C67="","",[1]!hks_fa_dupont_nptosales(C67,F67))</f>
        <v/>
      </c>
      <c r="S67" s="23" t="str">
        <f>IF(C67="","",[1]!hks_fa_dupont_ebittosales(C67,F67))</f>
        <v/>
      </c>
      <c r="T67" s="25" t="str">
        <f>IF(C67="","",[1]!hks_fa_ebitdatosales(C67,F67))</f>
        <v/>
      </c>
      <c r="U67" s="47" t="str">
        <f>IF(C67="","",[1]!hks_fa_optoebt(C67,F67))</f>
        <v/>
      </c>
      <c r="V67" s="25" t="str">
        <f>IF(C67="","",[1]!hks_fa_ocftosales(C67,F67))</f>
        <v/>
      </c>
      <c r="W67" s="27" t="str">
        <f>IF(C67="","",[1]!hks_fa_debttoassets(C67,F67))</f>
        <v/>
      </c>
      <c r="X67" s="23" t="str">
        <f>IF(C67="","",[1]!s_fa_debttoeqy(C67,F67))</f>
        <v/>
      </c>
      <c r="Y67" s="23" t="str">
        <f>IF(C67="","",[1]!hks_fa_catoassets(C67,F67))</f>
        <v/>
      </c>
      <c r="Z67" s="23" t="str">
        <f>IF(C67="","",[1]!hks_fa_ncatoassets(C67,F67))</f>
        <v/>
      </c>
      <c r="AA67" s="23" t="str">
        <f>IF(C67="","",[1]!hks_fa_currentdebttodebt(C67,F67))</f>
        <v/>
      </c>
      <c r="AB67" s="25" t="str">
        <f>IF(C67="","",[1]!hks_fa_longdebtodebt(C67,F67))</f>
        <v/>
      </c>
      <c r="AC67" s="25" t="str">
        <f>IF(C67="","",[1]!hks_fa_current(C67,F67))</f>
        <v/>
      </c>
      <c r="AD67" s="25" t="str">
        <f>IF(C67="","",[1]!hks_fa_quick(C67,F67))</f>
        <v/>
      </c>
      <c r="AE67" s="25" t="str">
        <f>IF(C67="","",[1]!hks_fa_ebittointerest(C67,F67))</f>
        <v/>
      </c>
      <c r="AF67" s="25" t="str">
        <f>IF(C67="","",[1]!hks_fa_netdebtratio(C67,F67))</f>
        <v/>
      </c>
      <c r="AG67" s="27" t="str">
        <f>IF(C67="","",[1]!hks_fa_arturn(C67,F67))</f>
        <v/>
      </c>
      <c r="AH67" s="23" t="str">
        <f>IF(C67="","",[1]!hks_fa_apturn(C67,F67))</f>
        <v/>
      </c>
      <c r="AI67" s="23" t="str">
        <f>IF(C67="","",[1]!hks_fa_invturn(C67,F67))</f>
        <v/>
      </c>
      <c r="AJ67" s="23" t="str">
        <f>IF(C67="","",[1]!hks_fa_caturn(C67,F67))</f>
        <v/>
      </c>
      <c r="AK67" s="23" t="str">
        <f>IF(C67="","",[1]!hks_fa_faturn(C67,F67))</f>
        <v/>
      </c>
      <c r="AL67" s="25" t="str">
        <f>IF(C67="","",[1]!hks_fa_assetsturn(C67,F67))</f>
        <v/>
      </c>
      <c r="AM67" s="23" t="str">
        <f>IF(C67="","",[1]!hks_fa_yoy_tr(C67,F67))</f>
        <v/>
      </c>
      <c r="AN67" s="23" t="str">
        <f>IF(C67="","",[1]!hks_fa_yoy_or(C67,F67))</f>
        <v/>
      </c>
      <c r="AO67" s="23" t="str">
        <f>IF(C67="","",[1]!hks_fa_yoyop2(C67,F67))</f>
        <v/>
      </c>
      <c r="AP67" s="23" t="str">
        <f>IF(C67="","",[1]!hks_fa_yoyebt(C67,F67))</f>
        <v/>
      </c>
      <c r="AQ67" s="23" t="str">
        <f>IF(C67="","",[1]!hks_fa_yoynetprofit(C67,F67))</f>
        <v/>
      </c>
      <c r="AR67" s="23" t="str">
        <f>IF(C67="","",[1]!hks_fa_dupont_np(C67,F67))</f>
        <v/>
      </c>
      <c r="AS67" s="23" t="str">
        <f>IF(C67="","",[1]!hks_fa_dupont_taxburden(C67,F67))</f>
        <v/>
      </c>
      <c r="AT67" s="23" t="str">
        <f>IF(C67="","",[1]!s_fa_dupont_nptosales(C67,F67))</f>
        <v/>
      </c>
      <c r="AU67" s="23" t="str">
        <f>IF(C67="","",[1]!s_fa_dupont_roe(C67,F67))</f>
        <v/>
      </c>
      <c r="AV67" s="23" t="str">
        <f>IF(C67="","",[1]!hks_fa_dupont_intburden(C67,F67))</f>
        <v/>
      </c>
      <c r="AW67" s="23" t="str">
        <f>IF(C67="","",[1]!hks_fa_dupont_assetstoequity(C67,F67))</f>
        <v/>
      </c>
      <c r="AX67" s="23" t="str">
        <f>IF(C67="","",[1]!s_fa_dupont_ebittosales(C67,F67))</f>
        <v/>
      </c>
      <c r="AY67" s="23" t="str">
        <f>IF(C67="","",[1]!hks_fa_assetsturn(C67,F67))</f>
        <v/>
      </c>
      <c r="AZ67" s="23" t="str">
        <f>IF(C67="","",[1]!hks_fa_grossmargin2(C67,F67,"",100000000))</f>
        <v/>
      </c>
      <c r="BA67" s="23" t="str">
        <f>IF(C67="","",[1]!hks_fa_ebit3(C67,F67,1,"",100000000))</f>
        <v/>
      </c>
      <c r="BB67" s="23" t="str">
        <f>IF(C67="","",[1]!hks_fa_ebitda(C67,F67,1,"",100000000))</f>
        <v/>
      </c>
      <c r="BC67" s="23" t="str">
        <f>IF(C67="","",[1]!hks_fa_ebit(C67,F67,1,"",100000000))</f>
        <v/>
      </c>
      <c r="BD67" s="23" t="str">
        <f>IF(C67="","",[1]!hks_fa_ebitda(C67,F67,1,"",100000000))</f>
        <v/>
      </c>
      <c r="BE67" s="23" t="str">
        <f>IF(C67="","",[1]!hks_fa_nogaapprofit(C67,F67,1,"",100000000))</f>
        <v/>
      </c>
      <c r="BF67" s="23" t="str">
        <f>IF(C67="","",[1]!hks_fa_deductedprofit(C67,F67,1,"",100000000))</f>
        <v/>
      </c>
      <c r="BG67" s="23" t="str">
        <f>IF(C67="","",[1]!hks_fa_retainedearnings2(C67,F67,"",100000000))</f>
        <v/>
      </c>
      <c r="BH67" s="23" t="str">
        <f>IF(C67="","",[1]!hks_fa_workingcapital2(C67,F67,"",100000000))</f>
        <v/>
      </c>
      <c r="BI67" s="23" t="str">
        <f>IF(C67="","",[1]!hks_fa_networkingcapital2(C67,F67,"",100000000))</f>
        <v/>
      </c>
      <c r="BJ67" s="23" t="str">
        <f>IF(C67="","",[1]!hks_fa_investcapital2(C67,F67,"",100000000))</f>
        <v/>
      </c>
      <c r="BK67" s="23" t="str">
        <f>IF(C67="","",[1]!hks_fa_tangibleasset2(C67,F67,"",100000000))</f>
        <v/>
      </c>
      <c r="BL67" s="23" t="str">
        <f>IF(C67="","",[1]!hks_fa_netdebt2(C67,F67,"",100000000))</f>
        <v/>
      </c>
      <c r="BM67" s="23" t="str">
        <f>IF(C67="","",[1]!hks_fa_interestdebt2(C67,F67,"",100000000))</f>
        <v/>
      </c>
      <c r="BN67" s="23" t="str">
        <f>IF(C67="","",[1]!hks_fa_exinterestdebt_current(C67,F67,"",100000000))</f>
        <v/>
      </c>
      <c r="BO67" s="23" t="str">
        <f>IF(C67="","",[1]!hks_fa_exinterestdebt_noncurrent2(C67,F67,"",100000000))</f>
        <v/>
      </c>
      <c r="BP67" s="23" t="str">
        <f>IF(C67="","",[1]!hks_fa_fcfe2(C67,F67,"",100000000))</f>
        <v/>
      </c>
      <c r="BQ67" s="23" t="str">
        <f>IF(C67="","",[1]!hks_fa_fcff2(C67,F67,"",100000000))</f>
        <v/>
      </c>
      <c r="BR67" s="35"/>
    </row>
    <row r="68" spans="1:70" s="36" customFormat="1" ht="16.5" x14ac:dyDescent="0.2">
      <c r="A68" s="2"/>
      <c r="B68" s="6"/>
      <c r="C68" s="28" t="str">
        <f>IF(表1[[#This Row],[列1]]="","",表1[[#This Row],[列1]])</f>
        <v/>
      </c>
      <c r="D68" s="19" t="str">
        <f>IF(C68="","",[1]!hks_info_name(C68))</f>
        <v/>
      </c>
      <c r="E68" s="19" t="str">
        <f ca="1">IF(C68="","",[1]!lastradeday_s(C68,TODAY()))</f>
        <v/>
      </c>
      <c r="F68" s="49" t="str">
        <f>IF(C68="","",IF(OR([1]!s_stm_rpt_e(C68,基本资料!$I$8,0)="#N/A",[1]!s_stm_rpt_e(C68,基本资料!$I$8,0)="",[1]!s_stm_rpt_e(C68,基本资料!$I$8,0)=0),[1]!s_stm_rpt_e(C68,基本资料!$I$9,0),[1]!s_stm_rpt_e(C68,基本资料!$I$8,0)))</f>
        <v/>
      </c>
      <c r="G68" s="49" t="str">
        <f>IF(C68="","",[1]!hks_info_cur2(C68,F68))</f>
        <v/>
      </c>
      <c r="H68" s="27" t="str">
        <f>IF(C68="","",[1]!hks_fa_eps_basic(C68,F68,""))</f>
        <v/>
      </c>
      <c r="I68" s="23" t="str">
        <f>IF(C68="","",[1]!hks_fa_eps_adjust2(C68,F68,""))</f>
        <v/>
      </c>
      <c r="J68" s="23" t="str">
        <f>IF(C68="","",[1]!hks_fa_bps(C68,F68,""))</f>
        <v/>
      </c>
      <c r="K68" s="25" t="str">
        <f>IF(C68="","",[1]!hks_fa_ocfps(C68,F68,""))</f>
        <v/>
      </c>
      <c r="L68" s="27" t="str">
        <f>IF(C68="","",[1]!hks_fa_grossprofitmargin(C68,F68))</f>
        <v/>
      </c>
      <c r="M68" s="23" t="str">
        <f>IF(C68="","",[1]!hks_fa_netprofitmargin(C68,F68))</f>
        <v/>
      </c>
      <c r="N68" s="23" t="str">
        <f>IF(C68="","",[1]!hks_fa_roe(C68,F68))</f>
        <v/>
      </c>
      <c r="O68" s="23" t="str">
        <f>IF(C68="","",[1]!hks_fa_roe_deducted(C68,F68))</f>
        <v/>
      </c>
      <c r="P68" s="23" t="str">
        <f>IF(C68="","",[1]!hks_fa_roa2(C68,F68))</f>
        <v/>
      </c>
      <c r="Q68" s="23" t="str">
        <f>IF(C68="","",[1]!hks_fa_roic(C68,F68))</f>
        <v/>
      </c>
      <c r="R68" s="23" t="str">
        <f>IF(C68="","",[1]!hks_fa_dupont_nptosales(C68,F68))</f>
        <v/>
      </c>
      <c r="S68" s="23" t="str">
        <f>IF(C68="","",[1]!hks_fa_dupont_ebittosales(C68,F68))</f>
        <v/>
      </c>
      <c r="T68" s="25" t="str">
        <f>IF(C68="","",[1]!hks_fa_ebitdatosales(C68,F68))</f>
        <v/>
      </c>
      <c r="U68" s="47" t="str">
        <f>IF(C68="","",[1]!hks_fa_optoebt(C68,F68))</f>
        <v/>
      </c>
      <c r="V68" s="25" t="str">
        <f>IF(C68="","",[1]!hks_fa_ocftosales(C68,F68))</f>
        <v/>
      </c>
      <c r="W68" s="27" t="str">
        <f>IF(C68="","",[1]!hks_fa_debttoassets(C68,F68))</f>
        <v/>
      </c>
      <c r="X68" s="23" t="str">
        <f>IF(C68="","",[1]!s_fa_debttoeqy(C68,F68))</f>
        <v/>
      </c>
      <c r="Y68" s="23" t="str">
        <f>IF(C68="","",[1]!hks_fa_catoassets(C68,F68))</f>
        <v/>
      </c>
      <c r="Z68" s="23" t="str">
        <f>IF(C68="","",[1]!hks_fa_ncatoassets(C68,F68))</f>
        <v/>
      </c>
      <c r="AA68" s="23" t="str">
        <f>IF(C68="","",[1]!hks_fa_currentdebttodebt(C68,F68))</f>
        <v/>
      </c>
      <c r="AB68" s="25" t="str">
        <f>IF(C68="","",[1]!hks_fa_longdebtodebt(C68,F68))</f>
        <v/>
      </c>
      <c r="AC68" s="25" t="str">
        <f>IF(C68="","",[1]!hks_fa_current(C68,F68))</f>
        <v/>
      </c>
      <c r="AD68" s="25" t="str">
        <f>IF(C68="","",[1]!hks_fa_quick(C68,F68))</f>
        <v/>
      </c>
      <c r="AE68" s="25" t="str">
        <f>IF(C68="","",[1]!hks_fa_ebittointerest(C68,F68))</f>
        <v/>
      </c>
      <c r="AF68" s="25" t="str">
        <f>IF(C68="","",[1]!hks_fa_netdebtratio(C68,F68))</f>
        <v/>
      </c>
      <c r="AG68" s="27" t="str">
        <f>IF(C68="","",[1]!hks_fa_arturn(C68,F68))</f>
        <v/>
      </c>
      <c r="AH68" s="23" t="str">
        <f>IF(C68="","",[1]!hks_fa_apturn(C68,F68))</f>
        <v/>
      </c>
      <c r="AI68" s="23" t="str">
        <f>IF(C68="","",[1]!hks_fa_invturn(C68,F68))</f>
        <v/>
      </c>
      <c r="AJ68" s="23" t="str">
        <f>IF(C68="","",[1]!hks_fa_caturn(C68,F68))</f>
        <v/>
      </c>
      <c r="AK68" s="23" t="str">
        <f>IF(C68="","",[1]!hks_fa_faturn(C68,F68))</f>
        <v/>
      </c>
      <c r="AL68" s="25" t="str">
        <f>IF(C68="","",[1]!hks_fa_assetsturn(C68,F68))</f>
        <v/>
      </c>
      <c r="AM68" s="23" t="str">
        <f>IF(C68="","",[1]!hks_fa_yoy_tr(C68,F68))</f>
        <v/>
      </c>
      <c r="AN68" s="23" t="str">
        <f>IF(C68="","",[1]!hks_fa_yoy_or(C68,F68))</f>
        <v/>
      </c>
      <c r="AO68" s="23" t="str">
        <f>IF(C68="","",[1]!hks_fa_yoyop2(C68,F68))</f>
        <v/>
      </c>
      <c r="AP68" s="23" t="str">
        <f>IF(C68="","",[1]!hks_fa_yoyebt(C68,F68))</f>
        <v/>
      </c>
      <c r="AQ68" s="23" t="str">
        <f>IF(C68="","",[1]!hks_fa_yoynetprofit(C68,F68))</f>
        <v/>
      </c>
      <c r="AR68" s="23" t="str">
        <f>IF(C68="","",[1]!hks_fa_dupont_np(C68,F68))</f>
        <v/>
      </c>
      <c r="AS68" s="23" t="str">
        <f>IF(C68="","",[1]!hks_fa_dupont_taxburden(C68,F68))</f>
        <v/>
      </c>
      <c r="AT68" s="23" t="str">
        <f>IF(C68="","",[1]!s_fa_dupont_nptosales(C68,F68))</f>
        <v/>
      </c>
      <c r="AU68" s="23" t="str">
        <f>IF(C68="","",[1]!s_fa_dupont_roe(C68,F68))</f>
        <v/>
      </c>
      <c r="AV68" s="23" t="str">
        <f>IF(C68="","",[1]!hks_fa_dupont_intburden(C68,F68))</f>
        <v/>
      </c>
      <c r="AW68" s="23" t="str">
        <f>IF(C68="","",[1]!hks_fa_dupont_assetstoequity(C68,F68))</f>
        <v/>
      </c>
      <c r="AX68" s="23" t="str">
        <f>IF(C68="","",[1]!s_fa_dupont_ebittosales(C68,F68))</f>
        <v/>
      </c>
      <c r="AY68" s="23" t="str">
        <f>IF(C68="","",[1]!hks_fa_assetsturn(C68,F68))</f>
        <v/>
      </c>
      <c r="AZ68" s="23" t="str">
        <f>IF(C68="","",[1]!hks_fa_grossmargin2(C68,F68,"",100000000))</f>
        <v/>
      </c>
      <c r="BA68" s="23" t="str">
        <f>IF(C68="","",[1]!hks_fa_ebit3(C68,F68,1,"",100000000))</f>
        <v/>
      </c>
      <c r="BB68" s="23" t="str">
        <f>IF(C68="","",[1]!hks_fa_ebitda(C68,F68,1,"",100000000))</f>
        <v/>
      </c>
      <c r="BC68" s="23" t="str">
        <f>IF(C68="","",[1]!hks_fa_ebit(C68,F68,1,"",100000000))</f>
        <v/>
      </c>
      <c r="BD68" s="23" t="str">
        <f>IF(C68="","",[1]!hks_fa_ebitda(C68,F68,1,"",100000000))</f>
        <v/>
      </c>
      <c r="BE68" s="23" t="str">
        <f>IF(C68="","",[1]!hks_fa_nogaapprofit(C68,F68,1,"",100000000))</f>
        <v/>
      </c>
      <c r="BF68" s="23" t="str">
        <f>IF(C68="","",[1]!hks_fa_deductedprofit(C68,F68,1,"",100000000))</f>
        <v/>
      </c>
      <c r="BG68" s="23" t="str">
        <f>IF(C68="","",[1]!hks_fa_retainedearnings2(C68,F68,"",100000000))</f>
        <v/>
      </c>
      <c r="BH68" s="23" t="str">
        <f>IF(C68="","",[1]!hks_fa_workingcapital2(C68,F68,"",100000000))</f>
        <v/>
      </c>
      <c r="BI68" s="23" t="str">
        <f>IF(C68="","",[1]!hks_fa_networkingcapital2(C68,F68,"",100000000))</f>
        <v/>
      </c>
      <c r="BJ68" s="23" t="str">
        <f>IF(C68="","",[1]!hks_fa_investcapital2(C68,F68,"",100000000))</f>
        <v/>
      </c>
      <c r="BK68" s="23" t="str">
        <f>IF(C68="","",[1]!hks_fa_tangibleasset2(C68,F68,"",100000000))</f>
        <v/>
      </c>
      <c r="BL68" s="23" t="str">
        <f>IF(C68="","",[1]!hks_fa_netdebt2(C68,F68,"",100000000))</f>
        <v/>
      </c>
      <c r="BM68" s="23" t="str">
        <f>IF(C68="","",[1]!hks_fa_interestdebt2(C68,F68,"",100000000))</f>
        <v/>
      </c>
      <c r="BN68" s="23" t="str">
        <f>IF(C68="","",[1]!hks_fa_exinterestdebt_current(C68,F68,"",100000000))</f>
        <v/>
      </c>
      <c r="BO68" s="23" t="str">
        <f>IF(C68="","",[1]!hks_fa_exinterestdebt_noncurrent2(C68,F68,"",100000000))</f>
        <v/>
      </c>
      <c r="BP68" s="23" t="str">
        <f>IF(C68="","",[1]!hks_fa_fcfe2(C68,F68,"",100000000))</f>
        <v/>
      </c>
      <c r="BQ68" s="23" t="str">
        <f>IF(C68="","",[1]!hks_fa_fcff2(C68,F68,"",100000000))</f>
        <v/>
      </c>
      <c r="BR68" s="35"/>
    </row>
    <row r="69" spans="1:70" s="36" customFormat="1" ht="16.5" x14ac:dyDescent="0.2">
      <c r="A69" s="2"/>
      <c r="B69" s="6"/>
      <c r="C69" s="28" t="str">
        <f>IF(表1[[#This Row],[列1]]="","",表1[[#This Row],[列1]])</f>
        <v/>
      </c>
      <c r="D69" s="19" t="str">
        <f>IF(C69="","",[1]!hks_info_name(C69))</f>
        <v/>
      </c>
      <c r="E69" s="19" t="str">
        <f ca="1">IF(C69="","",[1]!lastradeday_s(C69,TODAY()))</f>
        <v/>
      </c>
      <c r="F69" s="49" t="str">
        <f>IF(C69="","",IF(OR([1]!s_stm_rpt_e(C69,基本资料!$I$8,0)="#N/A",[1]!s_stm_rpt_e(C69,基本资料!$I$8,0)="",[1]!s_stm_rpt_e(C69,基本资料!$I$8,0)=0),[1]!s_stm_rpt_e(C69,基本资料!$I$9,0),[1]!s_stm_rpt_e(C69,基本资料!$I$8,0)))</f>
        <v/>
      </c>
      <c r="G69" s="49" t="str">
        <f>IF(C69="","",[1]!hks_info_cur2(C69,F69))</f>
        <v/>
      </c>
      <c r="H69" s="27" t="str">
        <f>IF(C69="","",[1]!hks_fa_eps_basic(C69,F69,""))</f>
        <v/>
      </c>
      <c r="I69" s="23" t="str">
        <f>IF(C69="","",[1]!hks_fa_eps_adjust2(C69,F69,""))</f>
        <v/>
      </c>
      <c r="J69" s="23" t="str">
        <f>IF(C69="","",[1]!hks_fa_bps(C69,F69,""))</f>
        <v/>
      </c>
      <c r="K69" s="25" t="str">
        <f>IF(C69="","",[1]!hks_fa_ocfps(C69,F69,""))</f>
        <v/>
      </c>
      <c r="L69" s="27" t="str">
        <f>IF(C69="","",[1]!hks_fa_grossprofitmargin(C69,F69))</f>
        <v/>
      </c>
      <c r="M69" s="23" t="str">
        <f>IF(C69="","",[1]!hks_fa_netprofitmargin(C69,F69))</f>
        <v/>
      </c>
      <c r="N69" s="23" t="str">
        <f>IF(C69="","",[1]!hks_fa_roe(C69,F69))</f>
        <v/>
      </c>
      <c r="O69" s="23" t="str">
        <f>IF(C69="","",[1]!hks_fa_roe_deducted(C69,F69))</f>
        <v/>
      </c>
      <c r="P69" s="23" t="str">
        <f>IF(C69="","",[1]!hks_fa_roa2(C69,F69))</f>
        <v/>
      </c>
      <c r="Q69" s="23" t="str">
        <f>IF(C69="","",[1]!hks_fa_roic(C69,F69))</f>
        <v/>
      </c>
      <c r="R69" s="23" t="str">
        <f>IF(C69="","",[1]!hks_fa_dupont_nptosales(C69,F69))</f>
        <v/>
      </c>
      <c r="S69" s="23" t="str">
        <f>IF(C69="","",[1]!hks_fa_dupont_ebittosales(C69,F69))</f>
        <v/>
      </c>
      <c r="T69" s="25" t="str">
        <f>IF(C69="","",[1]!hks_fa_ebitdatosales(C69,F69))</f>
        <v/>
      </c>
      <c r="U69" s="47" t="str">
        <f>IF(C69="","",[1]!hks_fa_optoebt(C69,F69))</f>
        <v/>
      </c>
      <c r="V69" s="25" t="str">
        <f>IF(C69="","",[1]!hks_fa_ocftosales(C69,F69))</f>
        <v/>
      </c>
      <c r="W69" s="27" t="str">
        <f>IF(C69="","",[1]!hks_fa_debttoassets(C69,F69))</f>
        <v/>
      </c>
      <c r="X69" s="23" t="str">
        <f>IF(C69="","",[1]!s_fa_debttoeqy(C69,F69))</f>
        <v/>
      </c>
      <c r="Y69" s="23" t="str">
        <f>IF(C69="","",[1]!hks_fa_catoassets(C69,F69))</f>
        <v/>
      </c>
      <c r="Z69" s="23" t="str">
        <f>IF(C69="","",[1]!hks_fa_ncatoassets(C69,F69))</f>
        <v/>
      </c>
      <c r="AA69" s="23" t="str">
        <f>IF(C69="","",[1]!hks_fa_currentdebttodebt(C69,F69))</f>
        <v/>
      </c>
      <c r="AB69" s="25" t="str">
        <f>IF(C69="","",[1]!hks_fa_longdebtodebt(C69,F69))</f>
        <v/>
      </c>
      <c r="AC69" s="25" t="str">
        <f>IF(C69="","",[1]!hks_fa_current(C69,F69))</f>
        <v/>
      </c>
      <c r="AD69" s="25" t="str">
        <f>IF(C69="","",[1]!hks_fa_quick(C69,F69))</f>
        <v/>
      </c>
      <c r="AE69" s="25" t="str">
        <f>IF(C69="","",[1]!hks_fa_ebittointerest(C69,F69))</f>
        <v/>
      </c>
      <c r="AF69" s="25" t="str">
        <f>IF(C69="","",[1]!hks_fa_netdebtratio(C69,F69))</f>
        <v/>
      </c>
      <c r="AG69" s="27" t="str">
        <f>IF(C69="","",[1]!hks_fa_arturn(C69,F69))</f>
        <v/>
      </c>
      <c r="AH69" s="23" t="str">
        <f>IF(C69="","",[1]!hks_fa_apturn(C69,F69))</f>
        <v/>
      </c>
      <c r="AI69" s="23" t="str">
        <f>IF(C69="","",[1]!hks_fa_invturn(C69,F69))</f>
        <v/>
      </c>
      <c r="AJ69" s="23" t="str">
        <f>IF(C69="","",[1]!hks_fa_caturn(C69,F69))</f>
        <v/>
      </c>
      <c r="AK69" s="23" t="str">
        <f>IF(C69="","",[1]!hks_fa_faturn(C69,F69))</f>
        <v/>
      </c>
      <c r="AL69" s="25" t="str">
        <f>IF(C69="","",[1]!hks_fa_assetsturn(C69,F69))</f>
        <v/>
      </c>
      <c r="AM69" s="23" t="str">
        <f>IF(C69="","",[1]!hks_fa_yoy_tr(C69,F69))</f>
        <v/>
      </c>
      <c r="AN69" s="23" t="str">
        <f>IF(C69="","",[1]!hks_fa_yoy_or(C69,F69))</f>
        <v/>
      </c>
      <c r="AO69" s="23" t="str">
        <f>IF(C69="","",[1]!hks_fa_yoyop2(C69,F69))</f>
        <v/>
      </c>
      <c r="AP69" s="23" t="str">
        <f>IF(C69="","",[1]!hks_fa_yoyebt(C69,F69))</f>
        <v/>
      </c>
      <c r="AQ69" s="23" t="str">
        <f>IF(C69="","",[1]!hks_fa_yoynetprofit(C69,F69))</f>
        <v/>
      </c>
      <c r="AR69" s="23" t="str">
        <f>IF(C69="","",[1]!hks_fa_dupont_np(C69,F69))</f>
        <v/>
      </c>
      <c r="AS69" s="23" t="str">
        <f>IF(C69="","",[1]!hks_fa_dupont_taxburden(C69,F69))</f>
        <v/>
      </c>
      <c r="AT69" s="23" t="str">
        <f>IF(C69="","",[1]!s_fa_dupont_nptosales(C69,F69))</f>
        <v/>
      </c>
      <c r="AU69" s="23" t="str">
        <f>IF(C69="","",[1]!s_fa_dupont_roe(C69,F69))</f>
        <v/>
      </c>
      <c r="AV69" s="23" t="str">
        <f>IF(C69="","",[1]!hks_fa_dupont_intburden(C69,F69))</f>
        <v/>
      </c>
      <c r="AW69" s="23" t="str">
        <f>IF(C69="","",[1]!hks_fa_dupont_assetstoequity(C69,F69))</f>
        <v/>
      </c>
      <c r="AX69" s="23" t="str">
        <f>IF(C69="","",[1]!s_fa_dupont_ebittosales(C69,F69))</f>
        <v/>
      </c>
      <c r="AY69" s="23" t="str">
        <f>IF(C69="","",[1]!hks_fa_assetsturn(C69,F69))</f>
        <v/>
      </c>
      <c r="AZ69" s="23" t="str">
        <f>IF(C69="","",[1]!hks_fa_grossmargin2(C69,F69,"",100000000))</f>
        <v/>
      </c>
      <c r="BA69" s="23" t="str">
        <f>IF(C69="","",[1]!hks_fa_ebit3(C69,F69,1,"",100000000))</f>
        <v/>
      </c>
      <c r="BB69" s="23" t="str">
        <f>IF(C69="","",[1]!hks_fa_ebitda(C69,F69,1,"",100000000))</f>
        <v/>
      </c>
      <c r="BC69" s="23" t="str">
        <f>IF(C69="","",[1]!hks_fa_ebit(C69,F69,1,"",100000000))</f>
        <v/>
      </c>
      <c r="BD69" s="23" t="str">
        <f>IF(C69="","",[1]!hks_fa_ebitda(C69,F69,1,"",100000000))</f>
        <v/>
      </c>
      <c r="BE69" s="23" t="str">
        <f>IF(C69="","",[1]!hks_fa_nogaapprofit(C69,F69,1,"",100000000))</f>
        <v/>
      </c>
      <c r="BF69" s="23" t="str">
        <f>IF(C69="","",[1]!hks_fa_deductedprofit(C69,F69,1,"",100000000))</f>
        <v/>
      </c>
      <c r="BG69" s="23" t="str">
        <f>IF(C69="","",[1]!hks_fa_retainedearnings2(C69,F69,"",100000000))</f>
        <v/>
      </c>
      <c r="BH69" s="23" t="str">
        <f>IF(C69="","",[1]!hks_fa_workingcapital2(C69,F69,"",100000000))</f>
        <v/>
      </c>
      <c r="BI69" s="23" t="str">
        <f>IF(C69="","",[1]!hks_fa_networkingcapital2(C69,F69,"",100000000))</f>
        <v/>
      </c>
      <c r="BJ69" s="23" t="str">
        <f>IF(C69="","",[1]!hks_fa_investcapital2(C69,F69,"",100000000))</f>
        <v/>
      </c>
      <c r="BK69" s="23" t="str">
        <f>IF(C69="","",[1]!hks_fa_tangibleasset2(C69,F69,"",100000000))</f>
        <v/>
      </c>
      <c r="BL69" s="23" t="str">
        <f>IF(C69="","",[1]!hks_fa_netdebt2(C69,F69,"",100000000))</f>
        <v/>
      </c>
      <c r="BM69" s="23" t="str">
        <f>IF(C69="","",[1]!hks_fa_interestdebt2(C69,F69,"",100000000))</f>
        <v/>
      </c>
      <c r="BN69" s="23" t="str">
        <f>IF(C69="","",[1]!hks_fa_exinterestdebt_current(C69,F69,"",100000000))</f>
        <v/>
      </c>
      <c r="BO69" s="23" t="str">
        <f>IF(C69="","",[1]!hks_fa_exinterestdebt_noncurrent2(C69,F69,"",100000000))</f>
        <v/>
      </c>
      <c r="BP69" s="23" t="str">
        <f>IF(C69="","",[1]!hks_fa_fcfe2(C69,F69,"",100000000))</f>
        <v/>
      </c>
      <c r="BQ69" s="23" t="str">
        <f>IF(C69="","",[1]!hks_fa_fcff2(C69,F69,"",100000000))</f>
        <v/>
      </c>
      <c r="BR69" s="35"/>
    </row>
    <row r="70" spans="1:70" s="36" customFormat="1" ht="16.5" x14ac:dyDescent="0.2">
      <c r="A70" s="2"/>
      <c r="B70" s="6"/>
      <c r="C70" s="28" t="str">
        <f>IF(表1[[#This Row],[列1]]="","",表1[[#This Row],[列1]])</f>
        <v/>
      </c>
      <c r="D70" s="19" t="str">
        <f>IF(C70="","",[1]!hks_info_name(C70))</f>
        <v/>
      </c>
      <c r="E70" s="19" t="str">
        <f ca="1">IF(C70="","",[1]!lastradeday_s(C70,TODAY()))</f>
        <v/>
      </c>
      <c r="F70" s="49" t="str">
        <f>IF(C70="","",IF(OR([1]!s_stm_rpt_e(C70,基本资料!$I$8,0)="#N/A",[1]!s_stm_rpt_e(C70,基本资料!$I$8,0)="",[1]!s_stm_rpt_e(C70,基本资料!$I$8,0)=0),[1]!s_stm_rpt_e(C70,基本资料!$I$9,0),[1]!s_stm_rpt_e(C70,基本资料!$I$8,0)))</f>
        <v/>
      </c>
      <c r="G70" s="49" t="str">
        <f>IF(C70="","",[1]!hks_info_cur2(C70,F70))</f>
        <v/>
      </c>
      <c r="H70" s="27" t="str">
        <f>IF(C70="","",[1]!hks_fa_eps_basic(C70,F70,""))</f>
        <v/>
      </c>
      <c r="I70" s="23" t="str">
        <f>IF(C70="","",[1]!hks_fa_eps_adjust2(C70,F70,""))</f>
        <v/>
      </c>
      <c r="J70" s="23" t="str">
        <f>IF(C70="","",[1]!hks_fa_bps(C70,F70,""))</f>
        <v/>
      </c>
      <c r="K70" s="25" t="str">
        <f>IF(C70="","",[1]!hks_fa_ocfps(C70,F70,""))</f>
        <v/>
      </c>
      <c r="L70" s="27" t="str">
        <f>IF(C70="","",[1]!hks_fa_grossprofitmargin(C70,F70))</f>
        <v/>
      </c>
      <c r="M70" s="23" t="str">
        <f>IF(C70="","",[1]!hks_fa_netprofitmargin(C70,F70))</f>
        <v/>
      </c>
      <c r="N70" s="23" t="str">
        <f>IF(C70="","",[1]!hks_fa_roe(C70,F70))</f>
        <v/>
      </c>
      <c r="O70" s="23" t="str">
        <f>IF(C70="","",[1]!hks_fa_roe_deducted(C70,F70))</f>
        <v/>
      </c>
      <c r="P70" s="23" t="str">
        <f>IF(C70="","",[1]!hks_fa_roa2(C70,F70))</f>
        <v/>
      </c>
      <c r="Q70" s="23" t="str">
        <f>IF(C70="","",[1]!hks_fa_roic(C70,F70))</f>
        <v/>
      </c>
      <c r="R70" s="23" t="str">
        <f>IF(C70="","",[1]!hks_fa_dupont_nptosales(C70,F70))</f>
        <v/>
      </c>
      <c r="S70" s="23" t="str">
        <f>IF(C70="","",[1]!hks_fa_dupont_ebittosales(C70,F70))</f>
        <v/>
      </c>
      <c r="T70" s="25" t="str">
        <f>IF(C70="","",[1]!hks_fa_ebitdatosales(C70,F70))</f>
        <v/>
      </c>
      <c r="U70" s="47" t="str">
        <f>IF(C70="","",[1]!hks_fa_optoebt(C70,F70))</f>
        <v/>
      </c>
      <c r="V70" s="25" t="str">
        <f>IF(C70="","",[1]!hks_fa_ocftosales(C70,F70))</f>
        <v/>
      </c>
      <c r="W70" s="27" t="str">
        <f>IF(C70="","",[1]!hks_fa_debttoassets(C70,F70))</f>
        <v/>
      </c>
      <c r="X70" s="23" t="str">
        <f>IF(C70="","",[1]!s_fa_debttoeqy(C70,F70))</f>
        <v/>
      </c>
      <c r="Y70" s="23" t="str">
        <f>IF(C70="","",[1]!hks_fa_catoassets(C70,F70))</f>
        <v/>
      </c>
      <c r="Z70" s="23" t="str">
        <f>IF(C70="","",[1]!hks_fa_ncatoassets(C70,F70))</f>
        <v/>
      </c>
      <c r="AA70" s="23" t="str">
        <f>IF(C70="","",[1]!hks_fa_currentdebttodebt(C70,F70))</f>
        <v/>
      </c>
      <c r="AB70" s="25" t="str">
        <f>IF(C70="","",[1]!hks_fa_longdebtodebt(C70,F70))</f>
        <v/>
      </c>
      <c r="AC70" s="25" t="str">
        <f>IF(C70="","",[1]!hks_fa_current(C70,F70))</f>
        <v/>
      </c>
      <c r="AD70" s="25" t="str">
        <f>IF(C70="","",[1]!hks_fa_quick(C70,F70))</f>
        <v/>
      </c>
      <c r="AE70" s="25" t="str">
        <f>IF(C70="","",[1]!hks_fa_ebittointerest(C70,F70))</f>
        <v/>
      </c>
      <c r="AF70" s="25" t="str">
        <f>IF(C70="","",[1]!hks_fa_netdebtratio(C70,F70))</f>
        <v/>
      </c>
      <c r="AG70" s="27" t="str">
        <f>IF(C70="","",[1]!hks_fa_arturn(C70,F70))</f>
        <v/>
      </c>
      <c r="AH70" s="23" t="str">
        <f>IF(C70="","",[1]!hks_fa_apturn(C70,F70))</f>
        <v/>
      </c>
      <c r="AI70" s="23" t="str">
        <f>IF(C70="","",[1]!hks_fa_invturn(C70,F70))</f>
        <v/>
      </c>
      <c r="AJ70" s="23" t="str">
        <f>IF(C70="","",[1]!hks_fa_caturn(C70,F70))</f>
        <v/>
      </c>
      <c r="AK70" s="23" t="str">
        <f>IF(C70="","",[1]!hks_fa_faturn(C70,F70))</f>
        <v/>
      </c>
      <c r="AL70" s="25" t="str">
        <f>IF(C70="","",[1]!hks_fa_assetsturn(C70,F70))</f>
        <v/>
      </c>
      <c r="AM70" s="23" t="str">
        <f>IF(C70="","",[1]!hks_fa_yoy_tr(C70,F70))</f>
        <v/>
      </c>
      <c r="AN70" s="23" t="str">
        <f>IF(C70="","",[1]!hks_fa_yoy_or(C70,F70))</f>
        <v/>
      </c>
      <c r="AO70" s="23" t="str">
        <f>IF(C70="","",[1]!hks_fa_yoyop2(C70,F70))</f>
        <v/>
      </c>
      <c r="AP70" s="23" t="str">
        <f>IF(C70="","",[1]!hks_fa_yoyebt(C70,F70))</f>
        <v/>
      </c>
      <c r="AQ70" s="23" t="str">
        <f>IF(C70="","",[1]!hks_fa_yoynetprofit(C70,F70))</f>
        <v/>
      </c>
      <c r="AR70" s="23" t="str">
        <f>IF(C70="","",[1]!hks_fa_dupont_np(C70,F70))</f>
        <v/>
      </c>
      <c r="AS70" s="23" t="str">
        <f>IF(C70="","",[1]!hks_fa_dupont_taxburden(C70,F70))</f>
        <v/>
      </c>
      <c r="AT70" s="23" t="str">
        <f>IF(C70="","",[1]!s_fa_dupont_nptosales(C70,F70))</f>
        <v/>
      </c>
      <c r="AU70" s="23" t="str">
        <f>IF(C70="","",[1]!s_fa_dupont_roe(C70,F70))</f>
        <v/>
      </c>
      <c r="AV70" s="23" t="str">
        <f>IF(C70="","",[1]!hks_fa_dupont_intburden(C70,F70))</f>
        <v/>
      </c>
      <c r="AW70" s="23" t="str">
        <f>IF(C70="","",[1]!hks_fa_dupont_assetstoequity(C70,F70))</f>
        <v/>
      </c>
      <c r="AX70" s="23" t="str">
        <f>IF(C70="","",[1]!s_fa_dupont_ebittosales(C70,F70))</f>
        <v/>
      </c>
      <c r="AY70" s="23" t="str">
        <f>IF(C70="","",[1]!hks_fa_assetsturn(C70,F70))</f>
        <v/>
      </c>
      <c r="AZ70" s="23" t="str">
        <f>IF(C70="","",[1]!hks_fa_grossmargin2(C70,F70,"",100000000))</f>
        <v/>
      </c>
      <c r="BA70" s="23" t="str">
        <f>IF(C70="","",[1]!hks_fa_ebit3(C70,F70,1,"",100000000))</f>
        <v/>
      </c>
      <c r="BB70" s="23" t="str">
        <f>IF(C70="","",[1]!hks_fa_ebitda(C70,F70,1,"",100000000))</f>
        <v/>
      </c>
      <c r="BC70" s="23" t="str">
        <f>IF(C70="","",[1]!hks_fa_ebit(C70,F70,1,"",100000000))</f>
        <v/>
      </c>
      <c r="BD70" s="23" t="str">
        <f>IF(C70="","",[1]!hks_fa_ebitda(C70,F70,1,"",100000000))</f>
        <v/>
      </c>
      <c r="BE70" s="23" t="str">
        <f>IF(C70="","",[1]!hks_fa_nogaapprofit(C70,F70,1,"",100000000))</f>
        <v/>
      </c>
      <c r="BF70" s="23" t="str">
        <f>IF(C70="","",[1]!hks_fa_deductedprofit(C70,F70,1,"",100000000))</f>
        <v/>
      </c>
      <c r="BG70" s="23" t="str">
        <f>IF(C70="","",[1]!hks_fa_retainedearnings2(C70,F70,"",100000000))</f>
        <v/>
      </c>
      <c r="BH70" s="23" t="str">
        <f>IF(C70="","",[1]!hks_fa_workingcapital2(C70,F70,"",100000000))</f>
        <v/>
      </c>
      <c r="BI70" s="23" t="str">
        <f>IF(C70="","",[1]!hks_fa_networkingcapital2(C70,F70,"",100000000))</f>
        <v/>
      </c>
      <c r="BJ70" s="23" t="str">
        <f>IF(C70="","",[1]!hks_fa_investcapital2(C70,F70,"",100000000))</f>
        <v/>
      </c>
      <c r="BK70" s="23" t="str">
        <f>IF(C70="","",[1]!hks_fa_tangibleasset2(C70,F70,"",100000000))</f>
        <v/>
      </c>
      <c r="BL70" s="23" t="str">
        <f>IF(C70="","",[1]!hks_fa_netdebt2(C70,F70,"",100000000))</f>
        <v/>
      </c>
      <c r="BM70" s="23" t="str">
        <f>IF(C70="","",[1]!hks_fa_interestdebt2(C70,F70,"",100000000))</f>
        <v/>
      </c>
      <c r="BN70" s="23" t="str">
        <f>IF(C70="","",[1]!hks_fa_exinterestdebt_current(C70,F70,"",100000000))</f>
        <v/>
      </c>
      <c r="BO70" s="23" t="str">
        <f>IF(C70="","",[1]!hks_fa_exinterestdebt_noncurrent2(C70,F70,"",100000000))</f>
        <v/>
      </c>
      <c r="BP70" s="23" t="str">
        <f>IF(C70="","",[1]!hks_fa_fcfe2(C70,F70,"",100000000))</f>
        <v/>
      </c>
      <c r="BQ70" s="23" t="str">
        <f>IF(C70="","",[1]!hks_fa_fcff2(C70,F70,"",100000000))</f>
        <v/>
      </c>
      <c r="BR70" s="35"/>
    </row>
    <row r="71" spans="1:70" s="36" customFormat="1" ht="16.5" x14ac:dyDescent="0.2">
      <c r="A71" s="2"/>
      <c r="B71" s="6"/>
      <c r="C71" s="28" t="str">
        <f>IF(表1[[#This Row],[列1]]="","",表1[[#This Row],[列1]])</f>
        <v/>
      </c>
      <c r="D71" s="19" t="str">
        <f>IF(C71="","",[1]!hks_info_name(C71))</f>
        <v/>
      </c>
      <c r="E71" s="19" t="str">
        <f ca="1">IF(C71="","",[1]!lastradeday_s(C71,TODAY()))</f>
        <v/>
      </c>
      <c r="F71" s="49" t="str">
        <f>IF(C71="","",IF(OR([1]!s_stm_rpt_e(C71,基本资料!$I$8,0)="#N/A",[1]!s_stm_rpt_e(C71,基本资料!$I$8,0)="",[1]!s_stm_rpt_e(C71,基本资料!$I$8,0)=0),[1]!s_stm_rpt_e(C71,基本资料!$I$9,0),[1]!s_stm_rpt_e(C71,基本资料!$I$8,0)))</f>
        <v/>
      </c>
      <c r="G71" s="49" t="str">
        <f>IF(C71="","",[1]!hks_info_cur2(C71,F71))</f>
        <v/>
      </c>
      <c r="H71" s="27" t="str">
        <f>IF(C71="","",[1]!hks_fa_eps_basic(C71,F71,""))</f>
        <v/>
      </c>
      <c r="I71" s="23" t="str">
        <f>IF(C71="","",[1]!hks_fa_eps_adjust2(C71,F71,""))</f>
        <v/>
      </c>
      <c r="J71" s="23" t="str">
        <f>IF(C71="","",[1]!hks_fa_bps(C71,F71,""))</f>
        <v/>
      </c>
      <c r="K71" s="25" t="str">
        <f>IF(C71="","",[1]!hks_fa_ocfps(C71,F71,""))</f>
        <v/>
      </c>
      <c r="L71" s="27" t="str">
        <f>IF(C71="","",[1]!hks_fa_grossprofitmargin(C71,F71))</f>
        <v/>
      </c>
      <c r="M71" s="23" t="str">
        <f>IF(C71="","",[1]!hks_fa_netprofitmargin(C71,F71))</f>
        <v/>
      </c>
      <c r="N71" s="23" t="str">
        <f>IF(C71="","",[1]!hks_fa_roe(C71,F71))</f>
        <v/>
      </c>
      <c r="O71" s="23" t="str">
        <f>IF(C71="","",[1]!hks_fa_roe_deducted(C71,F71))</f>
        <v/>
      </c>
      <c r="P71" s="23" t="str">
        <f>IF(C71="","",[1]!hks_fa_roa2(C71,F71))</f>
        <v/>
      </c>
      <c r="Q71" s="23" t="str">
        <f>IF(C71="","",[1]!hks_fa_roic(C71,F71))</f>
        <v/>
      </c>
      <c r="R71" s="23" t="str">
        <f>IF(C71="","",[1]!hks_fa_dupont_nptosales(C71,F71))</f>
        <v/>
      </c>
      <c r="S71" s="23" t="str">
        <f>IF(C71="","",[1]!hks_fa_dupont_ebittosales(C71,F71))</f>
        <v/>
      </c>
      <c r="T71" s="25" t="str">
        <f>IF(C71="","",[1]!hks_fa_ebitdatosales(C71,F71))</f>
        <v/>
      </c>
      <c r="U71" s="47" t="str">
        <f>IF(C71="","",[1]!hks_fa_optoebt(C71,F71))</f>
        <v/>
      </c>
      <c r="V71" s="25" t="str">
        <f>IF(C71="","",[1]!hks_fa_ocftosales(C71,F71))</f>
        <v/>
      </c>
      <c r="W71" s="27" t="str">
        <f>IF(C71="","",[1]!hks_fa_debttoassets(C71,F71))</f>
        <v/>
      </c>
      <c r="X71" s="23" t="str">
        <f>IF(C71="","",[1]!s_fa_debttoeqy(C71,F71))</f>
        <v/>
      </c>
      <c r="Y71" s="23" t="str">
        <f>IF(C71="","",[1]!hks_fa_catoassets(C71,F71))</f>
        <v/>
      </c>
      <c r="Z71" s="23" t="str">
        <f>IF(C71="","",[1]!hks_fa_ncatoassets(C71,F71))</f>
        <v/>
      </c>
      <c r="AA71" s="23" t="str">
        <f>IF(C71="","",[1]!hks_fa_currentdebttodebt(C71,F71))</f>
        <v/>
      </c>
      <c r="AB71" s="25" t="str">
        <f>IF(C71="","",[1]!hks_fa_longdebtodebt(C71,F71))</f>
        <v/>
      </c>
      <c r="AC71" s="25" t="str">
        <f>IF(C71="","",[1]!hks_fa_current(C71,F71))</f>
        <v/>
      </c>
      <c r="AD71" s="25" t="str">
        <f>IF(C71="","",[1]!hks_fa_quick(C71,F71))</f>
        <v/>
      </c>
      <c r="AE71" s="25" t="str">
        <f>IF(C71="","",[1]!hks_fa_ebittointerest(C71,F71))</f>
        <v/>
      </c>
      <c r="AF71" s="25" t="str">
        <f>IF(C71="","",[1]!hks_fa_netdebtratio(C71,F71))</f>
        <v/>
      </c>
      <c r="AG71" s="27" t="str">
        <f>IF(C71="","",[1]!hks_fa_arturn(C71,F71))</f>
        <v/>
      </c>
      <c r="AH71" s="23" t="str">
        <f>IF(C71="","",[1]!hks_fa_apturn(C71,F71))</f>
        <v/>
      </c>
      <c r="AI71" s="23" t="str">
        <f>IF(C71="","",[1]!hks_fa_invturn(C71,F71))</f>
        <v/>
      </c>
      <c r="AJ71" s="23" t="str">
        <f>IF(C71="","",[1]!hks_fa_caturn(C71,F71))</f>
        <v/>
      </c>
      <c r="AK71" s="23" t="str">
        <f>IF(C71="","",[1]!hks_fa_faturn(C71,F71))</f>
        <v/>
      </c>
      <c r="AL71" s="25" t="str">
        <f>IF(C71="","",[1]!hks_fa_assetsturn(C71,F71))</f>
        <v/>
      </c>
      <c r="AM71" s="23" t="str">
        <f>IF(C71="","",[1]!hks_fa_yoy_tr(C71,F71))</f>
        <v/>
      </c>
      <c r="AN71" s="23" t="str">
        <f>IF(C71="","",[1]!hks_fa_yoy_or(C71,F71))</f>
        <v/>
      </c>
      <c r="AO71" s="23" t="str">
        <f>IF(C71="","",[1]!hks_fa_yoyop2(C71,F71))</f>
        <v/>
      </c>
      <c r="AP71" s="23" t="str">
        <f>IF(C71="","",[1]!hks_fa_yoyebt(C71,F71))</f>
        <v/>
      </c>
      <c r="AQ71" s="23" t="str">
        <f>IF(C71="","",[1]!hks_fa_yoynetprofit(C71,F71))</f>
        <v/>
      </c>
      <c r="AR71" s="23" t="str">
        <f>IF(C71="","",[1]!hks_fa_dupont_np(C71,F71))</f>
        <v/>
      </c>
      <c r="AS71" s="23" t="str">
        <f>IF(C71="","",[1]!hks_fa_dupont_taxburden(C71,F71))</f>
        <v/>
      </c>
      <c r="AT71" s="23" t="str">
        <f>IF(C71="","",[1]!s_fa_dupont_nptosales(C71,F71))</f>
        <v/>
      </c>
      <c r="AU71" s="23" t="str">
        <f>IF(C71="","",[1]!s_fa_dupont_roe(C71,F71))</f>
        <v/>
      </c>
      <c r="AV71" s="23" t="str">
        <f>IF(C71="","",[1]!hks_fa_dupont_intburden(C71,F71))</f>
        <v/>
      </c>
      <c r="AW71" s="23" t="str">
        <f>IF(C71="","",[1]!hks_fa_dupont_assetstoequity(C71,F71))</f>
        <v/>
      </c>
      <c r="AX71" s="23" t="str">
        <f>IF(C71="","",[1]!s_fa_dupont_ebittosales(C71,F71))</f>
        <v/>
      </c>
      <c r="AY71" s="23" t="str">
        <f>IF(C71="","",[1]!hks_fa_assetsturn(C71,F71))</f>
        <v/>
      </c>
      <c r="AZ71" s="23" t="str">
        <f>IF(C71="","",[1]!hks_fa_grossmargin2(C71,F71,"",100000000))</f>
        <v/>
      </c>
      <c r="BA71" s="23" t="str">
        <f>IF(C71="","",[1]!hks_fa_ebit3(C71,F71,1,"",100000000))</f>
        <v/>
      </c>
      <c r="BB71" s="23" t="str">
        <f>IF(C71="","",[1]!hks_fa_ebitda(C71,F71,1,"",100000000))</f>
        <v/>
      </c>
      <c r="BC71" s="23" t="str">
        <f>IF(C71="","",[1]!hks_fa_ebit(C71,F71,1,"",100000000))</f>
        <v/>
      </c>
      <c r="BD71" s="23" t="str">
        <f>IF(C71="","",[1]!hks_fa_ebitda(C71,F71,1,"",100000000))</f>
        <v/>
      </c>
      <c r="BE71" s="23" t="str">
        <f>IF(C71="","",[1]!hks_fa_nogaapprofit(C71,F71,1,"",100000000))</f>
        <v/>
      </c>
      <c r="BF71" s="23" t="str">
        <f>IF(C71="","",[1]!hks_fa_deductedprofit(C71,F71,1,"",100000000))</f>
        <v/>
      </c>
      <c r="BG71" s="23" t="str">
        <f>IF(C71="","",[1]!hks_fa_retainedearnings2(C71,F71,"",100000000))</f>
        <v/>
      </c>
      <c r="BH71" s="23" t="str">
        <f>IF(C71="","",[1]!hks_fa_workingcapital2(C71,F71,"",100000000))</f>
        <v/>
      </c>
      <c r="BI71" s="23" t="str">
        <f>IF(C71="","",[1]!hks_fa_networkingcapital2(C71,F71,"",100000000))</f>
        <v/>
      </c>
      <c r="BJ71" s="23" t="str">
        <f>IF(C71="","",[1]!hks_fa_investcapital2(C71,F71,"",100000000))</f>
        <v/>
      </c>
      <c r="BK71" s="23" t="str">
        <f>IF(C71="","",[1]!hks_fa_tangibleasset2(C71,F71,"",100000000))</f>
        <v/>
      </c>
      <c r="BL71" s="23" t="str">
        <f>IF(C71="","",[1]!hks_fa_netdebt2(C71,F71,"",100000000))</f>
        <v/>
      </c>
      <c r="BM71" s="23" t="str">
        <f>IF(C71="","",[1]!hks_fa_interestdebt2(C71,F71,"",100000000))</f>
        <v/>
      </c>
      <c r="BN71" s="23" t="str">
        <f>IF(C71="","",[1]!hks_fa_exinterestdebt_current(C71,F71,"",100000000))</f>
        <v/>
      </c>
      <c r="BO71" s="23" t="str">
        <f>IF(C71="","",[1]!hks_fa_exinterestdebt_noncurrent2(C71,F71,"",100000000))</f>
        <v/>
      </c>
      <c r="BP71" s="23" t="str">
        <f>IF(C71="","",[1]!hks_fa_fcfe2(C71,F71,"",100000000))</f>
        <v/>
      </c>
      <c r="BQ71" s="23" t="str">
        <f>IF(C71="","",[1]!hks_fa_fcff2(C71,F71,"",100000000))</f>
        <v/>
      </c>
      <c r="BR71" s="35"/>
    </row>
    <row r="72" spans="1:70" s="36" customFormat="1" ht="16.5" x14ac:dyDescent="0.2">
      <c r="A72" s="2"/>
      <c r="B72" s="6"/>
      <c r="C72" s="28" t="str">
        <f>IF(表1[[#This Row],[列1]]="","",表1[[#This Row],[列1]])</f>
        <v/>
      </c>
      <c r="D72" s="19" t="str">
        <f>IF(C72="","",[1]!hks_info_name(C72))</f>
        <v/>
      </c>
      <c r="E72" s="19" t="str">
        <f ca="1">IF(C72="","",[1]!lastradeday_s(C72,TODAY()))</f>
        <v/>
      </c>
      <c r="F72" s="49" t="str">
        <f>IF(C72="","",IF(OR([1]!s_stm_rpt_e(C72,基本资料!$I$8,0)="#N/A",[1]!s_stm_rpt_e(C72,基本资料!$I$8,0)="",[1]!s_stm_rpt_e(C72,基本资料!$I$8,0)=0),[1]!s_stm_rpt_e(C72,基本资料!$I$9,0),[1]!s_stm_rpt_e(C72,基本资料!$I$8,0)))</f>
        <v/>
      </c>
      <c r="G72" s="49" t="str">
        <f>IF(C72="","",[1]!hks_info_cur2(C72,F72))</f>
        <v/>
      </c>
      <c r="H72" s="27" t="str">
        <f>IF(C72="","",[1]!hks_fa_eps_basic(C72,F72,""))</f>
        <v/>
      </c>
      <c r="I72" s="23" t="str">
        <f>IF(C72="","",[1]!hks_fa_eps_adjust2(C72,F72,""))</f>
        <v/>
      </c>
      <c r="J72" s="23" t="str">
        <f>IF(C72="","",[1]!hks_fa_bps(C72,F72,""))</f>
        <v/>
      </c>
      <c r="K72" s="25" t="str">
        <f>IF(C72="","",[1]!hks_fa_ocfps(C72,F72,""))</f>
        <v/>
      </c>
      <c r="L72" s="27" t="str">
        <f>IF(C72="","",[1]!hks_fa_grossprofitmargin(C72,F72))</f>
        <v/>
      </c>
      <c r="M72" s="23" t="str">
        <f>IF(C72="","",[1]!hks_fa_netprofitmargin(C72,F72))</f>
        <v/>
      </c>
      <c r="N72" s="23" t="str">
        <f>IF(C72="","",[1]!hks_fa_roe(C72,F72))</f>
        <v/>
      </c>
      <c r="O72" s="23" t="str">
        <f>IF(C72="","",[1]!hks_fa_roe_deducted(C72,F72))</f>
        <v/>
      </c>
      <c r="P72" s="23" t="str">
        <f>IF(C72="","",[1]!hks_fa_roa2(C72,F72))</f>
        <v/>
      </c>
      <c r="Q72" s="23" t="str">
        <f>IF(C72="","",[1]!hks_fa_roic(C72,F72))</f>
        <v/>
      </c>
      <c r="R72" s="23" t="str">
        <f>IF(C72="","",[1]!hks_fa_dupont_nptosales(C72,F72))</f>
        <v/>
      </c>
      <c r="S72" s="23" t="str">
        <f>IF(C72="","",[1]!hks_fa_dupont_ebittosales(C72,F72))</f>
        <v/>
      </c>
      <c r="T72" s="25" t="str">
        <f>IF(C72="","",[1]!hks_fa_ebitdatosales(C72,F72))</f>
        <v/>
      </c>
      <c r="U72" s="47" t="str">
        <f>IF(C72="","",[1]!hks_fa_optoebt(C72,F72))</f>
        <v/>
      </c>
      <c r="V72" s="25" t="str">
        <f>IF(C72="","",[1]!hks_fa_ocftosales(C72,F72))</f>
        <v/>
      </c>
      <c r="W72" s="27" t="str">
        <f>IF(C72="","",[1]!hks_fa_debttoassets(C72,F72))</f>
        <v/>
      </c>
      <c r="X72" s="23" t="str">
        <f>IF(C72="","",[1]!s_fa_debttoeqy(C72,F72))</f>
        <v/>
      </c>
      <c r="Y72" s="23" t="str">
        <f>IF(C72="","",[1]!hks_fa_catoassets(C72,F72))</f>
        <v/>
      </c>
      <c r="Z72" s="23" t="str">
        <f>IF(C72="","",[1]!hks_fa_ncatoassets(C72,F72))</f>
        <v/>
      </c>
      <c r="AA72" s="23" t="str">
        <f>IF(C72="","",[1]!hks_fa_currentdebttodebt(C72,F72))</f>
        <v/>
      </c>
      <c r="AB72" s="25" t="str">
        <f>IF(C72="","",[1]!hks_fa_longdebtodebt(C72,F72))</f>
        <v/>
      </c>
      <c r="AC72" s="25" t="str">
        <f>IF(C72="","",[1]!hks_fa_current(C72,F72))</f>
        <v/>
      </c>
      <c r="AD72" s="25" t="str">
        <f>IF(C72="","",[1]!hks_fa_quick(C72,F72))</f>
        <v/>
      </c>
      <c r="AE72" s="25" t="str">
        <f>IF(C72="","",[1]!hks_fa_ebittointerest(C72,F72))</f>
        <v/>
      </c>
      <c r="AF72" s="25" t="str">
        <f>IF(C72="","",[1]!hks_fa_netdebtratio(C72,F72))</f>
        <v/>
      </c>
      <c r="AG72" s="27" t="str">
        <f>IF(C72="","",[1]!hks_fa_arturn(C72,F72))</f>
        <v/>
      </c>
      <c r="AH72" s="23" t="str">
        <f>IF(C72="","",[1]!hks_fa_apturn(C72,F72))</f>
        <v/>
      </c>
      <c r="AI72" s="23" t="str">
        <f>IF(C72="","",[1]!hks_fa_invturn(C72,F72))</f>
        <v/>
      </c>
      <c r="AJ72" s="23" t="str">
        <f>IF(C72="","",[1]!hks_fa_caturn(C72,F72))</f>
        <v/>
      </c>
      <c r="AK72" s="23" t="str">
        <f>IF(C72="","",[1]!hks_fa_faturn(C72,F72))</f>
        <v/>
      </c>
      <c r="AL72" s="25" t="str">
        <f>IF(C72="","",[1]!hks_fa_assetsturn(C72,F72))</f>
        <v/>
      </c>
      <c r="AM72" s="23" t="str">
        <f>IF(C72="","",[1]!hks_fa_yoy_tr(C72,F72))</f>
        <v/>
      </c>
      <c r="AN72" s="23" t="str">
        <f>IF(C72="","",[1]!hks_fa_yoy_or(C72,F72))</f>
        <v/>
      </c>
      <c r="AO72" s="23" t="str">
        <f>IF(C72="","",[1]!hks_fa_yoyop2(C72,F72))</f>
        <v/>
      </c>
      <c r="AP72" s="23" t="str">
        <f>IF(C72="","",[1]!hks_fa_yoyebt(C72,F72))</f>
        <v/>
      </c>
      <c r="AQ72" s="23" t="str">
        <f>IF(C72="","",[1]!hks_fa_yoynetprofit(C72,F72))</f>
        <v/>
      </c>
      <c r="AR72" s="23" t="str">
        <f>IF(C72="","",[1]!hks_fa_dupont_np(C72,F72))</f>
        <v/>
      </c>
      <c r="AS72" s="23" t="str">
        <f>IF(C72="","",[1]!hks_fa_dupont_taxburden(C72,F72))</f>
        <v/>
      </c>
      <c r="AT72" s="23" t="str">
        <f>IF(C72="","",[1]!s_fa_dupont_nptosales(C72,F72))</f>
        <v/>
      </c>
      <c r="AU72" s="23" t="str">
        <f>IF(C72="","",[1]!s_fa_dupont_roe(C72,F72))</f>
        <v/>
      </c>
      <c r="AV72" s="23" t="str">
        <f>IF(C72="","",[1]!hks_fa_dupont_intburden(C72,F72))</f>
        <v/>
      </c>
      <c r="AW72" s="23" t="str">
        <f>IF(C72="","",[1]!hks_fa_dupont_assetstoequity(C72,F72))</f>
        <v/>
      </c>
      <c r="AX72" s="23" t="str">
        <f>IF(C72="","",[1]!s_fa_dupont_ebittosales(C72,F72))</f>
        <v/>
      </c>
      <c r="AY72" s="23" t="str">
        <f>IF(C72="","",[1]!hks_fa_assetsturn(C72,F72))</f>
        <v/>
      </c>
      <c r="AZ72" s="23" t="str">
        <f>IF(C72="","",[1]!hks_fa_grossmargin2(C72,F72,"",100000000))</f>
        <v/>
      </c>
      <c r="BA72" s="23" t="str">
        <f>IF(C72="","",[1]!hks_fa_ebit3(C72,F72,1,"",100000000))</f>
        <v/>
      </c>
      <c r="BB72" s="23" t="str">
        <f>IF(C72="","",[1]!hks_fa_ebitda(C72,F72,1,"",100000000))</f>
        <v/>
      </c>
      <c r="BC72" s="23" t="str">
        <f>IF(C72="","",[1]!hks_fa_ebit(C72,F72,1,"",100000000))</f>
        <v/>
      </c>
      <c r="BD72" s="23" t="str">
        <f>IF(C72="","",[1]!hks_fa_ebitda(C72,F72,1,"",100000000))</f>
        <v/>
      </c>
      <c r="BE72" s="23" t="str">
        <f>IF(C72="","",[1]!hks_fa_nogaapprofit(C72,F72,1,"",100000000))</f>
        <v/>
      </c>
      <c r="BF72" s="23" t="str">
        <f>IF(C72="","",[1]!hks_fa_deductedprofit(C72,F72,1,"",100000000))</f>
        <v/>
      </c>
      <c r="BG72" s="23" t="str">
        <f>IF(C72="","",[1]!hks_fa_retainedearnings2(C72,F72,"",100000000))</f>
        <v/>
      </c>
      <c r="BH72" s="23" t="str">
        <f>IF(C72="","",[1]!hks_fa_workingcapital2(C72,F72,"",100000000))</f>
        <v/>
      </c>
      <c r="BI72" s="23" t="str">
        <f>IF(C72="","",[1]!hks_fa_networkingcapital2(C72,F72,"",100000000))</f>
        <v/>
      </c>
      <c r="BJ72" s="23" t="str">
        <f>IF(C72="","",[1]!hks_fa_investcapital2(C72,F72,"",100000000))</f>
        <v/>
      </c>
      <c r="BK72" s="23" t="str">
        <f>IF(C72="","",[1]!hks_fa_tangibleasset2(C72,F72,"",100000000))</f>
        <v/>
      </c>
      <c r="BL72" s="23" t="str">
        <f>IF(C72="","",[1]!hks_fa_netdebt2(C72,F72,"",100000000))</f>
        <v/>
      </c>
      <c r="BM72" s="23" t="str">
        <f>IF(C72="","",[1]!hks_fa_interestdebt2(C72,F72,"",100000000))</f>
        <v/>
      </c>
      <c r="BN72" s="23" t="str">
        <f>IF(C72="","",[1]!hks_fa_exinterestdebt_current(C72,F72,"",100000000))</f>
        <v/>
      </c>
      <c r="BO72" s="23" t="str">
        <f>IF(C72="","",[1]!hks_fa_exinterestdebt_noncurrent2(C72,F72,"",100000000))</f>
        <v/>
      </c>
      <c r="BP72" s="23" t="str">
        <f>IF(C72="","",[1]!hks_fa_fcfe2(C72,F72,"",100000000))</f>
        <v/>
      </c>
      <c r="BQ72" s="23" t="str">
        <f>IF(C72="","",[1]!hks_fa_fcff2(C72,F72,"",100000000))</f>
        <v/>
      </c>
      <c r="BR72" s="35"/>
    </row>
    <row r="73" spans="1:70" s="36" customFormat="1" ht="16.5" x14ac:dyDescent="0.2">
      <c r="A73" s="2"/>
      <c r="B73" s="6"/>
      <c r="C73" s="28" t="str">
        <f>IF(表1[[#This Row],[列1]]="","",表1[[#This Row],[列1]])</f>
        <v/>
      </c>
      <c r="D73" s="19" t="str">
        <f>IF(C73="","",[1]!hks_info_name(C73))</f>
        <v/>
      </c>
      <c r="E73" s="19" t="str">
        <f ca="1">IF(C73="","",[1]!lastradeday_s(C73,TODAY()))</f>
        <v/>
      </c>
      <c r="F73" s="49" t="str">
        <f>IF(C73="","",IF(OR([1]!s_stm_rpt_e(C73,基本资料!$I$8,0)="#N/A",[1]!s_stm_rpt_e(C73,基本资料!$I$8,0)="",[1]!s_stm_rpt_e(C73,基本资料!$I$8,0)=0),[1]!s_stm_rpt_e(C73,基本资料!$I$9,0),[1]!s_stm_rpt_e(C73,基本资料!$I$8,0)))</f>
        <v/>
      </c>
      <c r="G73" s="49" t="str">
        <f>IF(C73="","",[1]!hks_info_cur2(C73,F73))</f>
        <v/>
      </c>
      <c r="H73" s="27" t="str">
        <f>IF(C73="","",[1]!hks_fa_eps_basic(C73,F73,""))</f>
        <v/>
      </c>
      <c r="I73" s="23" t="str">
        <f>IF(C73="","",[1]!hks_fa_eps_adjust2(C73,F73,""))</f>
        <v/>
      </c>
      <c r="J73" s="23" t="str">
        <f>IF(C73="","",[1]!hks_fa_bps(C73,F73,""))</f>
        <v/>
      </c>
      <c r="K73" s="25" t="str">
        <f>IF(C73="","",[1]!hks_fa_ocfps(C73,F73,""))</f>
        <v/>
      </c>
      <c r="L73" s="27" t="str">
        <f>IF(C73="","",[1]!hks_fa_grossprofitmargin(C73,F73))</f>
        <v/>
      </c>
      <c r="M73" s="23" t="str">
        <f>IF(C73="","",[1]!hks_fa_netprofitmargin(C73,F73))</f>
        <v/>
      </c>
      <c r="N73" s="23" t="str">
        <f>IF(C73="","",[1]!hks_fa_roe(C73,F73))</f>
        <v/>
      </c>
      <c r="O73" s="23" t="str">
        <f>IF(C73="","",[1]!hks_fa_roe_deducted(C73,F73))</f>
        <v/>
      </c>
      <c r="P73" s="23" t="str">
        <f>IF(C73="","",[1]!hks_fa_roa2(C73,F73))</f>
        <v/>
      </c>
      <c r="Q73" s="23" t="str">
        <f>IF(C73="","",[1]!hks_fa_roic(C73,F73))</f>
        <v/>
      </c>
      <c r="R73" s="23" t="str">
        <f>IF(C73="","",[1]!hks_fa_dupont_nptosales(C73,F73))</f>
        <v/>
      </c>
      <c r="S73" s="23" t="str">
        <f>IF(C73="","",[1]!hks_fa_dupont_ebittosales(C73,F73))</f>
        <v/>
      </c>
      <c r="T73" s="25" t="str">
        <f>IF(C73="","",[1]!hks_fa_ebitdatosales(C73,F73))</f>
        <v/>
      </c>
      <c r="U73" s="47" t="str">
        <f>IF(C73="","",[1]!hks_fa_optoebt(C73,F73))</f>
        <v/>
      </c>
      <c r="V73" s="25" t="str">
        <f>IF(C73="","",[1]!hks_fa_ocftosales(C73,F73))</f>
        <v/>
      </c>
      <c r="W73" s="27" t="str">
        <f>IF(C73="","",[1]!hks_fa_debttoassets(C73,F73))</f>
        <v/>
      </c>
      <c r="X73" s="23" t="str">
        <f>IF(C73="","",[1]!s_fa_debttoeqy(C73,F73))</f>
        <v/>
      </c>
      <c r="Y73" s="23" t="str">
        <f>IF(C73="","",[1]!hks_fa_catoassets(C73,F73))</f>
        <v/>
      </c>
      <c r="Z73" s="23" t="str">
        <f>IF(C73="","",[1]!hks_fa_ncatoassets(C73,F73))</f>
        <v/>
      </c>
      <c r="AA73" s="23" t="str">
        <f>IF(C73="","",[1]!hks_fa_currentdebttodebt(C73,F73))</f>
        <v/>
      </c>
      <c r="AB73" s="25" t="str">
        <f>IF(C73="","",[1]!hks_fa_longdebtodebt(C73,F73))</f>
        <v/>
      </c>
      <c r="AC73" s="25" t="str">
        <f>IF(C73="","",[1]!hks_fa_current(C73,F73))</f>
        <v/>
      </c>
      <c r="AD73" s="25" t="str">
        <f>IF(C73="","",[1]!hks_fa_quick(C73,F73))</f>
        <v/>
      </c>
      <c r="AE73" s="25" t="str">
        <f>IF(C73="","",[1]!hks_fa_ebittointerest(C73,F73))</f>
        <v/>
      </c>
      <c r="AF73" s="25" t="str">
        <f>IF(C73="","",[1]!hks_fa_netdebtratio(C73,F73))</f>
        <v/>
      </c>
      <c r="AG73" s="27" t="str">
        <f>IF(C73="","",[1]!hks_fa_arturn(C73,F73))</f>
        <v/>
      </c>
      <c r="AH73" s="23" t="str">
        <f>IF(C73="","",[1]!hks_fa_apturn(C73,F73))</f>
        <v/>
      </c>
      <c r="AI73" s="23" t="str">
        <f>IF(C73="","",[1]!hks_fa_invturn(C73,F73))</f>
        <v/>
      </c>
      <c r="AJ73" s="23" t="str">
        <f>IF(C73="","",[1]!hks_fa_caturn(C73,F73))</f>
        <v/>
      </c>
      <c r="AK73" s="23" t="str">
        <f>IF(C73="","",[1]!hks_fa_faturn(C73,F73))</f>
        <v/>
      </c>
      <c r="AL73" s="25" t="str">
        <f>IF(C73="","",[1]!hks_fa_assetsturn(C73,F73))</f>
        <v/>
      </c>
      <c r="AM73" s="23" t="str">
        <f>IF(C73="","",[1]!hks_fa_yoy_tr(C73,F73))</f>
        <v/>
      </c>
      <c r="AN73" s="23" t="str">
        <f>IF(C73="","",[1]!hks_fa_yoy_or(C73,F73))</f>
        <v/>
      </c>
      <c r="AO73" s="23" t="str">
        <f>IF(C73="","",[1]!hks_fa_yoyop2(C73,F73))</f>
        <v/>
      </c>
      <c r="AP73" s="23" t="str">
        <f>IF(C73="","",[1]!hks_fa_yoyebt(C73,F73))</f>
        <v/>
      </c>
      <c r="AQ73" s="23" t="str">
        <f>IF(C73="","",[1]!hks_fa_yoynetprofit(C73,F73))</f>
        <v/>
      </c>
      <c r="AR73" s="23" t="str">
        <f>IF(C73="","",[1]!hks_fa_dupont_np(C73,F73))</f>
        <v/>
      </c>
      <c r="AS73" s="23" t="str">
        <f>IF(C73="","",[1]!hks_fa_dupont_taxburden(C73,F73))</f>
        <v/>
      </c>
      <c r="AT73" s="23" t="str">
        <f>IF(C73="","",[1]!s_fa_dupont_nptosales(C73,F73))</f>
        <v/>
      </c>
      <c r="AU73" s="23" t="str">
        <f>IF(C73="","",[1]!s_fa_dupont_roe(C73,F73))</f>
        <v/>
      </c>
      <c r="AV73" s="23" t="str">
        <f>IF(C73="","",[1]!hks_fa_dupont_intburden(C73,F73))</f>
        <v/>
      </c>
      <c r="AW73" s="23" t="str">
        <f>IF(C73="","",[1]!hks_fa_dupont_assetstoequity(C73,F73))</f>
        <v/>
      </c>
      <c r="AX73" s="23" t="str">
        <f>IF(C73="","",[1]!s_fa_dupont_ebittosales(C73,F73))</f>
        <v/>
      </c>
      <c r="AY73" s="23" t="str">
        <f>IF(C73="","",[1]!hks_fa_assetsturn(C73,F73))</f>
        <v/>
      </c>
      <c r="AZ73" s="23" t="str">
        <f>IF(C73="","",[1]!hks_fa_grossmargin2(C73,F73,"",100000000))</f>
        <v/>
      </c>
      <c r="BA73" s="23" t="str">
        <f>IF(C73="","",[1]!hks_fa_ebit3(C73,F73,1,"",100000000))</f>
        <v/>
      </c>
      <c r="BB73" s="23" t="str">
        <f>IF(C73="","",[1]!hks_fa_ebitda(C73,F73,1,"",100000000))</f>
        <v/>
      </c>
      <c r="BC73" s="23" t="str">
        <f>IF(C73="","",[1]!hks_fa_ebit(C73,F73,1,"",100000000))</f>
        <v/>
      </c>
      <c r="BD73" s="23" t="str">
        <f>IF(C73="","",[1]!hks_fa_ebitda(C73,F73,1,"",100000000))</f>
        <v/>
      </c>
      <c r="BE73" s="23" t="str">
        <f>IF(C73="","",[1]!hks_fa_nogaapprofit(C73,F73,1,"",100000000))</f>
        <v/>
      </c>
      <c r="BF73" s="23" t="str">
        <f>IF(C73="","",[1]!hks_fa_deductedprofit(C73,F73,1,"",100000000))</f>
        <v/>
      </c>
      <c r="BG73" s="23" t="str">
        <f>IF(C73="","",[1]!hks_fa_retainedearnings2(C73,F73,"",100000000))</f>
        <v/>
      </c>
      <c r="BH73" s="23" t="str">
        <f>IF(C73="","",[1]!hks_fa_workingcapital2(C73,F73,"",100000000))</f>
        <v/>
      </c>
      <c r="BI73" s="23" t="str">
        <f>IF(C73="","",[1]!hks_fa_networkingcapital2(C73,F73,"",100000000))</f>
        <v/>
      </c>
      <c r="BJ73" s="23" t="str">
        <f>IF(C73="","",[1]!hks_fa_investcapital2(C73,F73,"",100000000))</f>
        <v/>
      </c>
      <c r="BK73" s="23" t="str">
        <f>IF(C73="","",[1]!hks_fa_tangibleasset2(C73,F73,"",100000000))</f>
        <v/>
      </c>
      <c r="BL73" s="23" t="str">
        <f>IF(C73="","",[1]!hks_fa_netdebt2(C73,F73,"",100000000))</f>
        <v/>
      </c>
      <c r="BM73" s="23" t="str">
        <f>IF(C73="","",[1]!hks_fa_interestdebt2(C73,F73,"",100000000))</f>
        <v/>
      </c>
      <c r="BN73" s="23" t="str">
        <f>IF(C73="","",[1]!hks_fa_exinterestdebt_current(C73,F73,"",100000000))</f>
        <v/>
      </c>
      <c r="BO73" s="23" t="str">
        <f>IF(C73="","",[1]!hks_fa_exinterestdebt_noncurrent2(C73,F73,"",100000000))</f>
        <v/>
      </c>
      <c r="BP73" s="23" t="str">
        <f>IF(C73="","",[1]!hks_fa_fcfe2(C73,F73,"",100000000))</f>
        <v/>
      </c>
      <c r="BQ73" s="23" t="str">
        <f>IF(C73="","",[1]!hks_fa_fcff2(C73,F73,"",100000000))</f>
        <v/>
      </c>
      <c r="BR73" s="35"/>
    </row>
    <row r="74" spans="1:70" s="36" customFormat="1" ht="16.5" x14ac:dyDescent="0.2">
      <c r="A74" s="2"/>
      <c r="B74" s="6"/>
      <c r="C74" s="28" t="str">
        <f>IF(表1[[#This Row],[列1]]="","",表1[[#This Row],[列1]])</f>
        <v/>
      </c>
      <c r="D74" s="19" t="str">
        <f>IF(C74="","",[1]!hks_info_name(C74))</f>
        <v/>
      </c>
      <c r="E74" s="19" t="str">
        <f ca="1">IF(C74="","",[1]!lastradeday_s(C74,TODAY()))</f>
        <v/>
      </c>
      <c r="F74" s="49" t="str">
        <f>IF(C74="","",IF(OR([1]!s_stm_rpt_e(C74,基本资料!$I$8,0)="#N/A",[1]!s_stm_rpt_e(C74,基本资料!$I$8,0)="",[1]!s_stm_rpt_e(C74,基本资料!$I$8,0)=0),[1]!s_stm_rpt_e(C74,基本资料!$I$9,0),[1]!s_stm_rpt_e(C74,基本资料!$I$8,0)))</f>
        <v/>
      </c>
      <c r="G74" s="49" t="str">
        <f>IF(C74="","",[1]!hks_info_cur2(C74,F74))</f>
        <v/>
      </c>
      <c r="H74" s="27" t="str">
        <f>IF(C74="","",[1]!hks_fa_eps_basic(C74,F74,""))</f>
        <v/>
      </c>
      <c r="I74" s="23" t="str">
        <f>IF(C74="","",[1]!hks_fa_eps_adjust2(C74,F74,""))</f>
        <v/>
      </c>
      <c r="J74" s="23" t="str">
        <f>IF(C74="","",[1]!hks_fa_bps(C74,F74,""))</f>
        <v/>
      </c>
      <c r="K74" s="25" t="str">
        <f>IF(C74="","",[1]!hks_fa_ocfps(C74,F74,""))</f>
        <v/>
      </c>
      <c r="L74" s="27" t="str">
        <f>IF(C74="","",[1]!hks_fa_grossprofitmargin(C74,F74))</f>
        <v/>
      </c>
      <c r="M74" s="23" t="str">
        <f>IF(C74="","",[1]!hks_fa_netprofitmargin(C74,F74))</f>
        <v/>
      </c>
      <c r="N74" s="23" t="str">
        <f>IF(C74="","",[1]!hks_fa_roe(C74,F74))</f>
        <v/>
      </c>
      <c r="O74" s="23" t="str">
        <f>IF(C74="","",[1]!hks_fa_roe_deducted(C74,F74))</f>
        <v/>
      </c>
      <c r="P74" s="23" t="str">
        <f>IF(C74="","",[1]!hks_fa_roa2(C74,F74))</f>
        <v/>
      </c>
      <c r="Q74" s="23" t="str">
        <f>IF(C74="","",[1]!hks_fa_roic(C74,F74))</f>
        <v/>
      </c>
      <c r="R74" s="23" t="str">
        <f>IF(C74="","",[1]!hks_fa_dupont_nptosales(C74,F74))</f>
        <v/>
      </c>
      <c r="S74" s="23" t="str">
        <f>IF(C74="","",[1]!hks_fa_dupont_ebittosales(C74,F74))</f>
        <v/>
      </c>
      <c r="T74" s="25" t="str">
        <f>IF(C74="","",[1]!hks_fa_ebitdatosales(C74,F74))</f>
        <v/>
      </c>
      <c r="U74" s="47" t="str">
        <f>IF(C74="","",[1]!hks_fa_optoebt(C74,F74))</f>
        <v/>
      </c>
      <c r="V74" s="25" t="str">
        <f>IF(C74="","",[1]!hks_fa_ocftosales(C74,F74))</f>
        <v/>
      </c>
      <c r="W74" s="27" t="str">
        <f>IF(C74="","",[1]!hks_fa_debttoassets(C74,F74))</f>
        <v/>
      </c>
      <c r="X74" s="23" t="str">
        <f>IF(C74="","",[1]!s_fa_debttoeqy(C74,F74))</f>
        <v/>
      </c>
      <c r="Y74" s="23" t="str">
        <f>IF(C74="","",[1]!hks_fa_catoassets(C74,F74))</f>
        <v/>
      </c>
      <c r="Z74" s="23" t="str">
        <f>IF(C74="","",[1]!hks_fa_ncatoassets(C74,F74))</f>
        <v/>
      </c>
      <c r="AA74" s="23" t="str">
        <f>IF(C74="","",[1]!hks_fa_currentdebttodebt(C74,F74))</f>
        <v/>
      </c>
      <c r="AB74" s="25" t="str">
        <f>IF(C74="","",[1]!hks_fa_longdebtodebt(C74,F74))</f>
        <v/>
      </c>
      <c r="AC74" s="25" t="str">
        <f>IF(C74="","",[1]!hks_fa_current(C74,F74))</f>
        <v/>
      </c>
      <c r="AD74" s="25" t="str">
        <f>IF(C74="","",[1]!hks_fa_quick(C74,F74))</f>
        <v/>
      </c>
      <c r="AE74" s="25" t="str">
        <f>IF(C74="","",[1]!hks_fa_ebittointerest(C74,F74))</f>
        <v/>
      </c>
      <c r="AF74" s="25" t="str">
        <f>IF(C74="","",[1]!hks_fa_netdebtratio(C74,F74))</f>
        <v/>
      </c>
      <c r="AG74" s="27" t="str">
        <f>IF(C74="","",[1]!hks_fa_arturn(C74,F74))</f>
        <v/>
      </c>
      <c r="AH74" s="23" t="str">
        <f>IF(C74="","",[1]!hks_fa_apturn(C74,F74))</f>
        <v/>
      </c>
      <c r="AI74" s="23" t="str">
        <f>IF(C74="","",[1]!hks_fa_invturn(C74,F74))</f>
        <v/>
      </c>
      <c r="AJ74" s="23" t="str">
        <f>IF(C74="","",[1]!hks_fa_caturn(C74,F74))</f>
        <v/>
      </c>
      <c r="AK74" s="23" t="str">
        <f>IF(C74="","",[1]!hks_fa_faturn(C74,F74))</f>
        <v/>
      </c>
      <c r="AL74" s="25" t="str">
        <f>IF(C74="","",[1]!hks_fa_assetsturn(C74,F74))</f>
        <v/>
      </c>
      <c r="AM74" s="23" t="str">
        <f>IF(C74="","",[1]!hks_fa_yoy_tr(C74,F74))</f>
        <v/>
      </c>
      <c r="AN74" s="23" t="str">
        <f>IF(C74="","",[1]!hks_fa_yoy_or(C74,F74))</f>
        <v/>
      </c>
      <c r="AO74" s="23" t="str">
        <f>IF(C74="","",[1]!hks_fa_yoyop2(C74,F74))</f>
        <v/>
      </c>
      <c r="AP74" s="23" t="str">
        <f>IF(C74="","",[1]!hks_fa_yoyebt(C74,F74))</f>
        <v/>
      </c>
      <c r="AQ74" s="23" t="str">
        <f>IF(C74="","",[1]!hks_fa_yoynetprofit(C74,F74))</f>
        <v/>
      </c>
      <c r="AR74" s="23" t="str">
        <f>IF(C74="","",[1]!hks_fa_dupont_np(C74,F74))</f>
        <v/>
      </c>
      <c r="AS74" s="23" t="str">
        <f>IF(C74="","",[1]!hks_fa_dupont_taxburden(C74,F74))</f>
        <v/>
      </c>
      <c r="AT74" s="23" t="str">
        <f>IF(C74="","",[1]!s_fa_dupont_nptosales(C74,F74))</f>
        <v/>
      </c>
      <c r="AU74" s="23" t="str">
        <f>IF(C74="","",[1]!s_fa_dupont_roe(C74,F74))</f>
        <v/>
      </c>
      <c r="AV74" s="23" t="str">
        <f>IF(C74="","",[1]!hks_fa_dupont_intburden(C74,F74))</f>
        <v/>
      </c>
      <c r="AW74" s="23" t="str">
        <f>IF(C74="","",[1]!hks_fa_dupont_assetstoequity(C74,F74))</f>
        <v/>
      </c>
      <c r="AX74" s="23" t="str">
        <f>IF(C74="","",[1]!s_fa_dupont_ebittosales(C74,F74))</f>
        <v/>
      </c>
      <c r="AY74" s="23" t="str">
        <f>IF(C74="","",[1]!hks_fa_assetsturn(C74,F74))</f>
        <v/>
      </c>
      <c r="AZ74" s="23" t="str">
        <f>IF(C74="","",[1]!hks_fa_grossmargin2(C74,F74,"",100000000))</f>
        <v/>
      </c>
      <c r="BA74" s="23" t="str">
        <f>IF(C74="","",[1]!hks_fa_ebit3(C74,F74,1,"",100000000))</f>
        <v/>
      </c>
      <c r="BB74" s="23" t="str">
        <f>IF(C74="","",[1]!hks_fa_ebitda(C74,F74,1,"",100000000))</f>
        <v/>
      </c>
      <c r="BC74" s="23" t="str">
        <f>IF(C74="","",[1]!hks_fa_ebit(C74,F74,1,"",100000000))</f>
        <v/>
      </c>
      <c r="BD74" s="23" t="str">
        <f>IF(C74="","",[1]!hks_fa_ebitda(C74,F74,1,"",100000000))</f>
        <v/>
      </c>
      <c r="BE74" s="23" t="str">
        <f>IF(C74="","",[1]!hks_fa_nogaapprofit(C74,F74,1,"",100000000))</f>
        <v/>
      </c>
      <c r="BF74" s="23" t="str">
        <f>IF(C74="","",[1]!hks_fa_deductedprofit(C74,F74,1,"",100000000))</f>
        <v/>
      </c>
      <c r="BG74" s="23" t="str">
        <f>IF(C74="","",[1]!hks_fa_retainedearnings2(C74,F74,"",100000000))</f>
        <v/>
      </c>
      <c r="BH74" s="23" t="str">
        <f>IF(C74="","",[1]!hks_fa_workingcapital2(C74,F74,"",100000000))</f>
        <v/>
      </c>
      <c r="BI74" s="23" t="str">
        <f>IF(C74="","",[1]!hks_fa_networkingcapital2(C74,F74,"",100000000))</f>
        <v/>
      </c>
      <c r="BJ74" s="23" t="str">
        <f>IF(C74="","",[1]!hks_fa_investcapital2(C74,F74,"",100000000))</f>
        <v/>
      </c>
      <c r="BK74" s="23" t="str">
        <f>IF(C74="","",[1]!hks_fa_tangibleasset2(C74,F74,"",100000000))</f>
        <v/>
      </c>
      <c r="BL74" s="23" t="str">
        <f>IF(C74="","",[1]!hks_fa_netdebt2(C74,F74,"",100000000))</f>
        <v/>
      </c>
      <c r="BM74" s="23" t="str">
        <f>IF(C74="","",[1]!hks_fa_interestdebt2(C74,F74,"",100000000))</f>
        <v/>
      </c>
      <c r="BN74" s="23" t="str">
        <f>IF(C74="","",[1]!hks_fa_exinterestdebt_current(C74,F74,"",100000000))</f>
        <v/>
      </c>
      <c r="BO74" s="23" t="str">
        <f>IF(C74="","",[1]!hks_fa_exinterestdebt_noncurrent2(C74,F74,"",100000000))</f>
        <v/>
      </c>
      <c r="BP74" s="23" t="str">
        <f>IF(C74="","",[1]!hks_fa_fcfe2(C74,F74,"",100000000))</f>
        <v/>
      </c>
      <c r="BQ74" s="23" t="str">
        <f>IF(C74="","",[1]!hks_fa_fcff2(C74,F74,"",100000000))</f>
        <v/>
      </c>
      <c r="BR74" s="35"/>
    </row>
    <row r="75" spans="1:70" s="36" customFormat="1" ht="16.5" x14ac:dyDescent="0.2">
      <c r="A75" s="2"/>
      <c r="B75" s="6"/>
      <c r="C75" s="28" t="str">
        <f>IF(表1[[#This Row],[列1]]="","",表1[[#This Row],[列1]])</f>
        <v/>
      </c>
      <c r="D75" s="19" t="str">
        <f>IF(C75="","",[1]!hks_info_name(C75))</f>
        <v/>
      </c>
      <c r="E75" s="19" t="str">
        <f ca="1">IF(C75="","",[1]!lastradeday_s(C75,TODAY()))</f>
        <v/>
      </c>
      <c r="F75" s="49" t="str">
        <f>IF(C75="","",IF(OR([1]!s_stm_rpt_e(C75,基本资料!$I$8,0)="#N/A",[1]!s_stm_rpt_e(C75,基本资料!$I$8,0)="",[1]!s_stm_rpt_e(C75,基本资料!$I$8,0)=0),[1]!s_stm_rpt_e(C75,基本资料!$I$9,0),[1]!s_stm_rpt_e(C75,基本资料!$I$8,0)))</f>
        <v/>
      </c>
      <c r="G75" s="49" t="str">
        <f>IF(C75="","",[1]!hks_info_cur2(C75,F75))</f>
        <v/>
      </c>
      <c r="H75" s="27" t="str">
        <f>IF(C75="","",[1]!hks_fa_eps_basic(C75,F75,""))</f>
        <v/>
      </c>
      <c r="I75" s="23" t="str">
        <f>IF(C75="","",[1]!hks_fa_eps_adjust2(C75,F75,""))</f>
        <v/>
      </c>
      <c r="J75" s="23" t="str">
        <f>IF(C75="","",[1]!hks_fa_bps(C75,F75,""))</f>
        <v/>
      </c>
      <c r="K75" s="25" t="str">
        <f>IF(C75="","",[1]!hks_fa_ocfps(C75,F75,""))</f>
        <v/>
      </c>
      <c r="L75" s="27" t="str">
        <f>IF(C75="","",[1]!hks_fa_grossprofitmargin(C75,F75))</f>
        <v/>
      </c>
      <c r="M75" s="23" t="str">
        <f>IF(C75="","",[1]!hks_fa_netprofitmargin(C75,F75))</f>
        <v/>
      </c>
      <c r="N75" s="23" t="str">
        <f>IF(C75="","",[1]!hks_fa_roe(C75,F75))</f>
        <v/>
      </c>
      <c r="O75" s="23" t="str">
        <f>IF(C75="","",[1]!hks_fa_roe_deducted(C75,F75))</f>
        <v/>
      </c>
      <c r="P75" s="23" t="str">
        <f>IF(C75="","",[1]!hks_fa_roa2(C75,F75))</f>
        <v/>
      </c>
      <c r="Q75" s="23" t="str">
        <f>IF(C75="","",[1]!hks_fa_roic(C75,F75))</f>
        <v/>
      </c>
      <c r="R75" s="23" t="str">
        <f>IF(C75="","",[1]!hks_fa_dupont_nptosales(C75,F75))</f>
        <v/>
      </c>
      <c r="S75" s="23" t="str">
        <f>IF(C75="","",[1]!hks_fa_dupont_ebittosales(C75,F75))</f>
        <v/>
      </c>
      <c r="T75" s="25" t="str">
        <f>IF(C75="","",[1]!hks_fa_ebitdatosales(C75,F75))</f>
        <v/>
      </c>
      <c r="U75" s="47" t="str">
        <f>IF(C75="","",[1]!hks_fa_optoebt(C75,F75))</f>
        <v/>
      </c>
      <c r="V75" s="25" t="str">
        <f>IF(C75="","",[1]!hks_fa_ocftosales(C75,F75))</f>
        <v/>
      </c>
      <c r="W75" s="27" t="str">
        <f>IF(C75="","",[1]!hks_fa_debttoassets(C75,F75))</f>
        <v/>
      </c>
      <c r="X75" s="23" t="str">
        <f>IF(C75="","",[1]!s_fa_debttoeqy(C75,F75))</f>
        <v/>
      </c>
      <c r="Y75" s="23" t="str">
        <f>IF(C75="","",[1]!hks_fa_catoassets(C75,F75))</f>
        <v/>
      </c>
      <c r="Z75" s="23" t="str">
        <f>IF(C75="","",[1]!hks_fa_ncatoassets(C75,F75))</f>
        <v/>
      </c>
      <c r="AA75" s="23" t="str">
        <f>IF(C75="","",[1]!hks_fa_currentdebttodebt(C75,F75))</f>
        <v/>
      </c>
      <c r="AB75" s="25" t="str">
        <f>IF(C75="","",[1]!hks_fa_longdebtodebt(C75,F75))</f>
        <v/>
      </c>
      <c r="AC75" s="25" t="str">
        <f>IF(C75="","",[1]!hks_fa_current(C75,F75))</f>
        <v/>
      </c>
      <c r="AD75" s="25" t="str">
        <f>IF(C75="","",[1]!hks_fa_quick(C75,F75))</f>
        <v/>
      </c>
      <c r="AE75" s="25" t="str">
        <f>IF(C75="","",[1]!hks_fa_ebittointerest(C75,F75))</f>
        <v/>
      </c>
      <c r="AF75" s="25" t="str">
        <f>IF(C75="","",[1]!hks_fa_netdebtratio(C75,F75))</f>
        <v/>
      </c>
      <c r="AG75" s="27" t="str">
        <f>IF(C75="","",[1]!hks_fa_arturn(C75,F75))</f>
        <v/>
      </c>
      <c r="AH75" s="23" t="str">
        <f>IF(C75="","",[1]!hks_fa_apturn(C75,F75))</f>
        <v/>
      </c>
      <c r="AI75" s="23" t="str">
        <f>IF(C75="","",[1]!hks_fa_invturn(C75,F75))</f>
        <v/>
      </c>
      <c r="AJ75" s="23" t="str">
        <f>IF(C75="","",[1]!hks_fa_caturn(C75,F75))</f>
        <v/>
      </c>
      <c r="AK75" s="23" t="str">
        <f>IF(C75="","",[1]!hks_fa_faturn(C75,F75))</f>
        <v/>
      </c>
      <c r="AL75" s="25" t="str">
        <f>IF(C75="","",[1]!hks_fa_assetsturn(C75,F75))</f>
        <v/>
      </c>
      <c r="AM75" s="23" t="str">
        <f>IF(C75="","",[1]!hks_fa_yoy_tr(C75,F75))</f>
        <v/>
      </c>
      <c r="AN75" s="23" t="str">
        <f>IF(C75="","",[1]!hks_fa_yoy_or(C75,F75))</f>
        <v/>
      </c>
      <c r="AO75" s="23" t="str">
        <f>IF(C75="","",[1]!hks_fa_yoyop2(C75,F75))</f>
        <v/>
      </c>
      <c r="AP75" s="23" t="str">
        <f>IF(C75="","",[1]!hks_fa_yoyebt(C75,F75))</f>
        <v/>
      </c>
      <c r="AQ75" s="23" t="str">
        <f>IF(C75="","",[1]!hks_fa_yoynetprofit(C75,F75))</f>
        <v/>
      </c>
      <c r="AR75" s="23" t="str">
        <f>IF(C75="","",[1]!hks_fa_dupont_np(C75,F75))</f>
        <v/>
      </c>
      <c r="AS75" s="23" t="str">
        <f>IF(C75="","",[1]!hks_fa_dupont_taxburden(C75,F75))</f>
        <v/>
      </c>
      <c r="AT75" s="23" t="str">
        <f>IF(C75="","",[1]!s_fa_dupont_nptosales(C75,F75))</f>
        <v/>
      </c>
      <c r="AU75" s="23" t="str">
        <f>IF(C75="","",[1]!s_fa_dupont_roe(C75,F75))</f>
        <v/>
      </c>
      <c r="AV75" s="23" t="str">
        <f>IF(C75="","",[1]!hks_fa_dupont_intburden(C75,F75))</f>
        <v/>
      </c>
      <c r="AW75" s="23" t="str">
        <f>IF(C75="","",[1]!hks_fa_dupont_assetstoequity(C75,F75))</f>
        <v/>
      </c>
      <c r="AX75" s="23" t="str">
        <f>IF(C75="","",[1]!s_fa_dupont_ebittosales(C75,F75))</f>
        <v/>
      </c>
      <c r="AY75" s="23" t="str">
        <f>IF(C75="","",[1]!hks_fa_assetsturn(C75,F75))</f>
        <v/>
      </c>
      <c r="AZ75" s="23" t="str">
        <f>IF(C75="","",[1]!hks_fa_grossmargin2(C75,F75,"",100000000))</f>
        <v/>
      </c>
      <c r="BA75" s="23" t="str">
        <f>IF(C75="","",[1]!hks_fa_ebit3(C75,F75,1,"",100000000))</f>
        <v/>
      </c>
      <c r="BB75" s="23" t="str">
        <f>IF(C75="","",[1]!hks_fa_ebitda(C75,F75,1,"",100000000))</f>
        <v/>
      </c>
      <c r="BC75" s="23" t="str">
        <f>IF(C75="","",[1]!hks_fa_ebit(C75,F75,1,"",100000000))</f>
        <v/>
      </c>
      <c r="BD75" s="23" t="str">
        <f>IF(C75="","",[1]!hks_fa_ebitda(C75,F75,1,"",100000000))</f>
        <v/>
      </c>
      <c r="BE75" s="23" t="str">
        <f>IF(C75="","",[1]!hks_fa_nogaapprofit(C75,F75,1,"",100000000))</f>
        <v/>
      </c>
      <c r="BF75" s="23" t="str">
        <f>IF(C75="","",[1]!hks_fa_deductedprofit(C75,F75,1,"",100000000))</f>
        <v/>
      </c>
      <c r="BG75" s="23" t="str">
        <f>IF(C75="","",[1]!hks_fa_retainedearnings2(C75,F75,"",100000000))</f>
        <v/>
      </c>
      <c r="BH75" s="23" t="str">
        <f>IF(C75="","",[1]!hks_fa_workingcapital2(C75,F75,"",100000000))</f>
        <v/>
      </c>
      <c r="BI75" s="23" t="str">
        <f>IF(C75="","",[1]!hks_fa_networkingcapital2(C75,F75,"",100000000))</f>
        <v/>
      </c>
      <c r="BJ75" s="23" t="str">
        <f>IF(C75="","",[1]!hks_fa_investcapital2(C75,F75,"",100000000))</f>
        <v/>
      </c>
      <c r="BK75" s="23" t="str">
        <f>IF(C75="","",[1]!hks_fa_tangibleasset2(C75,F75,"",100000000))</f>
        <v/>
      </c>
      <c r="BL75" s="23" t="str">
        <f>IF(C75="","",[1]!hks_fa_netdebt2(C75,F75,"",100000000))</f>
        <v/>
      </c>
      <c r="BM75" s="23" t="str">
        <f>IF(C75="","",[1]!hks_fa_interestdebt2(C75,F75,"",100000000))</f>
        <v/>
      </c>
      <c r="BN75" s="23" t="str">
        <f>IF(C75="","",[1]!hks_fa_exinterestdebt_current(C75,F75,"",100000000))</f>
        <v/>
      </c>
      <c r="BO75" s="23" t="str">
        <f>IF(C75="","",[1]!hks_fa_exinterestdebt_noncurrent2(C75,F75,"",100000000))</f>
        <v/>
      </c>
      <c r="BP75" s="23" t="str">
        <f>IF(C75="","",[1]!hks_fa_fcfe2(C75,F75,"",100000000))</f>
        <v/>
      </c>
      <c r="BQ75" s="23" t="str">
        <f>IF(C75="","",[1]!hks_fa_fcff2(C75,F75,"",100000000))</f>
        <v/>
      </c>
      <c r="BR75" s="35"/>
    </row>
    <row r="76" spans="1:70" s="36" customFormat="1" ht="16.5" x14ac:dyDescent="0.2">
      <c r="A76" s="2"/>
      <c r="B76" s="6"/>
      <c r="C76" s="28" t="str">
        <f>IF(表1[[#This Row],[列1]]="","",表1[[#This Row],[列1]])</f>
        <v/>
      </c>
      <c r="D76" s="19" t="str">
        <f>IF(C76="","",[1]!hks_info_name(C76))</f>
        <v/>
      </c>
      <c r="E76" s="19" t="str">
        <f ca="1">IF(C76="","",[1]!lastradeday_s(C76,TODAY()))</f>
        <v/>
      </c>
      <c r="F76" s="49" t="str">
        <f>IF(C76="","",IF(OR([1]!s_stm_rpt_e(C76,基本资料!$I$8,0)="#N/A",[1]!s_stm_rpt_e(C76,基本资料!$I$8,0)="",[1]!s_stm_rpt_e(C76,基本资料!$I$8,0)=0),[1]!s_stm_rpt_e(C76,基本资料!$I$9,0),[1]!s_stm_rpt_e(C76,基本资料!$I$8,0)))</f>
        <v/>
      </c>
      <c r="G76" s="49" t="str">
        <f>IF(C76="","",[1]!hks_info_cur2(C76,F76))</f>
        <v/>
      </c>
      <c r="H76" s="27" t="str">
        <f>IF(C76="","",[1]!hks_fa_eps_basic(C76,F76,""))</f>
        <v/>
      </c>
      <c r="I76" s="23" t="str">
        <f>IF(C76="","",[1]!hks_fa_eps_adjust2(C76,F76,""))</f>
        <v/>
      </c>
      <c r="J76" s="23" t="str">
        <f>IF(C76="","",[1]!hks_fa_bps(C76,F76,""))</f>
        <v/>
      </c>
      <c r="K76" s="25" t="str">
        <f>IF(C76="","",[1]!hks_fa_ocfps(C76,F76,""))</f>
        <v/>
      </c>
      <c r="L76" s="27" t="str">
        <f>IF(C76="","",[1]!hks_fa_grossprofitmargin(C76,F76))</f>
        <v/>
      </c>
      <c r="M76" s="23" t="str">
        <f>IF(C76="","",[1]!hks_fa_netprofitmargin(C76,F76))</f>
        <v/>
      </c>
      <c r="N76" s="23" t="str">
        <f>IF(C76="","",[1]!hks_fa_roe(C76,F76))</f>
        <v/>
      </c>
      <c r="O76" s="23" t="str">
        <f>IF(C76="","",[1]!hks_fa_roe_deducted(C76,F76))</f>
        <v/>
      </c>
      <c r="P76" s="23" t="str">
        <f>IF(C76="","",[1]!hks_fa_roa2(C76,F76))</f>
        <v/>
      </c>
      <c r="Q76" s="23" t="str">
        <f>IF(C76="","",[1]!hks_fa_roic(C76,F76))</f>
        <v/>
      </c>
      <c r="R76" s="23" t="str">
        <f>IF(C76="","",[1]!hks_fa_dupont_nptosales(C76,F76))</f>
        <v/>
      </c>
      <c r="S76" s="23" t="str">
        <f>IF(C76="","",[1]!hks_fa_dupont_ebittosales(C76,F76))</f>
        <v/>
      </c>
      <c r="T76" s="25" t="str">
        <f>IF(C76="","",[1]!hks_fa_ebitdatosales(C76,F76))</f>
        <v/>
      </c>
      <c r="U76" s="47" t="str">
        <f>IF(C76="","",[1]!hks_fa_optoebt(C76,F76))</f>
        <v/>
      </c>
      <c r="V76" s="25" t="str">
        <f>IF(C76="","",[1]!hks_fa_ocftosales(C76,F76))</f>
        <v/>
      </c>
      <c r="W76" s="27" t="str">
        <f>IF(C76="","",[1]!hks_fa_debttoassets(C76,F76))</f>
        <v/>
      </c>
      <c r="X76" s="23" t="str">
        <f>IF(C76="","",[1]!s_fa_debttoeqy(C76,F76))</f>
        <v/>
      </c>
      <c r="Y76" s="23" t="str">
        <f>IF(C76="","",[1]!hks_fa_catoassets(C76,F76))</f>
        <v/>
      </c>
      <c r="Z76" s="23" t="str">
        <f>IF(C76="","",[1]!hks_fa_ncatoassets(C76,F76))</f>
        <v/>
      </c>
      <c r="AA76" s="23" t="str">
        <f>IF(C76="","",[1]!hks_fa_currentdebttodebt(C76,F76))</f>
        <v/>
      </c>
      <c r="AB76" s="25" t="str">
        <f>IF(C76="","",[1]!hks_fa_longdebtodebt(C76,F76))</f>
        <v/>
      </c>
      <c r="AC76" s="25" t="str">
        <f>IF(C76="","",[1]!hks_fa_current(C76,F76))</f>
        <v/>
      </c>
      <c r="AD76" s="25" t="str">
        <f>IF(C76="","",[1]!hks_fa_quick(C76,F76))</f>
        <v/>
      </c>
      <c r="AE76" s="25" t="str">
        <f>IF(C76="","",[1]!hks_fa_ebittointerest(C76,F76))</f>
        <v/>
      </c>
      <c r="AF76" s="25" t="str">
        <f>IF(C76="","",[1]!hks_fa_netdebtratio(C76,F76))</f>
        <v/>
      </c>
      <c r="AG76" s="27" t="str">
        <f>IF(C76="","",[1]!hks_fa_arturn(C76,F76))</f>
        <v/>
      </c>
      <c r="AH76" s="23" t="str">
        <f>IF(C76="","",[1]!hks_fa_apturn(C76,F76))</f>
        <v/>
      </c>
      <c r="AI76" s="23" t="str">
        <f>IF(C76="","",[1]!hks_fa_invturn(C76,F76))</f>
        <v/>
      </c>
      <c r="AJ76" s="23" t="str">
        <f>IF(C76="","",[1]!hks_fa_caturn(C76,F76))</f>
        <v/>
      </c>
      <c r="AK76" s="23" t="str">
        <f>IF(C76="","",[1]!hks_fa_faturn(C76,F76))</f>
        <v/>
      </c>
      <c r="AL76" s="25" t="str">
        <f>IF(C76="","",[1]!hks_fa_assetsturn(C76,F76))</f>
        <v/>
      </c>
      <c r="AM76" s="23" t="str">
        <f>IF(C76="","",[1]!hks_fa_yoy_tr(C76,F76))</f>
        <v/>
      </c>
      <c r="AN76" s="23" t="str">
        <f>IF(C76="","",[1]!hks_fa_yoy_or(C76,F76))</f>
        <v/>
      </c>
      <c r="AO76" s="23" t="str">
        <f>IF(C76="","",[1]!hks_fa_yoyop2(C76,F76))</f>
        <v/>
      </c>
      <c r="AP76" s="23" t="str">
        <f>IF(C76="","",[1]!hks_fa_yoyebt(C76,F76))</f>
        <v/>
      </c>
      <c r="AQ76" s="23" t="str">
        <f>IF(C76="","",[1]!hks_fa_yoynetprofit(C76,F76))</f>
        <v/>
      </c>
      <c r="AR76" s="23" t="str">
        <f>IF(C76="","",[1]!hks_fa_dupont_np(C76,F76))</f>
        <v/>
      </c>
      <c r="AS76" s="23" t="str">
        <f>IF(C76="","",[1]!hks_fa_dupont_taxburden(C76,F76))</f>
        <v/>
      </c>
      <c r="AT76" s="23" t="str">
        <f>IF(C76="","",[1]!s_fa_dupont_nptosales(C76,F76))</f>
        <v/>
      </c>
      <c r="AU76" s="23" t="str">
        <f>IF(C76="","",[1]!s_fa_dupont_roe(C76,F76))</f>
        <v/>
      </c>
      <c r="AV76" s="23" t="str">
        <f>IF(C76="","",[1]!hks_fa_dupont_intburden(C76,F76))</f>
        <v/>
      </c>
      <c r="AW76" s="23" t="str">
        <f>IF(C76="","",[1]!hks_fa_dupont_assetstoequity(C76,F76))</f>
        <v/>
      </c>
      <c r="AX76" s="23" t="str">
        <f>IF(C76="","",[1]!s_fa_dupont_ebittosales(C76,F76))</f>
        <v/>
      </c>
      <c r="AY76" s="23" t="str">
        <f>IF(C76="","",[1]!hks_fa_assetsturn(C76,F76))</f>
        <v/>
      </c>
      <c r="AZ76" s="23" t="str">
        <f>IF(C76="","",[1]!hks_fa_grossmargin2(C76,F76,"",100000000))</f>
        <v/>
      </c>
      <c r="BA76" s="23" t="str">
        <f>IF(C76="","",[1]!hks_fa_ebit3(C76,F76,1,"",100000000))</f>
        <v/>
      </c>
      <c r="BB76" s="23" t="str">
        <f>IF(C76="","",[1]!hks_fa_ebitda(C76,F76,1,"",100000000))</f>
        <v/>
      </c>
      <c r="BC76" s="23" t="str">
        <f>IF(C76="","",[1]!hks_fa_ebit(C76,F76,1,"",100000000))</f>
        <v/>
      </c>
      <c r="BD76" s="23" t="str">
        <f>IF(C76="","",[1]!hks_fa_ebitda(C76,F76,1,"",100000000))</f>
        <v/>
      </c>
      <c r="BE76" s="23" t="str">
        <f>IF(C76="","",[1]!hks_fa_nogaapprofit(C76,F76,1,"",100000000))</f>
        <v/>
      </c>
      <c r="BF76" s="23" t="str">
        <f>IF(C76="","",[1]!hks_fa_deductedprofit(C76,F76,1,"",100000000))</f>
        <v/>
      </c>
      <c r="BG76" s="23" t="str">
        <f>IF(C76="","",[1]!hks_fa_retainedearnings2(C76,F76,"",100000000))</f>
        <v/>
      </c>
      <c r="BH76" s="23" t="str">
        <f>IF(C76="","",[1]!hks_fa_workingcapital2(C76,F76,"",100000000))</f>
        <v/>
      </c>
      <c r="BI76" s="23" t="str">
        <f>IF(C76="","",[1]!hks_fa_networkingcapital2(C76,F76,"",100000000))</f>
        <v/>
      </c>
      <c r="BJ76" s="23" t="str">
        <f>IF(C76="","",[1]!hks_fa_investcapital2(C76,F76,"",100000000))</f>
        <v/>
      </c>
      <c r="BK76" s="23" t="str">
        <f>IF(C76="","",[1]!hks_fa_tangibleasset2(C76,F76,"",100000000))</f>
        <v/>
      </c>
      <c r="BL76" s="23" t="str">
        <f>IF(C76="","",[1]!hks_fa_netdebt2(C76,F76,"",100000000))</f>
        <v/>
      </c>
      <c r="BM76" s="23" t="str">
        <f>IF(C76="","",[1]!hks_fa_interestdebt2(C76,F76,"",100000000))</f>
        <v/>
      </c>
      <c r="BN76" s="23" t="str">
        <f>IF(C76="","",[1]!hks_fa_exinterestdebt_current(C76,F76,"",100000000))</f>
        <v/>
      </c>
      <c r="BO76" s="23" t="str">
        <f>IF(C76="","",[1]!hks_fa_exinterestdebt_noncurrent2(C76,F76,"",100000000))</f>
        <v/>
      </c>
      <c r="BP76" s="23" t="str">
        <f>IF(C76="","",[1]!hks_fa_fcfe2(C76,F76,"",100000000))</f>
        <v/>
      </c>
      <c r="BQ76" s="23" t="str">
        <f>IF(C76="","",[1]!hks_fa_fcff2(C76,F76,"",100000000))</f>
        <v/>
      </c>
      <c r="BR76" s="35"/>
    </row>
    <row r="77" spans="1:70" s="36" customFormat="1" ht="16.5" x14ac:dyDescent="0.2">
      <c r="A77" s="2"/>
      <c r="B77" s="6"/>
      <c r="C77" s="28" t="str">
        <f>IF(表1[[#This Row],[列1]]="","",表1[[#This Row],[列1]])</f>
        <v/>
      </c>
      <c r="D77" s="19" t="str">
        <f>IF(C77="","",[1]!hks_info_name(C77))</f>
        <v/>
      </c>
      <c r="E77" s="19" t="str">
        <f ca="1">IF(C77="","",[1]!lastradeday_s(C77,TODAY()))</f>
        <v/>
      </c>
      <c r="F77" s="49" t="str">
        <f>IF(C77="","",IF(OR([1]!s_stm_rpt_e(C77,基本资料!$I$8,0)="#N/A",[1]!s_stm_rpt_e(C77,基本资料!$I$8,0)="",[1]!s_stm_rpt_e(C77,基本资料!$I$8,0)=0),[1]!s_stm_rpt_e(C77,基本资料!$I$9,0),[1]!s_stm_rpt_e(C77,基本资料!$I$8,0)))</f>
        <v/>
      </c>
      <c r="G77" s="49" t="str">
        <f>IF(C77="","",[1]!hks_info_cur2(C77,F77))</f>
        <v/>
      </c>
      <c r="H77" s="27" t="str">
        <f>IF(C77="","",[1]!hks_fa_eps_basic(C77,F77,""))</f>
        <v/>
      </c>
      <c r="I77" s="23" t="str">
        <f>IF(C77="","",[1]!hks_fa_eps_adjust2(C77,F77,""))</f>
        <v/>
      </c>
      <c r="J77" s="23" t="str">
        <f>IF(C77="","",[1]!hks_fa_bps(C77,F77,""))</f>
        <v/>
      </c>
      <c r="K77" s="25" t="str">
        <f>IF(C77="","",[1]!hks_fa_ocfps(C77,F77,""))</f>
        <v/>
      </c>
      <c r="L77" s="27" t="str">
        <f>IF(C77="","",[1]!hks_fa_grossprofitmargin(C77,F77))</f>
        <v/>
      </c>
      <c r="M77" s="23" t="str">
        <f>IF(C77="","",[1]!hks_fa_netprofitmargin(C77,F77))</f>
        <v/>
      </c>
      <c r="N77" s="23" t="str">
        <f>IF(C77="","",[1]!hks_fa_roe(C77,F77))</f>
        <v/>
      </c>
      <c r="O77" s="23" t="str">
        <f>IF(C77="","",[1]!hks_fa_roe_deducted(C77,F77))</f>
        <v/>
      </c>
      <c r="P77" s="23" t="str">
        <f>IF(C77="","",[1]!hks_fa_roa2(C77,F77))</f>
        <v/>
      </c>
      <c r="Q77" s="23" t="str">
        <f>IF(C77="","",[1]!hks_fa_roic(C77,F77))</f>
        <v/>
      </c>
      <c r="R77" s="23" t="str">
        <f>IF(C77="","",[1]!hks_fa_dupont_nptosales(C77,F77))</f>
        <v/>
      </c>
      <c r="S77" s="23" t="str">
        <f>IF(C77="","",[1]!hks_fa_dupont_ebittosales(C77,F77))</f>
        <v/>
      </c>
      <c r="T77" s="25" t="str">
        <f>IF(C77="","",[1]!hks_fa_ebitdatosales(C77,F77))</f>
        <v/>
      </c>
      <c r="U77" s="47" t="str">
        <f>IF(C77="","",[1]!hks_fa_optoebt(C77,F77))</f>
        <v/>
      </c>
      <c r="V77" s="25" t="str">
        <f>IF(C77="","",[1]!hks_fa_ocftosales(C77,F77))</f>
        <v/>
      </c>
      <c r="W77" s="27" t="str">
        <f>IF(C77="","",[1]!hks_fa_debttoassets(C77,F77))</f>
        <v/>
      </c>
      <c r="X77" s="23" t="str">
        <f>IF(C77="","",[1]!s_fa_debttoeqy(C77,F77))</f>
        <v/>
      </c>
      <c r="Y77" s="23" t="str">
        <f>IF(C77="","",[1]!hks_fa_catoassets(C77,F77))</f>
        <v/>
      </c>
      <c r="Z77" s="23" t="str">
        <f>IF(C77="","",[1]!hks_fa_ncatoassets(C77,F77))</f>
        <v/>
      </c>
      <c r="AA77" s="23" t="str">
        <f>IF(C77="","",[1]!hks_fa_currentdebttodebt(C77,F77))</f>
        <v/>
      </c>
      <c r="AB77" s="25" t="str">
        <f>IF(C77="","",[1]!hks_fa_longdebtodebt(C77,F77))</f>
        <v/>
      </c>
      <c r="AC77" s="25" t="str">
        <f>IF(C77="","",[1]!hks_fa_current(C77,F77))</f>
        <v/>
      </c>
      <c r="AD77" s="25" t="str">
        <f>IF(C77="","",[1]!hks_fa_quick(C77,F77))</f>
        <v/>
      </c>
      <c r="AE77" s="25" t="str">
        <f>IF(C77="","",[1]!hks_fa_ebittointerest(C77,F77))</f>
        <v/>
      </c>
      <c r="AF77" s="25" t="str">
        <f>IF(C77="","",[1]!hks_fa_netdebtratio(C77,F77))</f>
        <v/>
      </c>
      <c r="AG77" s="27" t="str">
        <f>IF(C77="","",[1]!hks_fa_arturn(C77,F77))</f>
        <v/>
      </c>
      <c r="AH77" s="23" t="str">
        <f>IF(C77="","",[1]!hks_fa_apturn(C77,F77))</f>
        <v/>
      </c>
      <c r="AI77" s="23" t="str">
        <f>IF(C77="","",[1]!hks_fa_invturn(C77,F77))</f>
        <v/>
      </c>
      <c r="AJ77" s="23" t="str">
        <f>IF(C77="","",[1]!hks_fa_caturn(C77,F77))</f>
        <v/>
      </c>
      <c r="AK77" s="23" t="str">
        <f>IF(C77="","",[1]!hks_fa_faturn(C77,F77))</f>
        <v/>
      </c>
      <c r="AL77" s="25" t="str">
        <f>IF(C77="","",[1]!hks_fa_assetsturn(C77,F77))</f>
        <v/>
      </c>
      <c r="AM77" s="23" t="str">
        <f>IF(C77="","",[1]!hks_fa_yoy_tr(C77,F77))</f>
        <v/>
      </c>
      <c r="AN77" s="23" t="str">
        <f>IF(C77="","",[1]!hks_fa_yoy_or(C77,F77))</f>
        <v/>
      </c>
      <c r="AO77" s="23" t="str">
        <f>IF(C77="","",[1]!hks_fa_yoyop2(C77,F77))</f>
        <v/>
      </c>
      <c r="AP77" s="23" t="str">
        <f>IF(C77="","",[1]!hks_fa_yoyebt(C77,F77))</f>
        <v/>
      </c>
      <c r="AQ77" s="23" t="str">
        <f>IF(C77="","",[1]!hks_fa_yoynetprofit(C77,F77))</f>
        <v/>
      </c>
      <c r="AR77" s="23" t="str">
        <f>IF(C77="","",[1]!hks_fa_dupont_np(C77,F77))</f>
        <v/>
      </c>
      <c r="AS77" s="23" t="str">
        <f>IF(C77="","",[1]!hks_fa_dupont_taxburden(C77,F77))</f>
        <v/>
      </c>
      <c r="AT77" s="23" t="str">
        <f>IF(C77="","",[1]!s_fa_dupont_nptosales(C77,F77))</f>
        <v/>
      </c>
      <c r="AU77" s="23" t="str">
        <f>IF(C77="","",[1]!s_fa_dupont_roe(C77,F77))</f>
        <v/>
      </c>
      <c r="AV77" s="23" t="str">
        <f>IF(C77="","",[1]!hks_fa_dupont_intburden(C77,F77))</f>
        <v/>
      </c>
      <c r="AW77" s="23" t="str">
        <f>IF(C77="","",[1]!hks_fa_dupont_assetstoequity(C77,F77))</f>
        <v/>
      </c>
      <c r="AX77" s="23" t="str">
        <f>IF(C77="","",[1]!s_fa_dupont_ebittosales(C77,F77))</f>
        <v/>
      </c>
      <c r="AY77" s="23" t="str">
        <f>IF(C77="","",[1]!hks_fa_assetsturn(C77,F77))</f>
        <v/>
      </c>
      <c r="AZ77" s="23" t="str">
        <f>IF(C77="","",[1]!hks_fa_grossmargin2(C77,F77,"",100000000))</f>
        <v/>
      </c>
      <c r="BA77" s="23" t="str">
        <f>IF(C77="","",[1]!hks_fa_ebit3(C77,F77,1,"",100000000))</f>
        <v/>
      </c>
      <c r="BB77" s="23" t="str">
        <f>IF(C77="","",[1]!hks_fa_ebitda(C77,F77,1,"",100000000))</f>
        <v/>
      </c>
      <c r="BC77" s="23" t="str">
        <f>IF(C77="","",[1]!hks_fa_ebit(C77,F77,1,"",100000000))</f>
        <v/>
      </c>
      <c r="BD77" s="23" t="str">
        <f>IF(C77="","",[1]!hks_fa_ebitda(C77,F77,1,"",100000000))</f>
        <v/>
      </c>
      <c r="BE77" s="23" t="str">
        <f>IF(C77="","",[1]!hks_fa_nogaapprofit(C77,F77,1,"",100000000))</f>
        <v/>
      </c>
      <c r="BF77" s="23" t="str">
        <f>IF(C77="","",[1]!hks_fa_deductedprofit(C77,F77,1,"",100000000))</f>
        <v/>
      </c>
      <c r="BG77" s="23" t="str">
        <f>IF(C77="","",[1]!hks_fa_retainedearnings2(C77,F77,"",100000000))</f>
        <v/>
      </c>
      <c r="BH77" s="23" t="str">
        <f>IF(C77="","",[1]!hks_fa_workingcapital2(C77,F77,"",100000000))</f>
        <v/>
      </c>
      <c r="BI77" s="23" t="str">
        <f>IF(C77="","",[1]!hks_fa_networkingcapital2(C77,F77,"",100000000))</f>
        <v/>
      </c>
      <c r="BJ77" s="23" t="str">
        <f>IF(C77="","",[1]!hks_fa_investcapital2(C77,F77,"",100000000))</f>
        <v/>
      </c>
      <c r="BK77" s="23" t="str">
        <f>IF(C77="","",[1]!hks_fa_tangibleasset2(C77,F77,"",100000000))</f>
        <v/>
      </c>
      <c r="BL77" s="23" t="str">
        <f>IF(C77="","",[1]!hks_fa_netdebt2(C77,F77,"",100000000))</f>
        <v/>
      </c>
      <c r="BM77" s="23" t="str">
        <f>IF(C77="","",[1]!hks_fa_interestdebt2(C77,F77,"",100000000))</f>
        <v/>
      </c>
      <c r="BN77" s="23" t="str">
        <f>IF(C77="","",[1]!hks_fa_exinterestdebt_current(C77,F77,"",100000000))</f>
        <v/>
      </c>
      <c r="BO77" s="23" t="str">
        <f>IF(C77="","",[1]!hks_fa_exinterestdebt_noncurrent2(C77,F77,"",100000000))</f>
        <v/>
      </c>
      <c r="BP77" s="23" t="str">
        <f>IF(C77="","",[1]!hks_fa_fcfe2(C77,F77,"",100000000))</f>
        <v/>
      </c>
      <c r="BQ77" s="23" t="str">
        <f>IF(C77="","",[1]!hks_fa_fcff2(C77,F77,"",100000000))</f>
        <v/>
      </c>
      <c r="BR77" s="35"/>
    </row>
    <row r="78" spans="1:70" s="36" customFormat="1" ht="16.5" x14ac:dyDescent="0.2">
      <c r="A78" s="2"/>
      <c r="B78" s="6"/>
      <c r="C78" s="28" t="str">
        <f>IF(表1[[#This Row],[列1]]="","",表1[[#This Row],[列1]])</f>
        <v/>
      </c>
      <c r="D78" s="19" t="str">
        <f>IF(C78="","",[1]!hks_info_name(C78))</f>
        <v/>
      </c>
      <c r="E78" s="19" t="str">
        <f ca="1">IF(C78="","",[1]!lastradeday_s(C78,TODAY()))</f>
        <v/>
      </c>
      <c r="F78" s="49" t="str">
        <f>IF(C78="","",IF(OR([1]!s_stm_rpt_e(C78,基本资料!$I$8,0)="#N/A",[1]!s_stm_rpt_e(C78,基本资料!$I$8,0)="",[1]!s_stm_rpt_e(C78,基本资料!$I$8,0)=0),[1]!s_stm_rpt_e(C78,基本资料!$I$9,0),[1]!s_stm_rpt_e(C78,基本资料!$I$8,0)))</f>
        <v/>
      </c>
      <c r="G78" s="49" t="str">
        <f>IF(C78="","",[1]!hks_info_cur2(C78,F78))</f>
        <v/>
      </c>
      <c r="H78" s="27" t="str">
        <f>IF(C78="","",[1]!hks_fa_eps_basic(C78,F78,""))</f>
        <v/>
      </c>
      <c r="I78" s="23" t="str">
        <f>IF(C78="","",[1]!hks_fa_eps_adjust2(C78,F78,""))</f>
        <v/>
      </c>
      <c r="J78" s="23" t="str">
        <f>IF(C78="","",[1]!hks_fa_bps(C78,F78,""))</f>
        <v/>
      </c>
      <c r="K78" s="25" t="str">
        <f>IF(C78="","",[1]!hks_fa_ocfps(C78,F78,""))</f>
        <v/>
      </c>
      <c r="L78" s="27" t="str">
        <f>IF(C78="","",[1]!hks_fa_grossprofitmargin(C78,F78))</f>
        <v/>
      </c>
      <c r="M78" s="23" t="str">
        <f>IF(C78="","",[1]!hks_fa_netprofitmargin(C78,F78))</f>
        <v/>
      </c>
      <c r="N78" s="23" t="str">
        <f>IF(C78="","",[1]!hks_fa_roe(C78,F78))</f>
        <v/>
      </c>
      <c r="O78" s="23" t="str">
        <f>IF(C78="","",[1]!hks_fa_roe_deducted(C78,F78))</f>
        <v/>
      </c>
      <c r="P78" s="23" t="str">
        <f>IF(C78="","",[1]!hks_fa_roa2(C78,F78))</f>
        <v/>
      </c>
      <c r="Q78" s="23" t="str">
        <f>IF(C78="","",[1]!hks_fa_roic(C78,F78))</f>
        <v/>
      </c>
      <c r="R78" s="23" t="str">
        <f>IF(C78="","",[1]!hks_fa_dupont_nptosales(C78,F78))</f>
        <v/>
      </c>
      <c r="S78" s="23" t="str">
        <f>IF(C78="","",[1]!hks_fa_dupont_ebittosales(C78,F78))</f>
        <v/>
      </c>
      <c r="T78" s="25" t="str">
        <f>IF(C78="","",[1]!hks_fa_ebitdatosales(C78,F78))</f>
        <v/>
      </c>
      <c r="U78" s="47" t="str">
        <f>IF(C78="","",[1]!hks_fa_optoebt(C78,F78))</f>
        <v/>
      </c>
      <c r="V78" s="25" t="str">
        <f>IF(C78="","",[1]!hks_fa_ocftosales(C78,F78))</f>
        <v/>
      </c>
      <c r="W78" s="27" t="str">
        <f>IF(C78="","",[1]!hks_fa_debttoassets(C78,F78))</f>
        <v/>
      </c>
      <c r="X78" s="23" t="str">
        <f>IF(C78="","",[1]!s_fa_debttoeqy(C78,F78))</f>
        <v/>
      </c>
      <c r="Y78" s="23" t="str">
        <f>IF(C78="","",[1]!hks_fa_catoassets(C78,F78))</f>
        <v/>
      </c>
      <c r="Z78" s="23" t="str">
        <f>IF(C78="","",[1]!hks_fa_ncatoassets(C78,F78))</f>
        <v/>
      </c>
      <c r="AA78" s="23" t="str">
        <f>IF(C78="","",[1]!hks_fa_currentdebttodebt(C78,F78))</f>
        <v/>
      </c>
      <c r="AB78" s="25" t="str">
        <f>IF(C78="","",[1]!hks_fa_longdebtodebt(C78,F78))</f>
        <v/>
      </c>
      <c r="AC78" s="25" t="str">
        <f>IF(C78="","",[1]!hks_fa_current(C78,F78))</f>
        <v/>
      </c>
      <c r="AD78" s="25" t="str">
        <f>IF(C78="","",[1]!hks_fa_quick(C78,F78))</f>
        <v/>
      </c>
      <c r="AE78" s="25" t="str">
        <f>IF(C78="","",[1]!hks_fa_ebittointerest(C78,F78))</f>
        <v/>
      </c>
      <c r="AF78" s="25" t="str">
        <f>IF(C78="","",[1]!hks_fa_netdebtratio(C78,F78))</f>
        <v/>
      </c>
      <c r="AG78" s="27" t="str">
        <f>IF(C78="","",[1]!hks_fa_arturn(C78,F78))</f>
        <v/>
      </c>
      <c r="AH78" s="23" t="str">
        <f>IF(C78="","",[1]!hks_fa_apturn(C78,F78))</f>
        <v/>
      </c>
      <c r="AI78" s="23" t="str">
        <f>IF(C78="","",[1]!hks_fa_invturn(C78,F78))</f>
        <v/>
      </c>
      <c r="AJ78" s="23" t="str">
        <f>IF(C78="","",[1]!hks_fa_caturn(C78,F78))</f>
        <v/>
      </c>
      <c r="AK78" s="23" t="str">
        <f>IF(C78="","",[1]!hks_fa_faturn(C78,F78))</f>
        <v/>
      </c>
      <c r="AL78" s="25" t="str">
        <f>IF(C78="","",[1]!hks_fa_assetsturn(C78,F78))</f>
        <v/>
      </c>
      <c r="AM78" s="23" t="str">
        <f>IF(C78="","",[1]!hks_fa_yoy_tr(C78,F78))</f>
        <v/>
      </c>
      <c r="AN78" s="23" t="str">
        <f>IF(C78="","",[1]!hks_fa_yoy_or(C78,F78))</f>
        <v/>
      </c>
      <c r="AO78" s="23" t="str">
        <f>IF(C78="","",[1]!hks_fa_yoyop2(C78,F78))</f>
        <v/>
      </c>
      <c r="AP78" s="23" t="str">
        <f>IF(C78="","",[1]!hks_fa_yoyebt(C78,F78))</f>
        <v/>
      </c>
      <c r="AQ78" s="23" t="str">
        <f>IF(C78="","",[1]!hks_fa_yoynetprofit(C78,F78))</f>
        <v/>
      </c>
      <c r="AR78" s="23" t="str">
        <f>IF(C78="","",[1]!hks_fa_dupont_np(C78,F78))</f>
        <v/>
      </c>
      <c r="AS78" s="23" t="str">
        <f>IF(C78="","",[1]!hks_fa_dupont_taxburden(C78,F78))</f>
        <v/>
      </c>
      <c r="AT78" s="23" t="str">
        <f>IF(C78="","",[1]!s_fa_dupont_nptosales(C78,F78))</f>
        <v/>
      </c>
      <c r="AU78" s="23" t="str">
        <f>IF(C78="","",[1]!s_fa_dupont_roe(C78,F78))</f>
        <v/>
      </c>
      <c r="AV78" s="23" t="str">
        <f>IF(C78="","",[1]!hks_fa_dupont_intburden(C78,F78))</f>
        <v/>
      </c>
      <c r="AW78" s="23" t="str">
        <f>IF(C78="","",[1]!hks_fa_dupont_assetstoequity(C78,F78))</f>
        <v/>
      </c>
      <c r="AX78" s="23" t="str">
        <f>IF(C78="","",[1]!s_fa_dupont_ebittosales(C78,F78))</f>
        <v/>
      </c>
      <c r="AY78" s="23" t="str">
        <f>IF(C78="","",[1]!hks_fa_assetsturn(C78,F78))</f>
        <v/>
      </c>
      <c r="AZ78" s="23" t="str">
        <f>IF(C78="","",[1]!hks_fa_grossmargin2(C78,F78,"",100000000))</f>
        <v/>
      </c>
      <c r="BA78" s="23" t="str">
        <f>IF(C78="","",[1]!hks_fa_ebit3(C78,F78,1,"",100000000))</f>
        <v/>
      </c>
      <c r="BB78" s="23" t="str">
        <f>IF(C78="","",[1]!hks_fa_ebitda(C78,F78,1,"",100000000))</f>
        <v/>
      </c>
      <c r="BC78" s="23" t="str">
        <f>IF(C78="","",[1]!hks_fa_ebit(C78,F78,1,"",100000000))</f>
        <v/>
      </c>
      <c r="BD78" s="23" t="str">
        <f>IF(C78="","",[1]!hks_fa_ebitda(C78,F78,1,"",100000000))</f>
        <v/>
      </c>
      <c r="BE78" s="23" t="str">
        <f>IF(C78="","",[1]!hks_fa_nogaapprofit(C78,F78,1,"",100000000))</f>
        <v/>
      </c>
      <c r="BF78" s="23" t="str">
        <f>IF(C78="","",[1]!hks_fa_deductedprofit(C78,F78,1,"",100000000))</f>
        <v/>
      </c>
      <c r="BG78" s="23" t="str">
        <f>IF(C78="","",[1]!hks_fa_retainedearnings2(C78,F78,"",100000000))</f>
        <v/>
      </c>
      <c r="BH78" s="23" t="str">
        <f>IF(C78="","",[1]!hks_fa_workingcapital2(C78,F78,"",100000000))</f>
        <v/>
      </c>
      <c r="BI78" s="23" t="str">
        <f>IF(C78="","",[1]!hks_fa_networkingcapital2(C78,F78,"",100000000))</f>
        <v/>
      </c>
      <c r="BJ78" s="23" t="str">
        <f>IF(C78="","",[1]!hks_fa_investcapital2(C78,F78,"",100000000))</f>
        <v/>
      </c>
      <c r="BK78" s="23" t="str">
        <f>IF(C78="","",[1]!hks_fa_tangibleasset2(C78,F78,"",100000000))</f>
        <v/>
      </c>
      <c r="BL78" s="23" t="str">
        <f>IF(C78="","",[1]!hks_fa_netdebt2(C78,F78,"",100000000))</f>
        <v/>
      </c>
      <c r="BM78" s="23" t="str">
        <f>IF(C78="","",[1]!hks_fa_interestdebt2(C78,F78,"",100000000))</f>
        <v/>
      </c>
      <c r="BN78" s="23" t="str">
        <f>IF(C78="","",[1]!hks_fa_exinterestdebt_current(C78,F78,"",100000000))</f>
        <v/>
      </c>
      <c r="BO78" s="23" t="str">
        <f>IF(C78="","",[1]!hks_fa_exinterestdebt_noncurrent2(C78,F78,"",100000000))</f>
        <v/>
      </c>
      <c r="BP78" s="23" t="str">
        <f>IF(C78="","",[1]!hks_fa_fcfe2(C78,F78,"",100000000))</f>
        <v/>
      </c>
      <c r="BQ78" s="23" t="str">
        <f>IF(C78="","",[1]!hks_fa_fcff2(C78,F78,"",100000000))</f>
        <v/>
      </c>
      <c r="BR78" s="35"/>
    </row>
    <row r="79" spans="1:70" s="36" customFormat="1" ht="16.5" x14ac:dyDescent="0.2">
      <c r="A79" s="2"/>
      <c r="B79" s="6"/>
      <c r="C79" s="28" t="str">
        <f>IF(表1[[#This Row],[列1]]="","",表1[[#This Row],[列1]])</f>
        <v/>
      </c>
      <c r="D79" s="19" t="str">
        <f>IF(C79="","",[1]!hks_info_name(C79))</f>
        <v/>
      </c>
      <c r="E79" s="19" t="str">
        <f ca="1">IF(C79="","",[1]!lastradeday_s(C79,TODAY()))</f>
        <v/>
      </c>
      <c r="F79" s="49" t="str">
        <f>IF(C79="","",IF(OR([1]!s_stm_rpt_e(C79,基本资料!$I$8,0)="#N/A",[1]!s_stm_rpt_e(C79,基本资料!$I$8,0)="",[1]!s_stm_rpt_e(C79,基本资料!$I$8,0)=0),[1]!s_stm_rpt_e(C79,基本资料!$I$9,0),[1]!s_stm_rpt_e(C79,基本资料!$I$8,0)))</f>
        <v/>
      </c>
      <c r="G79" s="49" t="str">
        <f>IF(C79="","",[1]!hks_info_cur2(C79,F79))</f>
        <v/>
      </c>
      <c r="H79" s="27" t="str">
        <f>IF(C79="","",[1]!hks_fa_eps_basic(C79,F79,""))</f>
        <v/>
      </c>
      <c r="I79" s="23" t="str">
        <f>IF(C79="","",[1]!hks_fa_eps_adjust2(C79,F79,""))</f>
        <v/>
      </c>
      <c r="J79" s="23" t="str">
        <f>IF(C79="","",[1]!hks_fa_bps(C79,F79,""))</f>
        <v/>
      </c>
      <c r="K79" s="25" t="str">
        <f>IF(C79="","",[1]!hks_fa_ocfps(C79,F79,""))</f>
        <v/>
      </c>
      <c r="L79" s="27" t="str">
        <f>IF(C79="","",[1]!hks_fa_grossprofitmargin(C79,F79))</f>
        <v/>
      </c>
      <c r="M79" s="23" t="str">
        <f>IF(C79="","",[1]!hks_fa_netprofitmargin(C79,F79))</f>
        <v/>
      </c>
      <c r="N79" s="23" t="str">
        <f>IF(C79="","",[1]!hks_fa_roe(C79,F79))</f>
        <v/>
      </c>
      <c r="O79" s="23" t="str">
        <f>IF(C79="","",[1]!hks_fa_roe_deducted(C79,F79))</f>
        <v/>
      </c>
      <c r="P79" s="23" t="str">
        <f>IF(C79="","",[1]!hks_fa_roa2(C79,F79))</f>
        <v/>
      </c>
      <c r="Q79" s="23" t="str">
        <f>IF(C79="","",[1]!hks_fa_roic(C79,F79))</f>
        <v/>
      </c>
      <c r="R79" s="23" t="str">
        <f>IF(C79="","",[1]!hks_fa_dupont_nptosales(C79,F79))</f>
        <v/>
      </c>
      <c r="S79" s="23" t="str">
        <f>IF(C79="","",[1]!hks_fa_dupont_ebittosales(C79,F79))</f>
        <v/>
      </c>
      <c r="T79" s="25" t="str">
        <f>IF(C79="","",[1]!hks_fa_ebitdatosales(C79,F79))</f>
        <v/>
      </c>
      <c r="U79" s="47" t="str">
        <f>IF(C79="","",[1]!hks_fa_optoebt(C79,F79))</f>
        <v/>
      </c>
      <c r="V79" s="25" t="str">
        <f>IF(C79="","",[1]!hks_fa_ocftosales(C79,F79))</f>
        <v/>
      </c>
      <c r="W79" s="27" t="str">
        <f>IF(C79="","",[1]!hks_fa_debttoassets(C79,F79))</f>
        <v/>
      </c>
      <c r="X79" s="23" t="str">
        <f>IF(C79="","",[1]!s_fa_debttoeqy(C79,F79))</f>
        <v/>
      </c>
      <c r="Y79" s="23" t="str">
        <f>IF(C79="","",[1]!hks_fa_catoassets(C79,F79))</f>
        <v/>
      </c>
      <c r="Z79" s="23" t="str">
        <f>IF(C79="","",[1]!hks_fa_ncatoassets(C79,F79))</f>
        <v/>
      </c>
      <c r="AA79" s="23" t="str">
        <f>IF(C79="","",[1]!hks_fa_currentdebttodebt(C79,F79))</f>
        <v/>
      </c>
      <c r="AB79" s="25" t="str">
        <f>IF(C79="","",[1]!hks_fa_longdebtodebt(C79,F79))</f>
        <v/>
      </c>
      <c r="AC79" s="25" t="str">
        <f>IF(C79="","",[1]!hks_fa_current(C79,F79))</f>
        <v/>
      </c>
      <c r="AD79" s="25" t="str">
        <f>IF(C79="","",[1]!hks_fa_quick(C79,F79))</f>
        <v/>
      </c>
      <c r="AE79" s="25" t="str">
        <f>IF(C79="","",[1]!hks_fa_ebittointerest(C79,F79))</f>
        <v/>
      </c>
      <c r="AF79" s="25" t="str">
        <f>IF(C79="","",[1]!hks_fa_netdebtratio(C79,F79))</f>
        <v/>
      </c>
      <c r="AG79" s="27" t="str">
        <f>IF(C79="","",[1]!hks_fa_arturn(C79,F79))</f>
        <v/>
      </c>
      <c r="AH79" s="23" t="str">
        <f>IF(C79="","",[1]!hks_fa_apturn(C79,F79))</f>
        <v/>
      </c>
      <c r="AI79" s="23" t="str">
        <f>IF(C79="","",[1]!hks_fa_invturn(C79,F79))</f>
        <v/>
      </c>
      <c r="AJ79" s="23" t="str">
        <f>IF(C79="","",[1]!hks_fa_caturn(C79,F79))</f>
        <v/>
      </c>
      <c r="AK79" s="23" t="str">
        <f>IF(C79="","",[1]!hks_fa_faturn(C79,F79))</f>
        <v/>
      </c>
      <c r="AL79" s="25" t="str">
        <f>IF(C79="","",[1]!hks_fa_assetsturn(C79,F79))</f>
        <v/>
      </c>
      <c r="AM79" s="23" t="str">
        <f>IF(C79="","",[1]!hks_fa_yoy_tr(C79,F79))</f>
        <v/>
      </c>
      <c r="AN79" s="23" t="str">
        <f>IF(C79="","",[1]!hks_fa_yoy_or(C79,F79))</f>
        <v/>
      </c>
      <c r="AO79" s="23" t="str">
        <f>IF(C79="","",[1]!hks_fa_yoyop2(C79,F79))</f>
        <v/>
      </c>
      <c r="AP79" s="23" t="str">
        <f>IF(C79="","",[1]!hks_fa_yoyebt(C79,F79))</f>
        <v/>
      </c>
      <c r="AQ79" s="23" t="str">
        <f>IF(C79="","",[1]!hks_fa_yoynetprofit(C79,F79))</f>
        <v/>
      </c>
      <c r="AR79" s="23" t="str">
        <f>IF(C79="","",[1]!hks_fa_dupont_np(C79,F79))</f>
        <v/>
      </c>
      <c r="AS79" s="23" t="str">
        <f>IF(C79="","",[1]!hks_fa_dupont_taxburden(C79,F79))</f>
        <v/>
      </c>
      <c r="AT79" s="23" t="str">
        <f>IF(C79="","",[1]!s_fa_dupont_nptosales(C79,F79))</f>
        <v/>
      </c>
      <c r="AU79" s="23" t="str">
        <f>IF(C79="","",[1]!s_fa_dupont_roe(C79,F79))</f>
        <v/>
      </c>
      <c r="AV79" s="23" t="str">
        <f>IF(C79="","",[1]!hks_fa_dupont_intburden(C79,F79))</f>
        <v/>
      </c>
      <c r="AW79" s="23" t="str">
        <f>IF(C79="","",[1]!hks_fa_dupont_assetstoequity(C79,F79))</f>
        <v/>
      </c>
      <c r="AX79" s="23" t="str">
        <f>IF(C79="","",[1]!s_fa_dupont_ebittosales(C79,F79))</f>
        <v/>
      </c>
      <c r="AY79" s="23" t="str">
        <f>IF(C79="","",[1]!hks_fa_assetsturn(C79,F79))</f>
        <v/>
      </c>
      <c r="AZ79" s="23" t="str">
        <f>IF(C79="","",[1]!hks_fa_grossmargin2(C79,F79,"",100000000))</f>
        <v/>
      </c>
      <c r="BA79" s="23" t="str">
        <f>IF(C79="","",[1]!hks_fa_ebit3(C79,F79,1,"",100000000))</f>
        <v/>
      </c>
      <c r="BB79" s="23" t="str">
        <f>IF(C79="","",[1]!hks_fa_ebitda(C79,F79,1,"",100000000))</f>
        <v/>
      </c>
      <c r="BC79" s="23" t="str">
        <f>IF(C79="","",[1]!hks_fa_ebit(C79,F79,1,"",100000000))</f>
        <v/>
      </c>
      <c r="BD79" s="23" t="str">
        <f>IF(C79="","",[1]!hks_fa_ebitda(C79,F79,1,"",100000000))</f>
        <v/>
      </c>
      <c r="BE79" s="23" t="str">
        <f>IF(C79="","",[1]!hks_fa_nogaapprofit(C79,F79,1,"",100000000))</f>
        <v/>
      </c>
      <c r="BF79" s="23" t="str">
        <f>IF(C79="","",[1]!hks_fa_deductedprofit(C79,F79,1,"",100000000))</f>
        <v/>
      </c>
      <c r="BG79" s="23" t="str">
        <f>IF(C79="","",[1]!hks_fa_retainedearnings2(C79,F79,"",100000000))</f>
        <v/>
      </c>
      <c r="BH79" s="23" t="str">
        <f>IF(C79="","",[1]!hks_fa_workingcapital2(C79,F79,"",100000000))</f>
        <v/>
      </c>
      <c r="BI79" s="23" t="str">
        <f>IF(C79="","",[1]!hks_fa_networkingcapital2(C79,F79,"",100000000))</f>
        <v/>
      </c>
      <c r="BJ79" s="23" t="str">
        <f>IF(C79="","",[1]!hks_fa_investcapital2(C79,F79,"",100000000))</f>
        <v/>
      </c>
      <c r="BK79" s="23" t="str">
        <f>IF(C79="","",[1]!hks_fa_tangibleasset2(C79,F79,"",100000000))</f>
        <v/>
      </c>
      <c r="BL79" s="23" t="str">
        <f>IF(C79="","",[1]!hks_fa_netdebt2(C79,F79,"",100000000))</f>
        <v/>
      </c>
      <c r="BM79" s="23" t="str">
        <f>IF(C79="","",[1]!hks_fa_interestdebt2(C79,F79,"",100000000))</f>
        <v/>
      </c>
      <c r="BN79" s="23" t="str">
        <f>IF(C79="","",[1]!hks_fa_exinterestdebt_current(C79,F79,"",100000000))</f>
        <v/>
      </c>
      <c r="BO79" s="23" t="str">
        <f>IF(C79="","",[1]!hks_fa_exinterestdebt_noncurrent2(C79,F79,"",100000000))</f>
        <v/>
      </c>
      <c r="BP79" s="23" t="str">
        <f>IF(C79="","",[1]!hks_fa_fcfe2(C79,F79,"",100000000))</f>
        <v/>
      </c>
      <c r="BQ79" s="23" t="str">
        <f>IF(C79="","",[1]!hks_fa_fcff2(C79,F79,"",100000000))</f>
        <v/>
      </c>
      <c r="BR79" s="35"/>
    </row>
    <row r="80" spans="1:70" s="36" customFormat="1" ht="16.5" x14ac:dyDescent="0.2">
      <c r="A80" s="2"/>
      <c r="B80" s="6"/>
      <c r="C80" s="28" t="str">
        <f>IF(表1[[#This Row],[列1]]="","",表1[[#This Row],[列1]])</f>
        <v/>
      </c>
      <c r="D80" s="19" t="str">
        <f>IF(C80="","",[1]!hks_info_name(C80))</f>
        <v/>
      </c>
      <c r="E80" s="19" t="str">
        <f ca="1">IF(C80="","",[1]!lastradeday_s(C80,TODAY()))</f>
        <v/>
      </c>
      <c r="F80" s="49" t="str">
        <f>IF(C80="","",IF(OR([1]!s_stm_rpt_e(C80,基本资料!$I$8,0)="#N/A",[1]!s_stm_rpt_e(C80,基本资料!$I$8,0)="",[1]!s_stm_rpt_e(C80,基本资料!$I$8,0)=0),[1]!s_stm_rpt_e(C80,基本资料!$I$9,0),[1]!s_stm_rpt_e(C80,基本资料!$I$8,0)))</f>
        <v/>
      </c>
      <c r="G80" s="49" t="str">
        <f>IF(C80="","",[1]!hks_info_cur2(C80,F80))</f>
        <v/>
      </c>
      <c r="H80" s="27" t="str">
        <f>IF(C80="","",[1]!hks_fa_eps_basic(C80,F80,""))</f>
        <v/>
      </c>
      <c r="I80" s="23" t="str">
        <f>IF(C80="","",[1]!hks_fa_eps_adjust2(C80,F80,""))</f>
        <v/>
      </c>
      <c r="J80" s="23" t="str">
        <f>IF(C80="","",[1]!hks_fa_bps(C80,F80,""))</f>
        <v/>
      </c>
      <c r="K80" s="25" t="str">
        <f>IF(C80="","",[1]!hks_fa_ocfps(C80,F80,""))</f>
        <v/>
      </c>
      <c r="L80" s="27" t="str">
        <f>IF(C80="","",[1]!hks_fa_grossprofitmargin(C80,F80))</f>
        <v/>
      </c>
      <c r="M80" s="23" t="str">
        <f>IF(C80="","",[1]!hks_fa_netprofitmargin(C80,F80))</f>
        <v/>
      </c>
      <c r="N80" s="23" t="str">
        <f>IF(C80="","",[1]!hks_fa_roe(C80,F80))</f>
        <v/>
      </c>
      <c r="O80" s="23" t="str">
        <f>IF(C80="","",[1]!hks_fa_roe_deducted(C80,F80))</f>
        <v/>
      </c>
      <c r="P80" s="23" t="str">
        <f>IF(C80="","",[1]!hks_fa_roa2(C80,F80))</f>
        <v/>
      </c>
      <c r="Q80" s="23" t="str">
        <f>IF(C80="","",[1]!hks_fa_roic(C80,F80))</f>
        <v/>
      </c>
      <c r="R80" s="23" t="str">
        <f>IF(C80="","",[1]!hks_fa_dupont_nptosales(C80,F80))</f>
        <v/>
      </c>
      <c r="S80" s="23" t="str">
        <f>IF(C80="","",[1]!hks_fa_dupont_ebittosales(C80,F80))</f>
        <v/>
      </c>
      <c r="T80" s="25" t="str">
        <f>IF(C80="","",[1]!hks_fa_ebitdatosales(C80,F80))</f>
        <v/>
      </c>
      <c r="U80" s="47" t="str">
        <f>IF(C80="","",[1]!hks_fa_optoebt(C80,F80))</f>
        <v/>
      </c>
      <c r="V80" s="25" t="str">
        <f>IF(C80="","",[1]!hks_fa_ocftosales(C80,F80))</f>
        <v/>
      </c>
      <c r="W80" s="27" t="str">
        <f>IF(C80="","",[1]!hks_fa_debttoassets(C80,F80))</f>
        <v/>
      </c>
      <c r="X80" s="23" t="str">
        <f>IF(C80="","",[1]!s_fa_debttoeqy(C80,F80))</f>
        <v/>
      </c>
      <c r="Y80" s="23" t="str">
        <f>IF(C80="","",[1]!hks_fa_catoassets(C80,F80))</f>
        <v/>
      </c>
      <c r="Z80" s="23" t="str">
        <f>IF(C80="","",[1]!hks_fa_ncatoassets(C80,F80))</f>
        <v/>
      </c>
      <c r="AA80" s="23" t="str">
        <f>IF(C80="","",[1]!hks_fa_currentdebttodebt(C80,F80))</f>
        <v/>
      </c>
      <c r="AB80" s="25" t="str">
        <f>IF(C80="","",[1]!hks_fa_longdebtodebt(C80,F80))</f>
        <v/>
      </c>
      <c r="AC80" s="25" t="str">
        <f>IF(C80="","",[1]!hks_fa_current(C80,F80))</f>
        <v/>
      </c>
      <c r="AD80" s="25" t="str">
        <f>IF(C80="","",[1]!hks_fa_quick(C80,F80))</f>
        <v/>
      </c>
      <c r="AE80" s="25" t="str">
        <f>IF(C80="","",[1]!hks_fa_ebittointerest(C80,F80))</f>
        <v/>
      </c>
      <c r="AF80" s="25" t="str">
        <f>IF(C80="","",[1]!hks_fa_netdebtratio(C80,F80))</f>
        <v/>
      </c>
      <c r="AG80" s="27" t="str">
        <f>IF(C80="","",[1]!hks_fa_arturn(C80,F80))</f>
        <v/>
      </c>
      <c r="AH80" s="23" t="str">
        <f>IF(C80="","",[1]!hks_fa_apturn(C80,F80))</f>
        <v/>
      </c>
      <c r="AI80" s="23" t="str">
        <f>IF(C80="","",[1]!hks_fa_invturn(C80,F80))</f>
        <v/>
      </c>
      <c r="AJ80" s="23" t="str">
        <f>IF(C80="","",[1]!hks_fa_caturn(C80,F80))</f>
        <v/>
      </c>
      <c r="AK80" s="23" t="str">
        <f>IF(C80="","",[1]!hks_fa_faturn(C80,F80))</f>
        <v/>
      </c>
      <c r="AL80" s="25" t="str">
        <f>IF(C80="","",[1]!hks_fa_assetsturn(C80,F80))</f>
        <v/>
      </c>
      <c r="AM80" s="23" t="str">
        <f>IF(C80="","",[1]!hks_fa_yoy_tr(C80,F80))</f>
        <v/>
      </c>
      <c r="AN80" s="23" t="str">
        <f>IF(C80="","",[1]!hks_fa_yoy_or(C80,F80))</f>
        <v/>
      </c>
      <c r="AO80" s="23" t="str">
        <f>IF(C80="","",[1]!hks_fa_yoyop2(C80,F80))</f>
        <v/>
      </c>
      <c r="AP80" s="23" t="str">
        <f>IF(C80="","",[1]!hks_fa_yoyebt(C80,F80))</f>
        <v/>
      </c>
      <c r="AQ80" s="23" t="str">
        <f>IF(C80="","",[1]!hks_fa_yoynetprofit(C80,F80))</f>
        <v/>
      </c>
      <c r="AR80" s="23" t="str">
        <f>IF(C80="","",[1]!hks_fa_dupont_np(C80,F80))</f>
        <v/>
      </c>
      <c r="AS80" s="23" t="str">
        <f>IF(C80="","",[1]!hks_fa_dupont_taxburden(C80,F80))</f>
        <v/>
      </c>
      <c r="AT80" s="23" t="str">
        <f>IF(C80="","",[1]!s_fa_dupont_nptosales(C80,F80))</f>
        <v/>
      </c>
      <c r="AU80" s="23" t="str">
        <f>IF(C80="","",[1]!s_fa_dupont_roe(C80,F80))</f>
        <v/>
      </c>
      <c r="AV80" s="23" t="str">
        <f>IF(C80="","",[1]!hks_fa_dupont_intburden(C80,F80))</f>
        <v/>
      </c>
      <c r="AW80" s="23" t="str">
        <f>IF(C80="","",[1]!hks_fa_dupont_assetstoequity(C80,F80))</f>
        <v/>
      </c>
      <c r="AX80" s="23" t="str">
        <f>IF(C80="","",[1]!s_fa_dupont_ebittosales(C80,F80))</f>
        <v/>
      </c>
      <c r="AY80" s="23" t="str">
        <f>IF(C80="","",[1]!hks_fa_assetsturn(C80,F80))</f>
        <v/>
      </c>
      <c r="AZ80" s="23" t="str">
        <f>IF(C80="","",[1]!hks_fa_grossmargin2(C80,F80,"",100000000))</f>
        <v/>
      </c>
      <c r="BA80" s="23" t="str">
        <f>IF(C80="","",[1]!hks_fa_ebit3(C80,F80,1,"",100000000))</f>
        <v/>
      </c>
      <c r="BB80" s="23" t="str">
        <f>IF(C80="","",[1]!hks_fa_ebitda(C80,F80,1,"",100000000))</f>
        <v/>
      </c>
      <c r="BC80" s="23" t="str">
        <f>IF(C80="","",[1]!hks_fa_ebit(C80,F80,1,"",100000000))</f>
        <v/>
      </c>
      <c r="BD80" s="23" t="str">
        <f>IF(C80="","",[1]!hks_fa_ebitda(C80,F80,1,"",100000000))</f>
        <v/>
      </c>
      <c r="BE80" s="23" t="str">
        <f>IF(C80="","",[1]!hks_fa_nogaapprofit(C80,F80,1,"",100000000))</f>
        <v/>
      </c>
      <c r="BF80" s="23" t="str">
        <f>IF(C80="","",[1]!hks_fa_deductedprofit(C80,F80,1,"",100000000))</f>
        <v/>
      </c>
      <c r="BG80" s="23" t="str">
        <f>IF(C80="","",[1]!hks_fa_retainedearnings2(C80,F80,"",100000000))</f>
        <v/>
      </c>
      <c r="BH80" s="23" t="str">
        <f>IF(C80="","",[1]!hks_fa_workingcapital2(C80,F80,"",100000000))</f>
        <v/>
      </c>
      <c r="BI80" s="23" t="str">
        <f>IF(C80="","",[1]!hks_fa_networkingcapital2(C80,F80,"",100000000))</f>
        <v/>
      </c>
      <c r="BJ80" s="23" t="str">
        <f>IF(C80="","",[1]!hks_fa_investcapital2(C80,F80,"",100000000))</f>
        <v/>
      </c>
      <c r="BK80" s="23" t="str">
        <f>IF(C80="","",[1]!hks_fa_tangibleasset2(C80,F80,"",100000000))</f>
        <v/>
      </c>
      <c r="BL80" s="23" t="str">
        <f>IF(C80="","",[1]!hks_fa_netdebt2(C80,F80,"",100000000))</f>
        <v/>
      </c>
      <c r="BM80" s="23" t="str">
        <f>IF(C80="","",[1]!hks_fa_interestdebt2(C80,F80,"",100000000))</f>
        <v/>
      </c>
      <c r="BN80" s="23" t="str">
        <f>IF(C80="","",[1]!hks_fa_exinterestdebt_current(C80,F80,"",100000000))</f>
        <v/>
      </c>
      <c r="BO80" s="23" t="str">
        <f>IF(C80="","",[1]!hks_fa_exinterestdebt_noncurrent2(C80,F80,"",100000000))</f>
        <v/>
      </c>
      <c r="BP80" s="23" t="str">
        <f>IF(C80="","",[1]!hks_fa_fcfe2(C80,F80,"",100000000))</f>
        <v/>
      </c>
      <c r="BQ80" s="23" t="str">
        <f>IF(C80="","",[1]!hks_fa_fcff2(C80,F80,"",100000000))</f>
        <v/>
      </c>
      <c r="BR80" s="35"/>
    </row>
    <row r="81" spans="1:70" s="36" customFormat="1" ht="16.5" x14ac:dyDescent="0.2">
      <c r="A81" s="2"/>
      <c r="B81" s="6"/>
      <c r="C81" s="28" t="str">
        <f>IF(表1[[#This Row],[列1]]="","",表1[[#This Row],[列1]])</f>
        <v/>
      </c>
      <c r="D81" s="19" t="str">
        <f>IF(C81="","",[1]!hks_info_name(C81))</f>
        <v/>
      </c>
      <c r="E81" s="19" t="str">
        <f ca="1">IF(C81="","",[1]!lastradeday_s(C81,TODAY()))</f>
        <v/>
      </c>
      <c r="F81" s="49" t="str">
        <f>IF(C81="","",IF(OR([1]!s_stm_rpt_e(C81,基本资料!$I$8,0)="#N/A",[1]!s_stm_rpt_e(C81,基本资料!$I$8,0)="",[1]!s_stm_rpt_e(C81,基本资料!$I$8,0)=0),[1]!s_stm_rpt_e(C81,基本资料!$I$9,0),[1]!s_stm_rpt_e(C81,基本资料!$I$8,0)))</f>
        <v/>
      </c>
      <c r="G81" s="49" t="str">
        <f>IF(C81="","",[1]!hks_info_cur2(C81,F81))</f>
        <v/>
      </c>
      <c r="H81" s="27" t="str">
        <f>IF(C81="","",[1]!hks_fa_eps_basic(C81,F81,""))</f>
        <v/>
      </c>
      <c r="I81" s="23" t="str">
        <f>IF(C81="","",[1]!hks_fa_eps_adjust2(C81,F81,""))</f>
        <v/>
      </c>
      <c r="J81" s="23" t="str">
        <f>IF(C81="","",[1]!hks_fa_bps(C81,F81,""))</f>
        <v/>
      </c>
      <c r="K81" s="25" t="str">
        <f>IF(C81="","",[1]!hks_fa_ocfps(C81,F81,""))</f>
        <v/>
      </c>
      <c r="L81" s="27" t="str">
        <f>IF(C81="","",[1]!hks_fa_grossprofitmargin(C81,F81))</f>
        <v/>
      </c>
      <c r="M81" s="23" t="str">
        <f>IF(C81="","",[1]!hks_fa_netprofitmargin(C81,F81))</f>
        <v/>
      </c>
      <c r="N81" s="23" t="str">
        <f>IF(C81="","",[1]!hks_fa_roe(C81,F81))</f>
        <v/>
      </c>
      <c r="O81" s="23" t="str">
        <f>IF(C81="","",[1]!hks_fa_roe_deducted(C81,F81))</f>
        <v/>
      </c>
      <c r="P81" s="23" t="str">
        <f>IF(C81="","",[1]!hks_fa_roa2(C81,F81))</f>
        <v/>
      </c>
      <c r="Q81" s="23" t="str">
        <f>IF(C81="","",[1]!hks_fa_roic(C81,F81))</f>
        <v/>
      </c>
      <c r="R81" s="23" t="str">
        <f>IF(C81="","",[1]!hks_fa_dupont_nptosales(C81,F81))</f>
        <v/>
      </c>
      <c r="S81" s="23" t="str">
        <f>IF(C81="","",[1]!hks_fa_dupont_ebittosales(C81,F81))</f>
        <v/>
      </c>
      <c r="T81" s="25" t="str">
        <f>IF(C81="","",[1]!hks_fa_ebitdatosales(C81,F81))</f>
        <v/>
      </c>
      <c r="U81" s="47" t="str">
        <f>IF(C81="","",[1]!hks_fa_optoebt(C81,F81))</f>
        <v/>
      </c>
      <c r="V81" s="25" t="str">
        <f>IF(C81="","",[1]!hks_fa_ocftosales(C81,F81))</f>
        <v/>
      </c>
      <c r="W81" s="27" t="str">
        <f>IF(C81="","",[1]!hks_fa_debttoassets(C81,F81))</f>
        <v/>
      </c>
      <c r="X81" s="23" t="str">
        <f>IF(C81="","",[1]!s_fa_debttoeqy(C81,F81))</f>
        <v/>
      </c>
      <c r="Y81" s="23" t="str">
        <f>IF(C81="","",[1]!hks_fa_catoassets(C81,F81))</f>
        <v/>
      </c>
      <c r="Z81" s="23" t="str">
        <f>IF(C81="","",[1]!hks_fa_ncatoassets(C81,F81))</f>
        <v/>
      </c>
      <c r="AA81" s="23" t="str">
        <f>IF(C81="","",[1]!hks_fa_currentdebttodebt(C81,F81))</f>
        <v/>
      </c>
      <c r="AB81" s="25" t="str">
        <f>IF(C81="","",[1]!hks_fa_longdebtodebt(C81,F81))</f>
        <v/>
      </c>
      <c r="AC81" s="25" t="str">
        <f>IF(C81="","",[1]!hks_fa_current(C81,F81))</f>
        <v/>
      </c>
      <c r="AD81" s="25" t="str">
        <f>IF(C81="","",[1]!hks_fa_quick(C81,F81))</f>
        <v/>
      </c>
      <c r="AE81" s="25" t="str">
        <f>IF(C81="","",[1]!hks_fa_ebittointerest(C81,F81))</f>
        <v/>
      </c>
      <c r="AF81" s="25" t="str">
        <f>IF(C81="","",[1]!hks_fa_netdebtratio(C81,F81))</f>
        <v/>
      </c>
      <c r="AG81" s="27" t="str">
        <f>IF(C81="","",[1]!hks_fa_arturn(C81,F81))</f>
        <v/>
      </c>
      <c r="AH81" s="23" t="str">
        <f>IF(C81="","",[1]!hks_fa_apturn(C81,F81))</f>
        <v/>
      </c>
      <c r="AI81" s="23" t="str">
        <f>IF(C81="","",[1]!hks_fa_invturn(C81,F81))</f>
        <v/>
      </c>
      <c r="AJ81" s="23" t="str">
        <f>IF(C81="","",[1]!hks_fa_caturn(C81,F81))</f>
        <v/>
      </c>
      <c r="AK81" s="23" t="str">
        <f>IF(C81="","",[1]!hks_fa_faturn(C81,F81))</f>
        <v/>
      </c>
      <c r="AL81" s="25" t="str">
        <f>IF(C81="","",[1]!hks_fa_assetsturn(C81,F81))</f>
        <v/>
      </c>
      <c r="AM81" s="23" t="str">
        <f>IF(C81="","",[1]!hks_fa_yoy_tr(C81,F81))</f>
        <v/>
      </c>
      <c r="AN81" s="23" t="str">
        <f>IF(C81="","",[1]!hks_fa_yoy_or(C81,F81))</f>
        <v/>
      </c>
      <c r="AO81" s="23" t="str">
        <f>IF(C81="","",[1]!hks_fa_yoyop2(C81,F81))</f>
        <v/>
      </c>
      <c r="AP81" s="23" t="str">
        <f>IF(C81="","",[1]!hks_fa_yoyebt(C81,F81))</f>
        <v/>
      </c>
      <c r="AQ81" s="23" t="str">
        <f>IF(C81="","",[1]!hks_fa_yoynetprofit(C81,F81))</f>
        <v/>
      </c>
      <c r="AR81" s="23" t="str">
        <f>IF(C81="","",[1]!hks_fa_dupont_np(C81,F81))</f>
        <v/>
      </c>
      <c r="AS81" s="23" t="str">
        <f>IF(C81="","",[1]!hks_fa_dupont_taxburden(C81,F81))</f>
        <v/>
      </c>
      <c r="AT81" s="23" t="str">
        <f>IF(C81="","",[1]!s_fa_dupont_nptosales(C81,F81))</f>
        <v/>
      </c>
      <c r="AU81" s="23" t="str">
        <f>IF(C81="","",[1]!s_fa_dupont_roe(C81,F81))</f>
        <v/>
      </c>
      <c r="AV81" s="23" t="str">
        <f>IF(C81="","",[1]!hks_fa_dupont_intburden(C81,F81))</f>
        <v/>
      </c>
      <c r="AW81" s="23" t="str">
        <f>IF(C81="","",[1]!hks_fa_dupont_assetstoequity(C81,F81))</f>
        <v/>
      </c>
      <c r="AX81" s="23" t="str">
        <f>IF(C81="","",[1]!s_fa_dupont_ebittosales(C81,F81))</f>
        <v/>
      </c>
      <c r="AY81" s="23" t="str">
        <f>IF(C81="","",[1]!hks_fa_assetsturn(C81,F81))</f>
        <v/>
      </c>
      <c r="AZ81" s="23" t="str">
        <f>IF(C81="","",[1]!hks_fa_grossmargin2(C81,F81,"",100000000))</f>
        <v/>
      </c>
      <c r="BA81" s="23" t="str">
        <f>IF(C81="","",[1]!hks_fa_ebit3(C81,F81,1,"",100000000))</f>
        <v/>
      </c>
      <c r="BB81" s="23" t="str">
        <f>IF(C81="","",[1]!hks_fa_ebitda(C81,F81,1,"",100000000))</f>
        <v/>
      </c>
      <c r="BC81" s="23" t="str">
        <f>IF(C81="","",[1]!hks_fa_ebit(C81,F81,1,"",100000000))</f>
        <v/>
      </c>
      <c r="BD81" s="23" t="str">
        <f>IF(C81="","",[1]!hks_fa_ebitda(C81,F81,1,"",100000000))</f>
        <v/>
      </c>
      <c r="BE81" s="23" t="str">
        <f>IF(C81="","",[1]!hks_fa_nogaapprofit(C81,F81,1,"",100000000))</f>
        <v/>
      </c>
      <c r="BF81" s="23" t="str">
        <f>IF(C81="","",[1]!hks_fa_deductedprofit(C81,F81,1,"",100000000))</f>
        <v/>
      </c>
      <c r="BG81" s="23" t="str">
        <f>IF(C81="","",[1]!hks_fa_retainedearnings2(C81,F81,"",100000000))</f>
        <v/>
      </c>
      <c r="BH81" s="23" t="str">
        <f>IF(C81="","",[1]!hks_fa_workingcapital2(C81,F81,"",100000000))</f>
        <v/>
      </c>
      <c r="BI81" s="23" t="str">
        <f>IF(C81="","",[1]!hks_fa_networkingcapital2(C81,F81,"",100000000))</f>
        <v/>
      </c>
      <c r="BJ81" s="23" t="str">
        <f>IF(C81="","",[1]!hks_fa_investcapital2(C81,F81,"",100000000))</f>
        <v/>
      </c>
      <c r="BK81" s="23" t="str">
        <f>IF(C81="","",[1]!hks_fa_tangibleasset2(C81,F81,"",100000000))</f>
        <v/>
      </c>
      <c r="BL81" s="23" t="str">
        <f>IF(C81="","",[1]!hks_fa_netdebt2(C81,F81,"",100000000))</f>
        <v/>
      </c>
      <c r="BM81" s="23" t="str">
        <f>IF(C81="","",[1]!hks_fa_interestdebt2(C81,F81,"",100000000))</f>
        <v/>
      </c>
      <c r="BN81" s="23" t="str">
        <f>IF(C81="","",[1]!hks_fa_exinterestdebt_current(C81,F81,"",100000000))</f>
        <v/>
      </c>
      <c r="BO81" s="23" t="str">
        <f>IF(C81="","",[1]!hks_fa_exinterestdebt_noncurrent2(C81,F81,"",100000000))</f>
        <v/>
      </c>
      <c r="BP81" s="23" t="str">
        <f>IF(C81="","",[1]!hks_fa_fcfe2(C81,F81,"",100000000))</f>
        <v/>
      </c>
      <c r="BQ81" s="23" t="str">
        <f>IF(C81="","",[1]!hks_fa_fcff2(C81,F81,"",100000000))</f>
        <v/>
      </c>
      <c r="BR81" s="35"/>
    </row>
    <row r="82" spans="1:70" s="36" customFormat="1" ht="16.5" x14ac:dyDescent="0.2">
      <c r="A82" s="2"/>
      <c r="B82" s="6"/>
      <c r="C82" s="28" t="str">
        <f>IF(表1[[#This Row],[列1]]="","",表1[[#This Row],[列1]])</f>
        <v/>
      </c>
      <c r="D82" s="19" t="str">
        <f>IF(C82="","",[1]!hks_info_name(C82))</f>
        <v/>
      </c>
      <c r="E82" s="19" t="str">
        <f ca="1">IF(C82="","",[1]!lastradeday_s(C82,TODAY()))</f>
        <v/>
      </c>
      <c r="F82" s="49" t="str">
        <f>IF(C82="","",IF(OR([1]!s_stm_rpt_e(C82,基本资料!$I$8,0)="#N/A",[1]!s_stm_rpt_e(C82,基本资料!$I$8,0)="",[1]!s_stm_rpt_e(C82,基本资料!$I$8,0)=0),[1]!s_stm_rpt_e(C82,基本资料!$I$9,0),[1]!s_stm_rpt_e(C82,基本资料!$I$8,0)))</f>
        <v/>
      </c>
      <c r="G82" s="49" t="str">
        <f>IF(C82="","",[1]!hks_info_cur2(C82,F82))</f>
        <v/>
      </c>
      <c r="H82" s="27" t="str">
        <f>IF(C82="","",[1]!hks_fa_eps_basic(C82,F82,""))</f>
        <v/>
      </c>
      <c r="I82" s="23" t="str">
        <f>IF(C82="","",[1]!hks_fa_eps_adjust2(C82,F82,""))</f>
        <v/>
      </c>
      <c r="J82" s="23" t="str">
        <f>IF(C82="","",[1]!hks_fa_bps(C82,F82,""))</f>
        <v/>
      </c>
      <c r="K82" s="25" t="str">
        <f>IF(C82="","",[1]!hks_fa_ocfps(C82,F82,""))</f>
        <v/>
      </c>
      <c r="L82" s="27" t="str">
        <f>IF(C82="","",[1]!hks_fa_grossprofitmargin(C82,F82))</f>
        <v/>
      </c>
      <c r="M82" s="23" t="str">
        <f>IF(C82="","",[1]!hks_fa_netprofitmargin(C82,F82))</f>
        <v/>
      </c>
      <c r="N82" s="23" t="str">
        <f>IF(C82="","",[1]!hks_fa_roe(C82,F82))</f>
        <v/>
      </c>
      <c r="O82" s="23" t="str">
        <f>IF(C82="","",[1]!hks_fa_roe_deducted(C82,F82))</f>
        <v/>
      </c>
      <c r="P82" s="23" t="str">
        <f>IF(C82="","",[1]!hks_fa_roa2(C82,F82))</f>
        <v/>
      </c>
      <c r="Q82" s="23" t="str">
        <f>IF(C82="","",[1]!hks_fa_roic(C82,F82))</f>
        <v/>
      </c>
      <c r="R82" s="23" t="str">
        <f>IF(C82="","",[1]!hks_fa_dupont_nptosales(C82,F82))</f>
        <v/>
      </c>
      <c r="S82" s="23" t="str">
        <f>IF(C82="","",[1]!hks_fa_dupont_ebittosales(C82,F82))</f>
        <v/>
      </c>
      <c r="T82" s="25" t="str">
        <f>IF(C82="","",[1]!hks_fa_ebitdatosales(C82,F82))</f>
        <v/>
      </c>
      <c r="U82" s="47" t="str">
        <f>IF(C82="","",[1]!hks_fa_optoebt(C82,F82))</f>
        <v/>
      </c>
      <c r="V82" s="25" t="str">
        <f>IF(C82="","",[1]!hks_fa_ocftosales(C82,F82))</f>
        <v/>
      </c>
      <c r="W82" s="27" t="str">
        <f>IF(C82="","",[1]!hks_fa_debttoassets(C82,F82))</f>
        <v/>
      </c>
      <c r="X82" s="23" t="str">
        <f>IF(C82="","",[1]!s_fa_debttoeqy(C82,F82))</f>
        <v/>
      </c>
      <c r="Y82" s="23" t="str">
        <f>IF(C82="","",[1]!hks_fa_catoassets(C82,F82))</f>
        <v/>
      </c>
      <c r="Z82" s="23" t="str">
        <f>IF(C82="","",[1]!hks_fa_ncatoassets(C82,F82))</f>
        <v/>
      </c>
      <c r="AA82" s="23" t="str">
        <f>IF(C82="","",[1]!hks_fa_currentdebttodebt(C82,F82))</f>
        <v/>
      </c>
      <c r="AB82" s="25" t="str">
        <f>IF(C82="","",[1]!hks_fa_longdebtodebt(C82,F82))</f>
        <v/>
      </c>
      <c r="AC82" s="25" t="str">
        <f>IF(C82="","",[1]!hks_fa_current(C82,F82))</f>
        <v/>
      </c>
      <c r="AD82" s="25" t="str">
        <f>IF(C82="","",[1]!hks_fa_quick(C82,F82))</f>
        <v/>
      </c>
      <c r="AE82" s="25" t="str">
        <f>IF(C82="","",[1]!hks_fa_ebittointerest(C82,F82))</f>
        <v/>
      </c>
      <c r="AF82" s="25" t="str">
        <f>IF(C82="","",[1]!hks_fa_netdebtratio(C82,F82))</f>
        <v/>
      </c>
      <c r="AG82" s="27" t="str">
        <f>IF(C82="","",[1]!hks_fa_arturn(C82,F82))</f>
        <v/>
      </c>
      <c r="AH82" s="23" t="str">
        <f>IF(C82="","",[1]!hks_fa_apturn(C82,F82))</f>
        <v/>
      </c>
      <c r="AI82" s="23" t="str">
        <f>IF(C82="","",[1]!hks_fa_invturn(C82,F82))</f>
        <v/>
      </c>
      <c r="AJ82" s="23" t="str">
        <f>IF(C82="","",[1]!hks_fa_caturn(C82,F82))</f>
        <v/>
      </c>
      <c r="AK82" s="23" t="str">
        <f>IF(C82="","",[1]!hks_fa_faturn(C82,F82))</f>
        <v/>
      </c>
      <c r="AL82" s="25" t="str">
        <f>IF(C82="","",[1]!hks_fa_assetsturn(C82,F82))</f>
        <v/>
      </c>
      <c r="AM82" s="23" t="str">
        <f>IF(C82="","",[1]!hks_fa_yoy_tr(C82,F82))</f>
        <v/>
      </c>
      <c r="AN82" s="23" t="str">
        <f>IF(C82="","",[1]!hks_fa_yoy_or(C82,F82))</f>
        <v/>
      </c>
      <c r="AO82" s="23" t="str">
        <f>IF(C82="","",[1]!hks_fa_yoyop2(C82,F82))</f>
        <v/>
      </c>
      <c r="AP82" s="23" t="str">
        <f>IF(C82="","",[1]!hks_fa_yoyebt(C82,F82))</f>
        <v/>
      </c>
      <c r="AQ82" s="23" t="str">
        <f>IF(C82="","",[1]!hks_fa_yoynetprofit(C82,F82))</f>
        <v/>
      </c>
      <c r="AR82" s="23" t="str">
        <f>IF(C82="","",[1]!hks_fa_dupont_np(C82,F82))</f>
        <v/>
      </c>
      <c r="AS82" s="23" t="str">
        <f>IF(C82="","",[1]!hks_fa_dupont_taxburden(C82,F82))</f>
        <v/>
      </c>
      <c r="AT82" s="23" t="str">
        <f>IF(C82="","",[1]!s_fa_dupont_nptosales(C82,F82))</f>
        <v/>
      </c>
      <c r="AU82" s="23" t="str">
        <f>IF(C82="","",[1]!s_fa_dupont_roe(C82,F82))</f>
        <v/>
      </c>
      <c r="AV82" s="23" t="str">
        <f>IF(C82="","",[1]!hks_fa_dupont_intburden(C82,F82))</f>
        <v/>
      </c>
      <c r="AW82" s="23" t="str">
        <f>IF(C82="","",[1]!hks_fa_dupont_assetstoequity(C82,F82))</f>
        <v/>
      </c>
      <c r="AX82" s="23" t="str">
        <f>IF(C82="","",[1]!s_fa_dupont_ebittosales(C82,F82))</f>
        <v/>
      </c>
      <c r="AY82" s="23" t="str">
        <f>IF(C82="","",[1]!hks_fa_assetsturn(C82,F82))</f>
        <v/>
      </c>
      <c r="AZ82" s="23" t="str">
        <f>IF(C82="","",[1]!hks_fa_grossmargin2(C82,F82,"",100000000))</f>
        <v/>
      </c>
      <c r="BA82" s="23" t="str">
        <f>IF(C82="","",[1]!hks_fa_ebit3(C82,F82,1,"",100000000))</f>
        <v/>
      </c>
      <c r="BB82" s="23" t="str">
        <f>IF(C82="","",[1]!hks_fa_ebitda(C82,F82,1,"",100000000))</f>
        <v/>
      </c>
      <c r="BC82" s="23" t="str">
        <f>IF(C82="","",[1]!hks_fa_ebit(C82,F82,1,"",100000000))</f>
        <v/>
      </c>
      <c r="BD82" s="23" t="str">
        <f>IF(C82="","",[1]!hks_fa_ebitda(C82,F82,1,"",100000000))</f>
        <v/>
      </c>
      <c r="BE82" s="23" t="str">
        <f>IF(C82="","",[1]!hks_fa_nogaapprofit(C82,F82,1,"",100000000))</f>
        <v/>
      </c>
      <c r="BF82" s="23" t="str">
        <f>IF(C82="","",[1]!hks_fa_deductedprofit(C82,F82,1,"",100000000))</f>
        <v/>
      </c>
      <c r="BG82" s="23" t="str">
        <f>IF(C82="","",[1]!hks_fa_retainedearnings2(C82,F82,"",100000000))</f>
        <v/>
      </c>
      <c r="BH82" s="23" t="str">
        <f>IF(C82="","",[1]!hks_fa_workingcapital2(C82,F82,"",100000000))</f>
        <v/>
      </c>
      <c r="BI82" s="23" t="str">
        <f>IF(C82="","",[1]!hks_fa_networkingcapital2(C82,F82,"",100000000))</f>
        <v/>
      </c>
      <c r="BJ82" s="23" t="str">
        <f>IF(C82="","",[1]!hks_fa_investcapital2(C82,F82,"",100000000))</f>
        <v/>
      </c>
      <c r="BK82" s="23" t="str">
        <f>IF(C82="","",[1]!hks_fa_tangibleasset2(C82,F82,"",100000000))</f>
        <v/>
      </c>
      <c r="BL82" s="23" t="str">
        <f>IF(C82="","",[1]!hks_fa_netdebt2(C82,F82,"",100000000))</f>
        <v/>
      </c>
      <c r="BM82" s="23" t="str">
        <f>IF(C82="","",[1]!hks_fa_interestdebt2(C82,F82,"",100000000))</f>
        <v/>
      </c>
      <c r="BN82" s="23" t="str">
        <f>IF(C82="","",[1]!hks_fa_exinterestdebt_current(C82,F82,"",100000000))</f>
        <v/>
      </c>
      <c r="BO82" s="23" t="str">
        <f>IF(C82="","",[1]!hks_fa_exinterestdebt_noncurrent2(C82,F82,"",100000000))</f>
        <v/>
      </c>
      <c r="BP82" s="23" t="str">
        <f>IF(C82="","",[1]!hks_fa_fcfe2(C82,F82,"",100000000))</f>
        <v/>
      </c>
      <c r="BQ82" s="23" t="str">
        <f>IF(C82="","",[1]!hks_fa_fcff2(C82,F82,"",100000000))</f>
        <v/>
      </c>
      <c r="BR82" s="35"/>
    </row>
    <row r="83" spans="1:70" s="36" customFormat="1" ht="16.5" x14ac:dyDescent="0.2">
      <c r="A83" s="2"/>
      <c r="B83" s="6"/>
      <c r="C83" s="28" t="str">
        <f>IF(表1[[#This Row],[列1]]="","",表1[[#This Row],[列1]])</f>
        <v/>
      </c>
      <c r="D83" s="19" t="str">
        <f>IF(C83="","",[1]!hks_info_name(C83))</f>
        <v/>
      </c>
      <c r="E83" s="19" t="str">
        <f ca="1">IF(C83="","",[1]!lastradeday_s(C83,TODAY()))</f>
        <v/>
      </c>
      <c r="F83" s="49" t="str">
        <f>IF(C83="","",IF(OR([1]!s_stm_rpt_e(C83,基本资料!$I$8,0)="#N/A",[1]!s_stm_rpt_e(C83,基本资料!$I$8,0)="",[1]!s_stm_rpt_e(C83,基本资料!$I$8,0)=0),[1]!s_stm_rpt_e(C83,基本资料!$I$9,0),[1]!s_stm_rpt_e(C83,基本资料!$I$8,0)))</f>
        <v/>
      </c>
      <c r="G83" s="49" t="str">
        <f>IF(C83="","",[1]!hks_info_cur2(C83,F83))</f>
        <v/>
      </c>
      <c r="H83" s="27" t="str">
        <f>IF(C83="","",[1]!hks_fa_eps_basic(C83,F83,""))</f>
        <v/>
      </c>
      <c r="I83" s="23" t="str">
        <f>IF(C83="","",[1]!hks_fa_eps_adjust2(C83,F83,""))</f>
        <v/>
      </c>
      <c r="J83" s="23" t="str">
        <f>IF(C83="","",[1]!hks_fa_bps(C83,F83,""))</f>
        <v/>
      </c>
      <c r="K83" s="25" t="str">
        <f>IF(C83="","",[1]!hks_fa_ocfps(C83,F83,""))</f>
        <v/>
      </c>
      <c r="L83" s="27" t="str">
        <f>IF(C83="","",[1]!hks_fa_grossprofitmargin(C83,F83))</f>
        <v/>
      </c>
      <c r="M83" s="23" t="str">
        <f>IF(C83="","",[1]!hks_fa_netprofitmargin(C83,F83))</f>
        <v/>
      </c>
      <c r="N83" s="23" t="str">
        <f>IF(C83="","",[1]!hks_fa_roe(C83,F83))</f>
        <v/>
      </c>
      <c r="O83" s="23" t="str">
        <f>IF(C83="","",[1]!hks_fa_roe_deducted(C83,F83))</f>
        <v/>
      </c>
      <c r="P83" s="23" t="str">
        <f>IF(C83="","",[1]!hks_fa_roa2(C83,F83))</f>
        <v/>
      </c>
      <c r="Q83" s="23" t="str">
        <f>IF(C83="","",[1]!hks_fa_roic(C83,F83))</f>
        <v/>
      </c>
      <c r="R83" s="23" t="str">
        <f>IF(C83="","",[1]!hks_fa_dupont_nptosales(C83,F83))</f>
        <v/>
      </c>
      <c r="S83" s="23" t="str">
        <f>IF(C83="","",[1]!hks_fa_dupont_ebittosales(C83,F83))</f>
        <v/>
      </c>
      <c r="T83" s="25" t="str">
        <f>IF(C83="","",[1]!hks_fa_ebitdatosales(C83,F83))</f>
        <v/>
      </c>
      <c r="U83" s="47" t="str">
        <f>IF(C83="","",[1]!hks_fa_optoebt(C83,F83))</f>
        <v/>
      </c>
      <c r="V83" s="25" t="str">
        <f>IF(C83="","",[1]!hks_fa_ocftosales(C83,F83))</f>
        <v/>
      </c>
      <c r="W83" s="27" t="str">
        <f>IF(C83="","",[1]!hks_fa_debttoassets(C83,F83))</f>
        <v/>
      </c>
      <c r="X83" s="23" t="str">
        <f>IF(C83="","",[1]!s_fa_debttoeqy(C83,F83))</f>
        <v/>
      </c>
      <c r="Y83" s="23" t="str">
        <f>IF(C83="","",[1]!hks_fa_catoassets(C83,F83))</f>
        <v/>
      </c>
      <c r="Z83" s="23" t="str">
        <f>IF(C83="","",[1]!hks_fa_ncatoassets(C83,F83))</f>
        <v/>
      </c>
      <c r="AA83" s="23" t="str">
        <f>IF(C83="","",[1]!hks_fa_currentdebttodebt(C83,F83))</f>
        <v/>
      </c>
      <c r="AB83" s="25" t="str">
        <f>IF(C83="","",[1]!hks_fa_longdebtodebt(C83,F83))</f>
        <v/>
      </c>
      <c r="AC83" s="25" t="str">
        <f>IF(C83="","",[1]!hks_fa_current(C83,F83))</f>
        <v/>
      </c>
      <c r="AD83" s="25" t="str">
        <f>IF(C83="","",[1]!hks_fa_quick(C83,F83))</f>
        <v/>
      </c>
      <c r="AE83" s="25" t="str">
        <f>IF(C83="","",[1]!hks_fa_ebittointerest(C83,F83))</f>
        <v/>
      </c>
      <c r="AF83" s="25" t="str">
        <f>IF(C83="","",[1]!hks_fa_netdebtratio(C83,F83))</f>
        <v/>
      </c>
      <c r="AG83" s="27" t="str">
        <f>IF(C83="","",[1]!hks_fa_arturn(C83,F83))</f>
        <v/>
      </c>
      <c r="AH83" s="23" t="str">
        <f>IF(C83="","",[1]!hks_fa_apturn(C83,F83))</f>
        <v/>
      </c>
      <c r="AI83" s="23" t="str">
        <f>IF(C83="","",[1]!hks_fa_invturn(C83,F83))</f>
        <v/>
      </c>
      <c r="AJ83" s="23" t="str">
        <f>IF(C83="","",[1]!hks_fa_caturn(C83,F83))</f>
        <v/>
      </c>
      <c r="AK83" s="23" t="str">
        <f>IF(C83="","",[1]!hks_fa_faturn(C83,F83))</f>
        <v/>
      </c>
      <c r="AL83" s="25" t="str">
        <f>IF(C83="","",[1]!hks_fa_assetsturn(C83,F83))</f>
        <v/>
      </c>
      <c r="AM83" s="23" t="str">
        <f>IF(C83="","",[1]!hks_fa_yoy_tr(C83,F83))</f>
        <v/>
      </c>
      <c r="AN83" s="23" t="str">
        <f>IF(C83="","",[1]!hks_fa_yoy_or(C83,F83))</f>
        <v/>
      </c>
      <c r="AO83" s="23" t="str">
        <f>IF(C83="","",[1]!hks_fa_yoyop2(C83,F83))</f>
        <v/>
      </c>
      <c r="AP83" s="23" t="str">
        <f>IF(C83="","",[1]!hks_fa_yoyebt(C83,F83))</f>
        <v/>
      </c>
      <c r="AQ83" s="23" t="str">
        <f>IF(C83="","",[1]!hks_fa_yoynetprofit(C83,F83))</f>
        <v/>
      </c>
      <c r="AR83" s="23" t="str">
        <f>IF(C83="","",[1]!hks_fa_dupont_np(C83,F83))</f>
        <v/>
      </c>
      <c r="AS83" s="23" t="str">
        <f>IF(C83="","",[1]!hks_fa_dupont_taxburden(C83,F83))</f>
        <v/>
      </c>
      <c r="AT83" s="23" t="str">
        <f>IF(C83="","",[1]!s_fa_dupont_nptosales(C83,F83))</f>
        <v/>
      </c>
      <c r="AU83" s="23" t="str">
        <f>IF(C83="","",[1]!s_fa_dupont_roe(C83,F83))</f>
        <v/>
      </c>
      <c r="AV83" s="23" t="str">
        <f>IF(C83="","",[1]!hks_fa_dupont_intburden(C83,F83))</f>
        <v/>
      </c>
      <c r="AW83" s="23" t="str">
        <f>IF(C83="","",[1]!hks_fa_dupont_assetstoequity(C83,F83))</f>
        <v/>
      </c>
      <c r="AX83" s="23" t="str">
        <f>IF(C83="","",[1]!s_fa_dupont_ebittosales(C83,F83))</f>
        <v/>
      </c>
      <c r="AY83" s="23" t="str">
        <f>IF(C83="","",[1]!hks_fa_assetsturn(C83,F83))</f>
        <v/>
      </c>
      <c r="AZ83" s="23" t="str">
        <f>IF(C83="","",[1]!hks_fa_grossmargin2(C83,F83,"",100000000))</f>
        <v/>
      </c>
      <c r="BA83" s="23" t="str">
        <f>IF(C83="","",[1]!hks_fa_ebit3(C83,F83,1,"",100000000))</f>
        <v/>
      </c>
      <c r="BB83" s="23" t="str">
        <f>IF(C83="","",[1]!hks_fa_ebitda(C83,F83,1,"",100000000))</f>
        <v/>
      </c>
      <c r="BC83" s="23" t="str">
        <f>IF(C83="","",[1]!hks_fa_ebit(C83,F83,1,"",100000000))</f>
        <v/>
      </c>
      <c r="BD83" s="23" t="str">
        <f>IF(C83="","",[1]!hks_fa_ebitda(C83,F83,1,"",100000000))</f>
        <v/>
      </c>
      <c r="BE83" s="23" t="str">
        <f>IF(C83="","",[1]!hks_fa_nogaapprofit(C83,F83,1,"",100000000))</f>
        <v/>
      </c>
      <c r="BF83" s="23" t="str">
        <f>IF(C83="","",[1]!hks_fa_deductedprofit(C83,F83,1,"",100000000))</f>
        <v/>
      </c>
      <c r="BG83" s="23" t="str">
        <f>IF(C83="","",[1]!hks_fa_retainedearnings2(C83,F83,"",100000000))</f>
        <v/>
      </c>
      <c r="BH83" s="23" t="str">
        <f>IF(C83="","",[1]!hks_fa_workingcapital2(C83,F83,"",100000000))</f>
        <v/>
      </c>
      <c r="BI83" s="23" t="str">
        <f>IF(C83="","",[1]!hks_fa_networkingcapital2(C83,F83,"",100000000))</f>
        <v/>
      </c>
      <c r="BJ83" s="23" t="str">
        <f>IF(C83="","",[1]!hks_fa_investcapital2(C83,F83,"",100000000))</f>
        <v/>
      </c>
      <c r="BK83" s="23" t="str">
        <f>IF(C83="","",[1]!hks_fa_tangibleasset2(C83,F83,"",100000000))</f>
        <v/>
      </c>
      <c r="BL83" s="23" t="str">
        <f>IF(C83="","",[1]!hks_fa_netdebt2(C83,F83,"",100000000))</f>
        <v/>
      </c>
      <c r="BM83" s="23" t="str">
        <f>IF(C83="","",[1]!hks_fa_interestdebt2(C83,F83,"",100000000))</f>
        <v/>
      </c>
      <c r="BN83" s="23" t="str">
        <f>IF(C83="","",[1]!hks_fa_exinterestdebt_current(C83,F83,"",100000000))</f>
        <v/>
      </c>
      <c r="BO83" s="23" t="str">
        <f>IF(C83="","",[1]!hks_fa_exinterestdebt_noncurrent2(C83,F83,"",100000000))</f>
        <v/>
      </c>
      <c r="BP83" s="23" t="str">
        <f>IF(C83="","",[1]!hks_fa_fcfe2(C83,F83,"",100000000))</f>
        <v/>
      </c>
      <c r="BQ83" s="23" t="str">
        <f>IF(C83="","",[1]!hks_fa_fcff2(C83,F83,"",100000000))</f>
        <v/>
      </c>
      <c r="BR83" s="35"/>
    </row>
    <row r="84" spans="1:70" s="36" customFormat="1" ht="16.5" x14ac:dyDescent="0.2">
      <c r="A84" s="2"/>
      <c r="B84" s="6"/>
      <c r="C84" s="28" t="str">
        <f>IF(表1[[#This Row],[列1]]="","",表1[[#This Row],[列1]])</f>
        <v/>
      </c>
      <c r="D84" s="19" t="str">
        <f>IF(C84="","",[1]!hks_info_name(C84))</f>
        <v/>
      </c>
      <c r="E84" s="19" t="str">
        <f ca="1">IF(C84="","",[1]!lastradeday_s(C84,TODAY()))</f>
        <v/>
      </c>
      <c r="F84" s="49" t="str">
        <f>IF(C84="","",IF(OR([1]!s_stm_rpt_e(C84,基本资料!$I$8,0)="#N/A",[1]!s_stm_rpt_e(C84,基本资料!$I$8,0)="",[1]!s_stm_rpt_e(C84,基本资料!$I$8,0)=0),[1]!s_stm_rpt_e(C84,基本资料!$I$9,0),[1]!s_stm_rpt_e(C84,基本资料!$I$8,0)))</f>
        <v/>
      </c>
      <c r="G84" s="49" t="str">
        <f>IF(C84="","",[1]!hks_info_cur2(C84,F84))</f>
        <v/>
      </c>
      <c r="H84" s="27" t="str">
        <f>IF(C84="","",[1]!hks_fa_eps_basic(C84,F84,""))</f>
        <v/>
      </c>
      <c r="I84" s="23" t="str">
        <f>IF(C84="","",[1]!hks_fa_eps_adjust2(C84,F84,""))</f>
        <v/>
      </c>
      <c r="J84" s="23" t="str">
        <f>IF(C84="","",[1]!hks_fa_bps(C84,F84,""))</f>
        <v/>
      </c>
      <c r="K84" s="25" t="str">
        <f>IF(C84="","",[1]!hks_fa_ocfps(C84,F84,""))</f>
        <v/>
      </c>
      <c r="L84" s="27" t="str">
        <f>IF(C84="","",[1]!hks_fa_grossprofitmargin(C84,F84))</f>
        <v/>
      </c>
      <c r="M84" s="23" t="str">
        <f>IF(C84="","",[1]!hks_fa_netprofitmargin(C84,F84))</f>
        <v/>
      </c>
      <c r="N84" s="23" t="str">
        <f>IF(C84="","",[1]!hks_fa_roe(C84,F84))</f>
        <v/>
      </c>
      <c r="O84" s="23" t="str">
        <f>IF(C84="","",[1]!hks_fa_roe_deducted(C84,F84))</f>
        <v/>
      </c>
      <c r="P84" s="23" t="str">
        <f>IF(C84="","",[1]!hks_fa_roa2(C84,F84))</f>
        <v/>
      </c>
      <c r="Q84" s="23" t="str">
        <f>IF(C84="","",[1]!hks_fa_roic(C84,F84))</f>
        <v/>
      </c>
      <c r="R84" s="23" t="str">
        <f>IF(C84="","",[1]!hks_fa_dupont_nptosales(C84,F84))</f>
        <v/>
      </c>
      <c r="S84" s="23" t="str">
        <f>IF(C84="","",[1]!hks_fa_dupont_ebittosales(C84,F84))</f>
        <v/>
      </c>
      <c r="T84" s="25" t="str">
        <f>IF(C84="","",[1]!hks_fa_ebitdatosales(C84,F84))</f>
        <v/>
      </c>
      <c r="U84" s="47" t="str">
        <f>IF(C84="","",[1]!hks_fa_optoebt(C84,F84))</f>
        <v/>
      </c>
      <c r="V84" s="25" t="str">
        <f>IF(C84="","",[1]!hks_fa_ocftosales(C84,F84))</f>
        <v/>
      </c>
      <c r="W84" s="27" t="str">
        <f>IF(C84="","",[1]!hks_fa_debttoassets(C84,F84))</f>
        <v/>
      </c>
      <c r="X84" s="23" t="str">
        <f>IF(C84="","",[1]!s_fa_debttoeqy(C84,F84))</f>
        <v/>
      </c>
      <c r="Y84" s="23" t="str">
        <f>IF(C84="","",[1]!hks_fa_catoassets(C84,F84))</f>
        <v/>
      </c>
      <c r="Z84" s="23" t="str">
        <f>IF(C84="","",[1]!hks_fa_ncatoassets(C84,F84))</f>
        <v/>
      </c>
      <c r="AA84" s="23" t="str">
        <f>IF(C84="","",[1]!hks_fa_currentdebttodebt(C84,F84))</f>
        <v/>
      </c>
      <c r="AB84" s="25" t="str">
        <f>IF(C84="","",[1]!hks_fa_longdebtodebt(C84,F84))</f>
        <v/>
      </c>
      <c r="AC84" s="25" t="str">
        <f>IF(C84="","",[1]!hks_fa_current(C84,F84))</f>
        <v/>
      </c>
      <c r="AD84" s="25" t="str">
        <f>IF(C84="","",[1]!hks_fa_quick(C84,F84))</f>
        <v/>
      </c>
      <c r="AE84" s="25" t="str">
        <f>IF(C84="","",[1]!hks_fa_ebittointerest(C84,F84))</f>
        <v/>
      </c>
      <c r="AF84" s="25" t="str">
        <f>IF(C84="","",[1]!hks_fa_netdebtratio(C84,F84))</f>
        <v/>
      </c>
      <c r="AG84" s="27" t="str">
        <f>IF(C84="","",[1]!hks_fa_arturn(C84,F84))</f>
        <v/>
      </c>
      <c r="AH84" s="23" t="str">
        <f>IF(C84="","",[1]!hks_fa_apturn(C84,F84))</f>
        <v/>
      </c>
      <c r="AI84" s="23" t="str">
        <f>IF(C84="","",[1]!hks_fa_invturn(C84,F84))</f>
        <v/>
      </c>
      <c r="AJ84" s="23" t="str">
        <f>IF(C84="","",[1]!hks_fa_caturn(C84,F84))</f>
        <v/>
      </c>
      <c r="AK84" s="23" t="str">
        <f>IF(C84="","",[1]!hks_fa_faturn(C84,F84))</f>
        <v/>
      </c>
      <c r="AL84" s="25" t="str">
        <f>IF(C84="","",[1]!hks_fa_assetsturn(C84,F84))</f>
        <v/>
      </c>
      <c r="AM84" s="23" t="str">
        <f>IF(C84="","",[1]!hks_fa_yoy_tr(C84,F84))</f>
        <v/>
      </c>
      <c r="AN84" s="23" t="str">
        <f>IF(C84="","",[1]!hks_fa_yoy_or(C84,F84))</f>
        <v/>
      </c>
      <c r="AO84" s="23" t="str">
        <f>IF(C84="","",[1]!hks_fa_yoyop2(C84,F84))</f>
        <v/>
      </c>
      <c r="AP84" s="23" t="str">
        <f>IF(C84="","",[1]!hks_fa_yoyebt(C84,F84))</f>
        <v/>
      </c>
      <c r="AQ84" s="23" t="str">
        <f>IF(C84="","",[1]!hks_fa_yoynetprofit(C84,F84))</f>
        <v/>
      </c>
      <c r="AR84" s="23" t="str">
        <f>IF(C84="","",[1]!hks_fa_dupont_np(C84,F84))</f>
        <v/>
      </c>
      <c r="AS84" s="23" t="str">
        <f>IF(C84="","",[1]!hks_fa_dupont_taxburden(C84,F84))</f>
        <v/>
      </c>
      <c r="AT84" s="23" t="str">
        <f>IF(C84="","",[1]!s_fa_dupont_nptosales(C84,F84))</f>
        <v/>
      </c>
      <c r="AU84" s="23" t="str">
        <f>IF(C84="","",[1]!s_fa_dupont_roe(C84,F84))</f>
        <v/>
      </c>
      <c r="AV84" s="23" t="str">
        <f>IF(C84="","",[1]!hks_fa_dupont_intburden(C84,F84))</f>
        <v/>
      </c>
      <c r="AW84" s="23" t="str">
        <f>IF(C84="","",[1]!hks_fa_dupont_assetstoequity(C84,F84))</f>
        <v/>
      </c>
      <c r="AX84" s="23" t="str">
        <f>IF(C84="","",[1]!s_fa_dupont_ebittosales(C84,F84))</f>
        <v/>
      </c>
      <c r="AY84" s="23" t="str">
        <f>IF(C84="","",[1]!hks_fa_assetsturn(C84,F84))</f>
        <v/>
      </c>
      <c r="AZ84" s="23" t="str">
        <f>IF(C84="","",[1]!hks_fa_grossmargin2(C84,F84,"",100000000))</f>
        <v/>
      </c>
      <c r="BA84" s="23" t="str">
        <f>IF(C84="","",[1]!hks_fa_ebit3(C84,F84,1,"",100000000))</f>
        <v/>
      </c>
      <c r="BB84" s="23" t="str">
        <f>IF(C84="","",[1]!hks_fa_ebitda(C84,F84,1,"",100000000))</f>
        <v/>
      </c>
      <c r="BC84" s="23" t="str">
        <f>IF(C84="","",[1]!hks_fa_ebit(C84,F84,1,"",100000000))</f>
        <v/>
      </c>
      <c r="BD84" s="23" t="str">
        <f>IF(C84="","",[1]!hks_fa_ebitda(C84,F84,1,"",100000000))</f>
        <v/>
      </c>
      <c r="BE84" s="23" t="str">
        <f>IF(C84="","",[1]!hks_fa_nogaapprofit(C84,F84,1,"",100000000))</f>
        <v/>
      </c>
      <c r="BF84" s="23" t="str">
        <f>IF(C84="","",[1]!hks_fa_deductedprofit(C84,F84,1,"",100000000))</f>
        <v/>
      </c>
      <c r="BG84" s="23" t="str">
        <f>IF(C84="","",[1]!hks_fa_retainedearnings2(C84,F84,"",100000000))</f>
        <v/>
      </c>
      <c r="BH84" s="23" t="str">
        <f>IF(C84="","",[1]!hks_fa_workingcapital2(C84,F84,"",100000000))</f>
        <v/>
      </c>
      <c r="BI84" s="23" t="str">
        <f>IF(C84="","",[1]!hks_fa_networkingcapital2(C84,F84,"",100000000))</f>
        <v/>
      </c>
      <c r="BJ84" s="23" t="str">
        <f>IF(C84="","",[1]!hks_fa_investcapital2(C84,F84,"",100000000))</f>
        <v/>
      </c>
      <c r="BK84" s="23" t="str">
        <f>IF(C84="","",[1]!hks_fa_tangibleasset2(C84,F84,"",100000000))</f>
        <v/>
      </c>
      <c r="BL84" s="23" t="str">
        <f>IF(C84="","",[1]!hks_fa_netdebt2(C84,F84,"",100000000))</f>
        <v/>
      </c>
      <c r="BM84" s="23" t="str">
        <f>IF(C84="","",[1]!hks_fa_interestdebt2(C84,F84,"",100000000))</f>
        <v/>
      </c>
      <c r="BN84" s="23" t="str">
        <f>IF(C84="","",[1]!hks_fa_exinterestdebt_current(C84,F84,"",100000000))</f>
        <v/>
      </c>
      <c r="BO84" s="23" t="str">
        <f>IF(C84="","",[1]!hks_fa_exinterestdebt_noncurrent2(C84,F84,"",100000000))</f>
        <v/>
      </c>
      <c r="BP84" s="23" t="str">
        <f>IF(C84="","",[1]!hks_fa_fcfe2(C84,F84,"",100000000))</f>
        <v/>
      </c>
      <c r="BQ84" s="23" t="str">
        <f>IF(C84="","",[1]!hks_fa_fcff2(C84,F84,"",100000000))</f>
        <v/>
      </c>
      <c r="BR84" s="35"/>
    </row>
    <row r="85" spans="1:70" s="36" customFormat="1" ht="16.5" x14ac:dyDescent="0.2">
      <c r="A85" s="2"/>
      <c r="B85" s="6"/>
      <c r="C85" s="28" t="str">
        <f>IF(表1[[#This Row],[列1]]="","",表1[[#This Row],[列1]])</f>
        <v/>
      </c>
      <c r="D85" s="19" t="str">
        <f>IF(C85="","",[1]!hks_info_name(C85))</f>
        <v/>
      </c>
      <c r="E85" s="19" t="str">
        <f ca="1">IF(C85="","",[1]!lastradeday_s(C85,TODAY()))</f>
        <v/>
      </c>
      <c r="F85" s="49" t="str">
        <f>IF(C85="","",IF(OR([1]!s_stm_rpt_e(C85,基本资料!$I$8,0)="#N/A",[1]!s_stm_rpt_e(C85,基本资料!$I$8,0)="",[1]!s_stm_rpt_e(C85,基本资料!$I$8,0)=0),[1]!s_stm_rpt_e(C85,基本资料!$I$9,0),[1]!s_stm_rpt_e(C85,基本资料!$I$8,0)))</f>
        <v/>
      </c>
      <c r="G85" s="49" t="str">
        <f>IF(C85="","",[1]!hks_info_cur2(C85,F85))</f>
        <v/>
      </c>
      <c r="H85" s="27" t="str">
        <f>IF(C85="","",[1]!hks_fa_eps_basic(C85,F85,""))</f>
        <v/>
      </c>
      <c r="I85" s="23" t="str">
        <f>IF(C85="","",[1]!hks_fa_eps_adjust2(C85,F85,""))</f>
        <v/>
      </c>
      <c r="J85" s="23" t="str">
        <f>IF(C85="","",[1]!hks_fa_bps(C85,F85,""))</f>
        <v/>
      </c>
      <c r="K85" s="25" t="str">
        <f>IF(C85="","",[1]!hks_fa_ocfps(C85,F85,""))</f>
        <v/>
      </c>
      <c r="L85" s="27" t="str">
        <f>IF(C85="","",[1]!hks_fa_grossprofitmargin(C85,F85))</f>
        <v/>
      </c>
      <c r="M85" s="23" t="str">
        <f>IF(C85="","",[1]!hks_fa_netprofitmargin(C85,F85))</f>
        <v/>
      </c>
      <c r="N85" s="23" t="str">
        <f>IF(C85="","",[1]!hks_fa_roe(C85,F85))</f>
        <v/>
      </c>
      <c r="O85" s="23" t="str">
        <f>IF(C85="","",[1]!hks_fa_roe_deducted(C85,F85))</f>
        <v/>
      </c>
      <c r="P85" s="23" t="str">
        <f>IF(C85="","",[1]!hks_fa_roa2(C85,F85))</f>
        <v/>
      </c>
      <c r="Q85" s="23" t="str">
        <f>IF(C85="","",[1]!hks_fa_roic(C85,F85))</f>
        <v/>
      </c>
      <c r="R85" s="23" t="str">
        <f>IF(C85="","",[1]!hks_fa_dupont_nptosales(C85,F85))</f>
        <v/>
      </c>
      <c r="S85" s="23" t="str">
        <f>IF(C85="","",[1]!hks_fa_dupont_ebittosales(C85,F85))</f>
        <v/>
      </c>
      <c r="T85" s="25" t="str">
        <f>IF(C85="","",[1]!hks_fa_ebitdatosales(C85,F85))</f>
        <v/>
      </c>
      <c r="U85" s="47" t="str">
        <f>IF(C85="","",[1]!hks_fa_optoebt(C85,F85))</f>
        <v/>
      </c>
      <c r="V85" s="25" t="str">
        <f>IF(C85="","",[1]!hks_fa_ocftosales(C85,F85))</f>
        <v/>
      </c>
      <c r="W85" s="27" t="str">
        <f>IF(C85="","",[1]!hks_fa_debttoassets(C85,F85))</f>
        <v/>
      </c>
      <c r="X85" s="23" t="str">
        <f>IF(C85="","",[1]!s_fa_debttoeqy(C85,F85))</f>
        <v/>
      </c>
      <c r="Y85" s="23" t="str">
        <f>IF(C85="","",[1]!hks_fa_catoassets(C85,F85))</f>
        <v/>
      </c>
      <c r="Z85" s="23" t="str">
        <f>IF(C85="","",[1]!hks_fa_ncatoassets(C85,F85))</f>
        <v/>
      </c>
      <c r="AA85" s="23" t="str">
        <f>IF(C85="","",[1]!hks_fa_currentdebttodebt(C85,F85))</f>
        <v/>
      </c>
      <c r="AB85" s="25" t="str">
        <f>IF(C85="","",[1]!hks_fa_longdebtodebt(C85,F85))</f>
        <v/>
      </c>
      <c r="AC85" s="25" t="str">
        <f>IF(C85="","",[1]!hks_fa_current(C85,F85))</f>
        <v/>
      </c>
      <c r="AD85" s="25" t="str">
        <f>IF(C85="","",[1]!hks_fa_quick(C85,F85))</f>
        <v/>
      </c>
      <c r="AE85" s="25" t="str">
        <f>IF(C85="","",[1]!hks_fa_ebittointerest(C85,F85))</f>
        <v/>
      </c>
      <c r="AF85" s="25" t="str">
        <f>IF(C85="","",[1]!hks_fa_netdebtratio(C85,F85))</f>
        <v/>
      </c>
      <c r="AG85" s="27" t="str">
        <f>IF(C85="","",[1]!hks_fa_arturn(C85,F85))</f>
        <v/>
      </c>
      <c r="AH85" s="23" t="str">
        <f>IF(C85="","",[1]!hks_fa_apturn(C85,F85))</f>
        <v/>
      </c>
      <c r="AI85" s="23" t="str">
        <f>IF(C85="","",[1]!hks_fa_invturn(C85,F85))</f>
        <v/>
      </c>
      <c r="AJ85" s="23" t="str">
        <f>IF(C85="","",[1]!hks_fa_caturn(C85,F85))</f>
        <v/>
      </c>
      <c r="AK85" s="23" t="str">
        <f>IF(C85="","",[1]!hks_fa_faturn(C85,F85))</f>
        <v/>
      </c>
      <c r="AL85" s="25" t="str">
        <f>IF(C85="","",[1]!hks_fa_assetsturn(C85,F85))</f>
        <v/>
      </c>
      <c r="AM85" s="23" t="str">
        <f>IF(C85="","",[1]!hks_fa_yoy_tr(C85,F85))</f>
        <v/>
      </c>
      <c r="AN85" s="23" t="str">
        <f>IF(C85="","",[1]!hks_fa_yoy_or(C85,F85))</f>
        <v/>
      </c>
      <c r="AO85" s="23" t="str">
        <f>IF(C85="","",[1]!hks_fa_yoyop2(C85,F85))</f>
        <v/>
      </c>
      <c r="AP85" s="23" t="str">
        <f>IF(C85="","",[1]!hks_fa_yoyebt(C85,F85))</f>
        <v/>
      </c>
      <c r="AQ85" s="23" t="str">
        <f>IF(C85="","",[1]!hks_fa_yoynetprofit(C85,F85))</f>
        <v/>
      </c>
      <c r="AR85" s="23" t="str">
        <f>IF(C85="","",[1]!hks_fa_dupont_np(C85,F85))</f>
        <v/>
      </c>
      <c r="AS85" s="23" t="str">
        <f>IF(C85="","",[1]!hks_fa_dupont_taxburden(C85,F85))</f>
        <v/>
      </c>
      <c r="AT85" s="23" t="str">
        <f>IF(C85="","",[1]!s_fa_dupont_nptosales(C85,F85))</f>
        <v/>
      </c>
      <c r="AU85" s="23" t="str">
        <f>IF(C85="","",[1]!s_fa_dupont_roe(C85,F85))</f>
        <v/>
      </c>
      <c r="AV85" s="23" t="str">
        <f>IF(C85="","",[1]!hks_fa_dupont_intburden(C85,F85))</f>
        <v/>
      </c>
      <c r="AW85" s="23" t="str">
        <f>IF(C85="","",[1]!hks_fa_dupont_assetstoequity(C85,F85))</f>
        <v/>
      </c>
      <c r="AX85" s="23" t="str">
        <f>IF(C85="","",[1]!s_fa_dupont_ebittosales(C85,F85))</f>
        <v/>
      </c>
      <c r="AY85" s="23" t="str">
        <f>IF(C85="","",[1]!hks_fa_assetsturn(C85,F85))</f>
        <v/>
      </c>
      <c r="AZ85" s="23" t="str">
        <f>IF(C85="","",[1]!hks_fa_grossmargin2(C85,F85,"",100000000))</f>
        <v/>
      </c>
      <c r="BA85" s="23" t="str">
        <f>IF(C85="","",[1]!hks_fa_ebit3(C85,F85,1,"",100000000))</f>
        <v/>
      </c>
      <c r="BB85" s="23" t="str">
        <f>IF(C85="","",[1]!hks_fa_ebitda(C85,F85,1,"",100000000))</f>
        <v/>
      </c>
      <c r="BC85" s="23" t="str">
        <f>IF(C85="","",[1]!hks_fa_ebit(C85,F85,1,"",100000000))</f>
        <v/>
      </c>
      <c r="BD85" s="23" t="str">
        <f>IF(C85="","",[1]!hks_fa_ebitda(C85,F85,1,"",100000000))</f>
        <v/>
      </c>
      <c r="BE85" s="23" t="str">
        <f>IF(C85="","",[1]!hks_fa_nogaapprofit(C85,F85,1,"",100000000))</f>
        <v/>
      </c>
      <c r="BF85" s="23" t="str">
        <f>IF(C85="","",[1]!hks_fa_deductedprofit(C85,F85,1,"",100000000))</f>
        <v/>
      </c>
      <c r="BG85" s="23" t="str">
        <f>IF(C85="","",[1]!hks_fa_retainedearnings2(C85,F85,"",100000000))</f>
        <v/>
      </c>
      <c r="BH85" s="23" t="str">
        <f>IF(C85="","",[1]!hks_fa_workingcapital2(C85,F85,"",100000000))</f>
        <v/>
      </c>
      <c r="BI85" s="23" t="str">
        <f>IF(C85="","",[1]!hks_fa_networkingcapital2(C85,F85,"",100000000))</f>
        <v/>
      </c>
      <c r="BJ85" s="23" t="str">
        <f>IF(C85="","",[1]!hks_fa_investcapital2(C85,F85,"",100000000))</f>
        <v/>
      </c>
      <c r="BK85" s="23" t="str">
        <f>IF(C85="","",[1]!hks_fa_tangibleasset2(C85,F85,"",100000000))</f>
        <v/>
      </c>
      <c r="BL85" s="23" t="str">
        <f>IF(C85="","",[1]!hks_fa_netdebt2(C85,F85,"",100000000))</f>
        <v/>
      </c>
      <c r="BM85" s="23" t="str">
        <f>IF(C85="","",[1]!hks_fa_interestdebt2(C85,F85,"",100000000))</f>
        <v/>
      </c>
      <c r="BN85" s="23" t="str">
        <f>IF(C85="","",[1]!hks_fa_exinterestdebt_current(C85,F85,"",100000000))</f>
        <v/>
      </c>
      <c r="BO85" s="23" t="str">
        <f>IF(C85="","",[1]!hks_fa_exinterestdebt_noncurrent2(C85,F85,"",100000000))</f>
        <v/>
      </c>
      <c r="BP85" s="23" t="str">
        <f>IF(C85="","",[1]!hks_fa_fcfe2(C85,F85,"",100000000))</f>
        <v/>
      </c>
      <c r="BQ85" s="23" t="str">
        <f>IF(C85="","",[1]!hks_fa_fcff2(C85,F85,"",100000000))</f>
        <v/>
      </c>
      <c r="BR85" s="35"/>
    </row>
    <row r="86" spans="1:70" s="36" customFormat="1" ht="16.5" x14ac:dyDescent="0.2">
      <c r="A86" s="2"/>
      <c r="B86" s="6"/>
      <c r="C86" s="28" t="str">
        <f>IF(表1[[#This Row],[列1]]="","",表1[[#This Row],[列1]])</f>
        <v/>
      </c>
      <c r="D86" s="19" t="str">
        <f>IF(C86="","",[1]!hks_info_name(C86))</f>
        <v/>
      </c>
      <c r="E86" s="19" t="str">
        <f ca="1">IF(C86="","",[1]!lastradeday_s(C86,TODAY()))</f>
        <v/>
      </c>
      <c r="F86" s="49" t="str">
        <f>IF(C86="","",IF(OR([1]!s_stm_rpt_e(C86,基本资料!$I$8,0)="#N/A",[1]!s_stm_rpt_e(C86,基本资料!$I$8,0)="",[1]!s_stm_rpt_e(C86,基本资料!$I$8,0)=0),[1]!s_stm_rpt_e(C86,基本资料!$I$9,0),[1]!s_stm_rpt_e(C86,基本资料!$I$8,0)))</f>
        <v/>
      </c>
      <c r="G86" s="49" t="str">
        <f>IF(C86="","",[1]!hks_info_cur2(C86,F86))</f>
        <v/>
      </c>
      <c r="H86" s="27" t="str">
        <f>IF(C86="","",[1]!hks_fa_eps_basic(C86,F86,""))</f>
        <v/>
      </c>
      <c r="I86" s="23" t="str">
        <f>IF(C86="","",[1]!hks_fa_eps_adjust2(C86,F86,""))</f>
        <v/>
      </c>
      <c r="J86" s="23" t="str">
        <f>IF(C86="","",[1]!hks_fa_bps(C86,F86,""))</f>
        <v/>
      </c>
      <c r="K86" s="25" t="str">
        <f>IF(C86="","",[1]!hks_fa_ocfps(C86,F86,""))</f>
        <v/>
      </c>
      <c r="L86" s="27" t="str">
        <f>IF(C86="","",[1]!hks_fa_grossprofitmargin(C86,F86))</f>
        <v/>
      </c>
      <c r="M86" s="23" t="str">
        <f>IF(C86="","",[1]!hks_fa_netprofitmargin(C86,F86))</f>
        <v/>
      </c>
      <c r="N86" s="23" t="str">
        <f>IF(C86="","",[1]!hks_fa_roe(C86,F86))</f>
        <v/>
      </c>
      <c r="O86" s="23" t="str">
        <f>IF(C86="","",[1]!hks_fa_roe_deducted(C86,F86))</f>
        <v/>
      </c>
      <c r="P86" s="23" t="str">
        <f>IF(C86="","",[1]!hks_fa_roa2(C86,F86))</f>
        <v/>
      </c>
      <c r="Q86" s="23" t="str">
        <f>IF(C86="","",[1]!hks_fa_roic(C86,F86))</f>
        <v/>
      </c>
      <c r="R86" s="23" t="str">
        <f>IF(C86="","",[1]!hks_fa_dupont_nptosales(C86,F86))</f>
        <v/>
      </c>
      <c r="S86" s="23" t="str">
        <f>IF(C86="","",[1]!hks_fa_dupont_ebittosales(C86,F86))</f>
        <v/>
      </c>
      <c r="T86" s="25" t="str">
        <f>IF(C86="","",[1]!hks_fa_ebitdatosales(C86,F86))</f>
        <v/>
      </c>
      <c r="U86" s="47" t="str">
        <f>IF(C86="","",[1]!hks_fa_optoebt(C86,F86))</f>
        <v/>
      </c>
      <c r="V86" s="25" t="str">
        <f>IF(C86="","",[1]!hks_fa_ocftosales(C86,F86))</f>
        <v/>
      </c>
      <c r="W86" s="27" t="str">
        <f>IF(C86="","",[1]!hks_fa_debttoassets(C86,F86))</f>
        <v/>
      </c>
      <c r="X86" s="23" t="str">
        <f>IF(C86="","",[1]!s_fa_debttoeqy(C86,F86))</f>
        <v/>
      </c>
      <c r="Y86" s="23" t="str">
        <f>IF(C86="","",[1]!hks_fa_catoassets(C86,F86))</f>
        <v/>
      </c>
      <c r="Z86" s="23" t="str">
        <f>IF(C86="","",[1]!hks_fa_ncatoassets(C86,F86))</f>
        <v/>
      </c>
      <c r="AA86" s="23" t="str">
        <f>IF(C86="","",[1]!hks_fa_currentdebttodebt(C86,F86))</f>
        <v/>
      </c>
      <c r="AB86" s="25" t="str">
        <f>IF(C86="","",[1]!hks_fa_longdebtodebt(C86,F86))</f>
        <v/>
      </c>
      <c r="AC86" s="25" t="str">
        <f>IF(C86="","",[1]!hks_fa_current(C86,F86))</f>
        <v/>
      </c>
      <c r="AD86" s="25" t="str">
        <f>IF(C86="","",[1]!hks_fa_quick(C86,F86))</f>
        <v/>
      </c>
      <c r="AE86" s="25" t="str">
        <f>IF(C86="","",[1]!hks_fa_ebittointerest(C86,F86))</f>
        <v/>
      </c>
      <c r="AF86" s="25" t="str">
        <f>IF(C86="","",[1]!hks_fa_netdebtratio(C86,F86))</f>
        <v/>
      </c>
      <c r="AG86" s="27" t="str">
        <f>IF(C86="","",[1]!hks_fa_arturn(C86,F86))</f>
        <v/>
      </c>
      <c r="AH86" s="23" t="str">
        <f>IF(C86="","",[1]!hks_fa_apturn(C86,F86))</f>
        <v/>
      </c>
      <c r="AI86" s="23" t="str">
        <f>IF(C86="","",[1]!hks_fa_invturn(C86,F86))</f>
        <v/>
      </c>
      <c r="AJ86" s="23" t="str">
        <f>IF(C86="","",[1]!hks_fa_caturn(C86,F86))</f>
        <v/>
      </c>
      <c r="AK86" s="23" t="str">
        <f>IF(C86="","",[1]!hks_fa_faturn(C86,F86))</f>
        <v/>
      </c>
      <c r="AL86" s="25" t="str">
        <f>IF(C86="","",[1]!hks_fa_assetsturn(C86,F86))</f>
        <v/>
      </c>
      <c r="AM86" s="23" t="str">
        <f>IF(C86="","",[1]!hks_fa_yoy_tr(C86,F86))</f>
        <v/>
      </c>
      <c r="AN86" s="23" t="str">
        <f>IF(C86="","",[1]!hks_fa_yoy_or(C86,F86))</f>
        <v/>
      </c>
      <c r="AO86" s="23" t="str">
        <f>IF(C86="","",[1]!hks_fa_yoyop2(C86,F86))</f>
        <v/>
      </c>
      <c r="AP86" s="23" t="str">
        <f>IF(C86="","",[1]!hks_fa_yoyebt(C86,F86))</f>
        <v/>
      </c>
      <c r="AQ86" s="23" t="str">
        <f>IF(C86="","",[1]!hks_fa_yoynetprofit(C86,F86))</f>
        <v/>
      </c>
      <c r="AR86" s="23" t="str">
        <f>IF(C86="","",[1]!hks_fa_dupont_np(C86,F86))</f>
        <v/>
      </c>
      <c r="AS86" s="23" t="str">
        <f>IF(C86="","",[1]!hks_fa_dupont_taxburden(C86,F86))</f>
        <v/>
      </c>
      <c r="AT86" s="23" t="str">
        <f>IF(C86="","",[1]!s_fa_dupont_nptosales(C86,F86))</f>
        <v/>
      </c>
      <c r="AU86" s="23" t="str">
        <f>IF(C86="","",[1]!s_fa_dupont_roe(C86,F86))</f>
        <v/>
      </c>
      <c r="AV86" s="23" t="str">
        <f>IF(C86="","",[1]!hks_fa_dupont_intburden(C86,F86))</f>
        <v/>
      </c>
      <c r="AW86" s="23" t="str">
        <f>IF(C86="","",[1]!hks_fa_dupont_assetstoequity(C86,F86))</f>
        <v/>
      </c>
      <c r="AX86" s="23" t="str">
        <f>IF(C86="","",[1]!s_fa_dupont_ebittosales(C86,F86))</f>
        <v/>
      </c>
      <c r="AY86" s="23" t="str">
        <f>IF(C86="","",[1]!hks_fa_assetsturn(C86,F86))</f>
        <v/>
      </c>
      <c r="AZ86" s="23" t="str">
        <f>IF(C86="","",[1]!hks_fa_grossmargin2(C86,F86,"",100000000))</f>
        <v/>
      </c>
      <c r="BA86" s="23" t="str">
        <f>IF(C86="","",[1]!hks_fa_ebit3(C86,F86,1,"",100000000))</f>
        <v/>
      </c>
      <c r="BB86" s="23" t="str">
        <f>IF(C86="","",[1]!hks_fa_ebitda(C86,F86,1,"",100000000))</f>
        <v/>
      </c>
      <c r="BC86" s="23" t="str">
        <f>IF(C86="","",[1]!hks_fa_ebit(C86,F86,1,"",100000000))</f>
        <v/>
      </c>
      <c r="BD86" s="23" t="str">
        <f>IF(C86="","",[1]!hks_fa_ebitda(C86,F86,1,"",100000000))</f>
        <v/>
      </c>
      <c r="BE86" s="23" t="str">
        <f>IF(C86="","",[1]!hks_fa_nogaapprofit(C86,F86,1,"",100000000))</f>
        <v/>
      </c>
      <c r="BF86" s="23" t="str">
        <f>IF(C86="","",[1]!hks_fa_deductedprofit(C86,F86,1,"",100000000))</f>
        <v/>
      </c>
      <c r="BG86" s="23" t="str">
        <f>IF(C86="","",[1]!hks_fa_retainedearnings2(C86,F86,"",100000000))</f>
        <v/>
      </c>
      <c r="BH86" s="23" t="str">
        <f>IF(C86="","",[1]!hks_fa_workingcapital2(C86,F86,"",100000000))</f>
        <v/>
      </c>
      <c r="BI86" s="23" t="str">
        <f>IF(C86="","",[1]!hks_fa_networkingcapital2(C86,F86,"",100000000))</f>
        <v/>
      </c>
      <c r="BJ86" s="23" t="str">
        <f>IF(C86="","",[1]!hks_fa_investcapital2(C86,F86,"",100000000))</f>
        <v/>
      </c>
      <c r="BK86" s="23" t="str">
        <f>IF(C86="","",[1]!hks_fa_tangibleasset2(C86,F86,"",100000000))</f>
        <v/>
      </c>
      <c r="BL86" s="23" t="str">
        <f>IF(C86="","",[1]!hks_fa_netdebt2(C86,F86,"",100000000))</f>
        <v/>
      </c>
      <c r="BM86" s="23" t="str">
        <f>IF(C86="","",[1]!hks_fa_interestdebt2(C86,F86,"",100000000))</f>
        <v/>
      </c>
      <c r="BN86" s="23" t="str">
        <f>IF(C86="","",[1]!hks_fa_exinterestdebt_current(C86,F86,"",100000000))</f>
        <v/>
      </c>
      <c r="BO86" s="23" t="str">
        <f>IF(C86="","",[1]!hks_fa_exinterestdebt_noncurrent2(C86,F86,"",100000000))</f>
        <v/>
      </c>
      <c r="BP86" s="23" t="str">
        <f>IF(C86="","",[1]!hks_fa_fcfe2(C86,F86,"",100000000))</f>
        <v/>
      </c>
      <c r="BQ86" s="23" t="str">
        <f>IF(C86="","",[1]!hks_fa_fcff2(C86,F86,"",100000000))</f>
        <v/>
      </c>
      <c r="BR86" s="35"/>
    </row>
    <row r="87" spans="1:70" s="36" customFormat="1" ht="16.5" x14ac:dyDescent="0.2">
      <c r="A87" s="2"/>
      <c r="B87" s="6"/>
      <c r="C87" s="28" t="str">
        <f>IF(表1[[#This Row],[列1]]="","",表1[[#This Row],[列1]])</f>
        <v/>
      </c>
      <c r="D87" s="19" t="str">
        <f>IF(C87="","",[1]!hks_info_name(C87))</f>
        <v/>
      </c>
      <c r="E87" s="19" t="str">
        <f ca="1">IF(C87="","",[1]!lastradeday_s(C87,TODAY()))</f>
        <v/>
      </c>
      <c r="F87" s="49" t="str">
        <f>IF(C87="","",IF(OR([1]!s_stm_rpt_e(C87,基本资料!$I$8,0)="#N/A",[1]!s_stm_rpt_e(C87,基本资料!$I$8,0)="",[1]!s_stm_rpt_e(C87,基本资料!$I$8,0)=0),[1]!s_stm_rpt_e(C87,基本资料!$I$9,0),[1]!s_stm_rpt_e(C87,基本资料!$I$8,0)))</f>
        <v/>
      </c>
      <c r="G87" s="49" t="str">
        <f>IF(C87="","",[1]!hks_info_cur2(C87,F87))</f>
        <v/>
      </c>
      <c r="H87" s="27" t="str">
        <f>IF(C87="","",[1]!hks_fa_eps_basic(C87,F87,""))</f>
        <v/>
      </c>
      <c r="I87" s="23" t="str">
        <f>IF(C87="","",[1]!hks_fa_eps_adjust2(C87,F87,""))</f>
        <v/>
      </c>
      <c r="J87" s="23" t="str">
        <f>IF(C87="","",[1]!hks_fa_bps(C87,F87,""))</f>
        <v/>
      </c>
      <c r="K87" s="25" t="str">
        <f>IF(C87="","",[1]!hks_fa_ocfps(C87,F87,""))</f>
        <v/>
      </c>
      <c r="L87" s="27" t="str">
        <f>IF(C87="","",[1]!hks_fa_grossprofitmargin(C87,F87))</f>
        <v/>
      </c>
      <c r="M87" s="23" t="str">
        <f>IF(C87="","",[1]!hks_fa_netprofitmargin(C87,F87))</f>
        <v/>
      </c>
      <c r="N87" s="23" t="str">
        <f>IF(C87="","",[1]!hks_fa_roe(C87,F87))</f>
        <v/>
      </c>
      <c r="O87" s="23" t="str">
        <f>IF(C87="","",[1]!hks_fa_roe_deducted(C87,F87))</f>
        <v/>
      </c>
      <c r="P87" s="23" t="str">
        <f>IF(C87="","",[1]!hks_fa_roa2(C87,F87))</f>
        <v/>
      </c>
      <c r="Q87" s="23" t="str">
        <f>IF(C87="","",[1]!hks_fa_roic(C87,F87))</f>
        <v/>
      </c>
      <c r="R87" s="23" t="str">
        <f>IF(C87="","",[1]!hks_fa_dupont_nptosales(C87,F87))</f>
        <v/>
      </c>
      <c r="S87" s="23" t="str">
        <f>IF(C87="","",[1]!hks_fa_dupont_ebittosales(C87,F87))</f>
        <v/>
      </c>
      <c r="T87" s="25" t="str">
        <f>IF(C87="","",[1]!hks_fa_ebitdatosales(C87,F87))</f>
        <v/>
      </c>
      <c r="U87" s="47" t="str">
        <f>IF(C87="","",[1]!hks_fa_optoebt(C87,F87))</f>
        <v/>
      </c>
      <c r="V87" s="25" t="str">
        <f>IF(C87="","",[1]!hks_fa_ocftosales(C87,F87))</f>
        <v/>
      </c>
      <c r="W87" s="27" t="str">
        <f>IF(C87="","",[1]!hks_fa_debttoassets(C87,F87))</f>
        <v/>
      </c>
      <c r="X87" s="23" t="str">
        <f>IF(C87="","",[1]!s_fa_debttoeqy(C87,F87))</f>
        <v/>
      </c>
      <c r="Y87" s="23" t="str">
        <f>IF(C87="","",[1]!hks_fa_catoassets(C87,F87))</f>
        <v/>
      </c>
      <c r="Z87" s="23" t="str">
        <f>IF(C87="","",[1]!hks_fa_ncatoassets(C87,F87))</f>
        <v/>
      </c>
      <c r="AA87" s="23" t="str">
        <f>IF(C87="","",[1]!hks_fa_currentdebttodebt(C87,F87))</f>
        <v/>
      </c>
      <c r="AB87" s="25" t="str">
        <f>IF(C87="","",[1]!hks_fa_longdebtodebt(C87,F87))</f>
        <v/>
      </c>
      <c r="AC87" s="25" t="str">
        <f>IF(C87="","",[1]!hks_fa_current(C87,F87))</f>
        <v/>
      </c>
      <c r="AD87" s="25" t="str">
        <f>IF(C87="","",[1]!hks_fa_quick(C87,F87))</f>
        <v/>
      </c>
      <c r="AE87" s="25" t="str">
        <f>IF(C87="","",[1]!hks_fa_ebittointerest(C87,F87))</f>
        <v/>
      </c>
      <c r="AF87" s="25" t="str">
        <f>IF(C87="","",[1]!hks_fa_netdebtratio(C87,F87))</f>
        <v/>
      </c>
      <c r="AG87" s="27" t="str">
        <f>IF(C87="","",[1]!hks_fa_arturn(C87,F87))</f>
        <v/>
      </c>
      <c r="AH87" s="23" t="str">
        <f>IF(C87="","",[1]!hks_fa_apturn(C87,F87))</f>
        <v/>
      </c>
      <c r="AI87" s="23" t="str">
        <f>IF(C87="","",[1]!hks_fa_invturn(C87,F87))</f>
        <v/>
      </c>
      <c r="AJ87" s="23" t="str">
        <f>IF(C87="","",[1]!hks_fa_caturn(C87,F87))</f>
        <v/>
      </c>
      <c r="AK87" s="23" t="str">
        <f>IF(C87="","",[1]!hks_fa_faturn(C87,F87))</f>
        <v/>
      </c>
      <c r="AL87" s="25" t="str">
        <f>IF(C87="","",[1]!hks_fa_assetsturn(C87,F87))</f>
        <v/>
      </c>
      <c r="AM87" s="23" t="str">
        <f>IF(C87="","",[1]!hks_fa_yoy_tr(C87,F87))</f>
        <v/>
      </c>
      <c r="AN87" s="23" t="str">
        <f>IF(C87="","",[1]!hks_fa_yoy_or(C87,F87))</f>
        <v/>
      </c>
      <c r="AO87" s="23" t="str">
        <f>IF(C87="","",[1]!hks_fa_yoyop2(C87,F87))</f>
        <v/>
      </c>
      <c r="AP87" s="23" t="str">
        <f>IF(C87="","",[1]!hks_fa_yoyebt(C87,F87))</f>
        <v/>
      </c>
      <c r="AQ87" s="23" t="str">
        <f>IF(C87="","",[1]!hks_fa_yoynetprofit(C87,F87))</f>
        <v/>
      </c>
      <c r="AR87" s="23" t="str">
        <f>IF(C87="","",[1]!hks_fa_dupont_np(C87,F87))</f>
        <v/>
      </c>
      <c r="AS87" s="23" t="str">
        <f>IF(C87="","",[1]!hks_fa_dupont_taxburden(C87,F87))</f>
        <v/>
      </c>
      <c r="AT87" s="23" t="str">
        <f>IF(C87="","",[1]!s_fa_dupont_nptosales(C87,F87))</f>
        <v/>
      </c>
      <c r="AU87" s="23" t="str">
        <f>IF(C87="","",[1]!s_fa_dupont_roe(C87,F87))</f>
        <v/>
      </c>
      <c r="AV87" s="23" t="str">
        <f>IF(C87="","",[1]!hks_fa_dupont_intburden(C87,F87))</f>
        <v/>
      </c>
      <c r="AW87" s="23" t="str">
        <f>IF(C87="","",[1]!hks_fa_dupont_assetstoequity(C87,F87))</f>
        <v/>
      </c>
      <c r="AX87" s="23" t="str">
        <f>IF(C87="","",[1]!s_fa_dupont_ebittosales(C87,F87))</f>
        <v/>
      </c>
      <c r="AY87" s="23" t="str">
        <f>IF(C87="","",[1]!hks_fa_assetsturn(C87,F87))</f>
        <v/>
      </c>
      <c r="AZ87" s="23" t="str">
        <f>IF(C87="","",[1]!hks_fa_grossmargin2(C87,F87,"",100000000))</f>
        <v/>
      </c>
      <c r="BA87" s="23" t="str">
        <f>IF(C87="","",[1]!hks_fa_ebit3(C87,F87,1,"",100000000))</f>
        <v/>
      </c>
      <c r="BB87" s="23" t="str">
        <f>IF(C87="","",[1]!hks_fa_ebitda(C87,F87,1,"",100000000))</f>
        <v/>
      </c>
      <c r="BC87" s="23" t="str">
        <f>IF(C87="","",[1]!hks_fa_ebit(C87,F87,1,"",100000000))</f>
        <v/>
      </c>
      <c r="BD87" s="23" t="str">
        <f>IF(C87="","",[1]!hks_fa_ebitda(C87,F87,1,"",100000000))</f>
        <v/>
      </c>
      <c r="BE87" s="23" t="str">
        <f>IF(C87="","",[1]!hks_fa_nogaapprofit(C87,F87,1,"",100000000))</f>
        <v/>
      </c>
      <c r="BF87" s="23" t="str">
        <f>IF(C87="","",[1]!hks_fa_deductedprofit(C87,F87,1,"",100000000))</f>
        <v/>
      </c>
      <c r="BG87" s="23" t="str">
        <f>IF(C87="","",[1]!hks_fa_retainedearnings2(C87,F87,"",100000000))</f>
        <v/>
      </c>
      <c r="BH87" s="23" t="str">
        <f>IF(C87="","",[1]!hks_fa_workingcapital2(C87,F87,"",100000000))</f>
        <v/>
      </c>
      <c r="BI87" s="23" t="str">
        <f>IF(C87="","",[1]!hks_fa_networkingcapital2(C87,F87,"",100000000))</f>
        <v/>
      </c>
      <c r="BJ87" s="23" t="str">
        <f>IF(C87="","",[1]!hks_fa_investcapital2(C87,F87,"",100000000))</f>
        <v/>
      </c>
      <c r="BK87" s="23" t="str">
        <f>IF(C87="","",[1]!hks_fa_tangibleasset2(C87,F87,"",100000000))</f>
        <v/>
      </c>
      <c r="BL87" s="23" t="str">
        <f>IF(C87="","",[1]!hks_fa_netdebt2(C87,F87,"",100000000))</f>
        <v/>
      </c>
      <c r="BM87" s="23" t="str">
        <f>IF(C87="","",[1]!hks_fa_interestdebt2(C87,F87,"",100000000))</f>
        <v/>
      </c>
      <c r="BN87" s="23" t="str">
        <f>IF(C87="","",[1]!hks_fa_exinterestdebt_current(C87,F87,"",100000000))</f>
        <v/>
      </c>
      <c r="BO87" s="23" t="str">
        <f>IF(C87="","",[1]!hks_fa_exinterestdebt_noncurrent2(C87,F87,"",100000000))</f>
        <v/>
      </c>
      <c r="BP87" s="23" t="str">
        <f>IF(C87="","",[1]!hks_fa_fcfe2(C87,F87,"",100000000))</f>
        <v/>
      </c>
      <c r="BQ87" s="23" t="str">
        <f>IF(C87="","",[1]!hks_fa_fcff2(C87,F87,"",100000000))</f>
        <v/>
      </c>
      <c r="BR87" s="35"/>
    </row>
    <row r="88" spans="1:70" s="36" customFormat="1" ht="16.5" x14ac:dyDescent="0.2">
      <c r="A88" s="2"/>
      <c r="B88" s="6"/>
      <c r="C88" s="28" t="str">
        <f>IF(表1[[#This Row],[列1]]="","",表1[[#This Row],[列1]])</f>
        <v/>
      </c>
      <c r="D88" s="19" t="str">
        <f>IF(C88="","",[1]!hks_info_name(C88))</f>
        <v/>
      </c>
      <c r="E88" s="19" t="str">
        <f ca="1">IF(C88="","",[1]!lastradeday_s(C88,TODAY()))</f>
        <v/>
      </c>
      <c r="F88" s="49" t="str">
        <f>IF(C88="","",IF(OR([1]!s_stm_rpt_e(C88,基本资料!$I$8,0)="#N/A",[1]!s_stm_rpt_e(C88,基本资料!$I$8,0)="",[1]!s_stm_rpt_e(C88,基本资料!$I$8,0)=0),[1]!s_stm_rpt_e(C88,基本资料!$I$9,0),[1]!s_stm_rpt_e(C88,基本资料!$I$8,0)))</f>
        <v/>
      </c>
      <c r="G88" s="49" t="str">
        <f>IF(C88="","",[1]!hks_info_cur2(C88,F88))</f>
        <v/>
      </c>
      <c r="H88" s="27" t="str">
        <f>IF(C88="","",[1]!hks_fa_eps_basic(C88,F88,""))</f>
        <v/>
      </c>
      <c r="I88" s="23" t="str">
        <f>IF(C88="","",[1]!hks_fa_eps_adjust2(C88,F88,""))</f>
        <v/>
      </c>
      <c r="J88" s="23" t="str">
        <f>IF(C88="","",[1]!hks_fa_bps(C88,F88,""))</f>
        <v/>
      </c>
      <c r="K88" s="25" t="str">
        <f>IF(C88="","",[1]!hks_fa_ocfps(C88,F88,""))</f>
        <v/>
      </c>
      <c r="L88" s="27" t="str">
        <f>IF(C88="","",[1]!hks_fa_grossprofitmargin(C88,F88))</f>
        <v/>
      </c>
      <c r="M88" s="23" t="str">
        <f>IF(C88="","",[1]!hks_fa_netprofitmargin(C88,F88))</f>
        <v/>
      </c>
      <c r="N88" s="23" t="str">
        <f>IF(C88="","",[1]!hks_fa_roe(C88,F88))</f>
        <v/>
      </c>
      <c r="O88" s="23" t="str">
        <f>IF(C88="","",[1]!hks_fa_roe_deducted(C88,F88))</f>
        <v/>
      </c>
      <c r="P88" s="23" t="str">
        <f>IF(C88="","",[1]!hks_fa_roa2(C88,F88))</f>
        <v/>
      </c>
      <c r="Q88" s="23" t="str">
        <f>IF(C88="","",[1]!hks_fa_roic(C88,F88))</f>
        <v/>
      </c>
      <c r="R88" s="23" t="str">
        <f>IF(C88="","",[1]!hks_fa_dupont_nptosales(C88,F88))</f>
        <v/>
      </c>
      <c r="S88" s="23" t="str">
        <f>IF(C88="","",[1]!hks_fa_dupont_ebittosales(C88,F88))</f>
        <v/>
      </c>
      <c r="T88" s="25" t="str">
        <f>IF(C88="","",[1]!hks_fa_ebitdatosales(C88,F88))</f>
        <v/>
      </c>
      <c r="U88" s="47" t="str">
        <f>IF(C88="","",[1]!hks_fa_optoebt(C88,F88))</f>
        <v/>
      </c>
      <c r="V88" s="25" t="str">
        <f>IF(C88="","",[1]!hks_fa_ocftosales(C88,F88))</f>
        <v/>
      </c>
      <c r="W88" s="27" t="str">
        <f>IF(C88="","",[1]!hks_fa_debttoassets(C88,F88))</f>
        <v/>
      </c>
      <c r="X88" s="23" t="str">
        <f>IF(C88="","",[1]!s_fa_debttoeqy(C88,F88))</f>
        <v/>
      </c>
      <c r="Y88" s="23" t="str">
        <f>IF(C88="","",[1]!hks_fa_catoassets(C88,F88))</f>
        <v/>
      </c>
      <c r="Z88" s="23" t="str">
        <f>IF(C88="","",[1]!hks_fa_ncatoassets(C88,F88))</f>
        <v/>
      </c>
      <c r="AA88" s="23" t="str">
        <f>IF(C88="","",[1]!hks_fa_currentdebttodebt(C88,F88))</f>
        <v/>
      </c>
      <c r="AB88" s="25" t="str">
        <f>IF(C88="","",[1]!hks_fa_longdebtodebt(C88,F88))</f>
        <v/>
      </c>
      <c r="AC88" s="25" t="str">
        <f>IF(C88="","",[1]!hks_fa_current(C88,F88))</f>
        <v/>
      </c>
      <c r="AD88" s="25" t="str">
        <f>IF(C88="","",[1]!hks_fa_quick(C88,F88))</f>
        <v/>
      </c>
      <c r="AE88" s="25" t="str">
        <f>IF(C88="","",[1]!hks_fa_ebittointerest(C88,F88))</f>
        <v/>
      </c>
      <c r="AF88" s="25" t="str">
        <f>IF(C88="","",[1]!hks_fa_netdebtratio(C88,F88))</f>
        <v/>
      </c>
      <c r="AG88" s="27" t="str">
        <f>IF(C88="","",[1]!hks_fa_arturn(C88,F88))</f>
        <v/>
      </c>
      <c r="AH88" s="23" t="str">
        <f>IF(C88="","",[1]!hks_fa_apturn(C88,F88))</f>
        <v/>
      </c>
      <c r="AI88" s="23" t="str">
        <f>IF(C88="","",[1]!hks_fa_invturn(C88,F88))</f>
        <v/>
      </c>
      <c r="AJ88" s="23" t="str">
        <f>IF(C88="","",[1]!hks_fa_caturn(C88,F88))</f>
        <v/>
      </c>
      <c r="AK88" s="23" t="str">
        <f>IF(C88="","",[1]!hks_fa_faturn(C88,F88))</f>
        <v/>
      </c>
      <c r="AL88" s="25" t="str">
        <f>IF(C88="","",[1]!hks_fa_assetsturn(C88,F88))</f>
        <v/>
      </c>
      <c r="AM88" s="23" t="str">
        <f>IF(C88="","",[1]!hks_fa_yoy_tr(C88,F88))</f>
        <v/>
      </c>
      <c r="AN88" s="23" t="str">
        <f>IF(C88="","",[1]!hks_fa_yoy_or(C88,F88))</f>
        <v/>
      </c>
      <c r="AO88" s="23" t="str">
        <f>IF(C88="","",[1]!hks_fa_yoyop2(C88,F88))</f>
        <v/>
      </c>
      <c r="AP88" s="23" t="str">
        <f>IF(C88="","",[1]!hks_fa_yoyebt(C88,F88))</f>
        <v/>
      </c>
      <c r="AQ88" s="23" t="str">
        <f>IF(C88="","",[1]!hks_fa_yoynetprofit(C88,F88))</f>
        <v/>
      </c>
      <c r="AR88" s="23" t="str">
        <f>IF(C88="","",[1]!hks_fa_dupont_np(C88,F88))</f>
        <v/>
      </c>
      <c r="AS88" s="23" t="str">
        <f>IF(C88="","",[1]!hks_fa_dupont_taxburden(C88,F88))</f>
        <v/>
      </c>
      <c r="AT88" s="23" t="str">
        <f>IF(C88="","",[1]!s_fa_dupont_nptosales(C88,F88))</f>
        <v/>
      </c>
      <c r="AU88" s="23" t="str">
        <f>IF(C88="","",[1]!s_fa_dupont_roe(C88,F88))</f>
        <v/>
      </c>
      <c r="AV88" s="23" t="str">
        <f>IF(C88="","",[1]!hks_fa_dupont_intburden(C88,F88))</f>
        <v/>
      </c>
      <c r="AW88" s="23" t="str">
        <f>IF(C88="","",[1]!hks_fa_dupont_assetstoequity(C88,F88))</f>
        <v/>
      </c>
      <c r="AX88" s="23" t="str">
        <f>IF(C88="","",[1]!s_fa_dupont_ebittosales(C88,F88))</f>
        <v/>
      </c>
      <c r="AY88" s="23" t="str">
        <f>IF(C88="","",[1]!hks_fa_assetsturn(C88,F88))</f>
        <v/>
      </c>
      <c r="AZ88" s="23" t="str">
        <f>IF(C88="","",[1]!hks_fa_grossmargin2(C88,F88,"",100000000))</f>
        <v/>
      </c>
      <c r="BA88" s="23" t="str">
        <f>IF(C88="","",[1]!hks_fa_ebit3(C88,F88,1,"",100000000))</f>
        <v/>
      </c>
      <c r="BB88" s="23" t="str">
        <f>IF(C88="","",[1]!hks_fa_ebitda(C88,F88,1,"",100000000))</f>
        <v/>
      </c>
      <c r="BC88" s="23" t="str">
        <f>IF(C88="","",[1]!hks_fa_ebit(C88,F88,1,"",100000000))</f>
        <v/>
      </c>
      <c r="BD88" s="23" t="str">
        <f>IF(C88="","",[1]!hks_fa_ebitda(C88,F88,1,"",100000000))</f>
        <v/>
      </c>
      <c r="BE88" s="23" t="str">
        <f>IF(C88="","",[1]!hks_fa_nogaapprofit(C88,F88,1,"",100000000))</f>
        <v/>
      </c>
      <c r="BF88" s="23" t="str">
        <f>IF(C88="","",[1]!hks_fa_deductedprofit(C88,F88,1,"",100000000))</f>
        <v/>
      </c>
      <c r="BG88" s="23" t="str">
        <f>IF(C88="","",[1]!hks_fa_retainedearnings2(C88,F88,"",100000000))</f>
        <v/>
      </c>
      <c r="BH88" s="23" t="str">
        <f>IF(C88="","",[1]!hks_fa_workingcapital2(C88,F88,"",100000000))</f>
        <v/>
      </c>
      <c r="BI88" s="23" t="str">
        <f>IF(C88="","",[1]!hks_fa_networkingcapital2(C88,F88,"",100000000))</f>
        <v/>
      </c>
      <c r="BJ88" s="23" t="str">
        <f>IF(C88="","",[1]!hks_fa_investcapital2(C88,F88,"",100000000))</f>
        <v/>
      </c>
      <c r="BK88" s="23" t="str">
        <f>IF(C88="","",[1]!hks_fa_tangibleasset2(C88,F88,"",100000000))</f>
        <v/>
      </c>
      <c r="BL88" s="23" t="str">
        <f>IF(C88="","",[1]!hks_fa_netdebt2(C88,F88,"",100000000))</f>
        <v/>
      </c>
      <c r="BM88" s="23" t="str">
        <f>IF(C88="","",[1]!hks_fa_interestdebt2(C88,F88,"",100000000))</f>
        <v/>
      </c>
      <c r="BN88" s="23" t="str">
        <f>IF(C88="","",[1]!hks_fa_exinterestdebt_current(C88,F88,"",100000000))</f>
        <v/>
      </c>
      <c r="BO88" s="23" t="str">
        <f>IF(C88="","",[1]!hks_fa_exinterestdebt_noncurrent2(C88,F88,"",100000000))</f>
        <v/>
      </c>
      <c r="BP88" s="23" t="str">
        <f>IF(C88="","",[1]!hks_fa_fcfe2(C88,F88,"",100000000))</f>
        <v/>
      </c>
      <c r="BQ88" s="23" t="str">
        <f>IF(C88="","",[1]!hks_fa_fcff2(C88,F88,"",100000000))</f>
        <v/>
      </c>
      <c r="BR88" s="35"/>
    </row>
    <row r="89" spans="1:70" s="36" customFormat="1" ht="16.5" x14ac:dyDescent="0.2">
      <c r="A89" s="2"/>
      <c r="B89" s="6"/>
      <c r="C89" s="28" t="str">
        <f>IF(表1[[#This Row],[列1]]="","",表1[[#This Row],[列1]])</f>
        <v/>
      </c>
      <c r="D89" s="19" t="str">
        <f>IF(C89="","",[1]!hks_info_name(C89))</f>
        <v/>
      </c>
      <c r="E89" s="19" t="str">
        <f ca="1">IF(C89="","",[1]!lastradeday_s(C89,TODAY()))</f>
        <v/>
      </c>
      <c r="F89" s="49" t="str">
        <f>IF(C89="","",IF(OR([1]!s_stm_rpt_e(C89,基本资料!$I$8,0)="#N/A",[1]!s_stm_rpt_e(C89,基本资料!$I$8,0)="",[1]!s_stm_rpt_e(C89,基本资料!$I$8,0)=0),[1]!s_stm_rpt_e(C89,基本资料!$I$9,0),[1]!s_stm_rpt_e(C89,基本资料!$I$8,0)))</f>
        <v/>
      </c>
      <c r="G89" s="49" t="str">
        <f>IF(C89="","",[1]!hks_info_cur2(C89,F89))</f>
        <v/>
      </c>
      <c r="H89" s="27" t="str">
        <f>IF(C89="","",[1]!hks_fa_eps_basic(C89,F89,""))</f>
        <v/>
      </c>
      <c r="I89" s="23" t="str">
        <f>IF(C89="","",[1]!hks_fa_eps_adjust2(C89,F89,""))</f>
        <v/>
      </c>
      <c r="J89" s="23" t="str">
        <f>IF(C89="","",[1]!hks_fa_bps(C89,F89,""))</f>
        <v/>
      </c>
      <c r="K89" s="25" t="str">
        <f>IF(C89="","",[1]!hks_fa_ocfps(C89,F89,""))</f>
        <v/>
      </c>
      <c r="L89" s="27" t="str">
        <f>IF(C89="","",[1]!hks_fa_grossprofitmargin(C89,F89))</f>
        <v/>
      </c>
      <c r="M89" s="23" t="str">
        <f>IF(C89="","",[1]!hks_fa_netprofitmargin(C89,F89))</f>
        <v/>
      </c>
      <c r="N89" s="23" t="str">
        <f>IF(C89="","",[1]!hks_fa_roe(C89,F89))</f>
        <v/>
      </c>
      <c r="O89" s="23" t="str">
        <f>IF(C89="","",[1]!hks_fa_roe_deducted(C89,F89))</f>
        <v/>
      </c>
      <c r="P89" s="23" t="str">
        <f>IF(C89="","",[1]!hks_fa_roa2(C89,F89))</f>
        <v/>
      </c>
      <c r="Q89" s="23" t="str">
        <f>IF(C89="","",[1]!hks_fa_roic(C89,F89))</f>
        <v/>
      </c>
      <c r="R89" s="23" t="str">
        <f>IF(C89="","",[1]!hks_fa_dupont_nptosales(C89,F89))</f>
        <v/>
      </c>
      <c r="S89" s="23" t="str">
        <f>IF(C89="","",[1]!hks_fa_dupont_ebittosales(C89,F89))</f>
        <v/>
      </c>
      <c r="T89" s="25" t="str">
        <f>IF(C89="","",[1]!hks_fa_ebitdatosales(C89,F89))</f>
        <v/>
      </c>
      <c r="U89" s="47" t="str">
        <f>IF(C89="","",[1]!hks_fa_optoebt(C89,F89))</f>
        <v/>
      </c>
      <c r="V89" s="25" t="str">
        <f>IF(C89="","",[1]!hks_fa_ocftosales(C89,F89))</f>
        <v/>
      </c>
      <c r="W89" s="27" t="str">
        <f>IF(C89="","",[1]!hks_fa_debttoassets(C89,F89))</f>
        <v/>
      </c>
      <c r="X89" s="23" t="str">
        <f>IF(C89="","",[1]!s_fa_debttoeqy(C89,F89))</f>
        <v/>
      </c>
      <c r="Y89" s="23" t="str">
        <f>IF(C89="","",[1]!hks_fa_catoassets(C89,F89))</f>
        <v/>
      </c>
      <c r="Z89" s="23" t="str">
        <f>IF(C89="","",[1]!hks_fa_ncatoassets(C89,F89))</f>
        <v/>
      </c>
      <c r="AA89" s="23" t="str">
        <f>IF(C89="","",[1]!hks_fa_currentdebttodebt(C89,F89))</f>
        <v/>
      </c>
      <c r="AB89" s="25" t="str">
        <f>IF(C89="","",[1]!hks_fa_longdebtodebt(C89,F89))</f>
        <v/>
      </c>
      <c r="AC89" s="25" t="str">
        <f>IF(C89="","",[1]!hks_fa_current(C89,F89))</f>
        <v/>
      </c>
      <c r="AD89" s="25" t="str">
        <f>IF(C89="","",[1]!hks_fa_quick(C89,F89))</f>
        <v/>
      </c>
      <c r="AE89" s="25" t="str">
        <f>IF(C89="","",[1]!hks_fa_ebittointerest(C89,F89))</f>
        <v/>
      </c>
      <c r="AF89" s="25" t="str">
        <f>IF(C89="","",[1]!hks_fa_netdebtratio(C89,F89))</f>
        <v/>
      </c>
      <c r="AG89" s="27" t="str">
        <f>IF(C89="","",[1]!hks_fa_arturn(C89,F89))</f>
        <v/>
      </c>
      <c r="AH89" s="23" t="str">
        <f>IF(C89="","",[1]!hks_fa_apturn(C89,F89))</f>
        <v/>
      </c>
      <c r="AI89" s="23" t="str">
        <f>IF(C89="","",[1]!hks_fa_invturn(C89,F89))</f>
        <v/>
      </c>
      <c r="AJ89" s="23" t="str">
        <f>IF(C89="","",[1]!hks_fa_caturn(C89,F89))</f>
        <v/>
      </c>
      <c r="AK89" s="23" t="str">
        <f>IF(C89="","",[1]!hks_fa_faturn(C89,F89))</f>
        <v/>
      </c>
      <c r="AL89" s="25" t="str">
        <f>IF(C89="","",[1]!hks_fa_assetsturn(C89,F89))</f>
        <v/>
      </c>
      <c r="AM89" s="23" t="str">
        <f>IF(C89="","",[1]!hks_fa_yoy_tr(C89,F89))</f>
        <v/>
      </c>
      <c r="AN89" s="23" t="str">
        <f>IF(C89="","",[1]!hks_fa_yoy_or(C89,F89))</f>
        <v/>
      </c>
      <c r="AO89" s="23" t="str">
        <f>IF(C89="","",[1]!hks_fa_yoyop2(C89,F89))</f>
        <v/>
      </c>
      <c r="AP89" s="23" t="str">
        <f>IF(C89="","",[1]!hks_fa_yoyebt(C89,F89))</f>
        <v/>
      </c>
      <c r="AQ89" s="23" t="str">
        <f>IF(C89="","",[1]!hks_fa_yoynetprofit(C89,F89))</f>
        <v/>
      </c>
      <c r="AR89" s="23" t="str">
        <f>IF(C89="","",[1]!hks_fa_dupont_np(C89,F89))</f>
        <v/>
      </c>
      <c r="AS89" s="23" t="str">
        <f>IF(C89="","",[1]!hks_fa_dupont_taxburden(C89,F89))</f>
        <v/>
      </c>
      <c r="AT89" s="23" t="str">
        <f>IF(C89="","",[1]!s_fa_dupont_nptosales(C89,F89))</f>
        <v/>
      </c>
      <c r="AU89" s="23" t="str">
        <f>IF(C89="","",[1]!s_fa_dupont_roe(C89,F89))</f>
        <v/>
      </c>
      <c r="AV89" s="23" t="str">
        <f>IF(C89="","",[1]!hks_fa_dupont_intburden(C89,F89))</f>
        <v/>
      </c>
      <c r="AW89" s="23" t="str">
        <f>IF(C89="","",[1]!hks_fa_dupont_assetstoequity(C89,F89))</f>
        <v/>
      </c>
      <c r="AX89" s="23" t="str">
        <f>IF(C89="","",[1]!s_fa_dupont_ebittosales(C89,F89))</f>
        <v/>
      </c>
      <c r="AY89" s="23" t="str">
        <f>IF(C89="","",[1]!hks_fa_assetsturn(C89,F89))</f>
        <v/>
      </c>
      <c r="AZ89" s="23" t="str">
        <f>IF(C89="","",[1]!hks_fa_grossmargin2(C89,F89,"",100000000))</f>
        <v/>
      </c>
      <c r="BA89" s="23" t="str">
        <f>IF(C89="","",[1]!hks_fa_ebit3(C89,F89,1,"",100000000))</f>
        <v/>
      </c>
      <c r="BB89" s="23" t="str">
        <f>IF(C89="","",[1]!hks_fa_ebitda(C89,F89,1,"",100000000))</f>
        <v/>
      </c>
      <c r="BC89" s="23" t="str">
        <f>IF(C89="","",[1]!hks_fa_ebit(C89,F89,1,"",100000000))</f>
        <v/>
      </c>
      <c r="BD89" s="23" t="str">
        <f>IF(C89="","",[1]!hks_fa_ebitda(C89,F89,1,"",100000000))</f>
        <v/>
      </c>
      <c r="BE89" s="23" t="str">
        <f>IF(C89="","",[1]!hks_fa_nogaapprofit(C89,F89,1,"",100000000))</f>
        <v/>
      </c>
      <c r="BF89" s="23" t="str">
        <f>IF(C89="","",[1]!hks_fa_deductedprofit(C89,F89,1,"",100000000))</f>
        <v/>
      </c>
      <c r="BG89" s="23" t="str">
        <f>IF(C89="","",[1]!hks_fa_retainedearnings2(C89,F89,"",100000000))</f>
        <v/>
      </c>
      <c r="BH89" s="23" t="str">
        <f>IF(C89="","",[1]!hks_fa_workingcapital2(C89,F89,"",100000000))</f>
        <v/>
      </c>
      <c r="BI89" s="23" t="str">
        <f>IF(C89="","",[1]!hks_fa_networkingcapital2(C89,F89,"",100000000))</f>
        <v/>
      </c>
      <c r="BJ89" s="23" t="str">
        <f>IF(C89="","",[1]!hks_fa_investcapital2(C89,F89,"",100000000))</f>
        <v/>
      </c>
      <c r="BK89" s="23" t="str">
        <f>IF(C89="","",[1]!hks_fa_tangibleasset2(C89,F89,"",100000000))</f>
        <v/>
      </c>
      <c r="BL89" s="23" t="str">
        <f>IF(C89="","",[1]!hks_fa_netdebt2(C89,F89,"",100000000))</f>
        <v/>
      </c>
      <c r="BM89" s="23" t="str">
        <f>IF(C89="","",[1]!hks_fa_interestdebt2(C89,F89,"",100000000))</f>
        <v/>
      </c>
      <c r="BN89" s="23" t="str">
        <f>IF(C89="","",[1]!hks_fa_exinterestdebt_current(C89,F89,"",100000000))</f>
        <v/>
      </c>
      <c r="BO89" s="23" t="str">
        <f>IF(C89="","",[1]!hks_fa_exinterestdebt_noncurrent2(C89,F89,"",100000000))</f>
        <v/>
      </c>
      <c r="BP89" s="23" t="str">
        <f>IF(C89="","",[1]!hks_fa_fcfe2(C89,F89,"",100000000))</f>
        <v/>
      </c>
      <c r="BQ89" s="23" t="str">
        <f>IF(C89="","",[1]!hks_fa_fcff2(C89,F89,"",100000000))</f>
        <v/>
      </c>
      <c r="BR89" s="35"/>
    </row>
    <row r="90" spans="1:70" s="36" customFormat="1" ht="16.5" x14ac:dyDescent="0.2">
      <c r="A90" s="2"/>
      <c r="B90" s="6"/>
      <c r="C90" s="28" t="str">
        <f>IF(表1[[#This Row],[列1]]="","",表1[[#This Row],[列1]])</f>
        <v/>
      </c>
      <c r="D90" s="19" t="str">
        <f>IF(C90="","",[1]!hks_info_name(C90))</f>
        <v/>
      </c>
      <c r="E90" s="19" t="str">
        <f ca="1">IF(C90="","",[1]!lastradeday_s(C90,TODAY()))</f>
        <v/>
      </c>
      <c r="F90" s="49" t="str">
        <f>IF(C90="","",IF(OR([1]!s_stm_rpt_e(C90,基本资料!$I$8,0)="#N/A",[1]!s_stm_rpt_e(C90,基本资料!$I$8,0)="",[1]!s_stm_rpt_e(C90,基本资料!$I$8,0)=0),[1]!s_stm_rpt_e(C90,基本资料!$I$9,0),[1]!s_stm_rpt_e(C90,基本资料!$I$8,0)))</f>
        <v/>
      </c>
      <c r="G90" s="49" t="str">
        <f>IF(C90="","",[1]!hks_info_cur2(C90,F90))</f>
        <v/>
      </c>
      <c r="H90" s="27" t="str">
        <f>IF(C90="","",[1]!hks_fa_eps_basic(C90,F90,""))</f>
        <v/>
      </c>
      <c r="I90" s="23" t="str">
        <f>IF(C90="","",[1]!hks_fa_eps_adjust2(C90,F90,""))</f>
        <v/>
      </c>
      <c r="J90" s="23" t="str">
        <f>IF(C90="","",[1]!hks_fa_bps(C90,F90,""))</f>
        <v/>
      </c>
      <c r="K90" s="25" t="str">
        <f>IF(C90="","",[1]!hks_fa_ocfps(C90,F90,""))</f>
        <v/>
      </c>
      <c r="L90" s="27" t="str">
        <f>IF(C90="","",[1]!hks_fa_grossprofitmargin(C90,F90))</f>
        <v/>
      </c>
      <c r="M90" s="23" t="str">
        <f>IF(C90="","",[1]!hks_fa_netprofitmargin(C90,F90))</f>
        <v/>
      </c>
      <c r="N90" s="23" t="str">
        <f>IF(C90="","",[1]!hks_fa_roe(C90,F90))</f>
        <v/>
      </c>
      <c r="O90" s="23" t="str">
        <f>IF(C90="","",[1]!hks_fa_roe_deducted(C90,F90))</f>
        <v/>
      </c>
      <c r="P90" s="23" t="str">
        <f>IF(C90="","",[1]!hks_fa_roa2(C90,F90))</f>
        <v/>
      </c>
      <c r="Q90" s="23" t="str">
        <f>IF(C90="","",[1]!hks_fa_roic(C90,F90))</f>
        <v/>
      </c>
      <c r="R90" s="23" t="str">
        <f>IF(C90="","",[1]!hks_fa_dupont_nptosales(C90,F90))</f>
        <v/>
      </c>
      <c r="S90" s="23" t="str">
        <f>IF(C90="","",[1]!hks_fa_dupont_ebittosales(C90,F90))</f>
        <v/>
      </c>
      <c r="T90" s="25" t="str">
        <f>IF(C90="","",[1]!hks_fa_ebitdatosales(C90,F90))</f>
        <v/>
      </c>
      <c r="U90" s="47" t="str">
        <f>IF(C90="","",[1]!hks_fa_optoebt(C90,F90))</f>
        <v/>
      </c>
      <c r="V90" s="25" t="str">
        <f>IF(C90="","",[1]!hks_fa_ocftosales(C90,F90))</f>
        <v/>
      </c>
      <c r="W90" s="27" t="str">
        <f>IF(C90="","",[1]!hks_fa_debttoassets(C90,F90))</f>
        <v/>
      </c>
      <c r="X90" s="23" t="str">
        <f>IF(C90="","",[1]!s_fa_debttoeqy(C90,F90))</f>
        <v/>
      </c>
      <c r="Y90" s="23" t="str">
        <f>IF(C90="","",[1]!hks_fa_catoassets(C90,F90))</f>
        <v/>
      </c>
      <c r="Z90" s="23" t="str">
        <f>IF(C90="","",[1]!hks_fa_ncatoassets(C90,F90))</f>
        <v/>
      </c>
      <c r="AA90" s="23" t="str">
        <f>IF(C90="","",[1]!hks_fa_currentdebttodebt(C90,F90))</f>
        <v/>
      </c>
      <c r="AB90" s="25" t="str">
        <f>IF(C90="","",[1]!hks_fa_longdebtodebt(C90,F90))</f>
        <v/>
      </c>
      <c r="AC90" s="25" t="str">
        <f>IF(C90="","",[1]!hks_fa_current(C90,F90))</f>
        <v/>
      </c>
      <c r="AD90" s="25" t="str">
        <f>IF(C90="","",[1]!hks_fa_quick(C90,F90))</f>
        <v/>
      </c>
      <c r="AE90" s="25" t="str">
        <f>IF(C90="","",[1]!hks_fa_ebittointerest(C90,F90))</f>
        <v/>
      </c>
      <c r="AF90" s="25" t="str">
        <f>IF(C90="","",[1]!hks_fa_netdebtratio(C90,F90))</f>
        <v/>
      </c>
      <c r="AG90" s="27" t="str">
        <f>IF(C90="","",[1]!hks_fa_arturn(C90,F90))</f>
        <v/>
      </c>
      <c r="AH90" s="23" t="str">
        <f>IF(C90="","",[1]!hks_fa_apturn(C90,F90))</f>
        <v/>
      </c>
      <c r="AI90" s="23" t="str">
        <f>IF(C90="","",[1]!hks_fa_invturn(C90,F90))</f>
        <v/>
      </c>
      <c r="AJ90" s="23" t="str">
        <f>IF(C90="","",[1]!hks_fa_caturn(C90,F90))</f>
        <v/>
      </c>
      <c r="AK90" s="23" t="str">
        <f>IF(C90="","",[1]!hks_fa_faturn(C90,F90))</f>
        <v/>
      </c>
      <c r="AL90" s="25" t="str">
        <f>IF(C90="","",[1]!hks_fa_assetsturn(C90,F90))</f>
        <v/>
      </c>
      <c r="AM90" s="23" t="str">
        <f>IF(C90="","",[1]!hks_fa_yoy_tr(C90,F90))</f>
        <v/>
      </c>
      <c r="AN90" s="23" t="str">
        <f>IF(C90="","",[1]!hks_fa_yoy_or(C90,F90))</f>
        <v/>
      </c>
      <c r="AO90" s="23" t="str">
        <f>IF(C90="","",[1]!hks_fa_yoyop2(C90,F90))</f>
        <v/>
      </c>
      <c r="AP90" s="23" t="str">
        <f>IF(C90="","",[1]!hks_fa_yoyebt(C90,F90))</f>
        <v/>
      </c>
      <c r="AQ90" s="23" t="str">
        <f>IF(C90="","",[1]!hks_fa_yoynetprofit(C90,F90))</f>
        <v/>
      </c>
      <c r="AR90" s="23" t="str">
        <f>IF(C90="","",[1]!hks_fa_dupont_np(C90,F90))</f>
        <v/>
      </c>
      <c r="AS90" s="23" t="str">
        <f>IF(C90="","",[1]!hks_fa_dupont_taxburden(C90,F90))</f>
        <v/>
      </c>
      <c r="AT90" s="23" t="str">
        <f>IF(C90="","",[1]!s_fa_dupont_nptosales(C90,F90))</f>
        <v/>
      </c>
      <c r="AU90" s="23" t="str">
        <f>IF(C90="","",[1]!s_fa_dupont_roe(C90,F90))</f>
        <v/>
      </c>
      <c r="AV90" s="23" t="str">
        <f>IF(C90="","",[1]!hks_fa_dupont_intburden(C90,F90))</f>
        <v/>
      </c>
      <c r="AW90" s="23" t="str">
        <f>IF(C90="","",[1]!hks_fa_dupont_assetstoequity(C90,F90))</f>
        <v/>
      </c>
      <c r="AX90" s="23" t="str">
        <f>IF(C90="","",[1]!s_fa_dupont_ebittosales(C90,F90))</f>
        <v/>
      </c>
      <c r="AY90" s="23" t="str">
        <f>IF(C90="","",[1]!hks_fa_assetsturn(C90,F90))</f>
        <v/>
      </c>
      <c r="AZ90" s="23" t="str">
        <f>IF(C90="","",[1]!hks_fa_grossmargin2(C90,F90,"",100000000))</f>
        <v/>
      </c>
      <c r="BA90" s="23" t="str">
        <f>IF(C90="","",[1]!hks_fa_ebit3(C90,F90,1,"",100000000))</f>
        <v/>
      </c>
      <c r="BB90" s="23" t="str">
        <f>IF(C90="","",[1]!hks_fa_ebitda(C90,F90,1,"",100000000))</f>
        <v/>
      </c>
      <c r="BC90" s="23" t="str">
        <f>IF(C90="","",[1]!hks_fa_ebit(C90,F90,1,"",100000000))</f>
        <v/>
      </c>
      <c r="BD90" s="23" t="str">
        <f>IF(C90="","",[1]!hks_fa_ebitda(C90,F90,1,"",100000000))</f>
        <v/>
      </c>
      <c r="BE90" s="23" t="str">
        <f>IF(C90="","",[1]!hks_fa_nogaapprofit(C90,F90,1,"",100000000))</f>
        <v/>
      </c>
      <c r="BF90" s="23" t="str">
        <f>IF(C90="","",[1]!hks_fa_deductedprofit(C90,F90,1,"",100000000))</f>
        <v/>
      </c>
      <c r="BG90" s="23" t="str">
        <f>IF(C90="","",[1]!hks_fa_retainedearnings2(C90,F90,"",100000000))</f>
        <v/>
      </c>
      <c r="BH90" s="23" t="str">
        <f>IF(C90="","",[1]!hks_fa_workingcapital2(C90,F90,"",100000000))</f>
        <v/>
      </c>
      <c r="BI90" s="23" t="str">
        <f>IF(C90="","",[1]!hks_fa_networkingcapital2(C90,F90,"",100000000))</f>
        <v/>
      </c>
      <c r="BJ90" s="23" t="str">
        <f>IF(C90="","",[1]!hks_fa_investcapital2(C90,F90,"",100000000))</f>
        <v/>
      </c>
      <c r="BK90" s="23" t="str">
        <f>IF(C90="","",[1]!hks_fa_tangibleasset2(C90,F90,"",100000000))</f>
        <v/>
      </c>
      <c r="BL90" s="23" t="str">
        <f>IF(C90="","",[1]!hks_fa_netdebt2(C90,F90,"",100000000))</f>
        <v/>
      </c>
      <c r="BM90" s="23" t="str">
        <f>IF(C90="","",[1]!hks_fa_interestdebt2(C90,F90,"",100000000))</f>
        <v/>
      </c>
      <c r="BN90" s="23" t="str">
        <f>IF(C90="","",[1]!hks_fa_exinterestdebt_current(C90,F90,"",100000000))</f>
        <v/>
      </c>
      <c r="BO90" s="23" t="str">
        <f>IF(C90="","",[1]!hks_fa_exinterestdebt_noncurrent2(C90,F90,"",100000000))</f>
        <v/>
      </c>
      <c r="BP90" s="23" t="str">
        <f>IF(C90="","",[1]!hks_fa_fcfe2(C90,F90,"",100000000))</f>
        <v/>
      </c>
      <c r="BQ90" s="23" t="str">
        <f>IF(C90="","",[1]!hks_fa_fcff2(C90,F90,"",100000000))</f>
        <v/>
      </c>
      <c r="BR90" s="35"/>
    </row>
    <row r="91" spans="1:70" s="36" customFormat="1" ht="16.5" x14ac:dyDescent="0.2">
      <c r="A91" s="2"/>
      <c r="B91" s="6"/>
      <c r="C91" s="28" t="str">
        <f>IF(表1[[#This Row],[列1]]="","",表1[[#This Row],[列1]])</f>
        <v/>
      </c>
      <c r="D91" s="19" t="str">
        <f>IF(C91="","",[1]!hks_info_name(C91))</f>
        <v/>
      </c>
      <c r="E91" s="19" t="str">
        <f ca="1">IF(C91="","",[1]!lastradeday_s(C91,TODAY()))</f>
        <v/>
      </c>
      <c r="F91" s="49" t="str">
        <f>IF(C91="","",IF(OR([1]!s_stm_rpt_e(C91,基本资料!$I$8,0)="#N/A",[1]!s_stm_rpt_e(C91,基本资料!$I$8,0)="",[1]!s_stm_rpt_e(C91,基本资料!$I$8,0)=0),[1]!s_stm_rpt_e(C91,基本资料!$I$9,0),[1]!s_stm_rpt_e(C91,基本资料!$I$8,0)))</f>
        <v/>
      </c>
      <c r="G91" s="49" t="str">
        <f>IF(C91="","",[1]!hks_info_cur2(C91,F91))</f>
        <v/>
      </c>
      <c r="H91" s="27" t="str">
        <f>IF(C91="","",[1]!hks_fa_eps_basic(C91,F91,""))</f>
        <v/>
      </c>
      <c r="I91" s="23" t="str">
        <f>IF(C91="","",[1]!hks_fa_eps_adjust2(C91,F91,""))</f>
        <v/>
      </c>
      <c r="J91" s="23" t="str">
        <f>IF(C91="","",[1]!hks_fa_bps(C91,F91,""))</f>
        <v/>
      </c>
      <c r="K91" s="25" t="str">
        <f>IF(C91="","",[1]!hks_fa_ocfps(C91,F91,""))</f>
        <v/>
      </c>
      <c r="L91" s="27" t="str">
        <f>IF(C91="","",[1]!hks_fa_grossprofitmargin(C91,F91))</f>
        <v/>
      </c>
      <c r="M91" s="23" t="str">
        <f>IF(C91="","",[1]!hks_fa_netprofitmargin(C91,F91))</f>
        <v/>
      </c>
      <c r="N91" s="23" t="str">
        <f>IF(C91="","",[1]!hks_fa_roe(C91,F91))</f>
        <v/>
      </c>
      <c r="O91" s="23" t="str">
        <f>IF(C91="","",[1]!hks_fa_roe_deducted(C91,F91))</f>
        <v/>
      </c>
      <c r="P91" s="23" t="str">
        <f>IF(C91="","",[1]!hks_fa_roa2(C91,F91))</f>
        <v/>
      </c>
      <c r="Q91" s="23" t="str">
        <f>IF(C91="","",[1]!hks_fa_roic(C91,F91))</f>
        <v/>
      </c>
      <c r="R91" s="23" t="str">
        <f>IF(C91="","",[1]!hks_fa_dupont_nptosales(C91,F91))</f>
        <v/>
      </c>
      <c r="S91" s="23" t="str">
        <f>IF(C91="","",[1]!hks_fa_dupont_ebittosales(C91,F91))</f>
        <v/>
      </c>
      <c r="T91" s="25" t="str">
        <f>IF(C91="","",[1]!hks_fa_ebitdatosales(C91,F91))</f>
        <v/>
      </c>
      <c r="U91" s="47" t="str">
        <f>IF(C91="","",[1]!hks_fa_optoebt(C91,F91))</f>
        <v/>
      </c>
      <c r="V91" s="25" t="str">
        <f>IF(C91="","",[1]!hks_fa_ocftosales(C91,F91))</f>
        <v/>
      </c>
      <c r="W91" s="27" t="str">
        <f>IF(C91="","",[1]!hks_fa_debttoassets(C91,F91))</f>
        <v/>
      </c>
      <c r="X91" s="23" t="str">
        <f>IF(C91="","",[1]!s_fa_debttoeqy(C91,F91))</f>
        <v/>
      </c>
      <c r="Y91" s="23" t="str">
        <f>IF(C91="","",[1]!hks_fa_catoassets(C91,F91))</f>
        <v/>
      </c>
      <c r="Z91" s="23" t="str">
        <f>IF(C91="","",[1]!hks_fa_ncatoassets(C91,F91))</f>
        <v/>
      </c>
      <c r="AA91" s="23" t="str">
        <f>IF(C91="","",[1]!hks_fa_currentdebttodebt(C91,F91))</f>
        <v/>
      </c>
      <c r="AB91" s="25" t="str">
        <f>IF(C91="","",[1]!hks_fa_longdebtodebt(C91,F91))</f>
        <v/>
      </c>
      <c r="AC91" s="25" t="str">
        <f>IF(C91="","",[1]!hks_fa_current(C91,F91))</f>
        <v/>
      </c>
      <c r="AD91" s="25" t="str">
        <f>IF(C91="","",[1]!hks_fa_quick(C91,F91))</f>
        <v/>
      </c>
      <c r="AE91" s="25" t="str">
        <f>IF(C91="","",[1]!hks_fa_ebittointerest(C91,F91))</f>
        <v/>
      </c>
      <c r="AF91" s="25" t="str">
        <f>IF(C91="","",[1]!hks_fa_netdebtratio(C91,F91))</f>
        <v/>
      </c>
      <c r="AG91" s="27" t="str">
        <f>IF(C91="","",[1]!hks_fa_arturn(C91,F91))</f>
        <v/>
      </c>
      <c r="AH91" s="23" t="str">
        <f>IF(C91="","",[1]!hks_fa_apturn(C91,F91))</f>
        <v/>
      </c>
      <c r="AI91" s="23" t="str">
        <f>IF(C91="","",[1]!hks_fa_invturn(C91,F91))</f>
        <v/>
      </c>
      <c r="AJ91" s="23" t="str">
        <f>IF(C91="","",[1]!hks_fa_caturn(C91,F91))</f>
        <v/>
      </c>
      <c r="AK91" s="23" t="str">
        <f>IF(C91="","",[1]!hks_fa_faturn(C91,F91))</f>
        <v/>
      </c>
      <c r="AL91" s="25" t="str">
        <f>IF(C91="","",[1]!hks_fa_assetsturn(C91,F91))</f>
        <v/>
      </c>
      <c r="AM91" s="23" t="str">
        <f>IF(C91="","",[1]!hks_fa_yoy_tr(C91,F91))</f>
        <v/>
      </c>
      <c r="AN91" s="23" t="str">
        <f>IF(C91="","",[1]!hks_fa_yoy_or(C91,F91))</f>
        <v/>
      </c>
      <c r="AO91" s="23" t="str">
        <f>IF(C91="","",[1]!hks_fa_yoyop2(C91,F91))</f>
        <v/>
      </c>
      <c r="AP91" s="23" t="str">
        <f>IF(C91="","",[1]!hks_fa_yoyebt(C91,F91))</f>
        <v/>
      </c>
      <c r="AQ91" s="23" t="str">
        <f>IF(C91="","",[1]!hks_fa_yoynetprofit(C91,F91))</f>
        <v/>
      </c>
      <c r="AR91" s="23" t="str">
        <f>IF(C91="","",[1]!hks_fa_dupont_np(C91,F91))</f>
        <v/>
      </c>
      <c r="AS91" s="23" t="str">
        <f>IF(C91="","",[1]!hks_fa_dupont_taxburden(C91,F91))</f>
        <v/>
      </c>
      <c r="AT91" s="23" t="str">
        <f>IF(C91="","",[1]!s_fa_dupont_nptosales(C91,F91))</f>
        <v/>
      </c>
      <c r="AU91" s="23" t="str">
        <f>IF(C91="","",[1]!s_fa_dupont_roe(C91,F91))</f>
        <v/>
      </c>
      <c r="AV91" s="23" t="str">
        <f>IF(C91="","",[1]!hks_fa_dupont_intburden(C91,F91))</f>
        <v/>
      </c>
      <c r="AW91" s="23" t="str">
        <f>IF(C91="","",[1]!hks_fa_dupont_assetstoequity(C91,F91))</f>
        <v/>
      </c>
      <c r="AX91" s="23" t="str">
        <f>IF(C91="","",[1]!s_fa_dupont_ebittosales(C91,F91))</f>
        <v/>
      </c>
      <c r="AY91" s="23" t="str">
        <f>IF(C91="","",[1]!hks_fa_assetsturn(C91,F91))</f>
        <v/>
      </c>
      <c r="AZ91" s="23" t="str">
        <f>IF(C91="","",[1]!hks_fa_grossmargin2(C91,F91,"",100000000))</f>
        <v/>
      </c>
      <c r="BA91" s="23" t="str">
        <f>IF(C91="","",[1]!hks_fa_ebit3(C91,F91,1,"",100000000))</f>
        <v/>
      </c>
      <c r="BB91" s="23" t="str">
        <f>IF(C91="","",[1]!hks_fa_ebitda(C91,F91,1,"",100000000))</f>
        <v/>
      </c>
      <c r="BC91" s="23" t="str">
        <f>IF(C91="","",[1]!hks_fa_ebit(C91,F91,1,"",100000000))</f>
        <v/>
      </c>
      <c r="BD91" s="23" t="str">
        <f>IF(C91="","",[1]!hks_fa_ebitda(C91,F91,1,"",100000000))</f>
        <v/>
      </c>
      <c r="BE91" s="23" t="str">
        <f>IF(C91="","",[1]!hks_fa_nogaapprofit(C91,F91,1,"",100000000))</f>
        <v/>
      </c>
      <c r="BF91" s="23" t="str">
        <f>IF(C91="","",[1]!hks_fa_deductedprofit(C91,F91,1,"",100000000))</f>
        <v/>
      </c>
      <c r="BG91" s="23" t="str">
        <f>IF(C91="","",[1]!hks_fa_retainedearnings2(C91,F91,"",100000000))</f>
        <v/>
      </c>
      <c r="BH91" s="23" t="str">
        <f>IF(C91="","",[1]!hks_fa_workingcapital2(C91,F91,"",100000000))</f>
        <v/>
      </c>
      <c r="BI91" s="23" t="str">
        <f>IF(C91="","",[1]!hks_fa_networkingcapital2(C91,F91,"",100000000))</f>
        <v/>
      </c>
      <c r="BJ91" s="23" t="str">
        <f>IF(C91="","",[1]!hks_fa_investcapital2(C91,F91,"",100000000))</f>
        <v/>
      </c>
      <c r="BK91" s="23" t="str">
        <f>IF(C91="","",[1]!hks_fa_tangibleasset2(C91,F91,"",100000000))</f>
        <v/>
      </c>
      <c r="BL91" s="23" t="str">
        <f>IF(C91="","",[1]!hks_fa_netdebt2(C91,F91,"",100000000))</f>
        <v/>
      </c>
      <c r="BM91" s="23" t="str">
        <f>IF(C91="","",[1]!hks_fa_interestdebt2(C91,F91,"",100000000))</f>
        <v/>
      </c>
      <c r="BN91" s="23" t="str">
        <f>IF(C91="","",[1]!hks_fa_exinterestdebt_current(C91,F91,"",100000000))</f>
        <v/>
      </c>
      <c r="BO91" s="23" t="str">
        <f>IF(C91="","",[1]!hks_fa_exinterestdebt_noncurrent2(C91,F91,"",100000000))</f>
        <v/>
      </c>
      <c r="BP91" s="23" t="str">
        <f>IF(C91="","",[1]!hks_fa_fcfe2(C91,F91,"",100000000))</f>
        <v/>
      </c>
      <c r="BQ91" s="23" t="str">
        <f>IF(C91="","",[1]!hks_fa_fcff2(C91,F91,"",100000000))</f>
        <v/>
      </c>
      <c r="BR91" s="35"/>
    </row>
    <row r="92" spans="1:70" s="36" customFormat="1" ht="16.5" x14ac:dyDescent="0.2">
      <c r="A92" s="2"/>
      <c r="B92" s="6"/>
      <c r="C92" s="28" t="str">
        <f>IF(表1[[#This Row],[列1]]="","",表1[[#This Row],[列1]])</f>
        <v/>
      </c>
      <c r="D92" s="19" t="str">
        <f>IF(C92="","",[1]!hks_info_name(C92))</f>
        <v/>
      </c>
      <c r="E92" s="19" t="str">
        <f ca="1">IF(C92="","",[1]!lastradeday_s(C92,TODAY()))</f>
        <v/>
      </c>
      <c r="F92" s="49" t="str">
        <f>IF(C92="","",IF(OR([1]!s_stm_rpt_e(C92,基本资料!$I$8,0)="#N/A",[1]!s_stm_rpt_e(C92,基本资料!$I$8,0)="",[1]!s_stm_rpt_e(C92,基本资料!$I$8,0)=0),[1]!s_stm_rpt_e(C92,基本资料!$I$9,0),[1]!s_stm_rpt_e(C92,基本资料!$I$8,0)))</f>
        <v/>
      </c>
      <c r="G92" s="49" t="str">
        <f>IF(C92="","",[1]!hks_info_cur2(C92,F92))</f>
        <v/>
      </c>
      <c r="H92" s="27" t="str">
        <f>IF(C92="","",[1]!hks_fa_eps_basic(C92,F92,""))</f>
        <v/>
      </c>
      <c r="I92" s="23" t="str">
        <f>IF(C92="","",[1]!hks_fa_eps_adjust2(C92,F92,""))</f>
        <v/>
      </c>
      <c r="J92" s="23" t="str">
        <f>IF(C92="","",[1]!hks_fa_bps(C92,F92,""))</f>
        <v/>
      </c>
      <c r="K92" s="25" t="str">
        <f>IF(C92="","",[1]!hks_fa_ocfps(C92,F92,""))</f>
        <v/>
      </c>
      <c r="L92" s="27" t="str">
        <f>IF(C92="","",[1]!hks_fa_grossprofitmargin(C92,F92))</f>
        <v/>
      </c>
      <c r="M92" s="23" t="str">
        <f>IF(C92="","",[1]!hks_fa_netprofitmargin(C92,F92))</f>
        <v/>
      </c>
      <c r="N92" s="23" t="str">
        <f>IF(C92="","",[1]!hks_fa_roe(C92,F92))</f>
        <v/>
      </c>
      <c r="O92" s="23" t="str">
        <f>IF(C92="","",[1]!hks_fa_roe_deducted(C92,F92))</f>
        <v/>
      </c>
      <c r="P92" s="23" t="str">
        <f>IF(C92="","",[1]!hks_fa_roa2(C92,F92))</f>
        <v/>
      </c>
      <c r="Q92" s="23" t="str">
        <f>IF(C92="","",[1]!hks_fa_roic(C92,F92))</f>
        <v/>
      </c>
      <c r="R92" s="23" t="str">
        <f>IF(C92="","",[1]!hks_fa_dupont_nptosales(C92,F92))</f>
        <v/>
      </c>
      <c r="S92" s="23" t="str">
        <f>IF(C92="","",[1]!hks_fa_dupont_ebittosales(C92,F92))</f>
        <v/>
      </c>
      <c r="T92" s="25" t="str">
        <f>IF(C92="","",[1]!hks_fa_ebitdatosales(C92,F92))</f>
        <v/>
      </c>
      <c r="U92" s="47" t="str">
        <f>IF(C92="","",[1]!hks_fa_optoebt(C92,F92))</f>
        <v/>
      </c>
      <c r="V92" s="25" t="str">
        <f>IF(C92="","",[1]!hks_fa_ocftosales(C92,F92))</f>
        <v/>
      </c>
      <c r="W92" s="27" t="str">
        <f>IF(C92="","",[1]!hks_fa_debttoassets(C92,F92))</f>
        <v/>
      </c>
      <c r="X92" s="23" t="str">
        <f>IF(C92="","",[1]!s_fa_debttoeqy(C92,F92))</f>
        <v/>
      </c>
      <c r="Y92" s="23" t="str">
        <f>IF(C92="","",[1]!hks_fa_catoassets(C92,F92))</f>
        <v/>
      </c>
      <c r="Z92" s="23" t="str">
        <f>IF(C92="","",[1]!hks_fa_ncatoassets(C92,F92))</f>
        <v/>
      </c>
      <c r="AA92" s="23" t="str">
        <f>IF(C92="","",[1]!hks_fa_currentdebttodebt(C92,F92))</f>
        <v/>
      </c>
      <c r="AB92" s="25" t="str">
        <f>IF(C92="","",[1]!hks_fa_longdebtodebt(C92,F92))</f>
        <v/>
      </c>
      <c r="AC92" s="25" t="str">
        <f>IF(C92="","",[1]!hks_fa_current(C92,F92))</f>
        <v/>
      </c>
      <c r="AD92" s="25" t="str">
        <f>IF(C92="","",[1]!hks_fa_quick(C92,F92))</f>
        <v/>
      </c>
      <c r="AE92" s="25" t="str">
        <f>IF(C92="","",[1]!hks_fa_ebittointerest(C92,F92))</f>
        <v/>
      </c>
      <c r="AF92" s="25" t="str">
        <f>IF(C92="","",[1]!hks_fa_netdebtratio(C92,F92))</f>
        <v/>
      </c>
      <c r="AG92" s="27" t="str">
        <f>IF(C92="","",[1]!hks_fa_arturn(C92,F92))</f>
        <v/>
      </c>
      <c r="AH92" s="23" t="str">
        <f>IF(C92="","",[1]!hks_fa_apturn(C92,F92))</f>
        <v/>
      </c>
      <c r="AI92" s="23" t="str">
        <f>IF(C92="","",[1]!hks_fa_invturn(C92,F92))</f>
        <v/>
      </c>
      <c r="AJ92" s="23" t="str">
        <f>IF(C92="","",[1]!hks_fa_caturn(C92,F92))</f>
        <v/>
      </c>
      <c r="AK92" s="23" t="str">
        <f>IF(C92="","",[1]!hks_fa_faturn(C92,F92))</f>
        <v/>
      </c>
      <c r="AL92" s="25" t="str">
        <f>IF(C92="","",[1]!hks_fa_assetsturn(C92,F92))</f>
        <v/>
      </c>
      <c r="AM92" s="23" t="str">
        <f>IF(C92="","",[1]!hks_fa_yoy_tr(C92,F92))</f>
        <v/>
      </c>
      <c r="AN92" s="23" t="str">
        <f>IF(C92="","",[1]!hks_fa_yoy_or(C92,F92))</f>
        <v/>
      </c>
      <c r="AO92" s="23" t="str">
        <f>IF(C92="","",[1]!hks_fa_yoyop2(C92,F92))</f>
        <v/>
      </c>
      <c r="AP92" s="23" t="str">
        <f>IF(C92="","",[1]!hks_fa_yoyebt(C92,F92))</f>
        <v/>
      </c>
      <c r="AQ92" s="23" t="str">
        <f>IF(C92="","",[1]!hks_fa_yoynetprofit(C92,F92))</f>
        <v/>
      </c>
      <c r="AR92" s="23" t="str">
        <f>IF(C92="","",[1]!hks_fa_dupont_np(C92,F92))</f>
        <v/>
      </c>
      <c r="AS92" s="23" t="str">
        <f>IF(C92="","",[1]!hks_fa_dupont_taxburden(C92,F92))</f>
        <v/>
      </c>
      <c r="AT92" s="23" t="str">
        <f>IF(C92="","",[1]!s_fa_dupont_nptosales(C92,F92))</f>
        <v/>
      </c>
      <c r="AU92" s="23" t="str">
        <f>IF(C92="","",[1]!s_fa_dupont_roe(C92,F92))</f>
        <v/>
      </c>
      <c r="AV92" s="23" t="str">
        <f>IF(C92="","",[1]!hks_fa_dupont_intburden(C92,F92))</f>
        <v/>
      </c>
      <c r="AW92" s="23" t="str">
        <f>IF(C92="","",[1]!hks_fa_dupont_assetstoequity(C92,F92))</f>
        <v/>
      </c>
      <c r="AX92" s="23" t="str">
        <f>IF(C92="","",[1]!s_fa_dupont_ebittosales(C92,F92))</f>
        <v/>
      </c>
      <c r="AY92" s="23" t="str">
        <f>IF(C92="","",[1]!hks_fa_assetsturn(C92,F92))</f>
        <v/>
      </c>
      <c r="AZ92" s="23" t="str">
        <f>IF(C92="","",[1]!hks_fa_grossmargin2(C92,F92,"",100000000))</f>
        <v/>
      </c>
      <c r="BA92" s="23" t="str">
        <f>IF(C92="","",[1]!hks_fa_ebit3(C92,F92,1,"",100000000))</f>
        <v/>
      </c>
      <c r="BB92" s="23" t="str">
        <f>IF(C92="","",[1]!hks_fa_ebitda(C92,F92,1,"",100000000))</f>
        <v/>
      </c>
      <c r="BC92" s="23" t="str">
        <f>IF(C92="","",[1]!hks_fa_ebit(C92,F92,1,"",100000000))</f>
        <v/>
      </c>
      <c r="BD92" s="23" t="str">
        <f>IF(C92="","",[1]!hks_fa_ebitda(C92,F92,1,"",100000000))</f>
        <v/>
      </c>
      <c r="BE92" s="23" t="str">
        <f>IF(C92="","",[1]!hks_fa_nogaapprofit(C92,F92,1,"",100000000))</f>
        <v/>
      </c>
      <c r="BF92" s="23" t="str">
        <f>IF(C92="","",[1]!hks_fa_deductedprofit(C92,F92,1,"",100000000))</f>
        <v/>
      </c>
      <c r="BG92" s="23" t="str">
        <f>IF(C92="","",[1]!hks_fa_retainedearnings2(C92,F92,"",100000000))</f>
        <v/>
      </c>
      <c r="BH92" s="23" t="str">
        <f>IF(C92="","",[1]!hks_fa_workingcapital2(C92,F92,"",100000000))</f>
        <v/>
      </c>
      <c r="BI92" s="23" t="str">
        <f>IF(C92="","",[1]!hks_fa_networkingcapital2(C92,F92,"",100000000))</f>
        <v/>
      </c>
      <c r="BJ92" s="23" t="str">
        <f>IF(C92="","",[1]!hks_fa_investcapital2(C92,F92,"",100000000))</f>
        <v/>
      </c>
      <c r="BK92" s="23" t="str">
        <f>IF(C92="","",[1]!hks_fa_tangibleasset2(C92,F92,"",100000000))</f>
        <v/>
      </c>
      <c r="BL92" s="23" t="str">
        <f>IF(C92="","",[1]!hks_fa_netdebt2(C92,F92,"",100000000))</f>
        <v/>
      </c>
      <c r="BM92" s="23" t="str">
        <f>IF(C92="","",[1]!hks_fa_interestdebt2(C92,F92,"",100000000))</f>
        <v/>
      </c>
      <c r="BN92" s="23" t="str">
        <f>IF(C92="","",[1]!hks_fa_exinterestdebt_current(C92,F92,"",100000000))</f>
        <v/>
      </c>
      <c r="BO92" s="23" t="str">
        <f>IF(C92="","",[1]!hks_fa_exinterestdebt_noncurrent2(C92,F92,"",100000000))</f>
        <v/>
      </c>
      <c r="BP92" s="23" t="str">
        <f>IF(C92="","",[1]!hks_fa_fcfe2(C92,F92,"",100000000))</f>
        <v/>
      </c>
      <c r="BQ92" s="23" t="str">
        <f>IF(C92="","",[1]!hks_fa_fcff2(C92,F92,"",100000000))</f>
        <v/>
      </c>
      <c r="BR92" s="35"/>
    </row>
    <row r="93" spans="1:70" s="36" customFormat="1" ht="16.5" x14ac:dyDescent="0.2">
      <c r="A93" s="2"/>
      <c r="B93" s="6"/>
      <c r="C93" s="28" t="str">
        <f>IF(表1[[#This Row],[列1]]="","",表1[[#This Row],[列1]])</f>
        <v/>
      </c>
      <c r="D93" s="19" t="str">
        <f>IF(C93="","",[1]!hks_info_name(C93))</f>
        <v/>
      </c>
      <c r="E93" s="19" t="str">
        <f ca="1">IF(C93="","",[1]!lastradeday_s(C93,TODAY()))</f>
        <v/>
      </c>
      <c r="F93" s="49" t="str">
        <f>IF(C93="","",IF(OR([1]!s_stm_rpt_e(C93,基本资料!$I$8,0)="#N/A",[1]!s_stm_rpt_e(C93,基本资料!$I$8,0)="",[1]!s_stm_rpt_e(C93,基本资料!$I$8,0)=0),[1]!s_stm_rpt_e(C93,基本资料!$I$9,0),[1]!s_stm_rpt_e(C93,基本资料!$I$8,0)))</f>
        <v/>
      </c>
      <c r="G93" s="49" t="str">
        <f>IF(C93="","",[1]!hks_info_cur2(C93,F93))</f>
        <v/>
      </c>
      <c r="H93" s="27" t="str">
        <f>IF(C93="","",[1]!hks_fa_eps_basic(C93,F93,""))</f>
        <v/>
      </c>
      <c r="I93" s="23" t="str">
        <f>IF(C93="","",[1]!hks_fa_eps_adjust2(C93,F93,""))</f>
        <v/>
      </c>
      <c r="J93" s="23" t="str">
        <f>IF(C93="","",[1]!hks_fa_bps(C93,F93,""))</f>
        <v/>
      </c>
      <c r="K93" s="25" t="str">
        <f>IF(C93="","",[1]!hks_fa_ocfps(C93,F93,""))</f>
        <v/>
      </c>
      <c r="L93" s="27" t="str">
        <f>IF(C93="","",[1]!hks_fa_grossprofitmargin(C93,F93))</f>
        <v/>
      </c>
      <c r="M93" s="23" t="str">
        <f>IF(C93="","",[1]!hks_fa_netprofitmargin(C93,F93))</f>
        <v/>
      </c>
      <c r="N93" s="23" t="str">
        <f>IF(C93="","",[1]!hks_fa_roe(C93,F93))</f>
        <v/>
      </c>
      <c r="O93" s="23" t="str">
        <f>IF(C93="","",[1]!hks_fa_roe_deducted(C93,F93))</f>
        <v/>
      </c>
      <c r="P93" s="23" t="str">
        <f>IF(C93="","",[1]!hks_fa_roa2(C93,F93))</f>
        <v/>
      </c>
      <c r="Q93" s="23" t="str">
        <f>IF(C93="","",[1]!hks_fa_roic(C93,F93))</f>
        <v/>
      </c>
      <c r="R93" s="23" t="str">
        <f>IF(C93="","",[1]!hks_fa_dupont_nptosales(C93,F93))</f>
        <v/>
      </c>
      <c r="S93" s="23" t="str">
        <f>IF(C93="","",[1]!hks_fa_dupont_ebittosales(C93,F93))</f>
        <v/>
      </c>
      <c r="T93" s="25" t="str">
        <f>IF(C93="","",[1]!hks_fa_ebitdatosales(C93,F93))</f>
        <v/>
      </c>
      <c r="U93" s="47" t="str">
        <f>IF(C93="","",[1]!hks_fa_optoebt(C93,F93))</f>
        <v/>
      </c>
      <c r="V93" s="25" t="str">
        <f>IF(C93="","",[1]!hks_fa_ocftosales(C93,F93))</f>
        <v/>
      </c>
      <c r="W93" s="27" t="str">
        <f>IF(C93="","",[1]!hks_fa_debttoassets(C93,F93))</f>
        <v/>
      </c>
      <c r="X93" s="23" t="str">
        <f>IF(C93="","",[1]!s_fa_debttoeqy(C93,F93))</f>
        <v/>
      </c>
      <c r="Y93" s="23" t="str">
        <f>IF(C93="","",[1]!hks_fa_catoassets(C93,F93))</f>
        <v/>
      </c>
      <c r="Z93" s="23" t="str">
        <f>IF(C93="","",[1]!hks_fa_ncatoassets(C93,F93))</f>
        <v/>
      </c>
      <c r="AA93" s="23" t="str">
        <f>IF(C93="","",[1]!hks_fa_currentdebttodebt(C93,F93))</f>
        <v/>
      </c>
      <c r="AB93" s="25" t="str">
        <f>IF(C93="","",[1]!hks_fa_longdebtodebt(C93,F93))</f>
        <v/>
      </c>
      <c r="AC93" s="25" t="str">
        <f>IF(C93="","",[1]!hks_fa_current(C93,F93))</f>
        <v/>
      </c>
      <c r="AD93" s="25" t="str">
        <f>IF(C93="","",[1]!hks_fa_quick(C93,F93))</f>
        <v/>
      </c>
      <c r="AE93" s="25" t="str">
        <f>IF(C93="","",[1]!hks_fa_ebittointerest(C93,F93))</f>
        <v/>
      </c>
      <c r="AF93" s="25" t="str">
        <f>IF(C93="","",[1]!hks_fa_netdebtratio(C93,F93))</f>
        <v/>
      </c>
      <c r="AG93" s="27" t="str">
        <f>IF(C93="","",[1]!hks_fa_arturn(C93,F93))</f>
        <v/>
      </c>
      <c r="AH93" s="23" t="str">
        <f>IF(C93="","",[1]!hks_fa_apturn(C93,F93))</f>
        <v/>
      </c>
      <c r="AI93" s="23" t="str">
        <f>IF(C93="","",[1]!hks_fa_invturn(C93,F93))</f>
        <v/>
      </c>
      <c r="AJ93" s="23" t="str">
        <f>IF(C93="","",[1]!hks_fa_caturn(C93,F93))</f>
        <v/>
      </c>
      <c r="AK93" s="23" t="str">
        <f>IF(C93="","",[1]!hks_fa_faturn(C93,F93))</f>
        <v/>
      </c>
      <c r="AL93" s="25" t="str">
        <f>IF(C93="","",[1]!hks_fa_assetsturn(C93,F93))</f>
        <v/>
      </c>
      <c r="AM93" s="23" t="str">
        <f>IF(C93="","",[1]!hks_fa_yoy_tr(C93,F93))</f>
        <v/>
      </c>
      <c r="AN93" s="23" t="str">
        <f>IF(C93="","",[1]!hks_fa_yoy_or(C93,F93))</f>
        <v/>
      </c>
      <c r="AO93" s="23" t="str">
        <f>IF(C93="","",[1]!hks_fa_yoyop2(C93,F93))</f>
        <v/>
      </c>
      <c r="AP93" s="23" t="str">
        <f>IF(C93="","",[1]!hks_fa_yoyebt(C93,F93))</f>
        <v/>
      </c>
      <c r="AQ93" s="23" t="str">
        <f>IF(C93="","",[1]!hks_fa_yoynetprofit(C93,F93))</f>
        <v/>
      </c>
      <c r="AR93" s="23" t="str">
        <f>IF(C93="","",[1]!hks_fa_dupont_np(C93,F93))</f>
        <v/>
      </c>
      <c r="AS93" s="23" t="str">
        <f>IF(C93="","",[1]!hks_fa_dupont_taxburden(C93,F93))</f>
        <v/>
      </c>
      <c r="AT93" s="23" t="str">
        <f>IF(C93="","",[1]!s_fa_dupont_nptosales(C93,F93))</f>
        <v/>
      </c>
      <c r="AU93" s="23" t="str">
        <f>IF(C93="","",[1]!s_fa_dupont_roe(C93,F93))</f>
        <v/>
      </c>
      <c r="AV93" s="23" t="str">
        <f>IF(C93="","",[1]!hks_fa_dupont_intburden(C93,F93))</f>
        <v/>
      </c>
      <c r="AW93" s="23" t="str">
        <f>IF(C93="","",[1]!hks_fa_dupont_assetstoequity(C93,F93))</f>
        <v/>
      </c>
      <c r="AX93" s="23" t="str">
        <f>IF(C93="","",[1]!s_fa_dupont_ebittosales(C93,F93))</f>
        <v/>
      </c>
      <c r="AY93" s="23" t="str">
        <f>IF(C93="","",[1]!hks_fa_assetsturn(C93,F93))</f>
        <v/>
      </c>
      <c r="AZ93" s="23" t="str">
        <f>IF(C93="","",[1]!hks_fa_grossmargin2(C93,F93,"",100000000))</f>
        <v/>
      </c>
      <c r="BA93" s="23" t="str">
        <f>IF(C93="","",[1]!hks_fa_ebit3(C93,F93,1,"",100000000))</f>
        <v/>
      </c>
      <c r="BB93" s="23" t="str">
        <f>IF(C93="","",[1]!hks_fa_ebitda(C93,F93,1,"",100000000))</f>
        <v/>
      </c>
      <c r="BC93" s="23" t="str">
        <f>IF(C93="","",[1]!hks_fa_ebit(C93,F93,1,"",100000000))</f>
        <v/>
      </c>
      <c r="BD93" s="23" t="str">
        <f>IF(C93="","",[1]!hks_fa_ebitda(C93,F93,1,"",100000000))</f>
        <v/>
      </c>
      <c r="BE93" s="23" t="str">
        <f>IF(C93="","",[1]!hks_fa_nogaapprofit(C93,F93,1,"",100000000))</f>
        <v/>
      </c>
      <c r="BF93" s="23" t="str">
        <f>IF(C93="","",[1]!hks_fa_deductedprofit(C93,F93,1,"",100000000))</f>
        <v/>
      </c>
      <c r="BG93" s="23" t="str">
        <f>IF(C93="","",[1]!hks_fa_retainedearnings2(C93,F93,"",100000000))</f>
        <v/>
      </c>
      <c r="BH93" s="23" t="str">
        <f>IF(C93="","",[1]!hks_fa_workingcapital2(C93,F93,"",100000000))</f>
        <v/>
      </c>
      <c r="BI93" s="23" t="str">
        <f>IF(C93="","",[1]!hks_fa_networkingcapital2(C93,F93,"",100000000))</f>
        <v/>
      </c>
      <c r="BJ93" s="23" t="str">
        <f>IF(C93="","",[1]!hks_fa_investcapital2(C93,F93,"",100000000))</f>
        <v/>
      </c>
      <c r="BK93" s="23" t="str">
        <f>IF(C93="","",[1]!hks_fa_tangibleasset2(C93,F93,"",100000000))</f>
        <v/>
      </c>
      <c r="BL93" s="23" t="str">
        <f>IF(C93="","",[1]!hks_fa_netdebt2(C93,F93,"",100000000))</f>
        <v/>
      </c>
      <c r="BM93" s="23" t="str">
        <f>IF(C93="","",[1]!hks_fa_interestdebt2(C93,F93,"",100000000))</f>
        <v/>
      </c>
      <c r="BN93" s="23" t="str">
        <f>IF(C93="","",[1]!hks_fa_exinterestdebt_current(C93,F93,"",100000000))</f>
        <v/>
      </c>
      <c r="BO93" s="23" t="str">
        <f>IF(C93="","",[1]!hks_fa_exinterestdebt_noncurrent2(C93,F93,"",100000000))</f>
        <v/>
      </c>
      <c r="BP93" s="23" t="str">
        <f>IF(C93="","",[1]!hks_fa_fcfe2(C93,F93,"",100000000))</f>
        <v/>
      </c>
      <c r="BQ93" s="23" t="str">
        <f>IF(C93="","",[1]!hks_fa_fcff2(C93,F93,"",100000000))</f>
        <v/>
      </c>
      <c r="BR93" s="35"/>
    </row>
    <row r="94" spans="1:70" s="36" customFormat="1" ht="16.5" x14ac:dyDescent="0.2">
      <c r="A94" s="2"/>
      <c r="B94" s="6"/>
      <c r="C94" s="28" t="str">
        <f>IF(表1[[#This Row],[列1]]="","",表1[[#This Row],[列1]])</f>
        <v/>
      </c>
      <c r="D94" s="19" t="str">
        <f>IF(C94="","",[1]!hks_info_name(C94))</f>
        <v/>
      </c>
      <c r="E94" s="19" t="str">
        <f ca="1">IF(C94="","",[1]!lastradeday_s(C94,TODAY()))</f>
        <v/>
      </c>
      <c r="F94" s="49" t="str">
        <f>IF(C94="","",IF(OR([1]!s_stm_rpt_e(C94,基本资料!$I$8,0)="#N/A",[1]!s_stm_rpt_e(C94,基本资料!$I$8,0)="",[1]!s_stm_rpt_e(C94,基本资料!$I$8,0)=0),[1]!s_stm_rpt_e(C94,基本资料!$I$9,0),[1]!s_stm_rpt_e(C94,基本资料!$I$8,0)))</f>
        <v/>
      </c>
      <c r="G94" s="49" t="str">
        <f>IF(C94="","",[1]!hks_info_cur2(C94,F94))</f>
        <v/>
      </c>
      <c r="H94" s="27" t="str">
        <f>IF(C94="","",[1]!hks_fa_eps_basic(C94,F94,""))</f>
        <v/>
      </c>
      <c r="I94" s="23" t="str">
        <f>IF(C94="","",[1]!hks_fa_eps_adjust2(C94,F94,""))</f>
        <v/>
      </c>
      <c r="J94" s="23" t="str">
        <f>IF(C94="","",[1]!hks_fa_bps(C94,F94,""))</f>
        <v/>
      </c>
      <c r="K94" s="25" t="str">
        <f>IF(C94="","",[1]!hks_fa_ocfps(C94,F94,""))</f>
        <v/>
      </c>
      <c r="L94" s="27" t="str">
        <f>IF(C94="","",[1]!hks_fa_grossprofitmargin(C94,F94))</f>
        <v/>
      </c>
      <c r="M94" s="23" t="str">
        <f>IF(C94="","",[1]!hks_fa_netprofitmargin(C94,F94))</f>
        <v/>
      </c>
      <c r="N94" s="23" t="str">
        <f>IF(C94="","",[1]!hks_fa_roe(C94,F94))</f>
        <v/>
      </c>
      <c r="O94" s="23" t="str">
        <f>IF(C94="","",[1]!hks_fa_roe_deducted(C94,F94))</f>
        <v/>
      </c>
      <c r="P94" s="23" t="str">
        <f>IF(C94="","",[1]!hks_fa_roa2(C94,F94))</f>
        <v/>
      </c>
      <c r="Q94" s="23" t="str">
        <f>IF(C94="","",[1]!hks_fa_roic(C94,F94))</f>
        <v/>
      </c>
      <c r="R94" s="23" t="str">
        <f>IF(C94="","",[1]!hks_fa_dupont_nptosales(C94,F94))</f>
        <v/>
      </c>
      <c r="S94" s="23" t="str">
        <f>IF(C94="","",[1]!hks_fa_dupont_ebittosales(C94,F94))</f>
        <v/>
      </c>
      <c r="T94" s="25" t="str">
        <f>IF(C94="","",[1]!hks_fa_ebitdatosales(C94,F94))</f>
        <v/>
      </c>
      <c r="U94" s="47" t="str">
        <f>IF(C94="","",[1]!hks_fa_optoebt(C94,F94))</f>
        <v/>
      </c>
      <c r="V94" s="25" t="str">
        <f>IF(C94="","",[1]!hks_fa_ocftosales(C94,F94))</f>
        <v/>
      </c>
      <c r="W94" s="27" t="str">
        <f>IF(C94="","",[1]!hks_fa_debttoassets(C94,F94))</f>
        <v/>
      </c>
      <c r="X94" s="23" t="str">
        <f>IF(C94="","",[1]!s_fa_debttoeqy(C94,F94))</f>
        <v/>
      </c>
      <c r="Y94" s="23" t="str">
        <f>IF(C94="","",[1]!hks_fa_catoassets(C94,F94))</f>
        <v/>
      </c>
      <c r="Z94" s="23" t="str">
        <f>IF(C94="","",[1]!hks_fa_ncatoassets(C94,F94))</f>
        <v/>
      </c>
      <c r="AA94" s="23" t="str">
        <f>IF(C94="","",[1]!hks_fa_currentdebttodebt(C94,F94))</f>
        <v/>
      </c>
      <c r="AB94" s="25" t="str">
        <f>IF(C94="","",[1]!hks_fa_longdebtodebt(C94,F94))</f>
        <v/>
      </c>
      <c r="AC94" s="25" t="str">
        <f>IF(C94="","",[1]!hks_fa_current(C94,F94))</f>
        <v/>
      </c>
      <c r="AD94" s="25" t="str">
        <f>IF(C94="","",[1]!hks_fa_quick(C94,F94))</f>
        <v/>
      </c>
      <c r="AE94" s="25" t="str">
        <f>IF(C94="","",[1]!hks_fa_ebittointerest(C94,F94))</f>
        <v/>
      </c>
      <c r="AF94" s="25" t="str">
        <f>IF(C94="","",[1]!hks_fa_netdebtratio(C94,F94))</f>
        <v/>
      </c>
      <c r="AG94" s="27" t="str">
        <f>IF(C94="","",[1]!hks_fa_arturn(C94,F94))</f>
        <v/>
      </c>
      <c r="AH94" s="23" t="str">
        <f>IF(C94="","",[1]!hks_fa_apturn(C94,F94))</f>
        <v/>
      </c>
      <c r="AI94" s="23" t="str">
        <f>IF(C94="","",[1]!hks_fa_invturn(C94,F94))</f>
        <v/>
      </c>
      <c r="AJ94" s="23" t="str">
        <f>IF(C94="","",[1]!hks_fa_caturn(C94,F94))</f>
        <v/>
      </c>
      <c r="AK94" s="23" t="str">
        <f>IF(C94="","",[1]!hks_fa_faturn(C94,F94))</f>
        <v/>
      </c>
      <c r="AL94" s="25" t="str">
        <f>IF(C94="","",[1]!hks_fa_assetsturn(C94,F94))</f>
        <v/>
      </c>
      <c r="AM94" s="23" t="str">
        <f>IF(C94="","",[1]!hks_fa_yoy_tr(C94,F94))</f>
        <v/>
      </c>
      <c r="AN94" s="23" t="str">
        <f>IF(C94="","",[1]!hks_fa_yoy_or(C94,F94))</f>
        <v/>
      </c>
      <c r="AO94" s="23" t="str">
        <f>IF(C94="","",[1]!hks_fa_yoyop2(C94,F94))</f>
        <v/>
      </c>
      <c r="AP94" s="23" t="str">
        <f>IF(C94="","",[1]!hks_fa_yoyebt(C94,F94))</f>
        <v/>
      </c>
      <c r="AQ94" s="23" t="str">
        <f>IF(C94="","",[1]!hks_fa_yoynetprofit(C94,F94))</f>
        <v/>
      </c>
      <c r="AR94" s="23" t="str">
        <f>IF(C94="","",[1]!hks_fa_dupont_np(C94,F94))</f>
        <v/>
      </c>
      <c r="AS94" s="23" t="str">
        <f>IF(C94="","",[1]!hks_fa_dupont_taxburden(C94,F94))</f>
        <v/>
      </c>
      <c r="AT94" s="23" t="str">
        <f>IF(C94="","",[1]!s_fa_dupont_nptosales(C94,F94))</f>
        <v/>
      </c>
      <c r="AU94" s="23" t="str">
        <f>IF(C94="","",[1]!s_fa_dupont_roe(C94,F94))</f>
        <v/>
      </c>
      <c r="AV94" s="23" t="str">
        <f>IF(C94="","",[1]!hks_fa_dupont_intburden(C94,F94))</f>
        <v/>
      </c>
      <c r="AW94" s="23" t="str">
        <f>IF(C94="","",[1]!hks_fa_dupont_assetstoequity(C94,F94))</f>
        <v/>
      </c>
      <c r="AX94" s="23" t="str">
        <f>IF(C94="","",[1]!s_fa_dupont_ebittosales(C94,F94))</f>
        <v/>
      </c>
      <c r="AY94" s="23" t="str">
        <f>IF(C94="","",[1]!hks_fa_assetsturn(C94,F94))</f>
        <v/>
      </c>
      <c r="AZ94" s="23" t="str">
        <f>IF(C94="","",[1]!hks_fa_grossmargin2(C94,F94,"",100000000))</f>
        <v/>
      </c>
      <c r="BA94" s="23" t="str">
        <f>IF(C94="","",[1]!hks_fa_ebit3(C94,F94,1,"",100000000))</f>
        <v/>
      </c>
      <c r="BB94" s="23" t="str">
        <f>IF(C94="","",[1]!hks_fa_ebitda(C94,F94,1,"",100000000))</f>
        <v/>
      </c>
      <c r="BC94" s="23" t="str">
        <f>IF(C94="","",[1]!hks_fa_ebit(C94,F94,1,"",100000000))</f>
        <v/>
      </c>
      <c r="BD94" s="23" t="str">
        <f>IF(C94="","",[1]!hks_fa_ebitda(C94,F94,1,"",100000000))</f>
        <v/>
      </c>
      <c r="BE94" s="23" t="str">
        <f>IF(C94="","",[1]!hks_fa_nogaapprofit(C94,F94,1,"",100000000))</f>
        <v/>
      </c>
      <c r="BF94" s="23" t="str">
        <f>IF(C94="","",[1]!hks_fa_deductedprofit(C94,F94,1,"",100000000))</f>
        <v/>
      </c>
      <c r="BG94" s="23" t="str">
        <f>IF(C94="","",[1]!hks_fa_retainedearnings2(C94,F94,"",100000000))</f>
        <v/>
      </c>
      <c r="BH94" s="23" t="str">
        <f>IF(C94="","",[1]!hks_fa_workingcapital2(C94,F94,"",100000000))</f>
        <v/>
      </c>
      <c r="BI94" s="23" t="str">
        <f>IF(C94="","",[1]!hks_fa_networkingcapital2(C94,F94,"",100000000))</f>
        <v/>
      </c>
      <c r="BJ94" s="23" t="str">
        <f>IF(C94="","",[1]!hks_fa_investcapital2(C94,F94,"",100000000))</f>
        <v/>
      </c>
      <c r="BK94" s="23" t="str">
        <f>IF(C94="","",[1]!hks_fa_tangibleasset2(C94,F94,"",100000000))</f>
        <v/>
      </c>
      <c r="BL94" s="23" t="str">
        <f>IF(C94="","",[1]!hks_fa_netdebt2(C94,F94,"",100000000))</f>
        <v/>
      </c>
      <c r="BM94" s="23" t="str">
        <f>IF(C94="","",[1]!hks_fa_interestdebt2(C94,F94,"",100000000))</f>
        <v/>
      </c>
      <c r="BN94" s="23" t="str">
        <f>IF(C94="","",[1]!hks_fa_exinterestdebt_current(C94,F94,"",100000000))</f>
        <v/>
      </c>
      <c r="BO94" s="23" t="str">
        <f>IF(C94="","",[1]!hks_fa_exinterestdebt_noncurrent2(C94,F94,"",100000000))</f>
        <v/>
      </c>
      <c r="BP94" s="23" t="str">
        <f>IF(C94="","",[1]!hks_fa_fcfe2(C94,F94,"",100000000))</f>
        <v/>
      </c>
      <c r="BQ94" s="23" t="str">
        <f>IF(C94="","",[1]!hks_fa_fcff2(C94,F94,"",100000000))</f>
        <v/>
      </c>
      <c r="BR94" s="35"/>
    </row>
    <row r="95" spans="1:70" s="36" customFormat="1" ht="16.5" x14ac:dyDescent="0.2">
      <c r="A95" s="2"/>
      <c r="B95" s="6"/>
      <c r="C95" s="28" t="str">
        <f>IF(表1[[#This Row],[列1]]="","",表1[[#This Row],[列1]])</f>
        <v/>
      </c>
      <c r="D95" s="19" t="str">
        <f>IF(C95="","",[1]!hks_info_name(C95))</f>
        <v/>
      </c>
      <c r="E95" s="19" t="str">
        <f ca="1">IF(C95="","",[1]!lastradeday_s(C95,TODAY()))</f>
        <v/>
      </c>
      <c r="F95" s="49" t="str">
        <f>IF(C95="","",IF(OR([1]!s_stm_rpt_e(C95,基本资料!$I$8,0)="#N/A",[1]!s_stm_rpt_e(C95,基本资料!$I$8,0)="",[1]!s_stm_rpt_e(C95,基本资料!$I$8,0)=0),[1]!s_stm_rpt_e(C95,基本资料!$I$9,0),[1]!s_stm_rpt_e(C95,基本资料!$I$8,0)))</f>
        <v/>
      </c>
      <c r="G95" s="49" t="str">
        <f>IF(C95="","",[1]!hks_info_cur2(C95,F95))</f>
        <v/>
      </c>
      <c r="H95" s="27" t="str">
        <f>IF(C95="","",[1]!hks_fa_eps_basic(C95,F95,""))</f>
        <v/>
      </c>
      <c r="I95" s="23" t="str">
        <f>IF(C95="","",[1]!hks_fa_eps_adjust2(C95,F95,""))</f>
        <v/>
      </c>
      <c r="J95" s="23" t="str">
        <f>IF(C95="","",[1]!hks_fa_bps(C95,F95,""))</f>
        <v/>
      </c>
      <c r="K95" s="25" t="str">
        <f>IF(C95="","",[1]!hks_fa_ocfps(C95,F95,""))</f>
        <v/>
      </c>
      <c r="L95" s="27" t="str">
        <f>IF(C95="","",[1]!hks_fa_grossprofitmargin(C95,F95))</f>
        <v/>
      </c>
      <c r="M95" s="23" t="str">
        <f>IF(C95="","",[1]!hks_fa_netprofitmargin(C95,F95))</f>
        <v/>
      </c>
      <c r="N95" s="23" t="str">
        <f>IF(C95="","",[1]!hks_fa_roe(C95,F95))</f>
        <v/>
      </c>
      <c r="O95" s="23" t="str">
        <f>IF(C95="","",[1]!hks_fa_roe_deducted(C95,F95))</f>
        <v/>
      </c>
      <c r="P95" s="23" t="str">
        <f>IF(C95="","",[1]!hks_fa_roa2(C95,F95))</f>
        <v/>
      </c>
      <c r="Q95" s="23" t="str">
        <f>IF(C95="","",[1]!hks_fa_roic(C95,F95))</f>
        <v/>
      </c>
      <c r="R95" s="23" t="str">
        <f>IF(C95="","",[1]!hks_fa_dupont_nptosales(C95,F95))</f>
        <v/>
      </c>
      <c r="S95" s="23" t="str">
        <f>IF(C95="","",[1]!hks_fa_dupont_ebittosales(C95,F95))</f>
        <v/>
      </c>
      <c r="T95" s="25" t="str">
        <f>IF(C95="","",[1]!hks_fa_ebitdatosales(C95,F95))</f>
        <v/>
      </c>
      <c r="U95" s="47" t="str">
        <f>IF(C95="","",[1]!hks_fa_optoebt(C95,F95))</f>
        <v/>
      </c>
      <c r="V95" s="25" t="str">
        <f>IF(C95="","",[1]!hks_fa_ocftosales(C95,F95))</f>
        <v/>
      </c>
      <c r="W95" s="27" t="str">
        <f>IF(C95="","",[1]!hks_fa_debttoassets(C95,F95))</f>
        <v/>
      </c>
      <c r="X95" s="23" t="str">
        <f>IF(C95="","",[1]!s_fa_debttoeqy(C95,F95))</f>
        <v/>
      </c>
      <c r="Y95" s="23" t="str">
        <f>IF(C95="","",[1]!hks_fa_catoassets(C95,F95))</f>
        <v/>
      </c>
      <c r="Z95" s="23" t="str">
        <f>IF(C95="","",[1]!hks_fa_ncatoassets(C95,F95))</f>
        <v/>
      </c>
      <c r="AA95" s="23" t="str">
        <f>IF(C95="","",[1]!hks_fa_currentdebttodebt(C95,F95))</f>
        <v/>
      </c>
      <c r="AB95" s="25" t="str">
        <f>IF(C95="","",[1]!hks_fa_longdebtodebt(C95,F95))</f>
        <v/>
      </c>
      <c r="AC95" s="25" t="str">
        <f>IF(C95="","",[1]!hks_fa_current(C95,F95))</f>
        <v/>
      </c>
      <c r="AD95" s="25" t="str">
        <f>IF(C95="","",[1]!hks_fa_quick(C95,F95))</f>
        <v/>
      </c>
      <c r="AE95" s="25" t="str">
        <f>IF(C95="","",[1]!hks_fa_ebittointerest(C95,F95))</f>
        <v/>
      </c>
      <c r="AF95" s="25" t="str">
        <f>IF(C95="","",[1]!hks_fa_netdebtratio(C95,F95))</f>
        <v/>
      </c>
      <c r="AG95" s="27" t="str">
        <f>IF(C95="","",[1]!hks_fa_arturn(C95,F95))</f>
        <v/>
      </c>
      <c r="AH95" s="23" t="str">
        <f>IF(C95="","",[1]!hks_fa_apturn(C95,F95))</f>
        <v/>
      </c>
      <c r="AI95" s="23" t="str">
        <f>IF(C95="","",[1]!hks_fa_invturn(C95,F95))</f>
        <v/>
      </c>
      <c r="AJ95" s="23" t="str">
        <f>IF(C95="","",[1]!hks_fa_caturn(C95,F95))</f>
        <v/>
      </c>
      <c r="AK95" s="23" t="str">
        <f>IF(C95="","",[1]!hks_fa_faturn(C95,F95))</f>
        <v/>
      </c>
      <c r="AL95" s="25" t="str">
        <f>IF(C95="","",[1]!hks_fa_assetsturn(C95,F95))</f>
        <v/>
      </c>
      <c r="AM95" s="23" t="str">
        <f>IF(C95="","",[1]!hks_fa_yoy_tr(C95,F95))</f>
        <v/>
      </c>
      <c r="AN95" s="23" t="str">
        <f>IF(C95="","",[1]!hks_fa_yoy_or(C95,F95))</f>
        <v/>
      </c>
      <c r="AO95" s="23" t="str">
        <f>IF(C95="","",[1]!hks_fa_yoyop2(C95,F95))</f>
        <v/>
      </c>
      <c r="AP95" s="23" t="str">
        <f>IF(C95="","",[1]!hks_fa_yoyebt(C95,F95))</f>
        <v/>
      </c>
      <c r="AQ95" s="23" t="str">
        <f>IF(C95="","",[1]!hks_fa_yoynetprofit(C95,F95))</f>
        <v/>
      </c>
      <c r="AR95" s="23" t="str">
        <f>IF(C95="","",[1]!hks_fa_dupont_np(C95,F95))</f>
        <v/>
      </c>
      <c r="AS95" s="23" t="str">
        <f>IF(C95="","",[1]!hks_fa_dupont_taxburden(C95,F95))</f>
        <v/>
      </c>
      <c r="AT95" s="23" t="str">
        <f>IF(C95="","",[1]!s_fa_dupont_nptosales(C95,F95))</f>
        <v/>
      </c>
      <c r="AU95" s="23" t="str">
        <f>IF(C95="","",[1]!s_fa_dupont_roe(C95,F95))</f>
        <v/>
      </c>
      <c r="AV95" s="23" t="str">
        <f>IF(C95="","",[1]!hks_fa_dupont_intburden(C95,F95))</f>
        <v/>
      </c>
      <c r="AW95" s="23" t="str">
        <f>IF(C95="","",[1]!hks_fa_dupont_assetstoequity(C95,F95))</f>
        <v/>
      </c>
      <c r="AX95" s="23" t="str">
        <f>IF(C95="","",[1]!s_fa_dupont_ebittosales(C95,F95))</f>
        <v/>
      </c>
      <c r="AY95" s="23" t="str">
        <f>IF(C95="","",[1]!hks_fa_assetsturn(C95,F95))</f>
        <v/>
      </c>
      <c r="AZ95" s="23" t="str">
        <f>IF(C95="","",[1]!hks_fa_grossmargin2(C95,F95,"",100000000))</f>
        <v/>
      </c>
      <c r="BA95" s="23" t="str">
        <f>IF(C95="","",[1]!hks_fa_ebit3(C95,F95,1,"",100000000))</f>
        <v/>
      </c>
      <c r="BB95" s="23" t="str">
        <f>IF(C95="","",[1]!hks_fa_ebitda(C95,F95,1,"",100000000))</f>
        <v/>
      </c>
      <c r="BC95" s="23" t="str">
        <f>IF(C95="","",[1]!hks_fa_ebit(C95,F95,1,"",100000000))</f>
        <v/>
      </c>
      <c r="BD95" s="23" t="str">
        <f>IF(C95="","",[1]!hks_fa_ebitda(C95,F95,1,"",100000000))</f>
        <v/>
      </c>
      <c r="BE95" s="23" t="str">
        <f>IF(C95="","",[1]!hks_fa_nogaapprofit(C95,F95,1,"",100000000))</f>
        <v/>
      </c>
      <c r="BF95" s="23" t="str">
        <f>IF(C95="","",[1]!hks_fa_deductedprofit(C95,F95,1,"",100000000))</f>
        <v/>
      </c>
      <c r="BG95" s="23" t="str">
        <f>IF(C95="","",[1]!hks_fa_retainedearnings2(C95,F95,"",100000000))</f>
        <v/>
      </c>
      <c r="BH95" s="23" t="str">
        <f>IF(C95="","",[1]!hks_fa_workingcapital2(C95,F95,"",100000000))</f>
        <v/>
      </c>
      <c r="BI95" s="23" t="str">
        <f>IF(C95="","",[1]!hks_fa_networkingcapital2(C95,F95,"",100000000))</f>
        <v/>
      </c>
      <c r="BJ95" s="23" t="str">
        <f>IF(C95="","",[1]!hks_fa_investcapital2(C95,F95,"",100000000))</f>
        <v/>
      </c>
      <c r="BK95" s="23" t="str">
        <f>IF(C95="","",[1]!hks_fa_tangibleasset2(C95,F95,"",100000000))</f>
        <v/>
      </c>
      <c r="BL95" s="23" t="str">
        <f>IF(C95="","",[1]!hks_fa_netdebt2(C95,F95,"",100000000))</f>
        <v/>
      </c>
      <c r="BM95" s="23" t="str">
        <f>IF(C95="","",[1]!hks_fa_interestdebt2(C95,F95,"",100000000))</f>
        <v/>
      </c>
      <c r="BN95" s="23" t="str">
        <f>IF(C95="","",[1]!hks_fa_exinterestdebt_current(C95,F95,"",100000000))</f>
        <v/>
      </c>
      <c r="BO95" s="23" t="str">
        <f>IF(C95="","",[1]!hks_fa_exinterestdebt_noncurrent2(C95,F95,"",100000000))</f>
        <v/>
      </c>
      <c r="BP95" s="23" t="str">
        <f>IF(C95="","",[1]!hks_fa_fcfe2(C95,F95,"",100000000))</f>
        <v/>
      </c>
      <c r="BQ95" s="23" t="str">
        <f>IF(C95="","",[1]!hks_fa_fcff2(C95,F95,"",100000000))</f>
        <v/>
      </c>
      <c r="BR95" s="35"/>
    </row>
    <row r="96" spans="1:70" s="36" customFormat="1" ht="16.5" x14ac:dyDescent="0.2">
      <c r="A96" s="2"/>
      <c r="B96" s="6"/>
      <c r="C96" s="28" t="str">
        <f>IF(表1[[#This Row],[列1]]="","",表1[[#This Row],[列1]])</f>
        <v/>
      </c>
      <c r="D96" s="19" t="str">
        <f>IF(C96="","",[1]!hks_info_name(C96))</f>
        <v/>
      </c>
      <c r="E96" s="19" t="str">
        <f ca="1">IF(C96="","",[1]!lastradeday_s(C96,TODAY()))</f>
        <v/>
      </c>
      <c r="F96" s="49" t="str">
        <f>IF(C96="","",IF(OR([1]!s_stm_rpt_e(C96,基本资料!$I$8,0)="#N/A",[1]!s_stm_rpt_e(C96,基本资料!$I$8,0)="",[1]!s_stm_rpt_e(C96,基本资料!$I$8,0)=0),[1]!s_stm_rpt_e(C96,基本资料!$I$9,0),[1]!s_stm_rpt_e(C96,基本资料!$I$8,0)))</f>
        <v/>
      </c>
      <c r="G96" s="49" t="str">
        <f>IF(C96="","",[1]!hks_info_cur2(C96,F96))</f>
        <v/>
      </c>
      <c r="H96" s="27" t="str">
        <f>IF(C96="","",[1]!hks_fa_eps_basic(C96,F96,""))</f>
        <v/>
      </c>
      <c r="I96" s="23" t="str">
        <f>IF(C96="","",[1]!hks_fa_eps_adjust2(C96,F96,""))</f>
        <v/>
      </c>
      <c r="J96" s="23" t="str">
        <f>IF(C96="","",[1]!hks_fa_bps(C96,F96,""))</f>
        <v/>
      </c>
      <c r="K96" s="25" t="str">
        <f>IF(C96="","",[1]!hks_fa_ocfps(C96,F96,""))</f>
        <v/>
      </c>
      <c r="L96" s="27" t="str">
        <f>IF(C96="","",[1]!hks_fa_grossprofitmargin(C96,F96))</f>
        <v/>
      </c>
      <c r="M96" s="23" t="str">
        <f>IF(C96="","",[1]!hks_fa_netprofitmargin(C96,F96))</f>
        <v/>
      </c>
      <c r="N96" s="23" t="str">
        <f>IF(C96="","",[1]!hks_fa_roe(C96,F96))</f>
        <v/>
      </c>
      <c r="O96" s="23" t="str">
        <f>IF(C96="","",[1]!hks_fa_roe_deducted(C96,F96))</f>
        <v/>
      </c>
      <c r="P96" s="23" t="str">
        <f>IF(C96="","",[1]!hks_fa_roa2(C96,F96))</f>
        <v/>
      </c>
      <c r="Q96" s="23" t="str">
        <f>IF(C96="","",[1]!hks_fa_roic(C96,F96))</f>
        <v/>
      </c>
      <c r="R96" s="23" t="str">
        <f>IF(C96="","",[1]!hks_fa_dupont_nptosales(C96,F96))</f>
        <v/>
      </c>
      <c r="S96" s="23" t="str">
        <f>IF(C96="","",[1]!hks_fa_dupont_ebittosales(C96,F96))</f>
        <v/>
      </c>
      <c r="T96" s="25" t="str">
        <f>IF(C96="","",[1]!hks_fa_ebitdatosales(C96,F96))</f>
        <v/>
      </c>
      <c r="U96" s="47" t="str">
        <f>IF(C96="","",[1]!hks_fa_optoebt(C96,F96))</f>
        <v/>
      </c>
      <c r="V96" s="25" t="str">
        <f>IF(C96="","",[1]!hks_fa_ocftosales(C96,F96))</f>
        <v/>
      </c>
      <c r="W96" s="27" t="str">
        <f>IF(C96="","",[1]!hks_fa_debttoassets(C96,F96))</f>
        <v/>
      </c>
      <c r="X96" s="23" t="str">
        <f>IF(C96="","",[1]!s_fa_debttoeqy(C96,F96))</f>
        <v/>
      </c>
      <c r="Y96" s="23" t="str">
        <f>IF(C96="","",[1]!hks_fa_catoassets(C96,F96))</f>
        <v/>
      </c>
      <c r="Z96" s="23" t="str">
        <f>IF(C96="","",[1]!hks_fa_ncatoassets(C96,F96))</f>
        <v/>
      </c>
      <c r="AA96" s="23" t="str">
        <f>IF(C96="","",[1]!hks_fa_currentdebttodebt(C96,F96))</f>
        <v/>
      </c>
      <c r="AB96" s="25" t="str">
        <f>IF(C96="","",[1]!hks_fa_longdebtodebt(C96,F96))</f>
        <v/>
      </c>
      <c r="AC96" s="25" t="str">
        <f>IF(C96="","",[1]!hks_fa_current(C96,F96))</f>
        <v/>
      </c>
      <c r="AD96" s="25" t="str">
        <f>IF(C96="","",[1]!hks_fa_quick(C96,F96))</f>
        <v/>
      </c>
      <c r="AE96" s="25" t="str">
        <f>IF(C96="","",[1]!hks_fa_ebittointerest(C96,F96))</f>
        <v/>
      </c>
      <c r="AF96" s="25" t="str">
        <f>IF(C96="","",[1]!hks_fa_netdebtratio(C96,F96))</f>
        <v/>
      </c>
      <c r="AG96" s="27" t="str">
        <f>IF(C96="","",[1]!hks_fa_arturn(C96,F96))</f>
        <v/>
      </c>
      <c r="AH96" s="23" t="str">
        <f>IF(C96="","",[1]!hks_fa_apturn(C96,F96))</f>
        <v/>
      </c>
      <c r="AI96" s="23" t="str">
        <f>IF(C96="","",[1]!hks_fa_invturn(C96,F96))</f>
        <v/>
      </c>
      <c r="AJ96" s="23" t="str">
        <f>IF(C96="","",[1]!hks_fa_caturn(C96,F96))</f>
        <v/>
      </c>
      <c r="AK96" s="23" t="str">
        <f>IF(C96="","",[1]!hks_fa_faturn(C96,F96))</f>
        <v/>
      </c>
      <c r="AL96" s="25" t="str">
        <f>IF(C96="","",[1]!hks_fa_assetsturn(C96,F96))</f>
        <v/>
      </c>
      <c r="AM96" s="23" t="str">
        <f>IF(C96="","",[1]!hks_fa_yoy_tr(C96,F96))</f>
        <v/>
      </c>
      <c r="AN96" s="23" t="str">
        <f>IF(C96="","",[1]!hks_fa_yoy_or(C96,F96))</f>
        <v/>
      </c>
      <c r="AO96" s="23" t="str">
        <f>IF(C96="","",[1]!hks_fa_yoyop2(C96,F96))</f>
        <v/>
      </c>
      <c r="AP96" s="23" t="str">
        <f>IF(C96="","",[1]!hks_fa_yoyebt(C96,F96))</f>
        <v/>
      </c>
      <c r="AQ96" s="23" t="str">
        <f>IF(C96="","",[1]!hks_fa_yoynetprofit(C96,F96))</f>
        <v/>
      </c>
      <c r="AR96" s="23" t="str">
        <f>IF(C96="","",[1]!hks_fa_dupont_np(C96,F96))</f>
        <v/>
      </c>
      <c r="AS96" s="23" t="str">
        <f>IF(C96="","",[1]!hks_fa_dupont_taxburden(C96,F96))</f>
        <v/>
      </c>
      <c r="AT96" s="23" t="str">
        <f>IF(C96="","",[1]!s_fa_dupont_nptosales(C96,F96))</f>
        <v/>
      </c>
      <c r="AU96" s="23" t="str">
        <f>IF(C96="","",[1]!s_fa_dupont_roe(C96,F96))</f>
        <v/>
      </c>
      <c r="AV96" s="23" t="str">
        <f>IF(C96="","",[1]!hks_fa_dupont_intburden(C96,F96))</f>
        <v/>
      </c>
      <c r="AW96" s="23" t="str">
        <f>IF(C96="","",[1]!hks_fa_dupont_assetstoequity(C96,F96))</f>
        <v/>
      </c>
      <c r="AX96" s="23" t="str">
        <f>IF(C96="","",[1]!s_fa_dupont_ebittosales(C96,F96))</f>
        <v/>
      </c>
      <c r="AY96" s="23" t="str">
        <f>IF(C96="","",[1]!hks_fa_assetsturn(C96,F96))</f>
        <v/>
      </c>
      <c r="AZ96" s="23" t="str">
        <f>IF(C96="","",[1]!hks_fa_grossmargin2(C96,F96,"",100000000))</f>
        <v/>
      </c>
      <c r="BA96" s="23" t="str">
        <f>IF(C96="","",[1]!hks_fa_ebit3(C96,F96,1,"",100000000))</f>
        <v/>
      </c>
      <c r="BB96" s="23" t="str">
        <f>IF(C96="","",[1]!hks_fa_ebitda(C96,F96,1,"",100000000))</f>
        <v/>
      </c>
      <c r="BC96" s="23" t="str">
        <f>IF(C96="","",[1]!hks_fa_ebit(C96,F96,1,"",100000000))</f>
        <v/>
      </c>
      <c r="BD96" s="23" t="str">
        <f>IF(C96="","",[1]!hks_fa_ebitda(C96,F96,1,"",100000000))</f>
        <v/>
      </c>
      <c r="BE96" s="23" t="str">
        <f>IF(C96="","",[1]!hks_fa_nogaapprofit(C96,F96,1,"",100000000))</f>
        <v/>
      </c>
      <c r="BF96" s="23" t="str">
        <f>IF(C96="","",[1]!hks_fa_deductedprofit(C96,F96,1,"",100000000))</f>
        <v/>
      </c>
      <c r="BG96" s="23" t="str">
        <f>IF(C96="","",[1]!hks_fa_retainedearnings2(C96,F96,"",100000000))</f>
        <v/>
      </c>
      <c r="BH96" s="23" t="str">
        <f>IF(C96="","",[1]!hks_fa_workingcapital2(C96,F96,"",100000000))</f>
        <v/>
      </c>
      <c r="BI96" s="23" t="str">
        <f>IF(C96="","",[1]!hks_fa_networkingcapital2(C96,F96,"",100000000))</f>
        <v/>
      </c>
      <c r="BJ96" s="23" t="str">
        <f>IF(C96="","",[1]!hks_fa_investcapital2(C96,F96,"",100000000))</f>
        <v/>
      </c>
      <c r="BK96" s="23" t="str">
        <f>IF(C96="","",[1]!hks_fa_tangibleasset2(C96,F96,"",100000000))</f>
        <v/>
      </c>
      <c r="BL96" s="23" t="str">
        <f>IF(C96="","",[1]!hks_fa_netdebt2(C96,F96,"",100000000))</f>
        <v/>
      </c>
      <c r="BM96" s="23" t="str">
        <f>IF(C96="","",[1]!hks_fa_interestdebt2(C96,F96,"",100000000))</f>
        <v/>
      </c>
      <c r="BN96" s="23" t="str">
        <f>IF(C96="","",[1]!hks_fa_exinterestdebt_current(C96,F96,"",100000000))</f>
        <v/>
      </c>
      <c r="BO96" s="23" t="str">
        <f>IF(C96="","",[1]!hks_fa_exinterestdebt_noncurrent2(C96,F96,"",100000000))</f>
        <v/>
      </c>
      <c r="BP96" s="23" t="str">
        <f>IF(C96="","",[1]!hks_fa_fcfe2(C96,F96,"",100000000))</f>
        <v/>
      </c>
      <c r="BQ96" s="23" t="str">
        <f>IF(C96="","",[1]!hks_fa_fcff2(C96,F96,"",100000000))</f>
        <v/>
      </c>
      <c r="BR96" s="35"/>
    </row>
    <row r="97" spans="1:70" s="36" customFormat="1" ht="16.5" x14ac:dyDescent="0.2">
      <c r="A97" s="2"/>
      <c r="B97" s="6"/>
      <c r="C97" s="28" t="str">
        <f>IF(表1[[#This Row],[列1]]="","",表1[[#This Row],[列1]])</f>
        <v/>
      </c>
      <c r="D97" s="19" t="str">
        <f>IF(C97="","",[1]!hks_info_name(C97))</f>
        <v/>
      </c>
      <c r="E97" s="19" t="str">
        <f ca="1">IF(C97="","",[1]!lastradeday_s(C97,TODAY()))</f>
        <v/>
      </c>
      <c r="F97" s="49" t="str">
        <f>IF(C97="","",IF(OR([1]!s_stm_rpt_e(C97,基本资料!$I$8,0)="#N/A",[1]!s_stm_rpt_e(C97,基本资料!$I$8,0)="",[1]!s_stm_rpt_e(C97,基本资料!$I$8,0)=0),[1]!s_stm_rpt_e(C97,基本资料!$I$9,0),[1]!s_stm_rpt_e(C97,基本资料!$I$8,0)))</f>
        <v/>
      </c>
      <c r="G97" s="49" t="str">
        <f>IF(C97="","",[1]!hks_info_cur2(C97,F97))</f>
        <v/>
      </c>
      <c r="H97" s="27" t="str">
        <f>IF(C97="","",[1]!hks_fa_eps_basic(C97,F97,""))</f>
        <v/>
      </c>
      <c r="I97" s="23" t="str">
        <f>IF(C97="","",[1]!hks_fa_eps_adjust2(C97,F97,""))</f>
        <v/>
      </c>
      <c r="J97" s="23" t="str">
        <f>IF(C97="","",[1]!hks_fa_bps(C97,F97,""))</f>
        <v/>
      </c>
      <c r="K97" s="25" t="str">
        <f>IF(C97="","",[1]!hks_fa_ocfps(C97,F97,""))</f>
        <v/>
      </c>
      <c r="L97" s="27" t="str">
        <f>IF(C97="","",[1]!hks_fa_grossprofitmargin(C97,F97))</f>
        <v/>
      </c>
      <c r="M97" s="23" t="str">
        <f>IF(C97="","",[1]!hks_fa_netprofitmargin(C97,F97))</f>
        <v/>
      </c>
      <c r="N97" s="23" t="str">
        <f>IF(C97="","",[1]!hks_fa_roe(C97,F97))</f>
        <v/>
      </c>
      <c r="O97" s="23" t="str">
        <f>IF(C97="","",[1]!hks_fa_roe_deducted(C97,F97))</f>
        <v/>
      </c>
      <c r="P97" s="23" t="str">
        <f>IF(C97="","",[1]!hks_fa_roa2(C97,F97))</f>
        <v/>
      </c>
      <c r="Q97" s="23" t="str">
        <f>IF(C97="","",[1]!hks_fa_roic(C97,F97))</f>
        <v/>
      </c>
      <c r="R97" s="23" t="str">
        <f>IF(C97="","",[1]!hks_fa_dupont_nptosales(C97,F97))</f>
        <v/>
      </c>
      <c r="S97" s="23" t="str">
        <f>IF(C97="","",[1]!hks_fa_dupont_ebittosales(C97,F97))</f>
        <v/>
      </c>
      <c r="T97" s="25" t="str">
        <f>IF(C97="","",[1]!hks_fa_ebitdatosales(C97,F97))</f>
        <v/>
      </c>
      <c r="U97" s="47" t="str">
        <f>IF(C97="","",[1]!hks_fa_optoebt(C97,F97))</f>
        <v/>
      </c>
      <c r="V97" s="25" t="str">
        <f>IF(C97="","",[1]!hks_fa_ocftosales(C97,F97))</f>
        <v/>
      </c>
      <c r="W97" s="27" t="str">
        <f>IF(C97="","",[1]!hks_fa_debttoassets(C97,F97))</f>
        <v/>
      </c>
      <c r="X97" s="23" t="str">
        <f>IF(C97="","",[1]!s_fa_debttoeqy(C97,F97))</f>
        <v/>
      </c>
      <c r="Y97" s="23" t="str">
        <f>IF(C97="","",[1]!hks_fa_catoassets(C97,F97))</f>
        <v/>
      </c>
      <c r="Z97" s="23" t="str">
        <f>IF(C97="","",[1]!hks_fa_ncatoassets(C97,F97))</f>
        <v/>
      </c>
      <c r="AA97" s="23" t="str">
        <f>IF(C97="","",[1]!hks_fa_currentdebttodebt(C97,F97))</f>
        <v/>
      </c>
      <c r="AB97" s="25" t="str">
        <f>IF(C97="","",[1]!hks_fa_longdebtodebt(C97,F97))</f>
        <v/>
      </c>
      <c r="AC97" s="25" t="str">
        <f>IF(C97="","",[1]!hks_fa_current(C97,F97))</f>
        <v/>
      </c>
      <c r="AD97" s="25" t="str">
        <f>IF(C97="","",[1]!hks_fa_quick(C97,F97))</f>
        <v/>
      </c>
      <c r="AE97" s="25" t="str">
        <f>IF(C97="","",[1]!hks_fa_ebittointerest(C97,F97))</f>
        <v/>
      </c>
      <c r="AF97" s="25" t="str">
        <f>IF(C97="","",[1]!hks_fa_netdebtratio(C97,F97))</f>
        <v/>
      </c>
      <c r="AG97" s="27" t="str">
        <f>IF(C97="","",[1]!hks_fa_arturn(C97,F97))</f>
        <v/>
      </c>
      <c r="AH97" s="23" t="str">
        <f>IF(C97="","",[1]!hks_fa_apturn(C97,F97))</f>
        <v/>
      </c>
      <c r="AI97" s="23" t="str">
        <f>IF(C97="","",[1]!hks_fa_invturn(C97,F97))</f>
        <v/>
      </c>
      <c r="AJ97" s="23" t="str">
        <f>IF(C97="","",[1]!hks_fa_caturn(C97,F97))</f>
        <v/>
      </c>
      <c r="AK97" s="23" t="str">
        <f>IF(C97="","",[1]!hks_fa_faturn(C97,F97))</f>
        <v/>
      </c>
      <c r="AL97" s="25" t="str">
        <f>IF(C97="","",[1]!hks_fa_assetsturn(C97,F97))</f>
        <v/>
      </c>
      <c r="AM97" s="23" t="str">
        <f>IF(C97="","",[1]!hks_fa_yoy_tr(C97,F97))</f>
        <v/>
      </c>
      <c r="AN97" s="23" t="str">
        <f>IF(C97="","",[1]!hks_fa_yoy_or(C97,F97))</f>
        <v/>
      </c>
      <c r="AO97" s="23" t="str">
        <f>IF(C97="","",[1]!hks_fa_yoyop2(C97,F97))</f>
        <v/>
      </c>
      <c r="AP97" s="23" t="str">
        <f>IF(C97="","",[1]!hks_fa_yoyebt(C97,F97))</f>
        <v/>
      </c>
      <c r="AQ97" s="23" t="str">
        <f>IF(C97="","",[1]!hks_fa_yoynetprofit(C97,F97))</f>
        <v/>
      </c>
      <c r="AR97" s="23" t="str">
        <f>IF(C97="","",[1]!hks_fa_dupont_np(C97,F97))</f>
        <v/>
      </c>
      <c r="AS97" s="23" t="str">
        <f>IF(C97="","",[1]!hks_fa_dupont_taxburden(C97,F97))</f>
        <v/>
      </c>
      <c r="AT97" s="23" t="str">
        <f>IF(C97="","",[1]!s_fa_dupont_nptosales(C97,F97))</f>
        <v/>
      </c>
      <c r="AU97" s="23" t="str">
        <f>IF(C97="","",[1]!s_fa_dupont_roe(C97,F97))</f>
        <v/>
      </c>
      <c r="AV97" s="23" t="str">
        <f>IF(C97="","",[1]!hks_fa_dupont_intburden(C97,F97))</f>
        <v/>
      </c>
      <c r="AW97" s="23" t="str">
        <f>IF(C97="","",[1]!hks_fa_dupont_assetstoequity(C97,F97))</f>
        <v/>
      </c>
      <c r="AX97" s="23" t="str">
        <f>IF(C97="","",[1]!s_fa_dupont_ebittosales(C97,F97))</f>
        <v/>
      </c>
      <c r="AY97" s="23" t="str">
        <f>IF(C97="","",[1]!hks_fa_assetsturn(C97,F97))</f>
        <v/>
      </c>
      <c r="AZ97" s="23" t="str">
        <f>IF(C97="","",[1]!hks_fa_grossmargin2(C97,F97,"",100000000))</f>
        <v/>
      </c>
      <c r="BA97" s="23" t="str">
        <f>IF(C97="","",[1]!hks_fa_ebit3(C97,F97,1,"",100000000))</f>
        <v/>
      </c>
      <c r="BB97" s="23" t="str">
        <f>IF(C97="","",[1]!hks_fa_ebitda(C97,F97,1,"",100000000))</f>
        <v/>
      </c>
      <c r="BC97" s="23" t="str">
        <f>IF(C97="","",[1]!hks_fa_ebit(C97,F97,1,"",100000000))</f>
        <v/>
      </c>
      <c r="BD97" s="23" t="str">
        <f>IF(C97="","",[1]!hks_fa_ebitda(C97,F97,1,"",100000000))</f>
        <v/>
      </c>
      <c r="BE97" s="23" t="str">
        <f>IF(C97="","",[1]!hks_fa_nogaapprofit(C97,F97,1,"",100000000))</f>
        <v/>
      </c>
      <c r="BF97" s="23" t="str">
        <f>IF(C97="","",[1]!hks_fa_deductedprofit(C97,F97,1,"",100000000))</f>
        <v/>
      </c>
      <c r="BG97" s="23" t="str">
        <f>IF(C97="","",[1]!hks_fa_retainedearnings2(C97,F97,"",100000000))</f>
        <v/>
      </c>
      <c r="BH97" s="23" t="str">
        <f>IF(C97="","",[1]!hks_fa_workingcapital2(C97,F97,"",100000000))</f>
        <v/>
      </c>
      <c r="BI97" s="23" t="str">
        <f>IF(C97="","",[1]!hks_fa_networkingcapital2(C97,F97,"",100000000))</f>
        <v/>
      </c>
      <c r="BJ97" s="23" t="str">
        <f>IF(C97="","",[1]!hks_fa_investcapital2(C97,F97,"",100000000))</f>
        <v/>
      </c>
      <c r="BK97" s="23" t="str">
        <f>IF(C97="","",[1]!hks_fa_tangibleasset2(C97,F97,"",100000000))</f>
        <v/>
      </c>
      <c r="BL97" s="23" t="str">
        <f>IF(C97="","",[1]!hks_fa_netdebt2(C97,F97,"",100000000))</f>
        <v/>
      </c>
      <c r="BM97" s="23" t="str">
        <f>IF(C97="","",[1]!hks_fa_interestdebt2(C97,F97,"",100000000))</f>
        <v/>
      </c>
      <c r="BN97" s="23" t="str">
        <f>IF(C97="","",[1]!hks_fa_exinterestdebt_current(C97,F97,"",100000000))</f>
        <v/>
      </c>
      <c r="BO97" s="23" t="str">
        <f>IF(C97="","",[1]!hks_fa_exinterestdebt_noncurrent2(C97,F97,"",100000000))</f>
        <v/>
      </c>
      <c r="BP97" s="23" t="str">
        <f>IF(C97="","",[1]!hks_fa_fcfe2(C97,F97,"",100000000))</f>
        <v/>
      </c>
      <c r="BQ97" s="23" t="str">
        <f>IF(C97="","",[1]!hks_fa_fcff2(C97,F97,"",100000000))</f>
        <v/>
      </c>
      <c r="BR97" s="35"/>
    </row>
    <row r="98" spans="1:70" s="36" customFormat="1" ht="16.5" x14ac:dyDescent="0.2">
      <c r="A98" s="2"/>
      <c r="B98" s="6"/>
      <c r="C98" s="28" t="str">
        <f>IF(表1[[#This Row],[列1]]="","",表1[[#This Row],[列1]])</f>
        <v/>
      </c>
      <c r="D98" s="19" t="str">
        <f>IF(C98="","",[1]!hks_info_name(C98))</f>
        <v/>
      </c>
      <c r="E98" s="19" t="str">
        <f ca="1">IF(C98="","",[1]!lastradeday_s(C98,TODAY()))</f>
        <v/>
      </c>
      <c r="F98" s="49" t="str">
        <f>IF(C98="","",IF(OR([1]!s_stm_rpt_e(C98,基本资料!$I$8,0)="#N/A",[1]!s_stm_rpt_e(C98,基本资料!$I$8,0)="",[1]!s_stm_rpt_e(C98,基本资料!$I$8,0)=0),[1]!s_stm_rpt_e(C98,基本资料!$I$9,0),[1]!s_stm_rpt_e(C98,基本资料!$I$8,0)))</f>
        <v/>
      </c>
      <c r="G98" s="49" t="str">
        <f>IF(C98="","",[1]!hks_info_cur2(C98,F98))</f>
        <v/>
      </c>
      <c r="H98" s="27" t="str">
        <f>IF(C98="","",[1]!hks_fa_eps_basic(C98,F98,""))</f>
        <v/>
      </c>
      <c r="I98" s="23" t="str">
        <f>IF(C98="","",[1]!hks_fa_eps_adjust2(C98,F98,""))</f>
        <v/>
      </c>
      <c r="J98" s="23" t="str">
        <f>IF(C98="","",[1]!hks_fa_bps(C98,F98,""))</f>
        <v/>
      </c>
      <c r="K98" s="25" t="str">
        <f>IF(C98="","",[1]!hks_fa_ocfps(C98,F98,""))</f>
        <v/>
      </c>
      <c r="L98" s="27" t="str">
        <f>IF(C98="","",[1]!hks_fa_grossprofitmargin(C98,F98))</f>
        <v/>
      </c>
      <c r="M98" s="23" t="str">
        <f>IF(C98="","",[1]!hks_fa_netprofitmargin(C98,F98))</f>
        <v/>
      </c>
      <c r="N98" s="23" t="str">
        <f>IF(C98="","",[1]!hks_fa_roe(C98,F98))</f>
        <v/>
      </c>
      <c r="O98" s="23" t="str">
        <f>IF(C98="","",[1]!hks_fa_roe_deducted(C98,F98))</f>
        <v/>
      </c>
      <c r="P98" s="23" t="str">
        <f>IF(C98="","",[1]!hks_fa_roa2(C98,F98))</f>
        <v/>
      </c>
      <c r="Q98" s="23" t="str">
        <f>IF(C98="","",[1]!hks_fa_roic(C98,F98))</f>
        <v/>
      </c>
      <c r="R98" s="23" t="str">
        <f>IF(C98="","",[1]!hks_fa_dupont_nptosales(C98,F98))</f>
        <v/>
      </c>
      <c r="S98" s="23" t="str">
        <f>IF(C98="","",[1]!hks_fa_dupont_ebittosales(C98,F98))</f>
        <v/>
      </c>
      <c r="T98" s="25" t="str">
        <f>IF(C98="","",[1]!hks_fa_ebitdatosales(C98,F98))</f>
        <v/>
      </c>
      <c r="U98" s="47" t="str">
        <f>IF(C98="","",[1]!hks_fa_optoebt(C98,F98))</f>
        <v/>
      </c>
      <c r="V98" s="25" t="str">
        <f>IF(C98="","",[1]!hks_fa_ocftosales(C98,F98))</f>
        <v/>
      </c>
      <c r="W98" s="27" t="str">
        <f>IF(C98="","",[1]!hks_fa_debttoassets(C98,F98))</f>
        <v/>
      </c>
      <c r="X98" s="23" t="str">
        <f>IF(C98="","",[1]!s_fa_debttoeqy(C98,F98))</f>
        <v/>
      </c>
      <c r="Y98" s="23" t="str">
        <f>IF(C98="","",[1]!hks_fa_catoassets(C98,F98))</f>
        <v/>
      </c>
      <c r="Z98" s="23" t="str">
        <f>IF(C98="","",[1]!hks_fa_ncatoassets(C98,F98))</f>
        <v/>
      </c>
      <c r="AA98" s="23" t="str">
        <f>IF(C98="","",[1]!hks_fa_currentdebttodebt(C98,F98))</f>
        <v/>
      </c>
      <c r="AB98" s="25" t="str">
        <f>IF(C98="","",[1]!hks_fa_longdebtodebt(C98,F98))</f>
        <v/>
      </c>
      <c r="AC98" s="25" t="str">
        <f>IF(C98="","",[1]!hks_fa_current(C98,F98))</f>
        <v/>
      </c>
      <c r="AD98" s="25" t="str">
        <f>IF(C98="","",[1]!hks_fa_quick(C98,F98))</f>
        <v/>
      </c>
      <c r="AE98" s="25" t="str">
        <f>IF(C98="","",[1]!hks_fa_ebittointerest(C98,F98))</f>
        <v/>
      </c>
      <c r="AF98" s="25" t="str">
        <f>IF(C98="","",[1]!hks_fa_netdebtratio(C98,F98))</f>
        <v/>
      </c>
      <c r="AG98" s="27" t="str">
        <f>IF(C98="","",[1]!hks_fa_arturn(C98,F98))</f>
        <v/>
      </c>
      <c r="AH98" s="23" t="str">
        <f>IF(C98="","",[1]!hks_fa_apturn(C98,F98))</f>
        <v/>
      </c>
      <c r="AI98" s="23" t="str">
        <f>IF(C98="","",[1]!hks_fa_invturn(C98,F98))</f>
        <v/>
      </c>
      <c r="AJ98" s="23" t="str">
        <f>IF(C98="","",[1]!hks_fa_caturn(C98,F98))</f>
        <v/>
      </c>
      <c r="AK98" s="23" t="str">
        <f>IF(C98="","",[1]!hks_fa_faturn(C98,F98))</f>
        <v/>
      </c>
      <c r="AL98" s="25" t="str">
        <f>IF(C98="","",[1]!hks_fa_assetsturn(C98,F98))</f>
        <v/>
      </c>
      <c r="AM98" s="23" t="str">
        <f>IF(C98="","",[1]!hks_fa_yoy_tr(C98,F98))</f>
        <v/>
      </c>
      <c r="AN98" s="23" t="str">
        <f>IF(C98="","",[1]!hks_fa_yoy_or(C98,F98))</f>
        <v/>
      </c>
      <c r="AO98" s="23" t="str">
        <f>IF(C98="","",[1]!hks_fa_yoyop2(C98,F98))</f>
        <v/>
      </c>
      <c r="AP98" s="23" t="str">
        <f>IF(C98="","",[1]!hks_fa_yoyebt(C98,F98))</f>
        <v/>
      </c>
      <c r="AQ98" s="23" t="str">
        <f>IF(C98="","",[1]!hks_fa_yoynetprofit(C98,F98))</f>
        <v/>
      </c>
      <c r="AR98" s="23" t="str">
        <f>IF(C98="","",[1]!hks_fa_dupont_np(C98,F98))</f>
        <v/>
      </c>
      <c r="AS98" s="23" t="str">
        <f>IF(C98="","",[1]!hks_fa_dupont_taxburden(C98,F98))</f>
        <v/>
      </c>
      <c r="AT98" s="23" t="str">
        <f>IF(C98="","",[1]!s_fa_dupont_nptosales(C98,F98))</f>
        <v/>
      </c>
      <c r="AU98" s="23" t="str">
        <f>IF(C98="","",[1]!s_fa_dupont_roe(C98,F98))</f>
        <v/>
      </c>
      <c r="AV98" s="23" t="str">
        <f>IF(C98="","",[1]!hks_fa_dupont_intburden(C98,F98))</f>
        <v/>
      </c>
      <c r="AW98" s="23" t="str">
        <f>IF(C98="","",[1]!hks_fa_dupont_assetstoequity(C98,F98))</f>
        <v/>
      </c>
      <c r="AX98" s="23" t="str">
        <f>IF(C98="","",[1]!s_fa_dupont_ebittosales(C98,F98))</f>
        <v/>
      </c>
      <c r="AY98" s="23" t="str">
        <f>IF(C98="","",[1]!hks_fa_assetsturn(C98,F98))</f>
        <v/>
      </c>
      <c r="AZ98" s="23" t="str">
        <f>IF(C98="","",[1]!hks_fa_grossmargin2(C98,F98,"",100000000))</f>
        <v/>
      </c>
      <c r="BA98" s="23" t="str">
        <f>IF(C98="","",[1]!hks_fa_ebit3(C98,F98,1,"",100000000))</f>
        <v/>
      </c>
      <c r="BB98" s="23" t="str">
        <f>IF(C98="","",[1]!hks_fa_ebitda(C98,F98,1,"",100000000))</f>
        <v/>
      </c>
      <c r="BC98" s="23" t="str">
        <f>IF(C98="","",[1]!hks_fa_ebit(C98,F98,1,"",100000000))</f>
        <v/>
      </c>
      <c r="BD98" s="23" t="str">
        <f>IF(C98="","",[1]!hks_fa_ebitda(C98,F98,1,"",100000000))</f>
        <v/>
      </c>
      <c r="BE98" s="23" t="str">
        <f>IF(C98="","",[1]!hks_fa_nogaapprofit(C98,F98,1,"",100000000))</f>
        <v/>
      </c>
      <c r="BF98" s="23" t="str">
        <f>IF(C98="","",[1]!hks_fa_deductedprofit(C98,F98,1,"",100000000))</f>
        <v/>
      </c>
      <c r="BG98" s="23" t="str">
        <f>IF(C98="","",[1]!hks_fa_retainedearnings2(C98,F98,"",100000000))</f>
        <v/>
      </c>
      <c r="BH98" s="23" t="str">
        <f>IF(C98="","",[1]!hks_fa_workingcapital2(C98,F98,"",100000000))</f>
        <v/>
      </c>
      <c r="BI98" s="23" t="str">
        <f>IF(C98="","",[1]!hks_fa_networkingcapital2(C98,F98,"",100000000))</f>
        <v/>
      </c>
      <c r="BJ98" s="23" t="str">
        <f>IF(C98="","",[1]!hks_fa_investcapital2(C98,F98,"",100000000))</f>
        <v/>
      </c>
      <c r="BK98" s="23" t="str">
        <f>IF(C98="","",[1]!hks_fa_tangibleasset2(C98,F98,"",100000000))</f>
        <v/>
      </c>
      <c r="BL98" s="23" t="str">
        <f>IF(C98="","",[1]!hks_fa_netdebt2(C98,F98,"",100000000))</f>
        <v/>
      </c>
      <c r="BM98" s="23" t="str">
        <f>IF(C98="","",[1]!hks_fa_interestdebt2(C98,F98,"",100000000))</f>
        <v/>
      </c>
      <c r="BN98" s="23" t="str">
        <f>IF(C98="","",[1]!hks_fa_exinterestdebt_current(C98,F98,"",100000000))</f>
        <v/>
      </c>
      <c r="BO98" s="23" t="str">
        <f>IF(C98="","",[1]!hks_fa_exinterestdebt_noncurrent2(C98,F98,"",100000000))</f>
        <v/>
      </c>
      <c r="BP98" s="23" t="str">
        <f>IF(C98="","",[1]!hks_fa_fcfe2(C98,F98,"",100000000))</f>
        <v/>
      </c>
      <c r="BQ98" s="23" t="str">
        <f>IF(C98="","",[1]!hks_fa_fcff2(C98,F98,"",100000000))</f>
        <v/>
      </c>
      <c r="BR98" s="35"/>
    </row>
    <row r="99" spans="1:70" s="36" customFormat="1" ht="16.5" x14ac:dyDescent="0.2">
      <c r="A99" s="2"/>
      <c r="B99" s="6"/>
      <c r="C99" s="28" t="str">
        <f>IF(表1[[#This Row],[列1]]="","",表1[[#This Row],[列1]])</f>
        <v/>
      </c>
      <c r="D99" s="19" t="str">
        <f>IF(C99="","",[1]!hks_info_name(C99))</f>
        <v/>
      </c>
      <c r="E99" s="19" t="str">
        <f ca="1">IF(C99="","",[1]!lastradeday_s(C99,TODAY()))</f>
        <v/>
      </c>
      <c r="F99" s="49" t="str">
        <f>IF(C99="","",IF(OR([1]!s_stm_rpt_e(C99,基本资料!$I$8,0)="#N/A",[1]!s_stm_rpt_e(C99,基本资料!$I$8,0)="",[1]!s_stm_rpt_e(C99,基本资料!$I$8,0)=0),[1]!s_stm_rpt_e(C99,基本资料!$I$9,0),[1]!s_stm_rpt_e(C99,基本资料!$I$8,0)))</f>
        <v/>
      </c>
      <c r="G99" s="49" t="str">
        <f>IF(C99="","",[1]!hks_info_cur2(C99,F99))</f>
        <v/>
      </c>
      <c r="H99" s="27" t="str">
        <f>IF(C99="","",[1]!hks_fa_eps_basic(C99,F99,""))</f>
        <v/>
      </c>
      <c r="I99" s="23" t="str">
        <f>IF(C99="","",[1]!hks_fa_eps_adjust2(C99,F99,""))</f>
        <v/>
      </c>
      <c r="J99" s="23" t="str">
        <f>IF(C99="","",[1]!hks_fa_bps(C99,F99,""))</f>
        <v/>
      </c>
      <c r="K99" s="25" t="str">
        <f>IF(C99="","",[1]!hks_fa_ocfps(C99,F99,""))</f>
        <v/>
      </c>
      <c r="L99" s="27" t="str">
        <f>IF(C99="","",[1]!hks_fa_grossprofitmargin(C99,F99))</f>
        <v/>
      </c>
      <c r="M99" s="23" t="str">
        <f>IF(C99="","",[1]!hks_fa_netprofitmargin(C99,F99))</f>
        <v/>
      </c>
      <c r="N99" s="23" t="str">
        <f>IF(C99="","",[1]!hks_fa_roe(C99,F99))</f>
        <v/>
      </c>
      <c r="O99" s="23" t="str">
        <f>IF(C99="","",[1]!hks_fa_roe_deducted(C99,F99))</f>
        <v/>
      </c>
      <c r="P99" s="23" t="str">
        <f>IF(C99="","",[1]!hks_fa_roa2(C99,F99))</f>
        <v/>
      </c>
      <c r="Q99" s="23" t="str">
        <f>IF(C99="","",[1]!hks_fa_roic(C99,F99))</f>
        <v/>
      </c>
      <c r="R99" s="23" t="str">
        <f>IF(C99="","",[1]!hks_fa_dupont_nptosales(C99,F99))</f>
        <v/>
      </c>
      <c r="S99" s="23" t="str">
        <f>IF(C99="","",[1]!hks_fa_dupont_ebittosales(C99,F99))</f>
        <v/>
      </c>
      <c r="T99" s="25" t="str">
        <f>IF(C99="","",[1]!hks_fa_ebitdatosales(C99,F99))</f>
        <v/>
      </c>
      <c r="U99" s="47" t="str">
        <f>IF(C99="","",[1]!hks_fa_optoebt(C99,F99))</f>
        <v/>
      </c>
      <c r="V99" s="25" t="str">
        <f>IF(C99="","",[1]!hks_fa_ocftosales(C99,F99))</f>
        <v/>
      </c>
      <c r="W99" s="27" t="str">
        <f>IF(C99="","",[1]!hks_fa_debttoassets(C99,F99))</f>
        <v/>
      </c>
      <c r="X99" s="23" t="str">
        <f>IF(C99="","",[1]!s_fa_debttoeqy(C99,F99))</f>
        <v/>
      </c>
      <c r="Y99" s="23" t="str">
        <f>IF(C99="","",[1]!hks_fa_catoassets(C99,F99))</f>
        <v/>
      </c>
      <c r="Z99" s="23" t="str">
        <f>IF(C99="","",[1]!hks_fa_ncatoassets(C99,F99))</f>
        <v/>
      </c>
      <c r="AA99" s="23" t="str">
        <f>IF(C99="","",[1]!hks_fa_currentdebttodebt(C99,F99))</f>
        <v/>
      </c>
      <c r="AB99" s="25" t="str">
        <f>IF(C99="","",[1]!hks_fa_longdebtodebt(C99,F99))</f>
        <v/>
      </c>
      <c r="AC99" s="25" t="str">
        <f>IF(C99="","",[1]!hks_fa_current(C99,F99))</f>
        <v/>
      </c>
      <c r="AD99" s="25" t="str">
        <f>IF(C99="","",[1]!hks_fa_quick(C99,F99))</f>
        <v/>
      </c>
      <c r="AE99" s="25" t="str">
        <f>IF(C99="","",[1]!hks_fa_ebittointerest(C99,F99))</f>
        <v/>
      </c>
      <c r="AF99" s="25" t="str">
        <f>IF(C99="","",[1]!hks_fa_netdebtratio(C99,F99))</f>
        <v/>
      </c>
      <c r="AG99" s="27" t="str">
        <f>IF(C99="","",[1]!hks_fa_arturn(C99,F99))</f>
        <v/>
      </c>
      <c r="AH99" s="23" t="str">
        <f>IF(C99="","",[1]!hks_fa_apturn(C99,F99))</f>
        <v/>
      </c>
      <c r="AI99" s="23" t="str">
        <f>IF(C99="","",[1]!hks_fa_invturn(C99,F99))</f>
        <v/>
      </c>
      <c r="AJ99" s="23" t="str">
        <f>IF(C99="","",[1]!hks_fa_caturn(C99,F99))</f>
        <v/>
      </c>
      <c r="AK99" s="23" t="str">
        <f>IF(C99="","",[1]!hks_fa_faturn(C99,F99))</f>
        <v/>
      </c>
      <c r="AL99" s="25" t="str">
        <f>IF(C99="","",[1]!hks_fa_assetsturn(C99,F99))</f>
        <v/>
      </c>
      <c r="AM99" s="23" t="str">
        <f>IF(C99="","",[1]!hks_fa_yoy_tr(C99,F99))</f>
        <v/>
      </c>
      <c r="AN99" s="23" t="str">
        <f>IF(C99="","",[1]!hks_fa_yoy_or(C99,F99))</f>
        <v/>
      </c>
      <c r="AO99" s="23" t="str">
        <f>IF(C99="","",[1]!hks_fa_yoyop2(C99,F99))</f>
        <v/>
      </c>
      <c r="AP99" s="23" t="str">
        <f>IF(C99="","",[1]!hks_fa_yoyebt(C99,F99))</f>
        <v/>
      </c>
      <c r="AQ99" s="23" t="str">
        <f>IF(C99="","",[1]!hks_fa_yoynetprofit(C99,F99))</f>
        <v/>
      </c>
      <c r="AR99" s="23" t="str">
        <f>IF(C99="","",[1]!hks_fa_dupont_np(C99,F99))</f>
        <v/>
      </c>
      <c r="AS99" s="23" t="str">
        <f>IF(C99="","",[1]!hks_fa_dupont_taxburden(C99,F99))</f>
        <v/>
      </c>
      <c r="AT99" s="23" t="str">
        <f>IF(C99="","",[1]!s_fa_dupont_nptosales(C99,F99))</f>
        <v/>
      </c>
      <c r="AU99" s="23" t="str">
        <f>IF(C99="","",[1]!s_fa_dupont_roe(C99,F99))</f>
        <v/>
      </c>
      <c r="AV99" s="23" t="str">
        <f>IF(C99="","",[1]!hks_fa_dupont_intburden(C99,F99))</f>
        <v/>
      </c>
      <c r="AW99" s="23" t="str">
        <f>IF(C99="","",[1]!hks_fa_dupont_assetstoequity(C99,F99))</f>
        <v/>
      </c>
      <c r="AX99" s="23" t="str">
        <f>IF(C99="","",[1]!s_fa_dupont_ebittosales(C99,F99))</f>
        <v/>
      </c>
      <c r="AY99" s="23" t="str">
        <f>IF(C99="","",[1]!hks_fa_assetsturn(C99,F99))</f>
        <v/>
      </c>
      <c r="AZ99" s="23" t="str">
        <f>IF(C99="","",[1]!hks_fa_grossmargin2(C99,F99,"",100000000))</f>
        <v/>
      </c>
      <c r="BA99" s="23" t="str">
        <f>IF(C99="","",[1]!hks_fa_ebit3(C99,F99,1,"",100000000))</f>
        <v/>
      </c>
      <c r="BB99" s="23" t="str">
        <f>IF(C99="","",[1]!hks_fa_ebitda(C99,F99,1,"",100000000))</f>
        <v/>
      </c>
      <c r="BC99" s="23" t="str">
        <f>IF(C99="","",[1]!hks_fa_ebit(C99,F99,1,"",100000000))</f>
        <v/>
      </c>
      <c r="BD99" s="23" t="str">
        <f>IF(C99="","",[1]!hks_fa_ebitda(C99,F99,1,"",100000000))</f>
        <v/>
      </c>
      <c r="BE99" s="23" t="str">
        <f>IF(C99="","",[1]!hks_fa_nogaapprofit(C99,F99,1,"",100000000))</f>
        <v/>
      </c>
      <c r="BF99" s="23" t="str">
        <f>IF(C99="","",[1]!hks_fa_deductedprofit(C99,F99,1,"",100000000))</f>
        <v/>
      </c>
      <c r="BG99" s="23" t="str">
        <f>IF(C99="","",[1]!hks_fa_retainedearnings2(C99,F99,"",100000000))</f>
        <v/>
      </c>
      <c r="BH99" s="23" t="str">
        <f>IF(C99="","",[1]!hks_fa_workingcapital2(C99,F99,"",100000000))</f>
        <v/>
      </c>
      <c r="BI99" s="23" t="str">
        <f>IF(C99="","",[1]!hks_fa_networkingcapital2(C99,F99,"",100000000))</f>
        <v/>
      </c>
      <c r="BJ99" s="23" t="str">
        <f>IF(C99="","",[1]!hks_fa_investcapital2(C99,F99,"",100000000))</f>
        <v/>
      </c>
      <c r="BK99" s="23" t="str">
        <f>IF(C99="","",[1]!hks_fa_tangibleasset2(C99,F99,"",100000000))</f>
        <v/>
      </c>
      <c r="BL99" s="23" t="str">
        <f>IF(C99="","",[1]!hks_fa_netdebt2(C99,F99,"",100000000))</f>
        <v/>
      </c>
      <c r="BM99" s="23" t="str">
        <f>IF(C99="","",[1]!hks_fa_interestdebt2(C99,F99,"",100000000))</f>
        <v/>
      </c>
      <c r="BN99" s="23" t="str">
        <f>IF(C99="","",[1]!hks_fa_exinterestdebt_current(C99,F99,"",100000000))</f>
        <v/>
      </c>
      <c r="BO99" s="23" t="str">
        <f>IF(C99="","",[1]!hks_fa_exinterestdebt_noncurrent2(C99,F99,"",100000000))</f>
        <v/>
      </c>
      <c r="BP99" s="23" t="str">
        <f>IF(C99="","",[1]!hks_fa_fcfe2(C99,F99,"",100000000))</f>
        <v/>
      </c>
      <c r="BQ99" s="23" t="str">
        <f>IF(C99="","",[1]!hks_fa_fcff2(C99,F99,"",100000000))</f>
        <v/>
      </c>
      <c r="BR99" s="35"/>
    </row>
    <row r="100" spans="1:70" s="36" customFormat="1" ht="16.5" x14ac:dyDescent="0.2">
      <c r="A100" s="2"/>
      <c r="B100" s="6"/>
      <c r="C100" s="28" t="str">
        <f>IF(表1[[#This Row],[列1]]="","",表1[[#This Row],[列1]])</f>
        <v/>
      </c>
      <c r="D100" s="19" t="str">
        <f>IF(C100="","",[1]!hks_info_name(C100))</f>
        <v/>
      </c>
      <c r="E100" s="19" t="str">
        <f ca="1">IF(C100="","",[1]!lastradeday_s(C100,TODAY()))</f>
        <v/>
      </c>
      <c r="F100" s="49" t="str">
        <f>IF(C100="","",IF(OR([1]!s_stm_rpt_e(C100,基本资料!$I$8,0)="#N/A",[1]!s_stm_rpt_e(C100,基本资料!$I$8,0)="",[1]!s_stm_rpt_e(C100,基本资料!$I$8,0)=0),[1]!s_stm_rpt_e(C100,基本资料!$I$9,0),[1]!s_stm_rpt_e(C100,基本资料!$I$8,0)))</f>
        <v/>
      </c>
      <c r="G100" s="49" t="str">
        <f>IF(C100="","",[1]!hks_info_cur2(C100,F100))</f>
        <v/>
      </c>
      <c r="H100" s="27" t="str">
        <f>IF(C100="","",[1]!hks_fa_eps_basic(C100,F100,""))</f>
        <v/>
      </c>
      <c r="I100" s="23" t="str">
        <f>IF(C100="","",[1]!hks_fa_eps_adjust2(C100,F100,""))</f>
        <v/>
      </c>
      <c r="J100" s="23" t="str">
        <f>IF(C100="","",[1]!hks_fa_bps(C100,F100,""))</f>
        <v/>
      </c>
      <c r="K100" s="25" t="str">
        <f>IF(C100="","",[1]!hks_fa_ocfps(C100,F100,""))</f>
        <v/>
      </c>
      <c r="L100" s="27" t="str">
        <f>IF(C100="","",[1]!hks_fa_grossprofitmargin(C100,F100))</f>
        <v/>
      </c>
      <c r="M100" s="23" t="str">
        <f>IF(C100="","",[1]!hks_fa_netprofitmargin(C100,F100))</f>
        <v/>
      </c>
      <c r="N100" s="23" t="str">
        <f>IF(C100="","",[1]!hks_fa_roe(C100,F100))</f>
        <v/>
      </c>
      <c r="O100" s="23" t="str">
        <f>IF(C100="","",[1]!hks_fa_roe_deducted(C100,F100))</f>
        <v/>
      </c>
      <c r="P100" s="23" t="str">
        <f>IF(C100="","",[1]!hks_fa_roa2(C100,F100))</f>
        <v/>
      </c>
      <c r="Q100" s="23" t="str">
        <f>IF(C100="","",[1]!hks_fa_roic(C100,F100))</f>
        <v/>
      </c>
      <c r="R100" s="23" t="str">
        <f>IF(C100="","",[1]!hks_fa_dupont_nptosales(C100,F100))</f>
        <v/>
      </c>
      <c r="S100" s="23" t="str">
        <f>IF(C100="","",[1]!hks_fa_dupont_ebittosales(C100,F100))</f>
        <v/>
      </c>
      <c r="T100" s="25" t="str">
        <f>IF(C100="","",[1]!hks_fa_ebitdatosales(C100,F100))</f>
        <v/>
      </c>
      <c r="U100" s="47" t="str">
        <f>IF(C100="","",[1]!hks_fa_optoebt(C100,F100))</f>
        <v/>
      </c>
      <c r="V100" s="25" t="str">
        <f>IF(C100="","",[1]!hks_fa_ocftosales(C100,F100))</f>
        <v/>
      </c>
      <c r="W100" s="27" t="str">
        <f>IF(C100="","",[1]!hks_fa_debttoassets(C100,F100))</f>
        <v/>
      </c>
      <c r="X100" s="23" t="str">
        <f>IF(C100="","",[1]!s_fa_debttoeqy(C100,F100))</f>
        <v/>
      </c>
      <c r="Y100" s="23" t="str">
        <f>IF(C100="","",[1]!hks_fa_catoassets(C100,F100))</f>
        <v/>
      </c>
      <c r="Z100" s="23" t="str">
        <f>IF(C100="","",[1]!hks_fa_ncatoassets(C100,F100))</f>
        <v/>
      </c>
      <c r="AA100" s="23" t="str">
        <f>IF(C100="","",[1]!hks_fa_currentdebttodebt(C100,F100))</f>
        <v/>
      </c>
      <c r="AB100" s="25" t="str">
        <f>IF(C100="","",[1]!hks_fa_longdebtodebt(C100,F100))</f>
        <v/>
      </c>
      <c r="AC100" s="25" t="str">
        <f>IF(C100="","",[1]!hks_fa_current(C100,F100))</f>
        <v/>
      </c>
      <c r="AD100" s="25" t="str">
        <f>IF(C100="","",[1]!hks_fa_quick(C100,F100))</f>
        <v/>
      </c>
      <c r="AE100" s="25" t="str">
        <f>IF(C100="","",[1]!hks_fa_ebittointerest(C100,F100))</f>
        <v/>
      </c>
      <c r="AF100" s="25" t="str">
        <f>IF(C100="","",[1]!hks_fa_netdebtratio(C100,F100))</f>
        <v/>
      </c>
      <c r="AG100" s="27" t="str">
        <f>IF(C100="","",[1]!hks_fa_arturn(C100,F100))</f>
        <v/>
      </c>
      <c r="AH100" s="23" t="str">
        <f>IF(C100="","",[1]!hks_fa_apturn(C100,F100))</f>
        <v/>
      </c>
      <c r="AI100" s="23" t="str">
        <f>IF(C100="","",[1]!hks_fa_invturn(C100,F100))</f>
        <v/>
      </c>
      <c r="AJ100" s="23" t="str">
        <f>IF(C100="","",[1]!hks_fa_caturn(C100,F100))</f>
        <v/>
      </c>
      <c r="AK100" s="23" t="str">
        <f>IF(C100="","",[1]!hks_fa_faturn(C100,F100))</f>
        <v/>
      </c>
      <c r="AL100" s="25" t="str">
        <f>IF(C100="","",[1]!hks_fa_assetsturn(C100,F100))</f>
        <v/>
      </c>
      <c r="AM100" s="23" t="str">
        <f>IF(C100="","",[1]!hks_fa_yoy_tr(C100,F100))</f>
        <v/>
      </c>
      <c r="AN100" s="23" t="str">
        <f>IF(C100="","",[1]!hks_fa_yoy_or(C100,F100))</f>
        <v/>
      </c>
      <c r="AO100" s="23" t="str">
        <f>IF(C100="","",[1]!hks_fa_yoyop2(C100,F100))</f>
        <v/>
      </c>
      <c r="AP100" s="23" t="str">
        <f>IF(C100="","",[1]!hks_fa_yoyebt(C100,F100))</f>
        <v/>
      </c>
      <c r="AQ100" s="23" t="str">
        <f>IF(C100="","",[1]!hks_fa_yoynetprofit(C100,F100))</f>
        <v/>
      </c>
      <c r="AR100" s="23" t="str">
        <f>IF(C100="","",[1]!hks_fa_dupont_np(C100,F100))</f>
        <v/>
      </c>
      <c r="AS100" s="23" t="str">
        <f>IF(C100="","",[1]!hks_fa_dupont_taxburden(C100,F100))</f>
        <v/>
      </c>
      <c r="AT100" s="23" t="str">
        <f>IF(C100="","",[1]!s_fa_dupont_nptosales(C100,F100))</f>
        <v/>
      </c>
      <c r="AU100" s="23" t="str">
        <f>IF(C100="","",[1]!s_fa_dupont_roe(C100,F100))</f>
        <v/>
      </c>
      <c r="AV100" s="23" t="str">
        <f>IF(C100="","",[1]!hks_fa_dupont_intburden(C100,F100))</f>
        <v/>
      </c>
      <c r="AW100" s="23" t="str">
        <f>IF(C100="","",[1]!hks_fa_dupont_assetstoequity(C100,F100))</f>
        <v/>
      </c>
      <c r="AX100" s="23" t="str">
        <f>IF(C100="","",[1]!s_fa_dupont_ebittosales(C100,F100))</f>
        <v/>
      </c>
      <c r="AY100" s="23" t="str">
        <f>IF(C100="","",[1]!hks_fa_assetsturn(C100,F100))</f>
        <v/>
      </c>
      <c r="AZ100" s="23" t="str">
        <f>IF(C100="","",[1]!hks_fa_grossmargin2(C100,F100,"",100000000))</f>
        <v/>
      </c>
      <c r="BA100" s="23" t="str">
        <f>IF(C100="","",[1]!hks_fa_ebit3(C100,F100,1,"",100000000))</f>
        <v/>
      </c>
      <c r="BB100" s="23" t="str">
        <f>IF(C100="","",[1]!hks_fa_ebitda(C100,F100,1,"",100000000))</f>
        <v/>
      </c>
      <c r="BC100" s="23" t="str">
        <f>IF(C100="","",[1]!hks_fa_ebit(C100,F100,1,"",100000000))</f>
        <v/>
      </c>
      <c r="BD100" s="23" t="str">
        <f>IF(C100="","",[1]!hks_fa_ebitda(C100,F100,1,"",100000000))</f>
        <v/>
      </c>
      <c r="BE100" s="23" t="str">
        <f>IF(C100="","",[1]!hks_fa_nogaapprofit(C100,F100,1,"",100000000))</f>
        <v/>
      </c>
      <c r="BF100" s="23" t="str">
        <f>IF(C100="","",[1]!hks_fa_deductedprofit(C100,F100,1,"",100000000))</f>
        <v/>
      </c>
      <c r="BG100" s="23" t="str">
        <f>IF(C100="","",[1]!hks_fa_retainedearnings2(C100,F100,"",100000000))</f>
        <v/>
      </c>
      <c r="BH100" s="23" t="str">
        <f>IF(C100="","",[1]!hks_fa_workingcapital2(C100,F100,"",100000000))</f>
        <v/>
      </c>
      <c r="BI100" s="23" t="str">
        <f>IF(C100="","",[1]!hks_fa_networkingcapital2(C100,F100,"",100000000))</f>
        <v/>
      </c>
      <c r="BJ100" s="23" t="str">
        <f>IF(C100="","",[1]!hks_fa_investcapital2(C100,F100,"",100000000))</f>
        <v/>
      </c>
      <c r="BK100" s="23" t="str">
        <f>IF(C100="","",[1]!hks_fa_tangibleasset2(C100,F100,"",100000000))</f>
        <v/>
      </c>
      <c r="BL100" s="23" t="str">
        <f>IF(C100="","",[1]!hks_fa_netdebt2(C100,F100,"",100000000))</f>
        <v/>
      </c>
      <c r="BM100" s="23" t="str">
        <f>IF(C100="","",[1]!hks_fa_interestdebt2(C100,F100,"",100000000))</f>
        <v/>
      </c>
      <c r="BN100" s="23" t="str">
        <f>IF(C100="","",[1]!hks_fa_exinterestdebt_current(C100,F100,"",100000000))</f>
        <v/>
      </c>
      <c r="BO100" s="23" t="str">
        <f>IF(C100="","",[1]!hks_fa_exinterestdebt_noncurrent2(C100,F100,"",100000000))</f>
        <v/>
      </c>
      <c r="BP100" s="23" t="str">
        <f>IF(C100="","",[1]!hks_fa_fcfe2(C100,F100,"",100000000))</f>
        <v/>
      </c>
      <c r="BQ100" s="23" t="str">
        <f>IF(C100="","",[1]!hks_fa_fcff2(C100,F100,"",100000000))</f>
        <v/>
      </c>
      <c r="BR100" s="35"/>
    </row>
    <row r="101" spans="1:70" s="36" customFormat="1" ht="9" customHeight="1" x14ac:dyDescent="0.2">
      <c r="A101" s="2"/>
      <c r="B101" s="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</row>
    <row r="102" spans="1:70" s="36" customFormat="1" ht="9" customHeight="1" x14ac:dyDescent="0.2">
      <c r="A102" s="2"/>
      <c r="B102" s="2"/>
    </row>
  </sheetData>
  <mergeCells count="17">
    <mergeCell ref="C6:C7"/>
    <mergeCell ref="D6:D7"/>
    <mergeCell ref="E6:E7"/>
    <mergeCell ref="F6:F7"/>
    <mergeCell ref="G6:G7"/>
    <mergeCell ref="D1:K1"/>
    <mergeCell ref="BP6:BQ6"/>
    <mergeCell ref="AG6:AL6"/>
    <mergeCell ref="AM6:AQ6"/>
    <mergeCell ref="AR6:AY6"/>
    <mergeCell ref="AZ6:BF6"/>
    <mergeCell ref="BG6:BO6"/>
    <mergeCell ref="L6:T6"/>
    <mergeCell ref="U6:V6"/>
    <mergeCell ref="W6:AB6"/>
    <mergeCell ref="AC6:AF6"/>
    <mergeCell ref="H6:K6"/>
  </mergeCells>
  <phoneticPr fontId="2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63636D"/>
    <pageSetUpPr autoPageBreaks="0"/>
  </sheetPr>
  <dimension ref="A1:BT102"/>
  <sheetViews>
    <sheetView showGridLines="0" workbookViewId="0"/>
  </sheetViews>
  <sheetFormatPr defaultRowHeight="14.25" x14ac:dyDescent="0.2"/>
  <cols>
    <col min="1" max="1" width="2.125" style="3" customWidth="1"/>
    <col min="2" max="2" width="1.5" style="3" customWidth="1"/>
    <col min="3" max="3" width="10" style="37" customWidth="1"/>
    <col min="4" max="4" width="9" style="37"/>
    <col min="5" max="5" width="11.125" style="37" customWidth="1"/>
    <col min="6" max="6" width="11.875" style="37" customWidth="1"/>
    <col min="7" max="7" width="10.125" style="37" customWidth="1"/>
    <col min="8" max="9" width="11.5" style="37" customWidth="1"/>
    <col min="10" max="10" width="18.625" style="37" bestFit="1" customWidth="1"/>
    <col min="11" max="11" width="18.125" style="37" bestFit="1" customWidth="1"/>
    <col min="12" max="12" width="20" style="37" bestFit="1" customWidth="1"/>
    <col min="13" max="13" width="18.125" style="37" bestFit="1" customWidth="1"/>
    <col min="14" max="14" width="20" style="37" bestFit="1" customWidth="1"/>
    <col min="15" max="15" width="18.125" style="37" bestFit="1" customWidth="1"/>
    <col min="16" max="16" width="16.625" style="37" bestFit="1" customWidth="1"/>
    <col min="17" max="17" width="20.75" style="37" bestFit="1" customWidth="1"/>
    <col min="18" max="19" width="20" style="37" bestFit="1" customWidth="1"/>
    <col min="20" max="20" width="15" style="37" bestFit="1" customWidth="1"/>
    <col min="21" max="21" width="14.625" style="37" bestFit="1" customWidth="1"/>
    <col min="22" max="22" width="20" style="37" bestFit="1" customWidth="1"/>
    <col min="23" max="23" width="18" style="37" bestFit="1" customWidth="1"/>
    <col min="24" max="24" width="19.875" style="37" bestFit="1" customWidth="1"/>
    <col min="25" max="25" width="18.625" style="37" bestFit="1" customWidth="1"/>
    <col min="26" max="26" width="18.125" style="37" bestFit="1" customWidth="1"/>
    <col min="27" max="27" width="20" style="37" bestFit="1" customWidth="1"/>
    <col min="28" max="28" width="18.125" style="37" bestFit="1" customWidth="1"/>
    <col min="29" max="29" width="20" style="37" bestFit="1" customWidth="1"/>
    <col min="30" max="30" width="18.125" style="37" bestFit="1" customWidth="1"/>
    <col min="31" max="31" width="16.625" style="37" bestFit="1" customWidth="1"/>
    <col min="32" max="32" width="20.75" style="37" bestFit="1" customWidth="1"/>
    <col min="33" max="34" width="20" style="37" bestFit="1" customWidth="1"/>
    <col min="35" max="35" width="15" style="37" bestFit="1" customWidth="1"/>
    <col min="36" max="36" width="14.625" style="37" bestFit="1" customWidth="1"/>
    <col min="37" max="37" width="20" style="37" bestFit="1" customWidth="1"/>
    <col min="38" max="38" width="18" style="37" bestFit="1" customWidth="1"/>
    <col min="39" max="39" width="19.875" style="37" bestFit="1" customWidth="1"/>
    <col min="40" max="40" width="1.5" style="37" customWidth="1"/>
    <col min="41" max="16384" width="9" style="37"/>
  </cols>
  <sheetData>
    <row r="1" spans="1:72" s="5" customFormat="1" ht="27.75" x14ac:dyDescent="0.3">
      <c r="A1" s="4"/>
      <c r="B1" s="4"/>
      <c r="D1" s="87" t="s">
        <v>46</v>
      </c>
      <c r="E1" s="87"/>
      <c r="F1" s="87"/>
      <c r="G1" s="87"/>
      <c r="H1" s="87"/>
      <c r="I1" s="87"/>
      <c r="J1" s="87"/>
      <c r="K1" s="8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s="2" customFormat="1" ht="9" customHeight="1" x14ac:dyDescent="0.2"/>
    <row r="3" spans="1:72" s="2" customFormat="1" ht="9" customHeight="1" x14ac:dyDescent="0.2">
      <c r="B3" s="6"/>
      <c r="C3" s="6"/>
      <c r="D3" s="6"/>
      <c r="E3" s="1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72" s="2" customFormat="1" ht="17.25" x14ac:dyDescent="0.2">
      <c r="B4" s="6"/>
      <c r="C4" s="7" t="s">
        <v>45</v>
      </c>
      <c r="D4" s="7"/>
      <c r="E4" s="1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6"/>
    </row>
    <row r="5" spans="1:72" s="2" customFormat="1" ht="9" customHeight="1" x14ac:dyDescent="0.2"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72" s="36" customFormat="1" ht="16.5" customHeight="1" x14ac:dyDescent="0.2">
      <c r="A6" s="2"/>
      <c r="B6" s="6"/>
      <c r="C6" s="78" t="s">
        <v>0</v>
      </c>
      <c r="D6" s="80" t="s">
        <v>6</v>
      </c>
      <c r="E6" s="91" t="s">
        <v>154</v>
      </c>
      <c r="F6" s="91" t="s">
        <v>53</v>
      </c>
      <c r="G6" s="91" t="s">
        <v>186</v>
      </c>
      <c r="H6" s="91" t="s">
        <v>187</v>
      </c>
      <c r="I6" s="91" t="s">
        <v>188</v>
      </c>
      <c r="J6" s="88" t="s">
        <v>190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90"/>
      <c r="Y6" s="88" t="s">
        <v>203</v>
      </c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35"/>
    </row>
    <row r="7" spans="1:72" s="36" customFormat="1" ht="16.5" customHeight="1" x14ac:dyDescent="0.35">
      <c r="A7" s="2"/>
      <c r="B7" s="6"/>
      <c r="C7" s="79"/>
      <c r="D7" s="81"/>
      <c r="E7" s="92"/>
      <c r="F7" s="92"/>
      <c r="G7" s="92"/>
      <c r="H7" s="92"/>
      <c r="I7" s="92"/>
      <c r="J7" s="40" t="s">
        <v>189</v>
      </c>
      <c r="K7" s="22" t="s">
        <v>191</v>
      </c>
      <c r="L7" s="22" t="s">
        <v>192</v>
      </c>
      <c r="M7" s="22" t="s">
        <v>193</v>
      </c>
      <c r="N7" s="22" t="s">
        <v>194</v>
      </c>
      <c r="O7" s="22" t="s">
        <v>197</v>
      </c>
      <c r="P7" s="22" t="s">
        <v>195</v>
      </c>
      <c r="Q7" s="22" t="s">
        <v>196</v>
      </c>
      <c r="R7" s="22" t="s">
        <v>198</v>
      </c>
      <c r="S7" s="22" t="s">
        <v>199</v>
      </c>
      <c r="T7" s="22" t="s">
        <v>200</v>
      </c>
      <c r="U7" s="22" t="s">
        <v>201</v>
      </c>
      <c r="V7" s="22" t="s">
        <v>202</v>
      </c>
      <c r="W7" s="22" t="s">
        <v>204</v>
      </c>
      <c r="X7" s="22" t="s">
        <v>205</v>
      </c>
      <c r="Y7" s="41" t="s">
        <v>189</v>
      </c>
      <c r="Z7" s="22" t="s">
        <v>191</v>
      </c>
      <c r="AA7" s="22" t="s">
        <v>192</v>
      </c>
      <c r="AB7" s="22" t="s">
        <v>193</v>
      </c>
      <c r="AC7" s="22" t="s">
        <v>194</v>
      </c>
      <c r="AD7" s="22" t="s">
        <v>197</v>
      </c>
      <c r="AE7" s="22" t="s">
        <v>195</v>
      </c>
      <c r="AF7" s="22" t="s">
        <v>196</v>
      </c>
      <c r="AG7" s="22" t="s">
        <v>198</v>
      </c>
      <c r="AH7" s="22" t="s">
        <v>199</v>
      </c>
      <c r="AI7" s="22" t="s">
        <v>200</v>
      </c>
      <c r="AJ7" s="22" t="s">
        <v>201</v>
      </c>
      <c r="AK7" s="22" t="s">
        <v>202</v>
      </c>
      <c r="AL7" s="22" t="s">
        <v>206</v>
      </c>
      <c r="AM7" s="38" t="s">
        <v>207</v>
      </c>
      <c r="AN7" s="35"/>
    </row>
    <row r="8" spans="1:72" s="36" customFormat="1" ht="16.5" x14ac:dyDescent="0.2">
      <c r="A8" s="2"/>
      <c r="B8" s="6"/>
      <c r="C8" s="28" t="str">
        <f>IF(表1[[#This Row],[列1]]="","",表1[[#This Row],[列1]])</f>
        <v>000001.SZ</v>
      </c>
      <c r="D8" s="19" t="str">
        <f>IF(C8="","",[1]!hks_info_name(C8))</f>
        <v>平安银行</v>
      </c>
      <c r="E8" s="18" t="str">
        <f ca="1">IF(C8="","",[1]!lastradeday_s(C8,TODAY()))</f>
        <v>2024-12-09</v>
      </c>
      <c r="F8" s="19" t="str">
        <f ca="1">IF(C8="","",IF(OR([1]!s_stm_rpt_e(C8,基本资料!$I$8,0)="#N/A",[1]!s_stm_rpt_e(C8,基本资料!$I$8,0)="",[1]!s_stm_rpt_e(C8,基本资料!$I$8,0)=0),[1]!s_stm_rpt_e(C8,基本资料!$I$9,0),[1]!s_stm_rpt_e(C8,基本资料!$I$8,0)))</f>
        <v>2023-12-31</v>
      </c>
      <c r="G8" s="18">
        <f ca="1">IF(C8="","",YEAR([1]!s_stm_rpt_e(C8,F8,0)))</f>
        <v>2023</v>
      </c>
      <c r="H8" s="18">
        <f ca="1">IF(C8="","",表1_31213141516[[#This Row],[列5]]+1)</f>
        <v>2024</v>
      </c>
      <c r="I8" s="18">
        <f ca="1">IF(C8="","",表1_31213141516[[#This Row],[列5]]+2)</f>
        <v>2025</v>
      </c>
      <c r="J8" s="18">
        <f ca="1">IF(C8="","",[1]!s_est_instnum(C8,H8,TODAY()))</f>
        <v>17</v>
      </c>
      <c r="K8" s="74">
        <f ca="1">IF(C8="","",[1]!s_est_eps(C8,H8,TODAY()))</f>
        <v>2.3702000000000001</v>
      </c>
      <c r="L8" s="74">
        <f ca="1">IF(C8="","",[1]!s_est_sales(C8,H8,TODAY(),100000000))</f>
        <v>1467.18648824</v>
      </c>
      <c r="M8" s="74">
        <f ca="1">IF(C8="","",[1]!s_est_netprofit(C8,H8,TODAY(),100000000))</f>
        <v>459.95117647000001</v>
      </c>
      <c r="N8" s="74">
        <f ca="1">IF(C8="","",[1]!s_est_avgcps(C8,H8,TODAY()))</f>
        <v>0</v>
      </c>
      <c r="O8" s="74">
        <f ca="1">IF(C8="","",[1]!s_est_avgdps(C8,H8,TODAY()))</f>
        <v>0.69179999999999997</v>
      </c>
      <c r="P8" s="74">
        <f ca="1">IF(C8="","",[1]!s_est_avgebit(C8,H8,TODAY(),100000000))</f>
        <v>0</v>
      </c>
      <c r="Q8" s="74">
        <f ca="1">IF(C8="","",[1]!s_est_avgebitda(C8,H8,TODAY(),100000000))</f>
        <v>0</v>
      </c>
      <c r="R8" s="74">
        <f ca="1">IF(C8="","",[1]!s_est_avgbps(C8,H8,TODAY()))</f>
        <v>22.43</v>
      </c>
      <c r="S8" s="74">
        <f ca="1">IF(C8="","",[1]!s_est_avgebt(C8,H8,TODAY(),100000000))</f>
        <v>581.34428571000001</v>
      </c>
      <c r="T8" s="74">
        <f ca="1">IF(C8="","",[1]!s_est_avgroa(C8,H8,TODAY()))</f>
        <v>0.82069999999999999</v>
      </c>
      <c r="U8" s="74">
        <f ca="1">IF(C8="","",[1]!s_est_avgroe(C8,H8,TODAY()))</f>
        <v>10.588700294494629</v>
      </c>
      <c r="V8" s="74">
        <f ca="1">IF(C8="","",[1]!s_est_avgoperatingprofit(C8,H8,TODAY(),100000000))</f>
        <v>689.995</v>
      </c>
      <c r="W8" s="74">
        <f ca="1">IF(C8="","",[1]!s_est_yoynetprofit(C8,H8,TODAY()))</f>
        <v>-0.98995232582092285</v>
      </c>
      <c r="X8" s="74">
        <f ca="1">IF(C8="","",[1]!s_est_yoysales(C8,H8,TODAY()))</f>
        <v>-10.917098045349121</v>
      </c>
      <c r="Y8" s="74">
        <f ca="1">IF(C8="","",[1]!s_est_instnum(C8,I8,TODAY()))</f>
        <v>17</v>
      </c>
      <c r="Z8" s="74">
        <f ca="1">IF(C8="","",[1]!s_est_eps(C8,I8,TODAY()))</f>
        <v>2.4201000000000001</v>
      </c>
      <c r="AA8" s="74">
        <f ca="1">IF(C8="","",[1]!s_est_sales(C8,I8,TODAY(),100000000))</f>
        <v>1464.58187647</v>
      </c>
      <c r="AB8" s="74">
        <f ca="1">IF(C8="","",[1]!s_est_netprofit(C8,I8,TODAY(),100000000))</f>
        <v>469.86647059000006</v>
      </c>
      <c r="AC8" s="74">
        <f ca="1">IF(C8="","",[1]!s_est_avgcps(C8,I8,TODAY()))</f>
        <v>0</v>
      </c>
      <c r="AD8" s="74">
        <f ca="1">IF(C8="","",[1]!s_est_avgdps(C8,I8,TODAY()))</f>
        <v>0.68110000000000004</v>
      </c>
      <c r="AE8" s="74">
        <f ca="1">IF(C8="","",[1]!s_est_avgebit(C8,I8,TODAY(),100000000))</f>
        <v>0</v>
      </c>
      <c r="AF8" s="74">
        <f ca="1">IF(C8="","",[1]!s_est_avgebitda(C8,I8,TODAY(),100000000))</f>
        <v>0</v>
      </c>
      <c r="AG8" s="74">
        <f ca="1">IF(C8="","",[1]!s_est_avgbps(C8,I8,TODAY()))</f>
        <v>24.277999999999999</v>
      </c>
      <c r="AH8" s="74">
        <f ca="1">IF(C8="","",[1]!s_est_avgebt(C8,I8,TODAY(),100000000))</f>
        <v>593.60214285999996</v>
      </c>
      <c r="AI8" s="74">
        <f ca="1">IF(C8="","",[1]!s_est_avgroa(C8,I8,TODAY()))</f>
        <v>0.79669999999999996</v>
      </c>
      <c r="AJ8" s="74">
        <f ca="1">IF(C8="","",[1]!s_est_avgroe(C8,I8,TODAY()))</f>
        <v>10.029299736022949</v>
      </c>
      <c r="AK8" s="74">
        <f ca="1">IF(C8="","",[1]!s_est_avgoperatingprofit(C8,I8,TODAY(),100000000))</f>
        <v>681.47749999999996</v>
      </c>
      <c r="AL8" s="74">
        <f ca="1">IF(C8="","",[1]!s_est_yoynetprofit(C8,I8,TODAY()))</f>
        <v>2.1557276248931885</v>
      </c>
      <c r="AM8" s="74">
        <f ca="1">IF(C8="","",[1]!s_est_yoysales(C8,I8,TODAY()))</f>
        <v>-0.17752425372600555</v>
      </c>
      <c r="AN8" s="35"/>
    </row>
    <row r="9" spans="1:72" s="36" customFormat="1" ht="16.5" x14ac:dyDescent="0.2">
      <c r="A9" s="2"/>
      <c r="B9" s="6"/>
      <c r="C9" s="28" t="str">
        <f>IF(表1[[#This Row],[列1]]="","",表1[[#This Row],[列1]])</f>
        <v>000002.SZ</v>
      </c>
      <c r="D9" s="19" t="str">
        <f>IF(C9="","",[1]!hks_info_name(C9))</f>
        <v>万科A</v>
      </c>
      <c r="E9" s="18" t="str">
        <f ca="1">IF(C9="","",[1]!lastradeday_s(C9,TODAY()))</f>
        <v>2024-12-09</v>
      </c>
      <c r="F9" s="19" t="str">
        <f ca="1">IF(C9="","",IF(OR([1]!s_stm_rpt_e(C9,基本资料!$I$8,0)="#N/A",[1]!s_stm_rpt_e(C9,基本资料!$I$8,0)="",[1]!s_stm_rpt_e(C9,基本资料!$I$8,0)=0),[1]!s_stm_rpt_e(C9,基本资料!$I$9,0),[1]!s_stm_rpt_e(C9,基本资料!$I$8,0)))</f>
        <v>2023-12-31</v>
      </c>
      <c r="G9" s="18">
        <f ca="1">IF(C9="","",YEAR([1]!s_stm_rpt_e(C9,F9,0)))</f>
        <v>2023</v>
      </c>
      <c r="H9" s="18">
        <f ca="1">IF(C9="","",表1_31213141516[[#This Row],[列5]]+1)</f>
        <v>2024</v>
      </c>
      <c r="I9" s="18">
        <f ca="1">IF(C9="","",表1_31213141516[[#This Row],[列5]]+2)</f>
        <v>2025</v>
      </c>
      <c r="J9" s="18">
        <f ca="1">IF(C9="","",[1]!s_est_instnum(C9,H9,TODAY()))</f>
        <v>17</v>
      </c>
      <c r="K9" s="74">
        <f ca="1">IF(C9="","",[1]!s_est_eps(C9,H9,TODAY()))</f>
        <v>-0.90669999999999995</v>
      </c>
      <c r="L9" s="74">
        <f ca="1">IF(C9="","",[1]!s_est_sales(C9,H9,TODAY(),100000000))</f>
        <v>3521.4016117599999</v>
      </c>
      <c r="M9" s="74">
        <f ca="1">IF(C9="","",[1]!s_est_netprofit(C9,H9,TODAY(),100000000))</f>
        <v>-108.17192353</v>
      </c>
      <c r="N9" s="74">
        <f ca="1">IF(C9="","",[1]!s_est_avgcps(C9,H9,TODAY()))</f>
        <v>0.7893</v>
      </c>
      <c r="O9" s="74">
        <f ca="1">IF(C9="","",[1]!s_est_avgdps(C9,H9,TODAY()))</f>
        <v>0</v>
      </c>
      <c r="P9" s="74">
        <f ca="1">IF(C9="","",[1]!s_est_avgebit(C9,H9,TODAY(),100000000))</f>
        <v>126.3125</v>
      </c>
      <c r="Q9" s="74">
        <f ca="1">IF(C9="","",[1]!s_est_avgebitda(C9,H9,TODAY(),100000000))</f>
        <v>-23.494588889999999</v>
      </c>
      <c r="R9" s="74">
        <f ca="1">IF(C9="","",[1]!s_est_avgbps(C9,H9,TODAY()))</f>
        <v>20.0825</v>
      </c>
      <c r="S9" s="74">
        <f ca="1">IF(C9="","",[1]!s_est_avgebt(C9,H9,TODAY(),100000000))</f>
        <v>-186.47528</v>
      </c>
      <c r="T9" s="74">
        <f ca="1">IF(C9="","",[1]!s_est_avgroa(C9,H9,TODAY()))</f>
        <v>-0.67500000000000004</v>
      </c>
      <c r="U9" s="74">
        <f ca="1">IF(C9="","",[1]!s_est_avgroe(C9,H9,TODAY()))</f>
        <v>-5.0380001068115234</v>
      </c>
      <c r="V9" s="74">
        <f ca="1">IF(C9="","",[1]!s_est_avgoperatingprofit(C9,H9,TODAY(),100000000))</f>
        <v>-165.78520667000001</v>
      </c>
      <c r="W9" s="74">
        <f ca="1">IF(C9="","",[1]!s_est_yoynetprofit(C9,H9,TODAY()))</f>
        <v>-188.93754577636719</v>
      </c>
      <c r="X9" s="74">
        <f ca="1">IF(C9="","",[1]!s_est_yoysales(C9,H9,TODAY()))</f>
        <v>-24.391107559204102</v>
      </c>
      <c r="Y9" s="74">
        <f ca="1">IF(C9="","",[1]!s_est_instnum(C9,I9,TODAY()))</f>
        <v>17</v>
      </c>
      <c r="Z9" s="74">
        <f ca="1">IF(C9="","",[1]!s_est_eps(C9,I9,TODAY()))</f>
        <v>-3.78E-2</v>
      </c>
      <c r="AA9" s="74">
        <f ca="1">IF(C9="","",[1]!s_est_sales(C9,I9,TODAY(),100000000))</f>
        <v>3198.8037529399999</v>
      </c>
      <c r="AB9" s="74">
        <f ca="1">IF(C9="","",[1]!s_est_netprofit(C9,I9,TODAY(),100000000))</f>
        <v>-4.5096058799999996</v>
      </c>
      <c r="AC9" s="74">
        <f ca="1">IF(C9="","",[1]!s_est_avgcps(C9,I9,TODAY()))</f>
        <v>4.5830000000000002</v>
      </c>
      <c r="AD9" s="74">
        <f ca="1">IF(C9="","",[1]!s_est_avgdps(C9,I9,TODAY()))</f>
        <v>0</v>
      </c>
      <c r="AE9" s="74">
        <f ca="1">IF(C9="","",[1]!s_est_avgebit(C9,I9,TODAY(),100000000))</f>
        <v>144.08750000000001</v>
      </c>
      <c r="AF9" s="74">
        <f ca="1">IF(C9="","",[1]!s_est_avgebitda(C9,I9,TODAY(),100000000))</f>
        <v>136.53517778</v>
      </c>
      <c r="AG9" s="74">
        <f ca="1">IF(C9="","",[1]!s_est_avgbps(C9,I9,TODAY()))</f>
        <v>19.837299999999999</v>
      </c>
      <c r="AH9" s="74">
        <f ca="1">IF(C9="","",[1]!s_est_avgebt(C9,I9,TODAY(),100000000))</f>
        <v>-9.6544000000000008</v>
      </c>
      <c r="AI9" s="74">
        <f ca="1">IF(C9="","",[1]!s_est_avgroa(C9,I9,TODAY()))</f>
        <v>0.14499999999999999</v>
      </c>
      <c r="AJ9" s="74">
        <f ca="1">IF(C9="","",[1]!s_est_avgroe(C9,I9,TODAY()))</f>
        <v>-0.414000004529953</v>
      </c>
      <c r="AK9" s="74">
        <f ca="1">IF(C9="","",[1]!s_est_avgoperatingprofit(C9,I9,TODAY(),100000000))</f>
        <v>9.1643933299999993</v>
      </c>
      <c r="AL9" s="74">
        <f ca="1">IF(C9="","",[1]!s_est_yoynetprofit(C9,I9,TODAY()))</f>
        <v>95.831077575683594</v>
      </c>
      <c r="AM9" s="74">
        <f ca="1">IF(C9="","",[1]!s_est_yoysales(C9,I9,TODAY()))</f>
        <v>-9.1610641479492188</v>
      </c>
      <c r="AN9" s="35"/>
    </row>
    <row r="10" spans="1:72" s="36" customFormat="1" ht="16.5" x14ac:dyDescent="0.2">
      <c r="A10" s="2"/>
      <c r="B10" s="6"/>
      <c r="C10" s="28" t="str">
        <f>IF(表1[[#This Row],[列1]]="","",表1[[#This Row],[列1]])</f>
        <v>002123.SZ</v>
      </c>
      <c r="D10" s="19" t="str">
        <f>IF(C10="","",[1]!hks_info_name(C10))</f>
        <v>梦网科技</v>
      </c>
      <c r="E10" s="18" t="str">
        <f ca="1">IF(C10="","",[1]!lastradeday_s(C10,TODAY()))</f>
        <v>2024-12-09</v>
      </c>
      <c r="F10" s="19" t="str">
        <f ca="1">IF(C10="","",IF(OR([1]!s_stm_rpt_e(C10,基本资料!$I$8,0)="#N/A",[1]!s_stm_rpt_e(C10,基本资料!$I$8,0)="",[1]!s_stm_rpt_e(C10,基本资料!$I$8,0)=0),[1]!s_stm_rpt_e(C10,基本资料!$I$9,0),[1]!s_stm_rpt_e(C10,基本资料!$I$8,0)))</f>
        <v>2023-12-31</v>
      </c>
      <c r="G10" s="18">
        <f ca="1">IF(C10="","",YEAR([1]!s_stm_rpt_e(C10,F10,0)))</f>
        <v>2023</v>
      </c>
      <c r="H10" s="18">
        <f ca="1">IF(C10="","",表1_31213141516[[#This Row],[列5]]+1)</f>
        <v>2024</v>
      </c>
      <c r="I10" s="18">
        <f ca="1">IF(C10="","",表1_31213141516[[#This Row],[列5]]+2)</f>
        <v>2025</v>
      </c>
      <c r="J10" s="18">
        <f ca="1">IF(C10="","",[1]!s_est_instnum(C10,H10,TODAY()))</f>
        <v>3</v>
      </c>
      <c r="K10" s="74">
        <f ca="1">IF(C10="","",[1]!s_est_eps(C10,H10,TODAY()))</f>
        <v>0.1646</v>
      </c>
      <c r="L10" s="74">
        <f ca="1">IF(C10="","",[1]!s_est_sales(C10,H10,TODAY(),100000000))</f>
        <v>55.668500000000002</v>
      </c>
      <c r="M10" s="74">
        <f ca="1">IF(C10="","",[1]!s_est_netprofit(C10,H10,TODAY(),100000000))</f>
        <v>1.3176666699999999</v>
      </c>
      <c r="N10" s="74">
        <f ca="1">IF(C10="","",[1]!s_est_avgcps(C10,H10,TODAY()))</f>
        <v>0.1734</v>
      </c>
      <c r="O10" s="74">
        <f ca="1">IF(C10="","",[1]!s_est_avgdps(C10,H10,TODAY()))</f>
        <v>0.01</v>
      </c>
      <c r="P10" s="74">
        <f ca="1">IF(C10="","",[1]!s_est_avgebit(C10,H10,TODAY(),100000000))</f>
        <v>1.54</v>
      </c>
      <c r="Q10" s="74">
        <f ca="1">IF(C10="","",[1]!s_est_avgebitda(C10,H10,TODAY(),100000000))</f>
        <v>2.6356000000000002</v>
      </c>
      <c r="R10" s="74">
        <f ca="1">IF(C10="","",[1]!s_est_avgbps(C10,H10,TODAY()))</f>
        <v>2.1930000000000001</v>
      </c>
      <c r="S10" s="74">
        <f ca="1">IF(C10="","",[1]!s_est_avgebt(C10,H10,TODAY(),100000000))</f>
        <v>1.57926667</v>
      </c>
      <c r="T10" s="74">
        <f ca="1">IF(C10="","",[1]!s_est_avgroa(C10,H10,TODAY()))</f>
        <v>1.73</v>
      </c>
      <c r="U10" s="74">
        <f ca="1">IF(C10="","",[1]!s_est_avgroe(C10,H10,TODAY()))</f>
        <v>7.5</v>
      </c>
      <c r="V10" s="74">
        <f ca="1">IF(C10="","",[1]!s_est_avgoperatingprofit(C10,H10,TODAY(),100000000))</f>
        <v>1.57936667</v>
      </c>
      <c r="W10" s="74">
        <f ca="1">IF(C10="","",[1]!s_est_yoynetprofit(C10,H10,TODAY()))</f>
        <v>107.23005676269531</v>
      </c>
      <c r="X10" s="74">
        <f ca="1">IF(C10="","",[1]!s_est_yoysales(C10,H10,TODAY()))</f>
        <v>6.3516106605529785</v>
      </c>
      <c r="Y10" s="74">
        <f ca="1">IF(C10="","",[1]!s_est_instnum(C10,I10,TODAY()))</f>
        <v>3</v>
      </c>
      <c r="Z10" s="74">
        <f ca="1">IF(C10="","",[1]!s_est_eps(C10,I10,TODAY()))</f>
        <v>0.26540000000000002</v>
      </c>
      <c r="AA10" s="74">
        <f ca="1">IF(C10="","",[1]!s_est_sales(C10,I10,TODAY(),100000000))</f>
        <v>62.618866669999989</v>
      </c>
      <c r="AB10" s="74">
        <f ca="1">IF(C10="","",[1]!s_est_netprofit(C10,I10,TODAY(),100000000))</f>
        <v>2.1239333299999998</v>
      </c>
      <c r="AC10" s="74">
        <f ca="1">IF(C10="","",[1]!s_est_avgcps(C10,I10,TODAY()))</f>
        <v>-3.6700000000000003E-2</v>
      </c>
      <c r="AD10" s="74">
        <f ca="1">IF(C10="","",[1]!s_est_avgdps(C10,I10,TODAY()))</f>
        <v>0.02</v>
      </c>
      <c r="AE10" s="74">
        <f ca="1">IF(C10="","",[1]!s_est_avgebit(C10,I10,TODAY(),100000000))</f>
        <v>2.36</v>
      </c>
      <c r="AF10" s="74">
        <f ca="1">IF(C10="","",[1]!s_est_avgebitda(C10,I10,TODAY(),100000000))</f>
        <v>3.6771666700000001</v>
      </c>
      <c r="AG10" s="74">
        <f ca="1">IF(C10="","",[1]!s_est_avgbps(C10,I10,TODAY()))</f>
        <v>2.4496000000000002</v>
      </c>
      <c r="AH10" s="74">
        <f ca="1">IF(C10="","",[1]!s_est_avgebt(C10,I10,TODAY(),100000000))</f>
        <v>2.5286333299999999</v>
      </c>
      <c r="AI10" s="74">
        <f ca="1">IF(C10="","",[1]!s_est_avgroa(C10,I10,TODAY()))</f>
        <v>2.95</v>
      </c>
      <c r="AJ10" s="74">
        <f ca="1">IF(C10="","",[1]!s_est_avgroe(C10,I10,TODAY()))</f>
        <v>10.76669979095459</v>
      </c>
      <c r="AK10" s="74">
        <f ca="1">IF(C10="","",[1]!s_est_avgoperatingprofit(C10,I10,TODAY(),100000000))</f>
        <v>2.5434000000000001</v>
      </c>
      <c r="AL10" s="74">
        <f ca="1">IF(C10="","",[1]!s_est_yoynetprofit(C10,I10,TODAY()))</f>
        <v>61.188968658447266</v>
      </c>
      <c r="AM10" s="74">
        <f ca="1">IF(C10="","",[1]!s_est_yoysales(C10,I10,TODAY()))</f>
        <v>12.48527717590332</v>
      </c>
      <c r="AN10" s="35"/>
    </row>
    <row r="11" spans="1:72" s="36" customFormat="1" ht="16.5" x14ac:dyDescent="0.2">
      <c r="A11" s="2"/>
      <c r="B11" s="6"/>
      <c r="C11" s="28" t="str">
        <f>IF(表1[[#This Row],[列1]]="","",表1[[#This Row],[列1]])</f>
        <v>002230.SZ</v>
      </c>
      <c r="D11" s="19" t="str">
        <f>IF(C11="","",[1]!hks_info_name(C11))</f>
        <v>科大讯飞</v>
      </c>
      <c r="E11" s="18" t="str">
        <f ca="1">IF(C11="","",[1]!lastradeday_s(C11,TODAY()))</f>
        <v>2024-12-09</v>
      </c>
      <c r="F11" s="19" t="str">
        <f ca="1">IF(C11="","",IF(OR([1]!s_stm_rpt_e(C11,基本资料!$I$8,0)="#N/A",[1]!s_stm_rpt_e(C11,基本资料!$I$8,0)="",[1]!s_stm_rpt_e(C11,基本资料!$I$8,0)=0),[1]!s_stm_rpt_e(C11,基本资料!$I$9,0),[1]!s_stm_rpt_e(C11,基本资料!$I$8,0)))</f>
        <v>2023-12-31</v>
      </c>
      <c r="G11" s="18">
        <f ca="1">IF(C11="","",YEAR([1]!s_stm_rpt_e(C11,F11,0)))</f>
        <v>2023</v>
      </c>
      <c r="H11" s="18">
        <f ca="1">IF(C11="","",表1_31213141516[[#This Row],[列5]]+1)</f>
        <v>2024</v>
      </c>
      <c r="I11" s="18">
        <f ca="1">IF(C11="","",表1_31213141516[[#This Row],[列5]]+2)</f>
        <v>2025</v>
      </c>
      <c r="J11" s="18">
        <f ca="1">IF(C11="","",[1]!s_est_instnum(C11,H11,TODAY()))</f>
        <v>30</v>
      </c>
      <c r="K11" s="74">
        <f ca="1">IF(C11="","",[1]!s_est_eps(C11,H11,TODAY()))</f>
        <v>0.2606</v>
      </c>
      <c r="L11" s="74">
        <f ca="1">IF(C11="","",[1]!s_est_sales(C11,H11,TODAY(),100000000))</f>
        <v>231.35296</v>
      </c>
      <c r="M11" s="74">
        <f ca="1">IF(C11="","",[1]!s_est_netprofit(C11,H11,TODAY(),100000000))</f>
        <v>6.0247999999999999</v>
      </c>
      <c r="N11" s="74">
        <f ca="1">IF(C11="","",[1]!s_est_avgcps(C11,H11,TODAY()))</f>
        <v>0.80500000000000005</v>
      </c>
      <c r="O11" s="74">
        <f ca="1">IF(C11="","",[1]!s_est_avgdps(C11,H11,TODAY()))</f>
        <v>9.69E-2</v>
      </c>
      <c r="P11" s="74">
        <f ca="1">IF(C11="","",[1]!s_est_avgebit(C11,H11,TODAY(),100000000))</f>
        <v>4.86285714</v>
      </c>
      <c r="Q11" s="74">
        <f ca="1">IF(C11="","",[1]!s_est_avgebitda(C11,H11,TODAY(),100000000))</f>
        <v>23.228692859999999</v>
      </c>
      <c r="R11" s="74">
        <f ca="1">IF(C11="","",[1]!s_est_avgbps(C11,H11,TODAY()))</f>
        <v>7.5968999999999998</v>
      </c>
      <c r="S11" s="74">
        <f ca="1">IF(C11="","",[1]!s_est_avgebt(C11,H11,TODAY(),100000000))</f>
        <v>4.9052963000000007</v>
      </c>
      <c r="T11" s="74">
        <f ca="1">IF(C11="","",[1]!s_est_avgroa(C11,H11,TODAY()))</f>
        <v>1.5190999999999999</v>
      </c>
      <c r="U11" s="74">
        <f ca="1">IF(C11="","",[1]!s_est_avgroe(C11,H11,TODAY()))</f>
        <v>3.3466000556945801</v>
      </c>
      <c r="V11" s="74">
        <f ca="1">IF(C11="","",[1]!s_est_avgoperatingprofit(C11,H11,TODAY(),100000000))</f>
        <v>4.7538107099999998</v>
      </c>
      <c r="W11" s="74">
        <f ca="1">IF(C11="","",[1]!s_est_yoynetprofit(C11,H11,TODAY()))</f>
        <v>-8.34197998046875</v>
      </c>
      <c r="X11" s="74">
        <f ca="1">IF(C11="","",[1]!s_est_yoysales(C11,H11,TODAY()))</f>
        <v>17.734903335571289</v>
      </c>
      <c r="Y11" s="74">
        <f ca="1">IF(C11="","",[1]!s_est_instnum(C11,I11,TODAY()))</f>
        <v>30</v>
      </c>
      <c r="Z11" s="74">
        <f ca="1">IF(C11="","",[1]!s_est_eps(C11,I11,TODAY()))</f>
        <v>0.4153</v>
      </c>
      <c r="AA11" s="74">
        <f ca="1">IF(C11="","",[1]!s_est_sales(C11,I11,TODAY(),100000000))</f>
        <v>275.88799999999998</v>
      </c>
      <c r="AB11" s="74">
        <f ca="1">IF(C11="","",[1]!s_est_netprofit(C11,I11,TODAY(),100000000))</f>
        <v>9.6023033299999998</v>
      </c>
      <c r="AC11" s="74">
        <f ca="1">IF(C11="","",[1]!s_est_avgcps(C11,I11,TODAY()))</f>
        <v>0.48060000000000003</v>
      </c>
      <c r="AD11" s="74">
        <f ca="1">IF(C11="","",[1]!s_est_avgdps(C11,I11,TODAY()))</f>
        <v>0.1414</v>
      </c>
      <c r="AE11" s="74">
        <f ca="1">IF(C11="","",[1]!s_est_avgebit(C11,I11,TODAY(),100000000))</f>
        <v>7.6285714300000009</v>
      </c>
      <c r="AF11" s="74">
        <f ca="1">IF(C11="","",[1]!s_est_avgebitda(C11,I11,TODAY(),100000000))</f>
        <v>26.75480714</v>
      </c>
      <c r="AG11" s="74">
        <f ca="1">IF(C11="","",[1]!s_est_avgbps(C11,I11,TODAY()))</f>
        <v>7.9028</v>
      </c>
      <c r="AH11" s="74">
        <f ca="1">IF(C11="","",[1]!s_est_avgebt(C11,I11,TODAY(),100000000))</f>
        <v>8.4005555600000008</v>
      </c>
      <c r="AI11" s="74">
        <f ca="1">IF(C11="","",[1]!s_est_avgroa(C11,I11,TODAY()))</f>
        <v>2.1536</v>
      </c>
      <c r="AJ11" s="74">
        <f ca="1">IF(C11="","",[1]!s_est_avgroe(C11,I11,TODAY()))</f>
        <v>5.1620998382568359</v>
      </c>
      <c r="AK11" s="74">
        <f ca="1">IF(C11="","",[1]!s_est_avgoperatingprofit(C11,I11,TODAY(),100000000))</f>
        <v>8.1312499999999996</v>
      </c>
      <c r="AL11" s="74">
        <f ca="1">IF(C11="","",[1]!s_est_yoynetprofit(C11,I11,TODAY()))</f>
        <v>59.379619598388672</v>
      </c>
      <c r="AM11" s="74">
        <f ca="1">IF(C11="","",[1]!s_est_yoysales(C11,I11,TODAY()))</f>
        <v>19.249824523925781</v>
      </c>
      <c r="AN11" s="35"/>
    </row>
    <row r="12" spans="1:72" s="36" customFormat="1" ht="16.5" x14ac:dyDescent="0.2">
      <c r="A12" s="2"/>
      <c r="B12" s="6"/>
      <c r="C12" s="28" t="str">
        <f>IF(表1[[#This Row],[列1]]="","",表1[[#This Row],[列1]])</f>
        <v>600004.SH</v>
      </c>
      <c r="D12" s="19" t="str">
        <f>IF(C12="","",[1]!hks_info_name(C12))</f>
        <v>白云机场</v>
      </c>
      <c r="E12" s="18" t="str">
        <f ca="1">IF(C12="","",[1]!lastradeday_s(C12,TODAY()))</f>
        <v>2024-12-09</v>
      </c>
      <c r="F12" s="19" t="str">
        <f ca="1">IF(C12="","",IF(OR([1]!s_stm_rpt_e(C12,基本资料!$I$8,0)="#N/A",[1]!s_stm_rpt_e(C12,基本资料!$I$8,0)="",[1]!s_stm_rpt_e(C12,基本资料!$I$8,0)=0),[1]!s_stm_rpt_e(C12,基本资料!$I$9,0),[1]!s_stm_rpt_e(C12,基本资料!$I$8,0)))</f>
        <v>2023-12-31</v>
      </c>
      <c r="G12" s="18">
        <f ca="1">IF(C12="","",YEAR([1]!s_stm_rpt_e(C12,F12,0)))</f>
        <v>2023</v>
      </c>
      <c r="H12" s="18">
        <f ca="1">IF(C12="","",表1_31213141516[[#This Row],[列5]]+1)</f>
        <v>2024</v>
      </c>
      <c r="I12" s="18">
        <f ca="1">IF(C12="","",表1_31213141516[[#This Row],[列5]]+2)</f>
        <v>2025</v>
      </c>
      <c r="J12" s="18">
        <f ca="1">IF(C12="","",[1]!s_est_instnum(C12,H12,TODAY()))</f>
        <v>10</v>
      </c>
      <c r="K12" s="74">
        <f ca="1">IF(C12="","",[1]!s_est_eps(C12,H12,TODAY()))</f>
        <v>0.39829999999999999</v>
      </c>
      <c r="L12" s="74">
        <f ca="1">IF(C12="","",[1]!s_est_sales(C12,H12,TODAY(),100000000))</f>
        <v>74.171999999999997</v>
      </c>
      <c r="M12" s="74">
        <f ca="1">IF(C12="","",[1]!s_est_netprofit(C12,H12,TODAY(),100000000))</f>
        <v>9.4276</v>
      </c>
      <c r="N12" s="74">
        <f ca="1">IF(C12="","",[1]!s_est_avgcps(C12,H12,TODAY()))</f>
        <v>1.2678</v>
      </c>
      <c r="O12" s="74">
        <f ca="1">IF(C12="","",[1]!s_est_avgdps(C12,H12,TODAY()))</f>
        <v>0.1227</v>
      </c>
      <c r="P12" s="74">
        <f ca="1">IF(C12="","",[1]!s_est_avgebit(C12,H12,TODAY(),100000000))</f>
        <v>12.965</v>
      </c>
      <c r="Q12" s="74">
        <f ca="1">IF(C12="","",[1]!s_est_avgebitda(C12,H12,TODAY(),100000000))</f>
        <v>29.434000000000001</v>
      </c>
      <c r="R12" s="74">
        <f ca="1">IF(C12="","",[1]!s_est_avgbps(C12,H12,TODAY()))</f>
        <v>7.7861000000000002</v>
      </c>
      <c r="S12" s="74">
        <f ca="1">IF(C12="","",[1]!s_est_avgebt(C12,H12,TODAY(),100000000))</f>
        <v>13.38666667</v>
      </c>
      <c r="T12" s="74">
        <f ca="1">IF(C12="","",[1]!s_est_avgroa(C12,H12,TODAY()))</f>
        <v>3.47</v>
      </c>
      <c r="U12" s="74">
        <f ca="1">IF(C12="","",[1]!s_est_avgroe(C12,H12,TODAY()))</f>
        <v>5.2077999114990234</v>
      </c>
      <c r="V12" s="74">
        <f ca="1">IF(C12="","",[1]!s_est_avgoperatingprofit(C12,H12,TODAY(),100000000))</f>
        <v>13.33555556</v>
      </c>
      <c r="W12" s="74">
        <f ca="1">IF(C12="","",[1]!s_est_yoynetprofit(C12,H12,TODAY()))</f>
        <v>113.33962249755859</v>
      </c>
      <c r="X12" s="74">
        <f ca="1">IF(C12="","",[1]!s_est_yoysales(C12,H12,TODAY()))</f>
        <v>15.337458610534668</v>
      </c>
      <c r="Y12" s="74">
        <f ca="1">IF(C12="","",[1]!s_est_instnum(C12,I12,TODAY()))</f>
        <v>10</v>
      </c>
      <c r="Z12" s="74">
        <f ca="1">IF(C12="","",[1]!s_est_eps(C12,I12,TODAY()))</f>
        <v>0.52439999999999998</v>
      </c>
      <c r="AA12" s="74">
        <f ca="1">IF(C12="","",[1]!s_est_sales(C12,I12,TODAY(),100000000))</f>
        <v>81.89</v>
      </c>
      <c r="AB12" s="74">
        <f ca="1">IF(C12="","",[1]!s_est_netprofit(C12,I12,TODAY(),100000000))</f>
        <v>12.412000000000001</v>
      </c>
      <c r="AC12" s="74">
        <f ca="1">IF(C12="","",[1]!s_est_avgcps(C12,I12,TODAY()))</f>
        <v>1.2221</v>
      </c>
      <c r="AD12" s="74">
        <f ca="1">IF(C12="","",[1]!s_est_avgdps(C12,I12,TODAY()))</f>
        <v>0.15629999999999999</v>
      </c>
      <c r="AE12" s="74">
        <f ca="1">IF(C12="","",[1]!s_est_avgebit(C12,I12,TODAY(),100000000))</f>
        <v>16.47</v>
      </c>
      <c r="AF12" s="74">
        <f ca="1">IF(C12="","",[1]!s_est_avgebitda(C12,I12,TODAY(),100000000))</f>
        <v>32.735999999999997</v>
      </c>
      <c r="AG12" s="74">
        <f ca="1">IF(C12="","",[1]!s_est_avgbps(C12,I12,TODAY()))</f>
        <v>8.2376000000000005</v>
      </c>
      <c r="AH12" s="74">
        <f ca="1">IF(C12="","",[1]!s_est_avgebt(C12,I12,TODAY(),100000000))</f>
        <v>17.718888889999999</v>
      </c>
      <c r="AI12" s="74">
        <f ca="1">IF(C12="","",[1]!s_est_avgroa(C12,I12,TODAY()))</f>
        <v>4.4800000000000004</v>
      </c>
      <c r="AJ12" s="74">
        <f ca="1">IF(C12="","",[1]!s_est_avgroe(C12,I12,TODAY()))</f>
        <v>6.5156002044677734</v>
      </c>
      <c r="AK12" s="74">
        <f ca="1">IF(C12="","",[1]!s_est_avgoperatingprofit(C12,I12,TODAY(),100000000))</f>
        <v>17.670000000000002</v>
      </c>
      <c r="AL12" s="74">
        <f ca="1">IF(C12="","",[1]!s_est_yoynetprofit(C12,I12,TODAY()))</f>
        <v>31.655988693237305</v>
      </c>
      <c r="AM12" s="74">
        <f ca="1">IF(C12="","",[1]!s_est_yoysales(C12,I12,TODAY()))</f>
        <v>10.405544281005859</v>
      </c>
      <c r="AN12" s="35"/>
    </row>
    <row r="13" spans="1:72" s="36" customFormat="1" ht="16.5" x14ac:dyDescent="0.2">
      <c r="A13" s="2"/>
      <c r="B13" s="6"/>
      <c r="C13" s="28" t="str">
        <f>IF(表1[[#This Row],[列1]]="","",表1[[#This Row],[列1]])</f>
        <v>600006.SH</v>
      </c>
      <c r="D13" s="19" t="str">
        <f>IF(C13="","",[1]!hks_info_name(C13))</f>
        <v>东风股份</v>
      </c>
      <c r="E13" s="18" t="str">
        <f ca="1">IF(C13="","",[1]!lastradeday_s(C13,TODAY()))</f>
        <v>2024-12-09</v>
      </c>
      <c r="F13" s="19" t="str">
        <f ca="1">IF(C13="","",IF(OR([1]!s_stm_rpt_e(C13,基本资料!$I$8,0)="#N/A",[1]!s_stm_rpt_e(C13,基本资料!$I$8,0)="",[1]!s_stm_rpt_e(C13,基本资料!$I$8,0)=0),[1]!s_stm_rpt_e(C13,基本资料!$I$9,0),[1]!s_stm_rpt_e(C13,基本资料!$I$8,0)))</f>
        <v>2023-12-31</v>
      </c>
      <c r="G13" s="18">
        <f ca="1">IF(C13="","",YEAR([1]!s_stm_rpt_e(C13,F13,0)))</f>
        <v>2023</v>
      </c>
      <c r="H13" s="18">
        <f ca="1">IF(C13="","",表1_31213141516[[#This Row],[列5]]+1)</f>
        <v>2024</v>
      </c>
      <c r="I13" s="18">
        <f ca="1">IF(C13="","",表1_31213141516[[#This Row],[列5]]+2)</f>
        <v>2025</v>
      </c>
      <c r="J13" s="18">
        <f ca="1">IF(C13="","",[1]!s_est_instnum(C13,H13,TODAY()))</f>
        <v>1</v>
      </c>
      <c r="K13" s="74">
        <f ca="1">IF(C13="","",[1]!s_est_eps(C13,H13,TODAY()))</f>
        <v>5.3999999999999999E-2</v>
      </c>
      <c r="L13" s="74">
        <f ca="1">IF(C13="","",[1]!s_est_sales(C13,H13,TODAY(),100000000))</f>
        <v>0</v>
      </c>
      <c r="M13" s="74">
        <f ca="1">IF(C13="","",[1]!s_est_netprofit(C13,H13,TODAY(),100000000))</f>
        <v>0</v>
      </c>
      <c r="N13" s="74">
        <f ca="1">IF(C13="","",[1]!s_est_avgcps(C13,H13,TODAY()))</f>
        <v>0</v>
      </c>
      <c r="O13" s="74">
        <f ca="1">IF(C13="","",[1]!s_est_avgdps(C13,H13,TODAY()))</f>
        <v>0</v>
      </c>
      <c r="P13" s="74">
        <f ca="1">IF(C13="","",[1]!s_est_avgebit(C13,H13,TODAY(),100000000))</f>
        <v>0</v>
      </c>
      <c r="Q13" s="74">
        <f ca="1">IF(C13="","",[1]!s_est_avgebitda(C13,H13,TODAY(),100000000))</f>
        <v>0</v>
      </c>
      <c r="R13" s="74">
        <f ca="1">IF(C13="","",[1]!s_est_avgbps(C13,H13,TODAY()))</f>
        <v>0</v>
      </c>
      <c r="S13" s="74">
        <f ca="1">IF(C13="","",[1]!s_est_avgebt(C13,H13,TODAY(),100000000))</f>
        <v>0</v>
      </c>
      <c r="T13" s="74">
        <f ca="1">IF(C13="","",[1]!s_est_avgroa(C13,H13,TODAY()))</f>
        <v>0</v>
      </c>
      <c r="U13" s="74">
        <f ca="1">IF(C13="","",[1]!s_est_avgroe(C13,H13,TODAY()))</f>
        <v>0</v>
      </c>
      <c r="V13" s="74">
        <f ca="1">IF(C13="","",[1]!s_est_avgoperatingprofit(C13,H13,TODAY(),100000000))</f>
        <v>0</v>
      </c>
      <c r="W13" s="74">
        <f ca="1">IF(C13="","",[1]!s_est_yoynetprofit(C13,H13,TODAY()))</f>
        <v>0</v>
      </c>
      <c r="X13" s="74">
        <f ca="1">IF(C13="","",[1]!s_est_yoysales(C13,H13,TODAY()))</f>
        <v>0</v>
      </c>
      <c r="Y13" s="74">
        <f ca="1">IF(C13="","",[1]!s_est_instnum(C13,I13,TODAY()))</f>
        <v>1</v>
      </c>
      <c r="Z13" s="74">
        <f ca="1">IF(C13="","",[1]!s_est_eps(C13,I13,TODAY()))</f>
        <v>6.6500000000000004E-2</v>
      </c>
      <c r="AA13" s="74">
        <f ca="1">IF(C13="","",[1]!s_est_sales(C13,I13,TODAY(),100000000))</f>
        <v>0</v>
      </c>
      <c r="AB13" s="74">
        <f ca="1">IF(C13="","",[1]!s_est_netprofit(C13,I13,TODAY(),100000000))</f>
        <v>0</v>
      </c>
      <c r="AC13" s="74">
        <f ca="1">IF(C13="","",[1]!s_est_avgcps(C13,I13,TODAY()))</f>
        <v>0</v>
      </c>
      <c r="AD13" s="74">
        <f ca="1">IF(C13="","",[1]!s_est_avgdps(C13,I13,TODAY()))</f>
        <v>0</v>
      </c>
      <c r="AE13" s="74">
        <f ca="1">IF(C13="","",[1]!s_est_avgebit(C13,I13,TODAY(),100000000))</f>
        <v>0</v>
      </c>
      <c r="AF13" s="74">
        <f ca="1">IF(C13="","",[1]!s_est_avgebitda(C13,I13,TODAY(),100000000))</f>
        <v>0</v>
      </c>
      <c r="AG13" s="74">
        <f ca="1">IF(C13="","",[1]!s_est_avgbps(C13,I13,TODAY()))</f>
        <v>0</v>
      </c>
      <c r="AH13" s="74">
        <f ca="1">IF(C13="","",[1]!s_est_avgebt(C13,I13,TODAY(),100000000))</f>
        <v>0</v>
      </c>
      <c r="AI13" s="74">
        <f ca="1">IF(C13="","",[1]!s_est_avgroa(C13,I13,TODAY()))</f>
        <v>0</v>
      </c>
      <c r="AJ13" s="74">
        <f ca="1">IF(C13="","",[1]!s_est_avgroe(C13,I13,TODAY()))</f>
        <v>0</v>
      </c>
      <c r="AK13" s="74">
        <f ca="1">IF(C13="","",[1]!s_est_avgoperatingprofit(C13,I13,TODAY(),100000000))</f>
        <v>0</v>
      </c>
      <c r="AL13" s="74">
        <f ca="1">IF(C13="","",[1]!s_est_yoynetprofit(C13,I13,TODAY()))</f>
        <v>0</v>
      </c>
      <c r="AM13" s="74">
        <f ca="1">IF(C13="","",[1]!s_est_yoysales(C13,I13,TODAY()))</f>
        <v>0</v>
      </c>
      <c r="AN13" s="35"/>
    </row>
    <row r="14" spans="1:72" s="36" customFormat="1" ht="16.5" x14ac:dyDescent="0.2">
      <c r="A14" s="2"/>
      <c r="B14" s="6"/>
      <c r="C14" s="28" t="str">
        <f>IF(表1[[#This Row],[列1]]="","",表1[[#This Row],[列1]])</f>
        <v>600007.SH</v>
      </c>
      <c r="D14" s="19" t="str">
        <f>IF(C14="","",[1]!hks_info_name(C14))</f>
        <v>中国国贸</v>
      </c>
      <c r="E14" s="18" t="str">
        <f ca="1">IF(C14="","",[1]!lastradeday_s(C14,TODAY()))</f>
        <v>2024-12-09</v>
      </c>
      <c r="F14" s="19" t="str">
        <f ca="1">IF(C14="","",IF(OR([1]!s_stm_rpt_e(C14,基本资料!$I$8,0)="#N/A",[1]!s_stm_rpt_e(C14,基本资料!$I$8,0)="",[1]!s_stm_rpt_e(C14,基本资料!$I$8,0)=0),[1]!s_stm_rpt_e(C14,基本资料!$I$9,0),[1]!s_stm_rpt_e(C14,基本资料!$I$8,0)))</f>
        <v>2023-12-31</v>
      </c>
      <c r="G14" s="18">
        <f ca="1">IF(C14="","",YEAR([1]!s_stm_rpt_e(C14,F14,0)))</f>
        <v>2023</v>
      </c>
      <c r="H14" s="18">
        <f ca="1">IF(C14="","",表1_31213141516[[#This Row],[列5]]+1)</f>
        <v>2024</v>
      </c>
      <c r="I14" s="18">
        <f ca="1">IF(C14="","",表1_31213141516[[#This Row],[列5]]+2)</f>
        <v>2025</v>
      </c>
      <c r="J14" s="18">
        <f ca="1">IF(C14="","",[1]!s_est_instnum(C14,H14,TODAY()))</f>
        <v>5</v>
      </c>
      <c r="K14" s="74">
        <f ca="1">IF(C14="","",[1]!s_est_eps(C14,H14,TODAY()))</f>
        <v>1.29</v>
      </c>
      <c r="L14" s="74">
        <f ca="1">IF(C14="","",[1]!s_est_sales(C14,H14,TODAY(),100000000))</f>
        <v>40.283459999999998</v>
      </c>
      <c r="M14" s="74">
        <f ca="1">IF(C14="","",[1]!s_est_netprofit(C14,H14,TODAY(),100000000))</f>
        <v>12.994</v>
      </c>
      <c r="N14" s="74">
        <f ca="1">IF(C14="","",[1]!s_est_avgcps(C14,H14,TODAY()))</f>
        <v>1.7014</v>
      </c>
      <c r="O14" s="74">
        <f ca="1">IF(C14="","",[1]!s_est_avgdps(C14,H14,TODAY()))</f>
        <v>0.86660000000000004</v>
      </c>
      <c r="P14" s="74">
        <f ca="1">IF(C14="","",[1]!s_est_avgebit(C14,H14,TODAY(),100000000))</f>
        <v>17.14</v>
      </c>
      <c r="Q14" s="74">
        <f ca="1">IF(C14="","",[1]!s_est_avgebitda(C14,H14,TODAY(),100000000))</f>
        <v>21.916666670000001</v>
      </c>
      <c r="R14" s="74">
        <f ca="1">IF(C14="","",[1]!s_est_avgbps(C14,H14,TODAY()))</f>
        <v>10.1655</v>
      </c>
      <c r="S14" s="74">
        <f ca="1">IF(C14="","",[1]!s_est_avgebt(C14,H14,TODAY(),100000000))</f>
        <v>17.309059999999999</v>
      </c>
      <c r="T14" s="74">
        <f ca="1">IF(C14="","",[1]!s_est_avgroa(C14,H14,TODAY()))</f>
        <v>9.86</v>
      </c>
      <c r="U14" s="74">
        <f ca="1">IF(C14="","",[1]!s_est_avgroe(C14,H14,TODAY()))</f>
        <v>12.692000389099121</v>
      </c>
      <c r="V14" s="74">
        <f ca="1">IF(C14="","",[1]!s_est_avgoperatingprofit(C14,H14,TODAY(),100000000))</f>
        <v>17.195060000000002</v>
      </c>
      <c r="W14" s="74">
        <f ca="1">IF(C14="","",[1]!s_est_yoynetprofit(C14,H14,TODAY()))</f>
        <v>3.192394495010376</v>
      </c>
      <c r="X14" s="74">
        <f ca="1">IF(C14="","",[1]!s_est_yoysales(C14,H14,TODAY()))</f>
        <v>1.8864091634750366</v>
      </c>
      <c r="Y14" s="74">
        <f ca="1">IF(C14="","",[1]!s_est_instnum(C14,I14,TODAY()))</f>
        <v>5</v>
      </c>
      <c r="Z14" s="74">
        <f ca="1">IF(C14="","",[1]!s_est_eps(C14,I14,TODAY()))</f>
        <v>1.3347</v>
      </c>
      <c r="AA14" s="74">
        <f ca="1">IF(C14="","",[1]!s_est_sales(C14,I14,TODAY(),100000000))</f>
        <v>41.569420000000001</v>
      </c>
      <c r="AB14" s="74">
        <f ca="1">IF(C14="","",[1]!s_est_netprofit(C14,I14,TODAY(),100000000))</f>
        <v>13.444000000000001</v>
      </c>
      <c r="AC14" s="74">
        <f ca="1">IF(C14="","",[1]!s_est_avgcps(C14,I14,TODAY()))</f>
        <v>1.7784</v>
      </c>
      <c r="AD14" s="74">
        <f ca="1">IF(C14="","",[1]!s_est_avgdps(C14,I14,TODAY()))</f>
        <v>0.93089999999999995</v>
      </c>
      <c r="AE14" s="74">
        <f ca="1">IF(C14="","",[1]!s_est_avgebit(C14,I14,TODAY(),100000000))</f>
        <v>17.77</v>
      </c>
      <c r="AF14" s="74">
        <f ca="1">IF(C14="","",[1]!s_est_avgebitda(C14,I14,TODAY(),100000000))</f>
        <v>22.276666670000001</v>
      </c>
      <c r="AG14" s="74">
        <f ca="1">IF(C14="","",[1]!s_est_avgbps(C14,I14,TODAY()))</f>
        <v>10.702199999999999</v>
      </c>
      <c r="AH14" s="74">
        <f ca="1">IF(C14="","",[1]!s_est_avgebt(C14,I14,TODAY(),100000000))</f>
        <v>17.864560000000001</v>
      </c>
      <c r="AI14" s="74">
        <f ca="1">IF(C14="","",[1]!s_est_avgroa(C14,I14,TODAY()))</f>
        <v>9.9032999999999998</v>
      </c>
      <c r="AJ14" s="74">
        <f ca="1">IF(C14="","",[1]!s_est_avgroe(C14,I14,TODAY()))</f>
        <v>12.479999542236328</v>
      </c>
      <c r="AK14" s="74">
        <f ca="1">IF(C14="","",[1]!s_est_avgoperatingprofit(C14,I14,TODAY(),100000000))</f>
        <v>17.762560000000001</v>
      </c>
      <c r="AL14" s="74">
        <f ca="1">IF(C14="","",[1]!s_est_yoynetprofit(C14,I14,TODAY()))</f>
        <v>3.4631369113922119</v>
      </c>
      <c r="AM14" s="74">
        <f ca="1">IF(C14="","",[1]!s_est_yoysales(C14,I14,TODAY()))</f>
        <v>3.1922779083251953</v>
      </c>
      <c r="AN14" s="35"/>
    </row>
    <row r="15" spans="1:72" s="36" customFormat="1" ht="16.5" x14ac:dyDescent="0.2">
      <c r="A15" s="2"/>
      <c r="B15" s="6"/>
      <c r="C15" s="28" t="str">
        <f>IF(表1[[#This Row],[列1]]="","",表1[[#This Row],[列1]])</f>
        <v>600941.SH</v>
      </c>
      <c r="D15" s="19" t="str">
        <f>IF(C15="","",[1]!hks_info_name(C15))</f>
        <v>中国移动</v>
      </c>
      <c r="E15" s="18" t="str">
        <f ca="1">IF(C15="","",[1]!lastradeday_s(C15,TODAY()))</f>
        <v>2024-12-09</v>
      </c>
      <c r="F15" s="19" t="str">
        <f ca="1">IF(C15="","",IF(OR([1]!s_stm_rpt_e(C15,基本资料!$I$8,0)="#N/A",[1]!s_stm_rpt_e(C15,基本资料!$I$8,0)="",[1]!s_stm_rpt_e(C15,基本资料!$I$8,0)=0),[1]!s_stm_rpt_e(C15,基本资料!$I$9,0),[1]!s_stm_rpt_e(C15,基本资料!$I$8,0)))</f>
        <v>2023-12-31</v>
      </c>
      <c r="G15" s="18">
        <f ca="1">IF(C15="","",YEAR([1]!s_stm_rpt_e(C15,F15,0)))</f>
        <v>2023</v>
      </c>
      <c r="H15" s="18">
        <f ca="1">IF(C15="","",表1_31213141516[[#This Row],[列5]]+1)</f>
        <v>2024</v>
      </c>
      <c r="I15" s="18">
        <f ca="1">IF(C15="","",表1_31213141516[[#This Row],[列5]]+2)</f>
        <v>2025</v>
      </c>
      <c r="J15" s="18">
        <f ca="1">IF(C15="","",[1]!s_est_instnum(C15,H15,TODAY()))</f>
        <v>28</v>
      </c>
      <c r="K15" s="74">
        <f ca="1">IF(C15="","",[1]!s_est_eps(C15,H15,TODAY()))</f>
        <v>6.4778000000000002</v>
      </c>
      <c r="L15" s="74">
        <f ca="1">IF(C15="","",[1]!s_est_sales(C15,H15,TODAY(),100000000))</f>
        <v>10490.03491429</v>
      </c>
      <c r="M15" s="74">
        <f ca="1">IF(C15="","",[1]!s_est_netprofit(C15,H15,TODAY(),100000000))</f>
        <v>1391.890525</v>
      </c>
      <c r="N15" s="74">
        <f ca="1">IF(C15="","",[1]!s_est_avgcps(C15,H15,TODAY()))</f>
        <v>14.8734</v>
      </c>
      <c r="O15" s="74">
        <f ca="1">IF(C15="","",[1]!s_est_avgdps(C15,H15,TODAY()))</f>
        <v>3.8605999999999998</v>
      </c>
      <c r="P15" s="74">
        <f ca="1">IF(C15="","",[1]!s_est_avgebit(C15,H15,TODAY(),100000000))</f>
        <v>1610.624</v>
      </c>
      <c r="Q15" s="74">
        <f ca="1">IF(C15="","",[1]!s_est_avgebitda(C15,H15,TODAY(),100000000))</f>
        <v>3336.770814</v>
      </c>
      <c r="R15" s="74">
        <f ca="1">IF(C15="","",[1]!s_est_avgbps(C15,H15,TODAY()))</f>
        <v>62.017899999999997</v>
      </c>
      <c r="S15" s="74">
        <f ca="1">IF(C15="","",[1]!s_est_avgebt(C15,H15,TODAY(),100000000))</f>
        <v>1802.0204076900004</v>
      </c>
      <c r="T15" s="74">
        <f ca="1">IF(C15="","",[1]!s_est_avgroa(C15,H15,TODAY()))</f>
        <v>6.9409999999999998</v>
      </c>
      <c r="U15" s="74">
        <f ca="1">IF(C15="","",[1]!s_est_avgroe(C15,H15,TODAY()))</f>
        <v>10.97920036315918</v>
      </c>
      <c r="V15" s="74">
        <f ca="1">IF(C15="","",[1]!s_est_avgoperatingprofit(C15,H15,TODAY(),100000000))</f>
        <v>1783.9192559999999</v>
      </c>
      <c r="W15" s="74">
        <f ca="1">IF(C15="","",[1]!s_est_yoynetprofit(C15,H15,TODAY()))</f>
        <v>5.6335110664367676</v>
      </c>
      <c r="X15" s="74">
        <f ca="1">IF(C15="","",[1]!s_est_yoysales(C15,H15,TODAY()))</f>
        <v>3.9328384399414063</v>
      </c>
      <c r="Y15" s="74">
        <f ca="1">IF(C15="","",[1]!s_est_instnum(C15,I15,TODAY()))</f>
        <v>28</v>
      </c>
      <c r="Z15" s="74">
        <f ca="1">IF(C15="","",[1]!s_est_eps(C15,I15,TODAY()))</f>
        <v>6.8231999999999999</v>
      </c>
      <c r="AA15" s="74">
        <f ca="1">IF(C15="","",[1]!s_est_sales(C15,I15,TODAY(),100000000))</f>
        <v>10970.266260709999</v>
      </c>
      <c r="AB15" s="74">
        <f ca="1">IF(C15="","",[1]!s_est_netprofit(C15,I15,TODAY(),100000000))</f>
        <v>1466.10636071</v>
      </c>
      <c r="AC15" s="74">
        <f ca="1">IF(C15="","",[1]!s_est_avgcps(C15,I15,TODAY()))</f>
        <v>13.3874</v>
      </c>
      <c r="AD15" s="74">
        <f ca="1">IF(C15="","",[1]!s_est_avgdps(C15,I15,TODAY()))</f>
        <v>4.5509000000000004</v>
      </c>
      <c r="AE15" s="74">
        <f ca="1">IF(C15="","",[1]!s_est_avgebit(C15,I15,TODAY(),100000000))</f>
        <v>1726.4459999999999</v>
      </c>
      <c r="AF15" s="74">
        <f ca="1">IF(C15="","",[1]!s_est_avgebitda(C15,I15,TODAY(),100000000))</f>
        <v>3615.7051571400002</v>
      </c>
      <c r="AG15" s="74">
        <f ca="1">IF(C15="","",[1]!s_est_avgbps(C15,I15,TODAY()))</f>
        <v>65.108199999999997</v>
      </c>
      <c r="AH15" s="74">
        <f ca="1">IF(C15="","",[1]!s_est_avgebt(C15,I15,TODAY(),100000000))</f>
        <v>1900.4011481499999</v>
      </c>
      <c r="AI15" s="74">
        <f ca="1">IF(C15="","",[1]!s_est_avgroa(C15,I15,TODAY()))</f>
        <v>7.0990000000000002</v>
      </c>
      <c r="AJ15" s="74">
        <f ca="1">IF(C15="","",[1]!s_est_avgroe(C15,I15,TODAY()))</f>
        <v>10.868800163269043</v>
      </c>
      <c r="AK15" s="74">
        <f ca="1">IF(C15="","",[1]!s_est_avgoperatingprofit(C15,I15,TODAY(),100000000))</f>
        <v>1881.00524</v>
      </c>
      <c r="AL15" s="74">
        <f ca="1">IF(C15="","",[1]!s_est_yoynetprofit(C15,I15,TODAY()))</f>
        <v>5.3320169448852539</v>
      </c>
      <c r="AM15" s="74">
        <f ca="1">IF(C15="","",[1]!s_est_yoysales(C15,I15,TODAY()))</f>
        <v>4.5779767036437988</v>
      </c>
      <c r="AN15" s="35"/>
    </row>
    <row r="16" spans="1:72" s="36" customFormat="1" ht="16.5" x14ac:dyDescent="0.2">
      <c r="A16" s="2"/>
      <c r="B16" s="6"/>
      <c r="C16" s="28" t="str">
        <f>IF(表1[[#This Row],[列1]]="","",表1[[#This Row],[列1]])</f>
        <v>603160.SH</v>
      </c>
      <c r="D16" s="19" t="str">
        <f>IF(C16="","",[1]!hks_info_name(C16))</f>
        <v>汇顶科技</v>
      </c>
      <c r="E16" s="18" t="str">
        <f ca="1">IF(C16="","",[1]!lastradeday_s(C16,TODAY()))</f>
        <v>2024-12-09</v>
      </c>
      <c r="F16" s="19" t="str">
        <f ca="1">IF(C16="","",IF(OR([1]!s_stm_rpt_e(C16,基本资料!$I$8,0)="#N/A",[1]!s_stm_rpt_e(C16,基本资料!$I$8,0)="",[1]!s_stm_rpt_e(C16,基本资料!$I$8,0)=0),[1]!s_stm_rpt_e(C16,基本资料!$I$9,0),[1]!s_stm_rpt_e(C16,基本资料!$I$8,0)))</f>
        <v>2023-12-31</v>
      </c>
      <c r="G16" s="18">
        <f ca="1">IF(C16="","",YEAR([1]!s_stm_rpt_e(C16,F16,0)))</f>
        <v>2023</v>
      </c>
      <c r="H16" s="18">
        <f ca="1">IF(C16="","",表1_31213141516[[#This Row],[列5]]+1)</f>
        <v>2024</v>
      </c>
      <c r="I16" s="18">
        <f ca="1">IF(C16="","",表1_31213141516[[#This Row],[列5]]+2)</f>
        <v>2025</v>
      </c>
      <c r="J16" s="18">
        <f ca="1">IF(C16="","",[1]!s_est_instnum(C16,H16,TODAY()))</f>
        <v>10</v>
      </c>
      <c r="K16" s="74">
        <f ca="1">IF(C16="","",[1]!s_est_eps(C16,H16,TODAY()))</f>
        <v>1.5085999999999999</v>
      </c>
      <c r="L16" s="74">
        <f ca="1">IF(C16="","",[1]!s_est_sales(C16,H16,TODAY(),100000000))</f>
        <v>50.917999999999999</v>
      </c>
      <c r="M16" s="74">
        <f ca="1">IF(C16="","",[1]!s_est_netprofit(C16,H16,TODAY(),100000000))</f>
        <v>6.9135099999999996</v>
      </c>
      <c r="N16" s="74">
        <f ca="1">IF(C16="","",[1]!s_est_avgcps(C16,H16,TODAY()))</f>
        <v>1.3411</v>
      </c>
      <c r="O16" s="74">
        <f ca="1">IF(C16="","",[1]!s_est_avgdps(C16,H16,TODAY()))</f>
        <v>0.57479999999999998</v>
      </c>
      <c r="P16" s="74">
        <f ca="1">IF(C16="","",[1]!s_est_avgebit(C16,H16,TODAY(),100000000))</f>
        <v>5.44</v>
      </c>
      <c r="Q16" s="74">
        <f ca="1">IF(C16="","",[1]!s_est_avgebitda(C16,H16,TODAY(),100000000))</f>
        <v>8.7603249999999999</v>
      </c>
      <c r="R16" s="74">
        <f ca="1">IF(C16="","",[1]!s_est_avgbps(C16,H16,TODAY()))</f>
        <v>18.996600000000001</v>
      </c>
      <c r="S16" s="74">
        <f ca="1">IF(C16="","",[1]!s_est_avgebt(C16,H16,TODAY(),100000000))</f>
        <v>7.1239999999999997</v>
      </c>
      <c r="T16" s="74">
        <f ca="1">IF(C16="","",[1]!s_est_avgroa(C16,H16,TODAY()))</f>
        <v>6.49</v>
      </c>
      <c r="U16" s="74">
        <f ca="1">IF(C16="","",[1]!s_est_avgroe(C16,H16,TODAY()))</f>
        <v>7.9970002174377441</v>
      </c>
      <c r="V16" s="74">
        <f ca="1">IF(C16="","",[1]!s_est_avgoperatingprofit(C16,H16,TODAY(),100000000))</f>
        <v>7.1689999999999996</v>
      </c>
      <c r="W16" s="74">
        <f ca="1">IF(C16="","",[1]!s_est_yoynetprofit(C16,H16,TODAY()))</f>
        <v>318.86114501953125</v>
      </c>
      <c r="X16" s="74">
        <f ca="1">IF(C16="","",[1]!s_est_yoysales(C16,H16,TODAY()))</f>
        <v>15.511333465576172</v>
      </c>
      <c r="Y16" s="74">
        <f ca="1">IF(C16="","",[1]!s_est_instnum(C16,I16,TODAY()))</f>
        <v>10</v>
      </c>
      <c r="Z16" s="74">
        <f ca="1">IF(C16="","",[1]!s_est_eps(C16,I16,TODAY()))</f>
        <v>1.7991999999999999</v>
      </c>
      <c r="AA16" s="74">
        <f ca="1">IF(C16="","",[1]!s_est_sales(C16,I16,TODAY(),100000000))</f>
        <v>59.777000000000001</v>
      </c>
      <c r="AB16" s="74">
        <f ca="1">IF(C16="","",[1]!s_est_netprofit(C16,I16,TODAY(),100000000))</f>
        <v>8.2452400000000008</v>
      </c>
      <c r="AC16" s="74">
        <f ca="1">IF(C16="","",[1]!s_est_avgcps(C16,I16,TODAY()))</f>
        <v>2.5937000000000001</v>
      </c>
      <c r="AD16" s="74">
        <f ca="1">IF(C16="","",[1]!s_est_avgdps(C16,I16,TODAY()))</f>
        <v>0.70469999999999999</v>
      </c>
      <c r="AE16" s="74">
        <f ca="1">IF(C16="","",[1]!s_est_avgebit(C16,I16,TODAY(),100000000))</f>
        <v>6.25</v>
      </c>
      <c r="AF16" s="74">
        <f ca="1">IF(C16="","",[1]!s_est_avgebitda(C16,I16,TODAY(),100000000))</f>
        <v>10.395799999999999</v>
      </c>
      <c r="AG16" s="74">
        <f ca="1">IF(C16="","",[1]!s_est_avgbps(C16,I16,TODAY()))</f>
        <v>20.633400000000002</v>
      </c>
      <c r="AH16" s="74">
        <f ca="1">IF(C16="","",[1]!s_est_avgebt(C16,I16,TODAY(),100000000))</f>
        <v>8.7059999999999995</v>
      </c>
      <c r="AI16" s="74">
        <f ca="1">IF(C16="","",[1]!s_est_avgroa(C16,I16,TODAY()))</f>
        <v>7.0533000000000001</v>
      </c>
      <c r="AJ16" s="74">
        <f ca="1">IF(C16="","",[1]!s_est_avgroe(C16,I16,TODAY()))</f>
        <v>8.7799997329711914</v>
      </c>
      <c r="AK16" s="74">
        <f ca="1">IF(C16="","",[1]!s_est_avgoperatingprofit(C16,I16,TODAY(),100000000))</f>
        <v>8.7550000000000008</v>
      </c>
      <c r="AL16" s="74">
        <f ca="1">IF(C16="","",[1]!s_est_yoynetprofit(C16,I16,TODAY()))</f>
        <v>19.262718200683594</v>
      </c>
      <c r="AM16" s="74">
        <f ca="1">IF(C16="","",[1]!s_est_yoysales(C16,I16,TODAY()))</f>
        <v>17.398561477661133</v>
      </c>
      <c r="AN16" s="35"/>
    </row>
    <row r="17" spans="1:40" s="36" customFormat="1" ht="16.5" x14ac:dyDescent="0.2">
      <c r="A17" s="2"/>
      <c r="B17" s="6"/>
      <c r="C17" s="28" t="str">
        <f>IF(表1[[#This Row],[列1]]="","",表1[[#This Row],[列1]])</f>
        <v>688111.SH</v>
      </c>
      <c r="D17" s="19" t="str">
        <f>IF(C17="","",[1]!hks_info_name(C17))</f>
        <v>金山办公</v>
      </c>
      <c r="E17" s="18" t="str">
        <f ca="1">IF(C17="","",[1]!lastradeday_s(C17,TODAY()))</f>
        <v>2024-12-09</v>
      </c>
      <c r="F17" s="19" t="str">
        <f ca="1">IF(C17="","",IF(OR([1]!s_stm_rpt_e(C17,基本资料!$I$8,0)="#N/A",[1]!s_stm_rpt_e(C17,基本资料!$I$8,0)="",[1]!s_stm_rpt_e(C17,基本资料!$I$8,0)=0),[1]!s_stm_rpt_e(C17,基本资料!$I$9,0),[1]!s_stm_rpt_e(C17,基本资料!$I$8,0)))</f>
        <v>2023-12-31</v>
      </c>
      <c r="G17" s="18">
        <f ca="1">IF(C17="","",YEAR([1]!s_stm_rpt_e(C17,F17,0)))</f>
        <v>2023</v>
      </c>
      <c r="H17" s="18">
        <f ca="1">IF(C17="","",表1_31213141516[[#This Row],[列5]]+1)</f>
        <v>2024</v>
      </c>
      <c r="I17" s="18">
        <f ca="1">IF(C17="","",表1_31213141516[[#This Row],[列5]]+2)</f>
        <v>2025</v>
      </c>
      <c r="J17" s="18">
        <f ca="1">IF(C17="","",[1]!s_est_instnum(C17,H17,TODAY()))</f>
        <v>43</v>
      </c>
      <c r="K17" s="74">
        <f ca="1">IF(C17="","",[1]!s_est_eps(C17,H17,TODAY()))</f>
        <v>3.3005</v>
      </c>
      <c r="L17" s="74">
        <f ca="1">IF(C17="","",[1]!s_est_sales(C17,H17,TODAY(),100000000))</f>
        <v>52.252602330000002</v>
      </c>
      <c r="M17" s="74">
        <f ca="1">IF(C17="","",[1]!s_est_netprofit(C17,H17,TODAY(),100000000))</f>
        <v>15.265453490000001</v>
      </c>
      <c r="N17" s="74">
        <f ca="1">IF(C17="","",[1]!s_est_avgcps(C17,H17,TODAY()))</f>
        <v>4.1474000000000002</v>
      </c>
      <c r="O17" s="74">
        <f ca="1">IF(C17="","",[1]!s_est_avgdps(C17,H17,TODAY()))</f>
        <v>1.0056</v>
      </c>
      <c r="P17" s="74">
        <f ca="1">IF(C17="","",[1]!s_est_avgebit(C17,H17,TODAY(),100000000))</f>
        <v>14.87</v>
      </c>
      <c r="Q17" s="74">
        <f ca="1">IF(C17="","",[1]!s_est_avgebitda(C17,H17,TODAY(),100000000))</f>
        <v>16.035219999999999</v>
      </c>
      <c r="R17" s="74">
        <f ca="1">IF(C17="","",[1]!s_est_avgbps(C17,H17,TODAY()))</f>
        <v>24.1751</v>
      </c>
      <c r="S17" s="74">
        <f ca="1">IF(C17="","",[1]!s_est_avgebt(C17,H17,TODAY(),100000000))</f>
        <v>16.221387499999999</v>
      </c>
      <c r="T17" s="74">
        <f ca="1">IF(C17="","",[1]!s_est_avgroa(C17,H17,TODAY()))</f>
        <v>10.144600000000001</v>
      </c>
      <c r="U17" s="74">
        <f ca="1">IF(C17="","",[1]!s_est_avgroe(C17,H17,TODAY()))</f>
        <v>13.783300399780273</v>
      </c>
      <c r="V17" s="74">
        <f ca="1">IF(C17="","",[1]!s_est_avgoperatingprofit(C17,H17,TODAY(),100000000))</f>
        <v>16.21912683</v>
      </c>
      <c r="W17" s="74">
        <f ca="1">IF(C17="","",[1]!s_est_yoynetprofit(C17,H17,TODAY()))</f>
        <v>15.845976829528809</v>
      </c>
      <c r="X17" s="74">
        <f ca="1">IF(C17="","",[1]!s_est_yoysales(C17,H17,TODAY()))</f>
        <v>14.69044303894043</v>
      </c>
      <c r="Y17" s="74">
        <f ca="1">IF(C17="","",[1]!s_est_instnum(C17,I17,TODAY()))</f>
        <v>43</v>
      </c>
      <c r="Z17" s="74">
        <f ca="1">IF(C17="","",[1]!s_est_eps(C17,I17,TODAY()))</f>
        <v>4.1436000000000002</v>
      </c>
      <c r="AA17" s="74">
        <f ca="1">IF(C17="","",[1]!s_est_sales(C17,I17,TODAY(),100000000))</f>
        <v>64.572913950000014</v>
      </c>
      <c r="AB17" s="74">
        <f ca="1">IF(C17="","",[1]!s_est_netprofit(C17,I17,TODAY(),100000000))</f>
        <v>19.165097670000002</v>
      </c>
      <c r="AC17" s="74">
        <f ca="1">IF(C17="","",[1]!s_est_avgcps(C17,I17,TODAY()))</f>
        <v>4.5529999999999999</v>
      </c>
      <c r="AD17" s="74">
        <f ca="1">IF(C17="","",[1]!s_est_avgdps(C17,I17,TODAY()))</f>
        <v>1.2294</v>
      </c>
      <c r="AE17" s="74">
        <f ca="1">IF(C17="","",[1]!s_est_avgebit(C17,I17,TODAY(),100000000))</f>
        <v>18.99555556</v>
      </c>
      <c r="AF17" s="74">
        <f ca="1">IF(C17="","",[1]!s_est_avgebitda(C17,I17,TODAY(),100000000))</f>
        <v>19.999587999999999</v>
      </c>
      <c r="AG17" s="74">
        <f ca="1">IF(C17="","",[1]!s_est_avgbps(C17,I17,TODAY()))</f>
        <v>27.494199999999999</v>
      </c>
      <c r="AH17" s="74">
        <f ca="1">IF(C17="","",[1]!s_est_avgebt(C17,I17,TODAY(),100000000))</f>
        <v>20.354452500000001</v>
      </c>
      <c r="AI17" s="74">
        <f ca="1">IF(C17="","",[1]!s_est_avgroa(C17,I17,TODAY()))</f>
        <v>11.2538</v>
      </c>
      <c r="AJ17" s="74">
        <f ca="1">IF(C17="","",[1]!s_est_avgroe(C17,I17,TODAY()))</f>
        <v>15.243499755859375</v>
      </c>
      <c r="AK17" s="74">
        <f ca="1">IF(C17="","",[1]!s_est_avgoperatingprofit(C17,I17,TODAY(),100000000))</f>
        <v>20.359112199999998</v>
      </c>
      <c r="AL17" s="74">
        <f ca="1">IF(C17="","",[1]!s_est_yoynetprofit(C17,I17,TODAY()))</f>
        <v>25.545551300048828</v>
      </c>
      <c r="AM17" s="74">
        <f ca="1">IF(C17="","",[1]!s_est_yoysales(C17,I17,TODAY()))</f>
        <v>23.578369140625</v>
      </c>
      <c r="AN17" s="35"/>
    </row>
    <row r="18" spans="1:40" s="36" customFormat="1" ht="16.5" x14ac:dyDescent="0.2">
      <c r="A18" s="2"/>
      <c r="B18" s="6"/>
      <c r="C18" s="28" t="str">
        <f>IF(表1[[#This Row],[列1]]="","",表1[[#This Row],[列1]])</f>
        <v>0700.HK</v>
      </c>
      <c r="D18" s="19" t="str">
        <f>IF(C18="","",[1]!hks_info_name(C18))</f>
        <v>腾讯控股</v>
      </c>
      <c r="E18" s="18" t="str">
        <f ca="1">IF(C18="","",[1]!lastradeday_s(C18,TODAY()))</f>
        <v>2024-12-06</v>
      </c>
      <c r="F18" s="19" t="str">
        <f ca="1">IF(C18="","",IF(OR([1]!s_stm_rpt_e(C18,基本资料!$I$8,0)="#N/A",[1]!s_stm_rpt_e(C18,基本资料!$I$8,0)="",[1]!s_stm_rpt_e(C18,基本资料!$I$8,0)=0),[1]!s_stm_rpt_e(C18,基本资料!$I$9,0),[1]!s_stm_rpt_e(C18,基本资料!$I$8,0)))</f>
        <v>2023-12-31</v>
      </c>
      <c r="G18" s="18">
        <f ca="1">IF(C18="","",YEAR([1]!s_stm_rpt_e(C18,F18,0)))</f>
        <v>2023</v>
      </c>
      <c r="H18" s="18">
        <f ca="1">IF(C18="","",表1_31213141516[[#This Row],[列5]]+1)</f>
        <v>2024</v>
      </c>
      <c r="I18" s="18">
        <f ca="1">IF(C18="","",表1_31213141516[[#This Row],[列5]]+2)</f>
        <v>2025</v>
      </c>
      <c r="J18" s="18">
        <f ca="1">IF(C18="","",[1]!s_est_instnum(C18,H18,TODAY()))</f>
        <v>30</v>
      </c>
      <c r="K18" s="74">
        <f ca="1">IF(C18="","",[1]!s_est_eps(C18,H18,TODAY()))</f>
        <v>19.741499999999998</v>
      </c>
      <c r="L18" s="74">
        <f ca="1">IF(C18="","",[1]!s_est_sales(C18,H18,TODAY(),100000000))</f>
        <v>6604.8214200000002</v>
      </c>
      <c r="M18" s="74">
        <f ca="1">IF(C18="","",[1]!s_est_netprofit(C18,H18,TODAY(),100000000))</f>
        <v>1833.66392739</v>
      </c>
      <c r="N18" s="74">
        <f ca="1">IF(C18="","",[1]!s_est_avgcps(C18,H18,TODAY()))</f>
        <v>22.98</v>
      </c>
      <c r="O18" s="74">
        <f ca="1">IF(C18="","",[1]!s_est_avgdps(C18,H18,TODAY()))</f>
        <v>3.6168</v>
      </c>
      <c r="P18" s="74">
        <f ca="1">IF(C18="","",[1]!s_est_avgebit(C18,H18,TODAY(),100000000))</f>
        <v>2227.4254249999999</v>
      </c>
      <c r="Q18" s="74">
        <f ca="1">IF(C18="","",[1]!s_est_avgebitda(C18,H18,TODAY(),100000000))</f>
        <v>2595.88488667</v>
      </c>
      <c r="R18" s="74">
        <f ca="1">IF(C18="","",[1]!s_est_avgbps(C18,H18,TODAY()))</f>
        <v>104.3968</v>
      </c>
      <c r="S18" s="74">
        <f ca="1">IF(C18="","",[1]!s_est_avgebt(C18,H18,TODAY(),100000000))</f>
        <v>2290.2467333299996</v>
      </c>
      <c r="T18" s="74">
        <f ca="1">IF(C18="","",[1]!s_est_avgroa(C18,H18,TODAY()))</f>
        <v>11.263</v>
      </c>
      <c r="U18" s="74">
        <f ca="1">IF(C18="","",[1]!s_est_avgroe(C18,H18,TODAY()))</f>
        <v>20.2821</v>
      </c>
      <c r="V18" s="74">
        <f ca="1">IF(C18="","",[1]!s_est_avgoperatingprofit(C18,H18,TODAY(),100000000))</f>
        <v>2060.2659318199999</v>
      </c>
      <c r="W18" s="74">
        <f ca="1">IF(C18="","",[1]!s_est_yoynetprofit(C18,H18,TODAY()))</f>
        <v>59.150111737085133</v>
      </c>
      <c r="X18" s="74">
        <f ca="1">IF(C18="","",[1]!s_est_yoysales(C18,H18,TODAY()))</f>
        <v>8.4508824905790494</v>
      </c>
      <c r="Y18" s="74">
        <f ca="1">IF(C18="","",[1]!s_est_instnum(C18,I18,TODAY()))</f>
        <v>30</v>
      </c>
      <c r="Z18" s="74">
        <f ca="1">IF(C18="","",[1]!s_est_eps(C18,I18,TODAY()))</f>
        <v>22.179200000000002</v>
      </c>
      <c r="AA18" s="74">
        <f ca="1">IF(C18="","",[1]!s_est_sales(C18,I18,TODAY(),100000000))</f>
        <v>7185.8786633300015</v>
      </c>
      <c r="AB18" s="74">
        <f ca="1">IF(C18="","",[1]!s_est_netprofit(C18,I18,TODAY(),100000000))</f>
        <v>2059.09169389</v>
      </c>
      <c r="AC18" s="74">
        <f ca="1">IF(C18="","",[1]!s_est_avgcps(C18,I18,TODAY()))</f>
        <v>26.5825</v>
      </c>
      <c r="AD18" s="74">
        <f ca="1">IF(C18="","",[1]!s_est_avgdps(C18,I18,TODAY()))</f>
        <v>3.9156</v>
      </c>
      <c r="AE18" s="74">
        <f ca="1">IF(C18="","",[1]!s_est_avgebit(C18,I18,TODAY(),100000000))</f>
        <v>2520.0796500000001</v>
      </c>
      <c r="AF18" s="74">
        <f ca="1">IF(C18="","",[1]!s_est_avgebitda(C18,I18,TODAY(),100000000))</f>
        <v>2906.0845357100002</v>
      </c>
      <c r="AG18" s="74">
        <f ca="1">IF(C18="","",[1]!s_est_avgbps(C18,I18,TODAY()))</f>
        <v>123.0021</v>
      </c>
      <c r="AH18" s="74">
        <f ca="1">IF(C18="","",[1]!s_est_avgebt(C18,I18,TODAY(),100000000))</f>
        <v>2583.0543333299997</v>
      </c>
      <c r="AI18" s="74">
        <f ca="1">IF(C18="","",[1]!s_est_avgroa(C18,I18,TODAY()))</f>
        <v>11.143000000000001</v>
      </c>
      <c r="AJ18" s="74">
        <f ca="1">IF(C18="","",[1]!s_est_avgroe(C18,I18,TODAY()))</f>
        <v>19.3325</v>
      </c>
      <c r="AK18" s="74">
        <f ca="1">IF(C18="","",[1]!s_est_avgoperatingprofit(C18,I18,TODAY(),100000000))</f>
        <v>2333.8296272699999</v>
      </c>
      <c r="AL18" s="74">
        <f ca="1">IF(C18="","",[1]!s_est_yoynetprofit(C18,I18,TODAY()))</f>
        <v>12.293843115563128</v>
      </c>
      <c r="AM18" s="74">
        <f ca="1">IF(C18="","",[1]!s_est_yoysales(C18,I18,TODAY()))</f>
        <v>8.7974709137556246</v>
      </c>
      <c r="AN18" s="35"/>
    </row>
    <row r="19" spans="1:40" s="36" customFormat="1" ht="16.5" x14ac:dyDescent="0.2">
      <c r="A19" s="2"/>
      <c r="B19" s="6"/>
      <c r="C19" s="28" t="str">
        <f>IF(表1[[#This Row],[列1]]="","",表1[[#This Row],[列1]])</f>
        <v>9896.HK</v>
      </c>
      <c r="D19" s="19" t="str">
        <f>IF(C19="","",[1]!hks_info_name(C19))</f>
        <v>名创优品</v>
      </c>
      <c r="E19" s="18" t="str">
        <f ca="1">IF(C19="","",[1]!lastradeday_s(C19,TODAY()))</f>
        <v>2024-12-06</v>
      </c>
      <c r="F19" s="19" t="str">
        <f ca="1">IF(C19="","",IF(OR([1]!s_stm_rpt_e(C19,基本资料!$I$8,0)="#N/A",[1]!s_stm_rpt_e(C19,基本资料!$I$8,0)="",[1]!s_stm_rpt_e(C19,基本资料!$I$8,0)=0),[1]!s_stm_rpt_e(C19,基本资料!$I$9,0),[1]!s_stm_rpt_e(C19,基本资料!$I$8,0)))</f>
        <v>2023-06-30</v>
      </c>
      <c r="G19" s="18">
        <f ca="1">IF(C19="","",YEAR([1]!s_stm_rpt_e(C19,F19,0)))</f>
        <v>2022</v>
      </c>
      <c r="H19" s="18">
        <f ca="1">IF(C19="","",表1_31213141516[[#This Row],[列5]]+1)</f>
        <v>2023</v>
      </c>
      <c r="I19" s="18">
        <f ca="1">IF(C19="","",表1_31213141516[[#This Row],[列5]]+2)</f>
        <v>2024</v>
      </c>
      <c r="J19" s="18">
        <f ca="1">IF(C19="","",[1]!s_est_instnum(C19,H19,TODAY()))</f>
        <v>0</v>
      </c>
      <c r="K19" s="74">
        <f ca="1">IF(C19="","",[1]!s_est_eps(C19,H19,TODAY()))</f>
        <v>0</v>
      </c>
      <c r="L19" s="74">
        <f ca="1">IF(C19="","",[1]!s_est_sales(C19,H19,TODAY(),100000000))</f>
        <v>0</v>
      </c>
      <c r="M19" s="74">
        <f ca="1">IF(C19="","",[1]!s_est_netprofit(C19,H19,TODAY(),100000000))</f>
        <v>0</v>
      </c>
      <c r="N19" s="74">
        <f ca="1">IF(C19="","",[1]!s_est_avgcps(C19,H19,TODAY()))</f>
        <v>0</v>
      </c>
      <c r="O19" s="74">
        <f ca="1">IF(C19="","",[1]!s_est_avgdps(C19,H19,TODAY()))</f>
        <v>0</v>
      </c>
      <c r="P19" s="74">
        <f ca="1">IF(C19="","",[1]!s_est_avgebit(C19,H19,TODAY(),100000000))</f>
        <v>0</v>
      </c>
      <c r="Q19" s="74">
        <f ca="1">IF(C19="","",[1]!s_est_avgebitda(C19,H19,TODAY(),100000000))</f>
        <v>0</v>
      </c>
      <c r="R19" s="74">
        <f ca="1">IF(C19="","",[1]!s_est_avgbps(C19,H19,TODAY()))</f>
        <v>0</v>
      </c>
      <c r="S19" s="74">
        <f ca="1">IF(C19="","",[1]!s_est_avgebt(C19,H19,TODAY(),100000000))</f>
        <v>0</v>
      </c>
      <c r="T19" s="74">
        <f ca="1">IF(C19="","",[1]!s_est_avgroa(C19,H19,TODAY()))</f>
        <v>0</v>
      </c>
      <c r="U19" s="74">
        <f ca="1">IF(C19="","",[1]!s_est_avgroe(C19,H19,TODAY()))</f>
        <v>0</v>
      </c>
      <c r="V19" s="74">
        <f ca="1">IF(C19="","",[1]!s_est_avgoperatingprofit(C19,H19,TODAY(),100000000))</f>
        <v>0</v>
      </c>
      <c r="W19" s="74">
        <f ca="1">IF(C19="","",[1]!s_est_yoynetprofit(C19,H19,TODAY()))</f>
        <v>0</v>
      </c>
      <c r="X19" s="74">
        <f ca="1">IF(C19="","",[1]!s_est_yoysales(C19,H19,TODAY()))</f>
        <v>0</v>
      </c>
      <c r="Y19" s="74">
        <f ca="1">IF(C19="","",[1]!s_est_instnum(C19,I19,TODAY()))</f>
        <v>21</v>
      </c>
      <c r="Z19" s="74">
        <f ca="1">IF(C19="","",[1]!s_est_eps(C19,I19,TODAY()))</f>
        <v>2.1722000000000001</v>
      </c>
      <c r="AA19" s="74">
        <f ca="1">IF(C19="","",[1]!s_est_sales(C19,I19,TODAY(),100000000))</f>
        <v>172.83001429000001</v>
      </c>
      <c r="AB19" s="74">
        <f ca="1">IF(C19="","",[1]!s_est_netprofit(C19,I19,TODAY(),100000000))</f>
        <v>27.288916319999998</v>
      </c>
      <c r="AC19" s="74">
        <f ca="1">IF(C19="","",[1]!s_est_avgcps(C19,I19,TODAY()))</f>
        <v>3.0819999999999999</v>
      </c>
      <c r="AD19" s="74">
        <f ca="1">IF(C19="","",[1]!s_est_avgdps(C19,I19,TODAY()))</f>
        <v>2.2461000000000002</v>
      </c>
      <c r="AE19" s="74">
        <f ca="1">IF(C19="","",[1]!s_est_avgebit(C19,I19,TODAY(),100000000))</f>
        <v>34.79738571</v>
      </c>
      <c r="AF19" s="74">
        <f ca="1">IF(C19="","",[1]!s_est_avgebitda(C19,I19,TODAY(),100000000))</f>
        <v>38.496545449999999</v>
      </c>
      <c r="AG19" s="74">
        <f ca="1">IF(C19="","",[1]!s_est_avgbps(C19,I19,TODAY()))</f>
        <v>10.5685</v>
      </c>
      <c r="AH19" s="74">
        <f ca="1">IF(C19="","",[1]!s_est_avgebt(C19,I19,TODAY(),100000000))</f>
        <v>31.99221111</v>
      </c>
      <c r="AI19" s="74">
        <f ca="1">IF(C19="","",[1]!s_est_avgroa(C19,I19,TODAY()))</f>
        <v>15.966699999999999</v>
      </c>
      <c r="AJ19" s="74">
        <f ca="1">IF(C19="","",[1]!s_est_avgroe(C19,I19,TODAY()))</f>
        <v>24.512</v>
      </c>
      <c r="AK19" s="74">
        <f ca="1">IF(C19="","",[1]!s_est_avgoperatingprofit(C19,I19,TODAY(),100000000))</f>
        <v>34.834524999999999</v>
      </c>
      <c r="AL19" s="74">
        <f ca="1">IF(C19="","",[1]!s_est_yoynetprofit(C19,I19,TODAY()))</f>
        <v>54.268275326384483</v>
      </c>
      <c r="AM19" s="74">
        <f ca="1">IF(C19="","",[1]!s_est_yoysales(C19,I19,TODAY()))</f>
        <v>50.637915995247361</v>
      </c>
      <c r="AN19" s="35"/>
    </row>
    <row r="20" spans="1:40" s="36" customFormat="1" ht="16.5" x14ac:dyDescent="0.2">
      <c r="A20" s="2"/>
      <c r="B20" s="6"/>
      <c r="C20" s="28" t="str">
        <f>IF(表1[[#This Row],[列1]]="","",表1[[#This Row],[列1]])</f>
        <v>9999.HK</v>
      </c>
      <c r="D20" s="19" t="str">
        <f>IF(C20="","",[1]!hks_info_name(C20))</f>
        <v>网易-S</v>
      </c>
      <c r="E20" s="18" t="str">
        <f ca="1">IF(C20="","",[1]!lastradeday_s(C20,TODAY()))</f>
        <v>2024-12-09</v>
      </c>
      <c r="F20" s="19" t="str">
        <f ca="1">IF(C20="","",IF(OR([1]!s_stm_rpt_e(C20,基本资料!$I$8,0)="#N/A",[1]!s_stm_rpt_e(C20,基本资料!$I$8,0)="",[1]!s_stm_rpt_e(C20,基本资料!$I$8,0)=0),[1]!s_stm_rpt_e(C20,基本资料!$I$9,0),[1]!s_stm_rpt_e(C20,基本资料!$I$8,0)))</f>
        <v>2023-12-31</v>
      </c>
      <c r="G20" s="18">
        <f ca="1">IF(C20="","",YEAR([1]!s_stm_rpt_e(C20,F20,0)))</f>
        <v>2023</v>
      </c>
      <c r="H20" s="18">
        <f ca="1">IF(C20="","",表1_31213141516[[#This Row],[列5]]+1)</f>
        <v>2024</v>
      </c>
      <c r="I20" s="18">
        <f ca="1">IF(C20="","",表1_31213141516[[#This Row],[列5]]+2)</f>
        <v>2025</v>
      </c>
      <c r="J20" s="18">
        <f ca="1">IF(C20="","",[1]!s_est_instnum(C20,H20,TODAY()))</f>
        <v>24</v>
      </c>
      <c r="K20" s="74">
        <f ca="1">IF(C20="","",[1]!s_est_eps(C20,H20,TODAY()))</f>
        <v>8.9964999999999993</v>
      </c>
      <c r="L20" s="74">
        <f ca="1">IF(C20="","",[1]!s_est_sales(C20,H20,TODAY(),100000000))</f>
        <v>1069.24595</v>
      </c>
      <c r="M20" s="74">
        <f ca="1">IF(C20="","",[1]!s_est_netprofit(C20,H20,TODAY(),100000000))</f>
        <v>288.85772083000001</v>
      </c>
      <c r="N20" s="74">
        <f ca="1">IF(C20="","",[1]!s_est_avgcps(C20,H20,TODAY()))</f>
        <v>11.158300000000001</v>
      </c>
      <c r="O20" s="74">
        <f ca="1">IF(C20="","",[1]!s_est_avgdps(C20,H20,TODAY()))</f>
        <v>2.9396</v>
      </c>
      <c r="P20" s="74">
        <f ca="1">IF(C20="","",[1]!s_est_avgebit(C20,H20,TODAY(),100000000))</f>
        <v>295.83</v>
      </c>
      <c r="Q20" s="74">
        <f ca="1">IF(C20="","",[1]!s_est_avgebitda(C20,H20,TODAY(),100000000))</f>
        <v>334.32397500000002</v>
      </c>
      <c r="R20" s="74">
        <f ca="1">IF(C20="","",[1]!s_est_avgbps(C20,H20,TODAY()))</f>
        <v>45.279899999999998</v>
      </c>
      <c r="S20" s="74">
        <f ca="1">IF(C20="","",[1]!s_est_avgebt(C20,H20,TODAY(),100000000))</f>
        <v>344.31500908999999</v>
      </c>
      <c r="T20" s="74">
        <f ca="1">IF(C20="","",[1]!s_est_avgroa(C20,H20,TODAY()))</f>
        <v>14.332000000000001</v>
      </c>
      <c r="U20" s="74">
        <f ca="1">IF(C20="","",[1]!s_est_avgroe(C20,H20,TODAY()))</f>
        <v>20.776</v>
      </c>
      <c r="V20" s="74">
        <f ca="1">IF(C20="","",[1]!s_est_avgoperatingprofit(C20,H20,TODAY(),100000000))</f>
        <v>296.77844544999999</v>
      </c>
      <c r="W20" s="74">
        <f ca="1">IF(C20="","",[1]!s_est_yoynetprofit(C20,H20,TODAY()))</f>
        <v>-1.8043580260528154</v>
      </c>
      <c r="X20" s="74">
        <f ca="1">IF(C20="","",[1]!s_est_yoysales(C20,H20,TODAY()))</f>
        <v>3.3405793950581457</v>
      </c>
      <c r="Y20" s="74">
        <f ca="1">IF(C20="","",[1]!s_est_instnum(C20,I20,TODAY()))</f>
        <v>24</v>
      </c>
      <c r="Z20" s="74">
        <f ca="1">IF(C20="","",[1]!s_est_eps(C20,I20,TODAY()))</f>
        <v>9.6793999999999993</v>
      </c>
      <c r="AA20" s="74">
        <f ca="1">IF(C20="","",[1]!s_est_sales(C20,I20,TODAY(),100000000))</f>
        <v>1153.4725000000001</v>
      </c>
      <c r="AB20" s="74">
        <f ca="1">IF(C20="","",[1]!s_est_netprofit(C20,I20,TODAY(),100000000))</f>
        <v>310.78390832999997</v>
      </c>
      <c r="AC20" s="74">
        <f ca="1">IF(C20="","",[1]!s_est_avgcps(C20,I20,TODAY()))</f>
        <v>11.4405</v>
      </c>
      <c r="AD20" s="74">
        <f ca="1">IF(C20="","",[1]!s_est_avgdps(C20,I20,TODAY()))</f>
        <v>3.2917000000000001</v>
      </c>
      <c r="AE20" s="74">
        <f ca="1">IF(C20="","",[1]!s_est_avgebit(C20,I20,TODAY(),100000000))</f>
        <v>327.15499999999997</v>
      </c>
      <c r="AF20" s="74">
        <f ca="1">IF(C20="","",[1]!s_est_avgebitda(C20,I20,TODAY(),100000000))</f>
        <v>372.67059999999998</v>
      </c>
      <c r="AG20" s="74">
        <f ca="1">IF(C20="","",[1]!s_est_avgbps(C20,I20,TODAY()))</f>
        <v>52.680599999999998</v>
      </c>
      <c r="AH20" s="74">
        <f ca="1">IF(C20="","",[1]!s_est_avgebt(C20,I20,TODAY(),100000000))</f>
        <v>369.92105455000001</v>
      </c>
      <c r="AI20" s="74">
        <f ca="1">IF(C20="","",[1]!s_est_avgroa(C20,I20,TODAY()))</f>
        <v>12.73</v>
      </c>
      <c r="AJ20" s="74">
        <f ca="1">IF(C20="","",[1]!s_est_avgroe(C20,I20,TODAY()))</f>
        <v>18.885000000000002</v>
      </c>
      <c r="AK20" s="74">
        <f ca="1">IF(C20="","",[1]!s_est_avgoperatingprofit(C20,I20,TODAY(),100000000))</f>
        <v>330.08767273000001</v>
      </c>
      <c r="AL20" s="74">
        <f ca="1">IF(C20="","",[1]!s_est_yoynetprofit(C20,I20,TODAY()))</f>
        <v>7.5906530858851822</v>
      </c>
      <c r="AM20" s="74">
        <f ca="1">IF(C20="","",[1]!s_est_yoysales(C20,I20,TODAY()))</f>
        <v>7.8771913982933484</v>
      </c>
      <c r="AN20" s="35"/>
    </row>
    <row r="21" spans="1:40" s="36" customFormat="1" ht="16.5" x14ac:dyDescent="0.2">
      <c r="A21" s="2"/>
      <c r="B21" s="6"/>
      <c r="C21" s="28" t="str">
        <f>IF(表1[[#This Row],[列1]]="","",表1[[#This Row],[列1]])</f>
        <v/>
      </c>
      <c r="D21" s="19" t="str">
        <f>IF(C21="","",[1]!hks_info_name(C21))</f>
        <v/>
      </c>
      <c r="E21" s="18" t="str">
        <f ca="1">IF(C21="","",[1]!lastradeday_s(C21,TODAY()))</f>
        <v/>
      </c>
      <c r="F21" s="19" t="str">
        <f>IF(C21="","",IF(OR([1]!s_stm_rpt_e(C21,基本资料!$I$8,0)="#N/A",[1]!s_stm_rpt_e(C21,基本资料!$I$8,0)="",[1]!s_stm_rpt_e(C21,基本资料!$I$8,0)=0),[1]!s_stm_rpt_e(C21,基本资料!$I$9,0),[1]!s_stm_rpt_e(C21,基本资料!$I$8,0)))</f>
        <v/>
      </c>
      <c r="G21" s="18" t="str">
        <f>IF(C21="","",YEAR([1]!s_stm_rpt_e(C21,F21,0)))</f>
        <v/>
      </c>
      <c r="H21" s="18" t="str">
        <f>IF(C21="","",表1_31213141516[[#This Row],[列5]]+1)</f>
        <v/>
      </c>
      <c r="I21" s="18" t="str">
        <f>IF(C21="","",表1_31213141516[[#This Row],[列5]]+2)</f>
        <v/>
      </c>
      <c r="J21" s="18" t="str">
        <f ca="1">IF(C21="","",[1]!s_est_instnum(C21,H21,TODAY()))</f>
        <v/>
      </c>
      <c r="K21" s="74" t="str">
        <f ca="1">IF(C21="","",[1]!s_est_eps(C21,H21,TODAY()))</f>
        <v/>
      </c>
      <c r="L21" s="74" t="str">
        <f ca="1">IF(C21="","",[1]!s_est_sales(C21,H21,TODAY(),100000000))</f>
        <v/>
      </c>
      <c r="M21" s="74" t="str">
        <f ca="1">IF(C21="","",[1]!s_est_netprofit(C21,H21,TODAY(),100000000))</f>
        <v/>
      </c>
      <c r="N21" s="74" t="str">
        <f ca="1">IF(C21="","",[1]!s_est_avgcps(C21,H21,TODAY()))</f>
        <v/>
      </c>
      <c r="O21" s="74" t="str">
        <f ca="1">IF(C21="","",[1]!s_est_avgdps(C21,H21,TODAY()))</f>
        <v/>
      </c>
      <c r="P21" s="74" t="str">
        <f ca="1">IF(C21="","",[1]!s_est_avgebit(C21,H21,TODAY(),100000000))</f>
        <v/>
      </c>
      <c r="Q21" s="74" t="str">
        <f ca="1">IF(C21="","",[1]!s_est_avgebitda(C21,H21,TODAY(),100000000))</f>
        <v/>
      </c>
      <c r="R21" s="74" t="str">
        <f ca="1">IF(C21="","",[1]!s_est_avgbps(C21,H21,TODAY()))</f>
        <v/>
      </c>
      <c r="S21" s="74" t="str">
        <f ca="1">IF(C21="","",[1]!s_est_avgebt(C21,H21,TODAY(),100000000))</f>
        <v/>
      </c>
      <c r="T21" s="74" t="str">
        <f ca="1">IF(C21="","",[1]!s_est_avgroa(C21,H21,TODAY()))</f>
        <v/>
      </c>
      <c r="U21" s="74" t="str">
        <f ca="1">IF(C21="","",[1]!s_est_avgroe(C21,H21,TODAY()))</f>
        <v/>
      </c>
      <c r="V21" s="74" t="str">
        <f ca="1">IF(C21="","",[1]!s_est_avgoperatingprofit(C21,H21,TODAY(),100000000))</f>
        <v/>
      </c>
      <c r="W21" s="74" t="str">
        <f ca="1">IF(C21="","",[1]!s_est_yoynetprofit(C21,H21,TODAY()))</f>
        <v/>
      </c>
      <c r="X21" s="74" t="str">
        <f ca="1">IF(C21="","",[1]!s_est_yoysales(C21,H21,TODAY()))</f>
        <v/>
      </c>
      <c r="Y21" s="74" t="str">
        <f ca="1">IF(C21="","",[1]!s_est_instnum(C21,I21,TODAY()))</f>
        <v/>
      </c>
      <c r="Z21" s="74" t="str">
        <f ca="1">IF(C21="","",[1]!s_est_eps(C21,I21,TODAY()))</f>
        <v/>
      </c>
      <c r="AA21" s="74" t="str">
        <f ca="1">IF(C21="","",[1]!s_est_sales(C21,I21,TODAY(),100000000))</f>
        <v/>
      </c>
      <c r="AB21" s="74" t="str">
        <f ca="1">IF(C21="","",[1]!s_est_netprofit(C21,I21,TODAY(),100000000))</f>
        <v/>
      </c>
      <c r="AC21" s="74" t="str">
        <f ca="1">IF(C21="","",[1]!s_est_avgcps(C21,I21,TODAY()))</f>
        <v/>
      </c>
      <c r="AD21" s="74" t="str">
        <f ca="1">IF(C21="","",[1]!s_est_avgdps(C21,I21,TODAY()))</f>
        <v/>
      </c>
      <c r="AE21" s="74" t="str">
        <f ca="1">IF(C21="","",[1]!s_est_avgebit(C21,I21,TODAY(),100000000))</f>
        <v/>
      </c>
      <c r="AF21" s="74" t="str">
        <f ca="1">IF(C21="","",[1]!s_est_avgebitda(C21,I21,TODAY(),100000000))</f>
        <v/>
      </c>
      <c r="AG21" s="74" t="str">
        <f ca="1">IF(C21="","",[1]!s_est_avgbps(C21,I21,TODAY()))</f>
        <v/>
      </c>
      <c r="AH21" s="74" t="str">
        <f ca="1">IF(C21="","",[1]!s_est_avgebt(C21,I21,TODAY(),100000000))</f>
        <v/>
      </c>
      <c r="AI21" s="74" t="str">
        <f ca="1">IF(C21="","",[1]!s_est_avgroa(C21,I21,TODAY()))</f>
        <v/>
      </c>
      <c r="AJ21" s="74" t="str">
        <f ca="1">IF(C21="","",[1]!s_est_avgroe(C21,I21,TODAY()))</f>
        <v/>
      </c>
      <c r="AK21" s="74" t="str">
        <f ca="1">IF(C21="","",[1]!s_est_avgoperatingprofit(C21,I21,TODAY(),100000000))</f>
        <v/>
      </c>
      <c r="AL21" s="74" t="str">
        <f ca="1">IF(C21="","",[1]!s_est_yoynetprofit(C21,I21,TODAY()))</f>
        <v/>
      </c>
      <c r="AM21" s="74" t="str">
        <f ca="1">IF(C21="","",[1]!s_est_yoysales(C21,I21,TODAY()))</f>
        <v/>
      </c>
      <c r="AN21" s="35"/>
    </row>
    <row r="22" spans="1:40" s="36" customFormat="1" ht="16.5" x14ac:dyDescent="0.2">
      <c r="A22" s="2"/>
      <c r="B22" s="6"/>
      <c r="C22" s="28" t="str">
        <f>IF(表1[[#This Row],[列1]]="","",表1[[#This Row],[列1]])</f>
        <v/>
      </c>
      <c r="D22" s="19" t="str">
        <f>IF(C22="","",[1]!hks_info_name(C22))</f>
        <v/>
      </c>
      <c r="E22" s="18" t="str">
        <f ca="1">IF(C22="","",[1]!lastradeday_s(C22,TODAY()))</f>
        <v/>
      </c>
      <c r="F22" s="19" t="str">
        <f>IF(C22="","",IF(OR([1]!s_stm_rpt_e(C22,基本资料!$I$8,0)="#N/A",[1]!s_stm_rpt_e(C22,基本资料!$I$8,0)="",[1]!s_stm_rpt_e(C22,基本资料!$I$8,0)=0),[1]!s_stm_rpt_e(C22,基本资料!$I$9,0),[1]!s_stm_rpt_e(C22,基本资料!$I$8,0)))</f>
        <v/>
      </c>
      <c r="G22" s="18" t="str">
        <f>IF(C22="","",YEAR([1]!s_stm_rpt_e(C22,F22,0)))</f>
        <v/>
      </c>
      <c r="H22" s="18" t="str">
        <f>IF(C22="","",表1_31213141516[[#This Row],[列5]]+1)</f>
        <v/>
      </c>
      <c r="I22" s="18" t="str">
        <f>IF(C22="","",表1_31213141516[[#This Row],[列5]]+2)</f>
        <v/>
      </c>
      <c r="J22" s="18" t="str">
        <f ca="1">IF(C22="","",[1]!s_est_instnum(C22,H22,TODAY()))</f>
        <v/>
      </c>
      <c r="K22" s="74" t="str">
        <f ca="1">IF(C22="","",[1]!s_est_eps(C22,H22,TODAY()))</f>
        <v/>
      </c>
      <c r="L22" s="74" t="str">
        <f ca="1">IF(C22="","",[1]!s_est_sales(C22,H22,TODAY(),100000000))</f>
        <v/>
      </c>
      <c r="M22" s="74" t="str">
        <f ca="1">IF(C22="","",[1]!s_est_netprofit(C22,H22,TODAY(),100000000))</f>
        <v/>
      </c>
      <c r="N22" s="74" t="str">
        <f ca="1">IF(C22="","",[1]!s_est_avgcps(C22,H22,TODAY()))</f>
        <v/>
      </c>
      <c r="O22" s="74" t="str">
        <f ca="1">IF(C22="","",[1]!s_est_avgdps(C22,H22,TODAY()))</f>
        <v/>
      </c>
      <c r="P22" s="74" t="str">
        <f ca="1">IF(C22="","",[1]!s_est_avgebit(C22,H22,TODAY(),100000000))</f>
        <v/>
      </c>
      <c r="Q22" s="74" t="str">
        <f ca="1">IF(C22="","",[1]!s_est_avgebitda(C22,H22,TODAY(),100000000))</f>
        <v/>
      </c>
      <c r="R22" s="74" t="str">
        <f ca="1">IF(C22="","",[1]!s_est_avgbps(C22,H22,TODAY()))</f>
        <v/>
      </c>
      <c r="S22" s="74" t="str">
        <f ca="1">IF(C22="","",[1]!s_est_avgebt(C22,H22,TODAY(),100000000))</f>
        <v/>
      </c>
      <c r="T22" s="74" t="str">
        <f ca="1">IF(C22="","",[1]!s_est_avgroa(C22,H22,TODAY()))</f>
        <v/>
      </c>
      <c r="U22" s="74" t="str">
        <f ca="1">IF(C22="","",[1]!s_est_avgroe(C22,H22,TODAY()))</f>
        <v/>
      </c>
      <c r="V22" s="74" t="str">
        <f ca="1">IF(C22="","",[1]!s_est_avgoperatingprofit(C22,H22,TODAY(),100000000))</f>
        <v/>
      </c>
      <c r="W22" s="74" t="str">
        <f ca="1">IF(C22="","",[1]!s_est_yoynetprofit(C22,H22,TODAY()))</f>
        <v/>
      </c>
      <c r="X22" s="74" t="str">
        <f ca="1">IF(C22="","",[1]!s_est_yoysales(C22,H22,TODAY()))</f>
        <v/>
      </c>
      <c r="Y22" s="74" t="str">
        <f ca="1">IF(C22="","",[1]!s_est_instnum(C22,I22,TODAY()))</f>
        <v/>
      </c>
      <c r="Z22" s="74" t="str">
        <f ca="1">IF(C22="","",[1]!s_est_eps(C22,I22,TODAY()))</f>
        <v/>
      </c>
      <c r="AA22" s="74" t="str">
        <f ca="1">IF(C22="","",[1]!s_est_sales(C22,I22,TODAY(),100000000))</f>
        <v/>
      </c>
      <c r="AB22" s="74" t="str">
        <f ca="1">IF(C22="","",[1]!s_est_netprofit(C22,I22,TODAY(),100000000))</f>
        <v/>
      </c>
      <c r="AC22" s="74" t="str">
        <f ca="1">IF(C22="","",[1]!s_est_avgcps(C22,I22,TODAY()))</f>
        <v/>
      </c>
      <c r="AD22" s="74" t="str">
        <f ca="1">IF(C22="","",[1]!s_est_avgdps(C22,I22,TODAY()))</f>
        <v/>
      </c>
      <c r="AE22" s="74" t="str">
        <f ca="1">IF(C22="","",[1]!s_est_avgebit(C22,I22,TODAY(),100000000))</f>
        <v/>
      </c>
      <c r="AF22" s="74" t="str">
        <f ca="1">IF(C22="","",[1]!s_est_avgebitda(C22,I22,TODAY(),100000000))</f>
        <v/>
      </c>
      <c r="AG22" s="74" t="str">
        <f ca="1">IF(C22="","",[1]!s_est_avgbps(C22,I22,TODAY()))</f>
        <v/>
      </c>
      <c r="AH22" s="74" t="str">
        <f ca="1">IF(C22="","",[1]!s_est_avgebt(C22,I22,TODAY(),100000000))</f>
        <v/>
      </c>
      <c r="AI22" s="74" t="str">
        <f ca="1">IF(C22="","",[1]!s_est_avgroa(C22,I22,TODAY()))</f>
        <v/>
      </c>
      <c r="AJ22" s="74" t="str">
        <f ca="1">IF(C22="","",[1]!s_est_avgroe(C22,I22,TODAY()))</f>
        <v/>
      </c>
      <c r="AK22" s="74" t="str">
        <f ca="1">IF(C22="","",[1]!s_est_avgoperatingprofit(C22,I22,TODAY(),100000000))</f>
        <v/>
      </c>
      <c r="AL22" s="74" t="str">
        <f ca="1">IF(C22="","",[1]!s_est_yoynetprofit(C22,I22,TODAY()))</f>
        <v/>
      </c>
      <c r="AM22" s="74" t="str">
        <f ca="1">IF(C22="","",[1]!s_est_yoysales(C22,I22,TODAY()))</f>
        <v/>
      </c>
      <c r="AN22" s="35"/>
    </row>
    <row r="23" spans="1:40" s="36" customFormat="1" ht="16.5" x14ac:dyDescent="0.2">
      <c r="A23" s="2"/>
      <c r="B23" s="6"/>
      <c r="C23" s="28" t="str">
        <f>IF(表1[[#This Row],[列1]]="","",表1[[#This Row],[列1]])</f>
        <v/>
      </c>
      <c r="D23" s="19" t="str">
        <f>IF(C23="","",[1]!hks_info_name(C23))</f>
        <v/>
      </c>
      <c r="E23" s="18" t="str">
        <f ca="1">IF(C23="","",[1]!lastradeday_s(C23,TODAY()))</f>
        <v/>
      </c>
      <c r="F23" s="19" t="str">
        <f>IF(C23="","",IF(OR([1]!s_stm_rpt_e(C23,基本资料!$I$8,0)="#N/A",[1]!s_stm_rpt_e(C23,基本资料!$I$8,0)="",[1]!s_stm_rpt_e(C23,基本资料!$I$8,0)=0),[1]!s_stm_rpt_e(C23,基本资料!$I$9,0),[1]!s_stm_rpt_e(C23,基本资料!$I$8,0)))</f>
        <v/>
      </c>
      <c r="G23" s="18" t="str">
        <f>IF(C23="","",YEAR([1]!s_stm_rpt_e(C23,F23,0)))</f>
        <v/>
      </c>
      <c r="H23" s="18" t="str">
        <f>IF(C23="","",表1_31213141516[[#This Row],[列5]]+1)</f>
        <v/>
      </c>
      <c r="I23" s="18" t="str">
        <f>IF(C23="","",表1_31213141516[[#This Row],[列5]]+2)</f>
        <v/>
      </c>
      <c r="J23" s="18" t="str">
        <f ca="1">IF(C23="","",[1]!s_est_instnum(C23,H23,TODAY()))</f>
        <v/>
      </c>
      <c r="K23" s="74" t="str">
        <f ca="1">IF(C23="","",[1]!s_est_eps(C23,H23,TODAY()))</f>
        <v/>
      </c>
      <c r="L23" s="74" t="str">
        <f ca="1">IF(C23="","",[1]!s_est_sales(C23,H23,TODAY(),100000000))</f>
        <v/>
      </c>
      <c r="M23" s="74" t="str">
        <f ca="1">IF(C23="","",[1]!s_est_netprofit(C23,H23,TODAY(),100000000))</f>
        <v/>
      </c>
      <c r="N23" s="74" t="str">
        <f ca="1">IF(C23="","",[1]!s_est_avgcps(C23,H23,TODAY()))</f>
        <v/>
      </c>
      <c r="O23" s="74" t="str">
        <f ca="1">IF(C23="","",[1]!s_est_avgdps(C23,H23,TODAY()))</f>
        <v/>
      </c>
      <c r="P23" s="74" t="str">
        <f ca="1">IF(C23="","",[1]!s_est_avgebit(C23,H23,TODAY(),100000000))</f>
        <v/>
      </c>
      <c r="Q23" s="74" t="str">
        <f ca="1">IF(C23="","",[1]!s_est_avgebitda(C23,H23,TODAY(),100000000))</f>
        <v/>
      </c>
      <c r="R23" s="74" t="str">
        <f ca="1">IF(C23="","",[1]!s_est_avgbps(C23,H23,TODAY()))</f>
        <v/>
      </c>
      <c r="S23" s="74" t="str">
        <f ca="1">IF(C23="","",[1]!s_est_avgebt(C23,H23,TODAY(),100000000))</f>
        <v/>
      </c>
      <c r="T23" s="74" t="str">
        <f ca="1">IF(C23="","",[1]!s_est_avgroa(C23,H23,TODAY()))</f>
        <v/>
      </c>
      <c r="U23" s="74" t="str">
        <f ca="1">IF(C23="","",[1]!s_est_avgroe(C23,H23,TODAY()))</f>
        <v/>
      </c>
      <c r="V23" s="74" t="str">
        <f ca="1">IF(C23="","",[1]!s_est_avgoperatingprofit(C23,H23,TODAY(),100000000))</f>
        <v/>
      </c>
      <c r="W23" s="74" t="str">
        <f ca="1">IF(C23="","",[1]!s_est_yoynetprofit(C23,H23,TODAY()))</f>
        <v/>
      </c>
      <c r="X23" s="74" t="str">
        <f ca="1">IF(C23="","",[1]!s_est_yoysales(C23,H23,TODAY()))</f>
        <v/>
      </c>
      <c r="Y23" s="74" t="str">
        <f ca="1">IF(C23="","",[1]!s_est_instnum(C23,I23,TODAY()))</f>
        <v/>
      </c>
      <c r="Z23" s="74" t="str">
        <f ca="1">IF(C23="","",[1]!s_est_eps(C23,I23,TODAY()))</f>
        <v/>
      </c>
      <c r="AA23" s="74" t="str">
        <f ca="1">IF(C23="","",[1]!s_est_sales(C23,I23,TODAY(),100000000))</f>
        <v/>
      </c>
      <c r="AB23" s="74" t="str">
        <f ca="1">IF(C23="","",[1]!s_est_netprofit(C23,I23,TODAY(),100000000))</f>
        <v/>
      </c>
      <c r="AC23" s="74" t="str">
        <f ca="1">IF(C23="","",[1]!s_est_avgcps(C23,I23,TODAY()))</f>
        <v/>
      </c>
      <c r="AD23" s="74" t="str">
        <f ca="1">IF(C23="","",[1]!s_est_avgdps(C23,I23,TODAY()))</f>
        <v/>
      </c>
      <c r="AE23" s="74" t="str">
        <f ca="1">IF(C23="","",[1]!s_est_avgebit(C23,I23,TODAY(),100000000))</f>
        <v/>
      </c>
      <c r="AF23" s="74" t="str">
        <f ca="1">IF(C23="","",[1]!s_est_avgebitda(C23,I23,TODAY(),100000000))</f>
        <v/>
      </c>
      <c r="AG23" s="74" t="str">
        <f ca="1">IF(C23="","",[1]!s_est_avgbps(C23,I23,TODAY()))</f>
        <v/>
      </c>
      <c r="AH23" s="74" t="str">
        <f ca="1">IF(C23="","",[1]!s_est_avgebt(C23,I23,TODAY(),100000000))</f>
        <v/>
      </c>
      <c r="AI23" s="74" t="str">
        <f ca="1">IF(C23="","",[1]!s_est_avgroa(C23,I23,TODAY()))</f>
        <v/>
      </c>
      <c r="AJ23" s="74" t="str">
        <f ca="1">IF(C23="","",[1]!s_est_avgroe(C23,I23,TODAY()))</f>
        <v/>
      </c>
      <c r="AK23" s="74" t="str">
        <f ca="1">IF(C23="","",[1]!s_est_avgoperatingprofit(C23,I23,TODAY(),100000000))</f>
        <v/>
      </c>
      <c r="AL23" s="74" t="str">
        <f ca="1">IF(C23="","",[1]!s_est_yoynetprofit(C23,I23,TODAY()))</f>
        <v/>
      </c>
      <c r="AM23" s="74" t="str">
        <f ca="1">IF(C23="","",[1]!s_est_yoysales(C23,I23,TODAY()))</f>
        <v/>
      </c>
      <c r="AN23" s="35"/>
    </row>
    <row r="24" spans="1:40" s="36" customFormat="1" ht="16.5" x14ac:dyDescent="0.2">
      <c r="A24" s="2"/>
      <c r="B24" s="6"/>
      <c r="C24" s="28" t="str">
        <f>IF(表1[[#This Row],[列1]]="","",表1[[#This Row],[列1]])</f>
        <v/>
      </c>
      <c r="D24" s="19" t="str">
        <f>IF(C24="","",[1]!hks_info_name(C24))</f>
        <v/>
      </c>
      <c r="E24" s="18" t="str">
        <f ca="1">IF(C24="","",[1]!lastradeday_s(C24,TODAY()))</f>
        <v/>
      </c>
      <c r="F24" s="19" t="str">
        <f>IF(C24="","",IF(OR([1]!s_stm_rpt_e(C24,基本资料!$I$8,0)="#N/A",[1]!s_stm_rpt_e(C24,基本资料!$I$8,0)="",[1]!s_stm_rpt_e(C24,基本资料!$I$8,0)=0),[1]!s_stm_rpt_e(C24,基本资料!$I$9,0),[1]!s_stm_rpt_e(C24,基本资料!$I$8,0)))</f>
        <v/>
      </c>
      <c r="G24" s="18" t="str">
        <f>IF(C24="","",YEAR([1]!s_stm_rpt_e(C24,F24,0)))</f>
        <v/>
      </c>
      <c r="H24" s="18" t="str">
        <f>IF(C24="","",表1_31213141516[[#This Row],[列5]]+1)</f>
        <v/>
      </c>
      <c r="I24" s="18" t="str">
        <f>IF(C24="","",表1_31213141516[[#This Row],[列5]]+2)</f>
        <v/>
      </c>
      <c r="J24" s="18" t="str">
        <f ca="1">IF(C24="","",[1]!s_est_instnum(C24,H24,TODAY()))</f>
        <v/>
      </c>
      <c r="K24" s="74" t="str">
        <f ca="1">IF(C24="","",[1]!s_est_eps(C24,H24,TODAY()))</f>
        <v/>
      </c>
      <c r="L24" s="74" t="str">
        <f ca="1">IF(C24="","",[1]!s_est_sales(C24,H24,TODAY(),100000000))</f>
        <v/>
      </c>
      <c r="M24" s="74" t="str">
        <f ca="1">IF(C24="","",[1]!s_est_netprofit(C24,H24,TODAY(),100000000))</f>
        <v/>
      </c>
      <c r="N24" s="74" t="str">
        <f ca="1">IF(C24="","",[1]!s_est_avgcps(C24,H24,TODAY()))</f>
        <v/>
      </c>
      <c r="O24" s="74" t="str">
        <f ca="1">IF(C24="","",[1]!s_est_avgdps(C24,H24,TODAY()))</f>
        <v/>
      </c>
      <c r="P24" s="74" t="str">
        <f ca="1">IF(C24="","",[1]!s_est_avgebit(C24,H24,TODAY(),100000000))</f>
        <v/>
      </c>
      <c r="Q24" s="74" t="str">
        <f ca="1">IF(C24="","",[1]!s_est_avgebitda(C24,H24,TODAY(),100000000))</f>
        <v/>
      </c>
      <c r="R24" s="74" t="str">
        <f ca="1">IF(C24="","",[1]!s_est_avgbps(C24,H24,TODAY()))</f>
        <v/>
      </c>
      <c r="S24" s="74" t="str">
        <f ca="1">IF(C24="","",[1]!s_est_avgebt(C24,H24,TODAY(),100000000))</f>
        <v/>
      </c>
      <c r="T24" s="74" t="str">
        <f ca="1">IF(C24="","",[1]!s_est_avgroa(C24,H24,TODAY()))</f>
        <v/>
      </c>
      <c r="U24" s="74" t="str">
        <f ca="1">IF(C24="","",[1]!s_est_avgroe(C24,H24,TODAY()))</f>
        <v/>
      </c>
      <c r="V24" s="74" t="str">
        <f ca="1">IF(C24="","",[1]!s_est_avgoperatingprofit(C24,H24,TODAY(),100000000))</f>
        <v/>
      </c>
      <c r="W24" s="74" t="str">
        <f ca="1">IF(C24="","",[1]!s_est_yoynetprofit(C24,H24,TODAY()))</f>
        <v/>
      </c>
      <c r="X24" s="74" t="str">
        <f ca="1">IF(C24="","",[1]!s_est_yoysales(C24,H24,TODAY()))</f>
        <v/>
      </c>
      <c r="Y24" s="74" t="str">
        <f ca="1">IF(C24="","",[1]!s_est_instnum(C24,I24,TODAY()))</f>
        <v/>
      </c>
      <c r="Z24" s="74" t="str">
        <f ca="1">IF(C24="","",[1]!s_est_eps(C24,I24,TODAY()))</f>
        <v/>
      </c>
      <c r="AA24" s="74" t="str">
        <f ca="1">IF(C24="","",[1]!s_est_sales(C24,I24,TODAY(),100000000))</f>
        <v/>
      </c>
      <c r="AB24" s="74" t="str">
        <f ca="1">IF(C24="","",[1]!s_est_netprofit(C24,I24,TODAY(),100000000))</f>
        <v/>
      </c>
      <c r="AC24" s="74" t="str">
        <f ca="1">IF(C24="","",[1]!s_est_avgcps(C24,I24,TODAY()))</f>
        <v/>
      </c>
      <c r="AD24" s="74" t="str">
        <f ca="1">IF(C24="","",[1]!s_est_avgdps(C24,I24,TODAY()))</f>
        <v/>
      </c>
      <c r="AE24" s="74" t="str">
        <f ca="1">IF(C24="","",[1]!s_est_avgebit(C24,I24,TODAY(),100000000))</f>
        <v/>
      </c>
      <c r="AF24" s="74" t="str">
        <f ca="1">IF(C24="","",[1]!s_est_avgebitda(C24,I24,TODAY(),100000000))</f>
        <v/>
      </c>
      <c r="AG24" s="74" t="str">
        <f ca="1">IF(C24="","",[1]!s_est_avgbps(C24,I24,TODAY()))</f>
        <v/>
      </c>
      <c r="AH24" s="74" t="str">
        <f ca="1">IF(C24="","",[1]!s_est_avgebt(C24,I24,TODAY(),100000000))</f>
        <v/>
      </c>
      <c r="AI24" s="74" t="str">
        <f ca="1">IF(C24="","",[1]!s_est_avgroa(C24,I24,TODAY()))</f>
        <v/>
      </c>
      <c r="AJ24" s="74" t="str">
        <f ca="1">IF(C24="","",[1]!s_est_avgroe(C24,I24,TODAY()))</f>
        <v/>
      </c>
      <c r="AK24" s="74" t="str">
        <f ca="1">IF(C24="","",[1]!s_est_avgoperatingprofit(C24,I24,TODAY(),100000000))</f>
        <v/>
      </c>
      <c r="AL24" s="74" t="str">
        <f ca="1">IF(C24="","",[1]!s_est_yoynetprofit(C24,I24,TODAY()))</f>
        <v/>
      </c>
      <c r="AM24" s="74" t="str">
        <f ca="1">IF(C24="","",[1]!s_est_yoysales(C24,I24,TODAY()))</f>
        <v/>
      </c>
      <c r="AN24" s="35"/>
    </row>
    <row r="25" spans="1:40" s="36" customFormat="1" ht="16.5" x14ac:dyDescent="0.2">
      <c r="A25" s="2"/>
      <c r="B25" s="6"/>
      <c r="C25" s="28" t="str">
        <f>IF(表1[[#This Row],[列1]]="","",表1[[#This Row],[列1]])</f>
        <v/>
      </c>
      <c r="D25" s="19" t="str">
        <f>IF(C25="","",[1]!hks_info_name(C25))</f>
        <v/>
      </c>
      <c r="E25" s="18" t="str">
        <f ca="1">IF(C25="","",[1]!lastradeday_s(C25,TODAY()))</f>
        <v/>
      </c>
      <c r="F25" s="19" t="str">
        <f>IF(C25="","",IF(OR([1]!s_stm_rpt_e(C25,基本资料!$I$8,0)="#N/A",[1]!s_stm_rpt_e(C25,基本资料!$I$8,0)="",[1]!s_stm_rpt_e(C25,基本资料!$I$8,0)=0),[1]!s_stm_rpt_e(C25,基本资料!$I$9,0),[1]!s_stm_rpt_e(C25,基本资料!$I$8,0)))</f>
        <v/>
      </c>
      <c r="G25" s="18" t="str">
        <f>IF(C25="","",YEAR([1]!s_stm_rpt_e(C25,F25,0)))</f>
        <v/>
      </c>
      <c r="H25" s="18" t="str">
        <f>IF(C25="","",表1_31213141516[[#This Row],[列5]]+1)</f>
        <v/>
      </c>
      <c r="I25" s="18" t="str">
        <f>IF(C25="","",表1_31213141516[[#This Row],[列5]]+2)</f>
        <v/>
      </c>
      <c r="J25" s="18" t="str">
        <f ca="1">IF(C25="","",[1]!s_est_instnum(C25,H25,TODAY()))</f>
        <v/>
      </c>
      <c r="K25" s="74" t="str">
        <f ca="1">IF(C25="","",[1]!s_est_eps(C25,H25,TODAY()))</f>
        <v/>
      </c>
      <c r="L25" s="74" t="str">
        <f ca="1">IF(C25="","",[1]!s_est_sales(C25,H25,TODAY(),100000000))</f>
        <v/>
      </c>
      <c r="M25" s="74" t="str">
        <f ca="1">IF(C25="","",[1]!s_est_netprofit(C25,H25,TODAY(),100000000))</f>
        <v/>
      </c>
      <c r="N25" s="74" t="str">
        <f ca="1">IF(C25="","",[1]!s_est_avgcps(C25,H25,TODAY()))</f>
        <v/>
      </c>
      <c r="O25" s="74" t="str">
        <f ca="1">IF(C25="","",[1]!s_est_avgdps(C25,H25,TODAY()))</f>
        <v/>
      </c>
      <c r="P25" s="74" t="str">
        <f ca="1">IF(C25="","",[1]!s_est_avgebit(C25,H25,TODAY(),100000000))</f>
        <v/>
      </c>
      <c r="Q25" s="74" t="str">
        <f ca="1">IF(C25="","",[1]!s_est_avgebitda(C25,H25,TODAY(),100000000))</f>
        <v/>
      </c>
      <c r="R25" s="74" t="str">
        <f ca="1">IF(C25="","",[1]!s_est_avgbps(C25,H25,TODAY()))</f>
        <v/>
      </c>
      <c r="S25" s="74" t="str">
        <f ca="1">IF(C25="","",[1]!s_est_avgebt(C25,H25,TODAY(),100000000))</f>
        <v/>
      </c>
      <c r="T25" s="74" t="str">
        <f ca="1">IF(C25="","",[1]!s_est_avgroa(C25,H25,TODAY()))</f>
        <v/>
      </c>
      <c r="U25" s="74" t="str">
        <f ca="1">IF(C25="","",[1]!s_est_avgroe(C25,H25,TODAY()))</f>
        <v/>
      </c>
      <c r="V25" s="74" t="str">
        <f ca="1">IF(C25="","",[1]!s_est_avgoperatingprofit(C25,H25,TODAY(),100000000))</f>
        <v/>
      </c>
      <c r="W25" s="74" t="str">
        <f ca="1">IF(C25="","",[1]!s_est_yoynetprofit(C25,H25,TODAY()))</f>
        <v/>
      </c>
      <c r="X25" s="74" t="str">
        <f ca="1">IF(C25="","",[1]!s_est_yoysales(C25,H25,TODAY()))</f>
        <v/>
      </c>
      <c r="Y25" s="74" t="str">
        <f ca="1">IF(C25="","",[1]!s_est_instnum(C25,I25,TODAY()))</f>
        <v/>
      </c>
      <c r="Z25" s="74" t="str">
        <f ca="1">IF(C25="","",[1]!s_est_eps(C25,I25,TODAY()))</f>
        <v/>
      </c>
      <c r="AA25" s="74" t="str">
        <f ca="1">IF(C25="","",[1]!s_est_sales(C25,I25,TODAY(),100000000))</f>
        <v/>
      </c>
      <c r="AB25" s="74" t="str">
        <f ca="1">IF(C25="","",[1]!s_est_netprofit(C25,I25,TODAY(),100000000))</f>
        <v/>
      </c>
      <c r="AC25" s="74" t="str">
        <f ca="1">IF(C25="","",[1]!s_est_avgcps(C25,I25,TODAY()))</f>
        <v/>
      </c>
      <c r="AD25" s="74" t="str">
        <f ca="1">IF(C25="","",[1]!s_est_avgdps(C25,I25,TODAY()))</f>
        <v/>
      </c>
      <c r="AE25" s="74" t="str">
        <f ca="1">IF(C25="","",[1]!s_est_avgebit(C25,I25,TODAY(),100000000))</f>
        <v/>
      </c>
      <c r="AF25" s="74" t="str">
        <f ca="1">IF(C25="","",[1]!s_est_avgebitda(C25,I25,TODAY(),100000000))</f>
        <v/>
      </c>
      <c r="AG25" s="74" t="str">
        <f ca="1">IF(C25="","",[1]!s_est_avgbps(C25,I25,TODAY()))</f>
        <v/>
      </c>
      <c r="AH25" s="74" t="str">
        <f ca="1">IF(C25="","",[1]!s_est_avgebt(C25,I25,TODAY(),100000000))</f>
        <v/>
      </c>
      <c r="AI25" s="74" t="str">
        <f ca="1">IF(C25="","",[1]!s_est_avgroa(C25,I25,TODAY()))</f>
        <v/>
      </c>
      <c r="AJ25" s="74" t="str">
        <f ca="1">IF(C25="","",[1]!s_est_avgroe(C25,I25,TODAY()))</f>
        <v/>
      </c>
      <c r="AK25" s="74" t="str">
        <f ca="1">IF(C25="","",[1]!s_est_avgoperatingprofit(C25,I25,TODAY(),100000000))</f>
        <v/>
      </c>
      <c r="AL25" s="74" t="str">
        <f ca="1">IF(C25="","",[1]!s_est_yoynetprofit(C25,I25,TODAY()))</f>
        <v/>
      </c>
      <c r="AM25" s="74" t="str">
        <f ca="1">IF(C25="","",[1]!s_est_yoysales(C25,I25,TODAY()))</f>
        <v/>
      </c>
      <c r="AN25" s="35"/>
    </row>
    <row r="26" spans="1:40" s="36" customFormat="1" ht="16.5" x14ac:dyDescent="0.2">
      <c r="A26" s="2"/>
      <c r="B26" s="6"/>
      <c r="C26" s="28" t="str">
        <f>IF(表1[[#This Row],[列1]]="","",表1[[#This Row],[列1]])</f>
        <v/>
      </c>
      <c r="D26" s="19" t="str">
        <f>IF(C26="","",[1]!hks_info_name(C26))</f>
        <v/>
      </c>
      <c r="E26" s="18" t="str">
        <f ca="1">IF(C26="","",[1]!lastradeday_s(C26,TODAY()))</f>
        <v/>
      </c>
      <c r="F26" s="19" t="str">
        <f>IF(C26="","",IF(OR([1]!s_stm_rpt_e(C26,基本资料!$I$8,0)="#N/A",[1]!s_stm_rpt_e(C26,基本资料!$I$8,0)="",[1]!s_stm_rpt_e(C26,基本资料!$I$8,0)=0),[1]!s_stm_rpt_e(C26,基本资料!$I$9,0),[1]!s_stm_rpt_e(C26,基本资料!$I$8,0)))</f>
        <v/>
      </c>
      <c r="G26" s="18" t="str">
        <f>IF(C26="","",YEAR([1]!s_stm_rpt_e(C26,F26,0)))</f>
        <v/>
      </c>
      <c r="H26" s="18" t="str">
        <f>IF(C26="","",表1_31213141516[[#This Row],[列5]]+1)</f>
        <v/>
      </c>
      <c r="I26" s="18" t="str">
        <f>IF(C26="","",表1_31213141516[[#This Row],[列5]]+2)</f>
        <v/>
      </c>
      <c r="J26" s="18" t="str">
        <f ca="1">IF(C26="","",[1]!s_est_instnum(C26,H26,TODAY()))</f>
        <v/>
      </c>
      <c r="K26" s="74" t="str">
        <f ca="1">IF(C26="","",[1]!s_est_eps(C26,H26,TODAY()))</f>
        <v/>
      </c>
      <c r="L26" s="74" t="str">
        <f ca="1">IF(C26="","",[1]!s_est_sales(C26,H26,TODAY(),100000000))</f>
        <v/>
      </c>
      <c r="M26" s="74" t="str">
        <f ca="1">IF(C26="","",[1]!s_est_netprofit(C26,H26,TODAY(),100000000))</f>
        <v/>
      </c>
      <c r="N26" s="74" t="str">
        <f ca="1">IF(C26="","",[1]!s_est_avgcps(C26,H26,TODAY()))</f>
        <v/>
      </c>
      <c r="O26" s="74" t="str">
        <f ca="1">IF(C26="","",[1]!s_est_avgdps(C26,H26,TODAY()))</f>
        <v/>
      </c>
      <c r="P26" s="74" t="str">
        <f ca="1">IF(C26="","",[1]!s_est_avgebit(C26,H26,TODAY(),100000000))</f>
        <v/>
      </c>
      <c r="Q26" s="74" t="str">
        <f ca="1">IF(C26="","",[1]!s_est_avgebitda(C26,H26,TODAY(),100000000))</f>
        <v/>
      </c>
      <c r="R26" s="74" t="str">
        <f ca="1">IF(C26="","",[1]!s_est_avgbps(C26,H26,TODAY()))</f>
        <v/>
      </c>
      <c r="S26" s="74" t="str">
        <f ca="1">IF(C26="","",[1]!s_est_avgebt(C26,H26,TODAY(),100000000))</f>
        <v/>
      </c>
      <c r="T26" s="74" t="str">
        <f ca="1">IF(C26="","",[1]!s_est_avgroa(C26,H26,TODAY()))</f>
        <v/>
      </c>
      <c r="U26" s="74" t="str">
        <f ca="1">IF(C26="","",[1]!s_est_avgroe(C26,H26,TODAY()))</f>
        <v/>
      </c>
      <c r="V26" s="74" t="str">
        <f ca="1">IF(C26="","",[1]!s_est_avgoperatingprofit(C26,H26,TODAY(),100000000))</f>
        <v/>
      </c>
      <c r="W26" s="74" t="str">
        <f ca="1">IF(C26="","",[1]!s_est_yoynetprofit(C26,H26,TODAY()))</f>
        <v/>
      </c>
      <c r="X26" s="74" t="str">
        <f ca="1">IF(C26="","",[1]!s_est_yoysales(C26,H26,TODAY()))</f>
        <v/>
      </c>
      <c r="Y26" s="74" t="str">
        <f ca="1">IF(C26="","",[1]!s_est_instnum(C26,I26,TODAY()))</f>
        <v/>
      </c>
      <c r="Z26" s="74" t="str">
        <f ca="1">IF(C26="","",[1]!s_est_eps(C26,I26,TODAY()))</f>
        <v/>
      </c>
      <c r="AA26" s="74" t="str">
        <f ca="1">IF(C26="","",[1]!s_est_sales(C26,I26,TODAY(),100000000))</f>
        <v/>
      </c>
      <c r="AB26" s="74" t="str">
        <f ca="1">IF(C26="","",[1]!s_est_netprofit(C26,I26,TODAY(),100000000))</f>
        <v/>
      </c>
      <c r="AC26" s="74" t="str">
        <f ca="1">IF(C26="","",[1]!s_est_avgcps(C26,I26,TODAY()))</f>
        <v/>
      </c>
      <c r="AD26" s="74" t="str">
        <f ca="1">IF(C26="","",[1]!s_est_avgdps(C26,I26,TODAY()))</f>
        <v/>
      </c>
      <c r="AE26" s="74" t="str">
        <f ca="1">IF(C26="","",[1]!s_est_avgebit(C26,I26,TODAY(),100000000))</f>
        <v/>
      </c>
      <c r="AF26" s="74" t="str">
        <f ca="1">IF(C26="","",[1]!s_est_avgebitda(C26,I26,TODAY(),100000000))</f>
        <v/>
      </c>
      <c r="AG26" s="74" t="str">
        <f ca="1">IF(C26="","",[1]!s_est_avgbps(C26,I26,TODAY()))</f>
        <v/>
      </c>
      <c r="AH26" s="74" t="str">
        <f ca="1">IF(C26="","",[1]!s_est_avgebt(C26,I26,TODAY(),100000000))</f>
        <v/>
      </c>
      <c r="AI26" s="74" t="str">
        <f ca="1">IF(C26="","",[1]!s_est_avgroa(C26,I26,TODAY()))</f>
        <v/>
      </c>
      <c r="AJ26" s="74" t="str">
        <f ca="1">IF(C26="","",[1]!s_est_avgroe(C26,I26,TODAY()))</f>
        <v/>
      </c>
      <c r="AK26" s="74" t="str">
        <f ca="1">IF(C26="","",[1]!s_est_avgoperatingprofit(C26,I26,TODAY(),100000000))</f>
        <v/>
      </c>
      <c r="AL26" s="74" t="str">
        <f ca="1">IF(C26="","",[1]!s_est_yoynetprofit(C26,I26,TODAY()))</f>
        <v/>
      </c>
      <c r="AM26" s="74" t="str">
        <f ca="1">IF(C26="","",[1]!s_est_yoysales(C26,I26,TODAY()))</f>
        <v/>
      </c>
      <c r="AN26" s="35"/>
    </row>
    <row r="27" spans="1:40" s="36" customFormat="1" ht="16.5" x14ac:dyDescent="0.2">
      <c r="A27" s="2"/>
      <c r="B27" s="6"/>
      <c r="C27" s="28" t="str">
        <f>IF(表1[[#This Row],[列1]]="","",表1[[#This Row],[列1]])</f>
        <v/>
      </c>
      <c r="D27" s="19" t="str">
        <f>IF(C27="","",[1]!hks_info_name(C27))</f>
        <v/>
      </c>
      <c r="E27" s="18" t="str">
        <f ca="1">IF(C27="","",[1]!lastradeday_s(C27,TODAY()))</f>
        <v/>
      </c>
      <c r="F27" s="19" t="str">
        <f>IF(C27="","",IF(OR([1]!s_stm_rpt_e(C27,基本资料!$I$8,0)="#N/A",[1]!s_stm_rpt_e(C27,基本资料!$I$8,0)="",[1]!s_stm_rpt_e(C27,基本资料!$I$8,0)=0),[1]!s_stm_rpt_e(C27,基本资料!$I$9,0),[1]!s_stm_rpt_e(C27,基本资料!$I$8,0)))</f>
        <v/>
      </c>
      <c r="G27" s="18" t="str">
        <f>IF(C27="","",YEAR([1]!s_stm_rpt_e(C27,F27,0)))</f>
        <v/>
      </c>
      <c r="H27" s="18" t="str">
        <f>IF(C27="","",表1_31213141516[[#This Row],[列5]]+1)</f>
        <v/>
      </c>
      <c r="I27" s="18" t="str">
        <f>IF(C27="","",表1_31213141516[[#This Row],[列5]]+2)</f>
        <v/>
      </c>
      <c r="J27" s="18" t="str">
        <f ca="1">IF(C27="","",[1]!s_est_instnum(C27,H27,TODAY()))</f>
        <v/>
      </c>
      <c r="K27" s="74" t="str">
        <f ca="1">IF(C27="","",[1]!s_est_eps(C27,H27,TODAY()))</f>
        <v/>
      </c>
      <c r="L27" s="74" t="str">
        <f ca="1">IF(C27="","",[1]!s_est_sales(C27,H27,TODAY(),100000000))</f>
        <v/>
      </c>
      <c r="M27" s="74" t="str">
        <f ca="1">IF(C27="","",[1]!s_est_netprofit(C27,H27,TODAY(),100000000))</f>
        <v/>
      </c>
      <c r="N27" s="74" t="str">
        <f ca="1">IF(C27="","",[1]!s_est_avgcps(C27,H27,TODAY()))</f>
        <v/>
      </c>
      <c r="O27" s="74" t="str">
        <f ca="1">IF(C27="","",[1]!s_est_avgdps(C27,H27,TODAY()))</f>
        <v/>
      </c>
      <c r="P27" s="74" t="str">
        <f ca="1">IF(C27="","",[1]!s_est_avgebit(C27,H27,TODAY(),100000000))</f>
        <v/>
      </c>
      <c r="Q27" s="74" t="str">
        <f ca="1">IF(C27="","",[1]!s_est_avgebitda(C27,H27,TODAY(),100000000))</f>
        <v/>
      </c>
      <c r="R27" s="74" t="str">
        <f ca="1">IF(C27="","",[1]!s_est_avgbps(C27,H27,TODAY()))</f>
        <v/>
      </c>
      <c r="S27" s="74" t="str">
        <f ca="1">IF(C27="","",[1]!s_est_avgebt(C27,H27,TODAY(),100000000))</f>
        <v/>
      </c>
      <c r="T27" s="74" t="str">
        <f ca="1">IF(C27="","",[1]!s_est_avgroa(C27,H27,TODAY()))</f>
        <v/>
      </c>
      <c r="U27" s="74" t="str">
        <f ca="1">IF(C27="","",[1]!s_est_avgroe(C27,H27,TODAY()))</f>
        <v/>
      </c>
      <c r="V27" s="74" t="str">
        <f ca="1">IF(C27="","",[1]!s_est_avgoperatingprofit(C27,H27,TODAY(),100000000))</f>
        <v/>
      </c>
      <c r="W27" s="74" t="str">
        <f ca="1">IF(C27="","",[1]!s_est_yoynetprofit(C27,H27,TODAY()))</f>
        <v/>
      </c>
      <c r="X27" s="74" t="str">
        <f ca="1">IF(C27="","",[1]!s_est_yoysales(C27,H27,TODAY()))</f>
        <v/>
      </c>
      <c r="Y27" s="74" t="str">
        <f ca="1">IF(C27="","",[1]!s_est_instnum(C27,I27,TODAY()))</f>
        <v/>
      </c>
      <c r="Z27" s="74" t="str">
        <f ca="1">IF(C27="","",[1]!s_est_eps(C27,I27,TODAY()))</f>
        <v/>
      </c>
      <c r="AA27" s="74" t="str">
        <f ca="1">IF(C27="","",[1]!s_est_sales(C27,I27,TODAY(),100000000))</f>
        <v/>
      </c>
      <c r="AB27" s="74" t="str">
        <f ca="1">IF(C27="","",[1]!s_est_netprofit(C27,I27,TODAY(),100000000))</f>
        <v/>
      </c>
      <c r="AC27" s="74" t="str">
        <f ca="1">IF(C27="","",[1]!s_est_avgcps(C27,I27,TODAY()))</f>
        <v/>
      </c>
      <c r="AD27" s="74" t="str">
        <f ca="1">IF(C27="","",[1]!s_est_avgdps(C27,I27,TODAY()))</f>
        <v/>
      </c>
      <c r="AE27" s="74" t="str">
        <f ca="1">IF(C27="","",[1]!s_est_avgebit(C27,I27,TODAY(),100000000))</f>
        <v/>
      </c>
      <c r="AF27" s="74" t="str">
        <f ca="1">IF(C27="","",[1]!s_est_avgebitda(C27,I27,TODAY(),100000000))</f>
        <v/>
      </c>
      <c r="AG27" s="74" t="str">
        <f ca="1">IF(C27="","",[1]!s_est_avgbps(C27,I27,TODAY()))</f>
        <v/>
      </c>
      <c r="AH27" s="74" t="str">
        <f ca="1">IF(C27="","",[1]!s_est_avgebt(C27,I27,TODAY(),100000000))</f>
        <v/>
      </c>
      <c r="AI27" s="74" t="str">
        <f ca="1">IF(C27="","",[1]!s_est_avgroa(C27,I27,TODAY()))</f>
        <v/>
      </c>
      <c r="AJ27" s="74" t="str">
        <f ca="1">IF(C27="","",[1]!s_est_avgroe(C27,I27,TODAY()))</f>
        <v/>
      </c>
      <c r="AK27" s="74" t="str">
        <f ca="1">IF(C27="","",[1]!s_est_avgoperatingprofit(C27,I27,TODAY(),100000000))</f>
        <v/>
      </c>
      <c r="AL27" s="74" t="str">
        <f ca="1">IF(C27="","",[1]!s_est_yoynetprofit(C27,I27,TODAY()))</f>
        <v/>
      </c>
      <c r="AM27" s="74" t="str">
        <f ca="1">IF(C27="","",[1]!s_est_yoysales(C27,I27,TODAY()))</f>
        <v/>
      </c>
      <c r="AN27" s="35"/>
    </row>
    <row r="28" spans="1:40" s="36" customFormat="1" ht="16.5" x14ac:dyDescent="0.2">
      <c r="A28" s="2"/>
      <c r="B28" s="6"/>
      <c r="C28" s="28" t="str">
        <f>IF(表1[[#This Row],[列1]]="","",表1[[#This Row],[列1]])</f>
        <v/>
      </c>
      <c r="D28" s="19" t="str">
        <f>IF(C28="","",[1]!hks_info_name(C28))</f>
        <v/>
      </c>
      <c r="E28" s="18" t="str">
        <f ca="1">IF(C28="","",[1]!lastradeday_s(C28,TODAY()))</f>
        <v/>
      </c>
      <c r="F28" s="19" t="str">
        <f>IF(C28="","",IF(OR([1]!s_stm_rpt_e(C28,基本资料!$I$8,0)="#N/A",[1]!s_stm_rpt_e(C28,基本资料!$I$8,0)="",[1]!s_stm_rpt_e(C28,基本资料!$I$8,0)=0),[1]!s_stm_rpt_e(C28,基本资料!$I$9,0),[1]!s_stm_rpt_e(C28,基本资料!$I$8,0)))</f>
        <v/>
      </c>
      <c r="G28" s="18" t="str">
        <f>IF(C28="","",YEAR([1]!s_stm_rpt_e(C28,F28,0)))</f>
        <v/>
      </c>
      <c r="H28" s="18" t="str">
        <f>IF(C28="","",表1_31213141516[[#This Row],[列5]]+1)</f>
        <v/>
      </c>
      <c r="I28" s="18" t="str">
        <f>IF(C28="","",表1_31213141516[[#This Row],[列5]]+2)</f>
        <v/>
      </c>
      <c r="J28" s="18" t="str">
        <f ca="1">IF(C28="","",[1]!s_est_instnum(C28,H28,TODAY()))</f>
        <v/>
      </c>
      <c r="K28" s="74" t="str">
        <f ca="1">IF(C28="","",[1]!s_est_eps(C28,H28,TODAY()))</f>
        <v/>
      </c>
      <c r="L28" s="74" t="str">
        <f ca="1">IF(C28="","",[1]!s_est_sales(C28,H28,TODAY(),100000000))</f>
        <v/>
      </c>
      <c r="M28" s="74" t="str">
        <f ca="1">IF(C28="","",[1]!s_est_netprofit(C28,H28,TODAY(),100000000))</f>
        <v/>
      </c>
      <c r="N28" s="74" t="str">
        <f ca="1">IF(C28="","",[1]!s_est_avgcps(C28,H28,TODAY()))</f>
        <v/>
      </c>
      <c r="O28" s="74" t="str">
        <f ca="1">IF(C28="","",[1]!s_est_avgdps(C28,H28,TODAY()))</f>
        <v/>
      </c>
      <c r="P28" s="74" t="str">
        <f ca="1">IF(C28="","",[1]!s_est_avgebit(C28,H28,TODAY(),100000000))</f>
        <v/>
      </c>
      <c r="Q28" s="74" t="str">
        <f ca="1">IF(C28="","",[1]!s_est_avgebitda(C28,H28,TODAY(),100000000))</f>
        <v/>
      </c>
      <c r="R28" s="74" t="str">
        <f ca="1">IF(C28="","",[1]!s_est_avgbps(C28,H28,TODAY()))</f>
        <v/>
      </c>
      <c r="S28" s="74" t="str">
        <f ca="1">IF(C28="","",[1]!s_est_avgebt(C28,H28,TODAY(),100000000))</f>
        <v/>
      </c>
      <c r="T28" s="74" t="str">
        <f ca="1">IF(C28="","",[1]!s_est_avgroa(C28,H28,TODAY()))</f>
        <v/>
      </c>
      <c r="U28" s="74" t="str">
        <f ca="1">IF(C28="","",[1]!s_est_avgroe(C28,H28,TODAY()))</f>
        <v/>
      </c>
      <c r="V28" s="74" t="str">
        <f ca="1">IF(C28="","",[1]!s_est_avgoperatingprofit(C28,H28,TODAY(),100000000))</f>
        <v/>
      </c>
      <c r="W28" s="74" t="str">
        <f ca="1">IF(C28="","",[1]!s_est_yoynetprofit(C28,H28,TODAY()))</f>
        <v/>
      </c>
      <c r="X28" s="74" t="str">
        <f ca="1">IF(C28="","",[1]!s_est_yoysales(C28,H28,TODAY()))</f>
        <v/>
      </c>
      <c r="Y28" s="74" t="str">
        <f ca="1">IF(C28="","",[1]!s_est_instnum(C28,I28,TODAY()))</f>
        <v/>
      </c>
      <c r="Z28" s="74" t="str">
        <f ca="1">IF(C28="","",[1]!s_est_eps(C28,I28,TODAY()))</f>
        <v/>
      </c>
      <c r="AA28" s="74" t="str">
        <f ca="1">IF(C28="","",[1]!s_est_sales(C28,I28,TODAY(),100000000))</f>
        <v/>
      </c>
      <c r="AB28" s="74" t="str">
        <f ca="1">IF(C28="","",[1]!s_est_netprofit(C28,I28,TODAY(),100000000))</f>
        <v/>
      </c>
      <c r="AC28" s="74" t="str">
        <f ca="1">IF(C28="","",[1]!s_est_avgcps(C28,I28,TODAY()))</f>
        <v/>
      </c>
      <c r="AD28" s="74" t="str">
        <f ca="1">IF(C28="","",[1]!s_est_avgdps(C28,I28,TODAY()))</f>
        <v/>
      </c>
      <c r="AE28" s="74" t="str">
        <f ca="1">IF(C28="","",[1]!s_est_avgebit(C28,I28,TODAY(),100000000))</f>
        <v/>
      </c>
      <c r="AF28" s="74" t="str">
        <f ca="1">IF(C28="","",[1]!s_est_avgebitda(C28,I28,TODAY(),100000000))</f>
        <v/>
      </c>
      <c r="AG28" s="74" t="str">
        <f ca="1">IF(C28="","",[1]!s_est_avgbps(C28,I28,TODAY()))</f>
        <v/>
      </c>
      <c r="AH28" s="74" t="str">
        <f ca="1">IF(C28="","",[1]!s_est_avgebt(C28,I28,TODAY(),100000000))</f>
        <v/>
      </c>
      <c r="AI28" s="74" t="str">
        <f ca="1">IF(C28="","",[1]!s_est_avgroa(C28,I28,TODAY()))</f>
        <v/>
      </c>
      <c r="AJ28" s="74" t="str">
        <f ca="1">IF(C28="","",[1]!s_est_avgroe(C28,I28,TODAY()))</f>
        <v/>
      </c>
      <c r="AK28" s="74" t="str">
        <f ca="1">IF(C28="","",[1]!s_est_avgoperatingprofit(C28,I28,TODAY(),100000000))</f>
        <v/>
      </c>
      <c r="AL28" s="74" t="str">
        <f ca="1">IF(C28="","",[1]!s_est_yoynetprofit(C28,I28,TODAY()))</f>
        <v/>
      </c>
      <c r="AM28" s="74" t="str">
        <f ca="1">IF(C28="","",[1]!s_est_yoysales(C28,I28,TODAY()))</f>
        <v/>
      </c>
      <c r="AN28" s="35"/>
    </row>
    <row r="29" spans="1:40" s="36" customFormat="1" ht="16.5" x14ac:dyDescent="0.2">
      <c r="A29" s="2"/>
      <c r="B29" s="6"/>
      <c r="C29" s="28" t="str">
        <f>IF(表1[[#This Row],[列1]]="","",表1[[#This Row],[列1]])</f>
        <v/>
      </c>
      <c r="D29" s="19" t="str">
        <f>IF(C29="","",[1]!hks_info_name(C29))</f>
        <v/>
      </c>
      <c r="E29" s="18" t="str">
        <f ca="1">IF(C29="","",[1]!lastradeday_s(C29,TODAY()))</f>
        <v/>
      </c>
      <c r="F29" s="19" t="str">
        <f>IF(C29="","",IF(OR([1]!s_stm_rpt_e(C29,基本资料!$I$8,0)="#N/A",[1]!s_stm_rpt_e(C29,基本资料!$I$8,0)="",[1]!s_stm_rpt_e(C29,基本资料!$I$8,0)=0),[1]!s_stm_rpt_e(C29,基本资料!$I$9,0),[1]!s_stm_rpt_e(C29,基本资料!$I$8,0)))</f>
        <v/>
      </c>
      <c r="G29" s="18" t="str">
        <f>IF(C29="","",YEAR([1]!s_stm_rpt_e(C29,F29,0)))</f>
        <v/>
      </c>
      <c r="H29" s="18" t="str">
        <f>IF(C29="","",表1_31213141516[[#This Row],[列5]]+1)</f>
        <v/>
      </c>
      <c r="I29" s="18" t="str">
        <f>IF(C29="","",表1_31213141516[[#This Row],[列5]]+2)</f>
        <v/>
      </c>
      <c r="J29" s="18" t="str">
        <f ca="1">IF(C29="","",[1]!s_est_instnum(C29,H29,TODAY()))</f>
        <v/>
      </c>
      <c r="K29" s="74" t="str">
        <f ca="1">IF(C29="","",[1]!s_est_eps(C29,H29,TODAY()))</f>
        <v/>
      </c>
      <c r="L29" s="74" t="str">
        <f ca="1">IF(C29="","",[1]!s_est_sales(C29,H29,TODAY(),100000000))</f>
        <v/>
      </c>
      <c r="M29" s="74" t="str">
        <f ca="1">IF(C29="","",[1]!s_est_netprofit(C29,H29,TODAY(),100000000))</f>
        <v/>
      </c>
      <c r="N29" s="74" t="str">
        <f ca="1">IF(C29="","",[1]!s_est_avgcps(C29,H29,TODAY()))</f>
        <v/>
      </c>
      <c r="O29" s="74" t="str">
        <f ca="1">IF(C29="","",[1]!s_est_avgdps(C29,H29,TODAY()))</f>
        <v/>
      </c>
      <c r="P29" s="74" t="str">
        <f ca="1">IF(C29="","",[1]!s_est_avgebit(C29,H29,TODAY(),100000000))</f>
        <v/>
      </c>
      <c r="Q29" s="74" t="str">
        <f ca="1">IF(C29="","",[1]!s_est_avgebitda(C29,H29,TODAY(),100000000))</f>
        <v/>
      </c>
      <c r="R29" s="74" t="str">
        <f ca="1">IF(C29="","",[1]!s_est_avgbps(C29,H29,TODAY()))</f>
        <v/>
      </c>
      <c r="S29" s="74" t="str">
        <f ca="1">IF(C29="","",[1]!s_est_avgebt(C29,H29,TODAY(),100000000))</f>
        <v/>
      </c>
      <c r="T29" s="74" t="str">
        <f ca="1">IF(C29="","",[1]!s_est_avgroa(C29,H29,TODAY()))</f>
        <v/>
      </c>
      <c r="U29" s="74" t="str">
        <f ca="1">IF(C29="","",[1]!s_est_avgroe(C29,H29,TODAY()))</f>
        <v/>
      </c>
      <c r="V29" s="74" t="str">
        <f ca="1">IF(C29="","",[1]!s_est_avgoperatingprofit(C29,H29,TODAY(),100000000))</f>
        <v/>
      </c>
      <c r="W29" s="74" t="str">
        <f ca="1">IF(C29="","",[1]!s_est_yoynetprofit(C29,H29,TODAY()))</f>
        <v/>
      </c>
      <c r="X29" s="74" t="str">
        <f ca="1">IF(C29="","",[1]!s_est_yoysales(C29,H29,TODAY()))</f>
        <v/>
      </c>
      <c r="Y29" s="74" t="str">
        <f ca="1">IF(C29="","",[1]!s_est_instnum(C29,I29,TODAY()))</f>
        <v/>
      </c>
      <c r="Z29" s="74" t="str">
        <f ca="1">IF(C29="","",[1]!s_est_eps(C29,I29,TODAY()))</f>
        <v/>
      </c>
      <c r="AA29" s="74" t="str">
        <f ca="1">IF(C29="","",[1]!s_est_sales(C29,I29,TODAY(),100000000))</f>
        <v/>
      </c>
      <c r="AB29" s="74" t="str">
        <f ca="1">IF(C29="","",[1]!s_est_netprofit(C29,I29,TODAY(),100000000))</f>
        <v/>
      </c>
      <c r="AC29" s="74" t="str">
        <f ca="1">IF(C29="","",[1]!s_est_avgcps(C29,I29,TODAY()))</f>
        <v/>
      </c>
      <c r="AD29" s="74" t="str">
        <f ca="1">IF(C29="","",[1]!s_est_avgdps(C29,I29,TODAY()))</f>
        <v/>
      </c>
      <c r="AE29" s="74" t="str">
        <f ca="1">IF(C29="","",[1]!s_est_avgebit(C29,I29,TODAY(),100000000))</f>
        <v/>
      </c>
      <c r="AF29" s="74" t="str">
        <f ca="1">IF(C29="","",[1]!s_est_avgebitda(C29,I29,TODAY(),100000000))</f>
        <v/>
      </c>
      <c r="AG29" s="74" t="str">
        <f ca="1">IF(C29="","",[1]!s_est_avgbps(C29,I29,TODAY()))</f>
        <v/>
      </c>
      <c r="AH29" s="74" t="str">
        <f ca="1">IF(C29="","",[1]!s_est_avgebt(C29,I29,TODAY(),100000000))</f>
        <v/>
      </c>
      <c r="AI29" s="74" t="str">
        <f ca="1">IF(C29="","",[1]!s_est_avgroa(C29,I29,TODAY()))</f>
        <v/>
      </c>
      <c r="AJ29" s="74" t="str">
        <f ca="1">IF(C29="","",[1]!s_est_avgroe(C29,I29,TODAY()))</f>
        <v/>
      </c>
      <c r="AK29" s="74" t="str">
        <f ca="1">IF(C29="","",[1]!s_est_avgoperatingprofit(C29,I29,TODAY(),100000000))</f>
        <v/>
      </c>
      <c r="AL29" s="74" t="str">
        <f ca="1">IF(C29="","",[1]!s_est_yoynetprofit(C29,I29,TODAY()))</f>
        <v/>
      </c>
      <c r="AM29" s="74" t="str">
        <f ca="1">IF(C29="","",[1]!s_est_yoysales(C29,I29,TODAY()))</f>
        <v/>
      </c>
      <c r="AN29" s="35"/>
    </row>
    <row r="30" spans="1:40" s="36" customFormat="1" ht="16.5" x14ac:dyDescent="0.2">
      <c r="A30" s="2"/>
      <c r="B30" s="6"/>
      <c r="C30" s="28" t="str">
        <f>IF(表1[[#This Row],[列1]]="","",表1[[#This Row],[列1]])</f>
        <v/>
      </c>
      <c r="D30" s="19" t="str">
        <f>IF(C30="","",[1]!hks_info_name(C30))</f>
        <v/>
      </c>
      <c r="E30" s="18" t="str">
        <f ca="1">IF(C30="","",[1]!lastradeday_s(C30,TODAY()))</f>
        <v/>
      </c>
      <c r="F30" s="19" t="str">
        <f>IF(C30="","",IF(OR([1]!s_stm_rpt_e(C30,基本资料!$I$8,0)="#N/A",[1]!s_stm_rpt_e(C30,基本资料!$I$8,0)="",[1]!s_stm_rpt_e(C30,基本资料!$I$8,0)=0),[1]!s_stm_rpt_e(C30,基本资料!$I$9,0),[1]!s_stm_rpt_e(C30,基本资料!$I$8,0)))</f>
        <v/>
      </c>
      <c r="G30" s="18" t="str">
        <f>IF(C30="","",YEAR([1]!s_stm_rpt_e(C30,F30,0)))</f>
        <v/>
      </c>
      <c r="H30" s="18" t="str">
        <f>IF(C30="","",表1_31213141516[[#This Row],[列5]]+1)</f>
        <v/>
      </c>
      <c r="I30" s="18" t="str">
        <f>IF(C30="","",表1_31213141516[[#This Row],[列5]]+2)</f>
        <v/>
      </c>
      <c r="J30" s="18" t="str">
        <f ca="1">IF(C30="","",[1]!s_est_instnum(C30,H30,TODAY()))</f>
        <v/>
      </c>
      <c r="K30" s="74" t="str">
        <f ca="1">IF(C30="","",[1]!s_est_eps(C30,H30,TODAY()))</f>
        <v/>
      </c>
      <c r="L30" s="74" t="str">
        <f ca="1">IF(C30="","",[1]!s_est_sales(C30,H30,TODAY(),100000000))</f>
        <v/>
      </c>
      <c r="M30" s="74" t="str">
        <f ca="1">IF(C30="","",[1]!s_est_netprofit(C30,H30,TODAY(),100000000))</f>
        <v/>
      </c>
      <c r="N30" s="74" t="str">
        <f ca="1">IF(C30="","",[1]!s_est_avgcps(C30,H30,TODAY()))</f>
        <v/>
      </c>
      <c r="O30" s="74" t="str">
        <f ca="1">IF(C30="","",[1]!s_est_avgdps(C30,H30,TODAY()))</f>
        <v/>
      </c>
      <c r="P30" s="74" t="str">
        <f ca="1">IF(C30="","",[1]!s_est_avgebit(C30,H30,TODAY(),100000000))</f>
        <v/>
      </c>
      <c r="Q30" s="74" t="str">
        <f ca="1">IF(C30="","",[1]!s_est_avgebitda(C30,H30,TODAY(),100000000))</f>
        <v/>
      </c>
      <c r="R30" s="74" t="str">
        <f ca="1">IF(C30="","",[1]!s_est_avgbps(C30,H30,TODAY()))</f>
        <v/>
      </c>
      <c r="S30" s="74" t="str">
        <f ca="1">IF(C30="","",[1]!s_est_avgebt(C30,H30,TODAY(),100000000))</f>
        <v/>
      </c>
      <c r="T30" s="74" t="str">
        <f ca="1">IF(C30="","",[1]!s_est_avgroa(C30,H30,TODAY()))</f>
        <v/>
      </c>
      <c r="U30" s="74" t="str">
        <f ca="1">IF(C30="","",[1]!s_est_avgroe(C30,H30,TODAY()))</f>
        <v/>
      </c>
      <c r="V30" s="74" t="str">
        <f ca="1">IF(C30="","",[1]!s_est_avgoperatingprofit(C30,H30,TODAY(),100000000))</f>
        <v/>
      </c>
      <c r="W30" s="74" t="str">
        <f ca="1">IF(C30="","",[1]!s_est_yoynetprofit(C30,H30,TODAY()))</f>
        <v/>
      </c>
      <c r="X30" s="74" t="str">
        <f ca="1">IF(C30="","",[1]!s_est_yoysales(C30,H30,TODAY()))</f>
        <v/>
      </c>
      <c r="Y30" s="74" t="str">
        <f ca="1">IF(C30="","",[1]!s_est_instnum(C30,I30,TODAY()))</f>
        <v/>
      </c>
      <c r="Z30" s="74" t="str">
        <f ca="1">IF(C30="","",[1]!s_est_eps(C30,I30,TODAY()))</f>
        <v/>
      </c>
      <c r="AA30" s="74" t="str">
        <f ca="1">IF(C30="","",[1]!s_est_sales(C30,I30,TODAY(),100000000))</f>
        <v/>
      </c>
      <c r="AB30" s="74" t="str">
        <f ca="1">IF(C30="","",[1]!s_est_netprofit(C30,I30,TODAY(),100000000))</f>
        <v/>
      </c>
      <c r="AC30" s="74" t="str">
        <f ca="1">IF(C30="","",[1]!s_est_avgcps(C30,I30,TODAY()))</f>
        <v/>
      </c>
      <c r="AD30" s="74" t="str">
        <f ca="1">IF(C30="","",[1]!s_est_avgdps(C30,I30,TODAY()))</f>
        <v/>
      </c>
      <c r="AE30" s="74" t="str">
        <f ca="1">IF(C30="","",[1]!s_est_avgebit(C30,I30,TODAY(),100000000))</f>
        <v/>
      </c>
      <c r="AF30" s="74" t="str">
        <f ca="1">IF(C30="","",[1]!s_est_avgebitda(C30,I30,TODAY(),100000000))</f>
        <v/>
      </c>
      <c r="AG30" s="74" t="str">
        <f ca="1">IF(C30="","",[1]!s_est_avgbps(C30,I30,TODAY()))</f>
        <v/>
      </c>
      <c r="AH30" s="74" t="str">
        <f ca="1">IF(C30="","",[1]!s_est_avgebt(C30,I30,TODAY(),100000000))</f>
        <v/>
      </c>
      <c r="AI30" s="74" t="str">
        <f ca="1">IF(C30="","",[1]!s_est_avgroa(C30,I30,TODAY()))</f>
        <v/>
      </c>
      <c r="AJ30" s="74" t="str">
        <f ca="1">IF(C30="","",[1]!s_est_avgroe(C30,I30,TODAY()))</f>
        <v/>
      </c>
      <c r="AK30" s="74" t="str">
        <f ca="1">IF(C30="","",[1]!s_est_avgoperatingprofit(C30,I30,TODAY(),100000000))</f>
        <v/>
      </c>
      <c r="AL30" s="74" t="str">
        <f ca="1">IF(C30="","",[1]!s_est_yoynetprofit(C30,I30,TODAY()))</f>
        <v/>
      </c>
      <c r="AM30" s="74" t="str">
        <f ca="1">IF(C30="","",[1]!s_est_yoysales(C30,I30,TODAY()))</f>
        <v/>
      </c>
      <c r="AN30" s="35"/>
    </row>
    <row r="31" spans="1:40" s="36" customFormat="1" ht="16.5" x14ac:dyDescent="0.2">
      <c r="A31" s="2"/>
      <c r="B31" s="6"/>
      <c r="C31" s="28" t="str">
        <f>IF(表1[[#This Row],[列1]]="","",表1[[#This Row],[列1]])</f>
        <v/>
      </c>
      <c r="D31" s="19" t="str">
        <f>IF(C31="","",[1]!hks_info_name(C31))</f>
        <v/>
      </c>
      <c r="E31" s="18" t="str">
        <f ca="1">IF(C31="","",[1]!lastradeday_s(C31,TODAY()))</f>
        <v/>
      </c>
      <c r="F31" s="19" t="str">
        <f>IF(C31="","",IF(OR([1]!s_stm_rpt_e(C31,基本资料!$I$8,0)="#N/A",[1]!s_stm_rpt_e(C31,基本资料!$I$8,0)="",[1]!s_stm_rpt_e(C31,基本资料!$I$8,0)=0),[1]!s_stm_rpt_e(C31,基本资料!$I$9,0),[1]!s_stm_rpt_e(C31,基本资料!$I$8,0)))</f>
        <v/>
      </c>
      <c r="G31" s="18" t="str">
        <f>IF(C31="","",YEAR([1]!s_stm_rpt_e(C31,F31,0)))</f>
        <v/>
      </c>
      <c r="H31" s="18" t="str">
        <f>IF(C31="","",表1_31213141516[[#This Row],[列5]]+1)</f>
        <v/>
      </c>
      <c r="I31" s="18" t="str">
        <f>IF(C31="","",表1_31213141516[[#This Row],[列5]]+2)</f>
        <v/>
      </c>
      <c r="J31" s="18" t="str">
        <f ca="1">IF(C31="","",[1]!s_est_instnum(C31,H31,TODAY()))</f>
        <v/>
      </c>
      <c r="K31" s="74" t="str">
        <f ca="1">IF(C31="","",[1]!s_est_eps(C31,H31,TODAY()))</f>
        <v/>
      </c>
      <c r="L31" s="74" t="str">
        <f ca="1">IF(C31="","",[1]!s_est_sales(C31,H31,TODAY(),100000000))</f>
        <v/>
      </c>
      <c r="M31" s="74" t="str">
        <f ca="1">IF(C31="","",[1]!s_est_netprofit(C31,H31,TODAY(),100000000))</f>
        <v/>
      </c>
      <c r="N31" s="74" t="str">
        <f ca="1">IF(C31="","",[1]!s_est_avgcps(C31,H31,TODAY()))</f>
        <v/>
      </c>
      <c r="O31" s="74" t="str">
        <f ca="1">IF(C31="","",[1]!s_est_avgdps(C31,H31,TODAY()))</f>
        <v/>
      </c>
      <c r="P31" s="74" t="str">
        <f ca="1">IF(C31="","",[1]!s_est_avgebit(C31,H31,TODAY(),100000000))</f>
        <v/>
      </c>
      <c r="Q31" s="74" t="str">
        <f ca="1">IF(C31="","",[1]!s_est_avgebitda(C31,H31,TODAY(),100000000))</f>
        <v/>
      </c>
      <c r="R31" s="74" t="str">
        <f ca="1">IF(C31="","",[1]!s_est_avgbps(C31,H31,TODAY()))</f>
        <v/>
      </c>
      <c r="S31" s="74" t="str">
        <f ca="1">IF(C31="","",[1]!s_est_avgebt(C31,H31,TODAY(),100000000))</f>
        <v/>
      </c>
      <c r="T31" s="74" t="str">
        <f ca="1">IF(C31="","",[1]!s_est_avgroa(C31,H31,TODAY()))</f>
        <v/>
      </c>
      <c r="U31" s="74" t="str">
        <f ca="1">IF(C31="","",[1]!s_est_avgroe(C31,H31,TODAY()))</f>
        <v/>
      </c>
      <c r="V31" s="74" t="str">
        <f ca="1">IF(C31="","",[1]!s_est_avgoperatingprofit(C31,H31,TODAY(),100000000))</f>
        <v/>
      </c>
      <c r="W31" s="74" t="str">
        <f ca="1">IF(C31="","",[1]!s_est_yoynetprofit(C31,H31,TODAY()))</f>
        <v/>
      </c>
      <c r="X31" s="74" t="str">
        <f ca="1">IF(C31="","",[1]!s_est_yoysales(C31,H31,TODAY()))</f>
        <v/>
      </c>
      <c r="Y31" s="74" t="str">
        <f ca="1">IF(C31="","",[1]!s_est_instnum(C31,I31,TODAY()))</f>
        <v/>
      </c>
      <c r="Z31" s="74" t="str">
        <f ca="1">IF(C31="","",[1]!s_est_eps(C31,I31,TODAY()))</f>
        <v/>
      </c>
      <c r="AA31" s="74" t="str">
        <f ca="1">IF(C31="","",[1]!s_est_sales(C31,I31,TODAY(),100000000))</f>
        <v/>
      </c>
      <c r="AB31" s="74" t="str">
        <f ca="1">IF(C31="","",[1]!s_est_netprofit(C31,I31,TODAY(),100000000))</f>
        <v/>
      </c>
      <c r="AC31" s="74" t="str">
        <f ca="1">IF(C31="","",[1]!s_est_avgcps(C31,I31,TODAY()))</f>
        <v/>
      </c>
      <c r="AD31" s="74" t="str">
        <f ca="1">IF(C31="","",[1]!s_est_avgdps(C31,I31,TODAY()))</f>
        <v/>
      </c>
      <c r="AE31" s="74" t="str">
        <f ca="1">IF(C31="","",[1]!s_est_avgebit(C31,I31,TODAY(),100000000))</f>
        <v/>
      </c>
      <c r="AF31" s="74" t="str">
        <f ca="1">IF(C31="","",[1]!s_est_avgebitda(C31,I31,TODAY(),100000000))</f>
        <v/>
      </c>
      <c r="AG31" s="74" t="str">
        <f ca="1">IF(C31="","",[1]!s_est_avgbps(C31,I31,TODAY()))</f>
        <v/>
      </c>
      <c r="AH31" s="74" t="str">
        <f ca="1">IF(C31="","",[1]!s_est_avgebt(C31,I31,TODAY(),100000000))</f>
        <v/>
      </c>
      <c r="AI31" s="74" t="str">
        <f ca="1">IF(C31="","",[1]!s_est_avgroa(C31,I31,TODAY()))</f>
        <v/>
      </c>
      <c r="AJ31" s="74" t="str">
        <f ca="1">IF(C31="","",[1]!s_est_avgroe(C31,I31,TODAY()))</f>
        <v/>
      </c>
      <c r="AK31" s="74" t="str">
        <f ca="1">IF(C31="","",[1]!s_est_avgoperatingprofit(C31,I31,TODAY(),100000000))</f>
        <v/>
      </c>
      <c r="AL31" s="74" t="str">
        <f ca="1">IF(C31="","",[1]!s_est_yoynetprofit(C31,I31,TODAY()))</f>
        <v/>
      </c>
      <c r="AM31" s="74" t="str">
        <f ca="1">IF(C31="","",[1]!s_est_yoysales(C31,I31,TODAY()))</f>
        <v/>
      </c>
      <c r="AN31" s="35"/>
    </row>
    <row r="32" spans="1:40" s="36" customFormat="1" ht="16.5" x14ac:dyDescent="0.2">
      <c r="A32" s="2"/>
      <c r="B32" s="6"/>
      <c r="C32" s="28" t="str">
        <f>IF(表1[[#This Row],[列1]]="","",表1[[#This Row],[列1]])</f>
        <v/>
      </c>
      <c r="D32" s="19" t="str">
        <f>IF(C32="","",[1]!hks_info_name(C32))</f>
        <v/>
      </c>
      <c r="E32" s="18" t="str">
        <f ca="1">IF(C32="","",[1]!lastradeday_s(C32,TODAY()))</f>
        <v/>
      </c>
      <c r="F32" s="19" t="str">
        <f>IF(C32="","",IF(OR([1]!s_stm_rpt_e(C32,基本资料!$I$8,0)="#N/A",[1]!s_stm_rpt_e(C32,基本资料!$I$8,0)="",[1]!s_stm_rpt_e(C32,基本资料!$I$8,0)=0),[1]!s_stm_rpt_e(C32,基本资料!$I$9,0),[1]!s_stm_rpt_e(C32,基本资料!$I$8,0)))</f>
        <v/>
      </c>
      <c r="G32" s="18" t="str">
        <f>IF(C32="","",YEAR([1]!s_stm_rpt_e(C32,F32,0)))</f>
        <v/>
      </c>
      <c r="H32" s="18" t="str">
        <f>IF(C32="","",表1_31213141516[[#This Row],[列5]]+1)</f>
        <v/>
      </c>
      <c r="I32" s="18" t="str">
        <f>IF(C32="","",表1_31213141516[[#This Row],[列5]]+2)</f>
        <v/>
      </c>
      <c r="J32" s="18" t="str">
        <f ca="1">IF(C32="","",[1]!s_est_instnum(C32,H32,TODAY()))</f>
        <v/>
      </c>
      <c r="K32" s="74" t="str">
        <f ca="1">IF(C32="","",[1]!s_est_eps(C32,H32,TODAY()))</f>
        <v/>
      </c>
      <c r="L32" s="74" t="str">
        <f ca="1">IF(C32="","",[1]!s_est_sales(C32,H32,TODAY(),100000000))</f>
        <v/>
      </c>
      <c r="M32" s="74" t="str">
        <f ca="1">IF(C32="","",[1]!s_est_netprofit(C32,H32,TODAY(),100000000))</f>
        <v/>
      </c>
      <c r="N32" s="74" t="str">
        <f ca="1">IF(C32="","",[1]!s_est_avgcps(C32,H32,TODAY()))</f>
        <v/>
      </c>
      <c r="O32" s="74" t="str">
        <f ca="1">IF(C32="","",[1]!s_est_avgdps(C32,H32,TODAY()))</f>
        <v/>
      </c>
      <c r="P32" s="74" t="str">
        <f ca="1">IF(C32="","",[1]!s_est_avgebit(C32,H32,TODAY(),100000000))</f>
        <v/>
      </c>
      <c r="Q32" s="74" t="str">
        <f ca="1">IF(C32="","",[1]!s_est_avgebitda(C32,H32,TODAY(),100000000))</f>
        <v/>
      </c>
      <c r="R32" s="74" t="str">
        <f ca="1">IF(C32="","",[1]!s_est_avgbps(C32,H32,TODAY()))</f>
        <v/>
      </c>
      <c r="S32" s="74" t="str">
        <f ca="1">IF(C32="","",[1]!s_est_avgebt(C32,H32,TODAY(),100000000))</f>
        <v/>
      </c>
      <c r="T32" s="74" t="str">
        <f ca="1">IF(C32="","",[1]!s_est_avgroa(C32,H32,TODAY()))</f>
        <v/>
      </c>
      <c r="U32" s="74" t="str">
        <f ca="1">IF(C32="","",[1]!s_est_avgroe(C32,H32,TODAY()))</f>
        <v/>
      </c>
      <c r="V32" s="74" t="str">
        <f ca="1">IF(C32="","",[1]!s_est_avgoperatingprofit(C32,H32,TODAY(),100000000))</f>
        <v/>
      </c>
      <c r="W32" s="74" t="str">
        <f ca="1">IF(C32="","",[1]!s_est_yoynetprofit(C32,H32,TODAY()))</f>
        <v/>
      </c>
      <c r="X32" s="74" t="str">
        <f ca="1">IF(C32="","",[1]!s_est_yoysales(C32,H32,TODAY()))</f>
        <v/>
      </c>
      <c r="Y32" s="74" t="str">
        <f ca="1">IF(C32="","",[1]!s_est_instnum(C32,I32,TODAY()))</f>
        <v/>
      </c>
      <c r="Z32" s="74" t="str">
        <f ca="1">IF(C32="","",[1]!s_est_eps(C32,I32,TODAY()))</f>
        <v/>
      </c>
      <c r="AA32" s="74" t="str">
        <f ca="1">IF(C32="","",[1]!s_est_sales(C32,I32,TODAY(),100000000))</f>
        <v/>
      </c>
      <c r="AB32" s="74" t="str">
        <f ca="1">IF(C32="","",[1]!s_est_netprofit(C32,I32,TODAY(),100000000))</f>
        <v/>
      </c>
      <c r="AC32" s="74" t="str">
        <f ca="1">IF(C32="","",[1]!s_est_avgcps(C32,I32,TODAY()))</f>
        <v/>
      </c>
      <c r="AD32" s="74" t="str">
        <f ca="1">IF(C32="","",[1]!s_est_avgdps(C32,I32,TODAY()))</f>
        <v/>
      </c>
      <c r="AE32" s="74" t="str">
        <f ca="1">IF(C32="","",[1]!s_est_avgebit(C32,I32,TODAY(),100000000))</f>
        <v/>
      </c>
      <c r="AF32" s="74" t="str">
        <f ca="1">IF(C32="","",[1]!s_est_avgebitda(C32,I32,TODAY(),100000000))</f>
        <v/>
      </c>
      <c r="AG32" s="74" t="str">
        <f ca="1">IF(C32="","",[1]!s_est_avgbps(C32,I32,TODAY()))</f>
        <v/>
      </c>
      <c r="AH32" s="74" t="str">
        <f ca="1">IF(C32="","",[1]!s_est_avgebt(C32,I32,TODAY(),100000000))</f>
        <v/>
      </c>
      <c r="AI32" s="74" t="str">
        <f ca="1">IF(C32="","",[1]!s_est_avgroa(C32,I32,TODAY()))</f>
        <v/>
      </c>
      <c r="AJ32" s="74" t="str">
        <f ca="1">IF(C32="","",[1]!s_est_avgroe(C32,I32,TODAY()))</f>
        <v/>
      </c>
      <c r="AK32" s="74" t="str">
        <f ca="1">IF(C32="","",[1]!s_est_avgoperatingprofit(C32,I32,TODAY(),100000000))</f>
        <v/>
      </c>
      <c r="AL32" s="74" t="str">
        <f ca="1">IF(C32="","",[1]!s_est_yoynetprofit(C32,I32,TODAY()))</f>
        <v/>
      </c>
      <c r="AM32" s="74" t="str">
        <f ca="1">IF(C32="","",[1]!s_est_yoysales(C32,I32,TODAY()))</f>
        <v/>
      </c>
      <c r="AN32" s="35"/>
    </row>
    <row r="33" spans="1:40" s="36" customFormat="1" ht="16.5" x14ac:dyDescent="0.2">
      <c r="A33" s="2"/>
      <c r="B33" s="6"/>
      <c r="C33" s="28" t="str">
        <f>IF(表1[[#This Row],[列1]]="","",表1[[#This Row],[列1]])</f>
        <v/>
      </c>
      <c r="D33" s="19" t="str">
        <f>IF(C33="","",[1]!hks_info_name(C33))</f>
        <v/>
      </c>
      <c r="E33" s="18" t="str">
        <f ca="1">IF(C33="","",[1]!lastradeday_s(C33,TODAY()))</f>
        <v/>
      </c>
      <c r="F33" s="19" t="str">
        <f>IF(C33="","",IF(OR([1]!s_stm_rpt_e(C33,基本资料!$I$8,0)="#N/A",[1]!s_stm_rpt_e(C33,基本资料!$I$8,0)="",[1]!s_stm_rpt_e(C33,基本资料!$I$8,0)=0),[1]!s_stm_rpt_e(C33,基本资料!$I$9,0),[1]!s_stm_rpt_e(C33,基本资料!$I$8,0)))</f>
        <v/>
      </c>
      <c r="G33" s="18" t="str">
        <f>IF(C33="","",YEAR([1]!s_stm_rpt_e(C33,F33,0)))</f>
        <v/>
      </c>
      <c r="H33" s="18" t="str">
        <f>IF(C33="","",表1_31213141516[[#This Row],[列5]]+1)</f>
        <v/>
      </c>
      <c r="I33" s="18" t="str">
        <f>IF(C33="","",表1_31213141516[[#This Row],[列5]]+2)</f>
        <v/>
      </c>
      <c r="J33" s="18" t="str">
        <f ca="1">IF(C33="","",[1]!s_est_instnum(C33,H33,TODAY()))</f>
        <v/>
      </c>
      <c r="K33" s="74" t="str">
        <f ca="1">IF(C33="","",[1]!s_est_eps(C33,H33,TODAY()))</f>
        <v/>
      </c>
      <c r="L33" s="74" t="str">
        <f ca="1">IF(C33="","",[1]!s_est_sales(C33,H33,TODAY(),100000000))</f>
        <v/>
      </c>
      <c r="M33" s="74" t="str">
        <f ca="1">IF(C33="","",[1]!s_est_netprofit(C33,H33,TODAY(),100000000))</f>
        <v/>
      </c>
      <c r="N33" s="74" t="str">
        <f ca="1">IF(C33="","",[1]!s_est_avgcps(C33,H33,TODAY()))</f>
        <v/>
      </c>
      <c r="O33" s="74" t="str">
        <f ca="1">IF(C33="","",[1]!s_est_avgdps(C33,H33,TODAY()))</f>
        <v/>
      </c>
      <c r="P33" s="74" t="str">
        <f ca="1">IF(C33="","",[1]!s_est_avgebit(C33,H33,TODAY(),100000000))</f>
        <v/>
      </c>
      <c r="Q33" s="74" t="str">
        <f ca="1">IF(C33="","",[1]!s_est_avgebitda(C33,H33,TODAY(),100000000))</f>
        <v/>
      </c>
      <c r="R33" s="74" t="str">
        <f ca="1">IF(C33="","",[1]!s_est_avgbps(C33,H33,TODAY()))</f>
        <v/>
      </c>
      <c r="S33" s="74" t="str">
        <f ca="1">IF(C33="","",[1]!s_est_avgebt(C33,H33,TODAY(),100000000))</f>
        <v/>
      </c>
      <c r="T33" s="74" t="str">
        <f ca="1">IF(C33="","",[1]!s_est_avgroa(C33,H33,TODAY()))</f>
        <v/>
      </c>
      <c r="U33" s="74" t="str">
        <f ca="1">IF(C33="","",[1]!s_est_avgroe(C33,H33,TODAY()))</f>
        <v/>
      </c>
      <c r="V33" s="74" t="str">
        <f ca="1">IF(C33="","",[1]!s_est_avgoperatingprofit(C33,H33,TODAY(),100000000))</f>
        <v/>
      </c>
      <c r="W33" s="74" t="str">
        <f ca="1">IF(C33="","",[1]!s_est_yoynetprofit(C33,H33,TODAY()))</f>
        <v/>
      </c>
      <c r="X33" s="74" t="str">
        <f ca="1">IF(C33="","",[1]!s_est_yoysales(C33,H33,TODAY()))</f>
        <v/>
      </c>
      <c r="Y33" s="74" t="str">
        <f ca="1">IF(C33="","",[1]!s_est_instnum(C33,I33,TODAY()))</f>
        <v/>
      </c>
      <c r="Z33" s="74" t="str">
        <f ca="1">IF(C33="","",[1]!s_est_eps(C33,I33,TODAY()))</f>
        <v/>
      </c>
      <c r="AA33" s="74" t="str">
        <f ca="1">IF(C33="","",[1]!s_est_sales(C33,I33,TODAY(),100000000))</f>
        <v/>
      </c>
      <c r="AB33" s="74" t="str">
        <f ca="1">IF(C33="","",[1]!s_est_netprofit(C33,I33,TODAY(),100000000))</f>
        <v/>
      </c>
      <c r="AC33" s="74" t="str">
        <f ca="1">IF(C33="","",[1]!s_est_avgcps(C33,I33,TODAY()))</f>
        <v/>
      </c>
      <c r="AD33" s="74" t="str">
        <f ca="1">IF(C33="","",[1]!s_est_avgdps(C33,I33,TODAY()))</f>
        <v/>
      </c>
      <c r="AE33" s="74" t="str">
        <f ca="1">IF(C33="","",[1]!s_est_avgebit(C33,I33,TODAY(),100000000))</f>
        <v/>
      </c>
      <c r="AF33" s="74" t="str">
        <f ca="1">IF(C33="","",[1]!s_est_avgebitda(C33,I33,TODAY(),100000000))</f>
        <v/>
      </c>
      <c r="AG33" s="74" t="str">
        <f ca="1">IF(C33="","",[1]!s_est_avgbps(C33,I33,TODAY()))</f>
        <v/>
      </c>
      <c r="AH33" s="74" t="str">
        <f ca="1">IF(C33="","",[1]!s_est_avgebt(C33,I33,TODAY(),100000000))</f>
        <v/>
      </c>
      <c r="AI33" s="74" t="str">
        <f ca="1">IF(C33="","",[1]!s_est_avgroa(C33,I33,TODAY()))</f>
        <v/>
      </c>
      <c r="AJ33" s="74" t="str">
        <f ca="1">IF(C33="","",[1]!s_est_avgroe(C33,I33,TODAY()))</f>
        <v/>
      </c>
      <c r="AK33" s="74" t="str">
        <f ca="1">IF(C33="","",[1]!s_est_avgoperatingprofit(C33,I33,TODAY(),100000000))</f>
        <v/>
      </c>
      <c r="AL33" s="74" t="str">
        <f ca="1">IF(C33="","",[1]!s_est_yoynetprofit(C33,I33,TODAY()))</f>
        <v/>
      </c>
      <c r="AM33" s="74" t="str">
        <f ca="1">IF(C33="","",[1]!s_est_yoysales(C33,I33,TODAY()))</f>
        <v/>
      </c>
      <c r="AN33" s="35"/>
    </row>
    <row r="34" spans="1:40" s="36" customFormat="1" ht="16.5" x14ac:dyDescent="0.2">
      <c r="A34" s="2"/>
      <c r="B34" s="6"/>
      <c r="C34" s="28" t="str">
        <f>IF(表1[[#This Row],[列1]]="","",表1[[#This Row],[列1]])</f>
        <v/>
      </c>
      <c r="D34" s="19" t="str">
        <f>IF(C34="","",[1]!hks_info_name(C34))</f>
        <v/>
      </c>
      <c r="E34" s="18" t="str">
        <f ca="1">IF(C34="","",[1]!lastradeday_s(C34,TODAY()))</f>
        <v/>
      </c>
      <c r="F34" s="19" t="str">
        <f>IF(C34="","",IF(OR([1]!s_stm_rpt_e(C34,基本资料!$I$8,0)="#N/A",[1]!s_stm_rpt_e(C34,基本资料!$I$8,0)="",[1]!s_stm_rpt_e(C34,基本资料!$I$8,0)=0),[1]!s_stm_rpt_e(C34,基本资料!$I$9,0),[1]!s_stm_rpt_e(C34,基本资料!$I$8,0)))</f>
        <v/>
      </c>
      <c r="G34" s="18" t="str">
        <f>IF(C34="","",YEAR([1]!s_stm_rpt_e(C34,F34,0)))</f>
        <v/>
      </c>
      <c r="H34" s="18" t="str">
        <f>IF(C34="","",表1_31213141516[[#This Row],[列5]]+1)</f>
        <v/>
      </c>
      <c r="I34" s="18" t="str">
        <f>IF(C34="","",表1_31213141516[[#This Row],[列5]]+2)</f>
        <v/>
      </c>
      <c r="J34" s="18" t="str">
        <f ca="1">IF(C34="","",[1]!s_est_instnum(C34,H34,TODAY()))</f>
        <v/>
      </c>
      <c r="K34" s="74" t="str">
        <f ca="1">IF(C34="","",[1]!s_est_eps(C34,H34,TODAY()))</f>
        <v/>
      </c>
      <c r="L34" s="74" t="str">
        <f ca="1">IF(C34="","",[1]!s_est_sales(C34,H34,TODAY(),100000000))</f>
        <v/>
      </c>
      <c r="M34" s="74" t="str">
        <f ca="1">IF(C34="","",[1]!s_est_netprofit(C34,H34,TODAY(),100000000))</f>
        <v/>
      </c>
      <c r="N34" s="74" t="str">
        <f ca="1">IF(C34="","",[1]!s_est_avgcps(C34,H34,TODAY()))</f>
        <v/>
      </c>
      <c r="O34" s="74" t="str">
        <f ca="1">IF(C34="","",[1]!s_est_avgdps(C34,H34,TODAY()))</f>
        <v/>
      </c>
      <c r="P34" s="74" t="str">
        <f ca="1">IF(C34="","",[1]!s_est_avgebit(C34,H34,TODAY(),100000000))</f>
        <v/>
      </c>
      <c r="Q34" s="74" t="str">
        <f ca="1">IF(C34="","",[1]!s_est_avgebitda(C34,H34,TODAY(),100000000))</f>
        <v/>
      </c>
      <c r="R34" s="74" t="str">
        <f ca="1">IF(C34="","",[1]!s_est_avgbps(C34,H34,TODAY()))</f>
        <v/>
      </c>
      <c r="S34" s="74" t="str">
        <f ca="1">IF(C34="","",[1]!s_est_avgebt(C34,H34,TODAY(),100000000))</f>
        <v/>
      </c>
      <c r="T34" s="74" t="str">
        <f ca="1">IF(C34="","",[1]!s_est_avgroa(C34,H34,TODAY()))</f>
        <v/>
      </c>
      <c r="U34" s="74" t="str">
        <f ca="1">IF(C34="","",[1]!s_est_avgroe(C34,H34,TODAY()))</f>
        <v/>
      </c>
      <c r="V34" s="74" t="str">
        <f ca="1">IF(C34="","",[1]!s_est_avgoperatingprofit(C34,H34,TODAY(),100000000))</f>
        <v/>
      </c>
      <c r="W34" s="74" t="str">
        <f ca="1">IF(C34="","",[1]!s_est_yoynetprofit(C34,H34,TODAY()))</f>
        <v/>
      </c>
      <c r="X34" s="74" t="str">
        <f ca="1">IF(C34="","",[1]!s_est_yoysales(C34,H34,TODAY()))</f>
        <v/>
      </c>
      <c r="Y34" s="74" t="str">
        <f ca="1">IF(C34="","",[1]!s_est_instnum(C34,I34,TODAY()))</f>
        <v/>
      </c>
      <c r="Z34" s="74" t="str">
        <f ca="1">IF(C34="","",[1]!s_est_eps(C34,I34,TODAY()))</f>
        <v/>
      </c>
      <c r="AA34" s="74" t="str">
        <f ca="1">IF(C34="","",[1]!s_est_sales(C34,I34,TODAY(),100000000))</f>
        <v/>
      </c>
      <c r="AB34" s="74" t="str">
        <f ca="1">IF(C34="","",[1]!s_est_netprofit(C34,I34,TODAY(),100000000))</f>
        <v/>
      </c>
      <c r="AC34" s="74" t="str">
        <f ca="1">IF(C34="","",[1]!s_est_avgcps(C34,I34,TODAY()))</f>
        <v/>
      </c>
      <c r="AD34" s="74" t="str">
        <f ca="1">IF(C34="","",[1]!s_est_avgdps(C34,I34,TODAY()))</f>
        <v/>
      </c>
      <c r="AE34" s="74" t="str">
        <f ca="1">IF(C34="","",[1]!s_est_avgebit(C34,I34,TODAY(),100000000))</f>
        <v/>
      </c>
      <c r="AF34" s="74" t="str">
        <f ca="1">IF(C34="","",[1]!s_est_avgebitda(C34,I34,TODAY(),100000000))</f>
        <v/>
      </c>
      <c r="AG34" s="74" t="str">
        <f ca="1">IF(C34="","",[1]!s_est_avgbps(C34,I34,TODAY()))</f>
        <v/>
      </c>
      <c r="AH34" s="74" t="str">
        <f ca="1">IF(C34="","",[1]!s_est_avgebt(C34,I34,TODAY(),100000000))</f>
        <v/>
      </c>
      <c r="AI34" s="74" t="str">
        <f ca="1">IF(C34="","",[1]!s_est_avgroa(C34,I34,TODAY()))</f>
        <v/>
      </c>
      <c r="AJ34" s="74" t="str">
        <f ca="1">IF(C34="","",[1]!s_est_avgroe(C34,I34,TODAY()))</f>
        <v/>
      </c>
      <c r="AK34" s="74" t="str">
        <f ca="1">IF(C34="","",[1]!s_est_avgoperatingprofit(C34,I34,TODAY(),100000000))</f>
        <v/>
      </c>
      <c r="AL34" s="74" t="str">
        <f ca="1">IF(C34="","",[1]!s_est_yoynetprofit(C34,I34,TODAY()))</f>
        <v/>
      </c>
      <c r="AM34" s="74" t="str">
        <f ca="1">IF(C34="","",[1]!s_est_yoysales(C34,I34,TODAY()))</f>
        <v/>
      </c>
      <c r="AN34" s="35"/>
    </row>
    <row r="35" spans="1:40" s="36" customFormat="1" ht="16.5" x14ac:dyDescent="0.2">
      <c r="A35" s="2"/>
      <c r="B35" s="6"/>
      <c r="C35" s="28" t="str">
        <f>IF(表1[[#This Row],[列1]]="","",表1[[#This Row],[列1]])</f>
        <v/>
      </c>
      <c r="D35" s="19" t="str">
        <f>IF(C35="","",[1]!hks_info_name(C35))</f>
        <v/>
      </c>
      <c r="E35" s="18" t="str">
        <f ca="1">IF(C35="","",[1]!lastradeday_s(C35,TODAY()))</f>
        <v/>
      </c>
      <c r="F35" s="19" t="str">
        <f>IF(C35="","",IF(OR([1]!s_stm_rpt_e(C35,基本资料!$I$8,0)="#N/A",[1]!s_stm_rpt_e(C35,基本资料!$I$8,0)="",[1]!s_stm_rpt_e(C35,基本资料!$I$8,0)=0),[1]!s_stm_rpt_e(C35,基本资料!$I$9,0),[1]!s_stm_rpt_e(C35,基本资料!$I$8,0)))</f>
        <v/>
      </c>
      <c r="G35" s="18" t="str">
        <f>IF(C35="","",YEAR([1]!s_stm_rpt_e(C35,F35,0)))</f>
        <v/>
      </c>
      <c r="H35" s="18" t="str">
        <f>IF(C35="","",表1_31213141516[[#This Row],[列5]]+1)</f>
        <v/>
      </c>
      <c r="I35" s="18" t="str">
        <f>IF(C35="","",表1_31213141516[[#This Row],[列5]]+2)</f>
        <v/>
      </c>
      <c r="J35" s="18" t="str">
        <f ca="1">IF(C35="","",[1]!s_est_instnum(C35,H35,TODAY()))</f>
        <v/>
      </c>
      <c r="K35" s="74" t="str">
        <f ca="1">IF(C35="","",[1]!s_est_eps(C35,H35,TODAY()))</f>
        <v/>
      </c>
      <c r="L35" s="74" t="str">
        <f ca="1">IF(C35="","",[1]!s_est_sales(C35,H35,TODAY(),100000000))</f>
        <v/>
      </c>
      <c r="M35" s="74" t="str">
        <f ca="1">IF(C35="","",[1]!s_est_netprofit(C35,H35,TODAY(),100000000))</f>
        <v/>
      </c>
      <c r="N35" s="74" t="str">
        <f ca="1">IF(C35="","",[1]!s_est_avgcps(C35,H35,TODAY()))</f>
        <v/>
      </c>
      <c r="O35" s="74" t="str">
        <f ca="1">IF(C35="","",[1]!s_est_avgdps(C35,H35,TODAY()))</f>
        <v/>
      </c>
      <c r="P35" s="74" t="str">
        <f ca="1">IF(C35="","",[1]!s_est_avgebit(C35,H35,TODAY(),100000000))</f>
        <v/>
      </c>
      <c r="Q35" s="74" t="str">
        <f ca="1">IF(C35="","",[1]!s_est_avgebitda(C35,H35,TODAY(),100000000))</f>
        <v/>
      </c>
      <c r="R35" s="74" t="str">
        <f ca="1">IF(C35="","",[1]!s_est_avgbps(C35,H35,TODAY()))</f>
        <v/>
      </c>
      <c r="S35" s="74" t="str">
        <f ca="1">IF(C35="","",[1]!s_est_avgebt(C35,H35,TODAY(),100000000))</f>
        <v/>
      </c>
      <c r="T35" s="74" t="str">
        <f ca="1">IF(C35="","",[1]!s_est_avgroa(C35,H35,TODAY()))</f>
        <v/>
      </c>
      <c r="U35" s="74" t="str">
        <f ca="1">IF(C35="","",[1]!s_est_avgroe(C35,H35,TODAY()))</f>
        <v/>
      </c>
      <c r="V35" s="74" t="str">
        <f ca="1">IF(C35="","",[1]!s_est_avgoperatingprofit(C35,H35,TODAY(),100000000))</f>
        <v/>
      </c>
      <c r="W35" s="74" t="str">
        <f ca="1">IF(C35="","",[1]!s_est_yoynetprofit(C35,H35,TODAY()))</f>
        <v/>
      </c>
      <c r="X35" s="74" t="str">
        <f ca="1">IF(C35="","",[1]!s_est_yoysales(C35,H35,TODAY()))</f>
        <v/>
      </c>
      <c r="Y35" s="74" t="str">
        <f ca="1">IF(C35="","",[1]!s_est_instnum(C35,I35,TODAY()))</f>
        <v/>
      </c>
      <c r="Z35" s="74" t="str">
        <f ca="1">IF(C35="","",[1]!s_est_eps(C35,I35,TODAY()))</f>
        <v/>
      </c>
      <c r="AA35" s="74" t="str">
        <f ca="1">IF(C35="","",[1]!s_est_sales(C35,I35,TODAY(),100000000))</f>
        <v/>
      </c>
      <c r="AB35" s="74" t="str">
        <f ca="1">IF(C35="","",[1]!s_est_netprofit(C35,I35,TODAY(),100000000))</f>
        <v/>
      </c>
      <c r="AC35" s="74" t="str">
        <f ca="1">IF(C35="","",[1]!s_est_avgcps(C35,I35,TODAY()))</f>
        <v/>
      </c>
      <c r="AD35" s="74" t="str">
        <f ca="1">IF(C35="","",[1]!s_est_avgdps(C35,I35,TODAY()))</f>
        <v/>
      </c>
      <c r="AE35" s="74" t="str">
        <f ca="1">IF(C35="","",[1]!s_est_avgebit(C35,I35,TODAY(),100000000))</f>
        <v/>
      </c>
      <c r="AF35" s="74" t="str">
        <f ca="1">IF(C35="","",[1]!s_est_avgebitda(C35,I35,TODAY(),100000000))</f>
        <v/>
      </c>
      <c r="AG35" s="74" t="str">
        <f ca="1">IF(C35="","",[1]!s_est_avgbps(C35,I35,TODAY()))</f>
        <v/>
      </c>
      <c r="AH35" s="74" t="str">
        <f ca="1">IF(C35="","",[1]!s_est_avgebt(C35,I35,TODAY(),100000000))</f>
        <v/>
      </c>
      <c r="AI35" s="74" t="str">
        <f ca="1">IF(C35="","",[1]!s_est_avgroa(C35,I35,TODAY()))</f>
        <v/>
      </c>
      <c r="AJ35" s="74" t="str">
        <f ca="1">IF(C35="","",[1]!s_est_avgroe(C35,I35,TODAY()))</f>
        <v/>
      </c>
      <c r="AK35" s="74" t="str">
        <f ca="1">IF(C35="","",[1]!s_est_avgoperatingprofit(C35,I35,TODAY(),100000000))</f>
        <v/>
      </c>
      <c r="AL35" s="74" t="str">
        <f ca="1">IF(C35="","",[1]!s_est_yoynetprofit(C35,I35,TODAY()))</f>
        <v/>
      </c>
      <c r="AM35" s="74" t="str">
        <f ca="1">IF(C35="","",[1]!s_est_yoysales(C35,I35,TODAY()))</f>
        <v/>
      </c>
      <c r="AN35" s="35"/>
    </row>
    <row r="36" spans="1:40" s="36" customFormat="1" ht="16.5" x14ac:dyDescent="0.2">
      <c r="A36" s="2"/>
      <c r="B36" s="6"/>
      <c r="C36" s="28" t="str">
        <f>IF(表1[[#This Row],[列1]]="","",表1[[#This Row],[列1]])</f>
        <v/>
      </c>
      <c r="D36" s="19" t="str">
        <f>IF(C36="","",[1]!hks_info_name(C36))</f>
        <v/>
      </c>
      <c r="E36" s="18" t="str">
        <f ca="1">IF(C36="","",[1]!lastradeday_s(C36,TODAY()))</f>
        <v/>
      </c>
      <c r="F36" s="19" t="str">
        <f>IF(C36="","",IF(OR([1]!s_stm_rpt_e(C36,基本资料!$I$8,0)="#N/A",[1]!s_stm_rpt_e(C36,基本资料!$I$8,0)="",[1]!s_stm_rpt_e(C36,基本资料!$I$8,0)=0),[1]!s_stm_rpt_e(C36,基本资料!$I$9,0),[1]!s_stm_rpt_e(C36,基本资料!$I$8,0)))</f>
        <v/>
      </c>
      <c r="G36" s="18" t="str">
        <f>IF(C36="","",YEAR([1]!s_stm_rpt_e(C36,F36,0)))</f>
        <v/>
      </c>
      <c r="H36" s="18" t="str">
        <f>IF(C36="","",表1_31213141516[[#This Row],[列5]]+1)</f>
        <v/>
      </c>
      <c r="I36" s="18" t="str">
        <f>IF(C36="","",表1_31213141516[[#This Row],[列5]]+2)</f>
        <v/>
      </c>
      <c r="J36" s="18" t="str">
        <f ca="1">IF(C36="","",[1]!s_est_instnum(C36,H36,TODAY()))</f>
        <v/>
      </c>
      <c r="K36" s="74" t="str">
        <f ca="1">IF(C36="","",[1]!s_est_eps(C36,H36,TODAY()))</f>
        <v/>
      </c>
      <c r="L36" s="74" t="str">
        <f ca="1">IF(C36="","",[1]!s_est_sales(C36,H36,TODAY(),100000000))</f>
        <v/>
      </c>
      <c r="M36" s="74" t="str">
        <f ca="1">IF(C36="","",[1]!s_est_netprofit(C36,H36,TODAY(),100000000))</f>
        <v/>
      </c>
      <c r="N36" s="74" t="str">
        <f ca="1">IF(C36="","",[1]!s_est_avgcps(C36,H36,TODAY()))</f>
        <v/>
      </c>
      <c r="O36" s="74" t="str">
        <f ca="1">IF(C36="","",[1]!s_est_avgdps(C36,H36,TODAY()))</f>
        <v/>
      </c>
      <c r="P36" s="74" t="str">
        <f ca="1">IF(C36="","",[1]!s_est_avgebit(C36,H36,TODAY(),100000000))</f>
        <v/>
      </c>
      <c r="Q36" s="74" t="str">
        <f ca="1">IF(C36="","",[1]!s_est_avgebitda(C36,H36,TODAY(),100000000))</f>
        <v/>
      </c>
      <c r="R36" s="74" t="str">
        <f ca="1">IF(C36="","",[1]!s_est_avgbps(C36,H36,TODAY()))</f>
        <v/>
      </c>
      <c r="S36" s="74" t="str">
        <f ca="1">IF(C36="","",[1]!s_est_avgebt(C36,H36,TODAY(),100000000))</f>
        <v/>
      </c>
      <c r="T36" s="74" t="str">
        <f ca="1">IF(C36="","",[1]!s_est_avgroa(C36,H36,TODAY()))</f>
        <v/>
      </c>
      <c r="U36" s="74" t="str">
        <f ca="1">IF(C36="","",[1]!s_est_avgroe(C36,H36,TODAY()))</f>
        <v/>
      </c>
      <c r="V36" s="74" t="str">
        <f ca="1">IF(C36="","",[1]!s_est_avgoperatingprofit(C36,H36,TODAY(),100000000))</f>
        <v/>
      </c>
      <c r="W36" s="74" t="str">
        <f ca="1">IF(C36="","",[1]!s_est_yoynetprofit(C36,H36,TODAY()))</f>
        <v/>
      </c>
      <c r="X36" s="74" t="str">
        <f ca="1">IF(C36="","",[1]!s_est_yoysales(C36,H36,TODAY()))</f>
        <v/>
      </c>
      <c r="Y36" s="74" t="str">
        <f ca="1">IF(C36="","",[1]!s_est_instnum(C36,I36,TODAY()))</f>
        <v/>
      </c>
      <c r="Z36" s="74" t="str">
        <f ca="1">IF(C36="","",[1]!s_est_eps(C36,I36,TODAY()))</f>
        <v/>
      </c>
      <c r="AA36" s="74" t="str">
        <f ca="1">IF(C36="","",[1]!s_est_sales(C36,I36,TODAY(),100000000))</f>
        <v/>
      </c>
      <c r="AB36" s="74" t="str">
        <f ca="1">IF(C36="","",[1]!s_est_netprofit(C36,I36,TODAY(),100000000))</f>
        <v/>
      </c>
      <c r="AC36" s="74" t="str">
        <f ca="1">IF(C36="","",[1]!s_est_avgcps(C36,I36,TODAY()))</f>
        <v/>
      </c>
      <c r="AD36" s="74" t="str">
        <f ca="1">IF(C36="","",[1]!s_est_avgdps(C36,I36,TODAY()))</f>
        <v/>
      </c>
      <c r="AE36" s="74" t="str">
        <f ca="1">IF(C36="","",[1]!s_est_avgebit(C36,I36,TODAY(),100000000))</f>
        <v/>
      </c>
      <c r="AF36" s="74" t="str">
        <f ca="1">IF(C36="","",[1]!s_est_avgebitda(C36,I36,TODAY(),100000000))</f>
        <v/>
      </c>
      <c r="AG36" s="74" t="str">
        <f ca="1">IF(C36="","",[1]!s_est_avgbps(C36,I36,TODAY()))</f>
        <v/>
      </c>
      <c r="AH36" s="74" t="str">
        <f ca="1">IF(C36="","",[1]!s_est_avgebt(C36,I36,TODAY(),100000000))</f>
        <v/>
      </c>
      <c r="AI36" s="74" t="str">
        <f ca="1">IF(C36="","",[1]!s_est_avgroa(C36,I36,TODAY()))</f>
        <v/>
      </c>
      <c r="AJ36" s="74" t="str">
        <f ca="1">IF(C36="","",[1]!s_est_avgroe(C36,I36,TODAY()))</f>
        <v/>
      </c>
      <c r="AK36" s="74" t="str">
        <f ca="1">IF(C36="","",[1]!s_est_avgoperatingprofit(C36,I36,TODAY(),100000000))</f>
        <v/>
      </c>
      <c r="AL36" s="74" t="str">
        <f ca="1">IF(C36="","",[1]!s_est_yoynetprofit(C36,I36,TODAY()))</f>
        <v/>
      </c>
      <c r="AM36" s="74" t="str">
        <f ca="1">IF(C36="","",[1]!s_est_yoysales(C36,I36,TODAY()))</f>
        <v/>
      </c>
      <c r="AN36" s="35"/>
    </row>
    <row r="37" spans="1:40" s="36" customFormat="1" ht="16.5" x14ac:dyDescent="0.2">
      <c r="A37" s="2"/>
      <c r="B37" s="6"/>
      <c r="C37" s="28" t="str">
        <f>IF(表1[[#This Row],[列1]]="","",表1[[#This Row],[列1]])</f>
        <v/>
      </c>
      <c r="D37" s="19" t="str">
        <f>IF(C37="","",[1]!hks_info_name(C37))</f>
        <v/>
      </c>
      <c r="E37" s="18" t="str">
        <f ca="1">IF(C37="","",[1]!lastradeday_s(C37,TODAY()))</f>
        <v/>
      </c>
      <c r="F37" s="19" t="str">
        <f>IF(C37="","",IF(OR([1]!s_stm_rpt_e(C37,基本资料!$I$8,0)="#N/A",[1]!s_stm_rpt_e(C37,基本资料!$I$8,0)="",[1]!s_stm_rpt_e(C37,基本资料!$I$8,0)=0),[1]!s_stm_rpt_e(C37,基本资料!$I$9,0),[1]!s_stm_rpt_e(C37,基本资料!$I$8,0)))</f>
        <v/>
      </c>
      <c r="G37" s="18" t="str">
        <f>IF(C37="","",YEAR([1]!s_stm_rpt_e(C37,F37,0)))</f>
        <v/>
      </c>
      <c r="H37" s="18" t="str">
        <f>IF(C37="","",表1_31213141516[[#This Row],[列5]]+1)</f>
        <v/>
      </c>
      <c r="I37" s="18" t="str">
        <f>IF(C37="","",表1_31213141516[[#This Row],[列5]]+2)</f>
        <v/>
      </c>
      <c r="J37" s="18" t="str">
        <f ca="1">IF(C37="","",[1]!s_est_instnum(C37,H37,TODAY()))</f>
        <v/>
      </c>
      <c r="K37" s="74" t="str">
        <f ca="1">IF(C37="","",[1]!s_est_eps(C37,H37,TODAY()))</f>
        <v/>
      </c>
      <c r="L37" s="74" t="str">
        <f ca="1">IF(C37="","",[1]!s_est_sales(C37,H37,TODAY(),100000000))</f>
        <v/>
      </c>
      <c r="M37" s="74" t="str">
        <f ca="1">IF(C37="","",[1]!s_est_netprofit(C37,H37,TODAY(),100000000))</f>
        <v/>
      </c>
      <c r="N37" s="74" t="str">
        <f ca="1">IF(C37="","",[1]!s_est_avgcps(C37,H37,TODAY()))</f>
        <v/>
      </c>
      <c r="O37" s="74" t="str">
        <f ca="1">IF(C37="","",[1]!s_est_avgdps(C37,H37,TODAY()))</f>
        <v/>
      </c>
      <c r="P37" s="74" t="str">
        <f ca="1">IF(C37="","",[1]!s_est_avgebit(C37,H37,TODAY(),100000000))</f>
        <v/>
      </c>
      <c r="Q37" s="74" t="str">
        <f ca="1">IF(C37="","",[1]!s_est_avgebitda(C37,H37,TODAY(),100000000))</f>
        <v/>
      </c>
      <c r="R37" s="74" t="str">
        <f ca="1">IF(C37="","",[1]!s_est_avgbps(C37,H37,TODAY()))</f>
        <v/>
      </c>
      <c r="S37" s="74" t="str">
        <f ca="1">IF(C37="","",[1]!s_est_avgebt(C37,H37,TODAY(),100000000))</f>
        <v/>
      </c>
      <c r="T37" s="74" t="str">
        <f ca="1">IF(C37="","",[1]!s_est_avgroa(C37,H37,TODAY()))</f>
        <v/>
      </c>
      <c r="U37" s="74" t="str">
        <f ca="1">IF(C37="","",[1]!s_est_avgroe(C37,H37,TODAY()))</f>
        <v/>
      </c>
      <c r="V37" s="74" t="str">
        <f ca="1">IF(C37="","",[1]!s_est_avgoperatingprofit(C37,H37,TODAY(),100000000))</f>
        <v/>
      </c>
      <c r="W37" s="74" t="str">
        <f ca="1">IF(C37="","",[1]!s_est_yoynetprofit(C37,H37,TODAY()))</f>
        <v/>
      </c>
      <c r="X37" s="74" t="str">
        <f ca="1">IF(C37="","",[1]!s_est_yoysales(C37,H37,TODAY()))</f>
        <v/>
      </c>
      <c r="Y37" s="74" t="str">
        <f ca="1">IF(C37="","",[1]!s_est_instnum(C37,I37,TODAY()))</f>
        <v/>
      </c>
      <c r="Z37" s="74" t="str">
        <f ca="1">IF(C37="","",[1]!s_est_eps(C37,I37,TODAY()))</f>
        <v/>
      </c>
      <c r="AA37" s="74" t="str">
        <f ca="1">IF(C37="","",[1]!s_est_sales(C37,I37,TODAY(),100000000))</f>
        <v/>
      </c>
      <c r="AB37" s="74" t="str">
        <f ca="1">IF(C37="","",[1]!s_est_netprofit(C37,I37,TODAY(),100000000))</f>
        <v/>
      </c>
      <c r="AC37" s="74" t="str">
        <f ca="1">IF(C37="","",[1]!s_est_avgcps(C37,I37,TODAY()))</f>
        <v/>
      </c>
      <c r="AD37" s="74" t="str">
        <f ca="1">IF(C37="","",[1]!s_est_avgdps(C37,I37,TODAY()))</f>
        <v/>
      </c>
      <c r="AE37" s="74" t="str">
        <f ca="1">IF(C37="","",[1]!s_est_avgebit(C37,I37,TODAY(),100000000))</f>
        <v/>
      </c>
      <c r="AF37" s="74" t="str">
        <f ca="1">IF(C37="","",[1]!s_est_avgebitda(C37,I37,TODAY(),100000000))</f>
        <v/>
      </c>
      <c r="AG37" s="74" t="str">
        <f ca="1">IF(C37="","",[1]!s_est_avgbps(C37,I37,TODAY()))</f>
        <v/>
      </c>
      <c r="AH37" s="74" t="str">
        <f ca="1">IF(C37="","",[1]!s_est_avgebt(C37,I37,TODAY(),100000000))</f>
        <v/>
      </c>
      <c r="AI37" s="74" t="str">
        <f ca="1">IF(C37="","",[1]!s_est_avgroa(C37,I37,TODAY()))</f>
        <v/>
      </c>
      <c r="AJ37" s="74" t="str">
        <f ca="1">IF(C37="","",[1]!s_est_avgroe(C37,I37,TODAY()))</f>
        <v/>
      </c>
      <c r="AK37" s="74" t="str">
        <f ca="1">IF(C37="","",[1]!s_est_avgoperatingprofit(C37,I37,TODAY(),100000000))</f>
        <v/>
      </c>
      <c r="AL37" s="74" t="str">
        <f ca="1">IF(C37="","",[1]!s_est_yoynetprofit(C37,I37,TODAY()))</f>
        <v/>
      </c>
      <c r="AM37" s="74" t="str">
        <f ca="1">IF(C37="","",[1]!s_est_yoysales(C37,I37,TODAY()))</f>
        <v/>
      </c>
      <c r="AN37" s="35"/>
    </row>
    <row r="38" spans="1:40" s="36" customFormat="1" ht="16.5" x14ac:dyDescent="0.2">
      <c r="A38" s="2"/>
      <c r="B38" s="6"/>
      <c r="C38" s="28" t="str">
        <f>IF(表1[[#This Row],[列1]]="","",表1[[#This Row],[列1]])</f>
        <v/>
      </c>
      <c r="D38" s="19" t="str">
        <f>IF(C38="","",[1]!hks_info_name(C38))</f>
        <v/>
      </c>
      <c r="E38" s="18" t="str">
        <f ca="1">IF(C38="","",[1]!lastradeday_s(C38,TODAY()))</f>
        <v/>
      </c>
      <c r="F38" s="19" t="str">
        <f>IF(C38="","",IF(OR([1]!s_stm_rpt_e(C38,基本资料!$I$8,0)="#N/A",[1]!s_stm_rpt_e(C38,基本资料!$I$8,0)="",[1]!s_stm_rpt_e(C38,基本资料!$I$8,0)=0),[1]!s_stm_rpt_e(C38,基本资料!$I$9,0),[1]!s_stm_rpt_e(C38,基本资料!$I$8,0)))</f>
        <v/>
      </c>
      <c r="G38" s="18" t="str">
        <f>IF(C38="","",YEAR([1]!s_stm_rpt_e(C38,F38,0)))</f>
        <v/>
      </c>
      <c r="H38" s="18" t="str">
        <f>IF(C38="","",表1_31213141516[[#This Row],[列5]]+1)</f>
        <v/>
      </c>
      <c r="I38" s="18" t="str">
        <f>IF(C38="","",表1_31213141516[[#This Row],[列5]]+2)</f>
        <v/>
      </c>
      <c r="J38" s="18" t="str">
        <f ca="1">IF(C38="","",[1]!s_est_instnum(C38,H38,TODAY()))</f>
        <v/>
      </c>
      <c r="K38" s="74" t="str">
        <f ca="1">IF(C38="","",[1]!s_est_eps(C38,H38,TODAY()))</f>
        <v/>
      </c>
      <c r="L38" s="74" t="str">
        <f ca="1">IF(C38="","",[1]!s_est_sales(C38,H38,TODAY(),100000000))</f>
        <v/>
      </c>
      <c r="M38" s="74" t="str">
        <f ca="1">IF(C38="","",[1]!s_est_netprofit(C38,H38,TODAY(),100000000))</f>
        <v/>
      </c>
      <c r="N38" s="74" t="str">
        <f ca="1">IF(C38="","",[1]!s_est_avgcps(C38,H38,TODAY()))</f>
        <v/>
      </c>
      <c r="O38" s="74" t="str">
        <f ca="1">IF(C38="","",[1]!s_est_avgdps(C38,H38,TODAY()))</f>
        <v/>
      </c>
      <c r="P38" s="74" t="str">
        <f ca="1">IF(C38="","",[1]!s_est_avgebit(C38,H38,TODAY(),100000000))</f>
        <v/>
      </c>
      <c r="Q38" s="74" t="str">
        <f ca="1">IF(C38="","",[1]!s_est_avgebitda(C38,H38,TODAY(),100000000))</f>
        <v/>
      </c>
      <c r="R38" s="74" t="str">
        <f ca="1">IF(C38="","",[1]!s_est_avgbps(C38,H38,TODAY()))</f>
        <v/>
      </c>
      <c r="S38" s="74" t="str">
        <f ca="1">IF(C38="","",[1]!s_est_avgebt(C38,H38,TODAY(),100000000))</f>
        <v/>
      </c>
      <c r="T38" s="74" t="str">
        <f ca="1">IF(C38="","",[1]!s_est_avgroa(C38,H38,TODAY()))</f>
        <v/>
      </c>
      <c r="U38" s="74" t="str">
        <f ca="1">IF(C38="","",[1]!s_est_avgroe(C38,H38,TODAY()))</f>
        <v/>
      </c>
      <c r="V38" s="74" t="str">
        <f ca="1">IF(C38="","",[1]!s_est_avgoperatingprofit(C38,H38,TODAY(),100000000))</f>
        <v/>
      </c>
      <c r="W38" s="74" t="str">
        <f ca="1">IF(C38="","",[1]!s_est_yoynetprofit(C38,H38,TODAY()))</f>
        <v/>
      </c>
      <c r="X38" s="74" t="str">
        <f ca="1">IF(C38="","",[1]!s_est_yoysales(C38,H38,TODAY()))</f>
        <v/>
      </c>
      <c r="Y38" s="74" t="str">
        <f ca="1">IF(C38="","",[1]!s_est_instnum(C38,I38,TODAY()))</f>
        <v/>
      </c>
      <c r="Z38" s="74" t="str">
        <f ca="1">IF(C38="","",[1]!s_est_eps(C38,I38,TODAY()))</f>
        <v/>
      </c>
      <c r="AA38" s="74" t="str">
        <f ca="1">IF(C38="","",[1]!s_est_sales(C38,I38,TODAY(),100000000))</f>
        <v/>
      </c>
      <c r="AB38" s="74" t="str">
        <f ca="1">IF(C38="","",[1]!s_est_netprofit(C38,I38,TODAY(),100000000))</f>
        <v/>
      </c>
      <c r="AC38" s="74" t="str">
        <f ca="1">IF(C38="","",[1]!s_est_avgcps(C38,I38,TODAY()))</f>
        <v/>
      </c>
      <c r="AD38" s="74" t="str">
        <f ca="1">IF(C38="","",[1]!s_est_avgdps(C38,I38,TODAY()))</f>
        <v/>
      </c>
      <c r="AE38" s="74" t="str">
        <f ca="1">IF(C38="","",[1]!s_est_avgebit(C38,I38,TODAY(),100000000))</f>
        <v/>
      </c>
      <c r="AF38" s="74" t="str">
        <f ca="1">IF(C38="","",[1]!s_est_avgebitda(C38,I38,TODAY(),100000000))</f>
        <v/>
      </c>
      <c r="AG38" s="74" t="str">
        <f ca="1">IF(C38="","",[1]!s_est_avgbps(C38,I38,TODAY()))</f>
        <v/>
      </c>
      <c r="AH38" s="74" t="str">
        <f ca="1">IF(C38="","",[1]!s_est_avgebt(C38,I38,TODAY(),100000000))</f>
        <v/>
      </c>
      <c r="AI38" s="74" t="str">
        <f ca="1">IF(C38="","",[1]!s_est_avgroa(C38,I38,TODAY()))</f>
        <v/>
      </c>
      <c r="AJ38" s="74" t="str">
        <f ca="1">IF(C38="","",[1]!s_est_avgroe(C38,I38,TODAY()))</f>
        <v/>
      </c>
      <c r="AK38" s="74" t="str">
        <f ca="1">IF(C38="","",[1]!s_est_avgoperatingprofit(C38,I38,TODAY(),100000000))</f>
        <v/>
      </c>
      <c r="AL38" s="74" t="str">
        <f ca="1">IF(C38="","",[1]!s_est_yoynetprofit(C38,I38,TODAY()))</f>
        <v/>
      </c>
      <c r="AM38" s="74" t="str">
        <f ca="1">IF(C38="","",[1]!s_est_yoysales(C38,I38,TODAY()))</f>
        <v/>
      </c>
      <c r="AN38" s="35"/>
    </row>
    <row r="39" spans="1:40" s="36" customFormat="1" ht="16.5" x14ac:dyDescent="0.2">
      <c r="A39" s="2"/>
      <c r="B39" s="6"/>
      <c r="C39" s="28" t="str">
        <f>IF(表1[[#This Row],[列1]]="","",表1[[#This Row],[列1]])</f>
        <v/>
      </c>
      <c r="D39" s="19" t="str">
        <f>IF(C39="","",[1]!hks_info_name(C39))</f>
        <v/>
      </c>
      <c r="E39" s="18" t="str">
        <f ca="1">IF(C39="","",[1]!lastradeday_s(C39,TODAY()))</f>
        <v/>
      </c>
      <c r="F39" s="19" t="str">
        <f>IF(C39="","",IF(OR([1]!s_stm_rpt_e(C39,基本资料!$I$8,0)="#N/A",[1]!s_stm_rpt_e(C39,基本资料!$I$8,0)="",[1]!s_stm_rpt_e(C39,基本资料!$I$8,0)=0),[1]!s_stm_rpt_e(C39,基本资料!$I$9,0),[1]!s_stm_rpt_e(C39,基本资料!$I$8,0)))</f>
        <v/>
      </c>
      <c r="G39" s="18" t="str">
        <f>IF(C39="","",YEAR([1]!s_stm_rpt_e(C39,F39,0)))</f>
        <v/>
      </c>
      <c r="H39" s="18" t="str">
        <f>IF(C39="","",表1_31213141516[[#This Row],[列5]]+1)</f>
        <v/>
      </c>
      <c r="I39" s="18" t="str">
        <f>IF(C39="","",表1_31213141516[[#This Row],[列5]]+2)</f>
        <v/>
      </c>
      <c r="J39" s="18" t="str">
        <f ca="1">IF(C39="","",[1]!s_est_instnum(C39,H39,TODAY()))</f>
        <v/>
      </c>
      <c r="K39" s="74" t="str">
        <f ca="1">IF(C39="","",[1]!s_est_eps(C39,H39,TODAY()))</f>
        <v/>
      </c>
      <c r="L39" s="74" t="str">
        <f ca="1">IF(C39="","",[1]!s_est_sales(C39,H39,TODAY(),100000000))</f>
        <v/>
      </c>
      <c r="M39" s="74" t="str">
        <f ca="1">IF(C39="","",[1]!s_est_netprofit(C39,H39,TODAY(),100000000))</f>
        <v/>
      </c>
      <c r="N39" s="74" t="str">
        <f ca="1">IF(C39="","",[1]!s_est_avgcps(C39,H39,TODAY()))</f>
        <v/>
      </c>
      <c r="O39" s="74" t="str">
        <f ca="1">IF(C39="","",[1]!s_est_avgdps(C39,H39,TODAY()))</f>
        <v/>
      </c>
      <c r="P39" s="74" t="str">
        <f ca="1">IF(C39="","",[1]!s_est_avgebit(C39,H39,TODAY(),100000000))</f>
        <v/>
      </c>
      <c r="Q39" s="74" t="str">
        <f ca="1">IF(C39="","",[1]!s_est_avgebitda(C39,H39,TODAY(),100000000))</f>
        <v/>
      </c>
      <c r="R39" s="74" t="str">
        <f ca="1">IF(C39="","",[1]!s_est_avgbps(C39,H39,TODAY()))</f>
        <v/>
      </c>
      <c r="S39" s="74" t="str">
        <f ca="1">IF(C39="","",[1]!s_est_avgebt(C39,H39,TODAY(),100000000))</f>
        <v/>
      </c>
      <c r="T39" s="74" t="str">
        <f ca="1">IF(C39="","",[1]!s_est_avgroa(C39,H39,TODAY()))</f>
        <v/>
      </c>
      <c r="U39" s="74" t="str">
        <f ca="1">IF(C39="","",[1]!s_est_avgroe(C39,H39,TODAY()))</f>
        <v/>
      </c>
      <c r="V39" s="74" t="str">
        <f ca="1">IF(C39="","",[1]!s_est_avgoperatingprofit(C39,H39,TODAY(),100000000))</f>
        <v/>
      </c>
      <c r="W39" s="74" t="str">
        <f ca="1">IF(C39="","",[1]!s_est_yoynetprofit(C39,H39,TODAY()))</f>
        <v/>
      </c>
      <c r="X39" s="74" t="str">
        <f ca="1">IF(C39="","",[1]!s_est_yoysales(C39,H39,TODAY()))</f>
        <v/>
      </c>
      <c r="Y39" s="74" t="str">
        <f ca="1">IF(C39="","",[1]!s_est_instnum(C39,I39,TODAY()))</f>
        <v/>
      </c>
      <c r="Z39" s="74" t="str">
        <f ca="1">IF(C39="","",[1]!s_est_eps(C39,I39,TODAY()))</f>
        <v/>
      </c>
      <c r="AA39" s="74" t="str">
        <f ca="1">IF(C39="","",[1]!s_est_sales(C39,I39,TODAY(),100000000))</f>
        <v/>
      </c>
      <c r="AB39" s="74" t="str">
        <f ca="1">IF(C39="","",[1]!s_est_netprofit(C39,I39,TODAY(),100000000))</f>
        <v/>
      </c>
      <c r="AC39" s="74" t="str">
        <f ca="1">IF(C39="","",[1]!s_est_avgcps(C39,I39,TODAY()))</f>
        <v/>
      </c>
      <c r="AD39" s="74" t="str">
        <f ca="1">IF(C39="","",[1]!s_est_avgdps(C39,I39,TODAY()))</f>
        <v/>
      </c>
      <c r="AE39" s="74" t="str">
        <f ca="1">IF(C39="","",[1]!s_est_avgebit(C39,I39,TODAY(),100000000))</f>
        <v/>
      </c>
      <c r="AF39" s="74" t="str">
        <f ca="1">IF(C39="","",[1]!s_est_avgebitda(C39,I39,TODAY(),100000000))</f>
        <v/>
      </c>
      <c r="AG39" s="74" t="str">
        <f ca="1">IF(C39="","",[1]!s_est_avgbps(C39,I39,TODAY()))</f>
        <v/>
      </c>
      <c r="AH39" s="74" t="str">
        <f ca="1">IF(C39="","",[1]!s_est_avgebt(C39,I39,TODAY(),100000000))</f>
        <v/>
      </c>
      <c r="AI39" s="74" t="str">
        <f ca="1">IF(C39="","",[1]!s_est_avgroa(C39,I39,TODAY()))</f>
        <v/>
      </c>
      <c r="AJ39" s="74" t="str">
        <f ca="1">IF(C39="","",[1]!s_est_avgroe(C39,I39,TODAY()))</f>
        <v/>
      </c>
      <c r="AK39" s="74" t="str">
        <f ca="1">IF(C39="","",[1]!s_est_avgoperatingprofit(C39,I39,TODAY(),100000000))</f>
        <v/>
      </c>
      <c r="AL39" s="74" t="str">
        <f ca="1">IF(C39="","",[1]!s_est_yoynetprofit(C39,I39,TODAY()))</f>
        <v/>
      </c>
      <c r="AM39" s="74" t="str">
        <f ca="1">IF(C39="","",[1]!s_est_yoysales(C39,I39,TODAY()))</f>
        <v/>
      </c>
      <c r="AN39" s="35"/>
    </row>
    <row r="40" spans="1:40" s="36" customFormat="1" ht="16.5" x14ac:dyDescent="0.2">
      <c r="A40" s="2"/>
      <c r="B40" s="6"/>
      <c r="C40" s="28" t="str">
        <f>IF(表1[[#This Row],[列1]]="","",表1[[#This Row],[列1]])</f>
        <v/>
      </c>
      <c r="D40" s="19" t="str">
        <f>IF(C40="","",[1]!hks_info_name(C40))</f>
        <v/>
      </c>
      <c r="E40" s="18" t="str">
        <f ca="1">IF(C40="","",[1]!lastradeday_s(C40,TODAY()))</f>
        <v/>
      </c>
      <c r="F40" s="19" t="str">
        <f>IF(C40="","",IF(OR([1]!s_stm_rpt_e(C40,基本资料!$I$8,0)="#N/A",[1]!s_stm_rpt_e(C40,基本资料!$I$8,0)="",[1]!s_stm_rpt_e(C40,基本资料!$I$8,0)=0),[1]!s_stm_rpt_e(C40,基本资料!$I$9,0),[1]!s_stm_rpt_e(C40,基本资料!$I$8,0)))</f>
        <v/>
      </c>
      <c r="G40" s="18" t="str">
        <f>IF(C40="","",YEAR([1]!s_stm_rpt_e(C40,F40,0)))</f>
        <v/>
      </c>
      <c r="H40" s="18" t="str">
        <f>IF(C40="","",表1_31213141516[[#This Row],[列5]]+1)</f>
        <v/>
      </c>
      <c r="I40" s="18" t="str">
        <f>IF(C40="","",表1_31213141516[[#This Row],[列5]]+2)</f>
        <v/>
      </c>
      <c r="J40" s="18" t="str">
        <f ca="1">IF(C40="","",[1]!s_est_instnum(C40,H40,TODAY()))</f>
        <v/>
      </c>
      <c r="K40" s="74" t="str">
        <f ca="1">IF(C40="","",[1]!s_est_eps(C40,H40,TODAY()))</f>
        <v/>
      </c>
      <c r="L40" s="74" t="str">
        <f ca="1">IF(C40="","",[1]!s_est_sales(C40,H40,TODAY(),100000000))</f>
        <v/>
      </c>
      <c r="M40" s="74" t="str">
        <f ca="1">IF(C40="","",[1]!s_est_netprofit(C40,H40,TODAY(),100000000))</f>
        <v/>
      </c>
      <c r="N40" s="74" t="str">
        <f ca="1">IF(C40="","",[1]!s_est_avgcps(C40,H40,TODAY()))</f>
        <v/>
      </c>
      <c r="O40" s="74" t="str">
        <f ca="1">IF(C40="","",[1]!s_est_avgdps(C40,H40,TODAY()))</f>
        <v/>
      </c>
      <c r="P40" s="74" t="str">
        <f ca="1">IF(C40="","",[1]!s_est_avgebit(C40,H40,TODAY(),100000000))</f>
        <v/>
      </c>
      <c r="Q40" s="74" t="str">
        <f ca="1">IF(C40="","",[1]!s_est_avgebitda(C40,H40,TODAY(),100000000))</f>
        <v/>
      </c>
      <c r="R40" s="74" t="str">
        <f ca="1">IF(C40="","",[1]!s_est_avgbps(C40,H40,TODAY()))</f>
        <v/>
      </c>
      <c r="S40" s="74" t="str">
        <f ca="1">IF(C40="","",[1]!s_est_avgebt(C40,H40,TODAY(),100000000))</f>
        <v/>
      </c>
      <c r="T40" s="74" t="str">
        <f ca="1">IF(C40="","",[1]!s_est_avgroa(C40,H40,TODAY()))</f>
        <v/>
      </c>
      <c r="U40" s="74" t="str">
        <f ca="1">IF(C40="","",[1]!s_est_avgroe(C40,H40,TODAY()))</f>
        <v/>
      </c>
      <c r="V40" s="74" t="str">
        <f ca="1">IF(C40="","",[1]!s_est_avgoperatingprofit(C40,H40,TODAY(),100000000))</f>
        <v/>
      </c>
      <c r="W40" s="74" t="str">
        <f ca="1">IF(C40="","",[1]!s_est_yoynetprofit(C40,H40,TODAY()))</f>
        <v/>
      </c>
      <c r="X40" s="74" t="str">
        <f ca="1">IF(C40="","",[1]!s_est_yoysales(C40,H40,TODAY()))</f>
        <v/>
      </c>
      <c r="Y40" s="74" t="str">
        <f ca="1">IF(C40="","",[1]!s_est_instnum(C40,I40,TODAY()))</f>
        <v/>
      </c>
      <c r="Z40" s="74" t="str">
        <f ca="1">IF(C40="","",[1]!s_est_eps(C40,I40,TODAY()))</f>
        <v/>
      </c>
      <c r="AA40" s="74" t="str">
        <f ca="1">IF(C40="","",[1]!s_est_sales(C40,I40,TODAY(),100000000))</f>
        <v/>
      </c>
      <c r="AB40" s="74" t="str">
        <f ca="1">IF(C40="","",[1]!s_est_netprofit(C40,I40,TODAY(),100000000))</f>
        <v/>
      </c>
      <c r="AC40" s="74" t="str">
        <f ca="1">IF(C40="","",[1]!s_est_avgcps(C40,I40,TODAY()))</f>
        <v/>
      </c>
      <c r="AD40" s="74" t="str">
        <f ca="1">IF(C40="","",[1]!s_est_avgdps(C40,I40,TODAY()))</f>
        <v/>
      </c>
      <c r="AE40" s="74" t="str">
        <f ca="1">IF(C40="","",[1]!s_est_avgebit(C40,I40,TODAY(),100000000))</f>
        <v/>
      </c>
      <c r="AF40" s="74" t="str">
        <f ca="1">IF(C40="","",[1]!s_est_avgebitda(C40,I40,TODAY(),100000000))</f>
        <v/>
      </c>
      <c r="AG40" s="74" t="str">
        <f ca="1">IF(C40="","",[1]!s_est_avgbps(C40,I40,TODAY()))</f>
        <v/>
      </c>
      <c r="AH40" s="74" t="str">
        <f ca="1">IF(C40="","",[1]!s_est_avgebt(C40,I40,TODAY(),100000000))</f>
        <v/>
      </c>
      <c r="AI40" s="74" t="str">
        <f ca="1">IF(C40="","",[1]!s_est_avgroa(C40,I40,TODAY()))</f>
        <v/>
      </c>
      <c r="AJ40" s="74" t="str">
        <f ca="1">IF(C40="","",[1]!s_est_avgroe(C40,I40,TODAY()))</f>
        <v/>
      </c>
      <c r="AK40" s="74" t="str">
        <f ca="1">IF(C40="","",[1]!s_est_avgoperatingprofit(C40,I40,TODAY(),100000000))</f>
        <v/>
      </c>
      <c r="AL40" s="74" t="str">
        <f ca="1">IF(C40="","",[1]!s_est_yoynetprofit(C40,I40,TODAY()))</f>
        <v/>
      </c>
      <c r="AM40" s="74" t="str">
        <f ca="1">IF(C40="","",[1]!s_est_yoysales(C40,I40,TODAY()))</f>
        <v/>
      </c>
      <c r="AN40" s="35"/>
    </row>
    <row r="41" spans="1:40" s="36" customFormat="1" ht="16.5" x14ac:dyDescent="0.2">
      <c r="A41" s="2"/>
      <c r="B41" s="6"/>
      <c r="C41" s="28" t="str">
        <f>IF(表1[[#This Row],[列1]]="","",表1[[#This Row],[列1]])</f>
        <v/>
      </c>
      <c r="D41" s="19" t="str">
        <f>IF(C41="","",[1]!hks_info_name(C41))</f>
        <v/>
      </c>
      <c r="E41" s="18" t="str">
        <f ca="1">IF(C41="","",[1]!lastradeday_s(C41,TODAY()))</f>
        <v/>
      </c>
      <c r="F41" s="19" t="str">
        <f>IF(C41="","",IF(OR([1]!s_stm_rpt_e(C41,基本资料!$I$8,0)="#N/A",[1]!s_stm_rpt_e(C41,基本资料!$I$8,0)="",[1]!s_stm_rpt_e(C41,基本资料!$I$8,0)=0),[1]!s_stm_rpt_e(C41,基本资料!$I$9,0),[1]!s_stm_rpt_e(C41,基本资料!$I$8,0)))</f>
        <v/>
      </c>
      <c r="G41" s="18" t="str">
        <f>IF(C41="","",YEAR([1]!s_stm_rpt_e(C41,F41,0)))</f>
        <v/>
      </c>
      <c r="H41" s="18" t="str">
        <f>IF(C41="","",表1_31213141516[[#This Row],[列5]]+1)</f>
        <v/>
      </c>
      <c r="I41" s="18" t="str">
        <f>IF(C41="","",表1_31213141516[[#This Row],[列5]]+2)</f>
        <v/>
      </c>
      <c r="J41" s="18" t="str">
        <f ca="1">IF(C41="","",[1]!s_est_instnum(C41,H41,TODAY()))</f>
        <v/>
      </c>
      <c r="K41" s="74" t="str">
        <f ca="1">IF(C41="","",[1]!s_est_eps(C41,H41,TODAY()))</f>
        <v/>
      </c>
      <c r="L41" s="74" t="str">
        <f ca="1">IF(C41="","",[1]!s_est_sales(C41,H41,TODAY(),100000000))</f>
        <v/>
      </c>
      <c r="M41" s="74" t="str">
        <f ca="1">IF(C41="","",[1]!s_est_netprofit(C41,H41,TODAY(),100000000))</f>
        <v/>
      </c>
      <c r="N41" s="74" t="str">
        <f ca="1">IF(C41="","",[1]!s_est_avgcps(C41,H41,TODAY()))</f>
        <v/>
      </c>
      <c r="O41" s="74" t="str">
        <f ca="1">IF(C41="","",[1]!s_est_avgdps(C41,H41,TODAY()))</f>
        <v/>
      </c>
      <c r="P41" s="74" t="str">
        <f ca="1">IF(C41="","",[1]!s_est_avgebit(C41,H41,TODAY(),100000000))</f>
        <v/>
      </c>
      <c r="Q41" s="74" t="str">
        <f ca="1">IF(C41="","",[1]!s_est_avgebitda(C41,H41,TODAY(),100000000))</f>
        <v/>
      </c>
      <c r="R41" s="74" t="str">
        <f ca="1">IF(C41="","",[1]!s_est_avgbps(C41,H41,TODAY()))</f>
        <v/>
      </c>
      <c r="S41" s="74" t="str">
        <f ca="1">IF(C41="","",[1]!s_est_avgebt(C41,H41,TODAY(),100000000))</f>
        <v/>
      </c>
      <c r="T41" s="74" t="str">
        <f ca="1">IF(C41="","",[1]!s_est_avgroa(C41,H41,TODAY()))</f>
        <v/>
      </c>
      <c r="U41" s="74" t="str">
        <f ca="1">IF(C41="","",[1]!s_est_avgroe(C41,H41,TODAY()))</f>
        <v/>
      </c>
      <c r="V41" s="74" t="str">
        <f ca="1">IF(C41="","",[1]!s_est_avgoperatingprofit(C41,H41,TODAY(),100000000))</f>
        <v/>
      </c>
      <c r="W41" s="74" t="str">
        <f ca="1">IF(C41="","",[1]!s_est_yoynetprofit(C41,H41,TODAY()))</f>
        <v/>
      </c>
      <c r="X41" s="74" t="str">
        <f ca="1">IF(C41="","",[1]!s_est_yoysales(C41,H41,TODAY()))</f>
        <v/>
      </c>
      <c r="Y41" s="74" t="str">
        <f ca="1">IF(C41="","",[1]!s_est_instnum(C41,I41,TODAY()))</f>
        <v/>
      </c>
      <c r="Z41" s="74" t="str">
        <f ca="1">IF(C41="","",[1]!s_est_eps(C41,I41,TODAY()))</f>
        <v/>
      </c>
      <c r="AA41" s="74" t="str">
        <f ca="1">IF(C41="","",[1]!s_est_sales(C41,I41,TODAY(),100000000))</f>
        <v/>
      </c>
      <c r="AB41" s="74" t="str">
        <f ca="1">IF(C41="","",[1]!s_est_netprofit(C41,I41,TODAY(),100000000))</f>
        <v/>
      </c>
      <c r="AC41" s="74" t="str">
        <f ca="1">IF(C41="","",[1]!s_est_avgcps(C41,I41,TODAY()))</f>
        <v/>
      </c>
      <c r="AD41" s="74" t="str">
        <f ca="1">IF(C41="","",[1]!s_est_avgdps(C41,I41,TODAY()))</f>
        <v/>
      </c>
      <c r="AE41" s="74" t="str">
        <f ca="1">IF(C41="","",[1]!s_est_avgebit(C41,I41,TODAY(),100000000))</f>
        <v/>
      </c>
      <c r="AF41" s="74" t="str">
        <f ca="1">IF(C41="","",[1]!s_est_avgebitda(C41,I41,TODAY(),100000000))</f>
        <v/>
      </c>
      <c r="AG41" s="74" t="str">
        <f ca="1">IF(C41="","",[1]!s_est_avgbps(C41,I41,TODAY()))</f>
        <v/>
      </c>
      <c r="AH41" s="74" t="str">
        <f ca="1">IF(C41="","",[1]!s_est_avgebt(C41,I41,TODAY(),100000000))</f>
        <v/>
      </c>
      <c r="AI41" s="74" t="str">
        <f ca="1">IF(C41="","",[1]!s_est_avgroa(C41,I41,TODAY()))</f>
        <v/>
      </c>
      <c r="AJ41" s="74" t="str">
        <f ca="1">IF(C41="","",[1]!s_est_avgroe(C41,I41,TODAY()))</f>
        <v/>
      </c>
      <c r="AK41" s="74" t="str">
        <f ca="1">IF(C41="","",[1]!s_est_avgoperatingprofit(C41,I41,TODAY(),100000000))</f>
        <v/>
      </c>
      <c r="AL41" s="74" t="str">
        <f ca="1">IF(C41="","",[1]!s_est_yoynetprofit(C41,I41,TODAY()))</f>
        <v/>
      </c>
      <c r="AM41" s="74" t="str">
        <f ca="1">IF(C41="","",[1]!s_est_yoysales(C41,I41,TODAY()))</f>
        <v/>
      </c>
      <c r="AN41" s="35"/>
    </row>
    <row r="42" spans="1:40" s="36" customFormat="1" ht="16.5" x14ac:dyDescent="0.2">
      <c r="A42" s="2"/>
      <c r="B42" s="6"/>
      <c r="C42" s="28" t="str">
        <f>IF(表1[[#This Row],[列1]]="","",表1[[#This Row],[列1]])</f>
        <v/>
      </c>
      <c r="D42" s="19" t="str">
        <f>IF(C42="","",[1]!hks_info_name(C42))</f>
        <v/>
      </c>
      <c r="E42" s="18" t="str">
        <f ca="1">IF(C42="","",[1]!lastradeday_s(C42,TODAY()))</f>
        <v/>
      </c>
      <c r="F42" s="19" t="str">
        <f>IF(C42="","",IF(OR([1]!s_stm_rpt_e(C42,基本资料!$I$8,0)="#N/A",[1]!s_stm_rpt_e(C42,基本资料!$I$8,0)="",[1]!s_stm_rpt_e(C42,基本资料!$I$8,0)=0),[1]!s_stm_rpt_e(C42,基本资料!$I$9,0),[1]!s_stm_rpt_e(C42,基本资料!$I$8,0)))</f>
        <v/>
      </c>
      <c r="G42" s="18" t="str">
        <f>IF(C42="","",YEAR([1]!s_stm_rpt_e(C42,F42,0)))</f>
        <v/>
      </c>
      <c r="H42" s="18" t="str">
        <f>IF(C42="","",表1_31213141516[[#This Row],[列5]]+1)</f>
        <v/>
      </c>
      <c r="I42" s="18" t="str">
        <f>IF(C42="","",表1_31213141516[[#This Row],[列5]]+2)</f>
        <v/>
      </c>
      <c r="J42" s="18" t="str">
        <f ca="1">IF(C42="","",[1]!s_est_instnum(C42,H42,TODAY()))</f>
        <v/>
      </c>
      <c r="K42" s="74" t="str">
        <f ca="1">IF(C42="","",[1]!s_est_eps(C42,H42,TODAY()))</f>
        <v/>
      </c>
      <c r="L42" s="74" t="str">
        <f ca="1">IF(C42="","",[1]!s_est_sales(C42,H42,TODAY(),100000000))</f>
        <v/>
      </c>
      <c r="M42" s="74" t="str">
        <f ca="1">IF(C42="","",[1]!s_est_netprofit(C42,H42,TODAY(),100000000))</f>
        <v/>
      </c>
      <c r="N42" s="74" t="str">
        <f ca="1">IF(C42="","",[1]!s_est_avgcps(C42,H42,TODAY()))</f>
        <v/>
      </c>
      <c r="O42" s="74" t="str">
        <f ca="1">IF(C42="","",[1]!s_est_avgdps(C42,H42,TODAY()))</f>
        <v/>
      </c>
      <c r="P42" s="74" t="str">
        <f ca="1">IF(C42="","",[1]!s_est_avgebit(C42,H42,TODAY(),100000000))</f>
        <v/>
      </c>
      <c r="Q42" s="74" t="str">
        <f ca="1">IF(C42="","",[1]!s_est_avgebitda(C42,H42,TODAY(),100000000))</f>
        <v/>
      </c>
      <c r="R42" s="74" t="str">
        <f ca="1">IF(C42="","",[1]!s_est_avgbps(C42,H42,TODAY()))</f>
        <v/>
      </c>
      <c r="S42" s="74" t="str">
        <f ca="1">IF(C42="","",[1]!s_est_avgebt(C42,H42,TODAY(),100000000))</f>
        <v/>
      </c>
      <c r="T42" s="74" t="str">
        <f ca="1">IF(C42="","",[1]!s_est_avgroa(C42,H42,TODAY()))</f>
        <v/>
      </c>
      <c r="U42" s="74" t="str">
        <f ca="1">IF(C42="","",[1]!s_est_avgroe(C42,H42,TODAY()))</f>
        <v/>
      </c>
      <c r="V42" s="74" t="str">
        <f ca="1">IF(C42="","",[1]!s_est_avgoperatingprofit(C42,H42,TODAY(),100000000))</f>
        <v/>
      </c>
      <c r="W42" s="74" t="str">
        <f ca="1">IF(C42="","",[1]!s_est_yoynetprofit(C42,H42,TODAY()))</f>
        <v/>
      </c>
      <c r="X42" s="74" t="str">
        <f ca="1">IF(C42="","",[1]!s_est_yoysales(C42,H42,TODAY()))</f>
        <v/>
      </c>
      <c r="Y42" s="74" t="str">
        <f ca="1">IF(C42="","",[1]!s_est_instnum(C42,I42,TODAY()))</f>
        <v/>
      </c>
      <c r="Z42" s="74" t="str">
        <f ca="1">IF(C42="","",[1]!s_est_eps(C42,I42,TODAY()))</f>
        <v/>
      </c>
      <c r="AA42" s="74" t="str">
        <f ca="1">IF(C42="","",[1]!s_est_sales(C42,I42,TODAY(),100000000))</f>
        <v/>
      </c>
      <c r="AB42" s="74" t="str">
        <f ca="1">IF(C42="","",[1]!s_est_netprofit(C42,I42,TODAY(),100000000))</f>
        <v/>
      </c>
      <c r="AC42" s="74" t="str">
        <f ca="1">IF(C42="","",[1]!s_est_avgcps(C42,I42,TODAY()))</f>
        <v/>
      </c>
      <c r="AD42" s="74" t="str">
        <f ca="1">IF(C42="","",[1]!s_est_avgdps(C42,I42,TODAY()))</f>
        <v/>
      </c>
      <c r="AE42" s="74" t="str">
        <f ca="1">IF(C42="","",[1]!s_est_avgebit(C42,I42,TODAY(),100000000))</f>
        <v/>
      </c>
      <c r="AF42" s="74" t="str">
        <f ca="1">IF(C42="","",[1]!s_est_avgebitda(C42,I42,TODAY(),100000000))</f>
        <v/>
      </c>
      <c r="AG42" s="74" t="str">
        <f ca="1">IF(C42="","",[1]!s_est_avgbps(C42,I42,TODAY()))</f>
        <v/>
      </c>
      <c r="AH42" s="74" t="str">
        <f ca="1">IF(C42="","",[1]!s_est_avgebt(C42,I42,TODAY(),100000000))</f>
        <v/>
      </c>
      <c r="AI42" s="74" t="str">
        <f ca="1">IF(C42="","",[1]!s_est_avgroa(C42,I42,TODAY()))</f>
        <v/>
      </c>
      <c r="AJ42" s="74" t="str">
        <f ca="1">IF(C42="","",[1]!s_est_avgroe(C42,I42,TODAY()))</f>
        <v/>
      </c>
      <c r="AK42" s="74" t="str">
        <f ca="1">IF(C42="","",[1]!s_est_avgoperatingprofit(C42,I42,TODAY(),100000000))</f>
        <v/>
      </c>
      <c r="AL42" s="74" t="str">
        <f ca="1">IF(C42="","",[1]!s_est_yoynetprofit(C42,I42,TODAY()))</f>
        <v/>
      </c>
      <c r="AM42" s="74" t="str">
        <f ca="1">IF(C42="","",[1]!s_est_yoysales(C42,I42,TODAY()))</f>
        <v/>
      </c>
      <c r="AN42" s="35"/>
    </row>
    <row r="43" spans="1:40" s="36" customFormat="1" ht="16.5" x14ac:dyDescent="0.2">
      <c r="A43" s="2"/>
      <c r="B43" s="6"/>
      <c r="C43" s="28" t="str">
        <f>IF(表1[[#This Row],[列1]]="","",表1[[#This Row],[列1]])</f>
        <v/>
      </c>
      <c r="D43" s="19" t="str">
        <f>IF(C43="","",[1]!hks_info_name(C43))</f>
        <v/>
      </c>
      <c r="E43" s="18" t="str">
        <f ca="1">IF(C43="","",[1]!lastradeday_s(C43,TODAY()))</f>
        <v/>
      </c>
      <c r="F43" s="19" t="str">
        <f>IF(C43="","",IF(OR([1]!s_stm_rpt_e(C43,基本资料!$I$8,0)="#N/A",[1]!s_stm_rpt_e(C43,基本资料!$I$8,0)="",[1]!s_stm_rpt_e(C43,基本资料!$I$8,0)=0),[1]!s_stm_rpt_e(C43,基本资料!$I$9,0),[1]!s_stm_rpt_e(C43,基本资料!$I$8,0)))</f>
        <v/>
      </c>
      <c r="G43" s="18" t="str">
        <f>IF(C43="","",YEAR([1]!s_stm_rpt_e(C43,F43,0)))</f>
        <v/>
      </c>
      <c r="H43" s="18" t="str">
        <f>IF(C43="","",表1_31213141516[[#This Row],[列5]]+1)</f>
        <v/>
      </c>
      <c r="I43" s="18" t="str">
        <f>IF(C43="","",表1_31213141516[[#This Row],[列5]]+2)</f>
        <v/>
      </c>
      <c r="J43" s="18" t="str">
        <f ca="1">IF(C43="","",[1]!s_est_instnum(C43,H43,TODAY()))</f>
        <v/>
      </c>
      <c r="K43" s="74" t="str">
        <f ca="1">IF(C43="","",[1]!s_est_eps(C43,H43,TODAY()))</f>
        <v/>
      </c>
      <c r="L43" s="74" t="str">
        <f ca="1">IF(C43="","",[1]!s_est_sales(C43,H43,TODAY(),100000000))</f>
        <v/>
      </c>
      <c r="M43" s="74" t="str">
        <f ca="1">IF(C43="","",[1]!s_est_netprofit(C43,H43,TODAY(),100000000))</f>
        <v/>
      </c>
      <c r="N43" s="74" t="str">
        <f ca="1">IF(C43="","",[1]!s_est_avgcps(C43,H43,TODAY()))</f>
        <v/>
      </c>
      <c r="O43" s="74" t="str">
        <f ca="1">IF(C43="","",[1]!s_est_avgdps(C43,H43,TODAY()))</f>
        <v/>
      </c>
      <c r="P43" s="74" t="str">
        <f ca="1">IF(C43="","",[1]!s_est_avgebit(C43,H43,TODAY(),100000000))</f>
        <v/>
      </c>
      <c r="Q43" s="74" t="str">
        <f ca="1">IF(C43="","",[1]!s_est_avgebitda(C43,H43,TODAY(),100000000))</f>
        <v/>
      </c>
      <c r="R43" s="74" t="str">
        <f ca="1">IF(C43="","",[1]!s_est_avgbps(C43,H43,TODAY()))</f>
        <v/>
      </c>
      <c r="S43" s="74" t="str">
        <f ca="1">IF(C43="","",[1]!s_est_avgebt(C43,H43,TODAY(),100000000))</f>
        <v/>
      </c>
      <c r="T43" s="74" t="str">
        <f ca="1">IF(C43="","",[1]!s_est_avgroa(C43,H43,TODAY()))</f>
        <v/>
      </c>
      <c r="U43" s="74" t="str">
        <f ca="1">IF(C43="","",[1]!s_est_avgroe(C43,H43,TODAY()))</f>
        <v/>
      </c>
      <c r="V43" s="74" t="str">
        <f ca="1">IF(C43="","",[1]!s_est_avgoperatingprofit(C43,H43,TODAY(),100000000))</f>
        <v/>
      </c>
      <c r="W43" s="74" t="str">
        <f ca="1">IF(C43="","",[1]!s_est_yoynetprofit(C43,H43,TODAY()))</f>
        <v/>
      </c>
      <c r="X43" s="74" t="str">
        <f ca="1">IF(C43="","",[1]!s_est_yoysales(C43,H43,TODAY()))</f>
        <v/>
      </c>
      <c r="Y43" s="74" t="str">
        <f ca="1">IF(C43="","",[1]!s_est_instnum(C43,I43,TODAY()))</f>
        <v/>
      </c>
      <c r="Z43" s="74" t="str">
        <f ca="1">IF(C43="","",[1]!s_est_eps(C43,I43,TODAY()))</f>
        <v/>
      </c>
      <c r="AA43" s="74" t="str">
        <f ca="1">IF(C43="","",[1]!s_est_sales(C43,I43,TODAY(),100000000))</f>
        <v/>
      </c>
      <c r="AB43" s="74" t="str">
        <f ca="1">IF(C43="","",[1]!s_est_netprofit(C43,I43,TODAY(),100000000))</f>
        <v/>
      </c>
      <c r="AC43" s="74" t="str">
        <f ca="1">IF(C43="","",[1]!s_est_avgcps(C43,I43,TODAY()))</f>
        <v/>
      </c>
      <c r="AD43" s="74" t="str">
        <f ca="1">IF(C43="","",[1]!s_est_avgdps(C43,I43,TODAY()))</f>
        <v/>
      </c>
      <c r="AE43" s="74" t="str">
        <f ca="1">IF(C43="","",[1]!s_est_avgebit(C43,I43,TODAY(),100000000))</f>
        <v/>
      </c>
      <c r="AF43" s="74" t="str">
        <f ca="1">IF(C43="","",[1]!s_est_avgebitda(C43,I43,TODAY(),100000000))</f>
        <v/>
      </c>
      <c r="AG43" s="74" t="str">
        <f ca="1">IF(C43="","",[1]!s_est_avgbps(C43,I43,TODAY()))</f>
        <v/>
      </c>
      <c r="AH43" s="74" t="str">
        <f ca="1">IF(C43="","",[1]!s_est_avgebt(C43,I43,TODAY(),100000000))</f>
        <v/>
      </c>
      <c r="AI43" s="74" t="str">
        <f ca="1">IF(C43="","",[1]!s_est_avgroa(C43,I43,TODAY()))</f>
        <v/>
      </c>
      <c r="AJ43" s="74" t="str">
        <f ca="1">IF(C43="","",[1]!s_est_avgroe(C43,I43,TODAY()))</f>
        <v/>
      </c>
      <c r="AK43" s="74" t="str">
        <f ca="1">IF(C43="","",[1]!s_est_avgoperatingprofit(C43,I43,TODAY(),100000000))</f>
        <v/>
      </c>
      <c r="AL43" s="74" t="str">
        <f ca="1">IF(C43="","",[1]!s_est_yoynetprofit(C43,I43,TODAY()))</f>
        <v/>
      </c>
      <c r="AM43" s="74" t="str">
        <f ca="1">IF(C43="","",[1]!s_est_yoysales(C43,I43,TODAY()))</f>
        <v/>
      </c>
      <c r="AN43" s="35"/>
    </row>
    <row r="44" spans="1:40" s="36" customFormat="1" ht="16.5" x14ac:dyDescent="0.2">
      <c r="A44" s="2"/>
      <c r="B44" s="6"/>
      <c r="C44" s="28" t="str">
        <f>IF(表1[[#This Row],[列1]]="","",表1[[#This Row],[列1]])</f>
        <v/>
      </c>
      <c r="D44" s="19" t="str">
        <f>IF(C44="","",[1]!hks_info_name(C44))</f>
        <v/>
      </c>
      <c r="E44" s="18" t="str">
        <f ca="1">IF(C44="","",[1]!lastradeday_s(C44,TODAY()))</f>
        <v/>
      </c>
      <c r="F44" s="19" t="str">
        <f>IF(C44="","",IF(OR([1]!s_stm_rpt_e(C44,基本资料!$I$8,0)="#N/A",[1]!s_stm_rpt_e(C44,基本资料!$I$8,0)="",[1]!s_stm_rpt_e(C44,基本资料!$I$8,0)=0),[1]!s_stm_rpt_e(C44,基本资料!$I$9,0),[1]!s_stm_rpt_e(C44,基本资料!$I$8,0)))</f>
        <v/>
      </c>
      <c r="G44" s="18" t="str">
        <f>IF(C44="","",YEAR([1]!s_stm_rpt_e(C44,F44,0)))</f>
        <v/>
      </c>
      <c r="H44" s="18" t="str">
        <f>IF(C44="","",表1_31213141516[[#This Row],[列5]]+1)</f>
        <v/>
      </c>
      <c r="I44" s="18" t="str">
        <f>IF(C44="","",表1_31213141516[[#This Row],[列5]]+2)</f>
        <v/>
      </c>
      <c r="J44" s="18" t="str">
        <f ca="1">IF(C44="","",[1]!s_est_instnum(C44,H44,TODAY()))</f>
        <v/>
      </c>
      <c r="K44" s="74" t="str">
        <f ca="1">IF(C44="","",[1]!s_est_eps(C44,H44,TODAY()))</f>
        <v/>
      </c>
      <c r="L44" s="74" t="str">
        <f ca="1">IF(C44="","",[1]!s_est_sales(C44,H44,TODAY(),100000000))</f>
        <v/>
      </c>
      <c r="M44" s="74" t="str">
        <f ca="1">IF(C44="","",[1]!s_est_netprofit(C44,H44,TODAY(),100000000))</f>
        <v/>
      </c>
      <c r="N44" s="74" t="str">
        <f ca="1">IF(C44="","",[1]!s_est_avgcps(C44,H44,TODAY()))</f>
        <v/>
      </c>
      <c r="O44" s="74" t="str">
        <f ca="1">IF(C44="","",[1]!s_est_avgdps(C44,H44,TODAY()))</f>
        <v/>
      </c>
      <c r="P44" s="74" t="str">
        <f ca="1">IF(C44="","",[1]!s_est_avgebit(C44,H44,TODAY(),100000000))</f>
        <v/>
      </c>
      <c r="Q44" s="74" t="str">
        <f ca="1">IF(C44="","",[1]!s_est_avgebitda(C44,H44,TODAY(),100000000))</f>
        <v/>
      </c>
      <c r="R44" s="74" t="str">
        <f ca="1">IF(C44="","",[1]!s_est_avgbps(C44,H44,TODAY()))</f>
        <v/>
      </c>
      <c r="S44" s="74" t="str">
        <f ca="1">IF(C44="","",[1]!s_est_avgebt(C44,H44,TODAY(),100000000))</f>
        <v/>
      </c>
      <c r="T44" s="74" t="str">
        <f ca="1">IF(C44="","",[1]!s_est_avgroa(C44,H44,TODAY()))</f>
        <v/>
      </c>
      <c r="U44" s="74" t="str">
        <f ca="1">IF(C44="","",[1]!s_est_avgroe(C44,H44,TODAY()))</f>
        <v/>
      </c>
      <c r="V44" s="74" t="str">
        <f ca="1">IF(C44="","",[1]!s_est_avgoperatingprofit(C44,H44,TODAY(),100000000))</f>
        <v/>
      </c>
      <c r="W44" s="74" t="str">
        <f ca="1">IF(C44="","",[1]!s_est_yoynetprofit(C44,H44,TODAY()))</f>
        <v/>
      </c>
      <c r="X44" s="74" t="str">
        <f ca="1">IF(C44="","",[1]!s_est_yoysales(C44,H44,TODAY()))</f>
        <v/>
      </c>
      <c r="Y44" s="74" t="str">
        <f ca="1">IF(C44="","",[1]!s_est_instnum(C44,I44,TODAY()))</f>
        <v/>
      </c>
      <c r="Z44" s="74" t="str">
        <f ca="1">IF(C44="","",[1]!s_est_eps(C44,I44,TODAY()))</f>
        <v/>
      </c>
      <c r="AA44" s="74" t="str">
        <f ca="1">IF(C44="","",[1]!s_est_sales(C44,I44,TODAY(),100000000))</f>
        <v/>
      </c>
      <c r="AB44" s="74" t="str">
        <f ca="1">IF(C44="","",[1]!s_est_netprofit(C44,I44,TODAY(),100000000))</f>
        <v/>
      </c>
      <c r="AC44" s="74" t="str">
        <f ca="1">IF(C44="","",[1]!s_est_avgcps(C44,I44,TODAY()))</f>
        <v/>
      </c>
      <c r="AD44" s="74" t="str">
        <f ca="1">IF(C44="","",[1]!s_est_avgdps(C44,I44,TODAY()))</f>
        <v/>
      </c>
      <c r="AE44" s="74" t="str">
        <f ca="1">IF(C44="","",[1]!s_est_avgebit(C44,I44,TODAY(),100000000))</f>
        <v/>
      </c>
      <c r="AF44" s="74" t="str">
        <f ca="1">IF(C44="","",[1]!s_est_avgebitda(C44,I44,TODAY(),100000000))</f>
        <v/>
      </c>
      <c r="AG44" s="74" t="str">
        <f ca="1">IF(C44="","",[1]!s_est_avgbps(C44,I44,TODAY()))</f>
        <v/>
      </c>
      <c r="AH44" s="74" t="str">
        <f ca="1">IF(C44="","",[1]!s_est_avgebt(C44,I44,TODAY(),100000000))</f>
        <v/>
      </c>
      <c r="AI44" s="74" t="str">
        <f ca="1">IF(C44="","",[1]!s_est_avgroa(C44,I44,TODAY()))</f>
        <v/>
      </c>
      <c r="AJ44" s="74" t="str">
        <f ca="1">IF(C44="","",[1]!s_est_avgroe(C44,I44,TODAY()))</f>
        <v/>
      </c>
      <c r="AK44" s="74" t="str">
        <f ca="1">IF(C44="","",[1]!s_est_avgoperatingprofit(C44,I44,TODAY(),100000000))</f>
        <v/>
      </c>
      <c r="AL44" s="74" t="str">
        <f ca="1">IF(C44="","",[1]!s_est_yoynetprofit(C44,I44,TODAY()))</f>
        <v/>
      </c>
      <c r="AM44" s="74" t="str">
        <f ca="1">IF(C44="","",[1]!s_est_yoysales(C44,I44,TODAY()))</f>
        <v/>
      </c>
      <c r="AN44" s="35"/>
    </row>
    <row r="45" spans="1:40" s="36" customFormat="1" ht="16.5" x14ac:dyDescent="0.2">
      <c r="A45" s="2"/>
      <c r="B45" s="6"/>
      <c r="C45" s="28" t="str">
        <f>IF(表1[[#This Row],[列1]]="","",表1[[#This Row],[列1]])</f>
        <v/>
      </c>
      <c r="D45" s="19" t="str">
        <f>IF(C45="","",[1]!hks_info_name(C45))</f>
        <v/>
      </c>
      <c r="E45" s="18" t="str">
        <f ca="1">IF(C45="","",[1]!lastradeday_s(C45,TODAY()))</f>
        <v/>
      </c>
      <c r="F45" s="19" t="str">
        <f>IF(C45="","",IF(OR([1]!s_stm_rpt_e(C45,基本资料!$I$8,0)="#N/A",[1]!s_stm_rpt_e(C45,基本资料!$I$8,0)="",[1]!s_stm_rpt_e(C45,基本资料!$I$8,0)=0),[1]!s_stm_rpt_e(C45,基本资料!$I$9,0),[1]!s_stm_rpt_e(C45,基本资料!$I$8,0)))</f>
        <v/>
      </c>
      <c r="G45" s="18" t="str">
        <f>IF(C45="","",YEAR([1]!s_stm_rpt_e(C45,F45,0)))</f>
        <v/>
      </c>
      <c r="H45" s="18" t="str">
        <f>IF(C45="","",表1_31213141516[[#This Row],[列5]]+1)</f>
        <v/>
      </c>
      <c r="I45" s="18" t="str">
        <f>IF(C45="","",表1_31213141516[[#This Row],[列5]]+2)</f>
        <v/>
      </c>
      <c r="J45" s="18" t="str">
        <f ca="1">IF(C45="","",[1]!s_est_instnum(C45,H45,TODAY()))</f>
        <v/>
      </c>
      <c r="K45" s="74" t="str">
        <f ca="1">IF(C45="","",[1]!s_est_eps(C45,H45,TODAY()))</f>
        <v/>
      </c>
      <c r="L45" s="74" t="str">
        <f ca="1">IF(C45="","",[1]!s_est_sales(C45,H45,TODAY(),100000000))</f>
        <v/>
      </c>
      <c r="M45" s="74" t="str">
        <f ca="1">IF(C45="","",[1]!s_est_netprofit(C45,H45,TODAY(),100000000))</f>
        <v/>
      </c>
      <c r="N45" s="74" t="str">
        <f ca="1">IF(C45="","",[1]!s_est_avgcps(C45,H45,TODAY()))</f>
        <v/>
      </c>
      <c r="O45" s="74" t="str">
        <f ca="1">IF(C45="","",[1]!s_est_avgdps(C45,H45,TODAY()))</f>
        <v/>
      </c>
      <c r="P45" s="74" t="str">
        <f ca="1">IF(C45="","",[1]!s_est_avgebit(C45,H45,TODAY(),100000000))</f>
        <v/>
      </c>
      <c r="Q45" s="74" t="str">
        <f ca="1">IF(C45="","",[1]!s_est_avgebitda(C45,H45,TODAY(),100000000))</f>
        <v/>
      </c>
      <c r="R45" s="74" t="str">
        <f ca="1">IF(C45="","",[1]!s_est_avgbps(C45,H45,TODAY()))</f>
        <v/>
      </c>
      <c r="S45" s="74" t="str">
        <f ca="1">IF(C45="","",[1]!s_est_avgebt(C45,H45,TODAY(),100000000))</f>
        <v/>
      </c>
      <c r="T45" s="74" t="str">
        <f ca="1">IF(C45="","",[1]!s_est_avgroa(C45,H45,TODAY()))</f>
        <v/>
      </c>
      <c r="U45" s="74" t="str">
        <f ca="1">IF(C45="","",[1]!s_est_avgroe(C45,H45,TODAY()))</f>
        <v/>
      </c>
      <c r="V45" s="74" t="str">
        <f ca="1">IF(C45="","",[1]!s_est_avgoperatingprofit(C45,H45,TODAY(),100000000))</f>
        <v/>
      </c>
      <c r="W45" s="74" t="str">
        <f ca="1">IF(C45="","",[1]!s_est_yoynetprofit(C45,H45,TODAY()))</f>
        <v/>
      </c>
      <c r="X45" s="74" t="str">
        <f ca="1">IF(C45="","",[1]!s_est_yoysales(C45,H45,TODAY()))</f>
        <v/>
      </c>
      <c r="Y45" s="74" t="str">
        <f ca="1">IF(C45="","",[1]!s_est_instnum(C45,I45,TODAY()))</f>
        <v/>
      </c>
      <c r="Z45" s="74" t="str">
        <f ca="1">IF(C45="","",[1]!s_est_eps(C45,I45,TODAY()))</f>
        <v/>
      </c>
      <c r="AA45" s="74" t="str">
        <f ca="1">IF(C45="","",[1]!s_est_sales(C45,I45,TODAY(),100000000))</f>
        <v/>
      </c>
      <c r="AB45" s="74" t="str">
        <f ca="1">IF(C45="","",[1]!s_est_netprofit(C45,I45,TODAY(),100000000))</f>
        <v/>
      </c>
      <c r="AC45" s="74" t="str">
        <f ca="1">IF(C45="","",[1]!s_est_avgcps(C45,I45,TODAY()))</f>
        <v/>
      </c>
      <c r="AD45" s="74" t="str">
        <f ca="1">IF(C45="","",[1]!s_est_avgdps(C45,I45,TODAY()))</f>
        <v/>
      </c>
      <c r="AE45" s="74" t="str">
        <f ca="1">IF(C45="","",[1]!s_est_avgebit(C45,I45,TODAY(),100000000))</f>
        <v/>
      </c>
      <c r="AF45" s="74" t="str">
        <f ca="1">IF(C45="","",[1]!s_est_avgebitda(C45,I45,TODAY(),100000000))</f>
        <v/>
      </c>
      <c r="AG45" s="74" t="str">
        <f ca="1">IF(C45="","",[1]!s_est_avgbps(C45,I45,TODAY()))</f>
        <v/>
      </c>
      <c r="AH45" s="74" t="str">
        <f ca="1">IF(C45="","",[1]!s_est_avgebt(C45,I45,TODAY(),100000000))</f>
        <v/>
      </c>
      <c r="AI45" s="74" t="str">
        <f ca="1">IF(C45="","",[1]!s_est_avgroa(C45,I45,TODAY()))</f>
        <v/>
      </c>
      <c r="AJ45" s="74" t="str">
        <f ca="1">IF(C45="","",[1]!s_est_avgroe(C45,I45,TODAY()))</f>
        <v/>
      </c>
      <c r="AK45" s="74" t="str">
        <f ca="1">IF(C45="","",[1]!s_est_avgoperatingprofit(C45,I45,TODAY(),100000000))</f>
        <v/>
      </c>
      <c r="AL45" s="74" t="str">
        <f ca="1">IF(C45="","",[1]!s_est_yoynetprofit(C45,I45,TODAY()))</f>
        <v/>
      </c>
      <c r="AM45" s="74" t="str">
        <f ca="1">IF(C45="","",[1]!s_est_yoysales(C45,I45,TODAY()))</f>
        <v/>
      </c>
      <c r="AN45" s="35"/>
    </row>
    <row r="46" spans="1:40" s="36" customFormat="1" ht="16.5" x14ac:dyDescent="0.2">
      <c r="A46" s="2"/>
      <c r="B46" s="6"/>
      <c r="C46" s="28" t="str">
        <f>IF(表1[[#This Row],[列1]]="","",表1[[#This Row],[列1]])</f>
        <v/>
      </c>
      <c r="D46" s="19" t="str">
        <f>IF(C46="","",[1]!hks_info_name(C46))</f>
        <v/>
      </c>
      <c r="E46" s="18" t="str">
        <f ca="1">IF(C46="","",[1]!lastradeday_s(C46,TODAY()))</f>
        <v/>
      </c>
      <c r="F46" s="19" t="str">
        <f>IF(C46="","",IF(OR([1]!s_stm_rpt_e(C46,基本资料!$I$8,0)="#N/A",[1]!s_stm_rpt_e(C46,基本资料!$I$8,0)="",[1]!s_stm_rpt_e(C46,基本资料!$I$8,0)=0),[1]!s_stm_rpt_e(C46,基本资料!$I$9,0),[1]!s_stm_rpt_e(C46,基本资料!$I$8,0)))</f>
        <v/>
      </c>
      <c r="G46" s="18" t="str">
        <f>IF(C46="","",YEAR([1]!s_stm_rpt_e(C46,F46,0)))</f>
        <v/>
      </c>
      <c r="H46" s="18" t="str">
        <f>IF(C46="","",表1_31213141516[[#This Row],[列5]]+1)</f>
        <v/>
      </c>
      <c r="I46" s="18" t="str">
        <f>IF(C46="","",表1_31213141516[[#This Row],[列5]]+2)</f>
        <v/>
      </c>
      <c r="J46" s="18" t="str">
        <f ca="1">IF(C46="","",[1]!s_est_instnum(C46,H46,TODAY()))</f>
        <v/>
      </c>
      <c r="K46" s="74" t="str">
        <f ca="1">IF(C46="","",[1]!s_est_eps(C46,H46,TODAY()))</f>
        <v/>
      </c>
      <c r="L46" s="74" t="str">
        <f ca="1">IF(C46="","",[1]!s_est_sales(C46,H46,TODAY(),100000000))</f>
        <v/>
      </c>
      <c r="M46" s="74" t="str">
        <f ca="1">IF(C46="","",[1]!s_est_netprofit(C46,H46,TODAY(),100000000))</f>
        <v/>
      </c>
      <c r="N46" s="74" t="str">
        <f ca="1">IF(C46="","",[1]!s_est_avgcps(C46,H46,TODAY()))</f>
        <v/>
      </c>
      <c r="O46" s="74" t="str">
        <f ca="1">IF(C46="","",[1]!s_est_avgdps(C46,H46,TODAY()))</f>
        <v/>
      </c>
      <c r="P46" s="74" t="str">
        <f ca="1">IF(C46="","",[1]!s_est_avgebit(C46,H46,TODAY(),100000000))</f>
        <v/>
      </c>
      <c r="Q46" s="74" t="str">
        <f ca="1">IF(C46="","",[1]!s_est_avgebitda(C46,H46,TODAY(),100000000))</f>
        <v/>
      </c>
      <c r="R46" s="74" t="str">
        <f ca="1">IF(C46="","",[1]!s_est_avgbps(C46,H46,TODAY()))</f>
        <v/>
      </c>
      <c r="S46" s="74" t="str">
        <f ca="1">IF(C46="","",[1]!s_est_avgebt(C46,H46,TODAY(),100000000))</f>
        <v/>
      </c>
      <c r="T46" s="74" t="str">
        <f ca="1">IF(C46="","",[1]!s_est_avgroa(C46,H46,TODAY()))</f>
        <v/>
      </c>
      <c r="U46" s="74" t="str">
        <f ca="1">IF(C46="","",[1]!s_est_avgroe(C46,H46,TODAY()))</f>
        <v/>
      </c>
      <c r="V46" s="74" t="str">
        <f ca="1">IF(C46="","",[1]!s_est_avgoperatingprofit(C46,H46,TODAY(),100000000))</f>
        <v/>
      </c>
      <c r="W46" s="74" t="str">
        <f ca="1">IF(C46="","",[1]!s_est_yoynetprofit(C46,H46,TODAY()))</f>
        <v/>
      </c>
      <c r="X46" s="74" t="str">
        <f ca="1">IF(C46="","",[1]!s_est_yoysales(C46,H46,TODAY()))</f>
        <v/>
      </c>
      <c r="Y46" s="74" t="str">
        <f ca="1">IF(C46="","",[1]!s_est_instnum(C46,I46,TODAY()))</f>
        <v/>
      </c>
      <c r="Z46" s="74" t="str">
        <f ca="1">IF(C46="","",[1]!s_est_eps(C46,I46,TODAY()))</f>
        <v/>
      </c>
      <c r="AA46" s="74" t="str">
        <f ca="1">IF(C46="","",[1]!s_est_sales(C46,I46,TODAY(),100000000))</f>
        <v/>
      </c>
      <c r="AB46" s="74" t="str">
        <f ca="1">IF(C46="","",[1]!s_est_netprofit(C46,I46,TODAY(),100000000))</f>
        <v/>
      </c>
      <c r="AC46" s="74" t="str">
        <f ca="1">IF(C46="","",[1]!s_est_avgcps(C46,I46,TODAY()))</f>
        <v/>
      </c>
      <c r="AD46" s="74" t="str">
        <f ca="1">IF(C46="","",[1]!s_est_avgdps(C46,I46,TODAY()))</f>
        <v/>
      </c>
      <c r="AE46" s="74" t="str">
        <f ca="1">IF(C46="","",[1]!s_est_avgebit(C46,I46,TODAY(),100000000))</f>
        <v/>
      </c>
      <c r="AF46" s="74" t="str">
        <f ca="1">IF(C46="","",[1]!s_est_avgebitda(C46,I46,TODAY(),100000000))</f>
        <v/>
      </c>
      <c r="AG46" s="74" t="str">
        <f ca="1">IF(C46="","",[1]!s_est_avgbps(C46,I46,TODAY()))</f>
        <v/>
      </c>
      <c r="AH46" s="74" t="str">
        <f ca="1">IF(C46="","",[1]!s_est_avgebt(C46,I46,TODAY(),100000000))</f>
        <v/>
      </c>
      <c r="AI46" s="74" t="str">
        <f ca="1">IF(C46="","",[1]!s_est_avgroa(C46,I46,TODAY()))</f>
        <v/>
      </c>
      <c r="AJ46" s="74" t="str">
        <f ca="1">IF(C46="","",[1]!s_est_avgroe(C46,I46,TODAY()))</f>
        <v/>
      </c>
      <c r="AK46" s="74" t="str">
        <f ca="1">IF(C46="","",[1]!s_est_avgoperatingprofit(C46,I46,TODAY(),100000000))</f>
        <v/>
      </c>
      <c r="AL46" s="74" t="str">
        <f ca="1">IF(C46="","",[1]!s_est_yoynetprofit(C46,I46,TODAY()))</f>
        <v/>
      </c>
      <c r="AM46" s="74" t="str">
        <f ca="1">IF(C46="","",[1]!s_est_yoysales(C46,I46,TODAY()))</f>
        <v/>
      </c>
      <c r="AN46" s="35"/>
    </row>
    <row r="47" spans="1:40" s="36" customFormat="1" ht="16.5" x14ac:dyDescent="0.2">
      <c r="A47" s="2"/>
      <c r="B47" s="6"/>
      <c r="C47" s="28" t="str">
        <f>IF(表1[[#This Row],[列1]]="","",表1[[#This Row],[列1]])</f>
        <v/>
      </c>
      <c r="D47" s="19" t="str">
        <f>IF(C47="","",[1]!hks_info_name(C47))</f>
        <v/>
      </c>
      <c r="E47" s="18" t="str">
        <f ca="1">IF(C47="","",[1]!lastradeday_s(C47,TODAY()))</f>
        <v/>
      </c>
      <c r="F47" s="19" t="str">
        <f>IF(C47="","",IF(OR([1]!s_stm_rpt_e(C47,基本资料!$I$8,0)="#N/A",[1]!s_stm_rpt_e(C47,基本资料!$I$8,0)="",[1]!s_stm_rpt_e(C47,基本资料!$I$8,0)=0),[1]!s_stm_rpt_e(C47,基本资料!$I$9,0),[1]!s_stm_rpt_e(C47,基本资料!$I$8,0)))</f>
        <v/>
      </c>
      <c r="G47" s="18" t="str">
        <f>IF(C47="","",YEAR([1]!s_stm_rpt_e(C47,F47,0)))</f>
        <v/>
      </c>
      <c r="H47" s="18" t="str">
        <f>IF(C47="","",表1_31213141516[[#This Row],[列5]]+1)</f>
        <v/>
      </c>
      <c r="I47" s="18" t="str">
        <f>IF(C47="","",表1_31213141516[[#This Row],[列5]]+2)</f>
        <v/>
      </c>
      <c r="J47" s="18" t="str">
        <f ca="1">IF(C47="","",[1]!s_est_instnum(C47,H47,TODAY()))</f>
        <v/>
      </c>
      <c r="K47" s="74" t="str">
        <f ca="1">IF(C47="","",[1]!s_est_eps(C47,H47,TODAY()))</f>
        <v/>
      </c>
      <c r="L47" s="74" t="str">
        <f ca="1">IF(C47="","",[1]!s_est_sales(C47,H47,TODAY(),100000000))</f>
        <v/>
      </c>
      <c r="M47" s="74" t="str">
        <f ca="1">IF(C47="","",[1]!s_est_netprofit(C47,H47,TODAY(),100000000))</f>
        <v/>
      </c>
      <c r="N47" s="74" t="str">
        <f ca="1">IF(C47="","",[1]!s_est_avgcps(C47,H47,TODAY()))</f>
        <v/>
      </c>
      <c r="O47" s="74" t="str">
        <f ca="1">IF(C47="","",[1]!s_est_avgdps(C47,H47,TODAY()))</f>
        <v/>
      </c>
      <c r="P47" s="74" t="str">
        <f ca="1">IF(C47="","",[1]!s_est_avgebit(C47,H47,TODAY(),100000000))</f>
        <v/>
      </c>
      <c r="Q47" s="74" t="str">
        <f ca="1">IF(C47="","",[1]!s_est_avgebitda(C47,H47,TODAY(),100000000))</f>
        <v/>
      </c>
      <c r="R47" s="74" t="str">
        <f ca="1">IF(C47="","",[1]!s_est_avgbps(C47,H47,TODAY()))</f>
        <v/>
      </c>
      <c r="S47" s="74" t="str">
        <f ca="1">IF(C47="","",[1]!s_est_avgebt(C47,H47,TODAY(),100000000))</f>
        <v/>
      </c>
      <c r="T47" s="74" t="str">
        <f ca="1">IF(C47="","",[1]!s_est_avgroa(C47,H47,TODAY()))</f>
        <v/>
      </c>
      <c r="U47" s="74" t="str">
        <f ca="1">IF(C47="","",[1]!s_est_avgroe(C47,H47,TODAY()))</f>
        <v/>
      </c>
      <c r="V47" s="74" t="str">
        <f ca="1">IF(C47="","",[1]!s_est_avgoperatingprofit(C47,H47,TODAY(),100000000))</f>
        <v/>
      </c>
      <c r="W47" s="74" t="str">
        <f ca="1">IF(C47="","",[1]!s_est_yoynetprofit(C47,H47,TODAY()))</f>
        <v/>
      </c>
      <c r="X47" s="74" t="str">
        <f ca="1">IF(C47="","",[1]!s_est_yoysales(C47,H47,TODAY()))</f>
        <v/>
      </c>
      <c r="Y47" s="74" t="str">
        <f ca="1">IF(C47="","",[1]!s_est_instnum(C47,I47,TODAY()))</f>
        <v/>
      </c>
      <c r="Z47" s="74" t="str">
        <f ca="1">IF(C47="","",[1]!s_est_eps(C47,I47,TODAY()))</f>
        <v/>
      </c>
      <c r="AA47" s="74" t="str">
        <f ca="1">IF(C47="","",[1]!s_est_sales(C47,I47,TODAY(),100000000))</f>
        <v/>
      </c>
      <c r="AB47" s="74" t="str">
        <f ca="1">IF(C47="","",[1]!s_est_netprofit(C47,I47,TODAY(),100000000))</f>
        <v/>
      </c>
      <c r="AC47" s="74" t="str">
        <f ca="1">IF(C47="","",[1]!s_est_avgcps(C47,I47,TODAY()))</f>
        <v/>
      </c>
      <c r="AD47" s="74" t="str">
        <f ca="1">IF(C47="","",[1]!s_est_avgdps(C47,I47,TODAY()))</f>
        <v/>
      </c>
      <c r="AE47" s="74" t="str">
        <f ca="1">IF(C47="","",[1]!s_est_avgebit(C47,I47,TODAY(),100000000))</f>
        <v/>
      </c>
      <c r="AF47" s="74" t="str">
        <f ca="1">IF(C47="","",[1]!s_est_avgebitda(C47,I47,TODAY(),100000000))</f>
        <v/>
      </c>
      <c r="AG47" s="74" t="str">
        <f ca="1">IF(C47="","",[1]!s_est_avgbps(C47,I47,TODAY()))</f>
        <v/>
      </c>
      <c r="AH47" s="74" t="str">
        <f ca="1">IF(C47="","",[1]!s_est_avgebt(C47,I47,TODAY(),100000000))</f>
        <v/>
      </c>
      <c r="AI47" s="74" t="str">
        <f ca="1">IF(C47="","",[1]!s_est_avgroa(C47,I47,TODAY()))</f>
        <v/>
      </c>
      <c r="AJ47" s="74" t="str">
        <f ca="1">IF(C47="","",[1]!s_est_avgroe(C47,I47,TODAY()))</f>
        <v/>
      </c>
      <c r="AK47" s="74" t="str">
        <f ca="1">IF(C47="","",[1]!s_est_avgoperatingprofit(C47,I47,TODAY(),100000000))</f>
        <v/>
      </c>
      <c r="AL47" s="74" t="str">
        <f ca="1">IF(C47="","",[1]!s_est_yoynetprofit(C47,I47,TODAY()))</f>
        <v/>
      </c>
      <c r="AM47" s="74" t="str">
        <f ca="1">IF(C47="","",[1]!s_est_yoysales(C47,I47,TODAY()))</f>
        <v/>
      </c>
      <c r="AN47" s="35"/>
    </row>
    <row r="48" spans="1:40" s="36" customFormat="1" ht="16.5" x14ac:dyDescent="0.2">
      <c r="A48" s="2"/>
      <c r="B48" s="6"/>
      <c r="C48" s="28" t="str">
        <f>IF(表1[[#This Row],[列1]]="","",表1[[#This Row],[列1]])</f>
        <v/>
      </c>
      <c r="D48" s="19" t="str">
        <f>IF(C48="","",[1]!hks_info_name(C48))</f>
        <v/>
      </c>
      <c r="E48" s="18" t="str">
        <f ca="1">IF(C48="","",[1]!lastradeday_s(C48,TODAY()))</f>
        <v/>
      </c>
      <c r="F48" s="19" t="str">
        <f>IF(C48="","",IF(OR([1]!s_stm_rpt_e(C48,基本资料!$I$8,0)="#N/A",[1]!s_stm_rpt_e(C48,基本资料!$I$8,0)="",[1]!s_stm_rpt_e(C48,基本资料!$I$8,0)=0),[1]!s_stm_rpt_e(C48,基本资料!$I$9,0),[1]!s_stm_rpt_e(C48,基本资料!$I$8,0)))</f>
        <v/>
      </c>
      <c r="G48" s="18" t="str">
        <f>IF(C48="","",YEAR([1]!s_stm_rpt_e(C48,F48,0)))</f>
        <v/>
      </c>
      <c r="H48" s="18" t="str">
        <f>IF(C48="","",表1_31213141516[[#This Row],[列5]]+1)</f>
        <v/>
      </c>
      <c r="I48" s="18" t="str">
        <f>IF(C48="","",表1_31213141516[[#This Row],[列5]]+2)</f>
        <v/>
      </c>
      <c r="J48" s="18" t="str">
        <f ca="1">IF(C48="","",[1]!s_est_instnum(C48,H48,TODAY()))</f>
        <v/>
      </c>
      <c r="K48" s="74" t="str">
        <f ca="1">IF(C48="","",[1]!s_est_eps(C48,H48,TODAY()))</f>
        <v/>
      </c>
      <c r="L48" s="74" t="str">
        <f ca="1">IF(C48="","",[1]!s_est_sales(C48,H48,TODAY(),100000000))</f>
        <v/>
      </c>
      <c r="M48" s="74" t="str">
        <f ca="1">IF(C48="","",[1]!s_est_netprofit(C48,H48,TODAY(),100000000))</f>
        <v/>
      </c>
      <c r="N48" s="74" t="str">
        <f ca="1">IF(C48="","",[1]!s_est_avgcps(C48,H48,TODAY()))</f>
        <v/>
      </c>
      <c r="O48" s="74" t="str">
        <f ca="1">IF(C48="","",[1]!s_est_avgdps(C48,H48,TODAY()))</f>
        <v/>
      </c>
      <c r="P48" s="74" t="str">
        <f ca="1">IF(C48="","",[1]!s_est_avgebit(C48,H48,TODAY(),100000000))</f>
        <v/>
      </c>
      <c r="Q48" s="74" t="str">
        <f ca="1">IF(C48="","",[1]!s_est_avgebitda(C48,H48,TODAY(),100000000))</f>
        <v/>
      </c>
      <c r="R48" s="74" t="str">
        <f ca="1">IF(C48="","",[1]!s_est_avgbps(C48,H48,TODAY()))</f>
        <v/>
      </c>
      <c r="S48" s="74" t="str">
        <f ca="1">IF(C48="","",[1]!s_est_avgebt(C48,H48,TODAY(),100000000))</f>
        <v/>
      </c>
      <c r="T48" s="74" t="str">
        <f ca="1">IF(C48="","",[1]!s_est_avgroa(C48,H48,TODAY()))</f>
        <v/>
      </c>
      <c r="U48" s="74" t="str">
        <f ca="1">IF(C48="","",[1]!s_est_avgroe(C48,H48,TODAY()))</f>
        <v/>
      </c>
      <c r="V48" s="74" t="str">
        <f ca="1">IF(C48="","",[1]!s_est_avgoperatingprofit(C48,H48,TODAY(),100000000))</f>
        <v/>
      </c>
      <c r="W48" s="74" t="str">
        <f ca="1">IF(C48="","",[1]!s_est_yoynetprofit(C48,H48,TODAY()))</f>
        <v/>
      </c>
      <c r="X48" s="74" t="str">
        <f ca="1">IF(C48="","",[1]!s_est_yoysales(C48,H48,TODAY()))</f>
        <v/>
      </c>
      <c r="Y48" s="74" t="str">
        <f ca="1">IF(C48="","",[1]!s_est_instnum(C48,I48,TODAY()))</f>
        <v/>
      </c>
      <c r="Z48" s="74" t="str">
        <f ca="1">IF(C48="","",[1]!s_est_eps(C48,I48,TODAY()))</f>
        <v/>
      </c>
      <c r="AA48" s="74" t="str">
        <f ca="1">IF(C48="","",[1]!s_est_sales(C48,I48,TODAY(),100000000))</f>
        <v/>
      </c>
      <c r="AB48" s="74" t="str">
        <f ca="1">IF(C48="","",[1]!s_est_netprofit(C48,I48,TODAY(),100000000))</f>
        <v/>
      </c>
      <c r="AC48" s="74" t="str">
        <f ca="1">IF(C48="","",[1]!s_est_avgcps(C48,I48,TODAY()))</f>
        <v/>
      </c>
      <c r="AD48" s="74" t="str">
        <f ca="1">IF(C48="","",[1]!s_est_avgdps(C48,I48,TODAY()))</f>
        <v/>
      </c>
      <c r="AE48" s="74" t="str">
        <f ca="1">IF(C48="","",[1]!s_est_avgebit(C48,I48,TODAY(),100000000))</f>
        <v/>
      </c>
      <c r="AF48" s="74" t="str">
        <f ca="1">IF(C48="","",[1]!s_est_avgebitda(C48,I48,TODAY(),100000000))</f>
        <v/>
      </c>
      <c r="AG48" s="74" t="str">
        <f ca="1">IF(C48="","",[1]!s_est_avgbps(C48,I48,TODAY()))</f>
        <v/>
      </c>
      <c r="AH48" s="74" t="str">
        <f ca="1">IF(C48="","",[1]!s_est_avgebt(C48,I48,TODAY(),100000000))</f>
        <v/>
      </c>
      <c r="AI48" s="74" t="str">
        <f ca="1">IF(C48="","",[1]!s_est_avgroa(C48,I48,TODAY()))</f>
        <v/>
      </c>
      <c r="AJ48" s="74" t="str">
        <f ca="1">IF(C48="","",[1]!s_est_avgroe(C48,I48,TODAY()))</f>
        <v/>
      </c>
      <c r="AK48" s="74" t="str">
        <f ca="1">IF(C48="","",[1]!s_est_avgoperatingprofit(C48,I48,TODAY(),100000000))</f>
        <v/>
      </c>
      <c r="AL48" s="74" t="str">
        <f ca="1">IF(C48="","",[1]!s_est_yoynetprofit(C48,I48,TODAY()))</f>
        <v/>
      </c>
      <c r="AM48" s="74" t="str">
        <f ca="1">IF(C48="","",[1]!s_est_yoysales(C48,I48,TODAY()))</f>
        <v/>
      </c>
      <c r="AN48" s="35"/>
    </row>
    <row r="49" spans="1:40" s="36" customFormat="1" ht="16.5" x14ac:dyDescent="0.2">
      <c r="A49" s="2"/>
      <c r="B49" s="6"/>
      <c r="C49" s="28" t="str">
        <f>IF(表1[[#This Row],[列1]]="","",表1[[#This Row],[列1]])</f>
        <v/>
      </c>
      <c r="D49" s="19" t="str">
        <f>IF(C49="","",[1]!hks_info_name(C49))</f>
        <v/>
      </c>
      <c r="E49" s="18" t="str">
        <f ca="1">IF(C49="","",[1]!lastradeday_s(C49,TODAY()))</f>
        <v/>
      </c>
      <c r="F49" s="19" t="str">
        <f>IF(C49="","",IF(OR([1]!s_stm_rpt_e(C49,基本资料!$I$8,0)="#N/A",[1]!s_stm_rpt_e(C49,基本资料!$I$8,0)="",[1]!s_stm_rpt_e(C49,基本资料!$I$8,0)=0),[1]!s_stm_rpt_e(C49,基本资料!$I$9,0),[1]!s_stm_rpt_e(C49,基本资料!$I$8,0)))</f>
        <v/>
      </c>
      <c r="G49" s="18" t="str">
        <f>IF(C49="","",YEAR([1]!s_stm_rpt_e(C49,F49,0)))</f>
        <v/>
      </c>
      <c r="H49" s="18" t="str">
        <f>IF(C49="","",表1_31213141516[[#This Row],[列5]]+1)</f>
        <v/>
      </c>
      <c r="I49" s="18" t="str">
        <f>IF(C49="","",表1_31213141516[[#This Row],[列5]]+2)</f>
        <v/>
      </c>
      <c r="J49" s="18" t="str">
        <f ca="1">IF(C49="","",[1]!s_est_instnum(C49,H49,TODAY()))</f>
        <v/>
      </c>
      <c r="K49" s="74" t="str">
        <f ca="1">IF(C49="","",[1]!s_est_eps(C49,H49,TODAY()))</f>
        <v/>
      </c>
      <c r="L49" s="74" t="str">
        <f ca="1">IF(C49="","",[1]!s_est_sales(C49,H49,TODAY(),100000000))</f>
        <v/>
      </c>
      <c r="M49" s="74" t="str">
        <f ca="1">IF(C49="","",[1]!s_est_netprofit(C49,H49,TODAY(),100000000))</f>
        <v/>
      </c>
      <c r="N49" s="74" t="str">
        <f ca="1">IF(C49="","",[1]!s_est_avgcps(C49,H49,TODAY()))</f>
        <v/>
      </c>
      <c r="O49" s="74" t="str">
        <f ca="1">IF(C49="","",[1]!s_est_avgdps(C49,H49,TODAY()))</f>
        <v/>
      </c>
      <c r="P49" s="74" t="str">
        <f ca="1">IF(C49="","",[1]!s_est_avgebit(C49,H49,TODAY(),100000000))</f>
        <v/>
      </c>
      <c r="Q49" s="74" t="str">
        <f ca="1">IF(C49="","",[1]!s_est_avgebitda(C49,H49,TODAY(),100000000))</f>
        <v/>
      </c>
      <c r="R49" s="74" t="str">
        <f ca="1">IF(C49="","",[1]!s_est_avgbps(C49,H49,TODAY()))</f>
        <v/>
      </c>
      <c r="S49" s="74" t="str">
        <f ca="1">IF(C49="","",[1]!s_est_avgebt(C49,H49,TODAY(),100000000))</f>
        <v/>
      </c>
      <c r="T49" s="74" t="str">
        <f ca="1">IF(C49="","",[1]!s_est_avgroa(C49,H49,TODAY()))</f>
        <v/>
      </c>
      <c r="U49" s="74" t="str">
        <f ca="1">IF(C49="","",[1]!s_est_avgroe(C49,H49,TODAY()))</f>
        <v/>
      </c>
      <c r="V49" s="74" t="str">
        <f ca="1">IF(C49="","",[1]!s_est_avgoperatingprofit(C49,H49,TODAY(),100000000))</f>
        <v/>
      </c>
      <c r="W49" s="74" t="str">
        <f ca="1">IF(C49="","",[1]!s_est_yoynetprofit(C49,H49,TODAY()))</f>
        <v/>
      </c>
      <c r="X49" s="74" t="str">
        <f ca="1">IF(C49="","",[1]!s_est_yoysales(C49,H49,TODAY()))</f>
        <v/>
      </c>
      <c r="Y49" s="74" t="str">
        <f ca="1">IF(C49="","",[1]!s_est_instnum(C49,I49,TODAY()))</f>
        <v/>
      </c>
      <c r="Z49" s="74" t="str">
        <f ca="1">IF(C49="","",[1]!s_est_eps(C49,I49,TODAY()))</f>
        <v/>
      </c>
      <c r="AA49" s="74" t="str">
        <f ca="1">IF(C49="","",[1]!s_est_sales(C49,I49,TODAY(),100000000))</f>
        <v/>
      </c>
      <c r="AB49" s="74" t="str">
        <f ca="1">IF(C49="","",[1]!s_est_netprofit(C49,I49,TODAY(),100000000))</f>
        <v/>
      </c>
      <c r="AC49" s="74" t="str">
        <f ca="1">IF(C49="","",[1]!s_est_avgcps(C49,I49,TODAY()))</f>
        <v/>
      </c>
      <c r="AD49" s="74" t="str">
        <f ca="1">IF(C49="","",[1]!s_est_avgdps(C49,I49,TODAY()))</f>
        <v/>
      </c>
      <c r="AE49" s="74" t="str">
        <f ca="1">IF(C49="","",[1]!s_est_avgebit(C49,I49,TODAY(),100000000))</f>
        <v/>
      </c>
      <c r="AF49" s="74" t="str">
        <f ca="1">IF(C49="","",[1]!s_est_avgebitda(C49,I49,TODAY(),100000000))</f>
        <v/>
      </c>
      <c r="AG49" s="74" t="str">
        <f ca="1">IF(C49="","",[1]!s_est_avgbps(C49,I49,TODAY()))</f>
        <v/>
      </c>
      <c r="AH49" s="74" t="str">
        <f ca="1">IF(C49="","",[1]!s_est_avgebt(C49,I49,TODAY(),100000000))</f>
        <v/>
      </c>
      <c r="AI49" s="74" t="str">
        <f ca="1">IF(C49="","",[1]!s_est_avgroa(C49,I49,TODAY()))</f>
        <v/>
      </c>
      <c r="AJ49" s="74" t="str">
        <f ca="1">IF(C49="","",[1]!s_est_avgroe(C49,I49,TODAY()))</f>
        <v/>
      </c>
      <c r="AK49" s="74" t="str">
        <f ca="1">IF(C49="","",[1]!s_est_avgoperatingprofit(C49,I49,TODAY(),100000000))</f>
        <v/>
      </c>
      <c r="AL49" s="74" t="str">
        <f ca="1">IF(C49="","",[1]!s_est_yoynetprofit(C49,I49,TODAY()))</f>
        <v/>
      </c>
      <c r="AM49" s="74" t="str">
        <f ca="1">IF(C49="","",[1]!s_est_yoysales(C49,I49,TODAY()))</f>
        <v/>
      </c>
      <c r="AN49" s="35"/>
    </row>
    <row r="50" spans="1:40" s="36" customFormat="1" ht="16.5" x14ac:dyDescent="0.2">
      <c r="A50" s="2"/>
      <c r="B50" s="6"/>
      <c r="C50" s="28" t="str">
        <f>IF(表1[[#This Row],[列1]]="","",表1[[#This Row],[列1]])</f>
        <v/>
      </c>
      <c r="D50" s="19" t="str">
        <f>IF(C50="","",[1]!hks_info_name(C50))</f>
        <v/>
      </c>
      <c r="E50" s="18" t="str">
        <f ca="1">IF(C50="","",[1]!lastradeday_s(C50,TODAY()))</f>
        <v/>
      </c>
      <c r="F50" s="19" t="str">
        <f>IF(C50="","",IF(OR([1]!s_stm_rpt_e(C50,基本资料!$I$8,0)="#N/A",[1]!s_stm_rpt_e(C50,基本资料!$I$8,0)="",[1]!s_stm_rpt_e(C50,基本资料!$I$8,0)=0),[1]!s_stm_rpt_e(C50,基本资料!$I$9,0),[1]!s_stm_rpt_e(C50,基本资料!$I$8,0)))</f>
        <v/>
      </c>
      <c r="G50" s="18" t="str">
        <f>IF(C50="","",YEAR([1]!s_stm_rpt_e(C50,F50,0)))</f>
        <v/>
      </c>
      <c r="H50" s="18" t="str">
        <f>IF(C50="","",表1_31213141516[[#This Row],[列5]]+1)</f>
        <v/>
      </c>
      <c r="I50" s="18" t="str">
        <f>IF(C50="","",表1_31213141516[[#This Row],[列5]]+2)</f>
        <v/>
      </c>
      <c r="J50" s="18" t="str">
        <f ca="1">IF(C50="","",[1]!s_est_instnum(C50,H50,TODAY()))</f>
        <v/>
      </c>
      <c r="K50" s="74" t="str">
        <f ca="1">IF(C50="","",[1]!s_est_eps(C50,H50,TODAY()))</f>
        <v/>
      </c>
      <c r="L50" s="74" t="str">
        <f ca="1">IF(C50="","",[1]!s_est_sales(C50,H50,TODAY(),100000000))</f>
        <v/>
      </c>
      <c r="M50" s="74" t="str">
        <f ca="1">IF(C50="","",[1]!s_est_netprofit(C50,H50,TODAY(),100000000))</f>
        <v/>
      </c>
      <c r="N50" s="74" t="str">
        <f ca="1">IF(C50="","",[1]!s_est_avgcps(C50,H50,TODAY()))</f>
        <v/>
      </c>
      <c r="O50" s="74" t="str">
        <f ca="1">IF(C50="","",[1]!s_est_avgdps(C50,H50,TODAY()))</f>
        <v/>
      </c>
      <c r="P50" s="74" t="str">
        <f ca="1">IF(C50="","",[1]!s_est_avgebit(C50,H50,TODAY(),100000000))</f>
        <v/>
      </c>
      <c r="Q50" s="74" t="str">
        <f ca="1">IF(C50="","",[1]!s_est_avgebitda(C50,H50,TODAY(),100000000))</f>
        <v/>
      </c>
      <c r="R50" s="74" t="str">
        <f ca="1">IF(C50="","",[1]!s_est_avgbps(C50,H50,TODAY()))</f>
        <v/>
      </c>
      <c r="S50" s="74" t="str">
        <f ca="1">IF(C50="","",[1]!s_est_avgebt(C50,H50,TODAY(),100000000))</f>
        <v/>
      </c>
      <c r="T50" s="74" t="str">
        <f ca="1">IF(C50="","",[1]!s_est_avgroa(C50,H50,TODAY()))</f>
        <v/>
      </c>
      <c r="U50" s="74" t="str">
        <f ca="1">IF(C50="","",[1]!s_est_avgroe(C50,H50,TODAY()))</f>
        <v/>
      </c>
      <c r="V50" s="74" t="str">
        <f ca="1">IF(C50="","",[1]!s_est_avgoperatingprofit(C50,H50,TODAY(),100000000))</f>
        <v/>
      </c>
      <c r="W50" s="74" t="str">
        <f ca="1">IF(C50="","",[1]!s_est_yoynetprofit(C50,H50,TODAY()))</f>
        <v/>
      </c>
      <c r="X50" s="74" t="str">
        <f ca="1">IF(C50="","",[1]!s_est_yoysales(C50,H50,TODAY()))</f>
        <v/>
      </c>
      <c r="Y50" s="74" t="str">
        <f ca="1">IF(C50="","",[1]!s_est_instnum(C50,I50,TODAY()))</f>
        <v/>
      </c>
      <c r="Z50" s="74" t="str">
        <f ca="1">IF(C50="","",[1]!s_est_eps(C50,I50,TODAY()))</f>
        <v/>
      </c>
      <c r="AA50" s="74" t="str">
        <f ca="1">IF(C50="","",[1]!s_est_sales(C50,I50,TODAY(),100000000))</f>
        <v/>
      </c>
      <c r="AB50" s="74" t="str">
        <f ca="1">IF(C50="","",[1]!s_est_netprofit(C50,I50,TODAY(),100000000))</f>
        <v/>
      </c>
      <c r="AC50" s="74" t="str">
        <f ca="1">IF(C50="","",[1]!s_est_avgcps(C50,I50,TODAY()))</f>
        <v/>
      </c>
      <c r="AD50" s="74" t="str">
        <f ca="1">IF(C50="","",[1]!s_est_avgdps(C50,I50,TODAY()))</f>
        <v/>
      </c>
      <c r="AE50" s="74" t="str">
        <f ca="1">IF(C50="","",[1]!s_est_avgebit(C50,I50,TODAY(),100000000))</f>
        <v/>
      </c>
      <c r="AF50" s="74" t="str">
        <f ca="1">IF(C50="","",[1]!s_est_avgebitda(C50,I50,TODAY(),100000000))</f>
        <v/>
      </c>
      <c r="AG50" s="74" t="str">
        <f ca="1">IF(C50="","",[1]!s_est_avgbps(C50,I50,TODAY()))</f>
        <v/>
      </c>
      <c r="AH50" s="74" t="str">
        <f ca="1">IF(C50="","",[1]!s_est_avgebt(C50,I50,TODAY(),100000000))</f>
        <v/>
      </c>
      <c r="AI50" s="74" t="str">
        <f ca="1">IF(C50="","",[1]!s_est_avgroa(C50,I50,TODAY()))</f>
        <v/>
      </c>
      <c r="AJ50" s="74" t="str">
        <f ca="1">IF(C50="","",[1]!s_est_avgroe(C50,I50,TODAY()))</f>
        <v/>
      </c>
      <c r="AK50" s="74" t="str">
        <f ca="1">IF(C50="","",[1]!s_est_avgoperatingprofit(C50,I50,TODAY(),100000000))</f>
        <v/>
      </c>
      <c r="AL50" s="74" t="str">
        <f ca="1">IF(C50="","",[1]!s_est_yoynetprofit(C50,I50,TODAY()))</f>
        <v/>
      </c>
      <c r="AM50" s="74" t="str">
        <f ca="1">IF(C50="","",[1]!s_est_yoysales(C50,I50,TODAY()))</f>
        <v/>
      </c>
      <c r="AN50" s="35"/>
    </row>
    <row r="51" spans="1:40" s="36" customFormat="1" ht="16.5" x14ac:dyDescent="0.2">
      <c r="A51" s="2"/>
      <c r="B51" s="6"/>
      <c r="C51" s="28" t="str">
        <f>IF(表1[[#This Row],[列1]]="","",表1[[#This Row],[列1]])</f>
        <v/>
      </c>
      <c r="D51" s="19" t="str">
        <f>IF(C51="","",[1]!hks_info_name(C51))</f>
        <v/>
      </c>
      <c r="E51" s="18" t="str">
        <f ca="1">IF(C51="","",[1]!lastradeday_s(C51,TODAY()))</f>
        <v/>
      </c>
      <c r="F51" s="19" t="str">
        <f>IF(C51="","",IF(OR([1]!s_stm_rpt_e(C51,基本资料!$I$8,0)="#N/A",[1]!s_stm_rpt_e(C51,基本资料!$I$8,0)="",[1]!s_stm_rpt_e(C51,基本资料!$I$8,0)=0),[1]!s_stm_rpt_e(C51,基本资料!$I$9,0),[1]!s_stm_rpt_e(C51,基本资料!$I$8,0)))</f>
        <v/>
      </c>
      <c r="G51" s="18" t="str">
        <f>IF(C51="","",YEAR([1]!s_stm_rpt_e(C51,F51,0)))</f>
        <v/>
      </c>
      <c r="H51" s="18" t="str">
        <f>IF(C51="","",表1_31213141516[[#This Row],[列5]]+1)</f>
        <v/>
      </c>
      <c r="I51" s="18" t="str">
        <f>IF(C51="","",表1_31213141516[[#This Row],[列5]]+2)</f>
        <v/>
      </c>
      <c r="J51" s="18" t="str">
        <f ca="1">IF(C51="","",[1]!s_est_instnum(C51,H51,TODAY()))</f>
        <v/>
      </c>
      <c r="K51" s="74" t="str">
        <f ca="1">IF(C51="","",[1]!s_est_eps(C51,H51,TODAY()))</f>
        <v/>
      </c>
      <c r="L51" s="74" t="str">
        <f ca="1">IF(C51="","",[1]!s_est_sales(C51,H51,TODAY(),100000000))</f>
        <v/>
      </c>
      <c r="M51" s="74" t="str">
        <f ca="1">IF(C51="","",[1]!s_est_netprofit(C51,H51,TODAY(),100000000))</f>
        <v/>
      </c>
      <c r="N51" s="74" t="str">
        <f ca="1">IF(C51="","",[1]!s_est_avgcps(C51,H51,TODAY()))</f>
        <v/>
      </c>
      <c r="O51" s="74" t="str">
        <f ca="1">IF(C51="","",[1]!s_est_avgdps(C51,H51,TODAY()))</f>
        <v/>
      </c>
      <c r="P51" s="74" t="str">
        <f ca="1">IF(C51="","",[1]!s_est_avgebit(C51,H51,TODAY(),100000000))</f>
        <v/>
      </c>
      <c r="Q51" s="74" t="str">
        <f ca="1">IF(C51="","",[1]!s_est_avgebitda(C51,H51,TODAY(),100000000))</f>
        <v/>
      </c>
      <c r="R51" s="74" t="str">
        <f ca="1">IF(C51="","",[1]!s_est_avgbps(C51,H51,TODAY()))</f>
        <v/>
      </c>
      <c r="S51" s="74" t="str">
        <f ca="1">IF(C51="","",[1]!s_est_avgebt(C51,H51,TODAY(),100000000))</f>
        <v/>
      </c>
      <c r="T51" s="74" t="str">
        <f ca="1">IF(C51="","",[1]!s_est_avgroa(C51,H51,TODAY()))</f>
        <v/>
      </c>
      <c r="U51" s="74" t="str">
        <f ca="1">IF(C51="","",[1]!s_est_avgroe(C51,H51,TODAY()))</f>
        <v/>
      </c>
      <c r="V51" s="74" t="str">
        <f ca="1">IF(C51="","",[1]!s_est_avgoperatingprofit(C51,H51,TODAY(),100000000))</f>
        <v/>
      </c>
      <c r="W51" s="74" t="str">
        <f ca="1">IF(C51="","",[1]!s_est_yoynetprofit(C51,H51,TODAY()))</f>
        <v/>
      </c>
      <c r="X51" s="74" t="str">
        <f ca="1">IF(C51="","",[1]!s_est_yoysales(C51,H51,TODAY()))</f>
        <v/>
      </c>
      <c r="Y51" s="74" t="str">
        <f ca="1">IF(C51="","",[1]!s_est_instnum(C51,I51,TODAY()))</f>
        <v/>
      </c>
      <c r="Z51" s="74" t="str">
        <f ca="1">IF(C51="","",[1]!s_est_eps(C51,I51,TODAY()))</f>
        <v/>
      </c>
      <c r="AA51" s="74" t="str">
        <f ca="1">IF(C51="","",[1]!s_est_sales(C51,I51,TODAY(),100000000))</f>
        <v/>
      </c>
      <c r="AB51" s="74" t="str">
        <f ca="1">IF(C51="","",[1]!s_est_netprofit(C51,I51,TODAY(),100000000))</f>
        <v/>
      </c>
      <c r="AC51" s="74" t="str">
        <f ca="1">IF(C51="","",[1]!s_est_avgcps(C51,I51,TODAY()))</f>
        <v/>
      </c>
      <c r="AD51" s="74" t="str">
        <f ca="1">IF(C51="","",[1]!s_est_avgdps(C51,I51,TODAY()))</f>
        <v/>
      </c>
      <c r="AE51" s="74" t="str">
        <f ca="1">IF(C51="","",[1]!s_est_avgebit(C51,I51,TODAY(),100000000))</f>
        <v/>
      </c>
      <c r="AF51" s="74" t="str">
        <f ca="1">IF(C51="","",[1]!s_est_avgebitda(C51,I51,TODAY(),100000000))</f>
        <v/>
      </c>
      <c r="AG51" s="74" t="str">
        <f ca="1">IF(C51="","",[1]!s_est_avgbps(C51,I51,TODAY()))</f>
        <v/>
      </c>
      <c r="AH51" s="74" t="str">
        <f ca="1">IF(C51="","",[1]!s_est_avgebt(C51,I51,TODAY(),100000000))</f>
        <v/>
      </c>
      <c r="AI51" s="74" t="str">
        <f ca="1">IF(C51="","",[1]!s_est_avgroa(C51,I51,TODAY()))</f>
        <v/>
      </c>
      <c r="AJ51" s="74" t="str">
        <f ca="1">IF(C51="","",[1]!s_est_avgroe(C51,I51,TODAY()))</f>
        <v/>
      </c>
      <c r="AK51" s="74" t="str">
        <f ca="1">IF(C51="","",[1]!s_est_avgoperatingprofit(C51,I51,TODAY(),100000000))</f>
        <v/>
      </c>
      <c r="AL51" s="74" t="str">
        <f ca="1">IF(C51="","",[1]!s_est_yoynetprofit(C51,I51,TODAY()))</f>
        <v/>
      </c>
      <c r="AM51" s="74" t="str">
        <f ca="1">IF(C51="","",[1]!s_est_yoysales(C51,I51,TODAY()))</f>
        <v/>
      </c>
      <c r="AN51" s="35"/>
    </row>
    <row r="52" spans="1:40" s="36" customFormat="1" ht="16.5" x14ac:dyDescent="0.2">
      <c r="A52" s="2"/>
      <c r="B52" s="6"/>
      <c r="C52" s="28" t="str">
        <f>IF(表1[[#This Row],[列1]]="","",表1[[#This Row],[列1]])</f>
        <v/>
      </c>
      <c r="D52" s="19" t="str">
        <f>IF(C52="","",[1]!hks_info_name(C52))</f>
        <v/>
      </c>
      <c r="E52" s="18" t="str">
        <f ca="1">IF(C52="","",[1]!lastradeday_s(C52,TODAY()))</f>
        <v/>
      </c>
      <c r="F52" s="19" t="str">
        <f>IF(C52="","",IF(OR([1]!s_stm_rpt_e(C52,基本资料!$I$8,0)="#N/A",[1]!s_stm_rpt_e(C52,基本资料!$I$8,0)="",[1]!s_stm_rpt_e(C52,基本资料!$I$8,0)=0),[1]!s_stm_rpt_e(C52,基本资料!$I$9,0),[1]!s_stm_rpt_e(C52,基本资料!$I$8,0)))</f>
        <v/>
      </c>
      <c r="G52" s="18" t="str">
        <f>IF(C52="","",YEAR([1]!s_stm_rpt_e(C52,F52,0)))</f>
        <v/>
      </c>
      <c r="H52" s="18" t="str">
        <f>IF(C52="","",表1_31213141516[[#This Row],[列5]]+1)</f>
        <v/>
      </c>
      <c r="I52" s="18" t="str">
        <f>IF(C52="","",表1_31213141516[[#This Row],[列5]]+2)</f>
        <v/>
      </c>
      <c r="J52" s="18" t="str">
        <f ca="1">IF(C52="","",[1]!s_est_instnum(C52,H52,TODAY()))</f>
        <v/>
      </c>
      <c r="K52" s="74" t="str">
        <f ca="1">IF(C52="","",[1]!s_est_eps(C52,H52,TODAY()))</f>
        <v/>
      </c>
      <c r="L52" s="74" t="str">
        <f ca="1">IF(C52="","",[1]!s_est_sales(C52,H52,TODAY(),100000000))</f>
        <v/>
      </c>
      <c r="M52" s="74" t="str">
        <f ca="1">IF(C52="","",[1]!s_est_netprofit(C52,H52,TODAY(),100000000))</f>
        <v/>
      </c>
      <c r="N52" s="74" t="str">
        <f ca="1">IF(C52="","",[1]!s_est_avgcps(C52,H52,TODAY()))</f>
        <v/>
      </c>
      <c r="O52" s="74" t="str">
        <f ca="1">IF(C52="","",[1]!s_est_avgdps(C52,H52,TODAY()))</f>
        <v/>
      </c>
      <c r="P52" s="74" t="str">
        <f ca="1">IF(C52="","",[1]!s_est_avgebit(C52,H52,TODAY(),100000000))</f>
        <v/>
      </c>
      <c r="Q52" s="74" t="str">
        <f ca="1">IF(C52="","",[1]!s_est_avgebitda(C52,H52,TODAY(),100000000))</f>
        <v/>
      </c>
      <c r="R52" s="74" t="str">
        <f ca="1">IF(C52="","",[1]!s_est_avgbps(C52,H52,TODAY()))</f>
        <v/>
      </c>
      <c r="S52" s="74" t="str">
        <f ca="1">IF(C52="","",[1]!s_est_avgebt(C52,H52,TODAY(),100000000))</f>
        <v/>
      </c>
      <c r="T52" s="74" t="str">
        <f ca="1">IF(C52="","",[1]!s_est_avgroa(C52,H52,TODAY()))</f>
        <v/>
      </c>
      <c r="U52" s="74" t="str">
        <f ca="1">IF(C52="","",[1]!s_est_avgroe(C52,H52,TODAY()))</f>
        <v/>
      </c>
      <c r="V52" s="74" t="str">
        <f ca="1">IF(C52="","",[1]!s_est_avgoperatingprofit(C52,H52,TODAY(),100000000))</f>
        <v/>
      </c>
      <c r="W52" s="74" t="str">
        <f ca="1">IF(C52="","",[1]!s_est_yoynetprofit(C52,H52,TODAY()))</f>
        <v/>
      </c>
      <c r="X52" s="74" t="str">
        <f ca="1">IF(C52="","",[1]!s_est_yoysales(C52,H52,TODAY()))</f>
        <v/>
      </c>
      <c r="Y52" s="74" t="str">
        <f ca="1">IF(C52="","",[1]!s_est_instnum(C52,I52,TODAY()))</f>
        <v/>
      </c>
      <c r="Z52" s="74" t="str">
        <f ca="1">IF(C52="","",[1]!s_est_eps(C52,I52,TODAY()))</f>
        <v/>
      </c>
      <c r="AA52" s="74" t="str">
        <f ca="1">IF(C52="","",[1]!s_est_sales(C52,I52,TODAY(),100000000))</f>
        <v/>
      </c>
      <c r="AB52" s="74" t="str">
        <f ca="1">IF(C52="","",[1]!s_est_netprofit(C52,I52,TODAY(),100000000))</f>
        <v/>
      </c>
      <c r="AC52" s="74" t="str">
        <f ca="1">IF(C52="","",[1]!s_est_avgcps(C52,I52,TODAY()))</f>
        <v/>
      </c>
      <c r="AD52" s="74" t="str">
        <f ca="1">IF(C52="","",[1]!s_est_avgdps(C52,I52,TODAY()))</f>
        <v/>
      </c>
      <c r="AE52" s="74" t="str">
        <f ca="1">IF(C52="","",[1]!s_est_avgebit(C52,I52,TODAY(),100000000))</f>
        <v/>
      </c>
      <c r="AF52" s="74" t="str">
        <f ca="1">IF(C52="","",[1]!s_est_avgebitda(C52,I52,TODAY(),100000000))</f>
        <v/>
      </c>
      <c r="AG52" s="74" t="str">
        <f ca="1">IF(C52="","",[1]!s_est_avgbps(C52,I52,TODAY()))</f>
        <v/>
      </c>
      <c r="AH52" s="74" t="str">
        <f ca="1">IF(C52="","",[1]!s_est_avgebt(C52,I52,TODAY(),100000000))</f>
        <v/>
      </c>
      <c r="AI52" s="74" t="str">
        <f ca="1">IF(C52="","",[1]!s_est_avgroa(C52,I52,TODAY()))</f>
        <v/>
      </c>
      <c r="AJ52" s="74" t="str">
        <f ca="1">IF(C52="","",[1]!s_est_avgroe(C52,I52,TODAY()))</f>
        <v/>
      </c>
      <c r="AK52" s="74" t="str">
        <f ca="1">IF(C52="","",[1]!s_est_avgoperatingprofit(C52,I52,TODAY(),100000000))</f>
        <v/>
      </c>
      <c r="AL52" s="74" t="str">
        <f ca="1">IF(C52="","",[1]!s_est_yoynetprofit(C52,I52,TODAY()))</f>
        <v/>
      </c>
      <c r="AM52" s="74" t="str">
        <f ca="1">IF(C52="","",[1]!s_est_yoysales(C52,I52,TODAY()))</f>
        <v/>
      </c>
      <c r="AN52" s="35"/>
    </row>
    <row r="53" spans="1:40" s="36" customFormat="1" ht="16.5" x14ac:dyDescent="0.2">
      <c r="A53" s="2"/>
      <c r="B53" s="6"/>
      <c r="C53" s="28" t="str">
        <f>IF(表1[[#This Row],[列1]]="","",表1[[#This Row],[列1]])</f>
        <v/>
      </c>
      <c r="D53" s="19" t="str">
        <f>IF(C53="","",[1]!hks_info_name(C53))</f>
        <v/>
      </c>
      <c r="E53" s="18" t="str">
        <f ca="1">IF(C53="","",[1]!lastradeday_s(C53,TODAY()))</f>
        <v/>
      </c>
      <c r="F53" s="19" t="str">
        <f>IF(C53="","",IF(OR([1]!s_stm_rpt_e(C53,基本资料!$I$8,0)="#N/A",[1]!s_stm_rpt_e(C53,基本资料!$I$8,0)="",[1]!s_stm_rpt_e(C53,基本资料!$I$8,0)=0),[1]!s_stm_rpt_e(C53,基本资料!$I$9,0),[1]!s_stm_rpt_e(C53,基本资料!$I$8,0)))</f>
        <v/>
      </c>
      <c r="G53" s="18" t="str">
        <f>IF(C53="","",YEAR([1]!s_stm_rpt_e(C53,F53,0)))</f>
        <v/>
      </c>
      <c r="H53" s="18" t="str">
        <f>IF(C53="","",表1_31213141516[[#This Row],[列5]]+1)</f>
        <v/>
      </c>
      <c r="I53" s="18" t="str">
        <f>IF(C53="","",表1_31213141516[[#This Row],[列5]]+2)</f>
        <v/>
      </c>
      <c r="J53" s="18" t="str">
        <f ca="1">IF(C53="","",[1]!s_est_instnum(C53,H53,TODAY()))</f>
        <v/>
      </c>
      <c r="K53" s="74" t="str">
        <f ca="1">IF(C53="","",[1]!s_est_eps(C53,H53,TODAY()))</f>
        <v/>
      </c>
      <c r="L53" s="74" t="str">
        <f ca="1">IF(C53="","",[1]!s_est_sales(C53,H53,TODAY(),100000000))</f>
        <v/>
      </c>
      <c r="M53" s="74" t="str">
        <f ca="1">IF(C53="","",[1]!s_est_netprofit(C53,H53,TODAY(),100000000))</f>
        <v/>
      </c>
      <c r="N53" s="74" t="str">
        <f ca="1">IF(C53="","",[1]!s_est_avgcps(C53,H53,TODAY()))</f>
        <v/>
      </c>
      <c r="O53" s="74" t="str">
        <f ca="1">IF(C53="","",[1]!s_est_avgdps(C53,H53,TODAY()))</f>
        <v/>
      </c>
      <c r="P53" s="74" t="str">
        <f ca="1">IF(C53="","",[1]!s_est_avgebit(C53,H53,TODAY(),100000000))</f>
        <v/>
      </c>
      <c r="Q53" s="74" t="str">
        <f ca="1">IF(C53="","",[1]!s_est_avgebitda(C53,H53,TODAY(),100000000))</f>
        <v/>
      </c>
      <c r="R53" s="74" t="str">
        <f ca="1">IF(C53="","",[1]!s_est_avgbps(C53,H53,TODAY()))</f>
        <v/>
      </c>
      <c r="S53" s="74" t="str">
        <f ca="1">IF(C53="","",[1]!s_est_avgebt(C53,H53,TODAY(),100000000))</f>
        <v/>
      </c>
      <c r="T53" s="74" t="str">
        <f ca="1">IF(C53="","",[1]!s_est_avgroa(C53,H53,TODAY()))</f>
        <v/>
      </c>
      <c r="U53" s="74" t="str">
        <f ca="1">IF(C53="","",[1]!s_est_avgroe(C53,H53,TODAY()))</f>
        <v/>
      </c>
      <c r="V53" s="74" t="str">
        <f ca="1">IF(C53="","",[1]!s_est_avgoperatingprofit(C53,H53,TODAY(),100000000))</f>
        <v/>
      </c>
      <c r="W53" s="74" t="str">
        <f ca="1">IF(C53="","",[1]!s_est_yoynetprofit(C53,H53,TODAY()))</f>
        <v/>
      </c>
      <c r="X53" s="74" t="str">
        <f ca="1">IF(C53="","",[1]!s_est_yoysales(C53,H53,TODAY()))</f>
        <v/>
      </c>
      <c r="Y53" s="74" t="str">
        <f ca="1">IF(C53="","",[1]!s_est_instnum(C53,I53,TODAY()))</f>
        <v/>
      </c>
      <c r="Z53" s="74" t="str">
        <f ca="1">IF(C53="","",[1]!s_est_eps(C53,I53,TODAY()))</f>
        <v/>
      </c>
      <c r="AA53" s="74" t="str">
        <f ca="1">IF(C53="","",[1]!s_est_sales(C53,I53,TODAY(),100000000))</f>
        <v/>
      </c>
      <c r="AB53" s="74" t="str">
        <f ca="1">IF(C53="","",[1]!s_est_netprofit(C53,I53,TODAY(),100000000))</f>
        <v/>
      </c>
      <c r="AC53" s="74" t="str">
        <f ca="1">IF(C53="","",[1]!s_est_avgcps(C53,I53,TODAY()))</f>
        <v/>
      </c>
      <c r="AD53" s="74" t="str">
        <f ca="1">IF(C53="","",[1]!s_est_avgdps(C53,I53,TODAY()))</f>
        <v/>
      </c>
      <c r="AE53" s="74" t="str">
        <f ca="1">IF(C53="","",[1]!s_est_avgebit(C53,I53,TODAY(),100000000))</f>
        <v/>
      </c>
      <c r="AF53" s="74" t="str">
        <f ca="1">IF(C53="","",[1]!s_est_avgebitda(C53,I53,TODAY(),100000000))</f>
        <v/>
      </c>
      <c r="AG53" s="74" t="str">
        <f ca="1">IF(C53="","",[1]!s_est_avgbps(C53,I53,TODAY()))</f>
        <v/>
      </c>
      <c r="AH53" s="74" t="str">
        <f ca="1">IF(C53="","",[1]!s_est_avgebt(C53,I53,TODAY(),100000000))</f>
        <v/>
      </c>
      <c r="AI53" s="74" t="str">
        <f ca="1">IF(C53="","",[1]!s_est_avgroa(C53,I53,TODAY()))</f>
        <v/>
      </c>
      <c r="AJ53" s="74" t="str">
        <f ca="1">IF(C53="","",[1]!s_est_avgroe(C53,I53,TODAY()))</f>
        <v/>
      </c>
      <c r="AK53" s="74" t="str">
        <f ca="1">IF(C53="","",[1]!s_est_avgoperatingprofit(C53,I53,TODAY(),100000000))</f>
        <v/>
      </c>
      <c r="AL53" s="74" t="str">
        <f ca="1">IF(C53="","",[1]!s_est_yoynetprofit(C53,I53,TODAY()))</f>
        <v/>
      </c>
      <c r="AM53" s="74" t="str">
        <f ca="1">IF(C53="","",[1]!s_est_yoysales(C53,I53,TODAY()))</f>
        <v/>
      </c>
      <c r="AN53" s="35"/>
    </row>
    <row r="54" spans="1:40" s="36" customFormat="1" ht="16.5" x14ac:dyDescent="0.2">
      <c r="A54" s="2"/>
      <c r="B54" s="6"/>
      <c r="C54" s="28" t="str">
        <f>IF(表1[[#This Row],[列1]]="","",表1[[#This Row],[列1]])</f>
        <v/>
      </c>
      <c r="D54" s="19" t="str">
        <f>IF(C54="","",[1]!hks_info_name(C54))</f>
        <v/>
      </c>
      <c r="E54" s="18" t="str">
        <f ca="1">IF(C54="","",[1]!lastradeday_s(C54,TODAY()))</f>
        <v/>
      </c>
      <c r="F54" s="19" t="str">
        <f>IF(C54="","",IF(OR([1]!s_stm_rpt_e(C54,基本资料!$I$8,0)="#N/A",[1]!s_stm_rpt_e(C54,基本资料!$I$8,0)="",[1]!s_stm_rpt_e(C54,基本资料!$I$8,0)=0),[1]!s_stm_rpt_e(C54,基本资料!$I$9,0),[1]!s_stm_rpt_e(C54,基本资料!$I$8,0)))</f>
        <v/>
      </c>
      <c r="G54" s="18" t="str">
        <f>IF(C54="","",YEAR([1]!s_stm_rpt_e(C54,F54,0)))</f>
        <v/>
      </c>
      <c r="H54" s="18" t="str">
        <f>IF(C54="","",表1_31213141516[[#This Row],[列5]]+1)</f>
        <v/>
      </c>
      <c r="I54" s="18" t="str">
        <f>IF(C54="","",表1_31213141516[[#This Row],[列5]]+2)</f>
        <v/>
      </c>
      <c r="J54" s="18" t="str">
        <f ca="1">IF(C54="","",[1]!s_est_instnum(C54,H54,TODAY()))</f>
        <v/>
      </c>
      <c r="K54" s="74" t="str">
        <f ca="1">IF(C54="","",[1]!s_est_eps(C54,H54,TODAY()))</f>
        <v/>
      </c>
      <c r="L54" s="74" t="str">
        <f ca="1">IF(C54="","",[1]!s_est_sales(C54,H54,TODAY(),100000000))</f>
        <v/>
      </c>
      <c r="M54" s="74" t="str">
        <f ca="1">IF(C54="","",[1]!s_est_netprofit(C54,H54,TODAY(),100000000))</f>
        <v/>
      </c>
      <c r="N54" s="74" t="str">
        <f ca="1">IF(C54="","",[1]!s_est_avgcps(C54,H54,TODAY()))</f>
        <v/>
      </c>
      <c r="O54" s="74" t="str">
        <f ca="1">IF(C54="","",[1]!s_est_avgdps(C54,H54,TODAY()))</f>
        <v/>
      </c>
      <c r="P54" s="74" t="str">
        <f ca="1">IF(C54="","",[1]!s_est_avgebit(C54,H54,TODAY(),100000000))</f>
        <v/>
      </c>
      <c r="Q54" s="74" t="str">
        <f ca="1">IF(C54="","",[1]!s_est_avgebitda(C54,H54,TODAY(),100000000))</f>
        <v/>
      </c>
      <c r="R54" s="74" t="str">
        <f ca="1">IF(C54="","",[1]!s_est_avgbps(C54,H54,TODAY()))</f>
        <v/>
      </c>
      <c r="S54" s="74" t="str">
        <f ca="1">IF(C54="","",[1]!s_est_avgebt(C54,H54,TODAY(),100000000))</f>
        <v/>
      </c>
      <c r="T54" s="74" t="str">
        <f ca="1">IF(C54="","",[1]!s_est_avgroa(C54,H54,TODAY()))</f>
        <v/>
      </c>
      <c r="U54" s="74" t="str">
        <f ca="1">IF(C54="","",[1]!s_est_avgroe(C54,H54,TODAY()))</f>
        <v/>
      </c>
      <c r="V54" s="74" t="str">
        <f ca="1">IF(C54="","",[1]!s_est_avgoperatingprofit(C54,H54,TODAY(),100000000))</f>
        <v/>
      </c>
      <c r="W54" s="74" t="str">
        <f ca="1">IF(C54="","",[1]!s_est_yoynetprofit(C54,H54,TODAY()))</f>
        <v/>
      </c>
      <c r="X54" s="74" t="str">
        <f ca="1">IF(C54="","",[1]!s_est_yoysales(C54,H54,TODAY()))</f>
        <v/>
      </c>
      <c r="Y54" s="74" t="str">
        <f ca="1">IF(C54="","",[1]!s_est_instnum(C54,I54,TODAY()))</f>
        <v/>
      </c>
      <c r="Z54" s="74" t="str">
        <f ca="1">IF(C54="","",[1]!s_est_eps(C54,I54,TODAY()))</f>
        <v/>
      </c>
      <c r="AA54" s="74" t="str">
        <f ca="1">IF(C54="","",[1]!s_est_sales(C54,I54,TODAY(),100000000))</f>
        <v/>
      </c>
      <c r="AB54" s="74" t="str">
        <f ca="1">IF(C54="","",[1]!s_est_netprofit(C54,I54,TODAY(),100000000))</f>
        <v/>
      </c>
      <c r="AC54" s="74" t="str">
        <f ca="1">IF(C54="","",[1]!s_est_avgcps(C54,I54,TODAY()))</f>
        <v/>
      </c>
      <c r="AD54" s="74" t="str">
        <f ca="1">IF(C54="","",[1]!s_est_avgdps(C54,I54,TODAY()))</f>
        <v/>
      </c>
      <c r="AE54" s="74" t="str">
        <f ca="1">IF(C54="","",[1]!s_est_avgebit(C54,I54,TODAY(),100000000))</f>
        <v/>
      </c>
      <c r="AF54" s="74" t="str">
        <f ca="1">IF(C54="","",[1]!s_est_avgebitda(C54,I54,TODAY(),100000000))</f>
        <v/>
      </c>
      <c r="AG54" s="74" t="str">
        <f ca="1">IF(C54="","",[1]!s_est_avgbps(C54,I54,TODAY()))</f>
        <v/>
      </c>
      <c r="AH54" s="74" t="str">
        <f ca="1">IF(C54="","",[1]!s_est_avgebt(C54,I54,TODAY(),100000000))</f>
        <v/>
      </c>
      <c r="AI54" s="74" t="str">
        <f ca="1">IF(C54="","",[1]!s_est_avgroa(C54,I54,TODAY()))</f>
        <v/>
      </c>
      <c r="AJ54" s="74" t="str">
        <f ca="1">IF(C54="","",[1]!s_est_avgroe(C54,I54,TODAY()))</f>
        <v/>
      </c>
      <c r="AK54" s="74" t="str">
        <f ca="1">IF(C54="","",[1]!s_est_avgoperatingprofit(C54,I54,TODAY(),100000000))</f>
        <v/>
      </c>
      <c r="AL54" s="74" t="str">
        <f ca="1">IF(C54="","",[1]!s_est_yoynetprofit(C54,I54,TODAY()))</f>
        <v/>
      </c>
      <c r="AM54" s="74" t="str">
        <f ca="1">IF(C54="","",[1]!s_est_yoysales(C54,I54,TODAY()))</f>
        <v/>
      </c>
      <c r="AN54" s="35"/>
    </row>
    <row r="55" spans="1:40" s="36" customFormat="1" ht="16.5" x14ac:dyDescent="0.2">
      <c r="A55" s="2"/>
      <c r="B55" s="6"/>
      <c r="C55" s="28" t="str">
        <f>IF(表1[[#This Row],[列1]]="","",表1[[#This Row],[列1]])</f>
        <v/>
      </c>
      <c r="D55" s="19" t="str">
        <f>IF(C55="","",[1]!hks_info_name(C55))</f>
        <v/>
      </c>
      <c r="E55" s="18" t="str">
        <f ca="1">IF(C55="","",[1]!lastradeday_s(C55,TODAY()))</f>
        <v/>
      </c>
      <c r="F55" s="19" t="str">
        <f>IF(C55="","",IF(OR([1]!s_stm_rpt_e(C55,基本资料!$I$8,0)="#N/A",[1]!s_stm_rpt_e(C55,基本资料!$I$8,0)="",[1]!s_stm_rpt_e(C55,基本资料!$I$8,0)=0),[1]!s_stm_rpt_e(C55,基本资料!$I$9,0),[1]!s_stm_rpt_e(C55,基本资料!$I$8,0)))</f>
        <v/>
      </c>
      <c r="G55" s="18" t="str">
        <f>IF(C55="","",YEAR([1]!s_stm_rpt_e(C55,F55,0)))</f>
        <v/>
      </c>
      <c r="H55" s="18" t="str">
        <f>IF(C55="","",表1_31213141516[[#This Row],[列5]]+1)</f>
        <v/>
      </c>
      <c r="I55" s="18" t="str">
        <f>IF(C55="","",表1_31213141516[[#This Row],[列5]]+2)</f>
        <v/>
      </c>
      <c r="J55" s="18" t="str">
        <f ca="1">IF(C55="","",[1]!s_est_instnum(C55,H55,TODAY()))</f>
        <v/>
      </c>
      <c r="K55" s="74" t="str">
        <f ca="1">IF(C55="","",[1]!s_est_eps(C55,H55,TODAY()))</f>
        <v/>
      </c>
      <c r="L55" s="74" t="str">
        <f ca="1">IF(C55="","",[1]!s_est_sales(C55,H55,TODAY(),100000000))</f>
        <v/>
      </c>
      <c r="M55" s="74" t="str">
        <f ca="1">IF(C55="","",[1]!s_est_netprofit(C55,H55,TODAY(),100000000))</f>
        <v/>
      </c>
      <c r="N55" s="74" t="str">
        <f ca="1">IF(C55="","",[1]!s_est_avgcps(C55,H55,TODAY()))</f>
        <v/>
      </c>
      <c r="O55" s="74" t="str">
        <f ca="1">IF(C55="","",[1]!s_est_avgdps(C55,H55,TODAY()))</f>
        <v/>
      </c>
      <c r="P55" s="74" t="str">
        <f ca="1">IF(C55="","",[1]!s_est_avgebit(C55,H55,TODAY(),100000000))</f>
        <v/>
      </c>
      <c r="Q55" s="74" t="str">
        <f ca="1">IF(C55="","",[1]!s_est_avgebitda(C55,H55,TODAY(),100000000))</f>
        <v/>
      </c>
      <c r="R55" s="74" t="str">
        <f ca="1">IF(C55="","",[1]!s_est_avgbps(C55,H55,TODAY()))</f>
        <v/>
      </c>
      <c r="S55" s="74" t="str">
        <f ca="1">IF(C55="","",[1]!s_est_avgebt(C55,H55,TODAY(),100000000))</f>
        <v/>
      </c>
      <c r="T55" s="74" t="str">
        <f ca="1">IF(C55="","",[1]!s_est_avgroa(C55,H55,TODAY()))</f>
        <v/>
      </c>
      <c r="U55" s="74" t="str">
        <f ca="1">IF(C55="","",[1]!s_est_avgroe(C55,H55,TODAY()))</f>
        <v/>
      </c>
      <c r="V55" s="74" t="str">
        <f ca="1">IF(C55="","",[1]!s_est_avgoperatingprofit(C55,H55,TODAY(),100000000))</f>
        <v/>
      </c>
      <c r="W55" s="74" t="str">
        <f ca="1">IF(C55="","",[1]!s_est_yoynetprofit(C55,H55,TODAY()))</f>
        <v/>
      </c>
      <c r="X55" s="74" t="str">
        <f ca="1">IF(C55="","",[1]!s_est_yoysales(C55,H55,TODAY()))</f>
        <v/>
      </c>
      <c r="Y55" s="74" t="str">
        <f ca="1">IF(C55="","",[1]!s_est_instnum(C55,I55,TODAY()))</f>
        <v/>
      </c>
      <c r="Z55" s="74" t="str">
        <f ca="1">IF(C55="","",[1]!s_est_eps(C55,I55,TODAY()))</f>
        <v/>
      </c>
      <c r="AA55" s="74" t="str">
        <f ca="1">IF(C55="","",[1]!s_est_sales(C55,I55,TODAY(),100000000))</f>
        <v/>
      </c>
      <c r="AB55" s="74" t="str">
        <f ca="1">IF(C55="","",[1]!s_est_netprofit(C55,I55,TODAY(),100000000))</f>
        <v/>
      </c>
      <c r="AC55" s="74" t="str">
        <f ca="1">IF(C55="","",[1]!s_est_avgcps(C55,I55,TODAY()))</f>
        <v/>
      </c>
      <c r="AD55" s="74" t="str">
        <f ca="1">IF(C55="","",[1]!s_est_avgdps(C55,I55,TODAY()))</f>
        <v/>
      </c>
      <c r="AE55" s="74" t="str">
        <f ca="1">IF(C55="","",[1]!s_est_avgebit(C55,I55,TODAY(),100000000))</f>
        <v/>
      </c>
      <c r="AF55" s="74" t="str">
        <f ca="1">IF(C55="","",[1]!s_est_avgebitda(C55,I55,TODAY(),100000000))</f>
        <v/>
      </c>
      <c r="AG55" s="74" t="str">
        <f ca="1">IF(C55="","",[1]!s_est_avgbps(C55,I55,TODAY()))</f>
        <v/>
      </c>
      <c r="AH55" s="74" t="str">
        <f ca="1">IF(C55="","",[1]!s_est_avgebt(C55,I55,TODAY(),100000000))</f>
        <v/>
      </c>
      <c r="AI55" s="74" t="str">
        <f ca="1">IF(C55="","",[1]!s_est_avgroa(C55,I55,TODAY()))</f>
        <v/>
      </c>
      <c r="AJ55" s="74" t="str">
        <f ca="1">IF(C55="","",[1]!s_est_avgroe(C55,I55,TODAY()))</f>
        <v/>
      </c>
      <c r="AK55" s="74" t="str">
        <f ca="1">IF(C55="","",[1]!s_est_avgoperatingprofit(C55,I55,TODAY(),100000000))</f>
        <v/>
      </c>
      <c r="AL55" s="74" t="str">
        <f ca="1">IF(C55="","",[1]!s_est_yoynetprofit(C55,I55,TODAY()))</f>
        <v/>
      </c>
      <c r="AM55" s="74" t="str">
        <f ca="1">IF(C55="","",[1]!s_est_yoysales(C55,I55,TODAY()))</f>
        <v/>
      </c>
      <c r="AN55" s="35"/>
    </row>
    <row r="56" spans="1:40" s="36" customFormat="1" ht="16.5" x14ac:dyDescent="0.2">
      <c r="A56" s="2"/>
      <c r="B56" s="6"/>
      <c r="C56" s="28" t="str">
        <f>IF(表1[[#This Row],[列1]]="","",表1[[#This Row],[列1]])</f>
        <v/>
      </c>
      <c r="D56" s="19" t="str">
        <f>IF(C56="","",[1]!hks_info_name(C56))</f>
        <v/>
      </c>
      <c r="E56" s="18" t="str">
        <f ca="1">IF(C56="","",[1]!lastradeday_s(C56,TODAY()))</f>
        <v/>
      </c>
      <c r="F56" s="19" t="str">
        <f>IF(C56="","",IF(OR([1]!s_stm_rpt_e(C56,基本资料!$I$8,0)="#N/A",[1]!s_stm_rpt_e(C56,基本资料!$I$8,0)="",[1]!s_stm_rpt_e(C56,基本资料!$I$8,0)=0),[1]!s_stm_rpt_e(C56,基本资料!$I$9,0),[1]!s_stm_rpt_e(C56,基本资料!$I$8,0)))</f>
        <v/>
      </c>
      <c r="G56" s="18" t="str">
        <f>IF(C56="","",YEAR([1]!s_stm_rpt_e(C56,F56,0)))</f>
        <v/>
      </c>
      <c r="H56" s="18" t="str">
        <f>IF(C56="","",表1_31213141516[[#This Row],[列5]]+1)</f>
        <v/>
      </c>
      <c r="I56" s="18" t="str">
        <f>IF(C56="","",表1_31213141516[[#This Row],[列5]]+2)</f>
        <v/>
      </c>
      <c r="J56" s="18" t="str">
        <f ca="1">IF(C56="","",[1]!s_est_instnum(C56,H56,TODAY()))</f>
        <v/>
      </c>
      <c r="K56" s="74" t="str">
        <f ca="1">IF(C56="","",[1]!s_est_eps(C56,H56,TODAY()))</f>
        <v/>
      </c>
      <c r="L56" s="74" t="str">
        <f ca="1">IF(C56="","",[1]!s_est_sales(C56,H56,TODAY(),100000000))</f>
        <v/>
      </c>
      <c r="M56" s="74" t="str">
        <f ca="1">IF(C56="","",[1]!s_est_netprofit(C56,H56,TODAY(),100000000))</f>
        <v/>
      </c>
      <c r="N56" s="74" t="str">
        <f ca="1">IF(C56="","",[1]!s_est_avgcps(C56,H56,TODAY()))</f>
        <v/>
      </c>
      <c r="O56" s="74" t="str">
        <f ca="1">IF(C56="","",[1]!s_est_avgdps(C56,H56,TODAY()))</f>
        <v/>
      </c>
      <c r="P56" s="74" t="str">
        <f ca="1">IF(C56="","",[1]!s_est_avgebit(C56,H56,TODAY(),100000000))</f>
        <v/>
      </c>
      <c r="Q56" s="74" t="str">
        <f ca="1">IF(C56="","",[1]!s_est_avgebitda(C56,H56,TODAY(),100000000))</f>
        <v/>
      </c>
      <c r="R56" s="74" t="str">
        <f ca="1">IF(C56="","",[1]!s_est_avgbps(C56,H56,TODAY()))</f>
        <v/>
      </c>
      <c r="S56" s="74" t="str">
        <f ca="1">IF(C56="","",[1]!s_est_avgebt(C56,H56,TODAY(),100000000))</f>
        <v/>
      </c>
      <c r="T56" s="74" t="str">
        <f ca="1">IF(C56="","",[1]!s_est_avgroa(C56,H56,TODAY()))</f>
        <v/>
      </c>
      <c r="U56" s="74" t="str">
        <f ca="1">IF(C56="","",[1]!s_est_avgroe(C56,H56,TODAY()))</f>
        <v/>
      </c>
      <c r="V56" s="74" t="str">
        <f ca="1">IF(C56="","",[1]!s_est_avgoperatingprofit(C56,H56,TODAY(),100000000))</f>
        <v/>
      </c>
      <c r="W56" s="74" t="str">
        <f ca="1">IF(C56="","",[1]!s_est_yoynetprofit(C56,H56,TODAY()))</f>
        <v/>
      </c>
      <c r="X56" s="74" t="str">
        <f ca="1">IF(C56="","",[1]!s_est_yoysales(C56,H56,TODAY()))</f>
        <v/>
      </c>
      <c r="Y56" s="74" t="str">
        <f ca="1">IF(C56="","",[1]!s_est_instnum(C56,I56,TODAY()))</f>
        <v/>
      </c>
      <c r="Z56" s="74" t="str">
        <f ca="1">IF(C56="","",[1]!s_est_eps(C56,I56,TODAY()))</f>
        <v/>
      </c>
      <c r="AA56" s="74" t="str">
        <f ca="1">IF(C56="","",[1]!s_est_sales(C56,I56,TODAY(),100000000))</f>
        <v/>
      </c>
      <c r="AB56" s="74" t="str">
        <f ca="1">IF(C56="","",[1]!s_est_netprofit(C56,I56,TODAY(),100000000))</f>
        <v/>
      </c>
      <c r="AC56" s="74" t="str">
        <f ca="1">IF(C56="","",[1]!s_est_avgcps(C56,I56,TODAY()))</f>
        <v/>
      </c>
      <c r="AD56" s="74" t="str">
        <f ca="1">IF(C56="","",[1]!s_est_avgdps(C56,I56,TODAY()))</f>
        <v/>
      </c>
      <c r="AE56" s="74" t="str">
        <f ca="1">IF(C56="","",[1]!s_est_avgebit(C56,I56,TODAY(),100000000))</f>
        <v/>
      </c>
      <c r="AF56" s="74" t="str">
        <f ca="1">IF(C56="","",[1]!s_est_avgebitda(C56,I56,TODAY(),100000000))</f>
        <v/>
      </c>
      <c r="AG56" s="74" t="str">
        <f ca="1">IF(C56="","",[1]!s_est_avgbps(C56,I56,TODAY()))</f>
        <v/>
      </c>
      <c r="AH56" s="74" t="str">
        <f ca="1">IF(C56="","",[1]!s_est_avgebt(C56,I56,TODAY(),100000000))</f>
        <v/>
      </c>
      <c r="AI56" s="74" t="str">
        <f ca="1">IF(C56="","",[1]!s_est_avgroa(C56,I56,TODAY()))</f>
        <v/>
      </c>
      <c r="AJ56" s="74" t="str">
        <f ca="1">IF(C56="","",[1]!s_est_avgroe(C56,I56,TODAY()))</f>
        <v/>
      </c>
      <c r="AK56" s="74" t="str">
        <f ca="1">IF(C56="","",[1]!s_est_avgoperatingprofit(C56,I56,TODAY(),100000000))</f>
        <v/>
      </c>
      <c r="AL56" s="74" t="str">
        <f ca="1">IF(C56="","",[1]!s_est_yoynetprofit(C56,I56,TODAY()))</f>
        <v/>
      </c>
      <c r="AM56" s="74" t="str">
        <f ca="1">IF(C56="","",[1]!s_est_yoysales(C56,I56,TODAY()))</f>
        <v/>
      </c>
      <c r="AN56" s="35"/>
    </row>
    <row r="57" spans="1:40" s="36" customFormat="1" ht="16.5" x14ac:dyDescent="0.2">
      <c r="A57" s="2"/>
      <c r="B57" s="6"/>
      <c r="C57" s="28" t="str">
        <f>IF(表1[[#This Row],[列1]]="","",表1[[#This Row],[列1]])</f>
        <v/>
      </c>
      <c r="D57" s="19" t="str">
        <f>IF(C57="","",[1]!hks_info_name(C57))</f>
        <v/>
      </c>
      <c r="E57" s="18" t="str">
        <f ca="1">IF(C57="","",[1]!lastradeday_s(C57,TODAY()))</f>
        <v/>
      </c>
      <c r="F57" s="19" t="str">
        <f>IF(C57="","",IF(OR([1]!s_stm_rpt_e(C57,基本资料!$I$8,0)="#N/A",[1]!s_stm_rpt_e(C57,基本资料!$I$8,0)="",[1]!s_stm_rpt_e(C57,基本资料!$I$8,0)=0),[1]!s_stm_rpt_e(C57,基本资料!$I$9,0),[1]!s_stm_rpt_e(C57,基本资料!$I$8,0)))</f>
        <v/>
      </c>
      <c r="G57" s="18" t="str">
        <f>IF(C57="","",YEAR([1]!s_stm_rpt_e(C57,F57,0)))</f>
        <v/>
      </c>
      <c r="H57" s="18" t="str">
        <f>IF(C57="","",表1_31213141516[[#This Row],[列5]]+1)</f>
        <v/>
      </c>
      <c r="I57" s="18" t="str">
        <f>IF(C57="","",表1_31213141516[[#This Row],[列5]]+2)</f>
        <v/>
      </c>
      <c r="J57" s="18" t="str">
        <f ca="1">IF(C57="","",[1]!s_est_instnum(C57,H57,TODAY()))</f>
        <v/>
      </c>
      <c r="K57" s="74" t="str">
        <f ca="1">IF(C57="","",[1]!s_est_eps(C57,H57,TODAY()))</f>
        <v/>
      </c>
      <c r="L57" s="74" t="str">
        <f ca="1">IF(C57="","",[1]!s_est_sales(C57,H57,TODAY(),100000000))</f>
        <v/>
      </c>
      <c r="M57" s="74" t="str">
        <f ca="1">IF(C57="","",[1]!s_est_netprofit(C57,H57,TODAY(),100000000))</f>
        <v/>
      </c>
      <c r="N57" s="74" t="str">
        <f ca="1">IF(C57="","",[1]!s_est_avgcps(C57,H57,TODAY()))</f>
        <v/>
      </c>
      <c r="O57" s="74" t="str">
        <f ca="1">IF(C57="","",[1]!s_est_avgdps(C57,H57,TODAY()))</f>
        <v/>
      </c>
      <c r="P57" s="74" t="str">
        <f ca="1">IF(C57="","",[1]!s_est_avgebit(C57,H57,TODAY(),100000000))</f>
        <v/>
      </c>
      <c r="Q57" s="74" t="str">
        <f ca="1">IF(C57="","",[1]!s_est_avgebitda(C57,H57,TODAY(),100000000))</f>
        <v/>
      </c>
      <c r="R57" s="74" t="str">
        <f ca="1">IF(C57="","",[1]!s_est_avgbps(C57,H57,TODAY()))</f>
        <v/>
      </c>
      <c r="S57" s="74" t="str">
        <f ca="1">IF(C57="","",[1]!s_est_avgebt(C57,H57,TODAY(),100000000))</f>
        <v/>
      </c>
      <c r="T57" s="74" t="str">
        <f ca="1">IF(C57="","",[1]!s_est_avgroa(C57,H57,TODAY()))</f>
        <v/>
      </c>
      <c r="U57" s="74" t="str">
        <f ca="1">IF(C57="","",[1]!s_est_avgroe(C57,H57,TODAY()))</f>
        <v/>
      </c>
      <c r="V57" s="74" t="str">
        <f ca="1">IF(C57="","",[1]!s_est_avgoperatingprofit(C57,H57,TODAY(),100000000))</f>
        <v/>
      </c>
      <c r="W57" s="74" t="str">
        <f ca="1">IF(C57="","",[1]!s_est_yoynetprofit(C57,H57,TODAY()))</f>
        <v/>
      </c>
      <c r="X57" s="74" t="str">
        <f ca="1">IF(C57="","",[1]!s_est_yoysales(C57,H57,TODAY()))</f>
        <v/>
      </c>
      <c r="Y57" s="74" t="str">
        <f ca="1">IF(C57="","",[1]!s_est_instnum(C57,I57,TODAY()))</f>
        <v/>
      </c>
      <c r="Z57" s="74" t="str">
        <f ca="1">IF(C57="","",[1]!s_est_eps(C57,I57,TODAY()))</f>
        <v/>
      </c>
      <c r="AA57" s="74" t="str">
        <f ca="1">IF(C57="","",[1]!s_est_sales(C57,I57,TODAY(),100000000))</f>
        <v/>
      </c>
      <c r="AB57" s="74" t="str">
        <f ca="1">IF(C57="","",[1]!s_est_netprofit(C57,I57,TODAY(),100000000))</f>
        <v/>
      </c>
      <c r="AC57" s="74" t="str">
        <f ca="1">IF(C57="","",[1]!s_est_avgcps(C57,I57,TODAY()))</f>
        <v/>
      </c>
      <c r="AD57" s="74" t="str">
        <f ca="1">IF(C57="","",[1]!s_est_avgdps(C57,I57,TODAY()))</f>
        <v/>
      </c>
      <c r="AE57" s="74" t="str">
        <f ca="1">IF(C57="","",[1]!s_est_avgebit(C57,I57,TODAY(),100000000))</f>
        <v/>
      </c>
      <c r="AF57" s="74" t="str">
        <f ca="1">IF(C57="","",[1]!s_est_avgebitda(C57,I57,TODAY(),100000000))</f>
        <v/>
      </c>
      <c r="AG57" s="74" t="str">
        <f ca="1">IF(C57="","",[1]!s_est_avgbps(C57,I57,TODAY()))</f>
        <v/>
      </c>
      <c r="AH57" s="74" t="str">
        <f ca="1">IF(C57="","",[1]!s_est_avgebt(C57,I57,TODAY(),100000000))</f>
        <v/>
      </c>
      <c r="AI57" s="74" t="str">
        <f ca="1">IF(C57="","",[1]!s_est_avgroa(C57,I57,TODAY()))</f>
        <v/>
      </c>
      <c r="AJ57" s="74" t="str">
        <f ca="1">IF(C57="","",[1]!s_est_avgroe(C57,I57,TODAY()))</f>
        <v/>
      </c>
      <c r="AK57" s="74" t="str">
        <f ca="1">IF(C57="","",[1]!s_est_avgoperatingprofit(C57,I57,TODAY(),100000000))</f>
        <v/>
      </c>
      <c r="AL57" s="74" t="str">
        <f ca="1">IF(C57="","",[1]!s_est_yoynetprofit(C57,I57,TODAY()))</f>
        <v/>
      </c>
      <c r="AM57" s="74" t="str">
        <f ca="1">IF(C57="","",[1]!s_est_yoysales(C57,I57,TODAY()))</f>
        <v/>
      </c>
      <c r="AN57" s="35"/>
    </row>
    <row r="58" spans="1:40" s="36" customFormat="1" ht="16.5" x14ac:dyDescent="0.2">
      <c r="A58" s="2"/>
      <c r="B58" s="6"/>
      <c r="C58" s="28" t="str">
        <f>IF(表1[[#This Row],[列1]]="","",表1[[#This Row],[列1]])</f>
        <v/>
      </c>
      <c r="D58" s="19" t="str">
        <f>IF(C58="","",[1]!hks_info_name(C58))</f>
        <v/>
      </c>
      <c r="E58" s="18" t="str">
        <f ca="1">IF(C58="","",[1]!lastradeday_s(C58,TODAY()))</f>
        <v/>
      </c>
      <c r="F58" s="19" t="str">
        <f>IF(C58="","",IF(OR([1]!s_stm_rpt_e(C58,基本资料!$I$8,0)="#N/A",[1]!s_stm_rpt_e(C58,基本资料!$I$8,0)="",[1]!s_stm_rpt_e(C58,基本资料!$I$8,0)=0),[1]!s_stm_rpt_e(C58,基本资料!$I$9,0),[1]!s_stm_rpt_e(C58,基本资料!$I$8,0)))</f>
        <v/>
      </c>
      <c r="G58" s="18" t="str">
        <f>IF(C58="","",YEAR([1]!s_stm_rpt_e(C58,F58,0)))</f>
        <v/>
      </c>
      <c r="H58" s="18" t="str">
        <f>IF(C58="","",表1_31213141516[[#This Row],[列5]]+1)</f>
        <v/>
      </c>
      <c r="I58" s="18" t="str">
        <f>IF(C58="","",表1_31213141516[[#This Row],[列5]]+2)</f>
        <v/>
      </c>
      <c r="J58" s="18" t="str">
        <f ca="1">IF(C58="","",[1]!s_est_instnum(C58,H58,TODAY()))</f>
        <v/>
      </c>
      <c r="K58" s="74" t="str">
        <f ca="1">IF(C58="","",[1]!s_est_eps(C58,H58,TODAY()))</f>
        <v/>
      </c>
      <c r="L58" s="74" t="str">
        <f ca="1">IF(C58="","",[1]!s_est_sales(C58,H58,TODAY(),100000000))</f>
        <v/>
      </c>
      <c r="M58" s="74" t="str">
        <f ca="1">IF(C58="","",[1]!s_est_netprofit(C58,H58,TODAY(),100000000))</f>
        <v/>
      </c>
      <c r="N58" s="74" t="str">
        <f ca="1">IF(C58="","",[1]!s_est_avgcps(C58,H58,TODAY()))</f>
        <v/>
      </c>
      <c r="O58" s="74" t="str">
        <f ca="1">IF(C58="","",[1]!s_est_avgdps(C58,H58,TODAY()))</f>
        <v/>
      </c>
      <c r="P58" s="74" t="str">
        <f ca="1">IF(C58="","",[1]!s_est_avgebit(C58,H58,TODAY(),100000000))</f>
        <v/>
      </c>
      <c r="Q58" s="74" t="str">
        <f ca="1">IF(C58="","",[1]!s_est_avgebitda(C58,H58,TODAY(),100000000))</f>
        <v/>
      </c>
      <c r="R58" s="74" t="str">
        <f ca="1">IF(C58="","",[1]!s_est_avgbps(C58,H58,TODAY()))</f>
        <v/>
      </c>
      <c r="S58" s="74" t="str">
        <f ca="1">IF(C58="","",[1]!s_est_avgebt(C58,H58,TODAY(),100000000))</f>
        <v/>
      </c>
      <c r="T58" s="74" t="str">
        <f ca="1">IF(C58="","",[1]!s_est_avgroa(C58,H58,TODAY()))</f>
        <v/>
      </c>
      <c r="U58" s="74" t="str">
        <f ca="1">IF(C58="","",[1]!s_est_avgroe(C58,H58,TODAY()))</f>
        <v/>
      </c>
      <c r="V58" s="74" t="str">
        <f ca="1">IF(C58="","",[1]!s_est_avgoperatingprofit(C58,H58,TODAY(),100000000))</f>
        <v/>
      </c>
      <c r="W58" s="74" t="str">
        <f ca="1">IF(C58="","",[1]!s_est_yoynetprofit(C58,H58,TODAY()))</f>
        <v/>
      </c>
      <c r="X58" s="74" t="str">
        <f ca="1">IF(C58="","",[1]!s_est_yoysales(C58,H58,TODAY()))</f>
        <v/>
      </c>
      <c r="Y58" s="74" t="str">
        <f ca="1">IF(C58="","",[1]!s_est_instnum(C58,I58,TODAY()))</f>
        <v/>
      </c>
      <c r="Z58" s="74" t="str">
        <f ca="1">IF(C58="","",[1]!s_est_eps(C58,I58,TODAY()))</f>
        <v/>
      </c>
      <c r="AA58" s="74" t="str">
        <f ca="1">IF(C58="","",[1]!s_est_sales(C58,I58,TODAY(),100000000))</f>
        <v/>
      </c>
      <c r="AB58" s="74" t="str">
        <f ca="1">IF(C58="","",[1]!s_est_netprofit(C58,I58,TODAY(),100000000))</f>
        <v/>
      </c>
      <c r="AC58" s="74" t="str">
        <f ca="1">IF(C58="","",[1]!s_est_avgcps(C58,I58,TODAY()))</f>
        <v/>
      </c>
      <c r="AD58" s="74" t="str">
        <f ca="1">IF(C58="","",[1]!s_est_avgdps(C58,I58,TODAY()))</f>
        <v/>
      </c>
      <c r="AE58" s="74" t="str">
        <f ca="1">IF(C58="","",[1]!s_est_avgebit(C58,I58,TODAY(),100000000))</f>
        <v/>
      </c>
      <c r="AF58" s="74" t="str">
        <f ca="1">IF(C58="","",[1]!s_est_avgebitda(C58,I58,TODAY(),100000000))</f>
        <v/>
      </c>
      <c r="AG58" s="74" t="str">
        <f ca="1">IF(C58="","",[1]!s_est_avgbps(C58,I58,TODAY()))</f>
        <v/>
      </c>
      <c r="AH58" s="74" t="str">
        <f ca="1">IF(C58="","",[1]!s_est_avgebt(C58,I58,TODAY(),100000000))</f>
        <v/>
      </c>
      <c r="AI58" s="74" t="str">
        <f ca="1">IF(C58="","",[1]!s_est_avgroa(C58,I58,TODAY()))</f>
        <v/>
      </c>
      <c r="AJ58" s="74" t="str">
        <f ca="1">IF(C58="","",[1]!s_est_avgroe(C58,I58,TODAY()))</f>
        <v/>
      </c>
      <c r="AK58" s="74" t="str">
        <f ca="1">IF(C58="","",[1]!s_est_avgoperatingprofit(C58,I58,TODAY(),100000000))</f>
        <v/>
      </c>
      <c r="AL58" s="74" t="str">
        <f ca="1">IF(C58="","",[1]!s_est_yoynetprofit(C58,I58,TODAY()))</f>
        <v/>
      </c>
      <c r="AM58" s="74" t="str">
        <f ca="1">IF(C58="","",[1]!s_est_yoysales(C58,I58,TODAY()))</f>
        <v/>
      </c>
      <c r="AN58" s="35"/>
    </row>
    <row r="59" spans="1:40" s="36" customFormat="1" ht="16.5" x14ac:dyDescent="0.2">
      <c r="A59" s="2"/>
      <c r="B59" s="6"/>
      <c r="C59" s="28" t="str">
        <f>IF(表1[[#This Row],[列1]]="","",表1[[#This Row],[列1]])</f>
        <v/>
      </c>
      <c r="D59" s="19" t="str">
        <f>IF(C59="","",[1]!hks_info_name(C59))</f>
        <v/>
      </c>
      <c r="E59" s="18" t="str">
        <f ca="1">IF(C59="","",[1]!lastradeday_s(C59,TODAY()))</f>
        <v/>
      </c>
      <c r="F59" s="19" t="str">
        <f>IF(C59="","",IF(OR([1]!s_stm_rpt_e(C59,基本资料!$I$8,0)="#N/A",[1]!s_stm_rpt_e(C59,基本资料!$I$8,0)="",[1]!s_stm_rpt_e(C59,基本资料!$I$8,0)=0),[1]!s_stm_rpt_e(C59,基本资料!$I$9,0),[1]!s_stm_rpt_e(C59,基本资料!$I$8,0)))</f>
        <v/>
      </c>
      <c r="G59" s="18" t="str">
        <f>IF(C59="","",YEAR([1]!s_stm_rpt_e(C59,F59,0)))</f>
        <v/>
      </c>
      <c r="H59" s="18" t="str">
        <f>IF(C59="","",表1_31213141516[[#This Row],[列5]]+1)</f>
        <v/>
      </c>
      <c r="I59" s="18" t="str">
        <f>IF(C59="","",表1_31213141516[[#This Row],[列5]]+2)</f>
        <v/>
      </c>
      <c r="J59" s="18" t="str">
        <f ca="1">IF(C59="","",[1]!s_est_instnum(C59,H59,TODAY()))</f>
        <v/>
      </c>
      <c r="K59" s="74" t="str">
        <f ca="1">IF(C59="","",[1]!s_est_eps(C59,H59,TODAY()))</f>
        <v/>
      </c>
      <c r="L59" s="74" t="str">
        <f ca="1">IF(C59="","",[1]!s_est_sales(C59,H59,TODAY(),100000000))</f>
        <v/>
      </c>
      <c r="M59" s="74" t="str">
        <f ca="1">IF(C59="","",[1]!s_est_netprofit(C59,H59,TODAY(),100000000))</f>
        <v/>
      </c>
      <c r="N59" s="74" t="str">
        <f ca="1">IF(C59="","",[1]!s_est_avgcps(C59,H59,TODAY()))</f>
        <v/>
      </c>
      <c r="O59" s="74" t="str">
        <f ca="1">IF(C59="","",[1]!s_est_avgdps(C59,H59,TODAY()))</f>
        <v/>
      </c>
      <c r="P59" s="74" t="str">
        <f ca="1">IF(C59="","",[1]!s_est_avgebit(C59,H59,TODAY(),100000000))</f>
        <v/>
      </c>
      <c r="Q59" s="74" t="str">
        <f ca="1">IF(C59="","",[1]!s_est_avgebitda(C59,H59,TODAY(),100000000))</f>
        <v/>
      </c>
      <c r="R59" s="74" t="str">
        <f ca="1">IF(C59="","",[1]!s_est_avgbps(C59,H59,TODAY()))</f>
        <v/>
      </c>
      <c r="S59" s="74" t="str">
        <f ca="1">IF(C59="","",[1]!s_est_avgebt(C59,H59,TODAY(),100000000))</f>
        <v/>
      </c>
      <c r="T59" s="74" t="str">
        <f ca="1">IF(C59="","",[1]!s_est_avgroa(C59,H59,TODAY()))</f>
        <v/>
      </c>
      <c r="U59" s="74" t="str">
        <f ca="1">IF(C59="","",[1]!s_est_avgroe(C59,H59,TODAY()))</f>
        <v/>
      </c>
      <c r="V59" s="74" t="str">
        <f ca="1">IF(C59="","",[1]!s_est_avgoperatingprofit(C59,H59,TODAY(),100000000))</f>
        <v/>
      </c>
      <c r="W59" s="74" t="str">
        <f ca="1">IF(C59="","",[1]!s_est_yoynetprofit(C59,H59,TODAY()))</f>
        <v/>
      </c>
      <c r="X59" s="74" t="str">
        <f ca="1">IF(C59="","",[1]!s_est_yoysales(C59,H59,TODAY()))</f>
        <v/>
      </c>
      <c r="Y59" s="74" t="str">
        <f ca="1">IF(C59="","",[1]!s_est_instnum(C59,I59,TODAY()))</f>
        <v/>
      </c>
      <c r="Z59" s="74" t="str">
        <f ca="1">IF(C59="","",[1]!s_est_eps(C59,I59,TODAY()))</f>
        <v/>
      </c>
      <c r="AA59" s="74" t="str">
        <f ca="1">IF(C59="","",[1]!s_est_sales(C59,I59,TODAY(),100000000))</f>
        <v/>
      </c>
      <c r="AB59" s="74" t="str">
        <f ca="1">IF(C59="","",[1]!s_est_netprofit(C59,I59,TODAY(),100000000))</f>
        <v/>
      </c>
      <c r="AC59" s="74" t="str">
        <f ca="1">IF(C59="","",[1]!s_est_avgcps(C59,I59,TODAY()))</f>
        <v/>
      </c>
      <c r="AD59" s="74" t="str">
        <f ca="1">IF(C59="","",[1]!s_est_avgdps(C59,I59,TODAY()))</f>
        <v/>
      </c>
      <c r="AE59" s="74" t="str">
        <f ca="1">IF(C59="","",[1]!s_est_avgebit(C59,I59,TODAY(),100000000))</f>
        <v/>
      </c>
      <c r="AF59" s="74" t="str">
        <f ca="1">IF(C59="","",[1]!s_est_avgebitda(C59,I59,TODAY(),100000000))</f>
        <v/>
      </c>
      <c r="AG59" s="74" t="str">
        <f ca="1">IF(C59="","",[1]!s_est_avgbps(C59,I59,TODAY()))</f>
        <v/>
      </c>
      <c r="AH59" s="74" t="str">
        <f ca="1">IF(C59="","",[1]!s_est_avgebt(C59,I59,TODAY(),100000000))</f>
        <v/>
      </c>
      <c r="AI59" s="74" t="str">
        <f ca="1">IF(C59="","",[1]!s_est_avgroa(C59,I59,TODAY()))</f>
        <v/>
      </c>
      <c r="AJ59" s="74" t="str">
        <f ca="1">IF(C59="","",[1]!s_est_avgroe(C59,I59,TODAY()))</f>
        <v/>
      </c>
      <c r="AK59" s="74" t="str">
        <f ca="1">IF(C59="","",[1]!s_est_avgoperatingprofit(C59,I59,TODAY(),100000000))</f>
        <v/>
      </c>
      <c r="AL59" s="74" t="str">
        <f ca="1">IF(C59="","",[1]!s_est_yoynetprofit(C59,I59,TODAY()))</f>
        <v/>
      </c>
      <c r="AM59" s="74" t="str">
        <f ca="1">IF(C59="","",[1]!s_est_yoysales(C59,I59,TODAY()))</f>
        <v/>
      </c>
      <c r="AN59" s="35"/>
    </row>
    <row r="60" spans="1:40" s="36" customFormat="1" ht="16.5" x14ac:dyDescent="0.2">
      <c r="A60" s="2"/>
      <c r="B60" s="6"/>
      <c r="C60" s="28" t="str">
        <f>IF(表1[[#This Row],[列1]]="","",表1[[#This Row],[列1]])</f>
        <v/>
      </c>
      <c r="D60" s="19" t="str">
        <f>IF(C60="","",[1]!hks_info_name(C60))</f>
        <v/>
      </c>
      <c r="E60" s="18" t="str">
        <f ca="1">IF(C60="","",[1]!lastradeday_s(C60,TODAY()))</f>
        <v/>
      </c>
      <c r="F60" s="19" t="str">
        <f>IF(C60="","",IF(OR([1]!s_stm_rpt_e(C60,基本资料!$I$8,0)="#N/A",[1]!s_stm_rpt_e(C60,基本资料!$I$8,0)="",[1]!s_stm_rpt_e(C60,基本资料!$I$8,0)=0),[1]!s_stm_rpt_e(C60,基本资料!$I$9,0),[1]!s_stm_rpt_e(C60,基本资料!$I$8,0)))</f>
        <v/>
      </c>
      <c r="G60" s="18" t="str">
        <f>IF(C60="","",YEAR([1]!s_stm_rpt_e(C60,F60,0)))</f>
        <v/>
      </c>
      <c r="H60" s="18" t="str">
        <f>IF(C60="","",表1_31213141516[[#This Row],[列5]]+1)</f>
        <v/>
      </c>
      <c r="I60" s="18" t="str">
        <f>IF(C60="","",表1_31213141516[[#This Row],[列5]]+2)</f>
        <v/>
      </c>
      <c r="J60" s="18" t="str">
        <f ca="1">IF(C60="","",[1]!s_est_instnum(C60,H60,TODAY()))</f>
        <v/>
      </c>
      <c r="K60" s="74" t="str">
        <f ca="1">IF(C60="","",[1]!s_est_eps(C60,H60,TODAY()))</f>
        <v/>
      </c>
      <c r="L60" s="74" t="str">
        <f ca="1">IF(C60="","",[1]!s_est_sales(C60,H60,TODAY(),100000000))</f>
        <v/>
      </c>
      <c r="M60" s="74" t="str">
        <f ca="1">IF(C60="","",[1]!s_est_netprofit(C60,H60,TODAY(),100000000))</f>
        <v/>
      </c>
      <c r="N60" s="74" t="str">
        <f ca="1">IF(C60="","",[1]!s_est_avgcps(C60,H60,TODAY()))</f>
        <v/>
      </c>
      <c r="O60" s="74" t="str">
        <f ca="1">IF(C60="","",[1]!s_est_avgdps(C60,H60,TODAY()))</f>
        <v/>
      </c>
      <c r="P60" s="74" t="str">
        <f ca="1">IF(C60="","",[1]!s_est_avgebit(C60,H60,TODAY(),100000000))</f>
        <v/>
      </c>
      <c r="Q60" s="74" t="str">
        <f ca="1">IF(C60="","",[1]!s_est_avgebitda(C60,H60,TODAY(),100000000))</f>
        <v/>
      </c>
      <c r="R60" s="74" t="str">
        <f ca="1">IF(C60="","",[1]!s_est_avgbps(C60,H60,TODAY()))</f>
        <v/>
      </c>
      <c r="S60" s="74" t="str">
        <f ca="1">IF(C60="","",[1]!s_est_avgebt(C60,H60,TODAY(),100000000))</f>
        <v/>
      </c>
      <c r="T60" s="74" t="str">
        <f ca="1">IF(C60="","",[1]!s_est_avgroa(C60,H60,TODAY()))</f>
        <v/>
      </c>
      <c r="U60" s="74" t="str">
        <f ca="1">IF(C60="","",[1]!s_est_avgroe(C60,H60,TODAY()))</f>
        <v/>
      </c>
      <c r="V60" s="74" t="str">
        <f ca="1">IF(C60="","",[1]!s_est_avgoperatingprofit(C60,H60,TODAY(),100000000))</f>
        <v/>
      </c>
      <c r="W60" s="74" t="str">
        <f ca="1">IF(C60="","",[1]!s_est_yoynetprofit(C60,H60,TODAY()))</f>
        <v/>
      </c>
      <c r="X60" s="74" t="str">
        <f ca="1">IF(C60="","",[1]!s_est_yoysales(C60,H60,TODAY()))</f>
        <v/>
      </c>
      <c r="Y60" s="74" t="str">
        <f ca="1">IF(C60="","",[1]!s_est_instnum(C60,I60,TODAY()))</f>
        <v/>
      </c>
      <c r="Z60" s="74" t="str">
        <f ca="1">IF(C60="","",[1]!s_est_eps(C60,I60,TODAY()))</f>
        <v/>
      </c>
      <c r="AA60" s="74" t="str">
        <f ca="1">IF(C60="","",[1]!s_est_sales(C60,I60,TODAY(),100000000))</f>
        <v/>
      </c>
      <c r="AB60" s="74" t="str">
        <f ca="1">IF(C60="","",[1]!s_est_netprofit(C60,I60,TODAY(),100000000))</f>
        <v/>
      </c>
      <c r="AC60" s="74" t="str">
        <f ca="1">IF(C60="","",[1]!s_est_avgcps(C60,I60,TODAY()))</f>
        <v/>
      </c>
      <c r="AD60" s="74" t="str">
        <f ca="1">IF(C60="","",[1]!s_est_avgdps(C60,I60,TODAY()))</f>
        <v/>
      </c>
      <c r="AE60" s="74" t="str">
        <f ca="1">IF(C60="","",[1]!s_est_avgebit(C60,I60,TODAY(),100000000))</f>
        <v/>
      </c>
      <c r="AF60" s="74" t="str">
        <f ca="1">IF(C60="","",[1]!s_est_avgebitda(C60,I60,TODAY(),100000000))</f>
        <v/>
      </c>
      <c r="AG60" s="74" t="str">
        <f ca="1">IF(C60="","",[1]!s_est_avgbps(C60,I60,TODAY()))</f>
        <v/>
      </c>
      <c r="AH60" s="74" t="str">
        <f ca="1">IF(C60="","",[1]!s_est_avgebt(C60,I60,TODAY(),100000000))</f>
        <v/>
      </c>
      <c r="AI60" s="74" t="str">
        <f ca="1">IF(C60="","",[1]!s_est_avgroa(C60,I60,TODAY()))</f>
        <v/>
      </c>
      <c r="AJ60" s="74" t="str">
        <f ca="1">IF(C60="","",[1]!s_est_avgroe(C60,I60,TODAY()))</f>
        <v/>
      </c>
      <c r="AK60" s="74" t="str">
        <f ca="1">IF(C60="","",[1]!s_est_avgoperatingprofit(C60,I60,TODAY(),100000000))</f>
        <v/>
      </c>
      <c r="AL60" s="74" t="str">
        <f ca="1">IF(C60="","",[1]!s_est_yoynetprofit(C60,I60,TODAY()))</f>
        <v/>
      </c>
      <c r="AM60" s="74" t="str">
        <f ca="1">IF(C60="","",[1]!s_est_yoysales(C60,I60,TODAY()))</f>
        <v/>
      </c>
      <c r="AN60" s="35"/>
    </row>
    <row r="61" spans="1:40" s="36" customFormat="1" ht="16.5" x14ac:dyDescent="0.2">
      <c r="A61" s="2"/>
      <c r="B61" s="6"/>
      <c r="C61" s="28" t="str">
        <f>IF(表1[[#This Row],[列1]]="","",表1[[#This Row],[列1]])</f>
        <v/>
      </c>
      <c r="D61" s="19" t="str">
        <f>IF(C61="","",[1]!hks_info_name(C61))</f>
        <v/>
      </c>
      <c r="E61" s="18" t="str">
        <f ca="1">IF(C61="","",[1]!lastradeday_s(C61,TODAY()))</f>
        <v/>
      </c>
      <c r="F61" s="19" t="str">
        <f>IF(C61="","",IF(OR([1]!s_stm_rpt_e(C61,基本资料!$I$8,0)="#N/A",[1]!s_stm_rpt_e(C61,基本资料!$I$8,0)="",[1]!s_stm_rpt_e(C61,基本资料!$I$8,0)=0),[1]!s_stm_rpt_e(C61,基本资料!$I$9,0),[1]!s_stm_rpt_e(C61,基本资料!$I$8,0)))</f>
        <v/>
      </c>
      <c r="G61" s="18" t="str">
        <f>IF(C61="","",YEAR([1]!s_stm_rpt_e(C61,F61,0)))</f>
        <v/>
      </c>
      <c r="H61" s="18" t="str">
        <f>IF(C61="","",表1_31213141516[[#This Row],[列5]]+1)</f>
        <v/>
      </c>
      <c r="I61" s="18" t="str">
        <f>IF(C61="","",表1_31213141516[[#This Row],[列5]]+2)</f>
        <v/>
      </c>
      <c r="J61" s="18" t="str">
        <f ca="1">IF(C61="","",[1]!s_est_instnum(C61,H61,TODAY()))</f>
        <v/>
      </c>
      <c r="K61" s="74" t="str">
        <f ca="1">IF(C61="","",[1]!s_est_eps(C61,H61,TODAY()))</f>
        <v/>
      </c>
      <c r="L61" s="74" t="str">
        <f ca="1">IF(C61="","",[1]!s_est_sales(C61,H61,TODAY(),100000000))</f>
        <v/>
      </c>
      <c r="M61" s="74" t="str">
        <f ca="1">IF(C61="","",[1]!s_est_netprofit(C61,H61,TODAY(),100000000))</f>
        <v/>
      </c>
      <c r="N61" s="74" t="str">
        <f ca="1">IF(C61="","",[1]!s_est_avgcps(C61,H61,TODAY()))</f>
        <v/>
      </c>
      <c r="O61" s="74" t="str">
        <f ca="1">IF(C61="","",[1]!s_est_avgdps(C61,H61,TODAY()))</f>
        <v/>
      </c>
      <c r="P61" s="74" t="str">
        <f ca="1">IF(C61="","",[1]!s_est_avgebit(C61,H61,TODAY(),100000000))</f>
        <v/>
      </c>
      <c r="Q61" s="74" t="str">
        <f ca="1">IF(C61="","",[1]!s_est_avgebitda(C61,H61,TODAY(),100000000))</f>
        <v/>
      </c>
      <c r="R61" s="74" t="str">
        <f ca="1">IF(C61="","",[1]!s_est_avgbps(C61,H61,TODAY()))</f>
        <v/>
      </c>
      <c r="S61" s="74" t="str">
        <f ca="1">IF(C61="","",[1]!s_est_avgebt(C61,H61,TODAY(),100000000))</f>
        <v/>
      </c>
      <c r="T61" s="74" t="str">
        <f ca="1">IF(C61="","",[1]!s_est_avgroa(C61,H61,TODAY()))</f>
        <v/>
      </c>
      <c r="U61" s="74" t="str">
        <f ca="1">IF(C61="","",[1]!s_est_avgroe(C61,H61,TODAY()))</f>
        <v/>
      </c>
      <c r="V61" s="74" t="str">
        <f ca="1">IF(C61="","",[1]!s_est_avgoperatingprofit(C61,H61,TODAY(),100000000))</f>
        <v/>
      </c>
      <c r="W61" s="74" t="str">
        <f ca="1">IF(C61="","",[1]!s_est_yoynetprofit(C61,H61,TODAY()))</f>
        <v/>
      </c>
      <c r="X61" s="74" t="str">
        <f ca="1">IF(C61="","",[1]!s_est_yoysales(C61,H61,TODAY()))</f>
        <v/>
      </c>
      <c r="Y61" s="74" t="str">
        <f ca="1">IF(C61="","",[1]!s_est_instnum(C61,I61,TODAY()))</f>
        <v/>
      </c>
      <c r="Z61" s="74" t="str">
        <f ca="1">IF(C61="","",[1]!s_est_eps(C61,I61,TODAY()))</f>
        <v/>
      </c>
      <c r="AA61" s="74" t="str">
        <f ca="1">IF(C61="","",[1]!s_est_sales(C61,I61,TODAY(),100000000))</f>
        <v/>
      </c>
      <c r="AB61" s="74" t="str">
        <f ca="1">IF(C61="","",[1]!s_est_netprofit(C61,I61,TODAY(),100000000))</f>
        <v/>
      </c>
      <c r="AC61" s="74" t="str">
        <f ca="1">IF(C61="","",[1]!s_est_avgcps(C61,I61,TODAY()))</f>
        <v/>
      </c>
      <c r="AD61" s="74" t="str">
        <f ca="1">IF(C61="","",[1]!s_est_avgdps(C61,I61,TODAY()))</f>
        <v/>
      </c>
      <c r="AE61" s="74" t="str">
        <f ca="1">IF(C61="","",[1]!s_est_avgebit(C61,I61,TODAY(),100000000))</f>
        <v/>
      </c>
      <c r="AF61" s="74" t="str">
        <f ca="1">IF(C61="","",[1]!s_est_avgebitda(C61,I61,TODAY(),100000000))</f>
        <v/>
      </c>
      <c r="AG61" s="74" t="str">
        <f ca="1">IF(C61="","",[1]!s_est_avgbps(C61,I61,TODAY()))</f>
        <v/>
      </c>
      <c r="AH61" s="74" t="str">
        <f ca="1">IF(C61="","",[1]!s_est_avgebt(C61,I61,TODAY(),100000000))</f>
        <v/>
      </c>
      <c r="AI61" s="74" t="str">
        <f ca="1">IF(C61="","",[1]!s_est_avgroa(C61,I61,TODAY()))</f>
        <v/>
      </c>
      <c r="AJ61" s="74" t="str">
        <f ca="1">IF(C61="","",[1]!s_est_avgroe(C61,I61,TODAY()))</f>
        <v/>
      </c>
      <c r="AK61" s="74" t="str">
        <f ca="1">IF(C61="","",[1]!s_est_avgoperatingprofit(C61,I61,TODAY(),100000000))</f>
        <v/>
      </c>
      <c r="AL61" s="74" t="str">
        <f ca="1">IF(C61="","",[1]!s_est_yoynetprofit(C61,I61,TODAY()))</f>
        <v/>
      </c>
      <c r="AM61" s="74" t="str">
        <f ca="1">IF(C61="","",[1]!s_est_yoysales(C61,I61,TODAY()))</f>
        <v/>
      </c>
      <c r="AN61" s="35"/>
    </row>
    <row r="62" spans="1:40" s="36" customFormat="1" ht="16.5" x14ac:dyDescent="0.2">
      <c r="A62" s="2"/>
      <c r="B62" s="6"/>
      <c r="C62" s="28" t="str">
        <f>IF(表1[[#This Row],[列1]]="","",表1[[#This Row],[列1]])</f>
        <v/>
      </c>
      <c r="D62" s="19" t="str">
        <f>IF(C62="","",[1]!hks_info_name(C62))</f>
        <v/>
      </c>
      <c r="E62" s="18" t="str">
        <f ca="1">IF(C62="","",[1]!lastradeday_s(C62,TODAY()))</f>
        <v/>
      </c>
      <c r="F62" s="19" t="str">
        <f>IF(C62="","",IF(OR([1]!s_stm_rpt_e(C62,基本资料!$I$8,0)="#N/A",[1]!s_stm_rpt_e(C62,基本资料!$I$8,0)="",[1]!s_stm_rpt_e(C62,基本资料!$I$8,0)=0),[1]!s_stm_rpt_e(C62,基本资料!$I$9,0),[1]!s_stm_rpt_e(C62,基本资料!$I$8,0)))</f>
        <v/>
      </c>
      <c r="G62" s="18" t="str">
        <f>IF(C62="","",YEAR([1]!s_stm_rpt_e(C62,F62,0)))</f>
        <v/>
      </c>
      <c r="H62" s="18" t="str">
        <f>IF(C62="","",表1_31213141516[[#This Row],[列5]]+1)</f>
        <v/>
      </c>
      <c r="I62" s="18" t="str">
        <f>IF(C62="","",表1_31213141516[[#This Row],[列5]]+2)</f>
        <v/>
      </c>
      <c r="J62" s="18" t="str">
        <f ca="1">IF(C62="","",[1]!s_est_instnum(C62,H62,TODAY()))</f>
        <v/>
      </c>
      <c r="K62" s="74" t="str">
        <f ca="1">IF(C62="","",[1]!s_est_eps(C62,H62,TODAY()))</f>
        <v/>
      </c>
      <c r="L62" s="74" t="str">
        <f ca="1">IF(C62="","",[1]!s_est_sales(C62,H62,TODAY(),100000000))</f>
        <v/>
      </c>
      <c r="M62" s="74" t="str">
        <f ca="1">IF(C62="","",[1]!s_est_netprofit(C62,H62,TODAY(),100000000))</f>
        <v/>
      </c>
      <c r="N62" s="74" t="str">
        <f ca="1">IF(C62="","",[1]!s_est_avgcps(C62,H62,TODAY()))</f>
        <v/>
      </c>
      <c r="O62" s="74" t="str">
        <f ca="1">IF(C62="","",[1]!s_est_avgdps(C62,H62,TODAY()))</f>
        <v/>
      </c>
      <c r="P62" s="74" t="str">
        <f ca="1">IF(C62="","",[1]!s_est_avgebit(C62,H62,TODAY(),100000000))</f>
        <v/>
      </c>
      <c r="Q62" s="74" t="str">
        <f ca="1">IF(C62="","",[1]!s_est_avgebitda(C62,H62,TODAY(),100000000))</f>
        <v/>
      </c>
      <c r="R62" s="74" t="str">
        <f ca="1">IF(C62="","",[1]!s_est_avgbps(C62,H62,TODAY()))</f>
        <v/>
      </c>
      <c r="S62" s="74" t="str">
        <f ca="1">IF(C62="","",[1]!s_est_avgebt(C62,H62,TODAY(),100000000))</f>
        <v/>
      </c>
      <c r="T62" s="74" t="str">
        <f ca="1">IF(C62="","",[1]!s_est_avgroa(C62,H62,TODAY()))</f>
        <v/>
      </c>
      <c r="U62" s="74" t="str">
        <f ca="1">IF(C62="","",[1]!s_est_avgroe(C62,H62,TODAY()))</f>
        <v/>
      </c>
      <c r="V62" s="74" t="str">
        <f ca="1">IF(C62="","",[1]!s_est_avgoperatingprofit(C62,H62,TODAY(),100000000))</f>
        <v/>
      </c>
      <c r="W62" s="74" t="str">
        <f ca="1">IF(C62="","",[1]!s_est_yoynetprofit(C62,H62,TODAY()))</f>
        <v/>
      </c>
      <c r="X62" s="74" t="str">
        <f ca="1">IF(C62="","",[1]!s_est_yoysales(C62,H62,TODAY()))</f>
        <v/>
      </c>
      <c r="Y62" s="74" t="str">
        <f ca="1">IF(C62="","",[1]!s_est_instnum(C62,I62,TODAY()))</f>
        <v/>
      </c>
      <c r="Z62" s="74" t="str">
        <f ca="1">IF(C62="","",[1]!s_est_eps(C62,I62,TODAY()))</f>
        <v/>
      </c>
      <c r="AA62" s="74" t="str">
        <f ca="1">IF(C62="","",[1]!s_est_sales(C62,I62,TODAY(),100000000))</f>
        <v/>
      </c>
      <c r="AB62" s="74" t="str">
        <f ca="1">IF(C62="","",[1]!s_est_netprofit(C62,I62,TODAY(),100000000))</f>
        <v/>
      </c>
      <c r="AC62" s="74" t="str">
        <f ca="1">IF(C62="","",[1]!s_est_avgcps(C62,I62,TODAY()))</f>
        <v/>
      </c>
      <c r="AD62" s="74" t="str">
        <f ca="1">IF(C62="","",[1]!s_est_avgdps(C62,I62,TODAY()))</f>
        <v/>
      </c>
      <c r="AE62" s="74" t="str">
        <f ca="1">IF(C62="","",[1]!s_est_avgebit(C62,I62,TODAY(),100000000))</f>
        <v/>
      </c>
      <c r="AF62" s="74" t="str">
        <f ca="1">IF(C62="","",[1]!s_est_avgebitda(C62,I62,TODAY(),100000000))</f>
        <v/>
      </c>
      <c r="AG62" s="74" t="str">
        <f ca="1">IF(C62="","",[1]!s_est_avgbps(C62,I62,TODAY()))</f>
        <v/>
      </c>
      <c r="AH62" s="74" t="str">
        <f ca="1">IF(C62="","",[1]!s_est_avgebt(C62,I62,TODAY(),100000000))</f>
        <v/>
      </c>
      <c r="AI62" s="74" t="str">
        <f ca="1">IF(C62="","",[1]!s_est_avgroa(C62,I62,TODAY()))</f>
        <v/>
      </c>
      <c r="AJ62" s="74" t="str">
        <f ca="1">IF(C62="","",[1]!s_est_avgroe(C62,I62,TODAY()))</f>
        <v/>
      </c>
      <c r="AK62" s="74" t="str">
        <f ca="1">IF(C62="","",[1]!s_est_avgoperatingprofit(C62,I62,TODAY(),100000000))</f>
        <v/>
      </c>
      <c r="AL62" s="74" t="str">
        <f ca="1">IF(C62="","",[1]!s_est_yoynetprofit(C62,I62,TODAY()))</f>
        <v/>
      </c>
      <c r="AM62" s="74" t="str">
        <f ca="1">IF(C62="","",[1]!s_est_yoysales(C62,I62,TODAY()))</f>
        <v/>
      </c>
      <c r="AN62" s="35"/>
    </row>
    <row r="63" spans="1:40" s="36" customFormat="1" ht="16.5" x14ac:dyDescent="0.2">
      <c r="A63" s="2"/>
      <c r="B63" s="6"/>
      <c r="C63" s="28" t="str">
        <f>IF(表1[[#This Row],[列1]]="","",表1[[#This Row],[列1]])</f>
        <v/>
      </c>
      <c r="D63" s="19" t="str">
        <f>IF(C63="","",[1]!hks_info_name(C63))</f>
        <v/>
      </c>
      <c r="E63" s="18" t="str">
        <f ca="1">IF(C63="","",[1]!lastradeday_s(C63,TODAY()))</f>
        <v/>
      </c>
      <c r="F63" s="19" t="str">
        <f>IF(C63="","",IF(OR([1]!s_stm_rpt_e(C63,基本资料!$I$8,0)="#N/A",[1]!s_stm_rpt_e(C63,基本资料!$I$8,0)="",[1]!s_stm_rpt_e(C63,基本资料!$I$8,0)=0),[1]!s_stm_rpt_e(C63,基本资料!$I$9,0),[1]!s_stm_rpt_e(C63,基本资料!$I$8,0)))</f>
        <v/>
      </c>
      <c r="G63" s="18" t="str">
        <f>IF(C63="","",YEAR([1]!s_stm_rpt_e(C63,F63,0)))</f>
        <v/>
      </c>
      <c r="H63" s="18" t="str">
        <f>IF(C63="","",表1_31213141516[[#This Row],[列5]]+1)</f>
        <v/>
      </c>
      <c r="I63" s="18" t="str">
        <f>IF(C63="","",表1_31213141516[[#This Row],[列5]]+2)</f>
        <v/>
      </c>
      <c r="J63" s="18" t="str">
        <f ca="1">IF(C63="","",[1]!s_est_instnum(C63,H63,TODAY()))</f>
        <v/>
      </c>
      <c r="K63" s="74" t="str">
        <f ca="1">IF(C63="","",[1]!s_est_eps(C63,H63,TODAY()))</f>
        <v/>
      </c>
      <c r="L63" s="74" t="str">
        <f ca="1">IF(C63="","",[1]!s_est_sales(C63,H63,TODAY(),100000000))</f>
        <v/>
      </c>
      <c r="M63" s="74" t="str">
        <f ca="1">IF(C63="","",[1]!s_est_netprofit(C63,H63,TODAY(),100000000))</f>
        <v/>
      </c>
      <c r="N63" s="74" t="str">
        <f ca="1">IF(C63="","",[1]!s_est_avgcps(C63,H63,TODAY()))</f>
        <v/>
      </c>
      <c r="O63" s="74" t="str">
        <f ca="1">IF(C63="","",[1]!s_est_avgdps(C63,H63,TODAY()))</f>
        <v/>
      </c>
      <c r="P63" s="74" t="str">
        <f ca="1">IF(C63="","",[1]!s_est_avgebit(C63,H63,TODAY(),100000000))</f>
        <v/>
      </c>
      <c r="Q63" s="74" t="str">
        <f ca="1">IF(C63="","",[1]!s_est_avgebitda(C63,H63,TODAY(),100000000))</f>
        <v/>
      </c>
      <c r="R63" s="74" t="str">
        <f ca="1">IF(C63="","",[1]!s_est_avgbps(C63,H63,TODAY()))</f>
        <v/>
      </c>
      <c r="S63" s="74" t="str">
        <f ca="1">IF(C63="","",[1]!s_est_avgebt(C63,H63,TODAY(),100000000))</f>
        <v/>
      </c>
      <c r="T63" s="74" t="str">
        <f ca="1">IF(C63="","",[1]!s_est_avgroa(C63,H63,TODAY()))</f>
        <v/>
      </c>
      <c r="U63" s="74" t="str">
        <f ca="1">IF(C63="","",[1]!s_est_avgroe(C63,H63,TODAY()))</f>
        <v/>
      </c>
      <c r="V63" s="74" t="str">
        <f ca="1">IF(C63="","",[1]!s_est_avgoperatingprofit(C63,H63,TODAY(),100000000))</f>
        <v/>
      </c>
      <c r="W63" s="74" t="str">
        <f ca="1">IF(C63="","",[1]!s_est_yoynetprofit(C63,H63,TODAY()))</f>
        <v/>
      </c>
      <c r="X63" s="74" t="str">
        <f ca="1">IF(C63="","",[1]!s_est_yoysales(C63,H63,TODAY()))</f>
        <v/>
      </c>
      <c r="Y63" s="74" t="str">
        <f ca="1">IF(C63="","",[1]!s_est_instnum(C63,I63,TODAY()))</f>
        <v/>
      </c>
      <c r="Z63" s="74" t="str">
        <f ca="1">IF(C63="","",[1]!s_est_eps(C63,I63,TODAY()))</f>
        <v/>
      </c>
      <c r="AA63" s="74" t="str">
        <f ca="1">IF(C63="","",[1]!s_est_sales(C63,I63,TODAY(),100000000))</f>
        <v/>
      </c>
      <c r="AB63" s="74" t="str">
        <f ca="1">IF(C63="","",[1]!s_est_netprofit(C63,I63,TODAY(),100000000))</f>
        <v/>
      </c>
      <c r="AC63" s="74" t="str">
        <f ca="1">IF(C63="","",[1]!s_est_avgcps(C63,I63,TODAY()))</f>
        <v/>
      </c>
      <c r="AD63" s="74" t="str">
        <f ca="1">IF(C63="","",[1]!s_est_avgdps(C63,I63,TODAY()))</f>
        <v/>
      </c>
      <c r="AE63" s="74" t="str">
        <f ca="1">IF(C63="","",[1]!s_est_avgebit(C63,I63,TODAY(),100000000))</f>
        <v/>
      </c>
      <c r="AF63" s="74" t="str">
        <f ca="1">IF(C63="","",[1]!s_est_avgebitda(C63,I63,TODAY(),100000000))</f>
        <v/>
      </c>
      <c r="AG63" s="74" t="str">
        <f ca="1">IF(C63="","",[1]!s_est_avgbps(C63,I63,TODAY()))</f>
        <v/>
      </c>
      <c r="AH63" s="74" t="str">
        <f ca="1">IF(C63="","",[1]!s_est_avgebt(C63,I63,TODAY(),100000000))</f>
        <v/>
      </c>
      <c r="AI63" s="74" t="str">
        <f ca="1">IF(C63="","",[1]!s_est_avgroa(C63,I63,TODAY()))</f>
        <v/>
      </c>
      <c r="AJ63" s="74" t="str">
        <f ca="1">IF(C63="","",[1]!s_est_avgroe(C63,I63,TODAY()))</f>
        <v/>
      </c>
      <c r="AK63" s="74" t="str">
        <f ca="1">IF(C63="","",[1]!s_est_avgoperatingprofit(C63,I63,TODAY(),100000000))</f>
        <v/>
      </c>
      <c r="AL63" s="74" t="str">
        <f ca="1">IF(C63="","",[1]!s_est_yoynetprofit(C63,I63,TODAY()))</f>
        <v/>
      </c>
      <c r="AM63" s="74" t="str">
        <f ca="1">IF(C63="","",[1]!s_est_yoysales(C63,I63,TODAY()))</f>
        <v/>
      </c>
      <c r="AN63" s="35"/>
    </row>
    <row r="64" spans="1:40" s="36" customFormat="1" ht="16.5" x14ac:dyDescent="0.2">
      <c r="A64" s="2"/>
      <c r="B64" s="6"/>
      <c r="C64" s="28" t="str">
        <f>IF(表1[[#This Row],[列1]]="","",表1[[#This Row],[列1]])</f>
        <v/>
      </c>
      <c r="D64" s="19" t="str">
        <f>IF(C64="","",[1]!hks_info_name(C64))</f>
        <v/>
      </c>
      <c r="E64" s="18" t="str">
        <f ca="1">IF(C64="","",[1]!lastradeday_s(C64,TODAY()))</f>
        <v/>
      </c>
      <c r="F64" s="19" t="str">
        <f>IF(C64="","",IF(OR([1]!s_stm_rpt_e(C64,基本资料!$I$8,0)="#N/A",[1]!s_stm_rpt_e(C64,基本资料!$I$8,0)="",[1]!s_stm_rpt_e(C64,基本资料!$I$8,0)=0),[1]!s_stm_rpt_e(C64,基本资料!$I$9,0),[1]!s_stm_rpt_e(C64,基本资料!$I$8,0)))</f>
        <v/>
      </c>
      <c r="G64" s="18" t="str">
        <f>IF(C64="","",YEAR([1]!s_stm_rpt_e(C64,F64,0)))</f>
        <v/>
      </c>
      <c r="H64" s="18" t="str">
        <f>IF(C64="","",表1_31213141516[[#This Row],[列5]]+1)</f>
        <v/>
      </c>
      <c r="I64" s="18" t="str">
        <f>IF(C64="","",表1_31213141516[[#This Row],[列5]]+2)</f>
        <v/>
      </c>
      <c r="J64" s="18" t="str">
        <f ca="1">IF(C64="","",[1]!s_est_instnum(C64,H64,TODAY()))</f>
        <v/>
      </c>
      <c r="K64" s="74" t="str">
        <f ca="1">IF(C64="","",[1]!s_est_eps(C64,H64,TODAY()))</f>
        <v/>
      </c>
      <c r="L64" s="74" t="str">
        <f ca="1">IF(C64="","",[1]!s_est_sales(C64,H64,TODAY(),100000000))</f>
        <v/>
      </c>
      <c r="M64" s="74" t="str">
        <f ca="1">IF(C64="","",[1]!s_est_netprofit(C64,H64,TODAY(),100000000))</f>
        <v/>
      </c>
      <c r="N64" s="74" t="str">
        <f ca="1">IF(C64="","",[1]!s_est_avgcps(C64,H64,TODAY()))</f>
        <v/>
      </c>
      <c r="O64" s="74" t="str">
        <f ca="1">IF(C64="","",[1]!s_est_avgdps(C64,H64,TODAY()))</f>
        <v/>
      </c>
      <c r="P64" s="74" t="str">
        <f ca="1">IF(C64="","",[1]!s_est_avgebit(C64,H64,TODAY(),100000000))</f>
        <v/>
      </c>
      <c r="Q64" s="74" t="str">
        <f ca="1">IF(C64="","",[1]!s_est_avgebitda(C64,H64,TODAY(),100000000))</f>
        <v/>
      </c>
      <c r="R64" s="74" t="str">
        <f ca="1">IF(C64="","",[1]!s_est_avgbps(C64,H64,TODAY()))</f>
        <v/>
      </c>
      <c r="S64" s="74" t="str">
        <f ca="1">IF(C64="","",[1]!s_est_avgebt(C64,H64,TODAY(),100000000))</f>
        <v/>
      </c>
      <c r="T64" s="74" t="str">
        <f ca="1">IF(C64="","",[1]!s_est_avgroa(C64,H64,TODAY()))</f>
        <v/>
      </c>
      <c r="U64" s="74" t="str">
        <f ca="1">IF(C64="","",[1]!s_est_avgroe(C64,H64,TODAY()))</f>
        <v/>
      </c>
      <c r="V64" s="74" t="str">
        <f ca="1">IF(C64="","",[1]!s_est_avgoperatingprofit(C64,H64,TODAY(),100000000))</f>
        <v/>
      </c>
      <c r="W64" s="74" t="str">
        <f ca="1">IF(C64="","",[1]!s_est_yoynetprofit(C64,H64,TODAY()))</f>
        <v/>
      </c>
      <c r="X64" s="74" t="str">
        <f ca="1">IF(C64="","",[1]!s_est_yoysales(C64,H64,TODAY()))</f>
        <v/>
      </c>
      <c r="Y64" s="74" t="str">
        <f ca="1">IF(C64="","",[1]!s_est_instnum(C64,I64,TODAY()))</f>
        <v/>
      </c>
      <c r="Z64" s="74" t="str">
        <f ca="1">IF(C64="","",[1]!s_est_eps(C64,I64,TODAY()))</f>
        <v/>
      </c>
      <c r="AA64" s="74" t="str">
        <f ca="1">IF(C64="","",[1]!s_est_sales(C64,I64,TODAY(),100000000))</f>
        <v/>
      </c>
      <c r="AB64" s="74" t="str">
        <f ca="1">IF(C64="","",[1]!s_est_netprofit(C64,I64,TODAY(),100000000))</f>
        <v/>
      </c>
      <c r="AC64" s="74" t="str">
        <f ca="1">IF(C64="","",[1]!s_est_avgcps(C64,I64,TODAY()))</f>
        <v/>
      </c>
      <c r="AD64" s="74" t="str">
        <f ca="1">IF(C64="","",[1]!s_est_avgdps(C64,I64,TODAY()))</f>
        <v/>
      </c>
      <c r="AE64" s="74" t="str">
        <f ca="1">IF(C64="","",[1]!s_est_avgebit(C64,I64,TODAY(),100000000))</f>
        <v/>
      </c>
      <c r="AF64" s="74" t="str">
        <f ca="1">IF(C64="","",[1]!s_est_avgebitda(C64,I64,TODAY(),100000000))</f>
        <v/>
      </c>
      <c r="AG64" s="74" t="str">
        <f ca="1">IF(C64="","",[1]!s_est_avgbps(C64,I64,TODAY()))</f>
        <v/>
      </c>
      <c r="AH64" s="74" t="str">
        <f ca="1">IF(C64="","",[1]!s_est_avgebt(C64,I64,TODAY(),100000000))</f>
        <v/>
      </c>
      <c r="AI64" s="74" t="str">
        <f ca="1">IF(C64="","",[1]!s_est_avgroa(C64,I64,TODAY()))</f>
        <v/>
      </c>
      <c r="AJ64" s="74" t="str">
        <f ca="1">IF(C64="","",[1]!s_est_avgroe(C64,I64,TODAY()))</f>
        <v/>
      </c>
      <c r="AK64" s="74" t="str">
        <f ca="1">IF(C64="","",[1]!s_est_avgoperatingprofit(C64,I64,TODAY(),100000000))</f>
        <v/>
      </c>
      <c r="AL64" s="74" t="str">
        <f ca="1">IF(C64="","",[1]!s_est_yoynetprofit(C64,I64,TODAY()))</f>
        <v/>
      </c>
      <c r="AM64" s="74" t="str">
        <f ca="1">IF(C64="","",[1]!s_est_yoysales(C64,I64,TODAY()))</f>
        <v/>
      </c>
      <c r="AN64" s="35"/>
    </row>
    <row r="65" spans="1:40" s="36" customFormat="1" ht="16.5" x14ac:dyDescent="0.2">
      <c r="A65" s="2"/>
      <c r="B65" s="6"/>
      <c r="C65" s="28" t="str">
        <f>IF(表1[[#This Row],[列1]]="","",表1[[#This Row],[列1]])</f>
        <v/>
      </c>
      <c r="D65" s="19" t="str">
        <f>IF(C65="","",[1]!hks_info_name(C65))</f>
        <v/>
      </c>
      <c r="E65" s="18" t="str">
        <f ca="1">IF(C65="","",[1]!lastradeday_s(C65,TODAY()))</f>
        <v/>
      </c>
      <c r="F65" s="19" t="str">
        <f>IF(C65="","",IF(OR([1]!s_stm_rpt_e(C65,基本资料!$I$8,0)="#N/A",[1]!s_stm_rpt_e(C65,基本资料!$I$8,0)="",[1]!s_stm_rpt_e(C65,基本资料!$I$8,0)=0),[1]!s_stm_rpt_e(C65,基本资料!$I$9,0),[1]!s_stm_rpt_e(C65,基本资料!$I$8,0)))</f>
        <v/>
      </c>
      <c r="G65" s="18" t="str">
        <f>IF(C65="","",YEAR([1]!s_stm_rpt_e(C65,F65,0)))</f>
        <v/>
      </c>
      <c r="H65" s="18" t="str">
        <f>IF(C65="","",表1_31213141516[[#This Row],[列5]]+1)</f>
        <v/>
      </c>
      <c r="I65" s="18" t="str">
        <f>IF(C65="","",表1_31213141516[[#This Row],[列5]]+2)</f>
        <v/>
      </c>
      <c r="J65" s="18" t="str">
        <f ca="1">IF(C65="","",[1]!s_est_instnum(C65,H65,TODAY()))</f>
        <v/>
      </c>
      <c r="K65" s="74" t="str">
        <f ca="1">IF(C65="","",[1]!s_est_eps(C65,H65,TODAY()))</f>
        <v/>
      </c>
      <c r="L65" s="74" t="str">
        <f ca="1">IF(C65="","",[1]!s_est_sales(C65,H65,TODAY(),100000000))</f>
        <v/>
      </c>
      <c r="M65" s="74" t="str">
        <f ca="1">IF(C65="","",[1]!s_est_netprofit(C65,H65,TODAY(),100000000))</f>
        <v/>
      </c>
      <c r="N65" s="74" t="str">
        <f ca="1">IF(C65="","",[1]!s_est_avgcps(C65,H65,TODAY()))</f>
        <v/>
      </c>
      <c r="O65" s="74" t="str">
        <f ca="1">IF(C65="","",[1]!s_est_avgdps(C65,H65,TODAY()))</f>
        <v/>
      </c>
      <c r="P65" s="74" t="str">
        <f ca="1">IF(C65="","",[1]!s_est_avgebit(C65,H65,TODAY(),100000000))</f>
        <v/>
      </c>
      <c r="Q65" s="74" t="str">
        <f ca="1">IF(C65="","",[1]!s_est_avgebitda(C65,H65,TODAY(),100000000))</f>
        <v/>
      </c>
      <c r="R65" s="74" t="str">
        <f ca="1">IF(C65="","",[1]!s_est_avgbps(C65,H65,TODAY()))</f>
        <v/>
      </c>
      <c r="S65" s="74" t="str">
        <f ca="1">IF(C65="","",[1]!s_est_avgebt(C65,H65,TODAY(),100000000))</f>
        <v/>
      </c>
      <c r="T65" s="74" t="str">
        <f ca="1">IF(C65="","",[1]!s_est_avgroa(C65,H65,TODAY()))</f>
        <v/>
      </c>
      <c r="U65" s="74" t="str">
        <f ca="1">IF(C65="","",[1]!s_est_avgroe(C65,H65,TODAY()))</f>
        <v/>
      </c>
      <c r="V65" s="74" t="str">
        <f ca="1">IF(C65="","",[1]!s_est_avgoperatingprofit(C65,H65,TODAY(),100000000))</f>
        <v/>
      </c>
      <c r="W65" s="74" t="str">
        <f ca="1">IF(C65="","",[1]!s_est_yoynetprofit(C65,H65,TODAY()))</f>
        <v/>
      </c>
      <c r="X65" s="74" t="str">
        <f ca="1">IF(C65="","",[1]!s_est_yoysales(C65,H65,TODAY()))</f>
        <v/>
      </c>
      <c r="Y65" s="74" t="str">
        <f ca="1">IF(C65="","",[1]!s_est_instnum(C65,I65,TODAY()))</f>
        <v/>
      </c>
      <c r="Z65" s="74" t="str">
        <f ca="1">IF(C65="","",[1]!s_est_eps(C65,I65,TODAY()))</f>
        <v/>
      </c>
      <c r="AA65" s="74" t="str">
        <f ca="1">IF(C65="","",[1]!s_est_sales(C65,I65,TODAY(),100000000))</f>
        <v/>
      </c>
      <c r="AB65" s="74" t="str">
        <f ca="1">IF(C65="","",[1]!s_est_netprofit(C65,I65,TODAY(),100000000))</f>
        <v/>
      </c>
      <c r="AC65" s="74" t="str">
        <f ca="1">IF(C65="","",[1]!s_est_avgcps(C65,I65,TODAY()))</f>
        <v/>
      </c>
      <c r="AD65" s="74" t="str">
        <f ca="1">IF(C65="","",[1]!s_est_avgdps(C65,I65,TODAY()))</f>
        <v/>
      </c>
      <c r="AE65" s="74" t="str">
        <f ca="1">IF(C65="","",[1]!s_est_avgebit(C65,I65,TODAY(),100000000))</f>
        <v/>
      </c>
      <c r="AF65" s="74" t="str">
        <f ca="1">IF(C65="","",[1]!s_est_avgebitda(C65,I65,TODAY(),100000000))</f>
        <v/>
      </c>
      <c r="AG65" s="74" t="str">
        <f ca="1">IF(C65="","",[1]!s_est_avgbps(C65,I65,TODAY()))</f>
        <v/>
      </c>
      <c r="AH65" s="74" t="str">
        <f ca="1">IF(C65="","",[1]!s_est_avgebt(C65,I65,TODAY(),100000000))</f>
        <v/>
      </c>
      <c r="AI65" s="74" t="str">
        <f ca="1">IF(C65="","",[1]!s_est_avgroa(C65,I65,TODAY()))</f>
        <v/>
      </c>
      <c r="AJ65" s="74" t="str">
        <f ca="1">IF(C65="","",[1]!s_est_avgroe(C65,I65,TODAY()))</f>
        <v/>
      </c>
      <c r="AK65" s="74" t="str">
        <f ca="1">IF(C65="","",[1]!s_est_avgoperatingprofit(C65,I65,TODAY(),100000000))</f>
        <v/>
      </c>
      <c r="AL65" s="74" t="str">
        <f ca="1">IF(C65="","",[1]!s_est_yoynetprofit(C65,I65,TODAY()))</f>
        <v/>
      </c>
      <c r="AM65" s="74" t="str">
        <f ca="1">IF(C65="","",[1]!s_est_yoysales(C65,I65,TODAY()))</f>
        <v/>
      </c>
      <c r="AN65" s="35"/>
    </row>
    <row r="66" spans="1:40" s="36" customFormat="1" ht="16.5" x14ac:dyDescent="0.2">
      <c r="A66" s="2"/>
      <c r="B66" s="6"/>
      <c r="C66" s="28" t="str">
        <f>IF(表1[[#This Row],[列1]]="","",表1[[#This Row],[列1]])</f>
        <v/>
      </c>
      <c r="D66" s="19" t="str">
        <f>IF(C66="","",[1]!hks_info_name(C66))</f>
        <v/>
      </c>
      <c r="E66" s="18" t="str">
        <f ca="1">IF(C66="","",[1]!lastradeday_s(C66,TODAY()))</f>
        <v/>
      </c>
      <c r="F66" s="19" t="str">
        <f>IF(C66="","",IF(OR([1]!s_stm_rpt_e(C66,基本资料!$I$8,0)="#N/A",[1]!s_stm_rpt_e(C66,基本资料!$I$8,0)="",[1]!s_stm_rpt_e(C66,基本资料!$I$8,0)=0),[1]!s_stm_rpt_e(C66,基本资料!$I$9,0),[1]!s_stm_rpt_e(C66,基本资料!$I$8,0)))</f>
        <v/>
      </c>
      <c r="G66" s="18" t="str">
        <f>IF(C66="","",YEAR([1]!s_stm_rpt_e(C66,F66,0)))</f>
        <v/>
      </c>
      <c r="H66" s="18" t="str">
        <f>IF(C66="","",表1_31213141516[[#This Row],[列5]]+1)</f>
        <v/>
      </c>
      <c r="I66" s="18" t="str">
        <f>IF(C66="","",表1_31213141516[[#This Row],[列5]]+2)</f>
        <v/>
      </c>
      <c r="J66" s="18" t="str">
        <f ca="1">IF(C66="","",[1]!s_est_instnum(C66,H66,TODAY()))</f>
        <v/>
      </c>
      <c r="K66" s="74" t="str">
        <f ca="1">IF(C66="","",[1]!s_est_eps(C66,H66,TODAY()))</f>
        <v/>
      </c>
      <c r="L66" s="74" t="str">
        <f ca="1">IF(C66="","",[1]!s_est_sales(C66,H66,TODAY(),100000000))</f>
        <v/>
      </c>
      <c r="M66" s="74" t="str">
        <f ca="1">IF(C66="","",[1]!s_est_netprofit(C66,H66,TODAY(),100000000))</f>
        <v/>
      </c>
      <c r="N66" s="74" t="str">
        <f ca="1">IF(C66="","",[1]!s_est_avgcps(C66,H66,TODAY()))</f>
        <v/>
      </c>
      <c r="O66" s="74" t="str">
        <f ca="1">IF(C66="","",[1]!s_est_avgdps(C66,H66,TODAY()))</f>
        <v/>
      </c>
      <c r="P66" s="74" t="str">
        <f ca="1">IF(C66="","",[1]!s_est_avgebit(C66,H66,TODAY(),100000000))</f>
        <v/>
      </c>
      <c r="Q66" s="74" t="str">
        <f ca="1">IF(C66="","",[1]!s_est_avgebitda(C66,H66,TODAY(),100000000))</f>
        <v/>
      </c>
      <c r="R66" s="74" t="str">
        <f ca="1">IF(C66="","",[1]!s_est_avgbps(C66,H66,TODAY()))</f>
        <v/>
      </c>
      <c r="S66" s="74" t="str">
        <f ca="1">IF(C66="","",[1]!s_est_avgebt(C66,H66,TODAY(),100000000))</f>
        <v/>
      </c>
      <c r="T66" s="74" t="str">
        <f ca="1">IF(C66="","",[1]!s_est_avgroa(C66,H66,TODAY()))</f>
        <v/>
      </c>
      <c r="U66" s="74" t="str">
        <f ca="1">IF(C66="","",[1]!s_est_avgroe(C66,H66,TODAY()))</f>
        <v/>
      </c>
      <c r="V66" s="74" t="str">
        <f ca="1">IF(C66="","",[1]!s_est_avgoperatingprofit(C66,H66,TODAY(),100000000))</f>
        <v/>
      </c>
      <c r="W66" s="74" t="str">
        <f ca="1">IF(C66="","",[1]!s_est_yoynetprofit(C66,H66,TODAY()))</f>
        <v/>
      </c>
      <c r="X66" s="74" t="str">
        <f ca="1">IF(C66="","",[1]!s_est_yoysales(C66,H66,TODAY()))</f>
        <v/>
      </c>
      <c r="Y66" s="74" t="str">
        <f ca="1">IF(C66="","",[1]!s_est_instnum(C66,I66,TODAY()))</f>
        <v/>
      </c>
      <c r="Z66" s="74" t="str">
        <f ca="1">IF(C66="","",[1]!s_est_eps(C66,I66,TODAY()))</f>
        <v/>
      </c>
      <c r="AA66" s="74" t="str">
        <f ca="1">IF(C66="","",[1]!s_est_sales(C66,I66,TODAY(),100000000))</f>
        <v/>
      </c>
      <c r="AB66" s="74" t="str">
        <f ca="1">IF(C66="","",[1]!s_est_netprofit(C66,I66,TODAY(),100000000))</f>
        <v/>
      </c>
      <c r="AC66" s="74" t="str">
        <f ca="1">IF(C66="","",[1]!s_est_avgcps(C66,I66,TODAY()))</f>
        <v/>
      </c>
      <c r="AD66" s="74" t="str">
        <f ca="1">IF(C66="","",[1]!s_est_avgdps(C66,I66,TODAY()))</f>
        <v/>
      </c>
      <c r="AE66" s="74" t="str">
        <f ca="1">IF(C66="","",[1]!s_est_avgebit(C66,I66,TODAY(),100000000))</f>
        <v/>
      </c>
      <c r="AF66" s="74" t="str">
        <f ca="1">IF(C66="","",[1]!s_est_avgebitda(C66,I66,TODAY(),100000000))</f>
        <v/>
      </c>
      <c r="AG66" s="74" t="str">
        <f ca="1">IF(C66="","",[1]!s_est_avgbps(C66,I66,TODAY()))</f>
        <v/>
      </c>
      <c r="AH66" s="74" t="str">
        <f ca="1">IF(C66="","",[1]!s_est_avgebt(C66,I66,TODAY(),100000000))</f>
        <v/>
      </c>
      <c r="AI66" s="74" t="str">
        <f ca="1">IF(C66="","",[1]!s_est_avgroa(C66,I66,TODAY()))</f>
        <v/>
      </c>
      <c r="AJ66" s="74" t="str">
        <f ca="1">IF(C66="","",[1]!s_est_avgroe(C66,I66,TODAY()))</f>
        <v/>
      </c>
      <c r="AK66" s="74" t="str">
        <f ca="1">IF(C66="","",[1]!s_est_avgoperatingprofit(C66,I66,TODAY(),100000000))</f>
        <v/>
      </c>
      <c r="AL66" s="74" t="str">
        <f ca="1">IF(C66="","",[1]!s_est_yoynetprofit(C66,I66,TODAY()))</f>
        <v/>
      </c>
      <c r="AM66" s="74" t="str">
        <f ca="1">IF(C66="","",[1]!s_est_yoysales(C66,I66,TODAY()))</f>
        <v/>
      </c>
      <c r="AN66" s="35"/>
    </row>
    <row r="67" spans="1:40" s="36" customFormat="1" ht="16.5" x14ac:dyDescent="0.2">
      <c r="A67" s="2"/>
      <c r="B67" s="6"/>
      <c r="C67" s="28" t="str">
        <f>IF(表1[[#This Row],[列1]]="","",表1[[#This Row],[列1]])</f>
        <v/>
      </c>
      <c r="D67" s="19" t="str">
        <f>IF(C67="","",[1]!hks_info_name(C67))</f>
        <v/>
      </c>
      <c r="E67" s="18" t="str">
        <f ca="1">IF(C67="","",[1]!lastradeday_s(C67,TODAY()))</f>
        <v/>
      </c>
      <c r="F67" s="19" t="str">
        <f>IF(C67="","",IF(OR([1]!s_stm_rpt_e(C67,基本资料!$I$8,0)="#N/A",[1]!s_stm_rpt_e(C67,基本资料!$I$8,0)="",[1]!s_stm_rpt_e(C67,基本资料!$I$8,0)=0),[1]!s_stm_rpt_e(C67,基本资料!$I$9,0),[1]!s_stm_rpt_e(C67,基本资料!$I$8,0)))</f>
        <v/>
      </c>
      <c r="G67" s="18" t="str">
        <f>IF(C67="","",YEAR([1]!s_stm_rpt_e(C67,F67,0)))</f>
        <v/>
      </c>
      <c r="H67" s="18" t="str">
        <f>IF(C67="","",表1_31213141516[[#This Row],[列5]]+1)</f>
        <v/>
      </c>
      <c r="I67" s="18" t="str">
        <f>IF(C67="","",表1_31213141516[[#This Row],[列5]]+2)</f>
        <v/>
      </c>
      <c r="J67" s="18" t="str">
        <f ca="1">IF(C67="","",[1]!s_est_instnum(C67,H67,TODAY()))</f>
        <v/>
      </c>
      <c r="K67" s="74" t="str">
        <f ca="1">IF(C67="","",[1]!s_est_eps(C67,H67,TODAY()))</f>
        <v/>
      </c>
      <c r="L67" s="74" t="str">
        <f ca="1">IF(C67="","",[1]!s_est_sales(C67,H67,TODAY(),100000000))</f>
        <v/>
      </c>
      <c r="M67" s="74" t="str">
        <f ca="1">IF(C67="","",[1]!s_est_netprofit(C67,H67,TODAY(),100000000))</f>
        <v/>
      </c>
      <c r="N67" s="74" t="str">
        <f ca="1">IF(C67="","",[1]!s_est_avgcps(C67,H67,TODAY()))</f>
        <v/>
      </c>
      <c r="O67" s="74" t="str">
        <f ca="1">IF(C67="","",[1]!s_est_avgdps(C67,H67,TODAY()))</f>
        <v/>
      </c>
      <c r="P67" s="74" t="str">
        <f ca="1">IF(C67="","",[1]!s_est_avgebit(C67,H67,TODAY(),100000000))</f>
        <v/>
      </c>
      <c r="Q67" s="74" t="str">
        <f ca="1">IF(C67="","",[1]!s_est_avgebitda(C67,H67,TODAY(),100000000))</f>
        <v/>
      </c>
      <c r="R67" s="74" t="str">
        <f ca="1">IF(C67="","",[1]!s_est_avgbps(C67,H67,TODAY()))</f>
        <v/>
      </c>
      <c r="S67" s="74" t="str">
        <f ca="1">IF(C67="","",[1]!s_est_avgebt(C67,H67,TODAY(),100000000))</f>
        <v/>
      </c>
      <c r="T67" s="74" t="str">
        <f ca="1">IF(C67="","",[1]!s_est_avgroa(C67,H67,TODAY()))</f>
        <v/>
      </c>
      <c r="U67" s="74" t="str">
        <f ca="1">IF(C67="","",[1]!s_est_avgroe(C67,H67,TODAY()))</f>
        <v/>
      </c>
      <c r="V67" s="74" t="str">
        <f ca="1">IF(C67="","",[1]!s_est_avgoperatingprofit(C67,H67,TODAY(),100000000))</f>
        <v/>
      </c>
      <c r="W67" s="74" t="str">
        <f ca="1">IF(C67="","",[1]!s_est_yoynetprofit(C67,H67,TODAY()))</f>
        <v/>
      </c>
      <c r="X67" s="74" t="str">
        <f ca="1">IF(C67="","",[1]!s_est_yoysales(C67,H67,TODAY()))</f>
        <v/>
      </c>
      <c r="Y67" s="74" t="str">
        <f ca="1">IF(C67="","",[1]!s_est_instnum(C67,I67,TODAY()))</f>
        <v/>
      </c>
      <c r="Z67" s="74" t="str">
        <f ca="1">IF(C67="","",[1]!s_est_eps(C67,I67,TODAY()))</f>
        <v/>
      </c>
      <c r="AA67" s="74" t="str">
        <f ca="1">IF(C67="","",[1]!s_est_sales(C67,I67,TODAY(),100000000))</f>
        <v/>
      </c>
      <c r="AB67" s="74" t="str">
        <f ca="1">IF(C67="","",[1]!s_est_netprofit(C67,I67,TODAY(),100000000))</f>
        <v/>
      </c>
      <c r="AC67" s="74" t="str">
        <f ca="1">IF(C67="","",[1]!s_est_avgcps(C67,I67,TODAY()))</f>
        <v/>
      </c>
      <c r="AD67" s="74" t="str">
        <f ca="1">IF(C67="","",[1]!s_est_avgdps(C67,I67,TODAY()))</f>
        <v/>
      </c>
      <c r="AE67" s="74" t="str">
        <f ca="1">IF(C67="","",[1]!s_est_avgebit(C67,I67,TODAY(),100000000))</f>
        <v/>
      </c>
      <c r="AF67" s="74" t="str">
        <f ca="1">IF(C67="","",[1]!s_est_avgebitda(C67,I67,TODAY(),100000000))</f>
        <v/>
      </c>
      <c r="AG67" s="74" t="str">
        <f ca="1">IF(C67="","",[1]!s_est_avgbps(C67,I67,TODAY()))</f>
        <v/>
      </c>
      <c r="AH67" s="74" t="str">
        <f ca="1">IF(C67="","",[1]!s_est_avgebt(C67,I67,TODAY(),100000000))</f>
        <v/>
      </c>
      <c r="AI67" s="74" t="str">
        <f ca="1">IF(C67="","",[1]!s_est_avgroa(C67,I67,TODAY()))</f>
        <v/>
      </c>
      <c r="AJ67" s="74" t="str">
        <f ca="1">IF(C67="","",[1]!s_est_avgroe(C67,I67,TODAY()))</f>
        <v/>
      </c>
      <c r="AK67" s="74" t="str">
        <f ca="1">IF(C67="","",[1]!s_est_avgoperatingprofit(C67,I67,TODAY(),100000000))</f>
        <v/>
      </c>
      <c r="AL67" s="74" t="str">
        <f ca="1">IF(C67="","",[1]!s_est_yoynetprofit(C67,I67,TODAY()))</f>
        <v/>
      </c>
      <c r="AM67" s="74" t="str">
        <f ca="1">IF(C67="","",[1]!s_est_yoysales(C67,I67,TODAY()))</f>
        <v/>
      </c>
      <c r="AN67" s="35"/>
    </row>
    <row r="68" spans="1:40" s="36" customFormat="1" ht="16.5" x14ac:dyDescent="0.2">
      <c r="A68" s="2"/>
      <c r="B68" s="6"/>
      <c r="C68" s="28" t="str">
        <f>IF(表1[[#This Row],[列1]]="","",表1[[#This Row],[列1]])</f>
        <v/>
      </c>
      <c r="D68" s="19" t="str">
        <f>IF(C68="","",[1]!hks_info_name(C68))</f>
        <v/>
      </c>
      <c r="E68" s="18" t="str">
        <f ca="1">IF(C68="","",[1]!lastradeday_s(C68,TODAY()))</f>
        <v/>
      </c>
      <c r="F68" s="19" t="str">
        <f>IF(C68="","",IF(OR([1]!s_stm_rpt_e(C68,基本资料!$I$8,0)="#N/A",[1]!s_stm_rpt_e(C68,基本资料!$I$8,0)="",[1]!s_stm_rpt_e(C68,基本资料!$I$8,0)=0),[1]!s_stm_rpt_e(C68,基本资料!$I$9,0),[1]!s_stm_rpt_e(C68,基本资料!$I$8,0)))</f>
        <v/>
      </c>
      <c r="G68" s="18" t="str">
        <f>IF(C68="","",YEAR([1]!s_stm_rpt_e(C68,F68,0)))</f>
        <v/>
      </c>
      <c r="H68" s="18" t="str">
        <f>IF(C68="","",表1_31213141516[[#This Row],[列5]]+1)</f>
        <v/>
      </c>
      <c r="I68" s="18" t="str">
        <f>IF(C68="","",表1_31213141516[[#This Row],[列5]]+2)</f>
        <v/>
      </c>
      <c r="J68" s="18" t="str">
        <f ca="1">IF(C68="","",[1]!s_est_instnum(C68,H68,TODAY()))</f>
        <v/>
      </c>
      <c r="K68" s="74" t="str">
        <f ca="1">IF(C68="","",[1]!s_est_eps(C68,H68,TODAY()))</f>
        <v/>
      </c>
      <c r="L68" s="74" t="str">
        <f ca="1">IF(C68="","",[1]!s_est_sales(C68,H68,TODAY(),100000000))</f>
        <v/>
      </c>
      <c r="M68" s="74" t="str">
        <f ca="1">IF(C68="","",[1]!s_est_netprofit(C68,H68,TODAY(),100000000))</f>
        <v/>
      </c>
      <c r="N68" s="74" t="str">
        <f ca="1">IF(C68="","",[1]!s_est_avgcps(C68,H68,TODAY()))</f>
        <v/>
      </c>
      <c r="O68" s="74" t="str">
        <f ca="1">IF(C68="","",[1]!s_est_avgdps(C68,H68,TODAY()))</f>
        <v/>
      </c>
      <c r="P68" s="74" t="str">
        <f ca="1">IF(C68="","",[1]!s_est_avgebit(C68,H68,TODAY(),100000000))</f>
        <v/>
      </c>
      <c r="Q68" s="74" t="str">
        <f ca="1">IF(C68="","",[1]!s_est_avgebitda(C68,H68,TODAY(),100000000))</f>
        <v/>
      </c>
      <c r="R68" s="74" t="str">
        <f ca="1">IF(C68="","",[1]!s_est_avgbps(C68,H68,TODAY()))</f>
        <v/>
      </c>
      <c r="S68" s="74" t="str">
        <f ca="1">IF(C68="","",[1]!s_est_avgebt(C68,H68,TODAY(),100000000))</f>
        <v/>
      </c>
      <c r="T68" s="74" t="str">
        <f ca="1">IF(C68="","",[1]!s_est_avgroa(C68,H68,TODAY()))</f>
        <v/>
      </c>
      <c r="U68" s="74" t="str">
        <f ca="1">IF(C68="","",[1]!s_est_avgroe(C68,H68,TODAY()))</f>
        <v/>
      </c>
      <c r="V68" s="74" t="str">
        <f ca="1">IF(C68="","",[1]!s_est_avgoperatingprofit(C68,H68,TODAY(),100000000))</f>
        <v/>
      </c>
      <c r="W68" s="74" t="str">
        <f ca="1">IF(C68="","",[1]!s_est_yoynetprofit(C68,H68,TODAY()))</f>
        <v/>
      </c>
      <c r="X68" s="74" t="str">
        <f ca="1">IF(C68="","",[1]!s_est_yoysales(C68,H68,TODAY()))</f>
        <v/>
      </c>
      <c r="Y68" s="74" t="str">
        <f ca="1">IF(C68="","",[1]!s_est_instnum(C68,I68,TODAY()))</f>
        <v/>
      </c>
      <c r="Z68" s="74" t="str">
        <f ca="1">IF(C68="","",[1]!s_est_eps(C68,I68,TODAY()))</f>
        <v/>
      </c>
      <c r="AA68" s="74" t="str">
        <f ca="1">IF(C68="","",[1]!s_est_sales(C68,I68,TODAY(),100000000))</f>
        <v/>
      </c>
      <c r="AB68" s="74" t="str">
        <f ca="1">IF(C68="","",[1]!s_est_netprofit(C68,I68,TODAY(),100000000))</f>
        <v/>
      </c>
      <c r="AC68" s="74" t="str">
        <f ca="1">IF(C68="","",[1]!s_est_avgcps(C68,I68,TODAY()))</f>
        <v/>
      </c>
      <c r="AD68" s="74" t="str">
        <f ca="1">IF(C68="","",[1]!s_est_avgdps(C68,I68,TODAY()))</f>
        <v/>
      </c>
      <c r="AE68" s="74" t="str">
        <f ca="1">IF(C68="","",[1]!s_est_avgebit(C68,I68,TODAY(),100000000))</f>
        <v/>
      </c>
      <c r="AF68" s="74" t="str">
        <f ca="1">IF(C68="","",[1]!s_est_avgebitda(C68,I68,TODAY(),100000000))</f>
        <v/>
      </c>
      <c r="AG68" s="74" t="str">
        <f ca="1">IF(C68="","",[1]!s_est_avgbps(C68,I68,TODAY()))</f>
        <v/>
      </c>
      <c r="AH68" s="74" t="str">
        <f ca="1">IF(C68="","",[1]!s_est_avgebt(C68,I68,TODAY(),100000000))</f>
        <v/>
      </c>
      <c r="AI68" s="74" t="str">
        <f ca="1">IF(C68="","",[1]!s_est_avgroa(C68,I68,TODAY()))</f>
        <v/>
      </c>
      <c r="AJ68" s="74" t="str">
        <f ca="1">IF(C68="","",[1]!s_est_avgroe(C68,I68,TODAY()))</f>
        <v/>
      </c>
      <c r="AK68" s="74" t="str">
        <f ca="1">IF(C68="","",[1]!s_est_avgoperatingprofit(C68,I68,TODAY(),100000000))</f>
        <v/>
      </c>
      <c r="AL68" s="74" t="str">
        <f ca="1">IF(C68="","",[1]!s_est_yoynetprofit(C68,I68,TODAY()))</f>
        <v/>
      </c>
      <c r="AM68" s="74" t="str">
        <f ca="1">IF(C68="","",[1]!s_est_yoysales(C68,I68,TODAY()))</f>
        <v/>
      </c>
      <c r="AN68" s="35"/>
    </row>
    <row r="69" spans="1:40" s="36" customFormat="1" ht="16.5" x14ac:dyDescent="0.2">
      <c r="A69" s="2"/>
      <c r="B69" s="6"/>
      <c r="C69" s="28" t="str">
        <f>IF(表1[[#This Row],[列1]]="","",表1[[#This Row],[列1]])</f>
        <v/>
      </c>
      <c r="D69" s="19" t="str">
        <f>IF(C69="","",[1]!hks_info_name(C69))</f>
        <v/>
      </c>
      <c r="E69" s="18" t="str">
        <f ca="1">IF(C69="","",[1]!lastradeday_s(C69,TODAY()))</f>
        <v/>
      </c>
      <c r="F69" s="19" t="str">
        <f>IF(C69="","",IF(OR([1]!s_stm_rpt_e(C69,基本资料!$I$8,0)="#N/A",[1]!s_stm_rpt_e(C69,基本资料!$I$8,0)="",[1]!s_stm_rpt_e(C69,基本资料!$I$8,0)=0),[1]!s_stm_rpt_e(C69,基本资料!$I$9,0),[1]!s_stm_rpt_e(C69,基本资料!$I$8,0)))</f>
        <v/>
      </c>
      <c r="G69" s="18" t="str">
        <f>IF(C69="","",YEAR([1]!s_stm_rpt_e(C69,F69,0)))</f>
        <v/>
      </c>
      <c r="H69" s="18" t="str">
        <f>IF(C69="","",表1_31213141516[[#This Row],[列5]]+1)</f>
        <v/>
      </c>
      <c r="I69" s="18" t="str">
        <f>IF(C69="","",表1_31213141516[[#This Row],[列5]]+2)</f>
        <v/>
      </c>
      <c r="J69" s="18" t="str">
        <f ca="1">IF(C69="","",[1]!s_est_instnum(C69,H69,TODAY()))</f>
        <v/>
      </c>
      <c r="K69" s="74" t="str">
        <f ca="1">IF(C69="","",[1]!s_est_eps(C69,H69,TODAY()))</f>
        <v/>
      </c>
      <c r="L69" s="74" t="str">
        <f ca="1">IF(C69="","",[1]!s_est_sales(C69,H69,TODAY(),100000000))</f>
        <v/>
      </c>
      <c r="M69" s="74" t="str">
        <f ca="1">IF(C69="","",[1]!s_est_netprofit(C69,H69,TODAY(),100000000))</f>
        <v/>
      </c>
      <c r="N69" s="74" t="str">
        <f ca="1">IF(C69="","",[1]!s_est_avgcps(C69,H69,TODAY()))</f>
        <v/>
      </c>
      <c r="O69" s="74" t="str">
        <f ca="1">IF(C69="","",[1]!s_est_avgdps(C69,H69,TODAY()))</f>
        <v/>
      </c>
      <c r="P69" s="74" t="str">
        <f ca="1">IF(C69="","",[1]!s_est_avgebit(C69,H69,TODAY(),100000000))</f>
        <v/>
      </c>
      <c r="Q69" s="74" t="str">
        <f ca="1">IF(C69="","",[1]!s_est_avgebitda(C69,H69,TODAY(),100000000))</f>
        <v/>
      </c>
      <c r="R69" s="74" t="str">
        <f ca="1">IF(C69="","",[1]!s_est_avgbps(C69,H69,TODAY()))</f>
        <v/>
      </c>
      <c r="S69" s="74" t="str">
        <f ca="1">IF(C69="","",[1]!s_est_avgebt(C69,H69,TODAY(),100000000))</f>
        <v/>
      </c>
      <c r="T69" s="74" t="str">
        <f ca="1">IF(C69="","",[1]!s_est_avgroa(C69,H69,TODAY()))</f>
        <v/>
      </c>
      <c r="U69" s="74" t="str">
        <f ca="1">IF(C69="","",[1]!s_est_avgroe(C69,H69,TODAY()))</f>
        <v/>
      </c>
      <c r="V69" s="74" t="str">
        <f ca="1">IF(C69="","",[1]!s_est_avgoperatingprofit(C69,H69,TODAY(),100000000))</f>
        <v/>
      </c>
      <c r="W69" s="74" t="str">
        <f ca="1">IF(C69="","",[1]!s_est_yoynetprofit(C69,H69,TODAY()))</f>
        <v/>
      </c>
      <c r="X69" s="74" t="str">
        <f ca="1">IF(C69="","",[1]!s_est_yoysales(C69,H69,TODAY()))</f>
        <v/>
      </c>
      <c r="Y69" s="74" t="str">
        <f ca="1">IF(C69="","",[1]!s_est_instnum(C69,I69,TODAY()))</f>
        <v/>
      </c>
      <c r="Z69" s="74" t="str">
        <f ca="1">IF(C69="","",[1]!s_est_eps(C69,I69,TODAY()))</f>
        <v/>
      </c>
      <c r="AA69" s="74" t="str">
        <f ca="1">IF(C69="","",[1]!s_est_sales(C69,I69,TODAY(),100000000))</f>
        <v/>
      </c>
      <c r="AB69" s="74" t="str">
        <f ca="1">IF(C69="","",[1]!s_est_netprofit(C69,I69,TODAY(),100000000))</f>
        <v/>
      </c>
      <c r="AC69" s="74" t="str">
        <f ca="1">IF(C69="","",[1]!s_est_avgcps(C69,I69,TODAY()))</f>
        <v/>
      </c>
      <c r="AD69" s="74" t="str">
        <f ca="1">IF(C69="","",[1]!s_est_avgdps(C69,I69,TODAY()))</f>
        <v/>
      </c>
      <c r="AE69" s="74" t="str">
        <f ca="1">IF(C69="","",[1]!s_est_avgebit(C69,I69,TODAY(),100000000))</f>
        <v/>
      </c>
      <c r="AF69" s="74" t="str">
        <f ca="1">IF(C69="","",[1]!s_est_avgebitda(C69,I69,TODAY(),100000000))</f>
        <v/>
      </c>
      <c r="AG69" s="74" t="str">
        <f ca="1">IF(C69="","",[1]!s_est_avgbps(C69,I69,TODAY()))</f>
        <v/>
      </c>
      <c r="AH69" s="74" t="str">
        <f ca="1">IF(C69="","",[1]!s_est_avgebt(C69,I69,TODAY(),100000000))</f>
        <v/>
      </c>
      <c r="AI69" s="74" t="str">
        <f ca="1">IF(C69="","",[1]!s_est_avgroa(C69,I69,TODAY()))</f>
        <v/>
      </c>
      <c r="AJ69" s="74" t="str">
        <f ca="1">IF(C69="","",[1]!s_est_avgroe(C69,I69,TODAY()))</f>
        <v/>
      </c>
      <c r="AK69" s="74" t="str">
        <f ca="1">IF(C69="","",[1]!s_est_avgoperatingprofit(C69,I69,TODAY(),100000000))</f>
        <v/>
      </c>
      <c r="AL69" s="74" t="str">
        <f ca="1">IF(C69="","",[1]!s_est_yoynetprofit(C69,I69,TODAY()))</f>
        <v/>
      </c>
      <c r="AM69" s="74" t="str">
        <f ca="1">IF(C69="","",[1]!s_est_yoysales(C69,I69,TODAY()))</f>
        <v/>
      </c>
      <c r="AN69" s="35"/>
    </row>
    <row r="70" spans="1:40" s="36" customFormat="1" ht="16.5" x14ac:dyDescent="0.2">
      <c r="A70" s="2"/>
      <c r="B70" s="6"/>
      <c r="C70" s="28" t="str">
        <f>IF(表1[[#This Row],[列1]]="","",表1[[#This Row],[列1]])</f>
        <v/>
      </c>
      <c r="D70" s="19" t="str">
        <f>IF(C70="","",[1]!hks_info_name(C70))</f>
        <v/>
      </c>
      <c r="E70" s="18" t="str">
        <f ca="1">IF(C70="","",[1]!lastradeday_s(C70,TODAY()))</f>
        <v/>
      </c>
      <c r="F70" s="19" t="str">
        <f>IF(C70="","",IF(OR([1]!s_stm_rpt_e(C70,基本资料!$I$8,0)="#N/A",[1]!s_stm_rpt_e(C70,基本资料!$I$8,0)="",[1]!s_stm_rpt_e(C70,基本资料!$I$8,0)=0),[1]!s_stm_rpt_e(C70,基本资料!$I$9,0),[1]!s_stm_rpt_e(C70,基本资料!$I$8,0)))</f>
        <v/>
      </c>
      <c r="G70" s="18" t="str">
        <f>IF(C70="","",YEAR([1]!s_stm_rpt_e(C70,F70,0)))</f>
        <v/>
      </c>
      <c r="H70" s="18" t="str">
        <f>IF(C70="","",表1_31213141516[[#This Row],[列5]]+1)</f>
        <v/>
      </c>
      <c r="I70" s="18" t="str">
        <f>IF(C70="","",表1_31213141516[[#This Row],[列5]]+2)</f>
        <v/>
      </c>
      <c r="J70" s="18" t="str">
        <f ca="1">IF(C70="","",[1]!s_est_instnum(C70,H70,TODAY()))</f>
        <v/>
      </c>
      <c r="K70" s="74" t="str">
        <f ca="1">IF(C70="","",[1]!s_est_eps(C70,H70,TODAY()))</f>
        <v/>
      </c>
      <c r="L70" s="74" t="str">
        <f ca="1">IF(C70="","",[1]!s_est_sales(C70,H70,TODAY(),100000000))</f>
        <v/>
      </c>
      <c r="M70" s="74" t="str">
        <f ca="1">IF(C70="","",[1]!s_est_netprofit(C70,H70,TODAY(),100000000))</f>
        <v/>
      </c>
      <c r="N70" s="74" t="str">
        <f ca="1">IF(C70="","",[1]!s_est_avgcps(C70,H70,TODAY()))</f>
        <v/>
      </c>
      <c r="O70" s="74" t="str">
        <f ca="1">IF(C70="","",[1]!s_est_avgdps(C70,H70,TODAY()))</f>
        <v/>
      </c>
      <c r="P70" s="74" t="str">
        <f ca="1">IF(C70="","",[1]!s_est_avgebit(C70,H70,TODAY(),100000000))</f>
        <v/>
      </c>
      <c r="Q70" s="74" t="str">
        <f ca="1">IF(C70="","",[1]!s_est_avgebitda(C70,H70,TODAY(),100000000))</f>
        <v/>
      </c>
      <c r="R70" s="74" t="str">
        <f ca="1">IF(C70="","",[1]!s_est_avgbps(C70,H70,TODAY()))</f>
        <v/>
      </c>
      <c r="S70" s="74" t="str">
        <f ca="1">IF(C70="","",[1]!s_est_avgebt(C70,H70,TODAY(),100000000))</f>
        <v/>
      </c>
      <c r="T70" s="74" t="str">
        <f ca="1">IF(C70="","",[1]!s_est_avgroa(C70,H70,TODAY()))</f>
        <v/>
      </c>
      <c r="U70" s="74" t="str">
        <f ca="1">IF(C70="","",[1]!s_est_avgroe(C70,H70,TODAY()))</f>
        <v/>
      </c>
      <c r="V70" s="74" t="str">
        <f ca="1">IF(C70="","",[1]!s_est_avgoperatingprofit(C70,H70,TODAY(),100000000))</f>
        <v/>
      </c>
      <c r="W70" s="74" t="str">
        <f ca="1">IF(C70="","",[1]!s_est_yoynetprofit(C70,H70,TODAY()))</f>
        <v/>
      </c>
      <c r="X70" s="74" t="str">
        <f ca="1">IF(C70="","",[1]!s_est_yoysales(C70,H70,TODAY()))</f>
        <v/>
      </c>
      <c r="Y70" s="74" t="str">
        <f ca="1">IF(C70="","",[1]!s_est_instnum(C70,I70,TODAY()))</f>
        <v/>
      </c>
      <c r="Z70" s="74" t="str">
        <f ca="1">IF(C70="","",[1]!s_est_eps(C70,I70,TODAY()))</f>
        <v/>
      </c>
      <c r="AA70" s="74" t="str">
        <f ca="1">IF(C70="","",[1]!s_est_sales(C70,I70,TODAY(),100000000))</f>
        <v/>
      </c>
      <c r="AB70" s="74" t="str">
        <f ca="1">IF(C70="","",[1]!s_est_netprofit(C70,I70,TODAY(),100000000))</f>
        <v/>
      </c>
      <c r="AC70" s="74" t="str">
        <f ca="1">IF(C70="","",[1]!s_est_avgcps(C70,I70,TODAY()))</f>
        <v/>
      </c>
      <c r="AD70" s="74" t="str">
        <f ca="1">IF(C70="","",[1]!s_est_avgdps(C70,I70,TODAY()))</f>
        <v/>
      </c>
      <c r="AE70" s="74" t="str">
        <f ca="1">IF(C70="","",[1]!s_est_avgebit(C70,I70,TODAY(),100000000))</f>
        <v/>
      </c>
      <c r="AF70" s="74" t="str">
        <f ca="1">IF(C70="","",[1]!s_est_avgebitda(C70,I70,TODAY(),100000000))</f>
        <v/>
      </c>
      <c r="AG70" s="74" t="str">
        <f ca="1">IF(C70="","",[1]!s_est_avgbps(C70,I70,TODAY()))</f>
        <v/>
      </c>
      <c r="AH70" s="74" t="str">
        <f ca="1">IF(C70="","",[1]!s_est_avgebt(C70,I70,TODAY(),100000000))</f>
        <v/>
      </c>
      <c r="AI70" s="74" t="str">
        <f ca="1">IF(C70="","",[1]!s_est_avgroa(C70,I70,TODAY()))</f>
        <v/>
      </c>
      <c r="AJ70" s="74" t="str">
        <f ca="1">IF(C70="","",[1]!s_est_avgroe(C70,I70,TODAY()))</f>
        <v/>
      </c>
      <c r="AK70" s="74" t="str">
        <f ca="1">IF(C70="","",[1]!s_est_avgoperatingprofit(C70,I70,TODAY(),100000000))</f>
        <v/>
      </c>
      <c r="AL70" s="74" t="str">
        <f ca="1">IF(C70="","",[1]!s_est_yoynetprofit(C70,I70,TODAY()))</f>
        <v/>
      </c>
      <c r="AM70" s="74" t="str">
        <f ca="1">IF(C70="","",[1]!s_est_yoysales(C70,I70,TODAY()))</f>
        <v/>
      </c>
      <c r="AN70" s="35"/>
    </row>
    <row r="71" spans="1:40" s="36" customFormat="1" ht="16.5" x14ac:dyDescent="0.2">
      <c r="A71" s="2"/>
      <c r="B71" s="6"/>
      <c r="C71" s="28" t="str">
        <f>IF(表1[[#This Row],[列1]]="","",表1[[#This Row],[列1]])</f>
        <v/>
      </c>
      <c r="D71" s="19" t="str">
        <f>IF(C71="","",[1]!hks_info_name(C71))</f>
        <v/>
      </c>
      <c r="E71" s="18" t="str">
        <f ca="1">IF(C71="","",[1]!lastradeday_s(C71,TODAY()))</f>
        <v/>
      </c>
      <c r="F71" s="19" t="str">
        <f>IF(C71="","",IF(OR([1]!s_stm_rpt_e(C71,基本资料!$I$8,0)="#N/A",[1]!s_stm_rpt_e(C71,基本资料!$I$8,0)="",[1]!s_stm_rpt_e(C71,基本资料!$I$8,0)=0),[1]!s_stm_rpt_e(C71,基本资料!$I$9,0),[1]!s_stm_rpt_e(C71,基本资料!$I$8,0)))</f>
        <v/>
      </c>
      <c r="G71" s="18" t="str">
        <f>IF(C71="","",YEAR([1]!s_stm_rpt_e(C71,F71,0)))</f>
        <v/>
      </c>
      <c r="H71" s="18" t="str">
        <f>IF(C71="","",表1_31213141516[[#This Row],[列5]]+1)</f>
        <v/>
      </c>
      <c r="I71" s="18" t="str">
        <f>IF(C71="","",表1_31213141516[[#This Row],[列5]]+2)</f>
        <v/>
      </c>
      <c r="J71" s="18" t="str">
        <f ca="1">IF(C71="","",[1]!s_est_instnum(C71,H71,TODAY()))</f>
        <v/>
      </c>
      <c r="K71" s="74" t="str">
        <f ca="1">IF(C71="","",[1]!s_est_eps(C71,H71,TODAY()))</f>
        <v/>
      </c>
      <c r="L71" s="74" t="str">
        <f ca="1">IF(C71="","",[1]!s_est_sales(C71,H71,TODAY(),100000000))</f>
        <v/>
      </c>
      <c r="M71" s="74" t="str">
        <f ca="1">IF(C71="","",[1]!s_est_netprofit(C71,H71,TODAY(),100000000))</f>
        <v/>
      </c>
      <c r="N71" s="74" t="str">
        <f ca="1">IF(C71="","",[1]!s_est_avgcps(C71,H71,TODAY()))</f>
        <v/>
      </c>
      <c r="O71" s="74" t="str">
        <f ca="1">IF(C71="","",[1]!s_est_avgdps(C71,H71,TODAY()))</f>
        <v/>
      </c>
      <c r="P71" s="74" t="str">
        <f ca="1">IF(C71="","",[1]!s_est_avgebit(C71,H71,TODAY(),100000000))</f>
        <v/>
      </c>
      <c r="Q71" s="74" t="str">
        <f ca="1">IF(C71="","",[1]!s_est_avgebitda(C71,H71,TODAY(),100000000))</f>
        <v/>
      </c>
      <c r="R71" s="74" t="str">
        <f ca="1">IF(C71="","",[1]!s_est_avgbps(C71,H71,TODAY()))</f>
        <v/>
      </c>
      <c r="S71" s="74" t="str">
        <f ca="1">IF(C71="","",[1]!s_est_avgebt(C71,H71,TODAY(),100000000))</f>
        <v/>
      </c>
      <c r="T71" s="74" t="str">
        <f ca="1">IF(C71="","",[1]!s_est_avgroa(C71,H71,TODAY()))</f>
        <v/>
      </c>
      <c r="U71" s="74" t="str">
        <f ca="1">IF(C71="","",[1]!s_est_avgroe(C71,H71,TODAY()))</f>
        <v/>
      </c>
      <c r="V71" s="74" t="str">
        <f ca="1">IF(C71="","",[1]!s_est_avgoperatingprofit(C71,H71,TODAY(),100000000))</f>
        <v/>
      </c>
      <c r="W71" s="74" t="str">
        <f ca="1">IF(C71="","",[1]!s_est_yoynetprofit(C71,H71,TODAY()))</f>
        <v/>
      </c>
      <c r="X71" s="74" t="str">
        <f ca="1">IF(C71="","",[1]!s_est_yoysales(C71,H71,TODAY()))</f>
        <v/>
      </c>
      <c r="Y71" s="74" t="str">
        <f ca="1">IF(C71="","",[1]!s_est_instnum(C71,I71,TODAY()))</f>
        <v/>
      </c>
      <c r="Z71" s="74" t="str">
        <f ca="1">IF(C71="","",[1]!s_est_eps(C71,I71,TODAY()))</f>
        <v/>
      </c>
      <c r="AA71" s="74" t="str">
        <f ca="1">IF(C71="","",[1]!s_est_sales(C71,I71,TODAY(),100000000))</f>
        <v/>
      </c>
      <c r="AB71" s="74" t="str">
        <f ca="1">IF(C71="","",[1]!s_est_netprofit(C71,I71,TODAY(),100000000))</f>
        <v/>
      </c>
      <c r="AC71" s="74" t="str">
        <f ca="1">IF(C71="","",[1]!s_est_avgcps(C71,I71,TODAY()))</f>
        <v/>
      </c>
      <c r="AD71" s="74" t="str">
        <f ca="1">IF(C71="","",[1]!s_est_avgdps(C71,I71,TODAY()))</f>
        <v/>
      </c>
      <c r="AE71" s="74" t="str">
        <f ca="1">IF(C71="","",[1]!s_est_avgebit(C71,I71,TODAY(),100000000))</f>
        <v/>
      </c>
      <c r="AF71" s="74" t="str">
        <f ca="1">IF(C71="","",[1]!s_est_avgebitda(C71,I71,TODAY(),100000000))</f>
        <v/>
      </c>
      <c r="AG71" s="74" t="str">
        <f ca="1">IF(C71="","",[1]!s_est_avgbps(C71,I71,TODAY()))</f>
        <v/>
      </c>
      <c r="AH71" s="74" t="str">
        <f ca="1">IF(C71="","",[1]!s_est_avgebt(C71,I71,TODAY(),100000000))</f>
        <v/>
      </c>
      <c r="AI71" s="74" t="str">
        <f ca="1">IF(C71="","",[1]!s_est_avgroa(C71,I71,TODAY()))</f>
        <v/>
      </c>
      <c r="AJ71" s="74" t="str">
        <f ca="1">IF(C71="","",[1]!s_est_avgroe(C71,I71,TODAY()))</f>
        <v/>
      </c>
      <c r="AK71" s="74" t="str">
        <f ca="1">IF(C71="","",[1]!s_est_avgoperatingprofit(C71,I71,TODAY(),100000000))</f>
        <v/>
      </c>
      <c r="AL71" s="74" t="str">
        <f ca="1">IF(C71="","",[1]!s_est_yoynetprofit(C71,I71,TODAY()))</f>
        <v/>
      </c>
      <c r="AM71" s="74" t="str">
        <f ca="1">IF(C71="","",[1]!s_est_yoysales(C71,I71,TODAY()))</f>
        <v/>
      </c>
      <c r="AN71" s="35"/>
    </row>
    <row r="72" spans="1:40" s="36" customFormat="1" ht="16.5" x14ac:dyDescent="0.2">
      <c r="A72" s="2"/>
      <c r="B72" s="6"/>
      <c r="C72" s="28" t="str">
        <f>IF(表1[[#This Row],[列1]]="","",表1[[#This Row],[列1]])</f>
        <v/>
      </c>
      <c r="D72" s="19" t="str">
        <f>IF(C72="","",[1]!hks_info_name(C72))</f>
        <v/>
      </c>
      <c r="E72" s="18" t="str">
        <f ca="1">IF(C72="","",[1]!lastradeday_s(C72,TODAY()))</f>
        <v/>
      </c>
      <c r="F72" s="19" t="str">
        <f>IF(C72="","",IF(OR([1]!s_stm_rpt_e(C72,基本资料!$I$8,0)="#N/A",[1]!s_stm_rpt_e(C72,基本资料!$I$8,0)="",[1]!s_stm_rpt_e(C72,基本资料!$I$8,0)=0),[1]!s_stm_rpt_e(C72,基本资料!$I$9,0),[1]!s_stm_rpt_e(C72,基本资料!$I$8,0)))</f>
        <v/>
      </c>
      <c r="G72" s="18" t="str">
        <f>IF(C72="","",YEAR([1]!s_stm_rpt_e(C72,F72,0)))</f>
        <v/>
      </c>
      <c r="H72" s="18" t="str">
        <f>IF(C72="","",表1_31213141516[[#This Row],[列5]]+1)</f>
        <v/>
      </c>
      <c r="I72" s="18" t="str">
        <f>IF(C72="","",表1_31213141516[[#This Row],[列5]]+2)</f>
        <v/>
      </c>
      <c r="J72" s="18" t="str">
        <f ca="1">IF(C72="","",[1]!s_est_instnum(C72,H72,TODAY()))</f>
        <v/>
      </c>
      <c r="K72" s="74" t="str">
        <f ca="1">IF(C72="","",[1]!s_est_eps(C72,H72,TODAY()))</f>
        <v/>
      </c>
      <c r="L72" s="74" t="str">
        <f ca="1">IF(C72="","",[1]!s_est_sales(C72,H72,TODAY(),100000000))</f>
        <v/>
      </c>
      <c r="M72" s="74" t="str">
        <f ca="1">IF(C72="","",[1]!s_est_netprofit(C72,H72,TODAY(),100000000))</f>
        <v/>
      </c>
      <c r="N72" s="74" t="str">
        <f ca="1">IF(C72="","",[1]!s_est_avgcps(C72,H72,TODAY()))</f>
        <v/>
      </c>
      <c r="O72" s="74" t="str">
        <f ca="1">IF(C72="","",[1]!s_est_avgdps(C72,H72,TODAY()))</f>
        <v/>
      </c>
      <c r="P72" s="74" t="str">
        <f ca="1">IF(C72="","",[1]!s_est_avgebit(C72,H72,TODAY(),100000000))</f>
        <v/>
      </c>
      <c r="Q72" s="74" t="str">
        <f ca="1">IF(C72="","",[1]!s_est_avgebitda(C72,H72,TODAY(),100000000))</f>
        <v/>
      </c>
      <c r="R72" s="74" t="str">
        <f ca="1">IF(C72="","",[1]!s_est_avgbps(C72,H72,TODAY()))</f>
        <v/>
      </c>
      <c r="S72" s="74" t="str">
        <f ca="1">IF(C72="","",[1]!s_est_avgebt(C72,H72,TODAY(),100000000))</f>
        <v/>
      </c>
      <c r="T72" s="74" t="str">
        <f ca="1">IF(C72="","",[1]!s_est_avgroa(C72,H72,TODAY()))</f>
        <v/>
      </c>
      <c r="U72" s="74" t="str">
        <f ca="1">IF(C72="","",[1]!s_est_avgroe(C72,H72,TODAY()))</f>
        <v/>
      </c>
      <c r="V72" s="74" t="str">
        <f ca="1">IF(C72="","",[1]!s_est_avgoperatingprofit(C72,H72,TODAY(),100000000))</f>
        <v/>
      </c>
      <c r="W72" s="74" t="str">
        <f ca="1">IF(C72="","",[1]!s_est_yoynetprofit(C72,H72,TODAY()))</f>
        <v/>
      </c>
      <c r="X72" s="74" t="str">
        <f ca="1">IF(C72="","",[1]!s_est_yoysales(C72,H72,TODAY()))</f>
        <v/>
      </c>
      <c r="Y72" s="74" t="str">
        <f ca="1">IF(C72="","",[1]!s_est_instnum(C72,I72,TODAY()))</f>
        <v/>
      </c>
      <c r="Z72" s="74" t="str">
        <f ca="1">IF(C72="","",[1]!s_est_eps(C72,I72,TODAY()))</f>
        <v/>
      </c>
      <c r="AA72" s="74" t="str">
        <f ca="1">IF(C72="","",[1]!s_est_sales(C72,I72,TODAY(),100000000))</f>
        <v/>
      </c>
      <c r="AB72" s="74" t="str">
        <f ca="1">IF(C72="","",[1]!s_est_netprofit(C72,I72,TODAY(),100000000))</f>
        <v/>
      </c>
      <c r="AC72" s="74" t="str">
        <f ca="1">IF(C72="","",[1]!s_est_avgcps(C72,I72,TODAY()))</f>
        <v/>
      </c>
      <c r="AD72" s="74" t="str">
        <f ca="1">IF(C72="","",[1]!s_est_avgdps(C72,I72,TODAY()))</f>
        <v/>
      </c>
      <c r="AE72" s="74" t="str">
        <f ca="1">IF(C72="","",[1]!s_est_avgebit(C72,I72,TODAY(),100000000))</f>
        <v/>
      </c>
      <c r="AF72" s="74" t="str">
        <f ca="1">IF(C72="","",[1]!s_est_avgebitda(C72,I72,TODAY(),100000000))</f>
        <v/>
      </c>
      <c r="AG72" s="74" t="str">
        <f ca="1">IF(C72="","",[1]!s_est_avgbps(C72,I72,TODAY()))</f>
        <v/>
      </c>
      <c r="AH72" s="74" t="str">
        <f ca="1">IF(C72="","",[1]!s_est_avgebt(C72,I72,TODAY(),100000000))</f>
        <v/>
      </c>
      <c r="AI72" s="74" t="str">
        <f ca="1">IF(C72="","",[1]!s_est_avgroa(C72,I72,TODAY()))</f>
        <v/>
      </c>
      <c r="AJ72" s="74" t="str">
        <f ca="1">IF(C72="","",[1]!s_est_avgroe(C72,I72,TODAY()))</f>
        <v/>
      </c>
      <c r="AK72" s="74" t="str">
        <f ca="1">IF(C72="","",[1]!s_est_avgoperatingprofit(C72,I72,TODAY(),100000000))</f>
        <v/>
      </c>
      <c r="AL72" s="74" t="str">
        <f ca="1">IF(C72="","",[1]!s_est_yoynetprofit(C72,I72,TODAY()))</f>
        <v/>
      </c>
      <c r="AM72" s="74" t="str">
        <f ca="1">IF(C72="","",[1]!s_est_yoysales(C72,I72,TODAY()))</f>
        <v/>
      </c>
      <c r="AN72" s="35"/>
    </row>
    <row r="73" spans="1:40" s="36" customFormat="1" ht="16.5" x14ac:dyDescent="0.2">
      <c r="A73" s="2"/>
      <c r="B73" s="6"/>
      <c r="C73" s="28" t="str">
        <f>IF(表1[[#This Row],[列1]]="","",表1[[#This Row],[列1]])</f>
        <v/>
      </c>
      <c r="D73" s="19" t="str">
        <f>IF(C73="","",[1]!hks_info_name(C73))</f>
        <v/>
      </c>
      <c r="E73" s="18" t="str">
        <f ca="1">IF(C73="","",[1]!lastradeday_s(C73,TODAY()))</f>
        <v/>
      </c>
      <c r="F73" s="19" t="str">
        <f>IF(C73="","",IF(OR([1]!s_stm_rpt_e(C73,基本资料!$I$8,0)="#N/A",[1]!s_stm_rpt_e(C73,基本资料!$I$8,0)="",[1]!s_stm_rpt_e(C73,基本资料!$I$8,0)=0),[1]!s_stm_rpt_e(C73,基本资料!$I$9,0),[1]!s_stm_rpt_e(C73,基本资料!$I$8,0)))</f>
        <v/>
      </c>
      <c r="G73" s="18" t="str">
        <f>IF(C73="","",YEAR([1]!s_stm_rpt_e(C73,F73,0)))</f>
        <v/>
      </c>
      <c r="H73" s="18" t="str">
        <f>IF(C73="","",表1_31213141516[[#This Row],[列5]]+1)</f>
        <v/>
      </c>
      <c r="I73" s="18" t="str">
        <f>IF(C73="","",表1_31213141516[[#This Row],[列5]]+2)</f>
        <v/>
      </c>
      <c r="J73" s="18" t="str">
        <f ca="1">IF(C73="","",[1]!s_est_instnum(C73,H73,TODAY()))</f>
        <v/>
      </c>
      <c r="K73" s="74" t="str">
        <f ca="1">IF(C73="","",[1]!s_est_eps(C73,H73,TODAY()))</f>
        <v/>
      </c>
      <c r="L73" s="74" t="str">
        <f ca="1">IF(C73="","",[1]!s_est_sales(C73,H73,TODAY(),100000000))</f>
        <v/>
      </c>
      <c r="M73" s="74" t="str">
        <f ca="1">IF(C73="","",[1]!s_est_netprofit(C73,H73,TODAY(),100000000))</f>
        <v/>
      </c>
      <c r="N73" s="74" t="str">
        <f ca="1">IF(C73="","",[1]!s_est_avgcps(C73,H73,TODAY()))</f>
        <v/>
      </c>
      <c r="O73" s="74" t="str">
        <f ca="1">IF(C73="","",[1]!s_est_avgdps(C73,H73,TODAY()))</f>
        <v/>
      </c>
      <c r="P73" s="74" t="str">
        <f ca="1">IF(C73="","",[1]!s_est_avgebit(C73,H73,TODAY(),100000000))</f>
        <v/>
      </c>
      <c r="Q73" s="74" t="str">
        <f ca="1">IF(C73="","",[1]!s_est_avgebitda(C73,H73,TODAY(),100000000))</f>
        <v/>
      </c>
      <c r="R73" s="74" t="str">
        <f ca="1">IF(C73="","",[1]!s_est_avgbps(C73,H73,TODAY()))</f>
        <v/>
      </c>
      <c r="S73" s="74" t="str">
        <f ca="1">IF(C73="","",[1]!s_est_avgebt(C73,H73,TODAY(),100000000))</f>
        <v/>
      </c>
      <c r="T73" s="74" t="str">
        <f ca="1">IF(C73="","",[1]!s_est_avgroa(C73,H73,TODAY()))</f>
        <v/>
      </c>
      <c r="U73" s="74" t="str">
        <f ca="1">IF(C73="","",[1]!s_est_avgroe(C73,H73,TODAY()))</f>
        <v/>
      </c>
      <c r="V73" s="74" t="str">
        <f ca="1">IF(C73="","",[1]!s_est_avgoperatingprofit(C73,H73,TODAY(),100000000))</f>
        <v/>
      </c>
      <c r="W73" s="74" t="str">
        <f ca="1">IF(C73="","",[1]!s_est_yoynetprofit(C73,H73,TODAY()))</f>
        <v/>
      </c>
      <c r="X73" s="74" t="str">
        <f ca="1">IF(C73="","",[1]!s_est_yoysales(C73,H73,TODAY()))</f>
        <v/>
      </c>
      <c r="Y73" s="74" t="str">
        <f ca="1">IF(C73="","",[1]!s_est_instnum(C73,I73,TODAY()))</f>
        <v/>
      </c>
      <c r="Z73" s="74" t="str">
        <f ca="1">IF(C73="","",[1]!s_est_eps(C73,I73,TODAY()))</f>
        <v/>
      </c>
      <c r="AA73" s="74" t="str">
        <f ca="1">IF(C73="","",[1]!s_est_sales(C73,I73,TODAY(),100000000))</f>
        <v/>
      </c>
      <c r="AB73" s="74" t="str">
        <f ca="1">IF(C73="","",[1]!s_est_netprofit(C73,I73,TODAY(),100000000))</f>
        <v/>
      </c>
      <c r="AC73" s="74" t="str">
        <f ca="1">IF(C73="","",[1]!s_est_avgcps(C73,I73,TODAY()))</f>
        <v/>
      </c>
      <c r="AD73" s="74" t="str">
        <f ca="1">IF(C73="","",[1]!s_est_avgdps(C73,I73,TODAY()))</f>
        <v/>
      </c>
      <c r="AE73" s="74" t="str">
        <f ca="1">IF(C73="","",[1]!s_est_avgebit(C73,I73,TODAY(),100000000))</f>
        <v/>
      </c>
      <c r="AF73" s="74" t="str">
        <f ca="1">IF(C73="","",[1]!s_est_avgebitda(C73,I73,TODAY(),100000000))</f>
        <v/>
      </c>
      <c r="AG73" s="74" t="str">
        <f ca="1">IF(C73="","",[1]!s_est_avgbps(C73,I73,TODAY()))</f>
        <v/>
      </c>
      <c r="AH73" s="74" t="str">
        <f ca="1">IF(C73="","",[1]!s_est_avgebt(C73,I73,TODAY(),100000000))</f>
        <v/>
      </c>
      <c r="AI73" s="74" t="str">
        <f ca="1">IF(C73="","",[1]!s_est_avgroa(C73,I73,TODAY()))</f>
        <v/>
      </c>
      <c r="AJ73" s="74" t="str">
        <f ca="1">IF(C73="","",[1]!s_est_avgroe(C73,I73,TODAY()))</f>
        <v/>
      </c>
      <c r="AK73" s="74" t="str">
        <f ca="1">IF(C73="","",[1]!s_est_avgoperatingprofit(C73,I73,TODAY(),100000000))</f>
        <v/>
      </c>
      <c r="AL73" s="74" t="str">
        <f ca="1">IF(C73="","",[1]!s_est_yoynetprofit(C73,I73,TODAY()))</f>
        <v/>
      </c>
      <c r="AM73" s="74" t="str">
        <f ca="1">IF(C73="","",[1]!s_est_yoysales(C73,I73,TODAY()))</f>
        <v/>
      </c>
      <c r="AN73" s="35"/>
    </row>
    <row r="74" spans="1:40" s="36" customFormat="1" ht="16.5" x14ac:dyDescent="0.2">
      <c r="A74" s="2"/>
      <c r="B74" s="6"/>
      <c r="C74" s="28" t="str">
        <f>IF(表1[[#This Row],[列1]]="","",表1[[#This Row],[列1]])</f>
        <v/>
      </c>
      <c r="D74" s="19" t="str">
        <f>IF(C74="","",[1]!hks_info_name(C74))</f>
        <v/>
      </c>
      <c r="E74" s="18" t="str">
        <f ca="1">IF(C74="","",[1]!lastradeday_s(C74,TODAY()))</f>
        <v/>
      </c>
      <c r="F74" s="19" t="str">
        <f>IF(C74="","",IF(OR([1]!s_stm_rpt_e(C74,基本资料!$I$8,0)="#N/A",[1]!s_stm_rpt_e(C74,基本资料!$I$8,0)="",[1]!s_stm_rpt_e(C74,基本资料!$I$8,0)=0),[1]!s_stm_rpt_e(C74,基本资料!$I$9,0),[1]!s_stm_rpt_e(C74,基本资料!$I$8,0)))</f>
        <v/>
      </c>
      <c r="G74" s="18" t="str">
        <f>IF(C74="","",YEAR([1]!s_stm_rpt_e(C74,F74,0)))</f>
        <v/>
      </c>
      <c r="H74" s="18" t="str">
        <f>IF(C74="","",表1_31213141516[[#This Row],[列5]]+1)</f>
        <v/>
      </c>
      <c r="I74" s="18" t="str">
        <f>IF(C74="","",表1_31213141516[[#This Row],[列5]]+2)</f>
        <v/>
      </c>
      <c r="J74" s="18" t="str">
        <f ca="1">IF(C74="","",[1]!s_est_instnum(C74,H74,TODAY()))</f>
        <v/>
      </c>
      <c r="K74" s="74" t="str">
        <f ca="1">IF(C74="","",[1]!s_est_eps(C74,H74,TODAY()))</f>
        <v/>
      </c>
      <c r="L74" s="74" t="str">
        <f ca="1">IF(C74="","",[1]!s_est_sales(C74,H74,TODAY(),100000000))</f>
        <v/>
      </c>
      <c r="M74" s="74" t="str">
        <f ca="1">IF(C74="","",[1]!s_est_netprofit(C74,H74,TODAY(),100000000))</f>
        <v/>
      </c>
      <c r="N74" s="74" t="str">
        <f ca="1">IF(C74="","",[1]!s_est_avgcps(C74,H74,TODAY()))</f>
        <v/>
      </c>
      <c r="O74" s="74" t="str">
        <f ca="1">IF(C74="","",[1]!s_est_avgdps(C74,H74,TODAY()))</f>
        <v/>
      </c>
      <c r="P74" s="74" t="str">
        <f ca="1">IF(C74="","",[1]!s_est_avgebit(C74,H74,TODAY(),100000000))</f>
        <v/>
      </c>
      <c r="Q74" s="74" t="str">
        <f ca="1">IF(C74="","",[1]!s_est_avgebitda(C74,H74,TODAY(),100000000))</f>
        <v/>
      </c>
      <c r="R74" s="74" t="str">
        <f ca="1">IF(C74="","",[1]!s_est_avgbps(C74,H74,TODAY()))</f>
        <v/>
      </c>
      <c r="S74" s="74" t="str">
        <f ca="1">IF(C74="","",[1]!s_est_avgebt(C74,H74,TODAY(),100000000))</f>
        <v/>
      </c>
      <c r="T74" s="74" t="str">
        <f ca="1">IF(C74="","",[1]!s_est_avgroa(C74,H74,TODAY()))</f>
        <v/>
      </c>
      <c r="U74" s="74" t="str">
        <f ca="1">IF(C74="","",[1]!s_est_avgroe(C74,H74,TODAY()))</f>
        <v/>
      </c>
      <c r="V74" s="74" t="str">
        <f ca="1">IF(C74="","",[1]!s_est_avgoperatingprofit(C74,H74,TODAY(),100000000))</f>
        <v/>
      </c>
      <c r="W74" s="74" t="str">
        <f ca="1">IF(C74="","",[1]!s_est_yoynetprofit(C74,H74,TODAY()))</f>
        <v/>
      </c>
      <c r="X74" s="74" t="str">
        <f ca="1">IF(C74="","",[1]!s_est_yoysales(C74,H74,TODAY()))</f>
        <v/>
      </c>
      <c r="Y74" s="74" t="str">
        <f ca="1">IF(C74="","",[1]!s_est_instnum(C74,I74,TODAY()))</f>
        <v/>
      </c>
      <c r="Z74" s="74" t="str">
        <f ca="1">IF(C74="","",[1]!s_est_eps(C74,I74,TODAY()))</f>
        <v/>
      </c>
      <c r="AA74" s="74" t="str">
        <f ca="1">IF(C74="","",[1]!s_est_sales(C74,I74,TODAY(),100000000))</f>
        <v/>
      </c>
      <c r="AB74" s="74" t="str">
        <f ca="1">IF(C74="","",[1]!s_est_netprofit(C74,I74,TODAY(),100000000))</f>
        <v/>
      </c>
      <c r="AC74" s="74" t="str">
        <f ca="1">IF(C74="","",[1]!s_est_avgcps(C74,I74,TODAY()))</f>
        <v/>
      </c>
      <c r="AD74" s="74" t="str">
        <f ca="1">IF(C74="","",[1]!s_est_avgdps(C74,I74,TODAY()))</f>
        <v/>
      </c>
      <c r="AE74" s="74" t="str">
        <f ca="1">IF(C74="","",[1]!s_est_avgebit(C74,I74,TODAY(),100000000))</f>
        <v/>
      </c>
      <c r="AF74" s="74" t="str">
        <f ca="1">IF(C74="","",[1]!s_est_avgebitda(C74,I74,TODAY(),100000000))</f>
        <v/>
      </c>
      <c r="AG74" s="74" t="str">
        <f ca="1">IF(C74="","",[1]!s_est_avgbps(C74,I74,TODAY()))</f>
        <v/>
      </c>
      <c r="AH74" s="74" t="str">
        <f ca="1">IF(C74="","",[1]!s_est_avgebt(C74,I74,TODAY(),100000000))</f>
        <v/>
      </c>
      <c r="AI74" s="74" t="str">
        <f ca="1">IF(C74="","",[1]!s_est_avgroa(C74,I74,TODAY()))</f>
        <v/>
      </c>
      <c r="AJ74" s="74" t="str">
        <f ca="1">IF(C74="","",[1]!s_est_avgroe(C74,I74,TODAY()))</f>
        <v/>
      </c>
      <c r="AK74" s="74" t="str">
        <f ca="1">IF(C74="","",[1]!s_est_avgoperatingprofit(C74,I74,TODAY(),100000000))</f>
        <v/>
      </c>
      <c r="AL74" s="74" t="str">
        <f ca="1">IF(C74="","",[1]!s_est_yoynetprofit(C74,I74,TODAY()))</f>
        <v/>
      </c>
      <c r="AM74" s="74" t="str">
        <f ca="1">IF(C74="","",[1]!s_est_yoysales(C74,I74,TODAY()))</f>
        <v/>
      </c>
      <c r="AN74" s="35"/>
    </row>
    <row r="75" spans="1:40" s="36" customFormat="1" ht="16.5" x14ac:dyDescent="0.2">
      <c r="A75" s="2"/>
      <c r="B75" s="6"/>
      <c r="C75" s="28" t="str">
        <f>IF(表1[[#This Row],[列1]]="","",表1[[#This Row],[列1]])</f>
        <v/>
      </c>
      <c r="D75" s="19" t="str">
        <f>IF(C75="","",[1]!hks_info_name(C75))</f>
        <v/>
      </c>
      <c r="E75" s="18" t="str">
        <f ca="1">IF(C75="","",[1]!lastradeday_s(C75,TODAY()))</f>
        <v/>
      </c>
      <c r="F75" s="19" t="str">
        <f>IF(C75="","",IF(OR([1]!s_stm_rpt_e(C75,基本资料!$I$8,0)="#N/A",[1]!s_stm_rpt_e(C75,基本资料!$I$8,0)="",[1]!s_stm_rpt_e(C75,基本资料!$I$8,0)=0),[1]!s_stm_rpt_e(C75,基本资料!$I$9,0),[1]!s_stm_rpt_e(C75,基本资料!$I$8,0)))</f>
        <v/>
      </c>
      <c r="G75" s="18" t="str">
        <f>IF(C75="","",YEAR([1]!s_stm_rpt_e(C75,F75,0)))</f>
        <v/>
      </c>
      <c r="H75" s="18" t="str">
        <f>IF(C75="","",表1_31213141516[[#This Row],[列5]]+1)</f>
        <v/>
      </c>
      <c r="I75" s="18" t="str">
        <f>IF(C75="","",表1_31213141516[[#This Row],[列5]]+2)</f>
        <v/>
      </c>
      <c r="J75" s="18" t="str">
        <f ca="1">IF(C75="","",[1]!s_est_instnum(C75,H75,TODAY()))</f>
        <v/>
      </c>
      <c r="K75" s="74" t="str">
        <f ca="1">IF(C75="","",[1]!s_est_eps(C75,H75,TODAY()))</f>
        <v/>
      </c>
      <c r="L75" s="74" t="str">
        <f ca="1">IF(C75="","",[1]!s_est_sales(C75,H75,TODAY(),100000000))</f>
        <v/>
      </c>
      <c r="M75" s="74" t="str">
        <f ca="1">IF(C75="","",[1]!s_est_netprofit(C75,H75,TODAY(),100000000))</f>
        <v/>
      </c>
      <c r="N75" s="74" t="str">
        <f ca="1">IF(C75="","",[1]!s_est_avgcps(C75,H75,TODAY()))</f>
        <v/>
      </c>
      <c r="O75" s="74" t="str">
        <f ca="1">IF(C75="","",[1]!s_est_avgdps(C75,H75,TODAY()))</f>
        <v/>
      </c>
      <c r="P75" s="74" t="str">
        <f ca="1">IF(C75="","",[1]!s_est_avgebit(C75,H75,TODAY(),100000000))</f>
        <v/>
      </c>
      <c r="Q75" s="74" t="str">
        <f ca="1">IF(C75="","",[1]!s_est_avgebitda(C75,H75,TODAY(),100000000))</f>
        <v/>
      </c>
      <c r="R75" s="74" t="str">
        <f ca="1">IF(C75="","",[1]!s_est_avgbps(C75,H75,TODAY()))</f>
        <v/>
      </c>
      <c r="S75" s="74" t="str">
        <f ca="1">IF(C75="","",[1]!s_est_avgebt(C75,H75,TODAY(),100000000))</f>
        <v/>
      </c>
      <c r="T75" s="74" t="str">
        <f ca="1">IF(C75="","",[1]!s_est_avgroa(C75,H75,TODAY()))</f>
        <v/>
      </c>
      <c r="U75" s="74" t="str">
        <f ca="1">IF(C75="","",[1]!s_est_avgroe(C75,H75,TODAY()))</f>
        <v/>
      </c>
      <c r="V75" s="74" t="str">
        <f ca="1">IF(C75="","",[1]!s_est_avgoperatingprofit(C75,H75,TODAY(),100000000))</f>
        <v/>
      </c>
      <c r="W75" s="74" t="str">
        <f ca="1">IF(C75="","",[1]!s_est_yoynetprofit(C75,H75,TODAY()))</f>
        <v/>
      </c>
      <c r="X75" s="74" t="str">
        <f ca="1">IF(C75="","",[1]!s_est_yoysales(C75,H75,TODAY()))</f>
        <v/>
      </c>
      <c r="Y75" s="74" t="str">
        <f ca="1">IF(C75="","",[1]!s_est_instnum(C75,I75,TODAY()))</f>
        <v/>
      </c>
      <c r="Z75" s="74" t="str">
        <f ca="1">IF(C75="","",[1]!s_est_eps(C75,I75,TODAY()))</f>
        <v/>
      </c>
      <c r="AA75" s="74" t="str">
        <f ca="1">IF(C75="","",[1]!s_est_sales(C75,I75,TODAY(),100000000))</f>
        <v/>
      </c>
      <c r="AB75" s="74" t="str">
        <f ca="1">IF(C75="","",[1]!s_est_netprofit(C75,I75,TODAY(),100000000))</f>
        <v/>
      </c>
      <c r="AC75" s="74" t="str">
        <f ca="1">IF(C75="","",[1]!s_est_avgcps(C75,I75,TODAY()))</f>
        <v/>
      </c>
      <c r="AD75" s="74" t="str">
        <f ca="1">IF(C75="","",[1]!s_est_avgdps(C75,I75,TODAY()))</f>
        <v/>
      </c>
      <c r="AE75" s="74" t="str">
        <f ca="1">IF(C75="","",[1]!s_est_avgebit(C75,I75,TODAY(),100000000))</f>
        <v/>
      </c>
      <c r="AF75" s="74" t="str">
        <f ca="1">IF(C75="","",[1]!s_est_avgebitda(C75,I75,TODAY(),100000000))</f>
        <v/>
      </c>
      <c r="AG75" s="74" t="str">
        <f ca="1">IF(C75="","",[1]!s_est_avgbps(C75,I75,TODAY()))</f>
        <v/>
      </c>
      <c r="AH75" s="74" t="str">
        <f ca="1">IF(C75="","",[1]!s_est_avgebt(C75,I75,TODAY(),100000000))</f>
        <v/>
      </c>
      <c r="AI75" s="74" t="str">
        <f ca="1">IF(C75="","",[1]!s_est_avgroa(C75,I75,TODAY()))</f>
        <v/>
      </c>
      <c r="AJ75" s="74" t="str">
        <f ca="1">IF(C75="","",[1]!s_est_avgroe(C75,I75,TODAY()))</f>
        <v/>
      </c>
      <c r="AK75" s="74" t="str">
        <f ca="1">IF(C75="","",[1]!s_est_avgoperatingprofit(C75,I75,TODAY(),100000000))</f>
        <v/>
      </c>
      <c r="AL75" s="74" t="str">
        <f ca="1">IF(C75="","",[1]!s_est_yoynetprofit(C75,I75,TODAY()))</f>
        <v/>
      </c>
      <c r="AM75" s="74" t="str">
        <f ca="1">IF(C75="","",[1]!s_est_yoysales(C75,I75,TODAY()))</f>
        <v/>
      </c>
      <c r="AN75" s="35"/>
    </row>
    <row r="76" spans="1:40" s="36" customFormat="1" ht="16.5" x14ac:dyDescent="0.2">
      <c r="A76" s="2"/>
      <c r="B76" s="6"/>
      <c r="C76" s="28" t="str">
        <f>IF(表1[[#This Row],[列1]]="","",表1[[#This Row],[列1]])</f>
        <v/>
      </c>
      <c r="D76" s="19" t="str">
        <f>IF(C76="","",[1]!hks_info_name(C76))</f>
        <v/>
      </c>
      <c r="E76" s="18" t="str">
        <f ca="1">IF(C76="","",[1]!lastradeday_s(C76,TODAY()))</f>
        <v/>
      </c>
      <c r="F76" s="19" t="str">
        <f>IF(C76="","",IF(OR([1]!s_stm_rpt_e(C76,基本资料!$I$8,0)="#N/A",[1]!s_stm_rpt_e(C76,基本资料!$I$8,0)="",[1]!s_stm_rpt_e(C76,基本资料!$I$8,0)=0),[1]!s_stm_rpt_e(C76,基本资料!$I$9,0),[1]!s_stm_rpt_e(C76,基本资料!$I$8,0)))</f>
        <v/>
      </c>
      <c r="G76" s="18" t="str">
        <f>IF(C76="","",YEAR([1]!s_stm_rpt_e(C76,F76,0)))</f>
        <v/>
      </c>
      <c r="H76" s="18" t="str">
        <f>IF(C76="","",表1_31213141516[[#This Row],[列5]]+1)</f>
        <v/>
      </c>
      <c r="I76" s="18" t="str">
        <f>IF(C76="","",表1_31213141516[[#This Row],[列5]]+2)</f>
        <v/>
      </c>
      <c r="J76" s="18" t="str">
        <f ca="1">IF(C76="","",[1]!s_est_instnum(C76,H76,TODAY()))</f>
        <v/>
      </c>
      <c r="K76" s="74" t="str">
        <f ca="1">IF(C76="","",[1]!s_est_eps(C76,H76,TODAY()))</f>
        <v/>
      </c>
      <c r="L76" s="74" t="str">
        <f ca="1">IF(C76="","",[1]!s_est_sales(C76,H76,TODAY(),100000000))</f>
        <v/>
      </c>
      <c r="M76" s="74" t="str">
        <f ca="1">IF(C76="","",[1]!s_est_netprofit(C76,H76,TODAY(),100000000))</f>
        <v/>
      </c>
      <c r="N76" s="74" t="str">
        <f ca="1">IF(C76="","",[1]!s_est_avgcps(C76,H76,TODAY()))</f>
        <v/>
      </c>
      <c r="O76" s="74" t="str">
        <f ca="1">IF(C76="","",[1]!s_est_avgdps(C76,H76,TODAY()))</f>
        <v/>
      </c>
      <c r="P76" s="74" t="str">
        <f ca="1">IF(C76="","",[1]!s_est_avgebit(C76,H76,TODAY(),100000000))</f>
        <v/>
      </c>
      <c r="Q76" s="74" t="str">
        <f ca="1">IF(C76="","",[1]!s_est_avgebitda(C76,H76,TODAY(),100000000))</f>
        <v/>
      </c>
      <c r="R76" s="74" t="str">
        <f ca="1">IF(C76="","",[1]!s_est_avgbps(C76,H76,TODAY()))</f>
        <v/>
      </c>
      <c r="S76" s="74" t="str">
        <f ca="1">IF(C76="","",[1]!s_est_avgebt(C76,H76,TODAY(),100000000))</f>
        <v/>
      </c>
      <c r="T76" s="74" t="str">
        <f ca="1">IF(C76="","",[1]!s_est_avgroa(C76,H76,TODAY()))</f>
        <v/>
      </c>
      <c r="U76" s="74" t="str">
        <f ca="1">IF(C76="","",[1]!s_est_avgroe(C76,H76,TODAY()))</f>
        <v/>
      </c>
      <c r="V76" s="74" t="str">
        <f ca="1">IF(C76="","",[1]!s_est_avgoperatingprofit(C76,H76,TODAY(),100000000))</f>
        <v/>
      </c>
      <c r="W76" s="74" t="str">
        <f ca="1">IF(C76="","",[1]!s_est_yoynetprofit(C76,H76,TODAY()))</f>
        <v/>
      </c>
      <c r="X76" s="74" t="str">
        <f ca="1">IF(C76="","",[1]!s_est_yoysales(C76,H76,TODAY()))</f>
        <v/>
      </c>
      <c r="Y76" s="74" t="str">
        <f ca="1">IF(C76="","",[1]!s_est_instnum(C76,I76,TODAY()))</f>
        <v/>
      </c>
      <c r="Z76" s="74" t="str">
        <f ca="1">IF(C76="","",[1]!s_est_eps(C76,I76,TODAY()))</f>
        <v/>
      </c>
      <c r="AA76" s="74" t="str">
        <f ca="1">IF(C76="","",[1]!s_est_sales(C76,I76,TODAY(),100000000))</f>
        <v/>
      </c>
      <c r="AB76" s="74" t="str">
        <f ca="1">IF(C76="","",[1]!s_est_netprofit(C76,I76,TODAY(),100000000))</f>
        <v/>
      </c>
      <c r="AC76" s="74" t="str">
        <f ca="1">IF(C76="","",[1]!s_est_avgcps(C76,I76,TODAY()))</f>
        <v/>
      </c>
      <c r="AD76" s="74" t="str">
        <f ca="1">IF(C76="","",[1]!s_est_avgdps(C76,I76,TODAY()))</f>
        <v/>
      </c>
      <c r="AE76" s="74" t="str">
        <f ca="1">IF(C76="","",[1]!s_est_avgebit(C76,I76,TODAY(),100000000))</f>
        <v/>
      </c>
      <c r="AF76" s="74" t="str">
        <f ca="1">IF(C76="","",[1]!s_est_avgebitda(C76,I76,TODAY(),100000000))</f>
        <v/>
      </c>
      <c r="AG76" s="74" t="str">
        <f ca="1">IF(C76="","",[1]!s_est_avgbps(C76,I76,TODAY()))</f>
        <v/>
      </c>
      <c r="AH76" s="74" t="str">
        <f ca="1">IF(C76="","",[1]!s_est_avgebt(C76,I76,TODAY(),100000000))</f>
        <v/>
      </c>
      <c r="AI76" s="74" t="str">
        <f ca="1">IF(C76="","",[1]!s_est_avgroa(C76,I76,TODAY()))</f>
        <v/>
      </c>
      <c r="AJ76" s="74" t="str">
        <f ca="1">IF(C76="","",[1]!s_est_avgroe(C76,I76,TODAY()))</f>
        <v/>
      </c>
      <c r="AK76" s="74" t="str">
        <f ca="1">IF(C76="","",[1]!s_est_avgoperatingprofit(C76,I76,TODAY(),100000000))</f>
        <v/>
      </c>
      <c r="AL76" s="74" t="str">
        <f ca="1">IF(C76="","",[1]!s_est_yoynetprofit(C76,I76,TODAY()))</f>
        <v/>
      </c>
      <c r="AM76" s="74" t="str">
        <f ca="1">IF(C76="","",[1]!s_est_yoysales(C76,I76,TODAY()))</f>
        <v/>
      </c>
      <c r="AN76" s="35"/>
    </row>
    <row r="77" spans="1:40" s="36" customFormat="1" ht="16.5" x14ac:dyDescent="0.2">
      <c r="A77" s="2"/>
      <c r="B77" s="6"/>
      <c r="C77" s="28" t="str">
        <f>IF(表1[[#This Row],[列1]]="","",表1[[#This Row],[列1]])</f>
        <v/>
      </c>
      <c r="D77" s="19" t="str">
        <f>IF(C77="","",[1]!hks_info_name(C77))</f>
        <v/>
      </c>
      <c r="E77" s="18" t="str">
        <f ca="1">IF(C77="","",[1]!lastradeday_s(C77,TODAY()))</f>
        <v/>
      </c>
      <c r="F77" s="19" t="str">
        <f>IF(C77="","",IF(OR([1]!s_stm_rpt_e(C77,基本资料!$I$8,0)="#N/A",[1]!s_stm_rpt_e(C77,基本资料!$I$8,0)="",[1]!s_stm_rpt_e(C77,基本资料!$I$8,0)=0),[1]!s_stm_rpt_e(C77,基本资料!$I$9,0),[1]!s_stm_rpt_e(C77,基本资料!$I$8,0)))</f>
        <v/>
      </c>
      <c r="G77" s="18" t="str">
        <f>IF(C77="","",YEAR([1]!s_stm_rpt_e(C77,F77,0)))</f>
        <v/>
      </c>
      <c r="H77" s="18" t="str">
        <f>IF(C77="","",表1_31213141516[[#This Row],[列5]]+1)</f>
        <v/>
      </c>
      <c r="I77" s="18" t="str">
        <f>IF(C77="","",表1_31213141516[[#This Row],[列5]]+2)</f>
        <v/>
      </c>
      <c r="J77" s="18" t="str">
        <f ca="1">IF(C77="","",[1]!s_est_instnum(C77,H77,TODAY()))</f>
        <v/>
      </c>
      <c r="K77" s="74" t="str">
        <f ca="1">IF(C77="","",[1]!s_est_eps(C77,H77,TODAY()))</f>
        <v/>
      </c>
      <c r="L77" s="74" t="str">
        <f ca="1">IF(C77="","",[1]!s_est_sales(C77,H77,TODAY(),100000000))</f>
        <v/>
      </c>
      <c r="M77" s="74" t="str">
        <f ca="1">IF(C77="","",[1]!s_est_netprofit(C77,H77,TODAY(),100000000))</f>
        <v/>
      </c>
      <c r="N77" s="74" t="str">
        <f ca="1">IF(C77="","",[1]!s_est_avgcps(C77,H77,TODAY()))</f>
        <v/>
      </c>
      <c r="O77" s="74" t="str">
        <f ca="1">IF(C77="","",[1]!s_est_avgdps(C77,H77,TODAY()))</f>
        <v/>
      </c>
      <c r="P77" s="74" t="str">
        <f ca="1">IF(C77="","",[1]!s_est_avgebit(C77,H77,TODAY(),100000000))</f>
        <v/>
      </c>
      <c r="Q77" s="74" t="str">
        <f ca="1">IF(C77="","",[1]!s_est_avgebitda(C77,H77,TODAY(),100000000))</f>
        <v/>
      </c>
      <c r="R77" s="74" t="str">
        <f ca="1">IF(C77="","",[1]!s_est_avgbps(C77,H77,TODAY()))</f>
        <v/>
      </c>
      <c r="S77" s="74" t="str">
        <f ca="1">IF(C77="","",[1]!s_est_avgebt(C77,H77,TODAY(),100000000))</f>
        <v/>
      </c>
      <c r="T77" s="74" t="str">
        <f ca="1">IF(C77="","",[1]!s_est_avgroa(C77,H77,TODAY()))</f>
        <v/>
      </c>
      <c r="U77" s="74" t="str">
        <f ca="1">IF(C77="","",[1]!s_est_avgroe(C77,H77,TODAY()))</f>
        <v/>
      </c>
      <c r="V77" s="74" t="str">
        <f ca="1">IF(C77="","",[1]!s_est_avgoperatingprofit(C77,H77,TODAY(),100000000))</f>
        <v/>
      </c>
      <c r="W77" s="74" t="str">
        <f ca="1">IF(C77="","",[1]!s_est_yoynetprofit(C77,H77,TODAY()))</f>
        <v/>
      </c>
      <c r="X77" s="74" t="str">
        <f ca="1">IF(C77="","",[1]!s_est_yoysales(C77,H77,TODAY()))</f>
        <v/>
      </c>
      <c r="Y77" s="74" t="str">
        <f ca="1">IF(C77="","",[1]!s_est_instnum(C77,I77,TODAY()))</f>
        <v/>
      </c>
      <c r="Z77" s="74" t="str">
        <f ca="1">IF(C77="","",[1]!s_est_eps(C77,I77,TODAY()))</f>
        <v/>
      </c>
      <c r="AA77" s="74" t="str">
        <f ca="1">IF(C77="","",[1]!s_est_sales(C77,I77,TODAY(),100000000))</f>
        <v/>
      </c>
      <c r="AB77" s="74" t="str">
        <f ca="1">IF(C77="","",[1]!s_est_netprofit(C77,I77,TODAY(),100000000))</f>
        <v/>
      </c>
      <c r="AC77" s="74" t="str">
        <f ca="1">IF(C77="","",[1]!s_est_avgcps(C77,I77,TODAY()))</f>
        <v/>
      </c>
      <c r="AD77" s="74" t="str">
        <f ca="1">IF(C77="","",[1]!s_est_avgdps(C77,I77,TODAY()))</f>
        <v/>
      </c>
      <c r="AE77" s="74" t="str">
        <f ca="1">IF(C77="","",[1]!s_est_avgebit(C77,I77,TODAY(),100000000))</f>
        <v/>
      </c>
      <c r="AF77" s="74" t="str">
        <f ca="1">IF(C77="","",[1]!s_est_avgebitda(C77,I77,TODAY(),100000000))</f>
        <v/>
      </c>
      <c r="AG77" s="74" t="str">
        <f ca="1">IF(C77="","",[1]!s_est_avgbps(C77,I77,TODAY()))</f>
        <v/>
      </c>
      <c r="AH77" s="74" t="str">
        <f ca="1">IF(C77="","",[1]!s_est_avgebt(C77,I77,TODAY(),100000000))</f>
        <v/>
      </c>
      <c r="AI77" s="74" t="str">
        <f ca="1">IF(C77="","",[1]!s_est_avgroa(C77,I77,TODAY()))</f>
        <v/>
      </c>
      <c r="AJ77" s="74" t="str">
        <f ca="1">IF(C77="","",[1]!s_est_avgroe(C77,I77,TODAY()))</f>
        <v/>
      </c>
      <c r="AK77" s="74" t="str">
        <f ca="1">IF(C77="","",[1]!s_est_avgoperatingprofit(C77,I77,TODAY(),100000000))</f>
        <v/>
      </c>
      <c r="AL77" s="74" t="str">
        <f ca="1">IF(C77="","",[1]!s_est_yoynetprofit(C77,I77,TODAY()))</f>
        <v/>
      </c>
      <c r="AM77" s="74" t="str">
        <f ca="1">IF(C77="","",[1]!s_est_yoysales(C77,I77,TODAY()))</f>
        <v/>
      </c>
      <c r="AN77" s="35"/>
    </row>
    <row r="78" spans="1:40" s="36" customFormat="1" ht="16.5" x14ac:dyDescent="0.2">
      <c r="A78" s="2"/>
      <c r="B78" s="6"/>
      <c r="C78" s="28" t="str">
        <f>IF(表1[[#This Row],[列1]]="","",表1[[#This Row],[列1]])</f>
        <v/>
      </c>
      <c r="D78" s="19" t="str">
        <f>IF(C78="","",[1]!hks_info_name(C78))</f>
        <v/>
      </c>
      <c r="E78" s="18" t="str">
        <f ca="1">IF(C78="","",[1]!lastradeday_s(C78,TODAY()))</f>
        <v/>
      </c>
      <c r="F78" s="19" t="str">
        <f>IF(C78="","",IF(OR([1]!s_stm_rpt_e(C78,基本资料!$I$8,0)="#N/A",[1]!s_stm_rpt_e(C78,基本资料!$I$8,0)="",[1]!s_stm_rpt_e(C78,基本资料!$I$8,0)=0),[1]!s_stm_rpt_e(C78,基本资料!$I$9,0),[1]!s_stm_rpt_e(C78,基本资料!$I$8,0)))</f>
        <v/>
      </c>
      <c r="G78" s="18" t="str">
        <f>IF(C78="","",YEAR([1]!s_stm_rpt_e(C78,F78,0)))</f>
        <v/>
      </c>
      <c r="H78" s="18" t="str">
        <f>IF(C78="","",表1_31213141516[[#This Row],[列5]]+1)</f>
        <v/>
      </c>
      <c r="I78" s="18" t="str">
        <f>IF(C78="","",表1_31213141516[[#This Row],[列5]]+2)</f>
        <v/>
      </c>
      <c r="J78" s="18" t="str">
        <f ca="1">IF(C78="","",[1]!s_est_instnum(C78,H78,TODAY()))</f>
        <v/>
      </c>
      <c r="K78" s="74" t="str">
        <f ca="1">IF(C78="","",[1]!s_est_eps(C78,H78,TODAY()))</f>
        <v/>
      </c>
      <c r="L78" s="74" t="str">
        <f ca="1">IF(C78="","",[1]!s_est_sales(C78,H78,TODAY(),100000000))</f>
        <v/>
      </c>
      <c r="M78" s="74" t="str">
        <f ca="1">IF(C78="","",[1]!s_est_netprofit(C78,H78,TODAY(),100000000))</f>
        <v/>
      </c>
      <c r="N78" s="74" t="str">
        <f ca="1">IF(C78="","",[1]!s_est_avgcps(C78,H78,TODAY()))</f>
        <v/>
      </c>
      <c r="O78" s="74" t="str">
        <f ca="1">IF(C78="","",[1]!s_est_avgdps(C78,H78,TODAY()))</f>
        <v/>
      </c>
      <c r="P78" s="74" t="str">
        <f ca="1">IF(C78="","",[1]!s_est_avgebit(C78,H78,TODAY(),100000000))</f>
        <v/>
      </c>
      <c r="Q78" s="74" t="str">
        <f ca="1">IF(C78="","",[1]!s_est_avgebitda(C78,H78,TODAY(),100000000))</f>
        <v/>
      </c>
      <c r="R78" s="74" t="str">
        <f ca="1">IF(C78="","",[1]!s_est_avgbps(C78,H78,TODAY()))</f>
        <v/>
      </c>
      <c r="S78" s="74" t="str">
        <f ca="1">IF(C78="","",[1]!s_est_avgebt(C78,H78,TODAY(),100000000))</f>
        <v/>
      </c>
      <c r="T78" s="74" t="str">
        <f ca="1">IF(C78="","",[1]!s_est_avgroa(C78,H78,TODAY()))</f>
        <v/>
      </c>
      <c r="U78" s="74" t="str">
        <f ca="1">IF(C78="","",[1]!s_est_avgroe(C78,H78,TODAY()))</f>
        <v/>
      </c>
      <c r="V78" s="74" t="str">
        <f ca="1">IF(C78="","",[1]!s_est_avgoperatingprofit(C78,H78,TODAY(),100000000))</f>
        <v/>
      </c>
      <c r="W78" s="74" t="str">
        <f ca="1">IF(C78="","",[1]!s_est_yoynetprofit(C78,H78,TODAY()))</f>
        <v/>
      </c>
      <c r="X78" s="74" t="str">
        <f ca="1">IF(C78="","",[1]!s_est_yoysales(C78,H78,TODAY()))</f>
        <v/>
      </c>
      <c r="Y78" s="74" t="str">
        <f ca="1">IF(C78="","",[1]!s_est_instnum(C78,I78,TODAY()))</f>
        <v/>
      </c>
      <c r="Z78" s="74" t="str">
        <f ca="1">IF(C78="","",[1]!s_est_eps(C78,I78,TODAY()))</f>
        <v/>
      </c>
      <c r="AA78" s="74" t="str">
        <f ca="1">IF(C78="","",[1]!s_est_sales(C78,I78,TODAY(),100000000))</f>
        <v/>
      </c>
      <c r="AB78" s="74" t="str">
        <f ca="1">IF(C78="","",[1]!s_est_netprofit(C78,I78,TODAY(),100000000))</f>
        <v/>
      </c>
      <c r="AC78" s="74" t="str">
        <f ca="1">IF(C78="","",[1]!s_est_avgcps(C78,I78,TODAY()))</f>
        <v/>
      </c>
      <c r="AD78" s="74" t="str">
        <f ca="1">IF(C78="","",[1]!s_est_avgdps(C78,I78,TODAY()))</f>
        <v/>
      </c>
      <c r="AE78" s="74" t="str">
        <f ca="1">IF(C78="","",[1]!s_est_avgebit(C78,I78,TODAY(),100000000))</f>
        <v/>
      </c>
      <c r="AF78" s="74" t="str">
        <f ca="1">IF(C78="","",[1]!s_est_avgebitda(C78,I78,TODAY(),100000000))</f>
        <v/>
      </c>
      <c r="AG78" s="74" t="str">
        <f ca="1">IF(C78="","",[1]!s_est_avgbps(C78,I78,TODAY()))</f>
        <v/>
      </c>
      <c r="AH78" s="74" t="str">
        <f ca="1">IF(C78="","",[1]!s_est_avgebt(C78,I78,TODAY(),100000000))</f>
        <v/>
      </c>
      <c r="AI78" s="74" t="str">
        <f ca="1">IF(C78="","",[1]!s_est_avgroa(C78,I78,TODAY()))</f>
        <v/>
      </c>
      <c r="AJ78" s="74" t="str">
        <f ca="1">IF(C78="","",[1]!s_est_avgroe(C78,I78,TODAY()))</f>
        <v/>
      </c>
      <c r="AK78" s="74" t="str">
        <f ca="1">IF(C78="","",[1]!s_est_avgoperatingprofit(C78,I78,TODAY(),100000000))</f>
        <v/>
      </c>
      <c r="AL78" s="74" t="str">
        <f ca="1">IF(C78="","",[1]!s_est_yoynetprofit(C78,I78,TODAY()))</f>
        <v/>
      </c>
      <c r="AM78" s="74" t="str">
        <f ca="1">IF(C78="","",[1]!s_est_yoysales(C78,I78,TODAY()))</f>
        <v/>
      </c>
      <c r="AN78" s="35"/>
    </row>
    <row r="79" spans="1:40" s="36" customFormat="1" ht="16.5" x14ac:dyDescent="0.2">
      <c r="A79" s="2"/>
      <c r="B79" s="6"/>
      <c r="C79" s="28" t="str">
        <f>IF(表1[[#This Row],[列1]]="","",表1[[#This Row],[列1]])</f>
        <v/>
      </c>
      <c r="D79" s="19" t="str">
        <f>IF(C79="","",[1]!hks_info_name(C79))</f>
        <v/>
      </c>
      <c r="E79" s="18" t="str">
        <f ca="1">IF(C79="","",[1]!lastradeday_s(C79,TODAY()))</f>
        <v/>
      </c>
      <c r="F79" s="19" t="str">
        <f>IF(C79="","",IF(OR([1]!s_stm_rpt_e(C79,基本资料!$I$8,0)="#N/A",[1]!s_stm_rpt_e(C79,基本资料!$I$8,0)="",[1]!s_stm_rpt_e(C79,基本资料!$I$8,0)=0),[1]!s_stm_rpt_e(C79,基本资料!$I$9,0),[1]!s_stm_rpt_e(C79,基本资料!$I$8,0)))</f>
        <v/>
      </c>
      <c r="G79" s="18" t="str">
        <f>IF(C79="","",YEAR([1]!s_stm_rpt_e(C79,F79,0)))</f>
        <v/>
      </c>
      <c r="H79" s="18" t="str">
        <f>IF(C79="","",表1_31213141516[[#This Row],[列5]]+1)</f>
        <v/>
      </c>
      <c r="I79" s="18" t="str">
        <f>IF(C79="","",表1_31213141516[[#This Row],[列5]]+2)</f>
        <v/>
      </c>
      <c r="J79" s="18" t="str">
        <f ca="1">IF(C79="","",[1]!s_est_instnum(C79,H79,TODAY()))</f>
        <v/>
      </c>
      <c r="K79" s="74" t="str">
        <f ca="1">IF(C79="","",[1]!s_est_eps(C79,H79,TODAY()))</f>
        <v/>
      </c>
      <c r="L79" s="74" t="str">
        <f ca="1">IF(C79="","",[1]!s_est_sales(C79,H79,TODAY(),100000000))</f>
        <v/>
      </c>
      <c r="M79" s="74" t="str">
        <f ca="1">IF(C79="","",[1]!s_est_netprofit(C79,H79,TODAY(),100000000))</f>
        <v/>
      </c>
      <c r="N79" s="74" t="str">
        <f ca="1">IF(C79="","",[1]!s_est_avgcps(C79,H79,TODAY()))</f>
        <v/>
      </c>
      <c r="O79" s="74" t="str">
        <f ca="1">IF(C79="","",[1]!s_est_avgdps(C79,H79,TODAY()))</f>
        <v/>
      </c>
      <c r="P79" s="74" t="str">
        <f ca="1">IF(C79="","",[1]!s_est_avgebit(C79,H79,TODAY(),100000000))</f>
        <v/>
      </c>
      <c r="Q79" s="74" t="str">
        <f ca="1">IF(C79="","",[1]!s_est_avgebitda(C79,H79,TODAY(),100000000))</f>
        <v/>
      </c>
      <c r="R79" s="74" t="str">
        <f ca="1">IF(C79="","",[1]!s_est_avgbps(C79,H79,TODAY()))</f>
        <v/>
      </c>
      <c r="S79" s="74" t="str">
        <f ca="1">IF(C79="","",[1]!s_est_avgebt(C79,H79,TODAY(),100000000))</f>
        <v/>
      </c>
      <c r="T79" s="74" t="str">
        <f ca="1">IF(C79="","",[1]!s_est_avgroa(C79,H79,TODAY()))</f>
        <v/>
      </c>
      <c r="U79" s="74" t="str">
        <f ca="1">IF(C79="","",[1]!s_est_avgroe(C79,H79,TODAY()))</f>
        <v/>
      </c>
      <c r="V79" s="74" t="str">
        <f ca="1">IF(C79="","",[1]!s_est_avgoperatingprofit(C79,H79,TODAY(),100000000))</f>
        <v/>
      </c>
      <c r="W79" s="74" t="str">
        <f ca="1">IF(C79="","",[1]!s_est_yoynetprofit(C79,H79,TODAY()))</f>
        <v/>
      </c>
      <c r="X79" s="74" t="str">
        <f ca="1">IF(C79="","",[1]!s_est_yoysales(C79,H79,TODAY()))</f>
        <v/>
      </c>
      <c r="Y79" s="74" t="str">
        <f ca="1">IF(C79="","",[1]!s_est_instnum(C79,I79,TODAY()))</f>
        <v/>
      </c>
      <c r="Z79" s="74" t="str">
        <f ca="1">IF(C79="","",[1]!s_est_eps(C79,I79,TODAY()))</f>
        <v/>
      </c>
      <c r="AA79" s="74" t="str">
        <f ca="1">IF(C79="","",[1]!s_est_sales(C79,I79,TODAY(),100000000))</f>
        <v/>
      </c>
      <c r="AB79" s="74" t="str">
        <f ca="1">IF(C79="","",[1]!s_est_netprofit(C79,I79,TODAY(),100000000))</f>
        <v/>
      </c>
      <c r="AC79" s="74" t="str">
        <f ca="1">IF(C79="","",[1]!s_est_avgcps(C79,I79,TODAY()))</f>
        <v/>
      </c>
      <c r="AD79" s="74" t="str">
        <f ca="1">IF(C79="","",[1]!s_est_avgdps(C79,I79,TODAY()))</f>
        <v/>
      </c>
      <c r="AE79" s="74" t="str">
        <f ca="1">IF(C79="","",[1]!s_est_avgebit(C79,I79,TODAY(),100000000))</f>
        <v/>
      </c>
      <c r="AF79" s="74" t="str">
        <f ca="1">IF(C79="","",[1]!s_est_avgebitda(C79,I79,TODAY(),100000000))</f>
        <v/>
      </c>
      <c r="AG79" s="74" t="str">
        <f ca="1">IF(C79="","",[1]!s_est_avgbps(C79,I79,TODAY()))</f>
        <v/>
      </c>
      <c r="AH79" s="74" t="str">
        <f ca="1">IF(C79="","",[1]!s_est_avgebt(C79,I79,TODAY(),100000000))</f>
        <v/>
      </c>
      <c r="AI79" s="74" t="str">
        <f ca="1">IF(C79="","",[1]!s_est_avgroa(C79,I79,TODAY()))</f>
        <v/>
      </c>
      <c r="AJ79" s="74" t="str">
        <f ca="1">IF(C79="","",[1]!s_est_avgroe(C79,I79,TODAY()))</f>
        <v/>
      </c>
      <c r="AK79" s="74" t="str">
        <f ca="1">IF(C79="","",[1]!s_est_avgoperatingprofit(C79,I79,TODAY(),100000000))</f>
        <v/>
      </c>
      <c r="AL79" s="74" t="str">
        <f ca="1">IF(C79="","",[1]!s_est_yoynetprofit(C79,I79,TODAY()))</f>
        <v/>
      </c>
      <c r="AM79" s="74" t="str">
        <f ca="1">IF(C79="","",[1]!s_est_yoysales(C79,I79,TODAY()))</f>
        <v/>
      </c>
      <c r="AN79" s="35"/>
    </row>
    <row r="80" spans="1:40" s="36" customFormat="1" ht="16.5" x14ac:dyDescent="0.2">
      <c r="A80" s="2"/>
      <c r="B80" s="6"/>
      <c r="C80" s="28" t="str">
        <f>IF(表1[[#This Row],[列1]]="","",表1[[#This Row],[列1]])</f>
        <v/>
      </c>
      <c r="D80" s="19" t="str">
        <f>IF(C80="","",[1]!hks_info_name(C80))</f>
        <v/>
      </c>
      <c r="E80" s="18" t="str">
        <f ca="1">IF(C80="","",[1]!lastradeday_s(C80,TODAY()))</f>
        <v/>
      </c>
      <c r="F80" s="19" t="str">
        <f>IF(C80="","",IF(OR([1]!s_stm_rpt_e(C80,基本资料!$I$8,0)="#N/A",[1]!s_stm_rpt_e(C80,基本资料!$I$8,0)="",[1]!s_stm_rpt_e(C80,基本资料!$I$8,0)=0),[1]!s_stm_rpt_e(C80,基本资料!$I$9,0),[1]!s_stm_rpt_e(C80,基本资料!$I$8,0)))</f>
        <v/>
      </c>
      <c r="G80" s="18" t="str">
        <f>IF(C80="","",YEAR([1]!s_stm_rpt_e(C80,F80,0)))</f>
        <v/>
      </c>
      <c r="H80" s="18" t="str">
        <f>IF(C80="","",表1_31213141516[[#This Row],[列5]]+1)</f>
        <v/>
      </c>
      <c r="I80" s="18" t="str">
        <f>IF(C80="","",表1_31213141516[[#This Row],[列5]]+2)</f>
        <v/>
      </c>
      <c r="J80" s="18" t="str">
        <f ca="1">IF(C80="","",[1]!s_est_instnum(C80,H80,TODAY()))</f>
        <v/>
      </c>
      <c r="K80" s="74" t="str">
        <f ca="1">IF(C80="","",[1]!s_est_eps(C80,H80,TODAY()))</f>
        <v/>
      </c>
      <c r="L80" s="74" t="str">
        <f ca="1">IF(C80="","",[1]!s_est_sales(C80,H80,TODAY(),100000000))</f>
        <v/>
      </c>
      <c r="M80" s="74" t="str">
        <f ca="1">IF(C80="","",[1]!s_est_netprofit(C80,H80,TODAY(),100000000))</f>
        <v/>
      </c>
      <c r="N80" s="74" t="str">
        <f ca="1">IF(C80="","",[1]!s_est_avgcps(C80,H80,TODAY()))</f>
        <v/>
      </c>
      <c r="O80" s="74" t="str">
        <f ca="1">IF(C80="","",[1]!s_est_avgdps(C80,H80,TODAY()))</f>
        <v/>
      </c>
      <c r="P80" s="74" t="str">
        <f ca="1">IF(C80="","",[1]!s_est_avgebit(C80,H80,TODAY(),100000000))</f>
        <v/>
      </c>
      <c r="Q80" s="74" t="str">
        <f ca="1">IF(C80="","",[1]!s_est_avgebitda(C80,H80,TODAY(),100000000))</f>
        <v/>
      </c>
      <c r="R80" s="74" t="str">
        <f ca="1">IF(C80="","",[1]!s_est_avgbps(C80,H80,TODAY()))</f>
        <v/>
      </c>
      <c r="S80" s="74" t="str">
        <f ca="1">IF(C80="","",[1]!s_est_avgebt(C80,H80,TODAY(),100000000))</f>
        <v/>
      </c>
      <c r="T80" s="74" t="str">
        <f ca="1">IF(C80="","",[1]!s_est_avgroa(C80,H80,TODAY()))</f>
        <v/>
      </c>
      <c r="U80" s="74" t="str">
        <f ca="1">IF(C80="","",[1]!s_est_avgroe(C80,H80,TODAY()))</f>
        <v/>
      </c>
      <c r="V80" s="74" t="str">
        <f ca="1">IF(C80="","",[1]!s_est_avgoperatingprofit(C80,H80,TODAY(),100000000))</f>
        <v/>
      </c>
      <c r="W80" s="74" t="str">
        <f ca="1">IF(C80="","",[1]!s_est_yoynetprofit(C80,H80,TODAY()))</f>
        <v/>
      </c>
      <c r="X80" s="74" t="str">
        <f ca="1">IF(C80="","",[1]!s_est_yoysales(C80,H80,TODAY()))</f>
        <v/>
      </c>
      <c r="Y80" s="74" t="str">
        <f ca="1">IF(C80="","",[1]!s_est_instnum(C80,I80,TODAY()))</f>
        <v/>
      </c>
      <c r="Z80" s="74" t="str">
        <f ca="1">IF(C80="","",[1]!s_est_eps(C80,I80,TODAY()))</f>
        <v/>
      </c>
      <c r="AA80" s="74" t="str">
        <f ca="1">IF(C80="","",[1]!s_est_sales(C80,I80,TODAY(),100000000))</f>
        <v/>
      </c>
      <c r="AB80" s="74" t="str">
        <f ca="1">IF(C80="","",[1]!s_est_netprofit(C80,I80,TODAY(),100000000))</f>
        <v/>
      </c>
      <c r="AC80" s="74" t="str">
        <f ca="1">IF(C80="","",[1]!s_est_avgcps(C80,I80,TODAY()))</f>
        <v/>
      </c>
      <c r="AD80" s="74" t="str">
        <f ca="1">IF(C80="","",[1]!s_est_avgdps(C80,I80,TODAY()))</f>
        <v/>
      </c>
      <c r="AE80" s="74" t="str">
        <f ca="1">IF(C80="","",[1]!s_est_avgebit(C80,I80,TODAY(),100000000))</f>
        <v/>
      </c>
      <c r="AF80" s="74" t="str">
        <f ca="1">IF(C80="","",[1]!s_est_avgebitda(C80,I80,TODAY(),100000000))</f>
        <v/>
      </c>
      <c r="AG80" s="74" t="str">
        <f ca="1">IF(C80="","",[1]!s_est_avgbps(C80,I80,TODAY()))</f>
        <v/>
      </c>
      <c r="AH80" s="74" t="str">
        <f ca="1">IF(C80="","",[1]!s_est_avgebt(C80,I80,TODAY(),100000000))</f>
        <v/>
      </c>
      <c r="AI80" s="74" t="str">
        <f ca="1">IF(C80="","",[1]!s_est_avgroa(C80,I80,TODAY()))</f>
        <v/>
      </c>
      <c r="AJ80" s="74" t="str">
        <f ca="1">IF(C80="","",[1]!s_est_avgroe(C80,I80,TODAY()))</f>
        <v/>
      </c>
      <c r="AK80" s="74" t="str">
        <f ca="1">IF(C80="","",[1]!s_est_avgoperatingprofit(C80,I80,TODAY(),100000000))</f>
        <v/>
      </c>
      <c r="AL80" s="74" t="str">
        <f ca="1">IF(C80="","",[1]!s_est_yoynetprofit(C80,I80,TODAY()))</f>
        <v/>
      </c>
      <c r="AM80" s="74" t="str">
        <f ca="1">IF(C80="","",[1]!s_est_yoysales(C80,I80,TODAY()))</f>
        <v/>
      </c>
      <c r="AN80" s="35"/>
    </row>
    <row r="81" spans="1:40" s="36" customFormat="1" ht="16.5" x14ac:dyDescent="0.2">
      <c r="A81" s="2"/>
      <c r="B81" s="6"/>
      <c r="C81" s="28" t="str">
        <f>IF(表1[[#This Row],[列1]]="","",表1[[#This Row],[列1]])</f>
        <v/>
      </c>
      <c r="D81" s="19" t="str">
        <f>IF(C81="","",[1]!hks_info_name(C81))</f>
        <v/>
      </c>
      <c r="E81" s="18" t="str">
        <f ca="1">IF(C81="","",[1]!lastradeday_s(C81,TODAY()))</f>
        <v/>
      </c>
      <c r="F81" s="19" t="str">
        <f>IF(C81="","",IF(OR([1]!s_stm_rpt_e(C81,基本资料!$I$8,0)="#N/A",[1]!s_stm_rpt_e(C81,基本资料!$I$8,0)="",[1]!s_stm_rpt_e(C81,基本资料!$I$8,0)=0),[1]!s_stm_rpt_e(C81,基本资料!$I$9,0),[1]!s_stm_rpt_e(C81,基本资料!$I$8,0)))</f>
        <v/>
      </c>
      <c r="G81" s="18" t="str">
        <f>IF(C81="","",YEAR([1]!s_stm_rpt_e(C81,F81,0)))</f>
        <v/>
      </c>
      <c r="H81" s="18" t="str">
        <f>IF(C81="","",表1_31213141516[[#This Row],[列5]]+1)</f>
        <v/>
      </c>
      <c r="I81" s="18" t="str">
        <f>IF(C81="","",表1_31213141516[[#This Row],[列5]]+2)</f>
        <v/>
      </c>
      <c r="J81" s="18" t="str">
        <f ca="1">IF(C81="","",[1]!s_est_instnum(C81,H81,TODAY()))</f>
        <v/>
      </c>
      <c r="K81" s="74" t="str">
        <f ca="1">IF(C81="","",[1]!s_est_eps(C81,H81,TODAY()))</f>
        <v/>
      </c>
      <c r="L81" s="74" t="str">
        <f ca="1">IF(C81="","",[1]!s_est_sales(C81,H81,TODAY(),100000000))</f>
        <v/>
      </c>
      <c r="M81" s="74" t="str">
        <f ca="1">IF(C81="","",[1]!s_est_netprofit(C81,H81,TODAY(),100000000))</f>
        <v/>
      </c>
      <c r="N81" s="74" t="str">
        <f ca="1">IF(C81="","",[1]!s_est_avgcps(C81,H81,TODAY()))</f>
        <v/>
      </c>
      <c r="O81" s="74" t="str">
        <f ca="1">IF(C81="","",[1]!s_est_avgdps(C81,H81,TODAY()))</f>
        <v/>
      </c>
      <c r="P81" s="74" t="str">
        <f ca="1">IF(C81="","",[1]!s_est_avgebit(C81,H81,TODAY(),100000000))</f>
        <v/>
      </c>
      <c r="Q81" s="74" t="str">
        <f ca="1">IF(C81="","",[1]!s_est_avgebitda(C81,H81,TODAY(),100000000))</f>
        <v/>
      </c>
      <c r="R81" s="74" t="str">
        <f ca="1">IF(C81="","",[1]!s_est_avgbps(C81,H81,TODAY()))</f>
        <v/>
      </c>
      <c r="S81" s="74" t="str">
        <f ca="1">IF(C81="","",[1]!s_est_avgebt(C81,H81,TODAY(),100000000))</f>
        <v/>
      </c>
      <c r="T81" s="74" t="str">
        <f ca="1">IF(C81="","",[1]!s_est_avgroa(C81,H81,TODAY()))</f>
        <v/>
      </c>
      <c r="U81" s="74" t="str">
        <f ca="1">IF(C81="","",[1]!s_est_avgroe(C81,H81,TODAY()))</f>
        <v/>
      </c>
      <c r="V81" s="74" t="str">
        <f ca="1">IF(C81="","",[1]!s_est_avgoperatingprofit(C81,H81,TODAY(),100000000))</f>
        <v/>
      </c>
      <c r="W81" s="74" t="str">
        <f ca="1">IF(C81="","",[1]!s_est_yoynetprofit(C81,H81,TODAY()))</f>
        <v/>
      </c>
      <c r="X81" s="74" t="str">
        <f ca="1">IF(C81="","",[1]!s_est_yoysales(C81,H81,TODAY()))</f>
        <v/>
      </c>
      <c r="Y81" s="74" t="str">
        <f ca="1">IF(C81="","",[1]!s_est_instnum(C81,I81,TODAY()))</f>
        <v/>
      </c>
      <c r="Z81" s="74" t="str">
        <f ca="1">IF(C81="","",[1]!s_est_eps(C81,I81,TODAY()))</f>
        <v/>
      </c>
      <c r="AA81" s="74" t="str">
        <f ca="1">IF(C81="","",[1]!s_est_sales(C81,I81,TODAY(),100000000))</f>
        <v/>
      </c>
      <c r="AB81" s="74" t="str">
        <f ca="1">IF(C81="","",[1]!s_est_netprofit(C81,I81,TODAY(),100000000))</f>
        <v/>
      </c>
      <c r="AC81" s="74" t="str">
        <f ca="1">IF(C81="","",[1]!s_est_avgcps(C81,I81,TODAY()))</f>
        <v/>
      </c>
      <c r="AD81" s="74" t="str">
        <f ca="1">IF(C81="","",[1]!s_est_avgdps(C81,I81,TODAY()))</f>
        <v/>
      </c>
      <c r="AE81" s="74" t="str">
        <f ca="1">IF(C81="","",[1]!s_est_avgebit(C81,I81,TODAY(),100000000))</f>
        <v/>
      </c>
      <c r="AF81" s="74" t="str">
        <f ca="1">IF(C81="","",[1]!s_est_avgebitda(C81,I81,TODAY(),100000000))</f>
        <v/>
      </c>
      <c r="AG81" s="74" t="str">
        <f ca="1">IF(C81="","",[1]!s_est_avgbps(C81,I81,TODAY()))</f>
        <v/>
      </c>
      <c r="AH81" s="74" t="str">
        <f ca="1">IF(C81="","",[1]!s_est_avgebt(C81,I81,TODAY(),100000000))</f>
        <v/>
      </c>
      <c r="AI81" s="74" t="str">
        <f ca="1">IF(C81="","",[1]!s_est_avgroa(C81,I81,TODAY()))</f>
        <v/>
      </c>
      <c r="AJ81" s="74" t="str">
        <f ca="1">IF(C81="","",[1]!s_est_avgroe(C81,I81,TODAY()))</f>
        <v/>
      </c>
      <c r="AK81" s="74" t="str">
        <f ca="1">IF(C81="","",[1]!s_est_avgoperatingprofit(C81,I81,TODAY(),100000000))</f>
        <v/>
      </c>
      <c r="AL81" s="74" t="str">
        <f ca="1">IF(C81="","",[1]!s_est_yoynetprofit(C81,I81,TODAY()))</f>
        <v/>
      </c>
      <c r="AM81" s="74" t="str">
        <f ca="1">IF(C81="","",[1]!s_est_yoysales(C81,I81,TODAY()))</f>
        <v/>
      </c>
      <c r="AN81" s="35"/>
    </row>
    <row r="82" spans="1:40" s="36" customFormat="1" ht="16.5" x14ac:dyDescent="0.2">
      <c r="A82" s="2"/>
      <c r="B82" s="6"/>
      <c r="C82" s="28" t="str">
        <f>IF(表1[[#This Row],[列1]]="","",表1[[#This Row],[列1]])</f>
        <v/>
      </c>
      <c r="D82" s="19" t="str">
        <f>IF(C82="","",[1]!hks_info_name(C82))</f>
        <v/>
      </c>
      <c r="E82" s="18" t="str">
        <f ca="1">IF(C82="","",[1]!lastradeday_s(C82,TODAY()))</f>
        <v/>
      </c>
      <c r="F82" s="19" t="str">
        <f>IF(C82="","",IF(OR([1]!s_stm_rpt_e(C82,基本资料!$I$8,0)="#N/A",[1]!s_stm_rpt_e(C82,基本资料!$I$8,0)="",[1]!s_stm_rpt_e(C82,基本资料!$I$8,0)=0),[1]!s_stm_rpt_e(C82,基本资料!$I$9,0),[1]!s_stm_rpt_e(C82,基本资料!$I$8,0)))</f>
        <v/>
      </c>
      <c r="G82" s="18" t="str">
        <f>IF(C82="","",YEAR([1]!s_stm_rpt_e(C82,F82,0)))</f>
        <v/>
      </c>
      <c r="H82" s="18" t="str">
        <f>IF(C82="","",表1_31213141516[[#This Row],[列5]]+1)</f>
        <v/>
      </c>
      <c r="I82" s="18" t="str">
        <f>IF(C82="","",表1_31213141516[[#This Row],[列5]]+2)</f>
        <v/>
      </c>
      <c r="J82" s="18" t="str">
        <f ca="1">IF(C82="","",[1]!s_est_instnum(C82,H82,TODAY()))</f>
        <v/>
      </c>
      <c r="K82" s="74" t="str">
        <f ca="1">IF(C82="","",[1]!s_est_eps(C82,H82,TODAY()))</f>
        <v/>
      </c>
      <c r="L82" s="74" t="str">
        <f ca="1">IF(C82="","",[1]!s_est_sales(C82,H82,TODAY(),100000000))</f>
        <v/>
      </c>
      <c r="M82" s="74" t="str">
        <f ca="1">IF(C82="","",[1]!s_est_netprofit(C82,H82,TODAY(),100000000))</f>
        <v/>
      </c>
      <c r="N82" s="74" t="str">
        <f ca="1">IF(C82="","",[1]!s_est_avgcps(C82,H82,TODAY()))</f>
        <v/>
      </c>
      <c r="O82" s="74" t="str">
        <f ca="1">IF(C82="","",[1]!s_est_avgdps(C82,H82,TODAY()))</f>
        <v/>
      </c>
      <c r="P82" s="74" t="str">
        <f ca="1">IF(C82="","",[1]!s_est_avgebit(C82,H82,TODAY(),100000000))</f>
        <v/>
      </c>
      <c r="Q82" s="74" t="str">
        <f ca="1">IF(C82="","",[1]!s_est_avgebitda(C82,H82,TODAY(),100000000))</f>
        <v/>
      </c>
      <c r="R82" s="74" t="str">
        <f ca="1">IF(C82="","",[1]!s_est_avgbps(C82,H82,TODAY()))</f>
        <v/>
      </c>
      <c r="S82" s="74" t="str">
        <f ca="1">IF(C82="","",[1]!s_est_avgebt(C82,H82,TODAY(),100000000))</f>
        <v/>
      </c>
      <c r="T82" s="74" t="str">
        <f ca="1">IF(C82="","",[1]!s_est_avgroa(C82,H82,TODAY()))</f>
        <v/>
      </c>
      <c r="U82" s="74" t="str">
        <f ca="1">IF(C82="","",[1]!s_est_avgroe(C82,H82,TODAY()))</f>
        <v/>
      </c>
      <c r="V82" s="74" t="str">
        <f ca="1">IF(C82="","",[1]!s_est_avgoperatingprofit(C82,H82,TODAY(),100000000))</f>
        <v/>
      </c>
      <c r="W82" s="74" t="str">
        <f ca="1">IF(C82="","",[1]!s_est_yoynetprofit(C82,H82,TODAY()))</f>
        <v/>
      </c>
      <c r="X82" s="74" t="str">
        <f ca="1">IF(C82="","",[1]!s_est_yoysales(C82,H82,TODAY()))</f>
        <v/>
      </c>
      <c r="Y82" s="74" t="str">
        <f ca="1">IF(C82="","",[1]!s_est_instnum(C82,I82,TODAY()))</f>
        <v/>
      </c>
      <c r="Z82" s="74" t="str">
        <f ca="1">IF(C82="","",[1]!s_est_eps(C82,I82,TODAY()))</f>
        <v/>
      </c>
      <c r="AA82" s="74" t="str">
        <f ca="1">IF(C82="","",[1]!s_est_sales(C82,I82,TODAY(),100000000))</f>
        <v/>
      </c>
      <c r="AB82" s="74" t="str">
        <f ca="1">IF(C82="","",[1]!s_est_netprofit(C82,I82,TODAY(),100000000))</f>
        <v/>
      </c>
      <c r="AC82" s="74" t="str">
        <f ca="1">IF(C82="","",[1]!s_est_avgcps(C82,I82,TODAY()))</f>
        <v/>
      </c>
      <c r="AD82" s="74" t="str">
        <f ca="1">IF(C82="","",[1]!s_est_avgdps(C82,I82,TODAY()))</f>
        <v/>
      </c>
      <c r="AE82" s="74" t="str">
        <f ca="1">IF(C82="","",[1]!s_est_avgebit(C82,I82,TODAY(),100000000))</f>
        <v/>
      </c>
      <c r="AF82" s="74" t="str">
        <f ca="1">IF(C82="","",[1]!s_est_avgebitda(C82,I82,TODAY(),100000000))</f>
        <v/>
      </c>
      <c r="AG82" s="74" t="str">
        <f ca="1">IF(C82="","",[1]!s_est_avgbps(C82,I82,TODAY()))</f>
        <v/>
      </c>
      <c r="AH82" s="74" t="str">
        <f ca="1">IF(C82="","",[1]!s_est_avgebt(C82,I82,TODAY(),100000000))</f>
        <v/>
      </c>
      <c r="AI82" s="74" t="str">
        <f ca="1">IF(C82="","",[1]!s_est_avgroa(C82,I82,TODAY()))</f>
        <v/>
      </c>
      <c r="AJ82" s="74" t="str">
        <f ca="1">IF(C82="","",[1]!s_est_avgroe(C82,I82,TODAY()))</f>
        <v/>
      </c>
      <c r="AK82" s="74" t="str">
        <f ca="1">IF(C82="","",[1]!s_est_avgoperatingprofit(C82,I82,TODAY(),100000000))</f>
        <v/>
      </c>
      <c r="AL82" s="74" t="str">
        <f ca="1">IF(C82="","",[1]!s_est_yoynetprofit(C82,I82,TODAY()))</f>
        <v/>
      </c>
      <c r="AM82" s="74" t="str">
        <f ca="1">IF(C82="","",[1]!s_est_yoysales(C82,I82,TODAY()))</f>
        <v/>
      </c>
      <c r="AN82" s="35"/>
    </row>
    <row r="83" spans="1:40" s="36" customFormat="1" ht="16.5" x14ac:dyDescent="0.2">
      <c r="A83" s="2"/>
      <c r="B83" s="6"/>
      <c r="C83" s="28" t="str">
        <f>IF(表1[[#This Row],[列1]]="","",表1[[#This Row],[列1]])</f>
        <v/>
      </c>
      <c r="D83" s="19" t="str">
        <f>IF(C83="","",[1]!hks_info_name(C83))</f>
        <v/>
      </c>
      <c r="E83" s="18" t="str">
        <f ca="1">IF(C83="","",[1]!lastradeday_s(C83,TODAY()))</f>
        <v/>
      </c>
      <c r="F83" s="19" t="str">
        <f>IF(C83="","",IF(OR([1]!s_stm_rpt_e(C83,基本资料!$I$8,0)="#N/A",[1]!s_stm_rpt_e(C83,基本资料!$I$8,0)="",[1]!s_stm_rpt_e(C83,基本资料!$I$8,0)=0),[1]!s_stm_rpt_e(C83,基本资料!$I$9,0),[1]!s_stm_rpt_e(C83,基本资料!$I$8,0)))</f>
        <v/>
      </c>
      <c r="G83" s="18" t="str">
        <f>IF(C83="","",YEAR([1]!s_stm_rpt_e(C83,F83,0)))</f>
        <v/>
      </c>
      <c r="H83" s="18" t="str">
        <f>IF(C83="","",表1_31213141516[[#This Row],[列5]]+1)</f>
        <v/>
      </c>
      <c r="I83" s="18" t="str">
        <f>IF(C83="","",表1_31213141516[[#This Row],[列5]]+2)</f>
        <v/>
      </c>
      <c r="J83" s="18" t="str">
        <f ca="1">IF(C83="","",[1]!s_est_instnum(C83,H83,TODAY()))</f>
        <v/>
      </c>
      <c r="K83" s="74" t="str">
        <f ca="1">IF(C83="","",[1]!s_est_eps(C83,H83,TODAY()))</f>
        <v/>
      </c>
      <c r="L83" s="74" t="str">
        <f ca="1">IF(C83="","",[1]!s_est_sales(C83,H83,TODAY(),100000000))</f>
        <v/>
      </c>
      <c r="M83" s="74" t="str">
        <f ca="1">IF(C83="","",[1]!s_est_netprofit(C83,H83,TODAY(),100000000))</f>
        <v/>
      </c>
      <c r="N83" s="74" t="str">
        <f ca="1">IF(C83="","",[1]!s_est_avgcps(C83,H83,TODAY()))</f>
        <v/>
      </c>
      <c r="O83" s="74" t="str">
        <f ca="1">IF(C83="","",[1]!s_est_avgdps(C83,H83,TODAY()))</f>
        <v/>
      </c>
      <c r="P83" s="74" t="str">
        <f ca="1">IF(C83="","",[1]!s_est_avgebit(C83,H83,TODAY(),100000000))</f>
        <v/>
      </c>
      <c r="Q83" s="74" t="str">
        <f ca="1">IF(C83="","",[1]!s_est_avgebitda(C83,H83,TODAY(),100000000))</f>
        <v/>
      </c>
      <c r="R83" s="74" t="str">
        <f ca="1">IF(C83="","",[1]!s_est_avgbps(C83,H83,TODAY()))</f>
        <v/>
      </c>
      <c r="S83" s="74" t="str">
        <f ca="1">IF(C83="","",[1]!s_est_avgebt(C83,H83,TODAY(),100000000))</f>
        <v/>
      </c>
      <c r="T83" s="74" t="str">
        <f ca="1">IF(C83="","",[1]!s_est_avgroa(C83,H83,TODAY()))</f>
        <v/>
      </c>
      <c r="U83" s="74" t="str">
        <f ca="1">IF(C83="","",[1]!s_est_avgroe(C83,H83,TODAY()))</f>
        <v/>
      </c>
      <c r="V83" s="74" t="str">
        <f ca="1">IF(C83="","",[1]!s_est_avgoperatingprofit(C83,H83,TODAY(),100000000))</f>
        <v/>
      </c>
      <c r="W83" s="74" t="str">
        <f ca="1">IF(C83="","",[1]!s_est_yoynetprofit(C83,H83,TODAY()))</f>
        <v/>
      </c>
      <c r="X83" s="74" t="str">
        <f ca="1">IF(C83="","",[1]!s_est_yoysales(C83,H83,TODAY()))</f>
        <v/>
      </c>
      <c r="Y83" s="74" t="str">
        <f ca="1">IF(C83="","",[1]!s_est_instnum(C83,I83,TODAY()))</f>
        <v/>
      </c>
      <c r="Z83" s="74" t="str">
        <f ca="1">IF(C83="","",[1]!s_est_eps(C83,I83,TODAY()))</f>
        <v/>
      </c>
      <c r="AA83" s="74" t="str">
        <f ca="1">IF(C83="","",[1]!s_est_sales(C83,I83,TODAY(),100000000))</f>
        <v/>
      </c>
      <c r="AB83" s="74" t="str">
        <f ca="1">IF(C83="","",[1]!s_est_netprofit(C83,I83,TODAY(),100000000))</f>
        <v/>
      </c>
      <c r="AC83" s="74" t="str">
        <f ca="1">IF(C83="","",[1]!s_est_avgcps(C83,I83,TODAY()))</f>
        <v/>
      </c>
      <c r="AD83" s="74" t="str">
        <f ca="1">IF(C83="","",[1]!s_est_avgdps(C83,I83,TODAY()))</f>
        <v/>
      </c>
      <c r="AE83" s="74" t="str">
        <f ca="1">IF(C83="","",[1]!s_est_avgebit(C83,I83,TODAY(),100000000))</f>
        <v/>
      </c>
      <c r="AF83" s="74" t="str">
        <f ca="1">IF(C83="","",[1]!s_est_avgebitda(C83,I83,TODAY(),100000000))</f>
        <v/>
      </c>
      <c r="AG83" s="74" t="str">
        <f ca="1">IF(C83="","",[1]!s_est_avgbps(C83,I83,TODAY()))</f>
        <v/>
      </c>
      <c r="AH83" s="74" t="str">
        <f ca="1">IF(C83="","",[1]!s_est_avgebt(C83,I83,TODAY(),100000000))</f>
        <v/>
      </c>
      <c r="AI83" s="74" t="str">
        <f ca="1">IF(C83="","",[1]!s_est_avgroa(C83,I83,TODAY()))</f>
        <v/>
      </c>
      <c r="AJ83" s="74" t="str">
        <f ca="1">IF(C83="","",[1]!s_est_avgroe(C83,I83,TODAY()))</f>
        <v/>
      </c>
      <c r="AK83" s="74" t="str">
        <f ca="1">IF(C83="","",[1]!s_est_avgoperatingprofit(C83,I83,TODAY(),100000000))</f>
        <v/>
      </c>
      <c r="AL83" s="74" t="str">
        <f ca="1">IF(C83="","",[1]!s_est_yoynetprofit(C83,I83,TODAY()))</f>
        <v/>
      </c>
      <c r="AM83" s="74" t="str">
        <f ca="1">IF(C83="","",[1]!s_est_yoysales(C83,I83,TODAY()))</f>
        <v/>
      </c>
      <c r="AN83" s="35"/>
    </row>
    <row r="84" spans="1:40" s="36" customFormat="1" ht="16.5" x14ac:dyDescent="0.2">
      <c r="A84" s="2"/>
      <c r="B84" s="6"/>
      <c r="C84" s="28" t="str">
        <f>IF(表1[[#This Row],[列1]]="","",表1[[#This Row],[列1]])</f>
        <v/>
      </c>
      <c r="D84" s="19" t="str">
        <f>IF(C84="","",[1]!hks_info_name(C84))</f>
        <v/>
      </c>
      <c r="E84" s="18" t="str">
        <f ca="1">IF(C84="","",[1]!lastradeday_s(C84,TODAY()))</f>
        <v/>
      </c>
      <c r="F84" s="19" t="str">
        <f>IF(C84="","",IF(OR([1]!s_stm_rpt_e(C84,基本资料!$I$8,0)="#N/A",[1]!s_stm_rpt_e(C84,基本资料!$I$8,0)="",[1]!s_stm_rpt_e(C84,基本资料!$I$8,0)=0),[1]!s_stm_rpt_e(C84,基本资料!$I$9,0),[1]!s_stm_rpt_e(C84,基本资料!$I$8,0)))</f>
        <v/>
      </c>
      <c r="G84" s="18" t="str">
        <f>IF(C84="","",YEAR([1]!s_stm_rpt_e(C84,F84,0)))</f>
        <v/>
      </c>
      <c r="H84" s="18" t="str">
        <f>IF(C84="","",表1_31213141516[[#This Row],[列5]]+1)</f>
        <v/>
      </c>
      <c r="I84" s="18" t="str">
        <f>IF(C84="","",表1_31213141516[[#This Row],[列5]]+2)</f>
        <v/>
      </c>
      <c r="J84" s="18" t="str">
        <f ca="1">IF(C84="","",[1]!s_est_instnum(C84,H84,TODAY()))</f>
        <v/>
      </c>
      <c r="K84" s="74" t="str">
        <f ca="1">IF(C84="","",[1]!s_est_eps(C84,H84,TODAY()))</f>
        <v/>
      </c>
      <c r="L84" s="74" t="str">
        <f ca="1">IF(C84="","",[1]!s_est_sales(C84,H84,TODAY(),100000000))</f>
        <v/>
      </c>
      <c r="M84" s="74" t="str">
        <f ca="1">IF(C84="","",[1]!s_est_netprofit(C84,H84,TODAY(),100000000))</f>
        <v/>
      </c>
      <c r="N84" s="74" t="str">
        <f ca="1">IF(C84="","",[1]!s_est_avgcps(C84,H84,TODAY()))</f>
        <v/>
      </c>
      <c r="O84" s="74" t="str">
        <f ca="1">IF(C84="","",[1]!s_est_avgdps(C84,H84,TODAY()))</f>
        <v/>
      </c>
      <c r="P84" s="74" t="str">
        <f ca="1">IF(C84="","",[1]!s_est_avgebit(C84,H84,TODAY(),100000000))</f>
        <v/>
      </c>
      <c r="Q84" s="74" t="str">
        <f ca="1">IF(C84="","",[1]!s_est_avgebitda(C84,H84,TODAY(),100000000))</f>
        <v/>
      </c>
      <c r="R84" s="74" t="str">
        <f ca="1">IF(C84="","",[1]!s_est_avgbps(C84,H84,TODAY()))</f>
        <v/>
      </c>
      <c r="S84" s="74" t="str">
        <f ca="1">IF(C84="","",[1]!s_est_avgebt(C84,H84,TODAY(),100000000))</f>
        <v/>
      </c>
      <c r="T84" s="74" t="str">
        <f ca="1">IF(C84="","",[1]!s_est_avgroa(C84,H84,TODAY()))</f>
        <v/>
      </c>
      <c r="U84" s="74" t="str">
        <f ca="1">IF(C84="","",[1]!s_est_avgroe(C84,H84,TODAY()))</f>
        <v/>
      </c>
      <c r="V84" s="74" t="str">
        <f ca="1">IF(C84="","",[1]!s_est_avgoperatingprofit(C84,H84,TODAY(),100000000))</f>
        <v/>
      </c>
      <c r="W84" s="74" t="str">
        <f ca="1">IF(C84="","",[1]!s_est_yoynetprofit(C84,H84,TODAY()))</f>
        <v/>
      </c>
      <c r="X84" s="74" t="str">
        <f ca="1">IF(C84="","",[1]!s_est_yoysales(C84,H84,TODAY()))</f>
        <v/>
      </c>
      <c r="Y84" s="74" t="str">
        <f ca="1">IF(C84="","",[1]!s_est_instnum(C84,I84,TODAY()))</f>
        <v/>
      </c>
      <c r="Z84" s="74" t="str">
        <f ca="1">IF(C84="","",[1]!s_est_eps(C84,I84,TODAY()))</f>
        <v/>
      </c>
      <c r="AA84" s="74" t="str">
        <f ca="1">IF(C84="","",[1]!s_est_sales(C84,I84,TODAY(),100000000))</f>
        <v/>
      </c>
      <c r="AB84" s="74" t="str">
        <f ca="1">IF(C84="","",[1]!s_est_netprofit(C84,I84,TODAY(),100000000))</f>
        <v/>
      </c>
      <c r="AC84" s="74" t="str">
        <f ca="1">IF(C84="","",[1]!s_est_avgcps(C84,I84,TODAY()))</f>
        <v/>
      </c>
      <c r="AD84" s="74" t="str">
        <f ca="1">IF(C84="","",[1]!s_est_avgdps(C84,I84,TODAY()))</f>
        <v/>
      </c>
      <c r="AE84" s="74" t="str">
        <f ca="1">IF(C84="","",[1]!s_est_avgebit(C84,I84,TODAY(),100000000))</f>
        <v/>
      </c>
      <c r="AF84" s="74" t="str">
        <f ca="1">IF(C84="","",[1]!s_est_avgebitda(C84,I84,TODAY(),100000000))</f>
        <v/>
      </c>
      <c r="AG84" s="74" t="str">
        <f ca="1">IF(C84="","",[1]!s_est_avgbps(C84,I84,TODAY()))</f>
        <v/>
      </c>
      <c r="AH84" s="74" t="str">
        <f ca="1">IF(C84="","",[1]!s_est_avgebt(C84,I84,TODAY(),100000000))</f>
        <v/>
      </c>
      <c r="AI84" s="74" t="str">
        <f ca="1">IF(C84="","",[1]!s_est_avgroa(C84,I84,TODAY()))</f>
        <v/>
      </c>
      <c r="AJ84" s="74" t="str">
        <f ca="1">IF(C84="","",[1]!s_est_avgroe(C84,I84,TODAY()))</f>
        <v/>
      </c>
      <c r="AK84" s="74" t="str">
        <f ca="1">IF(C84="","",[1]!s_est_avgoperatingprofit(C84,I84,TODAY(),100000000))</f>
        <v/>
      </c>
      <c r="AL84" s="74" t="str">
        <f ca="1">IF(C84="","",[1]!s_est_yoynetprofit(C84,I84,TODAY()))</f>
        <v/>
      </c>
      <c r="AM84" s="74" t="str">
        <f ca="1">IF(C84="","",[1]!s_est_yoysales(C84,I84,TODAY()))</f>
        <v/>
      </c>
      <c r="AN84" s="35"/>
    </row>
    <row r="85" spans="1:40" s="36" customFormat="1" ht="16.5" x14ac:dyDescent="0.2">
      <c r="A85" s="2"/>
      <c r="B85" s="6"/>
      <c r="C85" s="28" t="str">
        <f>IF(表1[[#This Row],[列1]]="","",表1[[#This Row],[列1]])</f>
        <v/>
      </c>
      <c r="D85" s="19" t="str">
        <f>IF(C85="","",[1]!hks_info_name(C85))</f>
        <v/>
      </c>
      <c r="E85" s="18" t="str">
        <f ca="1">IF(C85="","",[1]!lastradeday_s(C85,TODAY()))</f>
        <v/>
      </c>
      <c r="F85" s="19" t="str">
        <f>IF(C85="","",IF(OR([1]!s_stm_rpt_e(C85,基本资料!$I$8,0)="#N/A",[1]!s_stm_rpt_e(C85,基本资料!$I$8,0)="",[1]!s_stm_rpt_e(C85,基本资料!$I$8,0)=0),[1]!s_stm_rpt_e(C85,基本资料!$I$9,0),[1]!s_stm_rpt_e(C85,基本资料!$I$8,0)))</f>
        <v/>
      </c>
      <c r="G85" s="18" t="str">
        <f>IF(C85="","",YEAR([1]!s_stm_rpt_e(C85,F85,0)))</f>
        <v/>
      </c>
      <c r="H85" s="18" t="str">
        <f>IF(C85="","",表1_31213141516[[#This Row],[列5]]+1)</f>
        <v/>
      </c>
      <c r="I85" s="18" t="str">
        <f>IF(C85="","",表1_31213141516[[#This Row],[列5]]+2)</f>
        <v/>
      </c>
      <c r="J85" s="18" t="str">
        <f ca="1">IF(C85="","",[1]!s_est_instnum(C85,H85,TODAY()))</f>
        <v/>
      </c>
      <c r="K85" s="74" t="str">
        <f ca="1">IF(C85="","",[1]!s_est_eps(C85,H85,TODAY()))</f>
        <v/>
      </c>
      <c r="L85" s="74" t="str">
        <f ca="1">IF(C85="","",[1]!s_est_sales(C85,H85,TODAY(),100000000))</f>
        <v/>
      </c>
      <c r="M85" s="74" t="str">
        <f ca="1">IF(C85="","",[1]!s_est_netprofit(C85,H85,TODAY(),100000000))</f>
        <v/>
      </c>
      <c r="N85" s="74" t="str">
        <f ca="1">IF(C85="","",[1]!s_est_avgcps(C85,H85,TODAY()))</f>
        <v/>
      </c>
      <c r="O85" s="74" t="str">
        <f ca="1">IF(C85="","",[1]!s_est_avgdps(C85,H85,TODAY()))</f>
        <v/>
      </c>
      <c r="P85" s="74" t="str">
        <f ca="1">IF(C85="","",[1]!s_est_avgebit(C85,H85,TODAY(),100000000))</f>
        <v/>
      </c>
      <c r="Q85" s="74" t="str">
        <f ca="1">IF(C85="","",[1]!s_est_avgebitda(C85,H85,TODAY(),100000000))</f>
        <v/>
      </c>
      <c r="R85" s="74" t="str">
        <f ca="1">IF(C85="","",[1]!s_est_avgbps(C85,H85,TODAY()))</f>
        <v/>
      </c>
      <c r="S85" s="74" t="str">
        <f ca="1">IF(C85="","",[1]!s_est_avgebt(C85,H85,TODAY(),100000000))</f>
        <v/>
      </c>
      <c r="T85" s="74" t="str">
        <f ca="1">IF(C85="","",[1]!s_est_avgroa(C85,H85,TODAY()))</f>
        <v/>
      </c>
      <c r="U85" s="74" t="str">
        <f ca="1">IF(C85="","",[1]!s_est_avgroe(C85,H85,TODAY()))</f>
        <v/>
      </c>
      <c r="V85" s="74" t="str">
        <f ca="1">IF(C85="","",[1]!s_est_avgoperatingprofit(C85,H85,TODAY(),100000000))</f>
        <v/>
      </c>
      <c r="W85" s="74" t="str">
        <f ca="1">IF(C85="","",[1]!s_est_yoynetprofit(C85,H85,TODAY()))</f>
        <v/>
      </c>
      <c r="X85" s="74" t="str">
        <f ca="1">IF(C85="","",[1]!s_est_yoysales(C85,H85,TODAY()))</f>
        <v/>
      </c>
      <c r="Y85" s="74" t="str">
        <f ca="1">IF(C85="","",[1]!s_est_instnum(C85,I85,TODAY()))</f>
        <v/>
      </c>
      <c r="Z85" s="74" t="str">
        <f ca="1">IF(C85="","",[1]!s_est_eps(C85,I85,TODAY()))</f>
        <v/>
      </c>
      <c r="AA85" s="74" t="str">
        <f ca="1">IF(C85="","",[1]!s_est_sales(C85,I85,TODAY(),100000000))</f>
        <v/>
      </c>
      <c r="AB85" s="74" t="str">
        <f ca="1">IF(C85="","",[1]!s_est_netprofit(C85,I85,TODAY(),100000000))</f>
        <v/>
      </c>
      <c r="AC85" s="74" t="str">
        <f ca="1">IF(C85="","",[1]!s_est_avgcps(C85,I85,TODAY()))</f>
        <v/>
      </c>
      <c r="AD85" s="74" t="str">
        <f ca="1">IF(C85="","",[1]!s_est_avgdps(C85,I85,TODAY()))</f>
        <v/>
      </c>
      <c r="AE85" s="74" t="str">
        <f ca="1">IF(C85="","",[1]!s_est_avgebit(C85,I85,TODAY(),100000000))</f>
        <v/>
      </c>
      <c r="AF85" s="74" t="str">
        <f ca="1">IF(C85="","",[1]!s_est_avgebitda(C85,I85,TODAY(),100000000))</f>
        <v/>
      </c>
      <c r="AG85" s="74" t="str">
        <f ca="1">IF(C85="","",[1]!s_est_avgbps(C85,I85,TODAY()))</f>
        <v/>
      </c>
      <c r="AH85" s="74" t="str">
        <f ca="1">IF(C85="","",[1]!s_est_avgebt(C85,I85,TODAY(),100000000))</f>
        <v/>
      </c>
      <c r="AI85" s="74" t="str">
        <f ca="1">IF(C85="","",[1]!s_est_avgroa(C85,I85,TODAY()))</f>
        <v/>
      </c>
      <c r="AJ85" s="74" t="str">
        <f ca="1">IF(C85="","",[1]!s_est_avgroe(C85,I85,TODAY()))</f>
        <v/>
      </c>
      <c r="AK85" s="74" t="str">
        <f ca="1">IF(C85="","",[1]!s_est_avgoperatingprofit(C85,I85,TODAY(),100000000))</f>
        <v/>
      </c>
      <c r="AL85" s="74" t="str">
        <f ca="1">IF(C85="","",[1]!s_est_yoynetprofit(C85,I85,TODAY()))</f>
        <v/>
      </c>
      <c r="AM85" s="74" t="str">
        <f ca="1">IF(C85="","",[1]!s_est_yoysales(C85,I85,TODAY()))</f>
        <v/>
      </c>
      <c r="AN85" s="35"/>
    </row>
    <row r="86" spans="1:40" s="36" customFormat="1" ht="16.5" x14ac:dyDescent="0.2">
      <c r="A86" s="2"/>
      <c r="B86" s="6"/>
      <c r="C86" s="28" t="str">
        <f>IF(表1[[#This Row],[列1]]="","",表1[[#This Row],[列1]])</f>
        <v/>
      </c>
      <c r="D86" s="19" t="str">
        <f>IF(C86="","",[1]!hks_info_name(C86))</f>
        <v/>
      </c>
      <c r="E86" s="18" t="str">
        <f ca="1">IF(C86="","",[1]!lastradeday_s(C86,TODAY()))</f>
        <v/>
      </c>
      <c r="F86" s="19" t="str">
        <f>IF(C86="","",IF(OR([1]!s_stm_rpt_e(C86,基本资料!$I$8,0)="#N/A",[1]!s_stm_rpt_e(C86,基本资料!$I$8,0)="",[1]!s_stm_rpt_e(C86,基本资料!$I$8,0)=0),[1]!s_stm_rpt_e(C86,基本资料!$I$9,0),[1]!s_stm_rpt_e(C86,基本资料!$I$8,0)))</f>
        <v/>
      </c>
      <c r="G86" s="18" t="str">
        <f>IF(C86="","",YEAR([1]!s_stm_rpt_e(C86,F86,0)))</f>
        <v/>
      </c>
      <c r="H86" s="18" t="str">
        <f>IF(C86="","",表1_31213141516[[#This Row],[列5]]+1)</f>
        <v/>
      </c>
      <c r="I86" s="18" t="str">
        <f>IF(C86="","",表1_31213141516[[#This Row],[列5]]+2)</f>
        <v/>
      </c>
      <c r="J86" s="18" t="str">
        <f ca="1">IF(C86="","",[1]!s_est_instnum(C86,H86,TODAY()))</f>
        <v/>
      </c>
      <c r="K86" s="74" t="str">
        <f ca="1">IF(C86="","",[1]!s_est_eps(C86,H86,TODAY()))</f>
        <v/>
      </c>
      <c r="L86" s="74" t="str">
        <f ca="1">IF(C86="","",[1]!s_est_sales(C86,H86,TODAY(),100000000))</f>
        <v/>
      </c>
      <c r="M86" s="74" t="str">
        <f ca="1">IF(C86="","",[1]!s_est_netprofit(C86,H86,TODAY(),100000000))</f>
        <v/>
      </c>
      <c r="N86" s="74" t="str">
        <f ca="1">IF(C86="","",[1]!s_est_avgcps(C86,H86,TODAY()))</f>
        <v/>
      </c>
      <c r="O86" s="74" t="str">
        <f ca="1">IF(C86="","",[1]!s_est_avgdps(C86,H86,TODAY()))</f>
        <v/>
      </c>
      <c r="P86" s="74" t="str">
        <f ca="1">IF(C86="","",[1]!s_est_avgebit(C86,H86,TODAY(),100000000))</f>
        <v/>
      </c>
      <c r="Q86" s="74" t="str">
        <f ca="1">IF(C86="","",[1]!s_est_avgebitda(C86,H86,TODAY(),100000000))</f>
        <v/>
      </c>
      <c r="R86" s="74" t="str">
        <f ca="1">IF(C86="","",[1]!s_est_avgbps(C86,H86,TODAY()))</f>
        <v/>
      </c>
      <c r="S86" s="74" t="str">
        <f ca="1">IF(C86="","",[1]!s_est_avgebt(C86,H86,TODAY(),100000000))</f>
        <v/>
      </c>
      <c r="T86" s="74" t="str">
        <f ca="1">IF(C86="","",[1]!s_est_avgroa(C86,H86,TODAY()))</f>
        <v/>
      </c>
      <c r="U86" s="74" t="str">
        <f ca="1">IF(C86="","",[1]!s_est_avgroe(C86,H86,TODAY()))</f>
        <v/>
      </c>
      <c r="V86" s="74" t="str">
        <f ca="1">IF(C86="","",[1]!s_est_avgoperatingprofit(C86,H86,TODAY(),100000000))</f>
        <v/>
      </c>
      <c r="W86" s="74" t="str">
        <f ca="1">IF(C86="","",[1]!s_est_yoynetprofit(C86,H86,TODAY()))</f>
        <v/>
      </c>
      <c r="X86" s="74" t="str">
        <f ca="1">IF(C86="","",[1]!s_est_yoysales(C86,H86,TODAY()))</f>
        <v/>
      </c>
      <c r="Y86" s="74" t="str">
        <f ca="1">IF(C86="","",[1]!s_est_instnum(C86,I86,TODAY()))</f>
        <v/>
      </c>
      <c r="Z86" s="74" t="str">
        <f ca="1">IF(C86="","",[1]!s_est_eps(C86,I86,TODAY()))</f>
        <v/>
      </c>
      <c r="AA86" s="74" t="str">
        <f ca="1">IF(C86="","",[1]!s_est_sales(C86,I86,TODAY(),100000000))</f>
        <v/>
      </c>
      <c r="AB86" s="74" t="str">
        <f ca="1">IF(C86="","",[1]!s_est_netprofit(C86,I86,TODAY(),100000000))</f>
        <v/>
      </c>
      <c r="AC86" s="74" t="str">
        <f ca="1">IF(C86="","",[1]!s_est_avgcps(C86,I86,TODAY()))</f>
        <v/>
      </c>
      <c r="AD86" s="74" t="str">
        <f ca="1">IF(C86="","",[1]!s_est_avgdps(C86,I86,TODAY()))</f>
        <v/>
      </c>
      <c r="AE86" s="74" t="str">
        <f ca="1">IF(C86="","",[1]!s_est_avgebit(C86,I86,TODAY(),100000000))</f>
        <v/>
      </c>
      <c r="AF86" s="74" t="str">
        <f ca="1">IF(C86="","",[1]!s_est_avgebitda(C86,I86,TODAY(),100000000))</f>
        <v/>
      </c>
      <c r="AG86" s="74" t="str">
        <f ca="1">IF(C86="","",[1]!s_est_avgbps(C86,I86,TODAY()))</f>
        <v/>
      </c>
      <c r="AH86" s="74" t="str">
        <f ca="1">IF(C86="","",[1]!s_est_avgebt(C86,I86,TODAY(),100000000))</f>
        <v/>
      </c>
      <c r="AI86" s="74" t="str">
        <f ca="1">IF(C86="","",[1]!s_est_avgroa(C86,I86,TODAY()))</f>
        <v/>
      </c>
      <c r="AJ86" s="74" t="str">
        <f ca="1">IF(C86="","",[1]!s_est_avgroe(C86,I86,TODAY()))</f>
        <v/>
      </c>
      <c r="AK86" s="74" t="str">
        <f ca="1">IF(C86="","",[1]!s_est_avgoperatingprofit(C86,I86,TODAY(),100000000))</f>
        <v/>
      </c>
      <c r="AL86" s="74" t="str">
        <f ca="1">IF(C86="","",[1]!s_est_yoynetprofit(C86,I86,TODAY()))</f>
        <v/>
      </c>
      <c r="AM86" s="74" t="str">
        <f ca="1">IF(C86="","",[1]!s_est_yoysales(C86,I86,TODAY()))</f>
        <v/>
      </c>
      <c r="AN86" s="35"/>
    </row>
    <row r="87" spans="1:40" s="36" customFormat="1" ht="16.5" x14ac:dyDescent="0.2">
      <c r="A87" s="2"/>
      <c r="B87" s="6"/>
      <c r="C87" s="28" t="str">
        <f>IF(表1[[#This Row],[列1]]="","",表1[[#This Row],[列1]])</f>
        <v/>
      </c>
      <c r="D87" s="19" t="str">
        <f>IF(C87="","",[1]!hks_info_name(C87))</f>
        <v/>
      </c>
      <c r="E87" s="18" t="str">
        <f ca="1">IF(C87="","",[1]!lastradeday_s(C87,TODAY()))</f>
        <v/>
      </c>
      <c r="F87" s="19" t="str">
        <f>IF(C87="","",IF(OR([1]!s_stm_rpt_e(C87,基本资料!$I$8,0)="#N/A",[1]!s_stm_rpt_e(C87,基本资料!$I$8,0)="",[1]!s_stm_rpt_e(C87,基本资料!$I$8,0)=0),[1]!s_stm_rpt_e(C87,基本资料!$I$9,0),[1]!s_stm_rpt_e(C87,基本资料!$I$8,0)))</f>
        <v/>
      </c>
      <c r="G87" s="18" t="str">
        <f>IF(C87="","",YEAR([1]!s_stm_rpt_e(C87,F87,0)))</f>
        <v/>
      </c>
      <c r="H87" s="18" t="str">
        <f>IF(C87="","",表1_31213141516[[#This Row],[列5]]+1)</f>
        <v/>
      </c>
      <c r="I87" s="18" t="str">
        <f>IF(C87="","",表1_31213141516[[#This Row],[列5]]+2)</f>
        <v/>
      </c>
      <c r="J87" s="18" t="str">
        <f ca="1">IF(C87="","",[1]!s_est_instnum(C87,H87,TODAY()))</f>
        <v/>
      </c>
      <c r="K87" s="74" t="str">
        <f ca="1">IF(C87="","",[1]!s_est_eps(C87,H87,TODAY()))</f>
        <v/>
      </c>
      <c r="L87" s="74" t="str">
        <f ca="1">IF(C87="","",[1]!s_est_sales(C87,H87,TODAY(),100000000))</f>
        <v/>
      </c>
      <c r="M87" s="74" t="str">
        <f ca="1">IF(C87="","",[1]!s_est_netprofit(C87,H87,TODAY(),100000000))</f>
        <v/>
      </c>
      <c r="N87" s="74" t="str">
        <f ca="1">IF(C87="","",[1]!s_est_avgcps(C87,H87,TODAY()))</f>
        <v/>
      </c>
      <c r="O87" s="74" t="str">
        <f ca="1">IF(C87="","",[1]!s_est_avgdps(C87,H87,TODAY()))</f>
        <v/>
      </c>
      <c r="P87" s="74" t="str">
        <f ca="1">IF(C87="","",[1]!s_est_avgebit(C87,H87,TODAY(),100000000))</f>
        <v/>
      </c>
      <c r="Q87" s="74" t="str">
        <f ca="1">IF(C87="","",[1]!s_est_avgebitda(C87,H87,TODAY(),100000000))</f>
        <v/>
      </c>
      <c r="R87" s="74" t="str">
        <f ca="1">IF(C87="","",[1]!s_est_avgbps(C87,H87,TODAY()))</f>
        <v/>
      </c>
      <c r="S87" s="74" t="str">
        <f ca="1">IF(C87="","",[1]!s_est_avgebt(C87,H87,TODAY(),100000000))</f>
        <v/>
      </c>
      <c r="T87" s="74" t="str">
        <f ca="1">IF(C87="","",[1]!s_est_avgroa(C87,H87,TODAY()))</f>
        <v/>
      </c>
      <c r="U87" s="74" t="str">
        <f ca="1">IF(C87="","",[1]!s_est_avgroe(C87,H87,TODAY()))</f>
        <v/>
      </c>
      <c r="V87" s="74" t="str">
        <f ca="1">IF(C87="","",[1]!s_est_avgoperatingprofit(C87,H87,TODAY(),100000000))</f>
        <v/>
      </c>
      <c r="W87" s="74" t="str">
        <f ca="1">IF(C87="","",[1]!s_est_yoynetprofit(C87,H87,TODAY()))</f>
        <v/>
      </c>
      <c r="X87" s="74" t="str">
        <f ca="1">IF(C87="","",[1]!s_est_yoysales(C87,H87,TODAY()))</f>
        <v/>
      </c>
      <c r="Y87" s="74" t="str">
        <f ca="1">IF(C87="","",[1]!s_est_instnum(C87,I87,TODAY()))</f>
        <v/>
      </c>
      <c r="Z87" s="74" t="str">
        <f ca="1">IF(C87="","",[1]!s_est_eps(C87,I87,TODAY()))</f>
        <v/>
      </c>
      <c r="AA87" s="74" t="str">
        <f ca="1">IF(C87="","",[1]!s_est_sales(C87,I87,TODAY(),100000000))</f>
        <v/>
      </c>
      <c r="AB87" s="74" t="str">
        <f ca="1">IF(C87="","",[1]!s_est_netprofit(C87,I87,TODAY(),100000000))</f>
        <v/>
      </c>
      <c r="AC87" s="74" t="str">
        <f ca="1">IF(C87="","",[1]!s_est_avgcps(C87,I87,TODAY()))</f>
        <v/>
      </c>
      <c r="AD87" s="74" t="str">
        <f ca="1">IF(C87="","",[1]!s_est_avgdps(C87,I87,TODAY()))</f>
        <v/>
      </c>
      <c r="AE87" s="74" t="str">
        <f ca="1">IF(C87="","",[1]!s_est_avgebit(C87,I87,TODAY(),100000000))</f>
        <v/>
      </c>
      <c r="AF87" s="74" t="str">
        <f ca="1">IF(C87="","",[1]!s_est_avgebitda(C87,I87,TODAY(),100000000))</f>
        <v/>
      </c>
      <c r="AG87" s="74" t="str">
        <f ca="1">IF(C87="","",[1]!s_est_avgbps(C87,I87,TODAY()))</f>
        <v/>
      </c>
      <c r="AH87" s="74" t="str">
        <f ca="1">IF(C87="","",[1]!s_est_avgebt(C87,I87,TODAY(),100000000))</f>
        <v/>
      </c>
      <c r="AI87" s="74" t="str">
        <f ca="1">IF(C87="","",[1]!s_est_avgroa(C87,I87,TODAY()))</f>
        <v/>
      </c>
      <c r="AJ87" s="74" t="str">
        <f ca="1">IF(C87="","",[1]!s_est_avgroe(C87,I87,TODAY()))</f>
        <v/>
      </c>
      <c r="AK87" s="74" t="str">
        <f ca="1">IF(C87="","",[1]!s_est_avgoperatingprofit(C87,I87,TODAY(),100000000))</f>
        <v/>
      </c>
      <c r="AL87" s="74" t="str">
        <f ca="1">IF(C87="","",[1]!s_est_yoynetprofit(C87,I87,TODAY()))</f>
        <v/>
      </c>
      <c r="AM87" s="74" t="str">
        <f ca="1">IF(C87="","",[1]!s_est_yoysales(C87,I87,TODAY()))</f>
        <v/>
      </c>
      <c r="AN87" s="35"/>
    </row>
    <row r="88" spans="1:40" s="36" customFormat="1" ht="16.5" x14ac:dyDescent="0.2">
      <c r="A88" s="2"/>
      <c r="B88" s="6"/>
      <c r="C88" s="28" t="str">
        <f>IF(表1[[#This Row],[列1]]="","",表1[[#This Row],[列1]])</f>
        <v/>
      </c>
      <c r="D88" s="19" t="str">
        <f>IF(C88="","",[1]!hks_info_name(C88))</f>
        <v/>
      </c>
      <c r="E88" s="18" t="str">
        <f ca="1">IF(C88="","",[1]!lastradeday_s(C88,TODAY()))</f>
        <v/>
      </c>
      <c r="F88" s="19" t="str">
        <f>IF(C88="","",IF(OR([1]!s_stm_rpt_e(C88,基本资料!$I$8,0)="#N/A",[1]!s_stm_rpt_e(C88,基本资料!$I$8,0)="",[1]!s_stm_rpt_e(C88,基本资料!$I$8,0)=0),[1]!s_stm_rpt_e(C88,基本资料!$I$9,0),[1]!s_stm_rpt_e(C88,基本资料!$I$8,0)))</f>
        <v/>
      </c>
      <c r="G88" s="18" t="str">
        <f>IF(C88="","",YEAR([1]!s_stm_rpt_e(C88,F88,0)))</f>
        <v/>
      </c>
      <c r="H88" s="18" t="str">
        <f>IF(C88="","",表1_31213141516[[#This Row],[列5]]+1)</f>
        <v/>
      </c>
      <c r="I88" s="18" t="str">
        <f>IF(C88="","",表1_31213141516[[#This Row],[列5]]+2)</f>
        <v/>
      </c>
      <c r="J88" s="18" t="str">
        <f ca="1">IF(C88="","",[1]!s_est_instnum(C88,H88,TODAY()))</f>
        <v/>
      </c>
      <c r="K88" s="74" t="str">
        <f ca="1">IF(C88="","",[1]!s_est_eps(C88,H88,TODAY()))</f>
        <v/>
      </c>
      <c r="L88" s="74" t="str">
        <f ca="1">IF(C88="","",[1]!s_est_sales(C88,H88,TODAY(),100000000))</f>
        <v/>
      </c>
      <c r="M88" s="74" t="str">
        <f ca="1">IF(C88="","",[1]!s_est_netprofit(C88,H88,TODAY(),100000000))</f>
        <v/>
      </c>
      <c r="N88" s="74" t="str">
        <f ca="1">IF(C88="","",[1]!s_est_avgcps(C88,H88,TODAY()))</f>
        <v/>
      </c>
      <c r="O88" s="74" t="str">
        <f ca="1">IF(C88="","",[1]!s_est_avgdps(C88,H88,TODAY()))</f>
        <v/>
      </c>
      <c r="P88" s="74" t="str">
        <f ca="1">IF(C88="","",[1]!s_est_avgebit(C88,H88,TODAY(),100000000))</f>
        <v/>
      </c>
      <c r="Q88" s="74" t="str">
        <f ca="1">IF(C88="","",[1]!s_est_avgebitda(C88,H88,TODAY(),100000000))</f>
        <v/>
      </c>
      <c r="R88" s="74" t="str">
        <f ca="1">IF(C88="","",[1]!s_est_avgbps(C88,H88,TODAY()))</f>
        <v/>
      </c>
      <c r="S88" s="74" t="str">
        <f ca="1">IF(C88="","",[1]!s_est_avgebt(C88,H88,TODAY(),100000000))</f>
        <v/>
      </c>
      <c r="T88" s="74" t="str">
        <f ca="1">IF(C88="","",[1]!s_est_avgroa(C88,H88,TODAY()))</f>
        <v/>
      </c>
      <c r="U88" s="74" t="str">
        <f ca="1">IF(C88="","",[1]!s_est_avgroe(C88,H88,TODAY()))</f>
        <v/>
      </c>
      <c r="V88" s="74" t="str">
        <f ca="1">IF(C88="","",[1]!s_est_avgoperatingprofit(C88,H88,TODAY(),100000000))</f>
        <v/>
      </c>
      <c r="W88" s="74" t="str">
        <f ca="1">IF(C88="","",[1]!s_est_yoynetprofit(C88,H88,TODAY()))</f>
        <v/>
      </c>
      <c r="X88" s="74" t="str">
        <f ca="1">IF(C88="","",[1]!s_est_yoysales(C88,H88,TODAY()))</f>
        <v/>
      </c>
      <c r="Y88" s="74" t="str">
        <f ca="1">IF(C88="","",[1]!s_est_instnum(C88,I88,TODAY()))</f>
        <v/>
      </c>
      <c r="Z88" s="74" t="str">
        <f ca="1">IF(C88="","",[1]!s_est_eps(C88,I88,TODAY()))</f>
        <v/>
      </c>
      <c r="AA88" s="74" t="str">
        <f ca="1">IF(C88="","",[1]!s_est_sales(C88,I88,TODAY(),100000000))</f>
        <v/>
      </c>
      <c r="AB88" s="74" t="str">
        <f ca="1">IF(C88="","",[1]!s_est_netprofit(C88,I88,TODAY(),100000000))</f>
        <v/>
      </c>
      <c r="AC88" s="74" t="str">
        <f ca="1">IF(C88="","",[1]!s_est_avgcps(C88,I88,TODAY()))</f>
        <v/>
      </c>
      <c r="AD88" s="74" t="str">
        <f ca="1">IF(C88="","",[1]!s_est_avgdps(C88,I88,TODAY()))</f>
        <v/>
      </c>
      <c r="AE88" s="74" t="str">
        <f ca="1">IF(C88="","",[1]!s_est_avgebit(C88,I88,TODAY(),100000000))</f>
        <v/>
      </c>
      <c r="AF88" s="74" t="str">
        <f ca="1">IF(C88="","",[1]!s_est_avgebitda(C88,I88,TODAY(),100000000))</f>
        <v/>
      </c>
      <c r="AG88" s="74" t="str">
        <f ca="1">IF(C88="","",[1]!s_est_avgbps(C88,I88,TODAY()))</f>
        <v/>
      </c>
      <c r="AH88" s="74" t="str">
        <f ca="1">IF(C88="","",[1]!s_est_avgebt(C88,I88,TODAY(),100000000))</f>
        <v/>
      </c>
      <c r="AI88" s="74" t="str">
        <f ca="1">IF(C88="","",[1]!s_est_avgroa(C88,I88,TODAY()))</f>
        <v/>
      </c>
      <c r="AJ88" s="74" t="str">
        <f ca="1">IF(C88="","",[1]!s_est_avgroe(C88,I88,TODAY()))</f>
        <v/>
      </c>
      <c r="AK88" s="74" t="str">
        <f ca="1">IF(C88="","",[1]!s_est_avgoperatingprofit(C88,I88,TODAY(),100000000))</f>
        <v/>
      </c>
      <c r="AL88" s="74" t="str">
        <f ca="1">IF(C88="","",[1]!s_est_yoynetprofit(C88,I88,TODAY()))</f>
        <v/>
      </c>
      <c r="AM88" s="74" t="str">
        <f ca="1">IF(C88="","",[1]!s_est_yoysales(C88,I88,TODAY()))</f>
        <v/>
      </c>
      <c r="AN88" s="35"/>
    </row>
    <row r="89" spans="1:40" s="36" customFormat="1" ht="16.5" x14ac:dyDescent="0.2">
      <c r="A89" s="2"/>
      <c r="B89" s="6"/>
      <c r="C89" s="28" t="str">
        <f>IF(表1[[#This Row],[列1]]="","",表1[[#This Row],[列1]])</f>
        <v/>
      </c>
      <c r="D89" s="19" t="str">
        <f>IF(C89="","",[1]!hks_info_name(C89))</f>
        <v/>
      </c>
      <c r="E89" s="18" t="str">
        <f ca="1">IF(C89="","",[1]!lastradeday_s(C89,TODAY()))</f>
        <v/>
      </c>
      <c r="F89" s="19" t="str">
        <f>IF(C89="","",IF(OR([1]!s_stm_rpt_e(C89,基本资料!$I$8,0)="#N/A",[1]!s_stm_rpt_e(C89,基本资料!$I$8,0)="",[1]!s_stm_rpt_e(C89,基本资料!$I$8,0)=0),[1]!s_stm_rpt_e(C89,基本资料!$I$9,0),[1]!s_stm_rpt_e(C89,基本资料!$I$8,0)))</f>
        <v/>
      </c>
      <c r="G89" s="18" t="str">
        <f>IF(C89="","",YEAR([1]!s_stm_rpt_e(C89,F89,0)))</f>
        <v/>
      </c>
      <c r="H89" s="18" t="str">
        <f>IF(C89="","",表1_31213141516[[#This Row],[列5]]+1)</f>
        <v/>
      </c>
      <c r="I89" s="18" t="str">
        <f>IF(C89="","",表1_31213141516[[#This Row],[列5]]+2)</f>
        <v/>
      </c>
      <c r="J89" s="18" t="str">
        <f ca="1">IF(C89="","",[1]!s_est_instnum(C89,H89,TODAY()))</f>
        <v/>
      </c>
      <c r="K89" s="74" t="str">
        <f ca="1">IF(C89="","",[1]!s_est_eps(C89,H89,TODAY()))</f>
        <v/>
      </c>
      <c r="L89" s="74" t="str">
        <f ca="1">IF(C89="","",[1]!s_est_sales(C89,H89,TODAY(),100000000))</f>
        <v/>
      </c>
      <c r="M89" s="74" t="str">
        <f ca="1">IF(C89="","",[1]!s_est_netprofit(C89,H89,TODAY(),100000000))</f>
        <v/>
      </c>
      <c r="N89" s="74" t="str">
        <f ca="1">IF(C89="","",[1]!s_est_avgcps(C89,H89,TODAY()))</f>
        <v/>
      </c>
      <c r="O89" s="74" t="str">
        <f ca="1">IF(C89="","",[1]!s_est_avgdps(C89,H89,TODAY()))</f>
        <v/>
      </c>
      <c r="P89" s="74" t="str">
        <f ca="1">IF(C89="","",[1]!s_est_avgebit(C89,H89,TODAY(),100000000))</f>
        <v/>
      </c>
      <c r="Q89" s="74" t="str">
        <f ca="1">IF(C89="","",[1]!s_est_avgebitda(C89,H89,TODAY(),100000000))</f>
        <v/>
      </c>
      <c r="R89" s="74" t="str">
        <f ca="1">IF(C89="","",[1]!s_est_avgbps(C89,H89,TODAY()))</f>
        <v/>
      </c>
      <c r="S89" s="74" t="str">
        <f ca="1">IF(C89="","",[1]!s_est_avgebt(C89,H89,TODAY(),100000000))</f>
        <v/>
      </c>
      <c r="T89" s="74" t="str">
        <f ca="1">IF(C89="","",[1]!s_est_avgroa(C89,H89,TODAY()))</f>
        <v/>
      </c>
      <c r="U89" s="74" t="str">
        <f ca="1">IF(C89="","",[1]!s_est_avgroe(C89,H89,TODAY()))</f>
        <v/>
      </c>
      <c r="V89" s="74" t="str">
        <f ca="1">IF(C89="","",[1]!s_est_avgoperatingprofit(C89,H89,TODAY(),100000000))</f>
        <v/>
      </c>
      <c r="W89" s="74" t="str">
        <f ca="1">IF(C89="","",[1]!s_est_yoynetprofit(C89,H89,TODAY()))</f>
        <v/>
      </c>
      <c r="X89" s="74" t="str">
        <f ca="1">IF(C89="","",[1]!s_est_yoysales(C89,H89,TODAY()))</f>
        <v/>
      </c>
      <c r="Y89" s="74" t="str">
        <f ca="1">IF(C89="","",[1]!s_est_instnum(C89,I89,TODAY()))</f>
        <v/>
      </c>
      <c r="Z89" s="74" t="str">
        <f ca="1">IF(C89="","",[1]!s_est_eps(C89,I89,TODAY()))</f>
        <v/>
      </c>
      <c r="AA89" s="74" t="str">
        <f ca="1">IF(C89="","",[1]!s_est_sales(C89,I89,TODAY(),100000000))</f>
        <v/>
      </c>
      <c r="AB89" s="74" t="str">
        <f ca="1">IF(C89="","",[1]!s_est_netprofit(C89,I89,TODAY(),100000000))</f>
        <v/>
      </c>
      <c r="AC89" s="74" t="str">
        <f ca="1">IF(C89="","",[1]!s_est_avgcps(C89,I89,TODAY()))</f>
        <v/>
      </c>
      <c r="AD89" s="74" t="str">
        <f ca="1">IF(C89="","",[1]!s_est_avgdps(C89,I89,TODAY()))</f>
        <v/>
      </c>
      <c r="AE89" s="74" t="str">
        <f ca="1">IF(C89="","",[1]!s_est_avgebit(C89,I89,TODAY(),100000000))</f>
        <v/>
      </c>
      <c r="AF89" s="74" t="str">
        <f ca="1">IF(C89="","",[1]!s_est_avgebitda(C89,I89,TODAY(),100000000))</f>
        <v/>
      </c>
      <c r="AG89" s="74" t="str">
        <f ca="1">IF(C89="","",[1]!s_est_avgbps(C89,I89,TODAY()))</f>
        <v/>
      </c>
      <c r="AH89" s="74" t="str">
        <f ca="1">IF(C89="","",[1]!s_est_avgebt(C89,I89,TODAY(),100000000))</f>
        <v/>
      </c>
      <c r="AI89" s="74" t="str">
        <f ca="1">IF(C89="","",[1]!s_est_avgroa(C89,I89,TODAY()))</f>
        <v/>
      </c>
      <c r="AJ89" s="74" t="str">
        <f ca="1">IF(C89="","",[1]!s_est_avgroe(C89,I89,TODAY()))</f>
        <v/>
      </c>
      <c r="AK89" s="74" t="str">
        <f ca="1">IF(C89="","",[1]!s_est_avgoperatingprofit(C89,I89,TODAY(),100000000))</f>
        <v/>
      </c>
      <c r="AL89" s="74" t="str">
        <f ca="1">IF(C89="","",[1]!s_est_yoynetprofit(C89,I89,TODAY()))</f>
        <v/>
      </c>
      <c r="AM89" s="74" t="str">
        <f ca="1">IF(C89="","",[1]!s_est_yoysales(C89,I89,TODAY()))</f>
        <v/>
      </c>
      <c r="AN89" s="35"/>
    </row>
    <row r="90" spans="1:40" s="36" customFormat="1" ht="16.5" x14ac:dyDescent="0.2">
      <c r="A90" s="2"/>
      <c r="B90" s="6"/>
      <c r="C90" s="28" t="str">
        <f>IF(表1[[#This Row],[列1]]="","",表1[[#This Row],[列1]])</f>
        <v/>
      </c>
      <c r="D90" s="19" t="str">
        <f>IF(C90="","",[1]!hks_info_name(C90))</f>
        <v/>
      </c>
      <c r="E90" s="18" t="str">
        <f ca="1">IF(C90="","",[1]!lastradeday_s(C90,TODAY()))</f>
        <v/>
      </c>
      <c r="F90" s="19" t="str">
        <f>IF(C90="","",IF(OR([1]!s_stm_rpt_e(C90,基本资料!$I$8,0)="#N/A",[1]!s_stm_rpt_e(C90,基本资料!$I$8,0)="",[1]!s_stm_rpt_e(C90,基本资料!$I$8,0)=0),[1]!s_stm_rpt_e(C90,基本资料!$I$9,0),[1]!s_stm_rpt_e(C90,基本资料!$I$8,0)))</f>
        <v/>
      </c>
      <c r="G90" s="18" t="str">
        <f>IF(C90="","",YEAR([1]!s_stm_rpt_e(C90,F90,0)))</f>
        <v/>
      </c>
      <c r="H90" s="18" t="str">
        <f>IF(C90="","",表1_31213141516[[#This Row],[列5]]+1)</f>
        <v/>
      </c>
      <c r="I90" s="18" t="str">
        <f>IF(C90="","",表1_31213141516[[#This Row],[列5]]+2)</f>
        <v/>
      </c>
      <c r="J90" s="18" t="str">
        <f ca="1">IF(C90="","",[1]!s_est_instnum(C90,H90,TODAY()))</f>
        <v/>
      </c>
      <c r="K90" s="74" t="str">
        <f ca="1">IF(C90="","",[1]!s_est_eps(C90,H90,TODAY()))</f>
        <v/>
      </c>
      <c r="L90" s="74" t="str">
        <f ca="1">IF(C90="","",[1]!s_est_sales(C90,H90,TODAY(),100000000))</f>
        <v/>
      </c>
      <c r="M90" s="74" t="str">
        <f ca="1">IF(C90="","",[1]!s_est_netprofit(C90,H90,TODAY(),100000000))</f>
        <v/>
      </c>
      <c r="N90" s="74" t="str">
        <f ca="1">IF(C90="","",[1]!s_est_avgcps(C90,H90,TODAY()))</f>
        <v/>
      </c>
      <c r="O90" s="74" t="str">
        <f ca="1">IF(C90="","",[1]!s_est_avgdps(C90,H90,TODAY()))</f>
        <v/>
      </c>
      <c r="P90" s="74" t="str">
        <f ca="1">IF(C90="","",[1]!s_est_avgebit(C90,H90,TODAY(),100000000))</f>
        <v/>
      </c>
      <c r="Q90" s="74" t="str">
        <f ca="1">IF(C90="","",[1]!s_est_avgebitda(C90,H90,TODAY(),100000000))</f>
        <v/>
      </c>
      <c r="R90" s="74" t="str">
        <f ca="1">IF(C90="","",[1]!s_est_avgbps(C90,H90,TODAY()))</f>
        <v/>
      </c>
      <c r="S90" s="74" t="str">
        <f ca="1">IF(C90="","",[1]!s_est_avgebt(C90,H90,TODAY(),100000000))</f>
        <v/>
      </c>
      <c r="T90" s="74" t="str">
        <f ca="1">IF(C90="","",[1]!s_est_avgroa(C90,H90,TODAY()))</f>
        <v/>
      </c>
      <c r="U90" s="74" t="str">
        <f ca="1">IF(C90="","",[1]!s_est_avgroe(C90,H90,TODAY()))</f>
        <v/>
      </c>
      <c r="V90" s="74" t="str">
        <f ca="1">IF(C90="","",[1]!s_est_avgoperatingprofit(C90,H90,TODAY(),100000000))</f>
        <v/>
      </c>
      <c r="W90" s="74" t="str">
        <f ca="1">IF(C90="","",[1]!s_est_yoynetprofit(C90,H90,TODAY()))</f>
        <v/>
      </c>
      <c r="X90" s="74" t="str">
        <f ca="1">IF(C90="","",[1]!s_est_yoysales(C90,H90,TODAY()))</f>
        <v/>
      </c>
      <c r="Y90" s="74" t="str">
        <f ca="1">IF(C90="","",[1]!s_est_instnum(C90,I90,TODAY()))</f>
        <v/>
      </c>
      <c r="Z90" s="74" t="str">
        <f ca="1">IF(C90="","",[1]!s_est_eps(C90,I90,TODAY()))</f>
        <v/>
      </c>
      <c r="AA90" s="74" t="str">
        <f ca="1">IF(C90="","",[1]!s_est_sales(C90,I90,TODAY(),100000000))</f>
        <v/>
      </c>
      <c r="AB90" s="74" t="str">
        <f ca="1">IF(C90="","",[1]!s_est_netprofit(C90,I90,TODAY(),100000000))</f>
        <v/>
      </c>
      <c r="AC90" s="74" t="str">
        <f ca="1">IF(C90="","",[1]!s_est_avgcps(C90,I90,TODAY()))</f>
        <v/>
      </c>
      <c r="AD90" s="74" t="str">
        <f ca="1">IF(C90="","",[1]!s_est_avgdps(C90,I90,TODAY()))</f>
        <v/>
      </c>
      <c r="AE90" s="74" t="str">
        <f ca="1">IF(C90="","",[1]!s_est_avgebit(C90,I90,TODAY(),100000000))</f>
        <v/>
      </c>
      <c r="AF90" s="74" t="str">
        <f ca="1">IF(C90="","",[1]!s_est_avgebitda(C90,I90,TODAY(),100000000))</f>
        <v/>
      </c>
      <c r="AG90" s="74" t="str">
        <f ca="1">IF(C90="","",[1]!s_est_avgbps(C90,I90,TODAY()))</f>
        <v/>
      </c>
      <c r="AH90" s="74" t="str">
        <f ca="1">IF(C90="","",[1]!s_est_avgebt(C90,I90,TODAY(),100000000))</f>
        <v/>
      </c>
      <c r="AI90" s="74" t="str">
        <f ca="1">IF(C90="","",[1]!s_est_avgroa(C90,I90,TODAY()))</f>
        <v/>
      </c>
      <c r="AJ90" s="74" t="str">
        <f ca="1">IF(C90="","",[1]!s_est_avgroe(C90,I90,TODAY()))</f>
        <v/>
      </c>
      <c r="AK90" s="74" t="str">
        <f ca="1">IF(C90="","",[1]!s_est_avgoperatingprofit(C90,I90,TODAY(),100000000))</f>
        <v/>
      </c>
      <c r="AL90" s="74" t="str">
        <f ca="1">IF(C90="","",[1]!s_est_yoynetprofit(C90,I90,TODAY()))</f>
        <v/>
      </c>
      <c r="AM90" s="74" t="str">
        <f ca="1">IF(C90="","",[1]!s_est_yoysales(C90,I90,TODAY()))</f>
        <v/>
      </c>
      <c r="AN90" s="35"/>
    </row>
    <row r="91" spans="1:40" s="36" customFormat="1" ht="16.5" x14ac:dyDescent="0.2">
      <c r="A91" s="2"/>
      <c r="B91" s="6"/>
      <c r="C91" s="28" t="str">
        <f>IF(表1[[#This Row],[列1]]="","",表1[[#This Row],[列1]])</f>
        <v/>
      </c>
      <c r="D91" s="19" t="str">
        <f>IF(C91="","",[1]!hks_info_name(C91))</f>
        <v/>
      </c>
      <c r="E91" s="18" t="str">
        <f ca="1">IF(C91="","",[1]!lastradeday_s(C91,TODAY()))</f>
        <v/>
      </c>
      <c r="F91" s="19" t="str">
        <f>IF(C91="","",IF(OR([1]!s_stm_rpt_e(C91,基本资料!$I$8,0)="#N/A",[1]!s_stm_rpt_e(C91,基本资料!$I$8,0)="",[1]!s_stm_rpt_e(C91,基本资料!$I$8,0)=0),[1]!s_stm_rpt_e(C91,基本资料!$I$9,0),[1]!s_stm_rpt_e(C91,基本资料!$I$8,0)))</f>
        <v/>
      </c>
      <c r="G91" s="18" t="str">
        <f>IF(C91="","",YEAR([1]!s_stm_rpt_e(C91,F91,0)))</f>
        <v/>
      </c>
      <c r="H91" s="18" t="str">
        <f>IF(C91="","",表1_31213141516[[#This Row],[列5]]+1)</f>
        <v/>
      </c>
      <c r="I91" s="18" t="str">
        <f>IF(C91="","",表1_31213141516[[#This Row],[列5]]+2)</f>
        <v/>
      </c>
      <c r="J91" s="18" t="str">
        <f ca="1">IF(C91="","",[1]!s_est_instnum(C91,H91,TODAY()))</f>
        <v/>
      </c>
      <c r="K91" s="74" t="str">
        <f ca="1">IF(C91="","",[1]!s_est_eps(C91,H91,TODAY()))</f>
        <v/>
      </c>
      <c r="L91" s="74" t="str">
        <f ca="1">IF(C91="","",[1]!s_est_sales(C91,H91,TODAY(),100000000))</f>
        <v/>
      </c>
      <c r="M91" s="74" t="str">
        <f ca="1">IF(C91="","",[1]!s_est_netprofit(C91,H91,TODAY(),100000000))</f>
        <v/>
      </c>
      <c r="N91" s="74" t="str">
        <f ca="1">IF(C91="","",[1]!s_est_avgcps(C91,H91,TODAY()))</f>
        <v/>
      </c>
      <c r="O91" s="74" t="str">
        <f ca="1">IF(C91="","",[1]!s_est_avgdps(C91,H91,TODAY()))</f>
        <v/>
      </c>
      <c r="P91" s="74" t="str">
        <f ca="1">IF(C91="","",[1]!s_est_avgebit(C91,H91,TODAY(),100000000))</f>
        <v/>
      </c>
      <c r="Q91" s="74" t="str">
        <f ca="1">IF(C91="","",[1]!s_est_avgebitda(C91,H91,TODAY(),100000000))</f>
        <v/>
      </c>
      <c r="R91" s="74" t="str">
        <f ca="1">IF(C91="","",[1]!s_est_avgbps(C91,H91,TODAY()))</f>
        <v/>
      </c>
      <c r="S91" s="74" t="str">
        <f ca="1">IF(C91="","",[1]!s_est_avgebt(C91,H91,TODAY(),100000000))</f>
        <v/>
      </c>
      <c r="T91" s="74" t="str">
        <f ca="1">IF(C91="","",[1]!s_est_avgroa(C91,H91,TODAY()))</f>
        <v/>
      </c>
      <c r="U91" s="74" t="str">
        <f ca="1">IF(C91="","",[1]!s_est_avgroe(C91,H91,TODAY()))</f>
        <v/>
      </c>
      <c r="V91" s="74" t="str">
        <f ca="1">IF(C91="","",[1]!s_est_avgoperatingprofit(C91,H91,TODAY(),100000000))</f>
        <v/>
      </c>
      <c r="W91" s="74" t="str">
        <f ca="1">IF(C91="","",[1]!s_est_yoynetprofit(C91,H91,TODAY()))</f>
        <v/>
      </c>
      <c r="X91" s="74" t="str">
        <f ca="1">IF(C91="","",[1]!s_est_yoysales(C91,H91,TODAY()))</f>
        <v/>
      </c>
      <c r="Y91" s="74" t="str">
        <f ca="1">IF(C91="","",[1]!s_est_instnum(C91,I91,TODAY()))</f>
        <v/>
      </c>
      <c r="Z91" s="74" t="str">
        <f ca="1">IF(C91="","",[1]!s_est_eps(C91,I91,TODAY()))</f>
        <v/>
      </c>
      <c r="AA91" s="74" t="str">
        <f ca="1">IF(C91="","",[1]!s_est_sales(C91,I91,TODAY(),100000000))</f>
        <v/>
      </c>
      <c r="AB91" s="74" t="str">
        <f ca="1">IF(C91="","",[1]!s_est_netprofit(C91,I91,TODAY(),100000000))</f>
        <v/>
      </c>
      <c r="AC91" s="74" t="str">
        <f ca="1">IF(C91="","",[1]!s_est_avgcps(C91,I91,TODAY()))</f>
        <v/>
      </c>
      <c r="AD91" s="74" t="str">
        <f ca="1">IF(C91="","",[1]!s_est_avgdps(C91,I91,TODAY()))</f>
        <v/>
      </c>
      <c r="AE91" s="74" t="str">
        <f ca="1">IF(C91="","",[1]!s_est_avgebit(C91,I91,TODAY(),100000000))</f>
        <v/>
      </c>
      <c r="AF91" s="74" t="str">
        <f ca="1">IF(C91="","",[1]!s_est_avgebitda(C91,I91,TODAY(),100000000))</f>
        <v/>
      </c>
      <c r="AG91" s="74" t="str">
        <f ca="1">IF(C91="","",[1]!s_est_avgbps(C91,I91,TODAY()))</f>
        <v/>
      </c>
      <c r="AH91" s="74" t="str">
        <f ca="1">IF(C91="","",[1]!s_est_avgebt(C91,I91,TODAY(),100000000))</f>
        <v/>
      </c>
      <c r="AI91" s="74" t="str">
        <f ca="1">IF(C91="","",[1]!s_est_avgroa(C91,I91,TODAY()))</f>
        <v/>
      </c>
      <c r="AJ91" s="74" t="str">
        <f ca="1">IF(C91="","",[1]!s_est_avgroe(C91,I91,TODAY()))</f>
        <v/>
      </c>
      <c r="AK91" s="74" t="str">
        <f ca="1">IF(C91="","",[1]!s_est_avgoperatingprofit(C91,I91,TODAY(),100000000))</f>
        <v/>
      </c>
      <c r="AL91" s="74" t="str">
        <f ca="1">IF(C91="","",[1]!s_est_yoynetprofit(C91,I91,TODAY()))</f>
        <v/>
      </c>
      <c r="AM91" s="74" t="str">
        <f ca="1">IF(C91="","",[1]!s_est_yoysales(C91,I91,TODAY()))</f>
        <v/>
      </c>
      <c r="AN91" s="35"/>
    </row>
    <row r="92" spans="1:40" s="36" customFormat="1" ht="16.5" x14ac:dyDescent="0.2">
      <c r="A92" s="2"/>
      <c r="B92" s="6"/>
      <c r="C92" s="28" t="str">
        <f>IF(表1[[#This Row],[列1]]="","",表1[[#This Row],[列1]])</f>
        <v/>
      </c>
      <c r="D92" s="19" t="str">
        <f>IF(C92="","",[1]!hks_info_name(C92))</f>
        <v/>
      </c>
      <c r="E92" s="18" t="str">
        <f ca="1">IF(C92="","",[1]!lastradeday_s(C92,TODAY()))</f>
        <v/>
      </c>
      <c r="F92" s="19" t="str">
        <f>IF(C92="","",IF(OR([1]!s_stm_rpt_e(C92,基本资料!$I$8,0)="#N/A",[1]!s_stm_rpt_e(C92,基本资料!$I$8,0)="",[1]!s_stm_rpt_e(C92,基本资料!$I$8,0)=0),[1]!s_stm_rpt_e(C92,基本资料!$I$9,0),[1]!s_stm_rpt_e(C92,基本资料!$I$8,0)))</f>
        <v/>
      </c>
      <c r="G92" s="18" t="str">
        <f>IF(C92="","",YEAR([1]!s_stm_rpt_e(C92,F92,0)))</f>
        <v/>
      </c>
      <c r="H92" s="18" t="str">
        <f>IF(C92="","",表1_31213141516[[#This Row],[列5]]+1)</f>
        <v/>
      </c>
      <c r="I92" s="18" t="str">
        <f>IF(C92="","",表1_31213141516[[#This Row],[列5]]+2)</f>
        <v/>
      </c>
      <c r="J92" s="18" t="str">
        <f ca="1">IF(C92="","",[1]!s_est_instnum(C92,H92,TODAY()))</f>
        <v/>
      </c>
      <c r="K92" s="74" t="str">
        <f ca="1">IF(C92="","",[1]!s_est_eps(C92,H92,TODAY()))</f>
        <v/>
      </c>
      <c r="L92" s="74" t="str">
        <f ca="1">IF(C92="","",[1]!s_est_sales(C92,H92,TODAY(),100000000))</f>
        <v/>
      </c>
      <c r="M92" s="74" t="str">
        <f ca="1">IF(C92="","",[1]!s_est_netprofit(C92,H92,TODAY(),100000000))</f>
        <v/>
      </c>
      <c r="N92" s="74" t="str">
        <f ca="1">IF(C92="","",[1]!s_est_avgcps(C92,H92,TODAY()))</f>
        <v/>
      </c>
      <c r="O92" s="74" t="str">
        <f ca="1">IF(C92="","",[1]!s_est_avgdps(C92,H92,TODAY()))</f>
        <v/>
      </c>
      <c r="P92" s="74" t="str">
        <f ca="1">IF(C92="","",[1]!s_est_avgebit(C92,H92,TODAY(),100000000))</f>
        <v/>
      </c>
      <c r="Q92" s="74" t="str">
        <f ca="1">IF(C92="","",[1]!s_est_avgebitda(C92,H92,TODAY(),100000000))</f>
        <v/>
      </c>
      <c r="R92" s="74" t="str">
        <f ca="1">IF(C92="","",[1]!s_est_avgbps(C92,H92,TODAY()))</f>
        <v/>
      </c>
      <c r="S92" s="74" t="str">
        <f ca="1">IF(C92="","",[1]!s_est_avgebt(C92,H92,TODAY(),100000000))</f>
        <v/>
      </c>
      <c r="T92" s="74" t="str">
        <f ca="1">IF(C92="","",[1]!s_est_avgroa(C92,H92,TODAY()))</f>
        <v/>
      </c>
      <c r="U92" s="74" t="str">
        <f ca="1">IF(C92="","",[1]!s_est_avgroe(C92,H92,TODAY()))</f>
        <v/>
      </c>
      <c r="V92" s="74" t="str">
        <f ca="1">IF(C92="","",[1]!s_est_avgoperatingprofit(C92,H92,TODAY(),100000000))</f>
        <v/>
      </c>
      <c r="W92" s="74" t="str">
        <f ca="1">IF(C92="","",[1]!s_est_yoynetprofit(C92,H92,TODAY()))</f>
        <v/>
      </c>
      <c r="X92" s="74" t="str">
        <f ca="1">IF(C92="","",[1]!s_est_yoysales(C92,H92,TODAY()))</f>
        <v/>
      </c>
      <c r="Y92" s="74" t="str">
        <f ca="1">IF(C92="","",[1]!s_est_instnum(C92,I92,TODAY()))</f>
        <v/>
      </c>
      <c r="Z92" s="74" t="str">
        <f ca="1">IF(C92="","",[1]!s_est_eps(C92,I92,TODAY()))</f>
        <v/>
      </c>
      <c r="AA92" s="74" t="str">
        <f ca="1">IF(C92="","",[1]!s_est_sales(C92,I92,TODAY(),100000000))</f>
        <v/>
      </c>
      <c r="AB92" s="74" t="str">
        <f ca="1">IF(C92="","",[1]!s_est_netprofit(C92,I92,TODAY(),100000000))</f>
        <v/>
      </c>
      <c r="AC92" s="74" t="str">
        <f ca="1">IF(C92="","",[1]!s_est_avgcps(C92,I92,TODAY()))</f>
        <v/>
      </c>
      <c r="AD92" s="74" t="str">
        <f ca="1">IF(C92="","",[1]!s_est_avgdps(C92,I92,TODAY()))</f>
        <v/>
      </c>
      <c r="AE92" s="74" t="str">
        <f ca="1">IF(C92="","",[1]!s_est_avgebit(C92,I92,TODAY(),100000000))</f>
        <v/>
      </c>
      <c r="AF92" s="74" t="str">
        <f ca="1">IF(C92="","",[1]!s_est_avgebitda(C92,I92,TODAY(),100000000))</f>
        <v/>
      </c>
      <c r="AG92" s="74" t="str">
        <f ca="1">IF(C92="","",[1]!s_est_avgbps(C92,I92,TODAY()))</f>
        <v/>
      </c>
      <c r="AH92" s="74" t="str">
        <f ca="1">IF(C92="","",[1]!s_est_avgebt(C92,I92,TODAY(),100000000))</f>
        <v/>
      </c>
      <c r="AI92" s="74" t="str">
        <f ca="1">IF(C92="","",[1]!s_est_avgroa(C92,I92,TODAY()))</f>
        <v/>
      </c>
      <c r="AJ92" s="74" t="str">
        <f ca="1">IF(C92="","",[1]!s_est_avgroe(C92,I92,TODAY()))</f>
        <v/>
      </c>
      <c r="AK92" s="74" t="str">
        <f ca="1">IF(C92="","",[1]!s_est_avgoperatingprofit(C92,I92,TODAY(),100000000))</f>
        <v/>
      </c>
      <c r="AL92" s="74" t="str">
        <f ca="1">IF(C92="","",[1]!s_est_yoynetprofit(C92,I92,TODAY()))</f>
        <v/>
      </c>
      <c r="AM92" s="74" t="str">
        <f ca="1">IF(C92="","",[1]!s_est_yoysales(C92,I92,TODAY()))</f>
        <v/>
      </c>
      <c r="AN92" s="35"/>
    </row>
    <row r="93" spans="1:40" s="36" customFormat="1" ht="16.5" x14ac:dyDescent="0.2">
      <c r="A93" s="2"/>
      <c r="B93" s="6"/>
      <c r="C93" s="28" t="str">
        <f>IF(表1[[#This Row],[列1]]="","",表1[[#This Row],[列1]])</f>
        <v/>
      </c>
      <c r="D93" s="19" t="str">
        <f>IF(C93="","",[1]!hks_info_name(C93))</f>
        <v/>
      </c>
      <c r="E93" s="18" t="str">
        <f ca="1">IF(C93="","",[1]!lastradeday_s(C93,TODAY()))</f>
        <v/>
      </c>
      <c r="F93" s="19" t="str">
        <f>IF(C93="","",IF(OR([1]!s_stm_rpt_e(C93,基本资料!$I$8,0)="#N/A",[1]!s_stm_rpt_e(C93,基本资料!$I$8,0)="",[1]!s_stm_rpt_e(C93,基本资料!$I$8,0)=0),[1]!s_stm_rpt_e(C93,基本资料!$I$9,0),[1]!s_stm_rpt_e(C93,基本资料!$I$8,0)))</f>
        <v/>
      </c>
      <c r="G93" s="18" t="str">
        <f>IF(C93="","",YEAR([1]!s_stm_rpt_e(C93,F93,0)))</f>
        <v/>
      </c>
      <c r="H93" s="18" t="str">
        <f>IF(C93="","",表1_31213141516[[#This Row],[列5]]+1)</f>
        <v/>
      </c>
      <c r="I93" s="18" t="str">
        <f>IF(C93="","",表1_31213141516[[#This Row],[列5]]+2)</f>
        <v/>
      </c>
      <c r="J93" s="18" t="str">
        <f ca="1">IF(C93="","",[1]!s_est_instnum(C93,H93,TODAY()))</f>
        <v/>
      </c>
      <c r="K93" s="74" t="str">
        <f ca="1">IF(C93="","",[1]!s_est_eps(C93,H93,TODAY()))</f>
        <v/>
      </c>
      <c r="L93" s="74" t="str">
        <f ca="1">IF(C93="","",[1]!s_est_sales(C93,H93,TODAY(),100000000))</f>
        <v/>
      </c>
      <c r="M93" s="74" t="str">
        <f ca="1">IF(C93="","",[1]!s_est_netprofit(C93,H93,TODAY(),100000000))</f>
        <v/>
      </c>
      <c r="N93" s="74" t="str">
        <f ca="1">IF(C93="","",[1]!s_est_avgcps(C93,H93,TODAY()))</f>
        <v/>
      </c>
      <c r="O93" s="74" t="str">
        <f ca="1">IF(C93="","",[1]!s_est_avgdps(C93,H93,TODAY()))</f>
        <v/>
      </c>
      <c r="P93" s="74" t="str">
        <f ca="1">IF(C93="","",[1]!s_est_avgebit(C93,H93,TODAY(),100000000))</f>
        <v/>
      </c>
      <c r="Q93" s="74" t="str">
        <f ca="1">IF(C93="","",[1]!s_est_avgebitda(C93,H93,TODAY(),100000000))</f>
        <v/>
      </c>
      <c r="R93" s="74" t="str">
        <f ca="1">IF(C93="","",[1]!s_est_avgbps(C93,H93,TODAY()))</f>
        <v/>
      </c>
      <c r="S93" s="74" t="str">
        <f ca="1">IF(C93="","",[1]!s_est_avgebt(C93,H93,TODAY(),100000000))</f>
        <v/>
      </c>
      <c r="T93" s="74" t="str">
        <f ca="1">IF(C93="","",[1]!s_est_avgroa(C93,H93,TODAY()))</f>
        <v/>
      </c>
      <c r="U93" s="74" t="str">
        <f ca="1">IF(C93="","",[1]!s_est_avgroe(C93,H93,TODAY()))</f>
        <v/>
      </c>
      <c r="V93" s="74" t="str">
        <f ca="1">IF(C93="","",[1]!s_est_avgoperatingprofit(C93,H93,TODAY(),100000000))</f>
        <v/>
      </c>
      <c r="W93" s="74" t="str">
        <f ca="1">IF(C93="","",[1]!s_est_yoynetprofit(C93,H93,TODAY()))</f>
        <v/>
      </c>
      <c r="X93" s="74" t="str">
        <f ca="1">IF(C93="","",[1]!s_est_yoysales(C93,H93,TODAY()))</f>
        <v/>
      </c>
      <c r="Y93" s="74" t="str">
        <f ca="1">IF(C93="","",[1]!s_est_instnum(C93,I93,TODAY()))</f>
        <v/>
      </c>
      <c r="Z93" s="74" t="str">
        <f ca="1">IF(C93="","",[1]!s_est_eps(C93,I93,TODAY()))</f>
        <v/>
      </c>
      <c r="AA93" s="74" t="str">
        <f ca="1">IF(C93="","",[1]!s_est_sales(C93,I93,TODAY(),100000000))</f>
        <v/>
      </c>
      <c r="AB93" s="74" t="str">
        <f ca="1">IF(C93="","",[1]!s_est_netprofit(C93,I93,TODAY(),100000000))</f>
        <v/>
      </c>
      <c r="AC93" s="74" t="str">
        <f ca="1">IF(C93="","",[1]!s_est_avgcps(C93,I93,TODAY()))</f>
        <v/>
      </c>
      <c r="AD93" s="74" t="str">
        <f ca="1">IF(C93="","",[1]!s_est_avgdps(C93,I93,TODAY()))</f>
        <v/>
      </c>
      <c r="AE93" s="74" t="str">
        <f ca="1">IF(C93="","",[1]!s_est_avgebit(C93,I93,TODAY(),100000000))</f>
        <v/>
      </c>
      <c r="AF93" s="74" t="str">
        <f ca="1">IF(C93="","",[1]!s_est_avgebitda(C93,I93,TODAY(),100000000))</f>
        <v/>
      </c>
      <c r="AG93" s="74" t="str">
        <f ca="1">IF(C93="","",[1]!s_est_avgbps(C93,I93,TODAY()))</f>
        <v/>
      </c>
      <c r="AH93" s="74" t="str">
        <f ca="1">IF(C93="","",[1]!s_est_avgebt(C93,I93,TODAY(),100000000))</f>
        <v/>
      </c>
      <c r="AI93" s="74" t="str">
        <f ca="1">IF(C93="","",[1]!s_est_avgroa(C93,I93,TODAY()))</f>
        <v/>
      </c>
      <c r="AJ93" s="74" t="str">
        <f ca="1">IF(C93="","",[1]!s_est_avgroe(C93,I93,TODAY()))</f>
        <v/>
      </c>
      <c r="AK93" s="74" t="str">
        <f ca="1">IF(C93="","",[1]!s_est_avgoperatingprofit(C93,I93,TODAY(),100000000))</f>
        <v/>
      </c>
      <c r="AL93" s="74" t="str">
        <f ca="1">IF(C93="","",[1]!s_est_yoynetprofit(C93,I93,TODAY()))</f>
        <v/>
      </c>
      <c r="AM93" s="74" t="str">
        <f ca="1">IF(C93="","",[1]!s_est_yoysales(C93,I93,TODAY()))</f>
        <v/>
      </c>
      <c r="AN93" s="35"/>
    </row>
    <row r="94" spans="1:40" s="36" customFormat="1" ht="16.5" x14ac:dyDescent="0.2">
      <c r="A94" s="2"/>
      <c r="B94" s="6"/>
      <c r="C94" s="28" t="str">
        <f>IF(表1[[#This Row],[列1]]="","",表1[[#This Row],[列1]])</f>
        <v/>
      </c>
      <c r="D94" s="19" t="str">
        <f>IF(C94="","",[1]!hks_info_name(C94))</f>
        <v/>
      </c>
      <c r="E94" s="18" t="str">
        <f ca="1">IF(C94="","",[1]!lastradeday_s(C94,TODAY()))</f>
        <v/>
      </c>
      <c r="F94" s="19" t="str">
        <f>IF(C94="","",IF(OR([1]!s_stm_rpt_e(C94,基本资料!$I$8,0)="#N/A",[1]!s_stm_rpt_e(C94,基本资料!$I$8,0)="",[1]!s_stm_rpt_e(C94,基本资料!$I$8,0)=0),[1]!s_stm_rpt_e(C94,基本资料!$I$9,0),[1]!s_stm_rpt_e(C94,基本资料!$I$8,0)))</f>
        <v/>
      </c>
      <c r="G94" s="18" t="str">
        <f>IF(C94="","",YEAR([1]!s_stm_rpt_e(C94,F94,0)))</f>
        <v/>
      </c>
      <c r="H94" s="18" t="str">
        <f>IF(C94="","",表1_31213141516[[#This Row],[列5]]+1)</f>
        <v/>
      </c>
      <c r="I94" s="18" t="str">
        <f>IF(C94="","",表1_31213141516[[#This Row],[列5]]+2)</f>
        <v/>
      </c>
      <c r="J94" s="18" t="str">
        <f ca="1">IF(C94="","",[1]!s_est_instnum(C94,H94,TODAY()))</f>
        <v/>
      </c>
      <c r="K94" s="74" t="str">
        <f ca="1">IF(C94="","",[1]!s_est_eps(C94,H94,TODAY()))</f>
        <v/>
      </c>
      <c r="L94" s="74" t="str">
        <f ca="1">IF(C94="","",[1]!s_est_sales(C94,H94,TODAY(),100000000))</f>
        <v/>
      </c>
      <c r="M94" s="74" t="str">
        <f ca="1">IF(C94="","",[1]!s_est_netprofit(C94,H94,TODAY(),100000000))</f>
        <v/>
      </c>
      <c r="N94" s="74" t="str">
        <f ca="1">IF(C94="","",[1]!s_est_avgcps(C94,H94,TODAY()))</f>
        <v/>
      </c>
      <c r="O94" s="74" t="str">
        <f ca="1">IF(C94="","",[1]!s_est_avgdps(C94,H94,TODAY()))</f>
        <v/>
      </c>
      <c r="P94" s="74" t="str">
        <f ca="1">IF(C94="","",[1]!s_est_avgebit(C94,H94,TODAY(),100000000))</f>
        <v/>
      </c>
      <c r="Q94" s="74" t="str">
        <f ca="1">IF(C94="","",[1]!s_est_avgebitda(C94,H94,TODAY(),100000000))</f>
        <v/>
      </c>
      <c r="R94" s="74" t="str">
        <f ca="1">IF(C94="","",[1]!s_est_avgbps(C94,H94,TODAY()))</f>
        <v/>
      </c>
      <c r="S94" s="74" t="str">
        <f ca="1">IF(C94="","",[1]!s_est_avgebt(C94,H94,TODAY(),100000000))</f>
        <v/>
      </c>
      <c r="T94" s="74" t="str">
        <f ca="1">IF(C94="","",[1]!s_est_avgroa(C94,H94,TODAY()))</f>
        <v/>
      </c>
      <c r="U94" s="74" t="str">
        <f ca="1">IF(C94="","",[1]!s_est_avgroe(C94,H94,TODAY()))</f>
        <v/>
      </c>
      <c r="V94" s="74" t="str">
        <f ca="1">IF(C94="","",[1]!s_est_avgoperatingprofit(C94,H94,TODAY(),100000000))</f>
        <v/>
      </c>
      <c r="W94" s="74" t="str">
        <f ca="1">IF(C94="","",[1]!s_est_yoynetprofit(C94,H94,TODAY()))</f>
        <v/>
      </c>
      <c r="X94" s="74" t="str">
        <f ca="1">IF(C94="","",[1]!s_est_yoysales(C94,H94,TODAY()))</f>
        <v/>
      </c>
      <c r="Y94" s="74" t="str">
        <f ca="1">IF(C94="","",[1]!s_est_instnum(C94,I94,TODAY()))</f>
        <v/>
      </c>
      <c r="Z94" s="74" t="str">
        <f ca="1">IF(C94="","",[1]!s_est_eps(C94,I94,TODAY()))</f>
        <v/>
      </c>
      <c r="AA94" s="74" t="str">
        <f ca="1">IF(C94="","",[1]!s_est_sales(C94,I94,TODAY(),100000000))</f>
        <v/>
      </c>
      <c r="AB94" s="74" t="str">
        <f ca="1">IF(C94="","",[1]!s_est_netprofit(C94,I94,TODAY(),100000000))</f>
        <v/>
      </c>
      <c r="AC94" s="74" t="str">
        <f ca="1">IF(C94="","",[1]!s_est_avgcps(C94,I94,TODAY()))</f>
        <v/>
      </c>
      <c r="AD94" s="74" t="str">
        <f ca="1">IF(C94="","",[1]!s_est_avgdps(C94,I94,TODAY()))</f>
        <v/>
      </c>
      <c r="AE94" s="74" t="str">
        <f ca="1">IF(C94="","",[1]!s_est_avgebit(C94,I94,TODAY(),100000000))</f>
        <v/>
      </c>
      <c r="AF94" s="74" t="str">
        <f ca="1">IF(C94="","",[1]!s_est_avgebitda(C94,I94,TODAY(),100000000))</f>
        <v/>
      </c>
      <c r="AG94" s="74" t="str">
        <f ca="1">IF(C94="","",[1]!s_est_avgbps(C94,I94,TODAY()))</f>
        <v/>
      </c>
      <c r="AH94" s="74" t="str">
        <f ca="1">IF(C94="","",[1]!s_est_avgebt(C94,I94,TODAY(),100000000))</f>
        <v/>
      </c>
      <c r="AI94" s="74" t="str">
        <f ca="1">IF(C94="","",[1]!s_est_avgroa(C94,I94,TODAY()))</f>
        <v/>
      </c>
      <c r="AJ94" s="74" t="str">
        <f ca="1">IF(C94="","",[1]!s_est_avgroe(C94,I94,TODAY()))</f>
        <v/>
      </c>
      <c r="AK94" s="74" t="str">
        <f ca="1">IF(C94="","",[1]!s_est_avgoperatingprofit(C94,I94,TODAY(),100000000))</f>
        <v/>
      </c>
      <c r="AL94" s="74" t="str">
        <f ca="1">IF(C94="","",[1]!s_est_yoynetprofit(C94,I94,TODAY()))</f>
        <v/>
      </c>
      <c r="AM94" s="74" t="str">
        <f ca="1">IF(C94="","",[1]!s_est_yoysales(C94,I94,TODAY()))</f>
        <v/>
      </c>
      <c r="AN94" s="35"/>
    </row>
    <row r="95" spans="1:40" s="36" customFormat="1" ht="16.5" x14ac:dyDescent="0.2">
      <c r="A95" s="2"/>
      <c r="B95" s="6"/>
      <c r="C95" s="28" t="str">
        <f>IF(表1[[#This Row],[列1]]="","",表1[[#This Row],[列1]])</f>
        <v/>
      </c>
      <c r="D95" s="19" t="str">
        <f>IF(C95="","",[1]!hks_info_name(C95))</f>
        <v/>
      </c>
      <c r="E95" s="18" t="str">
        <f ca="1">IF(C95="","",[1]!lastradeday_s(C95,TODAY()))</f>
        <v/>
      </c>
      <c r="F95" s="19" t="str">
        <f>IF(C95="","",IF(OR([1]!s_stm_rpt_e(C95,基本资料!$I$8,0)="#N/A",[1]!s_stm_rpt_e(C95,基本资料!$I$8,0)="",[1]!s_stm_rpt_e(C95,基本资料!$I$8,0)=0),[1]!s_stm_rpt_e(C95,基本资料!$I$9,0),[1]!s_stm_rpt_e(C95,基本资料!$I$8,0)))</f>
        <v/>
      </c>
      <c r="G95" s="18" t="str">
        <f>IF(C95="","",YEAR([1]!s_stm_rpt_e(C95,F95,0)))</f>
        <v/>
      </c>
      <c r="H95" s="18" t="str">
        <f>IF(C95="","",表1_31213141516[[#This Row],[列5]]+1)</f>
        <v/>
      </c>
      <c r="I95" s="18" t="str">
        <f>IF(C95="","",表1_31213141516[[#This Row],[列5]]+2)</f>
        <v/>
      </c>
      <c r="J95" s="18" t="str">
        <f ca="1">IF(C95="","",[1]!s_est_instnum(C95,H95,TODAY()))</f>
        <v/>
      </c>
      <c r="K95" s="74" t="str">
        <f ca="1">IF(C95="","",[1]!s_est_eps(C95,H95,TODAY()))</f>
        <v/>
      </c>
      <c r="L95" s="74" t="str">
        <f ca="1">IF(C95="","",[1]!s_est_sales(C95,H95,TODAY(),100000000))</f>
        <v/>
      </c>
      <c r="M95" s="74" t="str">
        <f ca="1">IF(C95="","",[1]!s_est_netprofit(C95,H95,TODAY(),100000000))</f>
        <v/>
      </c>
      <c r="N95" s="74" t="str">
        <f ca="1">IF(C95="","",[1]!s_est_avgcps(C95,H95,TODAY()))</f>
        <v/>
      </c>
      <c r="O95" s="74" t="str">
        <f ca="1">IF(C95="","",[1]!s_est_avgdps(C95,H95,TODAY()))</f>
        <v/>
      </c>
      <c r="P95" s="74" t="str">
        <f ca="1">IF(C95="","",[1]!s_est_avgebit(C95,H95,TODAY(),100000000))</f>
        <v/>
      </c>
      <c r="Q95" s="74" t="str">
        <f ca="1">IF(C95="","",[1]!s_est_avgebitda(C95,H95,TODAY(),100000000))</f>
        <v/>
      </c>
      <c r="R95" s="74" t="str">
        <f ca="1">IF(C95="","",[1]!s_est_avgbps(C95,H95,TODAY()))</f>
        <v/>
      </c>
      <c r="S95" s="74" t="str">
        <f ca="1">IF(C95="","",[1]!s_est_avgebt(C95,H95,TODAY(),100000000))</f>
        <v/>
      </c>
      <c r="T95" s="74" t="str">
        <f ca="1">IF(C95="","",[1]!s_est_avgroa(C95,H95,TODAY()))</f>
        <v/>
      </c>
      <c r="U95" s="74" t="str">
        <f ca="1">IF(C95="","",[1]!s_est_avgroe(C95,H95,TODAY()))</f>
        <v/>
      </c>
      <c r="V95" s="74" t="str">
        <f ca="1">IF(C95="","",[1]!s_est_avgoperatingprofit(C95,H95,TODAY(),100000000))</f>
        <v/>
      </c>
      <c r="W95" s="74" t="str">
        <f ca="1">IF(C95="","",[1]!s_est_yoynetprofit(C95,H95,TODAY()))</f>
        <v/>
      </c>
      <c r="X95" s="74" t="str">
        <f ca="1">IF(C95="","",[1]!s_est_yoysales(C95,H95,TODAY()))</f>
        <v/>
      </c>
      <c r="Y95" s="74" t="str">
        <f ca="1">IF(C95="","",[1]!s_est_instnum(C95,I95,TODAY()))</f>
        <v/>
      </c>
      <c r="Z95" s="74" t="str">
        <f ca="1">IF(C95="","",[1]!s_est_eps(C95,I95,TODAY()))</f>
        <v/>
      </c>
      <c r="AA95" s="74" t="str">
        <f ca="1">IF(C95="","",[1]!s_est_sales(C95,I95,TODAY(),100000000))</f>
        <v/>
      </c>
      <c r="AB95" s="74" t="str">
        <f ca="1">IF(C95="","",[1]!s_est_netprofit(C95,I95,TODAY(),100000000))</f>
        <v/>
      </c>
      <c r="AC95" s="74" t="str">
        <f ca="1">IF(C95="","",[1]!s_est_avgcps(C95,I95,TODAY()))</f>
        <v/>
      </c>
      <c r="AD95" s="74" t="str">
        <f ca="1">IF(C95="","",[1]!s_est_avgdps(C95,I95,TODAY()))</f>
        <v/>
      </c>
      <c r="AE95" s="74" t="str">
        <f ca="1">IF(C95="","",[1]!s_est_avgebit(C95,I95,TODAY(),100000000))</f>
        <v/>
      </c>
      <c r="AF95" s="74" t="str">
        <f ca="1">IF(C95="","",[1]!s_est_avgebitda(C95,I95,TODAY(),100000000))</f>
        <v/>
      </c>
      <c r="AG95" s="74" t="str">
        <f ca="1">IF(C95="","",[1]!s_est_avgbps(C95,I95,TODAY()))</f>
        <v/>
      </c>
      <c r="AH95" s="74" t="str">
        <f ca="1">IF(C95="","",[1]!s_est_avgebt(C95,I95,TODAY(),100000000))</f>
        <v/>
      </c>
      <c r="AI95" s="74" t="str">
        <f ca="1">IF(C95="","",[1]!s_est_avgroa(C95,I95,TODAY()))</f>
        <v/>
      </c>
      <c r="AJ95" s="74" t="str">
        <f ca="1">IF(C95="","",[1]!s_est_avgroe(C95,I95,TODAY()))</f>
        <v/>
      </c>
      <c r="AK95" s="74" t="str">
        <f ca="1">IF(C95="","",[1]!s_est_avgoperatingprofit(C95,I95,TODAY(),100000000))</f>
        <v/>
      </c>
      <c r="AL95" s="74" t="str">
        <f ca="1">IF(C95="","",[1]!s_est_yoynetprofit(C95,I95,TODAY()))</f>
        <v/>
      </c>
      <c r="AM95" s="74" t="str">
        <f ca="1">IF(C95="","",[1]!s_est_yoysales(C95,I95,TODAY()))</f>
        <v/>
      </c>
      <c r="AN95" s="35"/>
    </row>
    <row r="96" spans="1:40" s="36" customFormat="1" ht="16.5" x14ac:dyDescent="0.2">
      <c r="A96" s="2"/>
      <c r="B96" s="6"/>
      <c r="C96" s="28" t="str">
        <f>IF(表1[[#This Row],[列1]]="","",表1[[#This Row],[列1]])</f>
        <v/>
      </c>
      <c r="D96" s="19" t="str">
        <f>IF(C96="","",[1]!hks_info_name(C96))</f>
        <v/>
      </c>
      <c r="E96" s="18" t="str">
        <f ca="1">IF(C96="","",[1]!lastradeday_s(C96,TODAY()))</f>
        <v/>
      </c>
      <c r="F96" s="19" t="str">
        <f>IF(C96="","",IF(OR([1]!s_stm_rpt_e(C96,基本资料!$I$8,0)="#N/A",[1]!s_stm_rpt_e(C96,基本资料!$I$8,0)="",[1]!s_stm_rpt_e(C96,基本资料!$I$8,0)=0),[1]!s_stm_rpt_e(C96,基本资料!$I$9,0),[1]!s_stm_rpt_e(C96,基本资料!$I$8,0)))</f>
        <v/>
      </c>
      <c r="G96" s="18" t="str">
        <f>IF(C96="","",YEAR([1]!s_stm_rpt_e(C96,F96,0)))</f>
        <v/>
      </c>
      <c r="H96" s="18" t="str">
        <f>IF(C96="","",表1_31213141516[[#This Row],[列5]]+1)</f>
        <v/>
      </c>
      <c r="I96" s="18" t="str">
        <f>IF(C96="","",表1_31213141516[[#This Row],[列5]]+2)</f>
        <v/>
      </c>
      <c r="J96" s="18" t="str">
        <f ca="1">IF(C96="","",[1]!s_est_instnum(C96,H96,TODAY()))</f>
        <v/>
      </c>
      <c r="K96" s="74" t="str">
        <f ca="1">IF(C96="","",[1]!s_est_eps(C96,H96,TODAY()))</f>
        <v/>
      </c>
      <c r="L96" s="74" t="str">
        <f ca="1">IF(C96="","",[1]!s_est_sales(C96,H96,TODAY(),100000000))</f>
        <v/>
      </c>
      <c r="M96" s="74" t="str">
        <f ca="1">IF(C96="","",[1]!s_est_netprofit(C96,H96,TODAY(),100000000))</f>
        <v/>
      </c>
      <c r="N96" s="74" t="str">
        <f ca="1">IF(C96="","",[1]!s_est_avgcps(C96,H96,TODAY()))</f>
        <v/>
      </c>
      <c r="O96" s="74" t="str">
        <f ca="1">IF(C96="","",[1]!s_est_avgdps(C96,H96,TODAY()))</f>
        <v/>
      </c>
      <c r="P96" s="74" t="str">
        <f ca="1">IF(C96="","",[1]!s_est_avgebit(C96,H96,TODAY(),100000000))</f>
        <v/>
      </c>
      <c r="Q96" s="74" t="str">
        <f ca="1">IF(C96="","",[1]!s_est_avgebitda(C96,H96,TODAY(),100000000))</f>
        <v/>
      </c>
      <c r="R96" s="74" t="str">
        <f ca="1">IF(C96="","",[1]!s_est_avgbps(C96,H96,TODAY()))</f>
        <v/>
      </c>
      <c r="S96" s="74" t="str">
        <f ca="1">IF(C96="","",[1]!s_est_avgebt(C96,H96,TODAY(),100000000))</f>
        <v/>
      </c>
      <c r="T96" s="74" t="str">
        <f ca="1">IF(C96="","",[1]!s_est_avgroa(C96,H96,TODAY()))</f>
        <v/>
      </c>
      <c r="U96" s="74" t="str">
        <f ca="1">IF(C96="","",[1]!s_est_avgroe(C96,H96,TODAY()))</f>
        <v/>
      </c>
      <c r="V96" s="74" t="str">
        <f ca="1">IF(C96="","",[1]!s_est_avgoperatingprofit(C96,H96,TODAY(),100000000))</f>
        <v/>
      </c>
      <c r="W96" s="74" t="str">
        <f ca="1">IF(C96="","",[1]!s_est_yoynetprofit(C96,H96,TODAY()))</f>
        <v/>
      </c>
      <c r="X96" s="74" t="str">
        <f ca="1">IF(C96="","",[1]!s_est_yoysales(C96,H96,TODAY()))</f>
        <v/>
      </c>
      <c r="Y96" s="74" t="str">
        <f ca="1">IF(C96="","",[1]!s_est_instnum(C96,I96,TODAY()))</f>
        <v/>
      </c>
      <c r="Z96" s="74" t="str">
        <f ca="1">IF(C96="","",[1]!s_est_eps(C96,I96,TODAY()))</f>
        <v/>
      </c>
      <c r="AA96" s="74" t="str">
        <f ca="1">IF(C96="","",[1]!s_est_sales(C96,I96,TODAY(),100000000))</f>
        <v/>
      </c>
      <c r="AB96" s="74" t="str">
        <f ca="1">IF(C96="","",[1]!s_est_netprofit(C96,I96,TODAY(),100000000))</f>
        <v/>
      </c>
      <c r="AC96" s="74" t="str">
        <f ca="1">IF(C96="","",[1]!s_est_avgcps(C96,I96,TODAY()))</f>
        <v/>
      </c>
      <c r="AD96" s="74" t="str">
        <f ca="1">IF(C96="","",[1]!s_est_avgdps(C96,I96,TODAY()))</f>
        <v/>
      </c>
      <c r="AE96" s="74" t="str">
        <f ca="1">IF(C96="","",[1]!s_est_avgebit(C96,I96,TODAY(),100000000))</f>
        <v/>
      </c>
      <c r="AF96" s="74" t="str">
        <f ca="1">IF(C96="","",[1]!s_est_avgebitda(C96,I96,TODAY(),100000000))</f>
        <v/>
      </c>
      <c r="AG96" s="74" t="str">
        <f ca="1">IF(C96="","",[1]!s_est_avgbps(C96,I96,TODAY()))</f>
        <v/>
      </c>
      <c r="AH96" s="74" t="str">
        <f ca="1">IF(C96="","",[1]!s_est_avgebt(C96,I96,TODAY(),100000000))</f>
        <v/>
      </c>
      <c r="AI96" s="74" t="str">
        <f ca="1">IF(C96="","",[1]!s_est_avgroa(C96,I96,TODAY()))</f>
        <v/>
      </c>
      <c r="AJ96" s="74" t="str">
        <f ca="1">IF(C96="","",[1]!s_est_avgroe(C96,I96,TODAY()))</f>
        <v/>
      </c>
      <c r="AK96" s="74" t="str">
        <f ca="1">IF(C96="","",[1]!s_est_avgoperatingprofit(C96,I96,TODAY(),100000000))</f>
        <v/>
      </c>
      <c r="AL96" s="74" t="str">
        <f ca="1">IF(C96="","",[1]!s_est_yoynetprofit(C96,I96,TODAY()))</f>
        <v/>
      </c>
      <c r="AM96" s="74" t="str">
        <f ca="1">IF(C96="","",[1]!s_est_yoysales(C96,I96,TODAY()))</f>
        <v/>
      </c>
      <c r="AN96" s="35"/>
    </row>
    <row r="97" spans="1:40" s="36" customFormat="1" ht="16.5" x14ac:dyDescent="0.2">
      <c r="A97" s="2"/>
      <c r="B97" s="6"/>
      <c r="C97" s="28" t="str">
        <f>IF(表1[[#This Row],[列1]]="","",表1[[#This Row],[列1]])</f>
        <v/>
      </c>
      <c r="D97" s="19" t="str">
        <f>IF(C97="","",[1]!hks_info_name(C97))</f>
        <v/>
      </c>
      <c r="E97" s="18" t="str">
        <f ca="1">IF(C97="","",[1]!lastradeday_s(C97,TODAY()))</f>
        <v/>
      </c>
      <c r="F97" s="19" t="str">
        <f>IF(C97="","",IF(OR([1]!s_stm_rpt_e(C97,基本资料!$I$8,0)="#N/A",[1]!s_stm_rpt_e(C97,基本资料!$I$8,0)="",[1]!s_stm_rpt_e(C97,基本资料!$I$8,0)=0),[1]!s_stm_rpt_e(C97,基本资料!$I$9,0),[1]!s_stm_rpt_e(C97,基本资料!$I$8,0)))</f>
        <v/>
      </c>
      <c r="G97" s="18" t="str">
        <f>IF(C97="","",YEAR([1]!s_stm_rpt_e(C97,F97,0)))</f>
        <v/>
      </c>
      <c r="H97" s="18" t="str">
        <f>IF(C97="","",表1_31213141516[[#This Row],[列5]]+1)</f>
        <v/>
      </c>
      <c r="I97" s="18" t="str">
        <f>IF(C97="","",表1_31213141516[[#This Row],[列5]]+2)</f>
        <v/>
      </c>
      <c r="J97" s="18" t="str">
        <f ca="1">IF(C97="","",[1]!s_est_instnum(C97,H97,TODAY()))</f>
        <v/>
      </c>
      <c r="K97" s="74" t="str">
        <f ca="1">IF(C97="","",[1]!s_est_eps(C97,H97,TODAY()))</f>
        <v/>
      </c>
      <c r="L97" s="74" t="str">
        <f ca="1">IF(C97="","",[1]!s_est_sales(C97,H97,TODAY(),100000000))</f>
        <v/>
      </c>
      <c r="M97" s="74" t="str">
        <f ca="1">IF(C97="","",[1]!s_est_netprofit(C97,H97,TODAY(),100000000))</f>
        <v/>
      </c>
      <c r="N97" s="74" t="str">
        <f ca="1">IF(C97="","",[1]!s_est_avgcps(C97,H97,TODAY()))</f>
        <v/>
      </c>
      <c r="O97" s="74" t="str">
        <f ca="1">IF(C97="","",[1]!s_est_avgdps(C97,H97,TODAY()))</f>
        <v/>
      </c>
      <c r="P97" s="74" t="str">
        <f ca="1">IF(C97="","",[1]!s_est_avgebit(C97,H97,TODAY(),100000000))</f>
        <v/>
      </c>
      <c r="Q97" s="74" t="str">
        <f ca="1">IF(C97="","",[1]!s_est_avgebitda(C97,H97,TODAY(),100000000))</f>
        <v/>
      </c>
      <c r="R97" s="74" t="str">
        <f ca="1">IF(C97="","",[1]!s_est_avgbps(C97,H97,TODAY()))</f>
        <v/>
      </c>
      <c r="S97" s="74" t="str">
        <f ca="1">IF(C97="","",[1]!s_est_avgebt(C97,H97,TODAY(),100000000))</f>
        <v/>
      </c>
      <c r="T97" s="74" t="str">
        <f ca="1">IF(C97="","",[1]!s_est_avgroa(C97,H97,TODAY()))</f>
        <v/>
      </c>
      <c r="U97" s="74" t="str">
        <f ca="1">IF(C97="","",[1]!s_est_avgroe(C97,H97,TODAY()))</f>
        <v/>
      </c>
      <c r="V97" s="74" t="str">
        <f ca="1">IF(C97="","",[1]!s_est_avgoperatingprofit(C97,H97,TODAY(),100000000))</f>
        <v/>
      </c>
      <c r="W97" s="74" t="str">
        <f ca="1">IF(C97="","",[1]!s_est_yoynetprofit(C97,H97,TODAY()))</f>
        <v/>
      </c>
      <c r="X97" s="74" t="str">
        <f ca="1">IF(C97="","",[1]!s_est_yoysales(C97,H97,TODAY()))</f>
        <v/>
      </c>
      <c r="Y97" s="74" t="str">
        <f ca="1">IF(C97="","",[1]!s_est_instnum(C97,I97,TODAY()))</f>
        <v/>
      </c>
      <c r="Z97" s="74" t="str">
        <f ca="1">IF(C97="","",[1]!s_est_eps(C97,I97,TODAY()))</f>
        <v/>
      </c>
      <c r="AA97" s="74" t="str">
        <f ca="1">IF(C97="","",[1]!s_est_sales(C97,I97,TODAY(),100000000))</f>
        <v/>
      </c>
      <c r="AB97" s="74" t="str">
        <f ca="1">IF(C97="","",[1]!s_est_netprofit(C97,I97,TODAY(),100000000))</f>
        <v/>
      </c>
      <c r="AC97" s="74" t="str">
        <f ca="1">IF(C97="","",[1]!s_est_avgcps(C97,I97,TODAY()))</f>
        <v/>
      </c>
      <c r="AD97" s="74" t="str">
        <f ca="1">IF(C97="","",[1]!s_est_avgdps(C97,I97,TODAY()))</f>
        <v/>
      </c>
      <c r="AE97" s="74" t="str">
        <f ca="1">IF(C97="","",[1]!s_est_avgebit(C97,I97,TODAY(),100000000))</f>
        <v/>
      </c>
      <c r="AF97" s="74" t="str">
        <f ca="1">IF(C97="","",[1]!s_est_avgebitda(C97,I97,TODAY(),100000000))</f>
        <v/>
      </c>
      <c r="AG97" s="74" t="str">
        <f ca="1">IF(C97="","",[1]!s_est_avgbps(C97,I97,TODAY()))</f>
        <v/>
      </c>
      <c r="AH97" s="74" t="str">
        <f ca="1">IF(C97="","",[1]!s_est_avgebt(C97,I97,TODAY(),100000000))</f>
        <v/>
      </c>
      <c r="AI97" s="74" t="str">
        <f ca="1">IF(C97="","",[1]!s_est_avgroa(C97,I97,TODAY()))</f>
        <v/>
      </c>
      <c r="AJ97" s="74" t="str">
        <f ca="1">IF(C97="","",[1]!s_est_avgroe(C97,I97,TODAY()))</f>
        <v/>
      </c>
      <c r="AK97" s="74" t="str">
        <f ca="1">IF(C97="","",[1]!s_est_avgoperatingprofit(C97,I97,TODAY(),100000000))</f>
        <v/>
      </c>
      <c r="AL97" s="74" t="str">
        <f ca="1">IF(C97="","",[1]!s_est_yoynetprofit(C97,I97,TODAY()))</f>
        <v/>
      </c>
      <c r="AM97" s="74" t="str">
        <f ca="1">IF(C97="","",[1]!s_est_yoysales(C97,I97,TODAY()))</f>
        <v/>
      </c>
      <c r="AN97" s="35"/>
    </row>
    <row r="98" spans="1:40" s="36" customFormat="1" ht="16.5" x14ac:dyDescent="0.2">
      <c r="A98" s="2"/>
      <c r="B98" s="6"/>
      <c r="C98" s="28" t="str">
        <f>IF(表1[[#This Row],[列1]]="","",表1[[#This Row],[列1]])</f>
        <v/>
      </c>
      <c r="D98" s="19" t="str">
        <f>IF(C98="","",[1]!hks_info_name(C98))</f>
        <v/>
      </c>
      <c r="E98" s="18" t="str">
        <f ca="1">IF(C98="","",[1]!lastradeday_s(C98,TODAY()))</f>
        <v/>
      </c>
      <c r="F98" s="19" t="str">
        <f>IF(C98="","",IF(OR([1]!s_stm_rpt_e(C98,基本资料!$I$8,0)="#N/A",[1]!s_stm_rpt_e(C98,基本资料!$I$8,0)="",[1]!s_stm_rpt_e(C98,基本资料!$I$8,0)=0),[1]!s_stm_rpt_e(C98,基本资料!$I$9,0),[1]!s_stm_rpt_e(C98,基本资料!$I$8,0)))</f>
        <v/>
      </c>
      <c r="G98" s="18" t="str">
        <f>IF(C98="","",YEAR([1]!s_stm_rpt_e(C98,F98,0)))</f>
        <v/>
      </c>
      <c r="H98" s="18" t="str">
        <f>IF(C98="","",表1_31213141516[[#This Row],[列5]]+1)</f>
        <v/>
      </c>
      <c r="I98" s="18" t="str">
        <f>IF(C98="","",表1_31213141516[[#This Row],[列5]]+2)</f>
        <v/>
      </c>
      <c r="J98" s="18" t="str">
        <f ca="1">IF(C98="","",[1]!s_est_instnum(C98,H98,TODAY()))</f>
        <v/>
      </c>
      <c r="K98" s="74" t="str">
        <f ca="1">IF(C98="","",[1]!s_est_eps(C98,H98,TODAY()))</f>
        <v/>
      </c>
      <c r="L98" s="74" t="str">
        <f ca="1">IF(C98="","",[1]!s_est_sales(C98,H98,TODAY(),100000000))</f>
        <v/>
      </c>
      <c r="M98" s="74" t="str">
        <f ca="1">IF(C98="","",[1]!s_est_netprofit(C98,H98,TODAY(),100000000))</f>
        <v/>
      </c>
      <c r="N98" s="74" t="str">
        <f ca="1">IF(C98="","",[1]!s_est_avgcps(C98,H98,TODAY()))</f>
        <v/>
      </c>
      <c r="O98" s="74" t="str">
        <f ca="1">IF(C98="","",[1]!s_est_avgdps(C98,H98,TODAY()))</f>
        <v/>
      </c>
      <c r="P98" s="74" t="str">
        <f ca="1">IF(C98="","",[1]!s_est_avgebit(C98,H98,TODAY(),100000000))</f>
        <v/>
      </c>
      <c r="Q98" s="74" t="str">
        <f ca="1">IF(C98="","",[1]!s_est_avgebitda(C98,H98,TODAY(),100000000))</f>
        <v/>
      </c>
      <c r="R98" s="74" t="str">
        <f ca="1">IF(C98="","",[1]!s_est_avgbps(C98,H98,TODAY()))</f>
        <v/>
      </c>
      <c r="S98" s="74" t="str">
        <f ca="1">IF(C98="","",[1]!s_est_avgebt(C98,H98,TODAY(),100000000))</f>
        <v/>
      </c>
      <c r="T98" s="74" t="str">
        <f ca="1">IF(C98="","",[1]!s_est_avgroa(C98,H98,TODAY()))</f>
        <v/>
      </c>
      <c r="U98" s="74" t="str">
        <f ca="1">IF(C98="","",[1]!s_est_avgroe(C98,H98,TODAY()))</f>
        <v/>
      </c>
      <c r="V98" s="74" t="str">
        <f ca="1">IF(C98="","",[1]!s_est_avgoperatingprofit(C98,H98,TODAY(),100000000))</f>
        <v/>
      </c>
      <c r="W98" s="74" t="str">
        <f ca="1">IF(C98="","",[1]!s_est_yoynetprofit(C98,H98,TODAY()))</f>
        <v/>
      </c>
      <c r="X98" s="74" t="str">
        <f ca="1">IF(C98="","",[1]!s_est_yoysales(C98,H98,TODAY()))</f>
        <v/>
      </c>
      <c r="Y98" s="74" t="str">
        <f ca="1">IF(C98="","",[1]!s_est_instnum(C98,I98,TODAY()))</f>
        <v/>
      </c>
      <c r="Z98" s="74" t="str">
        <f ca="1">IF(C98="","",[1]!s_est_eps(C98,I98,TODAY()))</f>
        <v/>
      </c>
      <c r="AA98" s="74" t="str">
        <f ca="1">IF(C98="","",[1]!s_est_sales(C98,I98,TODAY(),100000000))</f>
        <v/>
      </c>
      <c r="AB98" s="74" t="str">
        <f ca="1">IF(C98="","",[1]!s_est_netprofit(C98,I98,TODAY(),100000000))</f>
        <v/>
      </c>
      <c r="AC98" s="74" t="str">
        <f ca="1">IF(C98="","",[1]!s_est_avgcps(C98,I98,TODAY()))</f>
        <v/>
      </c>
      <c r="AD98" s="74" t="str">
        <f ca="1">IF(C98="","",[1]!s_est_avgdps(C98,I98,TODAY()))</f>
        <v/>
      </c>
      <c r="AE98" s="74" t="str">
        <f ca="1">IF(C98="","",[1]!s_est_avgebit(C98,I98,TODAY(),100000000))</f>
        <v/>
      </c>
      <c r="AF98" s="74" t="str">
        <f ca="1">IF(C98="","",[1]!s_est_avgebitda(C98,I98,TODAY(),100000000))</f>
        <v/>
      </c>
      <c r="AG98" s="74" t="str">
        <f ca="1">IF(C98="","",[1]!s_est_avgbps(C98,I98,TODAY()))</f>
        <v/>
      </c>
      <c r="AH98" s="74" t="str">
        <f ca="1">IF(C98="","",[1]!s_est_avgebt(C98,I98,TODAY(),100000000))</f>
        <v/>
      </c>
      <c r="AI98" s="74" t="str">
        <f ca="1">IF(C98="","",[1]!s_est_avgroa(C98,I98,TODAY()))</f>
        <v/>
      </c>
      <c r="AJ98" s="74" t="str">
        <f ca="1">IF(C98="","",[1]!s_est_avgroe(C98,I98,TODAY()))</f>
        <v/>
      </c>
      <c r="AK98" s="74" t="str">
        <f ca="1">IF(C98="","",[1]!s_est_avgoperatingprofit(C98,I98,TODAY(),100000000))</f>
        <v/>
      </c>
      <c r="AL98" s="74" t="str">
        <f ca="1">IF(C98="","",[1]!s_est_yoynetprofit(C98,I98,TODAY()))</f>
        <v/>
      </c>
      <c r="AM98" s="74" t="str">
        <f ca="1">IF(C98="","",[1]!s_est_yoysales(C98,I98,TODAY()))</f>
        <v/>
      </c>
      <c r="AN98" s="35"/>
    </row>
    <row r="99" spans="1:40" s="36" customFormat="1" ht="16.5" x14ac:dyDescent="0.2">
      <c r="A99" s="2"/>
      <c r="B99" s="6"/>
      <c r="C99" s="28" t="str">
        <f>IF(表1[[#This Row],[列1]]="","",表1[[#This Row],[列1]])</f>
        <v/>
      </c>
      <c r="D99" s="19" t="str">
        <f>IF(C99="","",[1]!hks_info_name(C99))</f>
        <v/>
      </c>
      <c r="E99" s="18" t="str">
        <f ca="1">IF(C99="","",[1]!lastradeday_s(C99,TODAY()))</f>
        <v/>
      </c>
      <c r="F99" s="19" t="str">
        <f>IF(C99="","",IF(OR([1]!s_stm_rpt_e(C99,基本资料!$I$8,0)="#N/A",[1]!s_stm_rpt_e(C99,基本资料!$I$8,0)="",[1]!s_stm_rpt_e(C99,基本资料!$I$8,0)=0),[1]!s_stm_rpt_e(C99,基本资料!$I$9,0),[1]!s_stm_rpt_e(C99,基本资料!$I$8,0)))</f>
        <v/>
      </c>
      <c r="G99" s="18" t="str">
        <f>IF(C99="","",YEAR([1]!s_stm_rpt_e(C99,F99,0)))</f>
        <v/>
      </c>
      <c r="H99" s="18" t="str">
        <f>IF(C99="","",表1_31213141516[[#This Row],[列5]]+1)</f>
        <v/>
      </c>
      <c r="I99" s="18" t="str">
        <f>IF(C99="","",表1_31213141516[[#This Row],[列5]]+2)</f>
        <v/>
      </c>
      <c r="J99" s="18" t="str">
        <f ca="1">IF(C99="","",[1]!s_est_instnum(C99,H99,TODAY()))</f>
        <v/>
      </c>
      <c r="K99" s="74" t="str">
        <f ca="1">IF(C99="","",[1]!s_est_eps(C99,H99,TODAY()))</f>
        <v/>
      </c>
      <c r="L99" s="74" t="str">
        <f ca="1">IF(C99="","",[1]!s_est_sales(C99,H99,TODAY(),100000000))</f>
        <v/>
      </c>
      <c r="M99" s="74" t="str">
        <f ca="1">IF(C99="","",[1]!s_est_netprofit(C99,H99,TODAY(),100000000))</f>
        <v/>
      </c>
      <c r="N99" s="74" t="str">
        <f ca="1">IF(C99="","",[1]!s_est_avgcps(C99,H99,TODAY()))</f>
        <v/>
      </c>
      <c r="O99" s="74" t="str">
        <f ca="1">IF(C99="","",[1]!s_est_avgdps(C99,H99,TODAY()))</f>
        <v/>
      </c>
      <c r="P99" s="74" t="str">
        <f ca="1">IF(C99="","",[1]!s_est_avgebit(C99,H99,TODAY(),100000000))</f>
        <v/>
      </c>
      <c r="Q99" s="74" t="str">
        <f ca="1">IF(C99="","",[1]!s_est_avgebitda(C99,H99,TODAY(),100000000))</f>
        <v/>
      </c>
      <c r="R99" s="74" t="str">
        <f ca="1">IF(C99="","",[1]!s_est_avgbps(C99,H99,TODAY()))</f>
        <v/>
      </c>
      <c r="S99" s="74" t="str">
        <f ca="1">IF(C99="","",[1]!s_est_avgebt(C99,H99,TODAY(),100000000))</f>
        <v/>
      </c>
      <c r="T99" s="74" t="str">
        <f ca="1">IF(C99="","",[1]!s_est_avgroa(C99,H99,TODAY()))</f>
        <v/>
      </c>
      <c r="U99" s="74" t="str">
        <f ca="1">IF(C99="","",[1]!s_est_avgroe(C99,H99,TODAY()))</f>
        <v/>
      </c>
      <c r="V99" s="74" t="str">
        <f ca="1">IF(C99="","",[1]!s_est_avgoperatingprofit(C99,H99,TODAY(),100000000))</f>
        <v/>
      </c>
      <c r="W99" s="74" t="str">
        <f ca="1">IF(C99="","",[1]!s_est_yoynetprofit(C99,H99,TODAY()))</f>
        <v/>
      </c>
      <c r="X99" s="74" t="str">
        <f ca="1">IF(C99="","",[1]!s_est_yoysales(C99,H99,TODAY()))</f>
        <v/>
      </c>
      <c r="Y99" s="74" t="str">
        <f ca="1">IF(C99="","",[1]!s_est_instnum(C99,I99,TODAY()))</f>
        <v/>
      </c>
      <c r="Z99" s="74" t="str">
        <f ca="1">IF(C99="","",[1]!s_est_eps(C99,I99,TODAY()))</f>
        <v/>
      </c>
      <c r="AA99" s="74" t="str">
        <f ca="1">IF(C99="","",[1]!s_est_sales(C99,I99,TODAY(),100000000))</f>
        <v/>
      </c>
      <c r="AB99" s="74" t="str">
        <f ca="1">IF(C99="","",[1]!s_est_netprofit(C99,I99,TODAY(),100000000))</f>
        <v/>
      </c>
      <c r="AC99" s="74" t="str">
        <f ca="1">IF(C99="","",[1]!s_est_avgcps(C99,I99,TODAY()))</f>
        <v/>
      </c>
      <c r="AD99" s="74" t="str">
        <f ca="1">IF(C99="","",[1]!s_est_avgdps(C99,I99,TODAY()))</f>
        <v/>
      </c>
      <c r="AE99" s="74" t="str">
        <f ca="1">IF(C99="","",[1]!s_est_avgebit(C99,I99,TODAY(),100000000))</f>
        <v/>
      </c>
      <c r="AF99" s="74" t="str">
        <f ca="1">IF(C99="","",[1]!s_est_avgebitda(C99,I99,TODAY(),100000000))</f>
        <v/>
      </c>
      <c r="AG99" s="74" t="str">
        <f ca="1">IF(C99="","",[1]!s_est_avgbps(C99,I99,TODAY()))</f>
        <v/>
      </c>
      <c r="AH99" s="74" t="str">
        <f ca="1">IF(C99="","",[1]!s_est_avgebt(C99,I99,TODAY(),100000000))</f>
        <v/>
      </c>
      <c r="AI99" s="74" t="str">
        <f ca="1">IF(C99="","",[1]!s_est_avgroa(C99,I99,TODAY()))</f>
        <v/>
      </c>
      <c r="AJ99" s="74" t="str">
        <f ca="1">IF(C99="","",[1]!s_est_avgroe(C99,I99,TODAY()))</f>
        <v/>
      </c>
      <c r="AK99" s="74" t="str">
        <f ca="1">IF(C99="","",[1]!s_est_avgoperatingprofit(C99,I99,TODAY(),100000000))</f>
        <v/>
      </c>
      <c r="AL99" s="74" t="str">
        <f ca="1">IF(C99="","",[1]!s_est_yoynetprofit(C99,I99,TODAY()))</f>
        <v/>
      </c>
      <c r="AM99" s="74" t="str">
        <f ca="1">IF(C99="","",[1]!s_est_yoysales(C99,I99,TODAY()))</f>
        <v/>
      </c>
      <c r="AN99" s="35"/>
    </row>
    <row r="100" spans="1:40" s="36" customFormat="1" ht="16.5" x14ac:dyDescent="0.2">
      <c r="A100" s="2"/>
      <c r="B100" s="6"/>
      <c r="C100" s="28" t="str">
        <f>IF(表1[[#This Row],[列1]]="","",表1[[#This Row],[列1]])</f>
        <v/>
      </c>
      <c r="D100" s="19" t="str">
        <f>IF(C100="","",[1]!hks_info_name(C100))</f>
        <v/>
      </c>
      <c r="E100" s="18" t="str">
        <f ca="1">IF(C100="","",[1]!lastradeday_s(C100,TODAY()))</f>
        <v/>
      </c>
      <c r="F100" s="19" t="str">
        <f>IF(C100="","",IF(OR([1]!s_stm_rpt_e(C100,基本资料!$I$8,0)="#N/A",[1]!s_stm_rpt_e(C100,基本资料!$I$8,0)="",[1]!s_stm_rpt_e(C100,基本资料!$I$8,0)=0),[1]!s_stm_rpt_e(C100,基本资料!$I$9,0),[1]!s_stm_rpt_e(C100,基本资料!$I$8,0)))</f>
        <v/>
      </c>
      <c r="G100" s="18" t="str">
        <f>IF(C100="","",YEAR([1]!s_stm_rpt_e(C100,F100,0)))</f>
        <v/>
      </c>
      <c r="H100" s="18" t="str">
        <f>IF(C100="","",表1_31213141516[[#This Row],[列5]]+1)</f>
        <v/>
      </c>
      <c r="I100" s="18" t="str">
        <f>IF(C100="","",表1_31213141516[[#This Row],[列5]]+2)</f>
        <v/>
      </c>
      <c r="J100" s="18" t="str">
        <f ca="1">IF(C100="","",[1]!s_est_instnum(C100,H100,TODAY()))</f>
        <v/>
      </c>
      <c r="K100" s="74" t="str">
        <f ca="1">IF(C100="","",[1]!s_est_eps(C100,H100,TODAY()))</f>
        <v/>
      </c>
      <c r="L100" s="74" t="str">
        <f ca="1">IF(C100="","",[1]!s_est_sales(C100,H100,TODAY(),100000000))</f>
        <v/>
      </c>
      <c r="M100" s="74" t="str">
        <f ca="1">IF(C100="","",[1]!s_est_netprofit(C100,H100,TODAY(),100000000))</f>
        <v/>
      </c>
      <c r="N100" s="74" t="str">
        <f ca="1">IF(C100="","",[1]!s_est_avgcps(C100,H100,TODAY()))</f>
        <v/>
      </c>
      <c r="O100" s="74" t="str">
        <f ca="1">IF(C100="","",[1]!s_est_avgdps(C100,H100,TODAY()))</f>
        <v/>
      </c>
      <c r="P100" s="74" t="str">
        <f ca="1">IF(C100="","",[1]!s_est_avgebit(C100,H100,TODAY(),100000000))</f>
        <v/>
      </c>
      <c r="Q100" s="74" t="str">
        <f ca="1">IF(C100="","",[1]!s_est_avgebitda(C100,H100,TODAY(),100000000))</f>
        <v/>
      </c>
      <c r="R100" s="74" t="str">
        <f ca="1">IF(C100="","",[1]!s_est_avgbps(C100,H100,TODAY()))</f>
        <v/>
      </c>
      <c r="S100" s="74" t="str">
        <f ca="1">IF(C100="","",[1]!s_est_avgebt(C100,H100,TODAY(),100000000))</f>
        <v/>
      </c>
      <c r="T100" s="74" t="str">
        <f ca="1">IF(C100="","",[1]!s_est_avgroa(C100,H100,TODAY()))</f>
        <v/>
      </c>
      <c r="U100" s="74" t="str">
        <f ca="1">IF(C100="","",[1]!s_est_avgroe(C100,H100,TODAY()))</f>
        <v/>
      </c>
      <c r="V100" s="74" t="str">
        <f ca="1">IF(C100="","",[1]!s_est_avgoperatingprofit(C100,H100,TODAY(),100000000))</f>
        <v/>
      </c>
      <c r="W100" s="74" t="str">
        <f ca="1">IF(C100="","",[1]!s_est_yoynetprofit(C100,H100,TODAY()))</f>
        <v/>
      </c>
      <c r="X100" s="74" t="str">
        <f ca="1">IF(C100="","",[1]!s_est_yoysales(C100,H100,TODAY()))</f>
        <v/>
      </c>
      <c r="Y100" s="74" t="str">
        <f ca="1">IF(C100="","",[1]!s_est_instnum(C100,I100,TODAY()))</f>
        <v/>
      </c>
      <c r="Z100" s="74" t="str">
        <f ca="1">IF(C100="","",[1]!s_est_eps(C100,I100,TODAY()))</f>
        <v/>
      </c>
      <c r="AA100" s="74" t="str">
        <f ca="1">IF(C100="","",[1]!s_est_sales(C100,I100,TODAY(),100000000))</f>
        <v/>
      </c>
      <c r="AB100" s="74" t="str">
        <f ca="1">IF(C100="","",[1]!s_est_netprofit(C100,I100,TODAY(),100000000))</f>
        <v/>
      </c>
      <c r="AC100" s="74" t="str">
        <f ca="1">IF(C100="","",[1]!s_est_avgcps(C100,I100,TODAY()))</f>
        <v/>
      </c>
      <c r="AD100" s="74" t="str">
        <f ca="1">IF(C100="","",[1]!s_est_avgdps(C100,I100,TODAY()))</f>
        <v/>
      </c>
      <c r="AE100" s="74" t="str">
        <f ca="1">IF(C100="","",[1]!s_est_avgebit(C100,I100,TODAY(),100000000))</f>
        <v/>
      </c>
      <c r="AF100" s="74" t="str">
        <f ca="1">IF(C100="","",[1]!s_est_avgebitda(C100,I100,TODAY(),100000000))</f>
        <v/>
      </c>
      <c r="AG100" s="74" t="str">
        <f ca="1">IF(C100="","",[1]!s_est_avgbps(C100,I100,TODAY()))</f>
        <v/>
      </c>
      <c r="AH100" s="74" t="str">
        <f ca="1">IF(C100="","",[1]!s_est_avgebt(C100,I100,TODAY(),100000000))</f>
        <v/>
      </c>
      <c r="AI100" s="74" t="str">
        <f ca="1">IF(C100="","",[1]!s_est_avgroa(C100,I100,TODAY()))</f>
        <v/>
      </c>
      <c r="AJ100" s="74" t="str">
        <f ca="1">IF(C100="","",[1]!s_est_avgroe(C100,I100,TODAY()))</f>
        <v/>
      </c>
      <c r="AK100" s="74" t="str">
        <f ca="1">IF(C100="","",[1]!s_est_avgoperatingprofit(C100,I100,TODAY(),100000000))</f>
        <v/>
      </c>
      <c r="AL100" s="74" t="str">
        <f ca="1">IF(C100="","",[1]!s_est_yoynetprofit(C100,I100,TODAY()))</f>
        <v/>
      </c>
      <c r="AM100" s="74" t="str">
        <f ca="1">IF(C100="","",[1]!s_est_yoysales(C100,I100,TODAY()))</f>
        <v/>
      </c>
      <c r="AN100" s="35"/>
    </row>
    <row r="101" spans="1:40" s="36" customFormat="1" ht="9" customHeight="1" x14ac:dyDescent="0.2">
      <c r="A101" s="2"/>
      <c r="B101" s="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</row>
    <row r="102" spans="1:40" s="36" customFormat="1" ht="9" customHeight="1" x14ac:dyDescent="0.2">
      <c r="A102" s="2"/>
      <c r="B102" s="2"/>
    </row>
  </sheetData>
  <mergeCells count="10">
    <mergeCell ref="C6:C7"/>
    <mergeCell ref="D6:D7"/>
    <mergeCell ref="E6:E7"/>
    <mergeCell ref="F6:F7"/>
    <mergeCell ref="G6:G7"/>
    <mergeCell ref="D1:K1"/>
    <mergeCell ref="Y6:AM6"/>
    <mergeCell ref="H6:H7"/>
    <mergeCell ref="I6:I7"/>
    <mergeCell ref="J6:X6"/>
  </mergeCells>
  <phoneticPr fontId="2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63636D"/>
    <pageSetUpPr autoPageBreaks="0"/>
  </sheetPr>
  <dimension ref="A1:BN102"/>
  <sheetViews>
    <sheetView showGridLines="0" workbookViewId="0"/>
  </sheetViews>
  <sheetFormatPr defaultRowHeight="14.25" x14ac:dyDescent="0.2"/>
  <cols>
    <col min="1" max="1" width="2.125" style="3" customWidth="1"/>
    <col min="2" max="2" width="1.5" style="3" customWidth="1"/>
    <col min="3" max="3" width="10" style="37" customWidth="1"/>
    <col min="4" max="4" width="9" style="37"/>
    <col min="5" max="5" width="11.125" style="37" customWidth="1"/>
    <col min="6" max="7" width="11.875" style="37" customWidth="1"/>
    <col min="8" max="8" width="12.375" style="37" customWidth="1"/>
    <col min="9" max="9" width="32" style="37" bestFit="1" customWidth="1"/>
    <col min="10" max="12" width="12.75" style="37" bestFit="1" customWidth="1"/>
    <col min="13" max="13" width="12.625" style="37" bestFit="1" customWidth="1"/>
    <col min="14" max="14" width="32" style="37" bestFit="1" customWidth="1"/>
    <col min="15" max="18" width="12.375" style="37" customWidth="1"/>
    <col min="19" max="19" width="22.625" style="37" bestFit="1" customWidth="1"/>
    <col min="20" max="23" width="12.375" style="37" customWidth="1"/>
    <col min="24" max="24" width="33.875" style="37" bestFit="1" customWidth="1"/>
    <col min="25" max="28" width="12.375" style="37" customWidth="1"/>
    <col min="29" max="29" width="32" style="37" bestFit="1" customWidth="1"/>
    <col min="30" max="33" width="12.375" style="37" customWidth="1"/>
    <col min="34" max="34" width="1.5" style="37" customWidth="1"/>
    <col min="35" max="16384" width="9" style="37"/>
  </cols>
  <sheetData>
    <row r="1" spans="1:66" s="5" customFormat="1" ht="27.75" x14ac:dyDescent="0.3">
      <c r="A1" s="4"/>
      <c r="B1" s="4"/>
      <c r="D1" s="87" t="s">
        <v>220</v>
      </c>
      <c r="E1" s="87"/>
      <c r="F1" s="87"/>
      <c r="G1" s="87"/>
      <c r="H1" s="87"/>
      <c r="I1" s="87"/>
      <c r="J1" s="8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s="2" customFormat="1" ht="9" customHeight="1" x14ac:dyDescent="0.2"/>
    <row r="3" spans="1:66" s="2" customFormat="1" ht="9" customHeight="1" x14ac:dyDescent="0.2">
      <c r="B3" s="6"/>
      <c r="C3" s="6"/>
      <c r="D3" s="6"/>
      <c r="E3" s="1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66" s="2" customFormat="1" ht="17.25" x14ac:dyDescent="0.2">
      <c r="B4" s="6"/>
      <c r="C4" s="7" t="s">
        <v>208</v>
      </c>
      <c r="D4" s="7"/>
      <c r="E4" s="1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6"/>
    </row>
    <row r="5" spans="1:66" s="2" customFormat="1" ht="9" customHeight="1" x14ac:dyDescent="0.2"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66" s="36" customFormat="1" ht="16.5" x14ac:dyDescent="0.2">
      <c r="A6" s="2"/>
      <c r="B6" s="6"/>
      <c r="C6" s="78" t="s">
        <v>0</v>
      </c>
      <c r="D6" s="80" t="s">
        <v>6</v>
      </c>
      <c r="E6" s="80" t="s">
        <v>50</v>
      </c>
      <c r="F6" s="91" t="s">
        <v>53</v>
      </c>
      <c r="G6" s="91" t="s">
        <v>212</v>
      </c>
      <c r="H6" s="91" t="s">
        <v>71</v>
      </c>
      <c r="I6" s="99" t="s">
        <v>210</v>
      </c>
      <c r="J6" s="100"/>
      <c r="K6" s="100"/>
      <c r="L6" s="100"/>
      <c r="M6" s="101"/>
      <c r="N6" s="99" t="s">
        <v>219</v>
      </c>
      <c r="O6" s="100"/>
      <c r="P6" s="100"/>
      <c r="Q6" s="100"/>
      <c r="R6" s="101"/>
      <c r="S6" s="99" t="s">
        <v>211</v>
      </c>
      <c r="T6" s="100"/>
      <c r="U6" s="100"/>
      <c r="V6" s="100"/>
      <c r="W6" s="101"/>
      <c r="X6" s="99" t="s">
        <v>218</v>
      </c>
      <c r="Y6" s="100"/>
      <c r="Z6" s="100"/>
      <c r="AA6" s="100"/>
      <c r="AB6" s="101"/>
      <c r="AC6" s="99" t="s">
        <v>217</v>
      </c>
      <c r="AD6" s="100"/>
      <c r="AE6" s="100"/>
      <c r="AF6" s="100"/>
      <c r="AG6" s="100"/>
      <c r="AH6" s="35"/>
    </row>
    <row r="7" spans="1:66" s="36" customFormat="1" ht="16.5" x14ac:dyDescent="0.2">
      <c r="A7" s="2"/>
      <c r="B7" s="6"/>
      <c r="C7" s="79"/>
      <c r="D7" s="81"/>
      <c r="E7" s="81"/>
      <c r="F7" s="92"/>
      <c r="G7" s="92"/>
      <c r="H7" s="92"/>
      <c r="I7" s="58" t="s">
        <v>209</v>
      </c>
      <c r="J7" s="67" t="s">
        <v>213</v>
      </c>
      <c r="K7" s="67" t="s">
        <v>214</v>
      </c>
      <c r="L7" s="67" t="s">
        <v>215</v>
      </c>
      <c r="M7" s="68" t="s">
        <v>216</v>
      </c>
      <c r="N7" s="58" t="s">
        <v>209</v>
      </c>
      <c r="O7" s="67" t="s">
        <v>213</v>
      </c>
      <c r="P7" s="67" t="s">
        <v>214</v>
      </c>
      <c r="Q7" s="67" t="s">
        <v>215</v>
      </c>
      <c r="R7" s="68" t="s">
        <v>216</v>
      </c>
      <c r="S7" s="58" t="s">
        <v>209</v>
      </c>
      <c r="T7" s="67" t="s">
        <v>213</v>
      </c>
      <c r="U7" s="67" t="s">
        <v>214</v>
      </c>
      <c r="V7" s="67" t="s">
        <v>215</v>
      </c>
      <c r="W7" s="68" t="s">
        <v>216</v>
      </c>
      <c r="X7" s="58" t="s">
        <v>209</v>
      </c>
      <c r="Y7" s="67" t="s">
        <v>213</v>
      </c>
      <c r="Z7" s="67" t="s">
        <v>214</v>
      </c>
      <c r="AA7" s="67" t="s">
        <v>215</v>
      </c>
      <c r="AB7" s="68" t="s">
        <v>216</v>
      </c>
      <c r="AC7" s="58" t="s">
        <v>209</v>
      </c>
      <c r="AD7" s="67" t="s">
        <v>213</v>
      </c>
      <c r="AE7" s="67" t="s">
        <v>214</v>
      </c>
      <c r="AF7" s="67" t="s">
        <v>215</v>
      </c>
      <c r="AG7" s="69" t="s">
        <v>216</v>
      </c>
      <c r="AH7" s="35"/>
    </row>
    <row r="8" spans="1:66" s="36" customFormat="1" ht="16.5" x14ac:dyDescent="0.2">
      <c r="A8" s="2"/>
      <c r="B8" s="6"/>
      <c r="C8" s="28" t="str">
        <f>IF(表1[[#This Row],[列1]]="","",表1[[#This Row],[列1]])</f>
        <v>000001.SZ</v>
      </c>
      <c r="D8" s="19" t="str">
        <f>IF(C8="","",[1]!hks_info_name(C8))</f>
        <v>平安银行</v>
      </c>
      <c r="E8" s="19" t="str">
        <f ca="1">IF(C8="","",[1]!lastradeday_s(C8,TODAY()))</f>
        <v>2024-12-09</v>
      </c>
      <c r="F8" s="49" t="str">
        <f ca="1">IF(C8="","",IF(OR([1]!s_stm_rpt_e(C8,基本资料!$I$8,0)="#N/A",[1]!s_stm_rpt_e(C8,基本资料!$I$8,0)="",[1]!s_stm_rpt_e(C8,基本资料!$I$8,0)=0),[1]!s_stm_rpt_e(C8,基本资料!$I$9,0),[1]!s_stm_rpt_e(C8,基本资料!$I$8,0)))</f>
        <v>2023-12-31</v>
      </c>
      <c r="G8" s="49" t="str">
        <f ca="1">IF(C8="","",[1]!s_stm_rpt_e(C8,F8,0))</f>
        <v>2023-12-31</v>
      </c>
      <c r="H8" s="49" t="str">
        <f ca="1">IF(C8="","",[1]!hks_info_cur2(C8,F8))</f>
        <v>CNY</v>
      </c>
      <c r="I8" s="57" t="str">
        <f ca="1">IF(C8="","",[1]!s_segment_product_item(C8,G8,1))</f>
        <v>利息收入:发放贷款及垫款:个人贷款业务</v>
      </c>
      <c r="J8" s="23">
        <f ca="1">IF(C8="","",[1]!s_segment_product_sales1(C8,G8,1,H8,100000000))</f>
        <v>1334.5</v>
      </c>
      <c r="K8" s="23">
        <f ca="1">IF(C8="","",[1]!s_segment_product_cost1(C8,G8,1,H8,100000000))</f>
        <v>0</v>
      </c>
      <c r="L8" s="23">
        <f ca="1">IF(C8="","",[1]!s_segment_product_profit1(C8,G8,1,H8,100000000))</f>
        <v>0</v>
      </c>
      <c r="M8" s="25">
        <f ca="1">IF(C8="","",[1]!s_segment_product_gpmargin(C8,G8,1))</f>
        <v>0</v>
      </c>
      <c r="N8" s="57" t="str">
        <f ca="1">IF(C8="","",[1]!s_segment_product_item(C8,G8,2))</f>
        <v>利息收入:发放贷款及垫款:公司贷款业务</v>
      </c>
      <c r="O8" s="55">
        <f ca="1">IF(C8="","",[1]!s_segment_product_sales1(C8,G8,2,H8,100000000))</f>
        <v>463.43</v>
      </c>
      <c r="P8" s="55">
        <f ca="1">IF(C8="","",[1]!s_segment_product_cost1(C8,G8,2,H8,100000000))</f>
        <v>0</v>
      </c>
      <c r="Q8" s="55">
        <f ca="1">IF(C8="","",[1]!s_segment_product_profit1(C8,G8,2,H8,100000000))</f>
        <v>0</v>
      </c>
      <c r="R8" s="59">
        <f ca="1">IF(C8="","",[1]!s_segment_product_gpmargin(C8,G8,2))</f>
        <v>0</v>
      </c>
      <c r="S8" s="57" t="str">
        <f ca="1">IF(C8="","",[1]!s_segment_product_item(C8,G8,3))</f>
        <v>利息收入:金融投资利息收入</v>
      </c>
      <c r="T8" s="55">
        <f ca="1">IF(C8="","",[1]!s_segment_product_sales1(C8,G8,3,H8,100000000))</f>
        <v>311.48</v>
      </c>
      <c r="U8" s="55">
        <f ca="1">IF(C8="","",[1]!s_segment_product_cost1(C8,G8,3,H8,100000000))</f>
        <v>0</v>
      </c>
      <c r="V8" s="55">
        <f ca="1">IF(C8="","",[1]!s_segment_product_profit1(C8,G8,3,H8,100000000))</f>
        <v>0</v>
      </c>
      <c r="W8" s="59">
        <f ca="1">IF(C8="","",[1]!s_segment_product_gpmargin(C8,G8,3))</f>
        <v>0</v>
      </c>
      <c r="X8" s="57" t="str">
        <f ca="1">IF(C8="","",[1]!s_segment_product_item(C8,G8,4))</f>
        <v>非利息收入:手续费及佣金收入:银行卡业务</v>
      </c>
      <c r="Y8" s="55">
        <f ca="1">IF(C8="","",[1]!s_segment_product_sales1(C8,G8,4,H8,100000000))</f>
        <v>161.28</v>
      </c>
      <c r="Z8" s="55">
        <f ca="1">IF(C8="","",[1]!s_segment_product_cost1(C8,G8,4,H8,100000000))</f>
        <v>0</v>
      </c>
      <c r="AA8" s="55">
        <f ca="1">IF(C8="","",[1]!s_segment_product_profit1(C8,G8,4,H8,100000000))</f>
        <v>0</v>
      </c>
      <c r="AB8" s="59">
        <f ca="1">IF(C8="","",[1]!s_segment_product_gpmargin(C8,G8,4))</f>
        <v>0</v>
      </c>
      <c r="AC8" s="57" t="str">
        <f ca="1">IF(C8="","",[1]!s_segment_product_item(C8,G8,5))</f>
        <v>利息收入:存放同业、拆放同业及买入返售金融资产</v>
      </c>
      <c r="AD8" s="55">
        <f ca="1">IF(C8="","",[1]!s_segment_product_sales1(C8,G8,5,H8,100000000))</f>
        <v>87.76</v>
      </c>
      <c r="AE8" s="55">
        <f ca="1">IF(C8="","",[1]!s_segment_product_cost1(C8,G8,5,H8,100000000))</f>
        <v>0</v>
      </c>
      <c r="AF8" s="55">
        <f ca="1">IF(C8="","",[1]!s_segment_product_profit1(C8,G8,5,H8,100000000))</f>
        <v>0</v>
      </c>
      <c r="AG8" s="56">
        <f ca="1">IF(C8="","",[1]!s_segment_product_gpmargin(C8,G8,5))</f>
        <v>0</v>
      </c>
      <c r="AH8" s="35"/>
    </row>
    <row r="9" spans="1:66" s="36" customFormat="1" ht="16.5" x14ac:dyDescent="0.2">
      <c r="A9" s="2"/>
      <c r="B9" s="6"/>
      <c r="C9" s="28" t="str">
        <f>IF(表1[[#This Row],[列1]]="","",表1[[#This Row],[列1]])</f>
        <v>000002.SZ</v>
      </c>
      <c r="D9" s="19" t="str">
        <f>IF(C9="","",[1]!hks_info_name(C9))</f>
        <v>万科A</v>
      </c>
      <c r="E9" s="19" t="str">
        <f ca="1">IF(C9="","",[1]!lastradeday_s(C9,TODAY()))</f>
        <v>2024-12-09</v>
      </c>
      <c r="F9" s="49" t="str">
        <f ca="1">IF(C9="","",IF(OR([1]!s_stm_rpt_e(C9,基本资料!$I$8,0)="#N/A",[1]!s_stm_rpt_e(C9,基本资料!$I$8,0)="",[1]!s_stm_rpt_e(C9,基本资料!$I$8,0)=0),[1]!s_stm_rpt_e(C9,基本资料!$I$9,0),[1]!s_stm_rpt_e(C9,基本资料!$I$8,0)))</f>
        <v>2023-12-31</v>
      </c>
      <c r="G9" s="49" t="str">
        <f ca="1">IF(C9="","",[1]!s_stm_rpt_e(C9,F9,0))</f>
        <v>2023-12-31</v>
      </c>
      <c r="H9" s="49" t="str">
        <f ca="1">IF(C9="","",[1]!hks_info_cur2(C9,F9))</f>
        <v>CNY</v>
      </c>
      <c r="I9" s="57" t="str">
        <f ca="1">IF(C9="","",[1]!s_segment_product_item(C9,G9,1))</f>
        <v>房地产开发与经营业</v>
      </c>
      <c r="J9" s="23">
        <f ca="1">IF(C9="","",[1]!s_segment_product_sales1(C9,G9,1,H9,100000000))</f>
        <v>4297.4579463627006</v>
      </c>
      <c r="K9" s="23">
        <f ca="1">IF(C9="","",[1]!s_segment_product_cost1(C9,G9,1,H9,100000000))</f>
        <v>3635.1343358698</v>
      </c>
      <c r="L9" s="23">
        <f ca="1">IF(C9="","",[1]!s_segment_product_profit1(C9,G9,1,H9,100000000))</f>
        <v>662.3236104929</v>
      </c>
      <c r="M9" s="25">
        <f ca="1">IF(C9="","",[1]!s_segment_product_gpmargin(C9,G9,1))</f>
        <v>15.41198584743524</v>
      </c>
      <c r="N9" s="57" t="str">
        <f ca="1">IF(C9="","",[1]!s_segment_product_item(C9,G9,2))</f>
        <v>房地产管理业及其他</v>
      </c>
      <c r="O9" s="55">
        <f ca="1">IF(C9="","",[1]!s_segment_product_sales1(C9,G9,2,H9,100000000))</f>
        <v>294.27038790159997</v>
      </c>
      <c r="P9" s="55">
        <f ca="1">IF(C9="","",[1]!s_segment_product_cost1(C9,G9,2,H9,100000000))</f>
        <v>250.24654939490003</v>
      </c>
      <c r="Q9" s="55">
        <f ca="1">IF(C9="","",[1]!s_segment_product_profit1(C9,G9,2,H9,100000000))</f>
        <v>44.023838506700002</v>
      </c>
      <c r="R9" s="59">
        <f ca="1">IF(C9="","",[1]!s_segment_product_gpmargin(C9,G9,2))</f>
        <v>14.960335907607853</v>
      </c>
      <c r="S9" s="57" t="str">
        <f ca="1">IF(C9="","",[1]!s_segment_product_item(C9,G9,3))</f>
        <v>其他业务</v>
      </c>
      <c r="T9" s="55">
        <f ca="1">IF(C9="","",[1]!s_segment_product_sales1(C9,G9,3,H9,100000000))</f>
        <v>65.662432758000008</v>
      </c>
      <c r="U9" s="55">
        <f ca="1">IF(C9="","",[1]!s_segment_product_cost1(C9,G9,3,H9,100000000))</f>
        <v>62.457709913199999</v>
      </c>
      <c r="V9" s="55">
        <f ca="1">IF(C9="","",[1]!s_segment_product_profit1(C9,G9,3,H9,100000000))</f>
        <v>3.2047228448</v>
      </c>
      <c r="W9" s="59">
        <f ca="1">IF(C9="","",[1]!s_segment_product_gpmargin(C9,G9,3))</f>
        <v>4.8806032767793797</v>
      </c>
      <c r="X9" s="57">
        <f ca="1">IF(C9="","",[1]!s_segment_product_item(C9,G9,4))</f>
        <v>0</v>
      </c>
      <c r="Y9" s="55">
        <f ca="1">IF(C9="","",[1]!s_segment_product_sales1(C9,G9,4,H9,100000000))</f>
        <v>0</v>
      </c>
      <c r="Z9" s="55">
        <f ca="1">IF(C9="","",[1]!s_segment_product_cost1(C9,G9,4,H9,100000000))</f>
        <v>0</v>
      </c>
      <c r="AA9" s="55">
        <f ca="1">IF(C9="","",[1]!s_segment_product_profit1(C9,G9,4,H9,100000000))</f>
        <v>0</v>
      </c>
      <c r="AB9" s="59">
        <f ca="1">IF(C9="","",[1]!s_segment_product_gpmargin(C9,G9,4))</f>
        <v>0</v>
      </c>
      <c r="AC9" s="57">
        <f ca="1">IF(C9="","",[1]!s_segment_product_item(C9,G9,5))</f>
        <v>0</v>
      </c>
      <c r="AD9" s="55">
        <f ca="1">IF(C9="","",[1]!s_segment_product_sales1(C9,G9,5,H9,100000000))</f>
        <v>0</v>
      </c>
      <c r="AE9" s="55">
        <f ca="1">IF(C9="","",[1]!s_segment_product_cost1(C9,G9,5,H9,100000000))</f>
        <v>0</v>
      </c>
      <c r="AF9" s="55">
        <f ca="1">IF(C9="","",[1]!s_segment_product_profit1(C9,G9,5,H9,100000000))</f>
        <v>0</v>
      </c>
      <c r="AG9" s="56">
        <f ca="1">IF(C9="","",[1]!s_segment_product_gpmargin(C9,G9,5))</f>
        <v>0</v>
      </c>
      <c r="AH9" s="35"/>
    </row>
    <row r="10" spans="1:66" s="36" customFormat="1" ht="16.5" x14ac:dyDescent="0.2">
      <c r="A10" s="2"/>
      <c r="B10" s="6"/>
      <c r="C10" s="28" t="str">
        <f>IF(表1[[#This Row],[列1]]="","",表1[[#This Row],[列1]])</f>
        <v>002123.SZ</v>
      </c>
      <c r="D10" s="19" t="str">
        <f>IF(C10="","",[1]!hks_info_name(C10))</f>
        <v>梦网科技</v>
      </c>
      <c r="E10" s="19" t="str">
        <f ca="1">IF(C10="","",[1]!lastradeday_s(C10,TODAY()))</f>
        <v>2024-12-09</v>
      </c>
      <c r="F10" s="49" t="str">
        <f ca="1">IF(C10="","",IF(OR([1]!s_stm_rpt_e(C10,基本资料!$I$8,0)="#N/A",[1]!s_stm_rpt_e(C10,基本资料!$I$8,0)="",[1]!s_stm_rpt_e(C10,基本资料!$I$8,0)=0),[1]!s_stm_rpt_e(C10,基本资料!$I$9,0),[1]!s_stm_rpt_e(C10,基本资料!$I$8,0)))</f>
        <v>2023-12-31</v>
      </c>
      <c r="G10" s="49" t="str">
        <f ca="1">IF(C10="","",[1]!s_stm_rpt_e(C10,F10,0))</f>
        <v>2023-12-31</v>
      </c>
      <c r="H10" s="49" t="str">
        <f ca="1">IF(C10="","",[1]!hks_info_cur2(C10,F10))</f>
        <v>CNY</v>
      </c>
      <c r="I10" s="57" t="str">
        <f ca="1">IF(C10="","",[1]!s_segment_product_item(C10,G10,1))</f>
        <v>移动信息即时通讯服务收入</v>
      </c>
      <c r="J10" s="23">
        <f ca="1">IF(C10="","",[1]!s_segment_product_sales1(C10,G10,1,H10,100000000))</f>
        <v>48.122752941999998</v>
      </c>
      <c r="K10" s="23">
        <f ca="1">IF(C10="","",[1]!s_segment_product_cost1(C10,G10,1,H10,100000000))</f>
        <v>44.929383016899997</v>
      </c>
      <c r="L10" s="23">
        <f ca="1">IF(C10="","",[1]!s_segment_product_profit1(C10,G10,1,H10,100000000))</f>
        <v>3.1933699250999998</v>
      </c>
      <c r="M10" s="25">
        <f ca="1">IF(C10="","",[1]!s_segment_product_gpmargin(C10,G10,1))</f>
        <v>6.6358837137784175</v>
      </c>
      <c r="N10" s="57" t="str">
        <f ca="1">IF(C10="","",[1]!s_segment_product_item(C10,G10,2))</f>
        <v>其他云业务</v>
      </c>
      <c r="O10" s="55">
        <f ca="1">IF(C10="","",[1]!s_segment_product_sales1(C10,G10,2,H10,100000000))</f>
        <v>4.2210711058000001</v>
      </c>
      <c r="P10" s="55">
        <f ca="1">IF(C10="","",[1]!s_segment_product_cost1(C10,G10,2,H10,100000000))</f>
        <v>4.1285797425000004</v>
      </c>
      <c r="Q10" s="55">
        <f ca="1">IF(C10="","",[1]!s_segment_product_profit1(C10,G10,2,H10,100000000))</f>
        <v>9.2491363300000004E-2</v>
      </c>
      <c r="R10" s="59">
        <f ca="1">IF(C10="","",[1]!s_segment_product_gpmargin(C10,G10,2))</f>
        <v>2.1911823085119622</v>
      </c>
      <c r="S10" s="57">
        <f ca="1">IF(C10="","",[1]!s_segment_product_item(C10,G10,3))</f>
        <v>0</v>
      </c>
      <c r="T10" s="55">
        <f ca="1">IF(C10="","",[1]!s_segment_product_sales1(C10,G10,3,H10,100000000))</f>
        <v>0</v>
      </c>
      <c r="U10" s="55">
        <f ca="1">IF(C10="","",[1]!s_segment_product_cost1(C10,G10,3,H10,100000000))</f>
        <v>0</v>
      </c>
      <c r="V10" s="55">
        <f ca="1">IF(C10="","",[1]!s_segment_product_profit1(C10,G10,3,H10,100000000))</f>
        <v>0</v>
      </c>
      <c r="W10" s="59">
        <f ca="1">IF(C10="","",[1]!s_segment_product_gpmargin(C10,G10,3))</f>
        <v>0</v>
      </c>
      <c r="X10" s="57">
        <f ca="1">IF(C10="","",[1]!s_segment_product_item(C10,G10,4))</f>
        <v>0</v>
      </c>
      <c r="Y10" s="55">
        <f ca="1">IF(C10="","",[1]!s_segment_product_sales1(C10,G10,4,H10,100000000))</f>
        <v>0</v>
      </c>
      <c r="Z10" s="55">
        <f ca="1">IF(C10="","",[1]!s_segment_product_cost1(C10,G10,4,H10,100000000))</f>
        <v>0</v>
      </c>
      <c r="AA10" s="55">
        <f ca="1">IF(C10="","",[1]!s_segment_product_profit1(C10,G10,4,H10,100000000))</f>
        <v>0</v>
      </c>
      <c r="AB10" s="59">
        <f ca="1">IF(C10="","",[1]!s_segment_product_gpmargin(C10,G10,4))</f>
        <v>0</v>
      </c>
      <c r="AC10" s="57">
        <f ca="1">IF(C10="","",[1]!s_segment_product_item(C10,G10,5))</f>
        <v>0</v>
      </c>
      <c r="AD10" s="55">
        <f ca="1">IF(C10="","",[1]!s_segment_product_sales1(C10,G10,5,H10,100000000))</f>
        <v>0</v>
      </c>
      <c r="AE10" s="55">
        <f ca="1">IF(C10="","",[1]!s_segment_product_cost1(C10,G10,5,H10,100000000))</f>
        <v>0</v>
      </c>
      <c r="AF10" s="55">
        <f ca="1">IF(C10="","",[1]!s_segment_product_profit1(C10,G10,5,H10,100000000))</f>
        <v>0</v>
      </c>
      <c r="AG10" s="56">
        <f ca="1">IF(C10="","",[1]!s_segment_product_gpmargin(C10,G10,5))</f>
        <v>0</v>
      </c>
      <c r="AH10" s="35"/>
    </row>
    <row r="11" spans="1:66" s="36" customFormat="1" ht="16.5" x14ac:dyDescent="0.2">
      <c r="A11" s="2"/>
      <c r="B11" s="6"/>
      <c r="C11" s="28" t="str">
        <f>IF(表1[[#This Row],[列1]]="","",表1[[#This Row],[列1]])</f>
        <v>002230.SZ</v>
      </c>
      <c r="D11" s="19" t="str">
        <f>IF(C11="","",[1]!hks_info_name(C11))</f>
        <v>科大讯飞</v>
      </c>
      <c r="E11" s="19" t="str">
        <f ca="1">IF(C11="","",[1]!lastradeday_s(C11,TODAY()))</f>
        <v>2024-12-09</v>
      </c>
      <c r="F11" s="49" t="str">
        <f ca="1">IF(C11="","",IF(OR([1]!s_stm_rpt_e(C11,基本资料!$I$8,0)="#N/A",[1]!s_stm_rpt_e(C11,基本资料!$I$8,0)="",[1]!s_stm_rpt_e(C11,基本资料!$I$8,0)=0),[1]!s_stm_rpt_e(C11,基本资料!$I$9,0),[1]!s_stm_rpt_e(C11,基本资料!$I$8,0)))</f>
        <v>2023-12-31</v>
      </c>
      <c r="G11" s="49" t="str">
        <f ca="1">IF(C11="","",[1]!s_stm_rpt_e(C11,F11,0))</f>
        <v>2023-12-31</v>
      </c>
      <c r="H11" s="49" t="str">
        <f ca="1">IF(C11="","",[1]!hks_info_cur2(C11,F11))</f>
        <v>CNY</v>
      </c>
      <c r="I11" s="57" t="str">
        <f ca="1">IF(C11="","",[1]!s_segment_product_item(C11,G11,1))</f>
        <v>教育产品和服务</v>
      </c>
      <c r="J11" s="23">
        <f ca="1">IF(C11="","",[1]!s_segment_product_sales1(C11,G11,1,H11,100000000))</f>
        <v>55.637277104700004</v>
      </c>
      <c r="K11" s="23">
        <f ca="1">IF(C11="","",[1]!s_segment_product_cost1(C11,G11,1,H11,100000000))</f>
        <v>24.151095324699998</v>
      </c>
      <c r="L11" s="23">
        <f ca="1">IF(C11="","",[1]!s_segment_product_profit1(C11,G11,1,H11,100000000))</f>
        <v>31.486181779999999</v>
      </c>
      <c r="M11" s="25">
        <f ca="1">IF(C11="","",[1]!s_segment_product_gpmargin(C11,G11,1))</f>
        <v>56.591881232340512</v>
      </c>
      <c r="N11" s="57" t="str">
        <f ca="1">IF(C11="","",[1]!s_segment_product_item(C11,G11,2))</f>
        <v>开放平台</v>
      </c>
      <c r="O11" s="55">
        <f ca="1">IF(C11="","",[1]!s_segment_product_sales1(C11,G11,2,H11,100000000))</f>
        <v>39.381800935199998</v>
      </c>
      <c r="P11" s="55">
        <f ca="1">IF(C11="","",[1]!s_segment_product_cost1(C11,G11,2,H11,100000000))</f>
        <v>30.972086989800001</v>
      </c>
      <c r="Q11" s="55">
        <f ca="1">IF(C11="","",[1]!s_segment_product_profit1(C11,G11,2,H11,100000000))</f>
        <v>8.4097139454000001</v>
      </c>
      <c r="R11" s="59">
        <f ca="1">IF(C11="","",[1]!s_segment_product_gpmargin(C11,G11,2))</f>
        <v>21.354315307310593</v>
      </c>
      <c r="S11" s="57" t="str">
        <f ca="1">IF(C11="","",[1]!s_segment_product_item(C11,G11,3))</f>
        <v>运营商大数据</v>
      </c>
      <c r="T11" s="55">
        <f ca="1">IF(C11="","",[1]!s_segment_product_sales1(C11,G11,3,H11,100000000))</f>
        <v>20.962589985600001</v>
      </c>
      <c r="U11" s="55">
        <f ca="1">IF(C11="","",[1]!s_segment_product_cost1(C11,G11,3,H11,100000000))</f>
        <v>11.4520477429</v>
      </c>
      <c r="V11" s="55">
        <f ca="1">IF(C11="","",[1]!s_segment_product_profit1(C11,G11,3,H11,100000000))</f>
        <v>9.5105422426999997</v>
      </c>
      <c r="W11" s="59">
        <f ca="1">IF(C11="","",[1]!s_segment_product_gpmargin(C11,G11,3))</f>
        <v>45.369118268463737</v>
      </c>
      <c r="X11" s="57" t="str">
        <f ca="1">IF(C11="","",[1]!s_segment_product_item(C11,G11,4))</f>
        <v>信息工程</v>
      </c>
      <c r="Y11" s="55">
        <f ca="1">IF(C11="","",[1]!s_segment_product_sales1(C11,G11,4,H11,100000000))</f>
        <v>18.860510637299999</v>
      </c>
      <c r="Z11" s="55">
        <f ca="1">IF(C11="","",[1]!s_segment_product_cost1(C11,G11,4,H11,100000000))</f>
        <v>0</v>
      </c>
      <c r="AA11" s="55">
        <f ca="1">IF(C11="","",[1]!s_segment_product_profit1(C11,G11,4,H11,100000000))</f>
        <v>0</v>
      </c>
      <c r="AB11" s="59">
        <f ca="1">IF(C11="","",[1]!s_segment_product_gpmargin(C11,G11,4))</f>
        <v>0</v>
      </c>
      <c r="AC11" s="57" t="str">
        <f ca="1">IF(C11="","",[1]!s_segment_product_item(C11,G11,5))</f>
        <v>智能硬件产品</v>
      </c>
      <c r="AD11" s="55">
        <f ca="1">IF(C11="","",[1]!s_segment_product_sales1(C11,G11,5,H11,100000000))</f>
        <v>16.1729641037</v>
      </c>
      <c r="AE11" s="55">
        <f ca="1">IF(C11="","",[1]!s_segment_product_cost1(C11,G11,5,H11,100000000))</f>
        <v>0</v>
      </c>
      <c r="AF11" s="55">
        <f ca="1">IF(C11="","",[1]!s_segment_product_profit1(C11,G11,5,H11,100000000))</f>
        <v>0</v>
      </c>
      <c r="AG11" s="56">
        <f ca="1">IF(C11="","",[1]!s_segment_product_gpmargin(C11,G11,5))</f>
        <v>0</v>
      </c>
      <c r="AH11" s="35"/>
    </row>
    <row r="12" spans="1:66" s="36" customFormat="1" ht="16.5" x14ac:dyDescent="0.2">
      <c r="A12" s="2"/>
      <c r="B12" s="6"/>
      <c r="C12" s="28" t="str">
        <f>IF(表1[[#This Row],[列1]]="","",表1[[#This Row],[列1]])</f>
        <v>600004.SH</v>
      </c>
      <c r="D12" s="19" t="str">
        <f>IF(C12="","",[1]!hks_info_name(C12))</f>
        <v>白云机场</v>
      </c>
      <c r="E12" s="19" t="str">
        <f ca="1">IF(C12="","",[1]!lastradeday_s(C12,TODAY()))</f>
        <v>2024-12-09</v>
      </c>
      <c r="F12" s="49" t="str">
        <f ca="1">IF(C12="","",IF(OR([1]!s_stm_rpt_e(C12,基本资料!$I$8,0)="#N/A",[1]!s_stm_rpt_e(C12,基本资料!$I$8,0)="",[1]!s_stm_rpt_e(C12,基本资料!$I$8,0)=0),[1]!s_stm_rpt_e(C12,基本资料!$I$9,0),[1]!s_stm_rpt_e(C12,基本资料!$I$8,0)))</f>
        <v>2023-12-31</v>
      </c>
      <c r="G12" s="49" t="str">
        <f ca="1">IF(C12="","",[1]!s_stm_rpt_e(C12,F12,0))</f>
        <v>2023-12-31</v>
      </c>
      <c r="H12" s="49" t="str">
        <f ca="1">IF(C12="","",[1]!hks_info_cur2(C12,F12))</f>
        <v>CNY</v>
      </c>
      <c r="I12" s="57" t="str">
        <f ca="1">IF(C12="","",[1]!s_segment_product_item(C12,G12,1))</f>
        <v>航空服务</v>
      </c>
      <c r="J12" s="23">
        <f ca="1">IF(C12="","",[1]!s_segment_product_sales1(C12,G12,1,H12,100000000))</f>
        <v>56.892222326300001</v>
      </c>
      <c r="K12" s="23">
        <f ca="1">IF(C12="","",[1]!s_segment_product_cost1(C12,G12,1,H12,100000000))</f>
        <v>46.857510491199996</v>
      </c>
      <c r="L12" s="23">
        <f ca="1">IF(C12="","",[1]!s_segment_product_profit1(C12,G12,1,H12,100000000))</f>
        <v>10.0347118351</v>
      </c>
      <c r="M12" s="25">
        <f ca="1">IF(C12="","",[1]!s_segment_product_gpmargin(C12,G12,1))</f>
        <v>17.638108382454906</v>
      </c>
      <c r="N12" s="57" t="str">
        <f ca="1">IF(C12="","",[1]!s_segment_product_item(C12,G12,2))</f>
        <v>地勤服务</v>
      </c>
      <c r="O12" s="55">
        <f ca="1">IF(C12="","",[1]!s_segment_product_sales1(C12,G12,2,H12,100000000))</f>
        <v>5.4061718403999999</v>
      </c>
      <c r="P12" s="55">
        <f ca="1">IF(C12="","",[1]!s_segment_product_cost1(C12,G12,2,H12,100000000))</f>
        <v>4.3237992856999998</v>
      </c>
      <c r="Q12" s="55">
        <f ca="1">IF(C12="","",[1]!s_segment_product_profit1(C12,G12,2,H12,100000000))</f>
        <v>1.0823725547</v>
      </c>
      <c r="R12" s="59">
        <f ca="1">IF(C12="","",[1]!s_segment_product_gpmargin(C12,G12,2))</f>
        <v>20.02105346728889</v>
      </c>
      <c r="S12" s="57" t="str">
        <f ca="1">IF(C12="","",[1]!s_segment_product_item(C12,G12,3))</f>
        <v>广告业务收入</v>
      </c>
      <c r="T12" s="55">
        <f ca="1">IF(C12="","",[1]!s_segment_product_sales1(C12,G12,3,H12,100000000))</f>
        <v>5.1144182326999994</v>
      </c>
      <c r="U12" s="55">
        <f ca="1">IF(C12="","",[1]!s_segment_product_cost1(C12,G12,3,H12,100000000))</f>
        <v>4.4639389594000001</v>
      </c>
      <c r="V12" s="55">
        <f ca="1">IF(C12="","",[1]!s_segment_product_profit1(C12,G12,3,H12,100000000))</f>
        <v>0.65047927329999999</v>
      </c>
      <c r="W12" s="59">
        <f ca="1">IF(C12="","",[1]!s_segment_product_gpmargin(C12,G12,3))</f>
        <v>12.718538916919966</v>
      </c>
      <c r="X12" s="57" t="str">
        <f ca="1">IF(C12="","",[1]!s_segment_product_item(C12,G12,4))</f>
        <v>信息技术服务</v>
      </c>
      <c r="Y12" s="55">
        <f ca="1">IF(C12="","",[1]!s_segment_product_sales1(C12,G12,4,H12,100000000))</f>
        <v>3.6531447513999997</v>
      </c>
      <c r="Z12" s="55">
        <f ca="1">IF(C12="","",[1]!s_segment_product_cost1(C12,G12,4,H12,100000000))</f>
        <v>2.6954717979000002</v>
      </c>
      <c r="AA12" s="55">
        <f ca="1">IF(C12="","",[1]!s_segment_product_profit1(C12,G12,4,H12,100000000))</f>
        <v>0.95767295349999992</v>
      </c>
      <c r="AB12" s="59">
        <f ca="1">IF(C12="","",[1]!s_segment_product_gpmargin(C12,G12,4))</f>
        <v>26.215028931798813</v>
      </c>
      <c r="AC12" s="57" t="str">
        <f ca="1">IF(C12="","",[1]!s_segment_product_item(C12,G12,5))</f>
        <v>贵宾服务</v>
      </c>
      <c r="AD12" s="55">
        <f ca="1">IF(C12="","",[1]!s_segment_product_sales1(C12,G12,5,H12,100000000))</f>
        <v>3.4314301417000004</v>
      </c>
      <c r="AE12" s="55">
        <f ca="1">IF(C12="","",[1]!s_segment_product_cost1(C12,G12,5,H12,100000000))</f>
        <v>2.7769172901999997</v>
      </c>
      <c r="AF12" s="55">
        <f ca="1">IF(C12="","",[1]!s_segment_product_profit1(C12,G12,5,H12,100000000))</f>
        <v>0.65451285149999994</v>
      </c>
      <c r="AG12" s="56">
        <f ca="1">IF(C12="","",[1]!s_segment_product_gpmargin(C12,G12,5))</f>
        <v>19.074054387589584</v>
      </c>
      <c r="AH12" s="35"/>
    </row>
    <row r="13" spans="1:66" s="36" customFormat="1" ht="16.5" x14ac:dyDescent="0.2">
      <c r="A13" s="2"/>
      <c r="B13" s="6"/>
      <c r="C13" s="28" t="str">
        <f>IF(表1[[#This Row],[列1]]="","",表1[[#This Row],[列1]])</f>
        <v>600006.SH</v>
      </c>
      <c r="D13" s="19" t="str">
        <f>IF(C13="","",[1]!hks_info_name(C13))</f>
        <v>东风股份</v>
      </c>
      <c r="E13" s="19" t="str">
        <f ca="1">IF(C13="","",[1]!lastradeday_s(C13,TODAY()))</f>
        <v>2024-12-09</v>
      </c>
      <c r="F13" s="49" t="str">
        <f ca="1">IF(C13="","",IF(OR([1]!s_stm_rpt_e(C13,基本资料!$I$8,0)="#N/A",[1]!s_stm_rpt_e(C13,基本资料!$I$8,0)="",[1]!s_stm_rpt_e(C13,基本资料!$I$8,0)=0),[1]!s_stm_rpt_e(C13,基本资料!$I$9,0),[1]!s_stm_rpt_e(C13,基本资料!$I$8,0)))</f>
        <v>2023-12-31</v>
      </c>
      <c r="G13" s="49" t="str">
        <f ca="1">IF(C13="","",[1]!s_stm_rpt_e(C13,F13,0))</f>
        <v>2023-12-31</v>
      </c>
      <c r="H13" s="49" t="str">
        <f ca="1">IF(C13="","",[1]!hks_info_cur2(C13,F13))</f>
        <v>CNY</v>
      </c>
      <c r="I13" s="57" t="str">
        <f ca="1">IF(C13="","",[1]!s_segment_product_item(C13,G13,1))</f>
        <v>轻型商用车</v>
      </c>
      <c r="J13" s="23">
        <f ca="1">IF(C13="","",[1]!s_segment_product_sales1(C13,G13,1,H13,100000000))</f>
        <v>100.90087369290001</v>
      </c>
      <c r="K13" s="23">
        <f ca="1">IF(C13="","",[1]!s_segment_product_cost1(C13,G13,1,H13,100000000))</f>
        <v>97.674206475599988</v>
      </c>
      <c r="L13" s="23">
        <f ca="1">IF(C13="","",[1]!s_segment_product_profit1(C13,G13,1,H13,100000000))</f>
        <v>3.2266672173000002</v>
      </c>
      <c r="M13" s="25">
        <f ca="1">IF(C13="","",[1]!s_segment_product_gpmargin(C13,G13,1))</f>
        <v>3.1978585508789923</v>
      </c>
      <c r="N13" s="57" t="str">
        <f ca="1">IF(C13="","",[1]!s_segment_product_item(C13,G13,2))</f>
        <v>其他</v>
      </c>
      <c r="O13" s="55">
        <f ca="1">IF(C13="","",[1]!s_segment_product_sales1(C13,G13,2,H13,100000000))</f>
        <v>10.141547661699999</v>
      </c>
      <c r="P13" s="55">
        <f ca="1">IF(C13="","",[1]!s_segment_product_cost1(C13,G13,2,H13,100000000))</f>
        <v>8.5712802873000005</v>
      </c>
      <c r="Q13" s="55">
        <f ca="1">IF(C13="","",[1]!s_segment_product_profit1(C13,G13,2,H13,100000000))</f>
        <v>1.5702673744</v>
      </c>
      <c r="R13" s="59">
        <f ca="1">IF(C13="","",[1]!s_segment_product_gpmargin(C13,G13,2))</f>
        <v>15.483508304459123</v>
      </c>
      <c r="S13" s="57" t="str">
        <f ca="1">IF(C13="","",[1]!s_segment_product_item(C13,G13,3))</f>
        <v>客车及底盘</v>
      </c>
      <c r="T13" s="55">
        <f ca="1">IF(C13="","",[1]!s_segment_product_sales1(C13,G13,3,H13,100000000))</f>
        <v>8.4165568891999989</v>
      </c>
      <c r="U13" s="55">
        <f ca="1">IF(C13="","",[1]!s_segment_product_cost1(C13,G13,3,H13,100000000))</f>
        <v>8.3234604006000001</v>
      </c>
      <c r="V13" s="55">
        <f ca="1">IF(C13="","",[1]!s_segment_product_profit1(C13,G13,3,H13,100000000))</f>
        <v>9.3096488599999999E-2</v>
      </c>
      <c r="W13" s="59">
        <f ca="1">IF(C13="","",[1]!s_segment_product_gpmargin(C13,G13,3))</f>
        <v>1.1061113211206375</v>
      </c>
      <c r="X13" s="57" t="str">
        <f ca="1">IF(C13="","",[1]!s_segment_product_item(C13,G13,4))</f>
        <v>其他业务</v>
      </c>
      <c r="Y13" s="55">
        <f ca="1">IF(C13="","",[1]!s_segment_product_sales1(C13,G13,4,H13,100000000))</f>
        <v>1.2408941120000001</v>
      </c>
      <c r="Z13" s="55">
        <f ca="1">IF(C13="","",[1]!s_segment_product_cost1(C13,G13,4,H13,100000000))</f>
        <v>0.98668328900000002</v>
      </c>
      <c r="AA13" s="55">
        <f ca="1">IF(C13="","",[1]!s_segment_product_profit1(C13,G13,4,H13,100000000))</f>
        <v>0.25421082300000003</v>
      </c>
      <c r="AB13" s="59">
        <f ca="1">IF(C13="","",[1]!s_segment_product_gpmargin(C13,G13,4))</f>
        <v>20.48610115413296</v>
      </c>
      <c r="AC13" s="57">
        <f ca="1">IF(C13="","",[1]!s_segment_product_item(C13,G13,5))</f>
        <v>0</v>
      </c>
      <c r="AD13" s="55">
        <f ca="1">IF(C13="","",[1]!s_segment_product_sales1(C13,G13,5,H13,100000000))</f>
        <v>0</v>
      </c>
      <c r="AE13" s="55">
        <f ca="1">IF(C13="","",[1]!s_segment_product_cost1(C13,G13,5,H13,100000000))</f>
        <v>0</v>
      </c>
      <c r="AF13" s="55">
        <f ca="1">IF(C13="","",[1]!s_segment_product_profit1(C13,G13,5,H13,100000000))</f>
        <v>0</v>
      </c>
      <c r="AG13" s="56">
        <f ca="1">IF(C13="","",[1]!s_segment_product_gpmargin(C13,G13,5))</f>
        <v>0</v>
      </c>
      <c r="AH13" s="35"/>
    </row>
    <row r="14" spans="1:66" s="36" customFormat="1" ht="16.5" x14ac:dyDescent="0.2">
      <c r="A14" s="2"/>
      <c r="B14" s="6"/>
      <c r="C14" s="28" t="str">
        <f>IF(表1[[#This Row],[列1]]="","",表1[[#This Row],[列1]])</f>
        <v>600007.SH</v>
      </c>
      <c r="D14" s="19" t="str">
        <f>IF(C14="","",[1]!hks_info_name(C14))</f>
        <v>中国国贸</v>
      </c>
      <c r="E14" s="19" t="str">
        <f ca="1">IF(C14="","",[1]!lastradeday_s(C14,TODAY()))</f>
        <v>2024-12-09</v>
      </c>
      <c r="F14" s="49" t="str">
        <f ca="1">IF(C14="","",IF(OR([1]!s_stm_rpt_e(C14,基本资料!$I$8,0)="#N/A",[1]!s_stm_rpt_e(C14,基本资料!$I$8,0)="",[1]!s_stm_rpt_e(C14,基本资料!$I$8,0)=0),[1]!s_stm_rpt_e(C14,基本资料!$I$9,0),[1]!s_stm_rpt_e(C14,基本资料!$I$8,0)))</f>
        <v>2023-12-31</v>
      </c>
      <c r="G14" s="49" t="str">
        <f ca="1">IF(C14="","",[1]!s_stm_rpt_e(C14,F14,0))</f>
        <v>2023-12-31</v>
      </c>
      <c r="H14" s="49" t="str">
        <f ca="1">IF(C14="","",[1]!hks_info_cur2(C14,F14))</f>
        <v>CNY</v>
      </c>
      <c r="I14" s="57" t="str">
        <f ca="1">IF(C14="","",[1]!s_segment_product_item(C14,G14,1))</f>
        <v>写字楼</v>
      </c>
      <c r="J14" s="23">
        <f ca="1">IF(C14="","",[1]!s_segment_product_sales1(C14,G14,1,H14,100000000))</f>
        <v>15.60574173</v>
      </c>
      <c r="K14" s="23">
        <f ca="1">IF(C14="","",[1]!s_segment_product_cost1(C14,G14,1,H14,100000000))</f>
        <v>0</v>
      </c>
      <c r="L14" s="23">
        <f ca="1">IF(C14="","",[1]!s_segment_product_profit1(C14,G14,1,H14,100000000))</f>
        <v>0</v>
      </c>
      <c r="M14" s="25">
        <f ca="1">IF(C14="","",[1]!s_segment_product_gpmargin(C14,G14,1))</f>
        <v>0</v>
      </c>
      <c r="N14" s="57" t="str">
        <f ca="1">IF(C14="","",[1]!s_segment_product_item(C14,G14,2))</f>
        <v>商场</v>
      </c>
      <c r="O14" s="55">
        <f ca="1">IF(C14="","",[1]!s_segment_product_sales1(C14,G14,2,H14,100000000))</f>
        <v>12.7513307</v>
      </c>
      <c r="P14" s="55">
        <f ca="1">IF(C14="","",[1]!s_segment_product_cost1(C14,G14,2,H14,100000000))</f>
        <v>0</v>
      </c>
      <c r="Q14" s="55">
        <f ca="1">IF(C14="","",[1]!s_segment_product_profit1(C14,G14,2,H14,100000000))</f>
        <v>0</v>
      </c>
      <c r="R14" s="59">
        <f ca="1">IF(C14="","",[1]!s_segment_product_gpmargin(C14,G14,2))</f>
        <v>0</v>
      </c>
      <c r="S14" s="57" t="str">
        <f ca="1">IF(C14="","",[1]!s_segment_product_item(C14,G14,3))</f>
        <v>酒店经营</v>
      </c>
      <c r="T14" s="55">
        <f ca="1">IF(C14="","",[1]!s_segment_product_sales1(C14,G14,3,H14,100000000))</f>
        <v>5.6900407</v>
      </c>
      <c r="U14" s="55">
        <f ca="1">IF(C14="","",[1]!s_segment_product_cost1(C14,G14,3,H14,100000000))</f>
        <v>0</v>
      </c>
      <c r="V14" s="55">
        <f ca="1">IF(C14="","",[1]!s_segment_product_profit1(C14,G14,3,H14,100000000))</f>
        <v>0</v>
      </c>
      <c r="W14" s="59">
        <f ca="1">IF(C14="","",[1]!s_segment_product_gpmargin(C14,G14,3))</f>
        <v>0</v>
      </c>
      <c r="X14" s="57" t="str">
        <f ca="1">IF(C14="","",[1]!s_segment_product_item(C14,G14,4))</f>
        <v>其他</v>
      </c>
      <c r="Y14" s="55">
        <f ca="1">IF(C14="","",[1]!s_segment_product_sales1(C14,G14,4,H14,100000000))</f>
        <v>3.65639782</v>
      </c>
      <c r="Z14" s="55">
        <f ca="1">IF(C14="","",[1]!s_segment_product_cost1(C14,G14,4,H14,100000000))</f>
        <v>0</v>
      </c>
      <c r="AA14" s="55">
        <f ca="1">IF(C14="","",[1]!s_segment_product_profit1(C14,G14,4,H14,100000000))</f>
        <v>0</v>
      </c>
      <c r="AB14" s="59">
        <f ca="1">IF(C14="","",[1]!s_segment_product_gpmargin(C14,G14,4))</f>
        <v>0</v>
      </c>
      <c r="AC14" s="57" t="str">
        <f ca="1">IF(C14="","",[1]!s_segment_product_item(C14,G14,5))</f>
        <v>公寓</v>
      </c>
      <c r="AD14" s="55">
        <f ca="1">IF(C14="","",[1]!s_segment_product_sales1(C14,G14,5,H14,100000000))</f>
        <v>1.8341077800000001</v>
      </c>
      <c r="AE14" s="55">
        <f ca="1">IF(C14="","",[1]!s_segment_product_cost1(C14,G14,5,H14,100000000))</f>
        <v>0</v>
      </c>
      <c r="AF14" s="55">
        <f ca="1">IF(C14="","",[1]!s_segment_product_profit1(C14,G14,5,H14,100000000))</f>
        <v>0</v>
      </c>
      <c r="AG14" s="56">
        <f ca="1">IF(C14="","",[1]!s_segment_product_gpmargin(C14,G14,5))</f>
        <v>0</v>
      </c>
      <c r="AH14" s="35"/>
    </row>
    <row r="15" spans="1:66" s="36" customFormat="1" ht="16.5" x14ac:dyDescent="0.2">
      <c r="A15" s="2"/>
      <c r="B15" s="6"/>
      <c r="C15" s="28" t="str">
        <f>IF(表1[[#This Row],[列1]]="","",表1[[#This Row],[列1]])</f>
        <v>600941.SH</v>
      </c>
      <c r="D15" s="19" t="str">
        <f>IF(C15="","",[1]!hks_info_name(C15))</f>
        <v>中国移动</v>
      </c>
      <c r="E15" s="19" t="str">
        <f ca="1">IF(C15="","",[1]!lastradeday_s(C15,TODAY()))</f>
        <v>2024-12-09</v>
      </c>
      <c r="F15" s="49" t="str">
        <f ca="1">IF(C15="","",IF(OR([1]!s_stm_rpt_e(C15,基本资料!$I$8,0)="#N/A",[1]!s_stm_rpt_e(C15,基本资料!$I$8,0)="",[1]!s_stm_rpt_e(C15,基本资料!$I$8,0)=0),[1]!s_stm_rpt_e(C15,基本资料!$I$9,0),[1]!s_stm_rpt_e(C15,基本资料!$I$8,0)))</f>
        <v>2023-12-31</v>
      </c>
      <c r="G15" s="49" t="str">
        <f ca="1">IF(C15="","",[1]!s_stm_rpt_e(C15,F15,0))</f>
        <v>2023-12-31</v>
      </c>
      <c r="H15" s="49" t="str">
        <f ca="1">IF(C15="","",[1]!hks_info_cur2(C15,F15))</f>
        <v>CNY</v>
      </c>
      <c r="I15" s="57" t="str">
        <f ca="1">IF(C15="","",[1]!s_segment_product_item(C15,G15,1))</f>
        <v>无线上网业务</v>
      </c>
      <c r="J15" s="23">
        <f ca="1">IF(C15="","",[1]!s_segment_product_sales1(C15,G15,1,H15,100000000))</f>
        <v>3947.97</v>
      </c>
      <c r="K15" s="23">
        <f ca="1">IF(C15="","",[1]!s_segment_product_cost1(C15,G15,1,H15,100000000))</f>
        <v>0</v>
      </c>
      <c r="L15" s="23">
        <f ca="1">IF(C15="","",[1]!s_segment_product_profit1(C15,G15,1,H15,100000000))</f>
        <v>0</v>
      </c>
      <c r="M15" s="25">
        <f ca="1">IF(C15="","",[1]!s_segment_product_gpmargin(C15,G15,1))</f>
        <v>0</v>
      </c>
      <c r="N15" s="57" t="str">
        <f ca="1">IF(C15="","",[1]!s_segment_product_item(C15,G15,2))</f>
        <v>应用及信息服务</v>
      </c>
      <c r="O15" s="55">
        <f ca="1">IF(C15="","",[1]!s_segment_product_sales1(C15,G15,2,H15,100000000))</f>
        <v>2216.42</v>
      </c>
      <c r="P15" s="55">
        <f ca="1">IF(C15="","",[1]!s_segment_product_cost1(C15,G15,2,H15,100000000))</f>
        <v>0</v>
      </c>
      <c r="Q15" s="55">
        <f ca="1">IF(C15="","",[1]!s_segment_product_profit1(C15,G15,2,H15,100000000))</f>
        <v>0</v>
      </c>
      <c r="R15" s="59">
        <f ca="1">IF(C15="","",[1]!s_segment_product_gpmargin(C15,G15,2))</f>
        <v>0</v>
      </c>
      <c r="S15" s="57" t="str">
        <f ca="1">IF(C15="","",[1]!s_segment_product_item(C15,G15,3))</f>
        <v>其他业务</v>
      </c>
      <c r="T15" s="55">
        <f ca="1">IF(C15="","",[1]!s_segment_product_sales1(C15,G15,3,H15,100000000))</f>
        <v>1457.95</v>
      </c>
      <c r="U15" s="55">
        <f ca="1">IF(C15="","",[1]!s_segment_product_cost1(C15,G15,3,H15,100000000))</f>
        <v>0</v>
      </c>
      <c r="V15" s="55">
        <f ca="1">IF(C15="","",[1]!s_segment_product_profit1(C15,G15,3,H15,100000000))</f>
        <v>0</v>
      </c>
      <c r="W15" s="59">
        <f ca="1">IF(C15="","",[1]!s_segment_product_gpmargin(C15,G15,3))</f>
        <v>0</v>
      </c>
      <c r="X15" s="57" t="str">
        <f ca="1">IF(C15="","",[1]!s_segment_product_item(C15,G15,4))</f>
        <v>有线宽带业务</v>
      </c>
      <c r="Y15" s="55">
        <f ca="1">IF(C15="","",[1]!s_segment_product_sales1(C15,G15,4,H15,100000000))</f>
        <v>1187.68</v>
      </c>
      <c r="Z15" s="55">
        <f ca="1">IF(C15="","",[1]!s_segment_product_cost1(C15,G15,4,H15,100000000))</f>
        <v>0</v>
      </c>
      <c r="AA15" s="55">
        <f ca="1">IF(C15="","",[1]!s_segment_product_profit1(C15,G15,4,H15,100000000))</f>
        <v>0</v>
      </c>
      <c r="AB15" s="59">
        <f ca="1">IF(C15="","",[1]!s_segment_product_gpmargin(C15,G15,4))</f>
        <v>0</v>
      </c>
      <c r="AC15" s="57" t="str">
        <f ca="1">IF(C15="","",[1]!s_segment_product_item(C15,G15,5))</f>
        <v>语音业务</v>
      </c>
      <c r="AD15" s="55">
        <f ca="1">IF(C15="","",[1]!s_segment_product_sales1(C15,G15,5,H15,100000000))</f>
        <v>722.58</v>
      </c>
      <c r="AE15" s="55">
        <f ca="1">IF(C15="","",[1]!s_segment_product_cost1(C15,G15,5,H15,100000000))</f>
        <v>0</v>
      </c>
      <c r="AF15" s="55">
        <f ca="1">IF(C15="","",[1]!s_segment_product_profit1(C15,G15,5,H15,100000000))</f>
        <v>0</v>
      </c>
      <c r="AG15" s="56">
        <f ca="1">IF(C15="","",[1]!s_segment_product_gpmargin(C15,G15,5))</f>
        <v>0</v>
      </c>
      <c r="AH15" s="35"/>
    </row>
    <row r="16" spans="1:66" s="36" customFormat="1" ht="16.5" x14ac:dyDescent="0.2">
      <c r="A16" s="2"/>
      <c r="B16" s="6"/>
      <c r="C16" s="28" t="str">
        <f>IF(表1[[#This Row],[列1]]="","",表1[[#This Row],[列1]])</f>
        <v>603160.SH</v>
      </c>
      <c r="D16" s="19" t="str">
        <f>IF(C16="","",[1]!hks_info_name(C16))</f>
        <v>汇顶科技</v>
      </c>
      <c r="E16" s="19" t="str">
        <f ca="1">IF(C16="","",[1]!lastradeday_s(C16,TODAY()))</f>
        <v>2024-12-09</v>
      </c>
      <c r="F16" s="49" t="str">
        <f ca="1">IF(C16="","",IF(OR([1]!s_stm_rpt_e(C16,基本资料!$I$8,0)="#N/A",[1]!s_stm_rpt_e(C16,基本资料!$I$8,0)="",[1]!s_stm_rpt_e(C16,基本资料!$I$8,0)=0),[1]!s_stm_rpt_e(C16,基本资料!$I$9,0),[1]!s_stm_rpt_e(C16,基本资料!$I$8,0)))</f>
        <v>2023-12-31</v>
      </c>
      <c r="G16" s="49" t="str">
        <f ca="1">IF(C16="","",[1]!s_stm_rpt_e(C16,F16,0))</f>
        <v>2023-12-31</v>
      </c>
      <c r="H16" s="49" t="str">
        <f ca="1">IF(C16="","",[1]!hks_info_cur2(C16,F16))</f>
        <v>CNY</v>
      </c>
      <c r="I16" s="57" t="str">
        <f ca="1">IF(C16="","",[1]!s_segment_product_item(C16,G16,1))</f>
        <v>指纹识别芯片</v>
      </c>
      <c r="J16" s="23">
        <f ca="1">IF(C16="","",[1]!s_segment_product_sales1(C16,G16,1,H16,100000000))</f>
        <v>18.896064211600002</v>
      </c>
      <c r="K16" s="23">
        <f ca="1">IF(C16="","",[1]!s_segment_product_cost1(C16,G16,1,H16,100000000))</f>
        <v>12.9551980909</v>
      </c>
      <c r="L16" s="23">
        <f ca="1">IF(C16="","",[1]!s_segment_product_profit1(C16,G16,1,H16,100000000))</f>
        <v>5.9408661207000009</v>
      </c>
      <c r="M16" s="25">
        <f ca="1">IF(C16="","",[1]!s_segment_product_gpmargin(C16,G16,1))</f>
        <v>31.439701168315231</v>
      </c>
      <c r="N16" s="57" t="str">
        <f ca="1">IF(C16="","",[1]!s_segment_product_item(C16,G16,2))</f>
        <v>电容触控芯片</v>
      </c>
      <c r="O16" s="55">
        <f ca="1">IF(C16="","",[1]!s_segment_product_sales1(C16,G16,2,H16,100000000))</f>
        <v>15.1354679155</v>
      </c>
      <c r="P16" s="55">
        <f ca="1">IF(C16="","",[1]!s_segment_product_cost1(C16,G16,2,H16,100000000))</f>
        <v>7.2945241565999996</v>
      </c>
      <c r="Q16" s="55">
        <f ca="1">IF(C16="","",[1]!s_segment_product_profit1(C16,G16,2,H16,100000000))</f>
        <v>7.8409437588999999</v>
      </c>
      <c r="R16" s="59">
        <f ca="1">IF(C16="","",[1]!s_segment_product_gpmargin(C16,G16,2))</f>
        <v>51.805096497018177</v>
      </c>
      <c r="S16" s="57" t="str">
        <f ca="1">IF(C16="","",[1]!s_segment_product_item(C16,G16,3))</f>
        <v>其他芯片</v>
      </c>
      <c r="T16" s="55">
        <f ca="1">IF(C16="","",[1]!s_segment_product_sales1(C16,G16,3,H16,100000000))</f>
        <v>8.5982330780999998</v>
      </c>
      <c r="U16" s="55">
        <f ca="1">IF(C16="","",[1]!s_segment_product_cost1(C16,G16,3,H16,100000000))</f>
        <v>4.7209690148000005</v>
      </c>
      <c r="V16" s="55">
        <f ca="1">IF(C16="","",[1]!s_segment_product_profit1(C16,G16,3,H16,100000000))</f>
        <v>3.8772640632999997</v>
      </c>
      <c r="W16" s="59">
        <f ca="1">IF(C16="","",[1]!s_segment_product_gpmargin(C16,G16,3))</f>
        <v>45.09373063141922</v>
      </c>
      <c r="X16" s="57" t="str">
        <f ca="1">IF(C16="","",[1]!s_segment_product_item(C16,G16,4))</f>
        <v>其他业务</v>
      </c>
      <c r="Y16" s="55">
        <f ca="1">IF(C16="","",[1]!s_segment_product_sales1(C16,G16,4,H16,100000000))</f>
        <v>1.4507579975</v>
      </c>
      <c r="Z16" s="55">
        <f ca="1">IF(C16="","",[1]!s_segment_product_cost1(C16,G16,4,H16,100000000))</f>
        <v>1.2731681543</v>
      </c>
      <c r="AA16" s="55">
        <f ca="1">IF(C16="","",[1]!s_segment_product_profit1(C16,G16,4,H16,100000000))</f>
        <v>0.17758984320000001</v>
      </c>
      <c r="AB16" s="59">
        <f ca="1">IF(C16="","",[1]!s_segment_product_gpmargin(C16,G16,4))</f>
        <v>12.241176233805316</v>
      </c>
      <c r="AC16" s="57">
        <f ca="1">IF(C16="","",[1]!s_segment_product_item(C16,G16,5))</f>
        <v>0</v>
      </c>
      <c r="AD16" s="55">
        <f ca="1">IF(C16="","",[1]!s_segment_product_sales1(C16,G16,5,H16,100000000))</f>
        <v>0</v>
      </c>
      <c r="AE16" s="55">
        <f ca="1">IF(C16="","",[1]!s_segment_product_cost1(C16,G16,5,H16,100000000))</f>
        <v>0</v>
      </c>
      <c r="AF16" s="55">
        <f ca="1">IF(C16="","",[1]!s_segment_product_profit1(C16,G16,5,H16,100000000))</f>
        <v>0</v>
      </c>
      <c r="AG16" s="56">
        <f ca="1">IF(C16="","",[1]!s_segment_product_gpmargin(C16,G16,5))</f>
        <v>0</v>
      </c>
      <c r="AH16" s="35"/>
    </row>
    <row r="17" spans="1:34" s="36" customFormat="1" ht="16.5" x14ac:dyDescent="0.2">
      <c r="A17" s="2"/>
      <c r="B17" s="6"/>
      <c r="C17" s="28" t="str">
        <f>IF(表1[[#This Row],[列1]]="","",表1[[#This Row],[列1]])</f>
        <v>688111.SH</v>
      </c>
      <c r="D17" s="19" t="str">
        <f>IF(C17="","",[1]!hks_info_name(C17))</f>
        <v>金山办公</v>
      </c>
      <c r="E17" s="19" t="str">
        <f ca="1">IF(C17="","",[1]!lastradeday_s(C17,TODAY()))</f>
        <v>2024-12-09</v>
      </c>
      <c r="F17" s="49" t="str">
        <f ca="1">IF(C17="","",IF(OR([1]!s_stm_rpt_e(C17,基本资料!$I$8,0)="#N/A",[1]!s_stm_rpt_e(C17,基本资料!$I$8,0)="",[1]!s_stm_rpt_e(C17,基本资料!$I$8,0)=0),[1]!s_stm_rpt_e(C17,基本资料!$I$9,0),[1]!s_stm_rpt_e(C17,基本资料!$I$8,0)))</f>
        <v>2023-12-31</v>
      </c>
      <c r="G17" s="49" t="str">
        <f ca="1">IF(C17="","",[1]!s_stm_rpt_e(C17,F17,0))</f>
        <v>2023-12-31</v>
      </c>
      <c r="H17" s="49" t="str">
        <f ca="1">IF(C17="","",[1]!hks_info_cur2(C17,F17))</f>
        <v>CNY</v>
      </c>
      <c r="I17" s="57" t="str">
        <f ca="1">IF(C17="","",[1]!s_segment_product_item(C17,G17,1))</f>
        <v>个人客户订阅</v>
      </c>
      <c r="J17" s="23">
        <f ca="1">IF(C17="","",[1]!s_segment_product_sales1(C17,G17,1,H17,100000000))</f>
        <v>26.533477659000003</v>
      </c>
      <c r="K17" s="23">
        <f ca="1">IF(C17="","",[1]!s_segment_product_cost1(C17,G17,1,H17,100000000))</f>
        <v>4.9102611324999996</v>
      </c>
      <c r="L17" s="23">
        <f ca="1">IF(C17="","",[1]!s_segment_product_profit1(C17,G17,1,H17,100000000))</f>
        <v>21.623216526500002</v>
      </c>
      <c r="M17" s="25">
        <f ca="1">IF(C17="","",[1]!s_segment_product_gpmargin(C17,G17,1))</f>
        <v>81.494091367874404</v>
      </c>
      <c r="N17" s="57" t="str">
        <f ca="1">IF(C17="","",[1]!s_segment_product_item(C17,G17,2))</f>
        <v>机构客户订阅</v>
      </c>
      <c r="O17" s="55">
        <f ca="1">IF(C17="","",[1]!s_segment_product_sales1(C17,G17,2,H17,100000000))</f>
        <v>9.5743487873999999</v>
      </c>
      <c r="P17" s="55">
        <f ca="1">IF(C17="","",[1]!s_segment_product_cost1(C17,G17,2,H17,100000000))</f>
        <v>0.69896549599999991</v>
      </c>
      <c r="Q17" s="55">
        <f ca="1">IF(C17="","",[1]!s_segment_product_profit1(C17,G17,2,H17,100000000))</f>
        <v>8.8753832914000004</v>
      </c>
      <c r="R17" s="59">
        <f ca="1">IF(C17="","",[1]!s_segment_product_gpmargin(C17,G17,2))</f>
        <v>92.699602745621192</v>
      </c>
      <c r="S17" s="57" t="str">
        <f ca="1">IF(C17="","",[1]!s_segment_product_item(C17,G17,3))</f>
        <v>办公软件产品使用授权</v>
      </c>
      <c r="T17" s="55">
        <f ca="1">IF(C17="","",[1]!s_segment_product_sales1(C17,G17,3,H17,100000000))</f>
        <v>6.5514520046000007</v>
      </c>
      <c r="U17" s="55">
        <f ca="1">IF(C17="","",[1]!s_segment_product_cost1(C17,G17,3,H17,100000000))</f>
        <v>0.45043823459999999</v>
      </c>
      <c r="V17" s="55">
        <f ca="1">IF(C17="","",[1]!s_segment_product_profit1(C17,G17,3,H17,100000000))</f>
        <v>6.1010137699999998</v>
      </c>
      <c r="W17" s="59">
        <f ca="1">IF(C17="","",[1]!s_segment_product_gpmargin(C17,G17,3))</f>
        <v>93.124604526084724</v>
      </c>
      <c r="X17" s="57" t="str">
        <f ca="1">IF(C17="","",[1]!s_segment_product_item(C17,G17,4))</f>
        <v>互联网广告推广服务及其他业务</v>
      </c>
      <c r="Y17" s="55">
        <f ca="1">IF(C17="","",[1]!s_segment_product_sales1(C17,G17,4,H17,100000000))</f>
        <v>2.9004044229000003</v>
      </c>
      <c r="Z17" s="55">
        <f ca="1">IF(C17="","",[1]!s_segment_product_cost1(C17,G17,4,H17,100000000))</f>
        <v>0.63873652869999997</v>
      </c>
      <c r="AA17" s="55">
        <f ca="1">IF(C17="","",[1]!s_segment_product_profit1(C17,G17,4,H17,100000000))</f>
        <v>2.2616678941999999</v>
      </c>
      <c r="AB17" s="59">
        <f ca="1">IF(C17="","",[1]!s_segment_product_gpmargin(C17,G17,4))</f>
        <v>77.977673607966963</v>
      </c>
      <c r="AC17" s="57">
        <f ca="1">IF(C17="","",[1]!s_segment_product_item(C17,G17,5))</f>
        <v>0</v>
      </c>
      <c r="AD17" s="55">
        <f ca="1">IF(C17="","",[1]!s_segment_product_sales1(C17,G17,5,H17,100000000))</f>
        <v>0</v>
      </c>
      <c r="AE17" s="55">
        <f ca="1">IF(C17="","",[1]!s_segment_product_cost1(C17,G17,5,H17,100000000))</f>
        <v>0</v>
      </c>
      <c r="AF17" s="55">
        <f ca="1">IF(C17="","",[1]!s_segment_product_profit1(C17,G17,5,H17,100000000))</f>
        <v>0</v>
      </c>
      <c r="AG17" s="56">
        <f ca="1">IF(C17="","",[1]!s_segment_product_gpmargin(C17,G17,5))</f>
        <v>0</v>
      </c>
      <c r="AH17" s="35"/>
    </row>
    <row r="18" spans="1:34" s="36" customFormat="1" ht="16.5" x14ac:dyDescent="0.2">
      <c r="A18" s="2"/>
      <c r="B18" s="6"/>
      <c r="C18" s="28" t="str">
        <f>IF(表1[[#This Row],[列1]]="","",表1[[#This Row],[列1]])</f>
        <v>0700.HK</v>
      </c>
      <c r="D18" s="19" t="str">
        <f>IF(C18="","",[1]!hks_info_name(C18))</f>
        <v>腾讯控股</v>
      </c>
      <c r="E18" s="19" t="str">
        <f ca="1">IF(C18="","",[1]!lastradeday_s(C18,TODAY()))</f>
        <v>2024-12-06</v>
      </c>
      <c r="F18" s="49" t="str">
        <f ca="1">IF(C18="","",IF(OR([1]!s_stm_rpt_e(C18,基本资料!$I$8,0)="#N/A",[1]!s_stm_rpt_e(C18,基本资料!$I$8,0)="",[1]!s_stm_rpt_e(C18,基本资料!$I$8,0)=0),[1]!s_stm_rpt_e(C18,基本资料!$I$9,0),[1]!s_stm_rpt_e(C18,基本资料!$I$8,0)))</f>
        <v>2023-12-31</v>
      </c>
      <c r="G18" s="49" t="str">
        <f ca="1">IF(C18="","",[1]!s_stm_rpt_e(C18,F18,0))</f>
        <v>2023-12-31</v>
      </c>
      <c r="H18" s="49" t="str">
        <f ca="1">IF(C18="","",[1]!hks_info_cur2(C18,F18))</f>
        <v>CNY</v>
      </c>
      <c r="I18" s="57" t="str">
        <f ca="1">IF(C18="","",[1]!s_segment_product_item(C18,G18,1))</f>
        <v>游戏</v>
      </c>
      <c r="J18" s="23">
        <f ca="1">IF(C18="","",[1]!s_segment_product_sales1(C18,G18,1,H18,100000000))</f>
        <v>2984</v>
      </c>
      <c r="K18" s="23">
        <f ca="1">IF(C18="","",[1]!s_segment_product_cost1(C18,G18,1,H18,100000000))</f>
        <v>0</v>
      </c>
      <c r="L18" s="23">
        <f ca="1">IF(C18="","",[1]!s_segment_product_profit1(C18,G18,1,H18,100000000))</f>
        <v>0</v>
      </c>
      <c r="M18" s="25">
        <f ca="1">IF(C18="","",[1]!s_segment_product_gpmargin(C18,G18,1))</f>
        <v>0</v>
      </c>
      <c r="N18" s="57" t="str">
        <f ca="1">IF(C18="","",[1]!s_segment_product_item(C18,G18,2))</f>
        <v>增值服务</v>
      </c>
      <c r="O18" s="55">
        <f ca="1">IF(C18="","",[1]!s_segment_product_sales1(C18,G18,2,H18,100000000))</f>
        <v>2983.75</v>
      </c>
      <c r="P18" s="55">
        <f ca="1">IF(C18="","",[1]!s_segment_product_cost1(C18,G18,2,H18,100000000))</f>
        <v>1364.56</v>
      </c>
      <c r="Q18" s="55">
        <f ca="1">IF(C18="","",[1]!s_segment_product_profit1(C18,G18,2,H18,100000000))</f>
        <v>1619.19</v>
      </c>
      <c r="R18" s="59">
        <f ca="1">IF(C18="","",[1]!s_segment_product_gpmargin(C18,G18,2))</f>
        <v>54.26694595726854</v>
      </c>
      <c r="S18" s="57" t="str">
        <f ca="1">IF(C18="","",[1]!s_segment_product_item(C18,G18,3))</f>
        <v>金融科技及企业服务</v>
      </c>
      <c r="T18" s="55">
        <f ca="1">IF(C18="","",[1]!s_segment_product_sales1(C18,G18,3,H18,100000000))</f>
        <v>2037.63</v>
      </c>
      <c r="U18" s="55">
        <f ca="1">IF(C18="","",[1]!s_segment_product_cost1(C18,G18,3,H18,100000000))</f>
        <v>1231.27</v>
      </c>
      <c r="V18" s="55">
        <f ca="1">IF(C18="","",[1]!s_segment_product_profit1(C18,G18,3,H18,100000000))</f>
        <v>806.36</v>
      </c>
      <c r="W18" s="59">
        <f ca="1">IF(C18="","",[1]!s_segment_product_gpmargin(C18,G18,3))</f>
        <v>39.573425989998185</v>
      </c>
      <c r="X18" s="57" t="str">
        <f ca="1">IF(C18="","",[1]!s_segment_product_item(C18,G18,4))</f>
        <v>本土市场游戏收入</v>
      </c>
      <c r="Y18" s="55">
        <f ca="1">IF(C18="","",[1]!s_segment_product_sales1(C18,G18,4,H18,100000000))</f>
        <v>1267</v>
      </c>
      <c r="Z18" s="55">
        <f ca="1">IF(C18="","",[1]!s_segment_product_cost1(C18,G18,4,H18,100000000))</f>
        <v>0</v>
      </c>
      <c r="AA18" s="55">
        <f ca="1">IF(C18="","",[1]!s_segment_product_profit1(C18,G18,4,H18,100000000))</f>
        <v>0</v>
      </c>
      <c r="AB18" s="59">
        <f ca="1">IF(C18="","",[1]!s_segment_product_gpmargin(C18,G18,4))</f>
        <v>0</v>
      </c>
      <c r="AC18" s="57" t="str">
        <f ca="1">IF(C18="","",[1]!s_segment_product_item(C18,G18,5))</f>
        <v>社交网络</v>
      </c>
      <c r="AD18" s="55">
        <f ca="1">IF(C18="","",[1]!s_segment_product_sales1(C18,G18,5,H18,100000000))</f>
        <v>1185</v>
      </c>
      <c r="AE18" s="55">
        <f ca="1">IF(C18="","",[1]!s_segment_product_cost1(C18,G18,5,H18,100000000))</f>
        <v>0</v>
      </c>
      <c r="AF18" s="55">
        <f ca="1">IF(C18="","",[1]!s_segment_product_profit1(C18,G18,5,H18,100000000))</f>
        <v>0</v>
      </c>
      <c r="AG18" s="56">
        <f ca="1">IF(C18="","",[1]!s_segment_product_gpmargin(C18,G18,5))</f>
        <v>0</v>
      </c>
      <c r="AH18" s="35"/>
    </row>
    <row r="19" spans="1:34" s="36" customFormat="1" ht="16.5" x14ac:dyDescent="0.2">
      <c r="A19" s="2"/>
      <c r="B19" s="6"/>
      <c r="C19" s="28" t="str">
        <f>IF(表1[[#This Row],[列1]]="","",表1[[#This Row],[列1]])</f>
        <v>9896.HK</v>
      </c>
      <c r="D19" s="19" t="str">
        <f>IF(C19="","",[1]!hks_info_name(C19))</f>
        <v>名创优品</v>
      </c>
      <c r="E19" s="19" t="str">
        <f ca="1">IF(C19="","",[1]!lastradeday_s(C19,TODAY()))</f>
        <v>2024-12-06</v>
      </c>
      <c r="F19" s="49" t="str">
        <f ca="1">IF(C19="","",IF(OR([1]!s_stm_rpt_e(C19,基本资料!$I$8,0)="#N/A",[1]!s_stm_rpt_e(C19,基本资料!$I$8,0)="",[1]!s_stm_rpt_e(C19,基本资料!$I$8,0)=0),[1]!s_stm_rpt_e(C19,基本资料!$I$9,0),[1]!s_stm_rpt_e(C19,基本资料!$I$8,0)))</f>
        <v>2023-06-30</v>
      </c>
      <c r="G19" s="49" t="str">
        <f ca="1">IF(C19="","",[1]!s_stm_rpt_e(C19,F19,0))</f>
        <v>2022-12-31</v>
      </c>
      <c r="H19" s="49" t="str">
        <f ca="1">IF(C19="","",[1]!hks_info_cur2(C19,F19))</f>
        <v>CNY</v>
      </c>
      <c r="I19" s="57" t="str">
        <f ca="1">IF(C19="","",[1]!s_segment_product_item(C19,G19,1))</f>
        <v>生活用品销售</v>
      </c>
      <c r="J19" s="23">
        <f ca="1">IF(C19="","",[1]!s_segment_product_sales1(C19,G19,1,H19,100000000))</f>
        <v>89.976619999999997</v>
      </c>
      <c r="K19" s="23">
        <f ca="1">IF(C19="","",[1]!s_segment_product_cost1(C19,G19,1,H19,100000000))</f>
        <v>0</v>
      </c>
      <c r="L19" s="23">
        <f ca="1">IF(C19="","",[1]!s_segment_product_profit1(C19,G19,1,H19,100000000))</f>
        <v>0</v>
      </c>
      <c r="M19" s="25">
        <f ca="1">IF(C19="","",[1]!s_segment_product_gpmargin(C19,G19,1))</f>
        <v>0</v>
      </c>
      <c r="N19" s="57" t="str">
        <f ca="1">IF(C19="","",[1]!s_segment_product_item(C19,G19,2))</f>
        <v>许可费、基于销售的特许权使用费以及管理和咨询服务费</v>
      </c>
      <c r="O19" s="55">
        <f ca="1">IF(C19="","",[1]!s_segment_product_sales1(C19,G19,2,H19,100000000))</f>
        <v>6.8539399999999997</v>
      </c>
      <c r="P19" s="55">
        <f ca="1">IF(C19="","",[1]!s_segment_product_cost1(C19,G19,2,H19,100000000))</f>
        <v>0</v>
      </c>
      <c r="Q19" s="55">
        <f ca="1">IF(C19="","",[1]!s_segment_product_profit1(C19,G19,2,H19,100000000))</f>
        <v>0</v>
      </c>
      <c r="R19" s="59">
        <f ca="1">IF(C19="","",[1]!s_segment_product_gpmargin(C19,G19,2))</f>
        <v>0</v>
      </c>
      <c r="S19" s="57" t="str">
        <f ca="1">IF(C19="","",[1]!s_segment_product_item(C19,G19,3))</f>
        <v>其他产品</v>
      </c>
      <c r="T19" s="55">
        <f ca="1">IF(C19="","",[1]!s_segment_product_sales1(C19,G19,3,H19,100000000))</f>
        <v>4.0259299999999998</v>
      </c>
      <c r="U19" s="55">
        <f ca="1">IF(C19="","",[1]!s_segment_product_cost1(C19,G19,3,H19,100000000))</f>
        <v>0</v>
      </c>
      <c r="V19" s="55">
        <f ca="1">IF(C19="","",[1]!s_segment_product_profit1(C19,G19,3,H19,100000000))</f>
        <v>0</v>
      </c>
      <c r="W19" s="59">
        <f ca="1">IF(C19="","",[1]!s_segment_product_gpmargin(C19,G19,3))</f>
        <v>0</v>
      </c>
      <c r="X19" s="57">
        <f ca="1">IF(C19="","",[1]!s_segment_product_item(C19,G19,4))</f>
        <v>0</v>
      </c>
      <c r="Y19" s="55">
        <f ca="1">IF(C19="","",[1]!s_segment_product_sales1(C19,G19,4,H19,100000000))</f>
        <v>0</v>
      </c>
      <c r="Z19" s="55">
        <f ca="1">IF(C19="","",[1]!s_segment_product_cost1(C19,G19,4,H19,100000000))</f>
        <v>0</v>
      </c>
      <c r="AA19" s="55">
        <f ca="1">IF(C19="","",[1]!s_segment_product_profit1(C19,G19,4,H19,100000000))</f>
        <v>0</v>
      </c>
      <c r="AB19" s="59">
        <f ca="1">IF(C19="","",[1]!s_segment_product_gpmargin(C19,G19,4))</f>
        <v>0</v>
      </c>
      <c r="AC19" s="57">
        <f ca="1">IF(C19="","",[1]!s_segment_product_item(C19,G19,5))</f>
        <v>0</v>
      </c>
      <c r="AD19" s="55">
        <f ca="1">IF(C19="","",[1]!s_segment_product_sales1(C19,G19,5,H19,100000000))</f>
        <v>0</v>
      </c>
      <c r="AE19" s="55">
        <f ca="1">IF(C19="","",[1]!s_segment_product_cost1(C19,G19,5,H19,100000000))</f>
        <v>0</v>
      </c>
      <c r="AF19" s="55">
        <f ca="1">IF(C19="","",[1]!s_segment_product_profit1(C19,G19,5,H19,100000000))</f>
        <v>0</v>
      </c>
      <c r="AG19" s="56">
        <f ca="1">IF(C19="","",[1]!s_segment_product_gpmargin(C19,G19,5))</f>
        <v>0</v>
      </c>
      <c r="AH19" s="35"/>
    </row>
    <row r="20" spans="1:34" s="36" customFormat="1" ht="16.5" x14ac:dyDescent="0.2">
      <c r="A20" s="2"/>
      <c r="B20" s="6"/>
      <c r="C20" s="28" t="str">
        <f>IF(表1[[#This Row],[列1]]="","",表1[[#This Row],[列1]])</f>
        <v>9999.HK</v>
      </c>
      <c r="D20" s="19" t="str">
        <f>IF(C20="","",[1]!hks_info_name(C20))</f>
        <v>网易-S</v>
      </c>
      <c r="E20" s="19" t="str">
        <f ca="1">IF(C20="","",[1]!lastradeday_s(C20,TODAY()))</f>
        <v>2024-12-09</v>
      </c>
      <c r="F20" s="49" t="str">
        <f ca="1">IF(C20="","",IF(OR([1]!s_stm_rpt_e(C20,基本资料!$I$8,0)="#N/A",[1]!s_stm_rpt_e(C20,基本资料!$I$8,0)="",[1]!s_stm_rpt_e(C20,基本资料!$I$8,0)=0),[1]!s_stm_rpt_e(C20,基本资料!$I$9,0),[1]!s_stm_rpt_e(C20,基本资料!$I$8,0)))</f>
        <v>2023-12-31</v>
      </c>
      <c r="G20" s="49" t="str">
        <f ca="1">IF(C20="","",[1]!s_stm_rpt_e(C20,F20,0))</f>
        <v>2023-12-31</v>
      </c>
      <c r="H20" s="49" t="str">
        <f ca="1">IF(C20="","",[1]!hks_info_cur2(C20,F20))</f>
        <v>CNY</v>
      </c>
      <c r="I20" s="57" t="str">
        <f ca="1">IF(C20="","",[1]!s_segment_product_item(C20,G20,1))</f>
        <v>网络游戏</v>
      </c>
      <c r="J20" s="23">
        <f ca="1">IF(C20="","",[1]!s_segment_product_sales1(C20,G20,1,H20,100000000))</f>
        <v>815.65449000000001</v>
      </c>
      <c r="K20" s="23">
        <f ca="1">IF(C20="","",[1]!s_segment_product_cost1(C20,G20,1,H20,100000000))</f>
        <v>259.38864999999998</v>
      </c>
      <c r="L20" s="23">
        <f ca="1">IF(C20="","",[1]!s_segment_product_profit1(C20,G20,1,H20,100000000))</f>
        <v>556.26584000000003</v>
      </c>
      <c r="M20" s="25">
        <f ca="1">IF(C20="","",[1]!s_segment_product_gpmargin(C20,G20,1))</f>
        <v>68.198709970933891</v>
      </c>
      <c r="N20" s="57" t="str">
        <f ca="1">IF(C20="","",[1]!s_segment_product_item(C20,G20,2))</f>
        <v>创新及其他业务</v>
      </c>
      <c r="O20" s="55">
        <f ca="1">IF(C20="","",[1]!s_segment_product_sales1(C20,G20,2,H20,100000000))</f>
        <v>86.465100000000007</v>
      </c>
      <c r="P20" s="55">
        <f ca="1">IF(C20="","",[1]!s_segment_product_cost1(C20,G20,2,H20,100000000))</f>
        <v>60.798319999999997</v>
      </c>
      <c r="Q20" s="55">
        <f ca="1">IF(C20="","",[1]!s_segment_product_profit1(C20,G20,2,H20,100000000))</f>
        <v>25.666779999999999</v>
      </c>
      <c r="R20" s="59">
        <f ca="1">IF(C20="","",[1]!s_segment_product_gpmargin(C20,G20,2))</f>
        <v>29.68455480881882</v>
      </c>
      <c r="S20" s="57" t="str">
        <f ca="1">IF(C20="","",[1]!s_segment_product_item(C20,G20,3))</f>
        <v>云音乐</v>
      </c>
      <c r="T20" s="55">
        <f ca="1">IF(C20="","",[1]!s_segment_product_sales1(C20,G20,3,H20,100000000))</f>
        <v>78.669920000000005</v>
      </c>
      <c r="U20" s="55">
        <f ca="1">IF(C20="","",[1]!s_segment_product_cost1(C20,G20,3,H20,100000000))</f>
        <v>57.643219999999999</v>
      </c>
      <c r="V20" s="55">
        <f ca="1">IF(C20="","",[1]!s_segment_product_profit1(C20,G20,3,H20,100000000))</f>
        <v>21.026700000000002</v>
      </c>
      <c r="W20" s="59">
        <f ca="1">IF(C20="","",[1]!s_segment_product_gpmargin(C20,G20,3))</f>
        <v>26.727750581162407</v>
      </c>
      <c r="X20" s="57" t="str">
        <f ca="1">IF(C20="","",[1]!s_segment_product_item(C20,G20,4))</f>
        <v>有道</v>
      </c>
      <c r="Y20" s="55">
        <f ca="1">IF(C20="","",[1]!s_segment_product_sales1(C20,G20,4,H20,100000000))</f>
        <v>53.89208</v>
      </c>
      <c r="Z20" s="55">
        <f ca="1">IF(C20="","",[1]!s_segment_product_cost1(C20,G20,4,H20,100000000))</f>
        <v>26.217459999999999</v>
      </c>
      <c r="AA20" s="55">
        <f ca="1">IF(C20="","",[1]!s_segment_product_profit1(C20,G20,4,H20,100000000))</f>
        <v>27.674620000000001</v>
      </c>
      <c r="AB20" s="59">
        <f ca="1">IF(C20="","",[1]!s_segment_product_gpmargin(C20,G20,4))</f>
        <v>51.351924067506758</v>
      </c>
      <c r="AC20" s="57">
        <f ca="1">IF(C20="","",[1]!s_segment_product_item(C20,G20,5))</f>
        <v>0</v>
      </c>
      <c r="AD20" s="55">
        <f ca="1">IF(C20="","",[1]!s_segment_product_sales1(C20,G20,5,H20,100000000))</f>
        <v>0</v>
      </c>
      <c r="AE20" s="55">
        <f ca="1">IF(C20="","",[1]!s_segment_product_cost1(C20,G20,5,H20,100000000))</f>
        <v>0</v>
      </c>
      <c r="AF20" s="55">
        <f ca="1">IF(C20="","",[1]!s_segment_product_profit1(C20,G20,5,H20,100000000))</f>
        <v>0</v>
      </c>
      <c r="AG20" s="56">
        <f ca="1">IF(C20="","",[1]!s_segment_product_gpmargin(C20,G20,5))</f>
        <v>0</v>
      </c>
      <c r="AH20" s="35"/>
    </row>
    <row r="21" spans="1:34" s="36" customFormat="1" ht="16.5" x14ac:dyDescent="0.2">
      <c r="A21" s="2"/>
      <c r="B21" s="6"/>
      <c r="C21" s="28" t="str">
        <f>IF(表1[[#This Row],[列1]]="","",表1[[#This Row],[列1]])</f>
        <v/>
      </c>
      <c r="D21" s="19" t="str">
        <f>IF(C21="","",[1]!hks_info_name(C21))</f>
        <v/>
      </c>
      <c r="E21" s="19" t="str">
        <f ca="1">IF(C21="","",[1]!lastradeday_s(C21,TODAY()))</f>
        <v/>
      </c>
      <c r="F21" s="49" t="str">
        <f>IF(C21="","",IF(OR([1]!s_stm_rpt_e(C21,基本资料!$I$8,0)="#N/A",[1]!s_stm_rpt_e(C21,基本资料!$I$8,0)="",[1]!s_stm_rpt_e(C21,基本资料!$I$8,0)=0),[1]!s_stm_rpt_e(C21,基本资料!$I$9,0),[1]!s_stm_rpt_e(C21,基本资料!$I$8,0)))</f>
        <v/>
      </c>
      <c r="G21" s="49" t="str">
        <f>IF(C21="","",[1]!s_stm_rpt_e(C21,F21,0))</f>
        <v/>
      </c>
      <c r="H21" s="49" t="str">
        <f>IF(C21="","",[1]!hks_info_cur2(C21,F21))</f>
        <v/>
      </c>
      <c r="I21" s="57" t="str">
        <f>IF(C21="","",[1]!s_segment_product_item(C21,G21,1))</f>
        <v/>
      </c>
      <c r="J21" s="23" t="str">
        <f>IF(C21="","",[1]!s_segment_product_sales1(C21,G21,1,H21,100000000))</f>
        <v/>
      </c>
      <c r="K21" s="23" t="str">
        <f>IF(C21="","",[1]!s_segment_product_cost1(C21,G21,1,H21,100000000))</f>
        <v/>
      </c>
      <c r="L21" s="23" t="str">
        <f>IF(C21="","",[1]!s_segment_product_profit1(C21,G21,1,H21,100000000))</f>
        <v/>
      </c>
      <c r="M21" s="25" t="str">
        <f>IF(C21="","",[1]!s_segment_product_gpmargin(C21,G21,1))</f>
        <v/>
      </c>
      <c r="N21" s="57" t="str">
        <f>IF(C21="","",[1]!s_segment_product_item(C21,G21,2))</f>
        <v/>
      </c>
      <c r="O21" s="55" t="str">
        <f>IF(C21="","",[1]!s_segment_product_sales1(C21,G21,2,H21,100000000))</f>
        <v/>
      </c>
      <c r="P21" s="55" t="str">
        <f>IF(C21="","",[1]!s_segment_product_cost1(C21,G21,2,H21,100000000))</f>
        <v/>
      </c>
      <c r="Q21" s="55" t="str">
        <f>IF(C21="","",[1]!s_segment_product_profit1(C21,G21,2,H21,100000000))</f>
        <v/>
      </c>
      <c r="R21" s="59" t="str">
        <f>IF(C21="","",[1]!s_segment_product_gpmargin(C21,G21,2))</f>
        <v/>
      </c>
      <c r="S21" s="57" t="str">
        <f>IF(C21="","",[1]!s_segment_product_item(C21,G21,3))</f>
        <v/>
      </c>
      <c r="T21" s="55" t="str">
        <f>IF(C21="","",[1]!s_segment_product_sales1(C21,G21,3,H21,100000000))</f>
        <v/>
      </c>
      <c r="U21" s="55" t="str">
        <f>IF(C21="","",[1]!s_segment_product_cost1(C21,G21,3,H21,100000000))</f>
        <v/>
      </c>
      <c r="V21" s="55" t="str">
        <f>IF(C21="","",[1]!s_segment_product_profit1(C21,G21,3,H21,100000000))</f>
        <v/>
      </c>
      <c r="W21" s="59" t="str">
        <f>IF(C21="","",[1]!s_segment_product_gpmargin(C21,G21,3))</f>
        <v/>
      </c>
      <c r="X21" s="57" t="str">
        <f>IF(C21="","",[1]!s_segment_product_item(C21,G21,4))</f>
        <v/>
      </c>
      <c r="Y21" s="55" t="str">
        <f>IF(C21="","",[1]!s_segment_product_sales1(C21,G21,4,H21,100000000))</f>
        <v/>
      </c>
      <c r="Z21" s="55" t="str">
        <f>IF(C21="","",[1]!s_segment_product_cost1(C21,G21,4,H21,100000000))</f>
        <v/>
      </c>
      <c r="AA21" s="55" t="str">
        <f>IF(C21="","",[1]!s_segment_product_profit1(C21,G21,4,H21,100000000))</f>
        <v/>
      </c>
      <c r="AB21" s="59" t="str">
        <f>IF(C21="","",[1]!s_segment_product_gpmargin(C21,G21,4))</f>
        <v/>
      </c>
      <c r="AC21" s="57" t="str">
        <f>IF(C21="","",[1]!s_segment_product_item(C21,G21,5))</f>
        <v/>
      </c>
      <c r="AD21" s="55" t="str">
        <f>IF(C21="","",[1]!s_segment_product_sales1(C21,G21,5,H21,100000000))</f>
        <v/>
      </c>
      <c r="AE21" s="55" t="str">
        <f>IF(C21="","",[1]!s_segment_product_cost1(C21,G21,5,H21,100000000))</f>
        <v/>
      </c>
      <c r="AF21" s="55" t="str">
        <f>IF(C21="","",[1]!s_segment_product_profit1(C21,G21,5,H21,100000000))</f>
        <v/>
      </c>
      <c r="AG21" s="56" t="str">
        <f>IF(C21="","",[1]!s_segment_product_gpmargin(C21,G21,5))</f>
        <v/>
      </c>
      <c r="AH21" s="35"/>
    </row>
    <row r="22" spans="1:34" s="36" customFormat="1" ht="16.5" x14ac:dyDescent="0.2">
      <c r="A22" s="2"/>
      <c r="B22" s="6"/>
      <c r="C22" s="28" t="str">
        <f>IF(表1[[#This Row],[列1]]="","",表1[[#This Row],[列1]])</f>
        <v/>
      </c>
      <c r="D22" s="19" t="str">
        <f>IF(C22="","",[1]!hks_info_name(C22))</f>
        <v/>
      </c>
      <c r="E22" s="19" t="str">
        <f ca="1">IF(C22="","",[1]!lastradeday_s(C22,TODAY()))</f>
        <v/>
      </c>
      <c r="F22" s="49" t="str">
        <f>IF(C22="","",IF(OR([1]!s_stm_rpt_e(C22,基本资料!$I$8,0)="#N/A",[1]!s_stm_rpt_e(C22,基本资料!$I$8,0)="",[1]!s_stm_rpt_e(C22,基本资料!$I$8,0)=0),[1]!s_stm_rpt_e(C22,基本资料!$I$9,0),[1]!s_stm_rpt_e(C22,基本资料!$I$8,0)))</f>
        <v/>
      </c>
      <c r="G22" s="49" t="str">
        <f>IF(C22="","",[1]!s_stm_rpt_e(C22,F22,0))</f>
        <v/>
      </c>
      <c r="H22" s="49" t="str">
        <f>IF(C22="","",[1]!hks_info_cur2(C22,F22))</f>
        <v/>
      </c>
      <c r="I22" s="57" t="str">
        <f>IF(C22="","",[1]!s_segment_product_item(C22,G22,1))</f>
        <v/>
      </c>
      <c r="J22" s="23" t="str">
        <f>IF(C22="","",[1]!s_segment_product_sales1(C22,G22,1,H22,100000000))</f>
        <v/>
      </c>
      <c r="K22" s="23" t="str">
        <f>IF(C22="","",[1]!s_segment_product_cost1(C22,G22,1,H22,100000000))</f>
        <v/>
      </c>
      <c r="L22" s="23" t="str">
        <f>IF(C22="","",[1]!s_segment_product_profit1(C22,G22,1,H22,100000000))</f>
        <v/>
      </c>
      <c r="M22" s="25" t="str">
        <f>IF(C22="","",[1]!s_segment_product_gpmargin(C22,G22,1))</f>
        <v/>
      </c>
      <c r="N22" s="57" t="str">
        <f>IF(C22="","",[1]!s_segment_product_item(C22,G22,2))</f>
        <v/>
      </c>
      <c r="O22" s="55" t="str">
        <f>IF(C22="","",[1]!s_segment_product_sales1(C22,G22,2,H22,100000000))</f>
        <v/>
      </c>
      <c r="P22" s="55" t="str">
        <f>IF(C22="","",[1]!s_segment_product_cost1(C22,G22,2,H22,100000000))</f>
        <v/>
      </c>
      <c r="Q22" s="55" t="str">
        <f>IF(C22="","",[1]!s_segment_product_profit1(C22,G22,2,H22,100000000))</f>
        <v/>
      </c>
      <c r="R22" s="59" t="str">
        <f>IF(C22="","",[1]!s_segment_product_gpmargin(C22,G22,2))</f>
        <v/>
      </c>
      <c r="S22" s="57" t="str">
        <f>IF(C22="","",[1]!s_segment_product_item(C22,G22,3))</f>
        <v/>
      </c>
      <c r="T22" s="55" t="str">
        <f>IF(C22="","",[1]!s_segment_product_sales1(C22,G22,3,H22,100000000))</f>
        <v/>
      </c>
      <c r="U22" s="55" t="str">
        <f>IF(C22="","",[1]!s_segment_product_cost1(C22,G22,3,H22,100000000))</f>
        <v/>
      </c>
      <c r="V22" s="55" t="str">
        <f>IF(C22="","",[1]!s_segment_product_profit1(C22,G22,3,H22,100000000))</f>
        <v/>
      </c>
      <c r="W22" s="59" t="str">
        <f>IF(C22="","",[1]!s_segment_product_gpmargin(C22,G22,3))</f>
        <v/>
      </c>
      <c r="X22" s="57" t="str">
        <f>IF(C22="","",[1]!s_segment_product_item(C22,G22,4))</f>
        <v/>
      </c>
      <c r="Y22" s="55" t="str">
        <f>IF(C22="","",[1]!s_segment_product_sales1(C22,G22,4,H22,100000000))</f>
        <v/>
      </c>
      <c r="Z22" s="55" t="str">
        <f>IF(C22="","",[1]!s_segment_product_cost1(C22,G22,4,H22,100000000))</f>
        <v/>
      </c>
      <c r="AA22" s="55" t="str">
        <f>IF(C22="","",[1]!s_segment_product_profit1(C22,G22,4,H22,100000000))</f>
        <v/>
      </c>
      <c r="AB22" s="59" t="str">
        <f>IF(C22="","",[1]!s_segment_product_gpmargin(C22,G22,4))</f>
        <v/>
      </c>
      <c r="AC22" s="57" t="str">
        <f>IF(C22="","",[1]!s_segment_product_item(C22,G22,5))</f>
        <v/>
      </c>
      <c r="AD22" s="55" t="str">
        <f>IF(C22="","",[1]!s_segment_product_sales1(C22,G22,5,H22,100000000))</f>
        <v/>
      </c>
      <c r="AE22" s="55" t="str">
        <f>IF(C22="","",[1]!s_segment_product_cost1(C22,G22,5,H22,100000000))</f>
        <v/>
      </c>
      <c r="AF22" s="55" t="str">
        <f>IF(C22="","",[1]!s_segment_product_profit1(C22,G22,5,H22,100000000))</f>
        <v/>
      </c>
      <c r="AG22" s="56" t="str">
        <f>IF(C22="","",[1]!s_segment_product_gpmargin(C22,G22,5))</f>
        <v/>
      </c>
      <c r="AH22" s="35"/>
    </row>
    <row r="23" spans="1:34" s="36" customFormat="1" ht="16.5" x14ac:dyDescent="0.2">
      <c r="A23" s="2"/>
      <c r="B23" s="6"/>
      <c r="C23" s="28" t="str">
        <f>IF(表1[[#This Row],[列1]]="","",表1[[#This Row],[列1]])</f>
        <v/>
      </c>
      <c r="D23" s="19" t="str">
        <f>IF(C23="","",[1]!hks_info_name(C23))</f>
        <v/>
      </c>
      <c r="E23" s="19" t="str">
        <f ca="1">IF(C23="","",[1]!lastradeday_s(C23,TODAY()))</f>
        <v/>
      </c>
      <c r="F23" s="49" t="str">
        <f>IF(C23="","",IF(OR([1]!s_stm_rpt_e(C23,基本资料!$I$8,0)="#N/A",[1]!s_stm_rpt_e(C23,基本资料!$I$8,0)="",[1]!s_stm_rpt_e(C23,基本资料!$I$8,0)=0),[1]!s_stm_rpt_e(C23,基本资料!$I$9,0),[1]!s_stm_rpt_e(C23,基本资料!$I$8,0)))</f>
        <v/>
      </c>
      <c r="G23" s="49" t="str">
        <f>IF(C23="","",[1]!s_stm_rpt_e(C23,F23,0))</f>
        <v/>
      </c>
      <c r="H23" s="49" t="str">
        <f>IF(C23="","",[1]!hks_info_cur2(C23,F23))</f>
        <v/>
      </c>
      <c r="I23" s="57" t="str">
        <f>IF(C23="","",[1]!s_segment_product_item(C23,G23,1))</f>
        <v/>
      </c>
      <c r="J23" s="23" t="str">
        <f>IF(C23="","",[1]!s_segment_product_sales1(C23,G23,1,H23,100000000))</f>
        <v/>
      </c>
      <c r="K23" s="23" t="str">
        <f>IF(C23="","",[1]!s_segment_product_cost1(C23,G23,1,H23,100000000))</f>
        <v/>
      </c>
      <c r="L23" s="23" t="str">
        <f>IF(C23="","",[1]!s_segment_product_profit1(C23,G23,1,H23,100000000))</f>
        <v/>
      </c>
      <c r="M23" s="25" t="str">
        <f>IF(C23="","",[1]!s_segment_product_gpmargin(C23,G23,1))</f>
        <v/>
      </c>
      <c r="N23" s="57" t="str">
        <f>IF(C23="","",[1]!s_segment_product_item(C23,G23,2))</f>
        <v/>
      </c>
      <c r="O23" s="55" t="str">
        <f>IF(C23="","",[1]!s_segment_product_sales1(C23,G23,2,H23,100000000))</f>
        <v/>
      </c>
      <c r="P23" s="55" t="str">
        <f>IF(C23="","",[1]!s_segment_product_cost1(C23,G23,2,H23,100000000))</f>
        <v/>
      </c>
      <c r="Q23" s="55" t="str">
        <f>IF(C23="","",[1]!s_segment_product_profit1(C23,G23,2,H23,100000000))</f>
        <v/>
      </c>
      <c r="R23" s="59" t="str">
        <f>IF(C23="","",[1]!s_segment_product_gpmargin(C23,G23,2))</f>
        <v/>
      </c>
      <c r="S23" s="57" t="str">
        <f>IF(C23="","",[1]!s_segment_product_item(C23,G23,3))</f>
        <v/>
      </c>
      <c r="T23" s="55" t="str">
        <f>IF(C23="","",[1]!s_segment_product_sales1(C23,G23,3,H23,100000000))</f>
        <v/>
      </c>
      <c r="U23" s="55" t="str">
        <f>IF(C23="","",[1]!s_segment_product_cost1(C23,G23,3,H23,100000000))</f>
        <v/>
      </c>
      <c r="V23" s="55" t="str">
        <f>IF(C23="","",[1]!s_segment_product_profit1(C23,G23,3,H23,100000000))</f>
        <v/>
      </c>
      <c r="W23" s="59" t="str">
        <f>IF(C23="","",[1]!s_segment_product_gpmargin(C23,G23,3))</f>
        <v/>
      </c>
      <c r="X23" s="57" t="str">
        <f>IF(C23="","",[1]!s_segment_product_item(C23,G23,4))</f>
        <v/>
      </c>
      <c r="Y23" s="55" t="str">
        <f>IF(C23="","",[1]!s_segment_product_sales1(C23,G23,4,H23,100000000))</f>
        <v/>
      </c>
      <c r="Z23" s="55" t="str">
        <f>IF(C23="","",[1]!s_segment_product_cost1(C23,G23,4,H23,100000000))</f>
        <v/>
      </c>
      <c r="AA23" s="55" t="str">
        <f>IF(C23="","",[1]!s_segment_product_profit1(C23,G23,4,H23,100000000))</f>
        <v/>
      </c>
      <c r="AB23" s="59" t="str">
        <f>IF(C23="","",[1]!s_segment_product_gpmargin(C23,G23,4))</f>
        <v/>
      </c>
      <c r="AC23" s="57" t="str">
        <f>IF(C23="","",[1]!s_segment_product_item(C23,G23,5))</f>
        <v/>
      </c>
      <c r="AD23" s="55" t="str">
        <f>IF(C23="","",[1]!s_segment_product_sales1(C23,G23,5,H23,100000000))</f>
        <v/>
      </c>
      <c r="AE23" s="55" t="str">
        <f>IF(C23="","",[1]!s_segment_product_cost1(C23,G23,5,H23,100000000))</f>
        <v/>
      </c>
      <c r="AF23" s="55" t="str">
        <f>IF(C23="","",[1]!s_segment_product_profit1(C23,G23,5,H23,100000000))</f>
        <v/>
      </c>
      <c r="AG23" s="56" t="str">
        <f>IF(C23="","",[1]!s_segment_product_gpmargin(C23,G23,5))</f>
        <v/>
      </c>
      <c r="AH23" s="35"/>
    </row>
    <row r="24" spans="1:34" s="36" customFormat="1" ht="16.5" x14ac:dyDescent="0.2">
      <c r="A24" s="2"/>
      <c r="B24" s="6"/>
      <c r="C24" s="28" t="str">
        <f>IF(表1[[#This Row],[列1]]="","",表1[[#This Row],[列1]])</f>
        <v/>
      </c>
      <c r="D24" s="19" t="str">
        <f>IF(C24="","",[1]!hks_info_name(C24))</f>
        <v/>
      </c>
      <c r="E24" s="19" t="str">
        <f ca="1">IF(C24="","",[1]!lastradeday_s(C24,TODAY()))</f>
        <v/>
      </c>
      <c r="F24" s="49" t="str">
        <f>IF(C24="","",IF(OR([1]!s_stm_rpt_e(C24,基本资料!$I$8,0)="#N/A",[1]!s_stm_rpt_e(C24,基本资料!$I$8,0)="",[1]!s_stm_rpt_e(C24,基本资料!$I$8,0)=0),[1]!s_stm_rpt_e(C24,基本资料!$I$9,0),[1]!s_stm_rpt_e(C24,基本资料!$I$8,0)))</f>
        <v/>
      </c>
      <c r="G24" s="49" t="str">
        <f>IF(C24="","",[1]!s_stm_rpt_e(C24,F24,0))</f>
        <v/>
      </c>
      <c r="H24" s="49" t="str">
        <f>IF(C24="","",[1]!hks_info_cur2(C24,F24))</f>
        <v/>
      </c>
      <c r="I24" s="57" t="str">
        <f>IF(C24="","",[1]!s_segment_product_item(C24,G24,1))</f>
        <v/>
      </c>
      <c r="J24" s="23" t="str">
        <f>IF(C24="","",[1]!s_segment_product_sales1(C24,G24,1,H24,100000000))</f>
        <v/>
      </c>
      <c r="K24" s="23" t="str">
        <f>IF(C24="","",[1]!s_segment_product_cost1(C24,G24,1,H24,100000000))</f>
        <v/>
      </c>
      <c r="L24" s="23" t="str">
        <f>IF(C24="","",[1]!s_segment_product_profit1(C24,G24,1,H24,100000000))</f>
        <v/>
      </c>
      <c r="M24" s="25" t="str">
        <f>IF(C24="","",[1]!s_segment_product_gpmargin(C24,G24,1))</f>
        <v/>
      </c>
      <c r="N24" s="57" t="str">
        <f>IF(C24="","",[1]!s_segment_product_item(C24,G24,2))</f>
        <v/>
      </c>
      <c r="O24" s="55" t="str">
        <f>IF(C24="","",[1]!s_segment_product_sales1(C24,G24,2,H24,100000000))</f>
        <v/>
      </c>
      <c r="P24" s="55" t="str">
        <f>IF(C24="","",[1]!s_segment_product_cost1(C24,G24,2,H24,100000000))</f>
        <v/>
      </c>
      <c r="Q24" s="55" t="str">
        <f>IF(C24="","",[1]!s_segment_product_profit1(C24,G24,2,H24,100000000))</f>
        <v/>
      </c>
      <c r="R24" s="59" t="str">
        <f>IF(C24="","",[1]!s_segment_product_gpmargin(C24,G24,2))</f>
        <v/>
      </c>
      <c r="S24" s="57" t="str">
        <f>IF(C24="","",[1]!s_segment_product_item(C24,G24,3))</f>
        <v/>
      </c>
      <c r="T24" s="55" t="str">
        <f>IF(C24="","",[1]!s_segment_product_sales1(C24,G24,3,H24,100000000))</f>
        <v/>
      </c>
      <c r="U24" s="55" t="str">
        <f>IF(C24="","",[1]!s_segment_product_cost1(C24,G24,3,H24,100000000))</f>
        <v/>
      </c>
      <c r="V24" s="55" t="str">
        <f>IF(C24="","",[1]!s_segment_product_profit1(C24,G24,3,H24,100000000))</f>
        <v/>
      </c>
      <c r="W24" s="59" t="str">
        <f>IF(C24="","",[1]!s_segment_product_gpmargin(C24,G24,3))</f>
        <v/>
      </c>
      <c r="X24" s="57" t="str">
        <f>IF(C24="","",[1]!s_segment_product_item(C24,G24,4))</f>
        <v/>
      </c>
      <c r="Y24" s="55" t="str">
        <f>IF(C24="","",[1]!s_segment_product_sales1(C24,G24,4,H24,100000000))</f>
        <v/>
      </c>
      <c r="Z24" s="55" t="str">
        <f>IF(C24="","",[1]!s_segment_product_cost1(C24,G24,4,H24,100000000))</f>
        <v/>
      </c>
      <c r="AA24" s="55" t="str">
        <f>IF(C24="","",[1]!s_segment_product_profit1(C24,G24,4,H24,100000000))</f>
        <v/>
      </c>
      <c r="AB24" s="59" t="str">
        <f>IF(C24="","",[1]!s_segment_product_gpmargin(C24,G24,4))</f>
        <v/>
      </c>
      <c r="AC24" s="57" t="str">
        <f>IF(C24="","",[1]!s_segment_product_item(C24,G24,5))</f>
        <v/>
      </c>
      <c r="AD24" s="55" t="str">
        <f>IF(C24="","",[1]!s_segment_product_sales1(C24,G24,5,H24,100000000))</f>
        <v/>
      </c>
      <c r="AE24" s="55" t="str">
        <f>IF(C24="","",[1]!s_segment_product_cost1(C24,G24,5,H24,100000000))</f>
        <v/>
      </c>
      <c r="AF24" s="55" t="str">
        <f>IF(C24="","",[1]!s_segment_product_profit1(C24,G24,5,H24,100000000))</f>
        <v/>
      </c>
      <c r="AG24" s="56" t="str">
        <f>IF(C24="","",[1]!s_segment_product_gpmargin(C24,G24,5))</f>
        <v/>
      </c>
      <c r="AH24" s="35"/>
    </row>
    <row r="25" spans="1:34" s="36" customFormat="1" ht="16.5" x14ac:dyDescent="0.2">
      <c r="A25" s="2"/>
      <c r="B25" s="6"/>
      <c r="C25" s="28" t="str">
        <f>IF(表1[[#This Row],[列1]]="","",表1[[#This Row],[列1]])</f>
        <v/>
      </c>
      <c r="D25" s="19" t="str">
        <f>IF(C25="","",[1]!hks_info_name(C25))</f>
        <v/>
      </c>
      <c r="E25" s="19" t="str">
        <f ca="1">IF(C25="","",[1]!lastradeday_s(C25,TODAY()))</f>
        <v/>
      </c>
      <c r="F25" s="49" t="str">
        <f>IF(C25="","",IF(OR([1]!s_stm_rpt_e(C25,基本资料!$I$8,0)="#N/A",[1]!s_stm_rpt_e(C25,基本资料!$I$8,0)="",[1]!s_stm_rpt_e(C25,基本资料!$I$8,0)=0),[1]!s_stm_rpt_e(C25,基本资料!$I$9,0),[1]!s_stm_rpt_e(C25,基本资料!$I$8,0)))</f>
        <v/>
      </c>
      <c r="G25" s="49" t="str">
        <f>IF(C25="","",[1]!s_stm_rpt_e(C25,F25,0))</f>
        <v/>
      </c>
      <c r="H25" s="49" t="str">
        <f>IF(C25="","",[1]!hks_info_cur2(C25,F25))</f>
        <v/>
      </c>
      <c r="I25" s="57" t="str">
        <f>IF(C25="","",[1]!s_segment_product_item(C25,G25,1))</f>
        <v/>
      </c>
      <c r="J25" s="23" t="str">
        <f>IF(C25="","",[1]!s_segment_product_sales1(C25,G25,1,H25,100000000))</f>
        <v/>
      </c>
      <c r="K25" s="23" t="str">
        <f>IF(C25="","",[1]!s_segment_product_cost1(C25,G25,1,H25,100000000))</f>
        <v/>
      </c>
      <c r="L25" s="23" t="str">
        <f>IF(C25="","",[1]!s_segment_product_profit1(C25,G25,1,H25,100000000))</f>
        <v/>
      </c>
      <c r="M25" s="25" t="str">
        <f>IF(C25="","",[1]!s_segment_product_gpmargin(C25,G25,1))</f>
        <v/>
      </c>
      <c r="N25" s="57" t="str">
        <f>IF(C25="","",[1]!s_segment_product_item(C25,G25,2))</f>
        <v/>
      </c>
      <c r="O25" s="55" t="str">
        <f>IF(C25="","",[1]!s_segment_product_sales1(C25,G25,2,H25,100000000))</f>
        <v/>
      </c>
      <c r="P25" s="55" t="str">
        <f>IF(C25="","",[1]!s_segment_product_cost1(C25,G25,2,H25,100000000))</f>
        <v/>
      </c>
      <c r="Q25" s="55" t="str">
        <f>IF(C25="","",[1]!s_segment_product_profit1(C25,G25,2,H25,100000000))</f>
        <v/>
      </c>
      <c r="R25" s="59" t="str">
        <f>IF(C25="","",[1]!s_segment_product_gpmargin(C25,G25,2))</f>
        <v/>
      </c>
      <c r="S25" s="57" t="str">
        <f>IF(C25="","",[1]!s_segment_product_item(C25,G25,3))</f>
        <v/>
      </c>
      <c r="T25" s="55" t="str">
        <f>IF(C25="","",[1]!s_segment_product_sales1(C25,G25,3,H25,100000000))</f>
        <v/>
      </c>
      <c r="U25" s="55" t="str">
        <f>IF(C25="","",[1]!s_segment_product_cost1(C25,G25,3,H25,100000000))</f>
        <v/>
      </c>
      <c r="V25" s="55" t="str">
        <f>IF(C25="","",[1]!s_segment_product_profit1(C25,G25,3,H25,100000000))</f>
        <v/>
      </c>
      <c r="W25" s="59" t="str">
        <f>IF(C25="","",[1]!s_segment_product_gpmargin(C25,G25,3))</f>
        <v/>
      </c>
      <c r="X25" s="57" t="str">
        <f>IF(C25="","",[1]!s_segment_product_item(C25,G25,4))</f>
        <v/>
      </c>
      <c r="Y25" s="55" t="str">
        <f>IF(C25="","",[1]!s_segment_product_sales1(C25,G25,4,H25,100000000))</f>
        <v/>
      </c>
      <c r="Z25" s="55" t="str">
        <f>IF(C25="","",[1]!s_segment_product_cost1(C25,G25,4,H25,100000000))</f>
        <v/>
      </c>
      <c r="AA25" s="55" t="str">
        <f>IF(C25="","",[1]!s_segment_product_profit1(C25,G25,4,H25,100000000))</f>
        <v/>
      </c>
      <c r="AB25" s="59" t="str">
        <f>IF(C25="","",[1]!s_segment_product_gpmargin(C25,G25,4))</f>
        <v/>
      </c>
      <c r="AC25" s="57" t="str">
        <f>IF(C25="","",[1]!s_segment_product_item(C25,G25,5))</f>
        <v/>
      </c>
      <c r="AD25" s="55" t="str">
        <f>IF(C25="","",[1]!s_segment_product_sales1(C25,G25,5,H25,100000000))</f>
        <v/>
      </c>
      <c r="AE25" s="55" t="str">
        <f>IF(C25="","",[1]!s_segment_product_cost1(C25,G25,5,H25,100000000))</f>
        <v/>
      </c>
      <c r="AF25" s="55" t="str">
        <f>IF(C25="","",[1]!s_segment_product_profit1(C25,G25,5,H25,100000000))</f>
        <v/>
      </c>
      <c r="AG25" s="56" t="str">
        <f>IF(C25="","",[1]!s_segment_product_gpmargin(C25,G25,5))</f>
        <v/>
      </c>
      <c r="AH25" s="35"/>
    </row>
    <row r="26" spans="1:34" s="36" customFormat="1" ht="16.5" x14ac:dyDescent="0.2">
      <c r="A26" s="2"/>
      <c r="B26" s="6"/>
      <c r="C26" s="28" t="str">
        <f>IF(表1[[#This Row],[列1]]="","",表1[[#This Row],[列1]])</f>
        <v/>
      </c>
      <c r="D26" s="19" t="str">
        <f>IF(C26="","",[1]!hks_info_name(C26))</f>
        <v/>
      </c>
      <c r="E26" s="19" t="str">
        <f ca="1">IF(C26="","",[1]!lastradeday_s(C26,TODAY()))</f>
        <v/>
      </c>
      <c r="F26" s="49" t="str">
        <f>IF(C26="","",IF(OR([1]!s_stm_rpt_e(C26,基本资料!$I$8,0)="#N/A",[1]!s_stm_rpt_e(C26,基本资料!$I$8,0)="",[1]!s_stm_rpt_e(C26,基本资料!$I$8,0)=0),[1]!s_stm_rpt_e(C26,基本资料!$I$9,0),[1]!s_stm_rpt_e(C26,基本资料!$I$8,0)))</f>
        <v/>
      </c>
      <c r="G26" s="49" t="str">
        <f>IF(C26="","",[1]!s_stm_rpt_e(C26,F26,0))</f>
        <v/>
      </c>
      <c r="H26" s="49" t="str">
        <f>IF(C26="","",[1]!hks_info_cur2(C26,F26))</f>
        <v/>
      </c>
      <c r="I26" s="57" t="str">
        <f>IF(C26="","",[1]!s_segment_product_item(C26,G26,1))</f>
        <v/>
      </c>
      <c r="J26" s="23" t="str">
        <f>IF(C26="","",[1]!s_segment_product_sales1(C26,G26,1,H26,100000000))</f>
        <v/>
      </c>
      <c r="K26" s="23" t="str">
        <f>IF(C26="","",[1]!s_segment_product_cost1(C26,G26,1,H26,100000000))</f>
        <v/>
      </c>
      <c r="L26" s="23" t="str">
        <f>IF(C26="","",[1]!s_segment_product_profit1(C26,G26,1,H26,100000000))</f>
        <v/>
      </c>
      <c r="M26" s="25" t="str">
        <f>IF(C26="","",[1]!s_segment_product_gpmargin(C26,G26,1))</f>
        <v/>
      </c>
      <c r="N26" s="57" t="str">
        <f>IF(C26="","",[1]!s_segment_product_item(C26,G26,2))</f>
        <v/>
      </c>
      <c r="O26" s="55" t="str">
        <f>IF(C26="","",[1]!s_segment_product_sales1(C26,G26,2,H26,100000000))</f>
        <v/>
      </c>
      <c r="P26" s="55" t="str">
        <f>IF(C26="","",[1]!s_segment_product_cost1(C26,G26,2,H26,100000000))</f>
        <v/>
      </c>
      <c r="Q26" s="55" t="str">
        <f>IF(C26="","",[1]!s_segment_product_profit1(C26,G26,2,H26,100000000))</f>
        <v/>
      </c>
      <c r="R26" s="59" t="str">
        <f>IF(C26="","",[1]!s_segment_product_gpmargin(C26,G26,2))</f>
        <v/>
      </c>
      <c r="S26" s="57" t="str">
        <f>IF(C26="","",[1]!s_segment_product_item(C26,G26,3))</f>
        <v/>
      </c>
      <c r="T26" s="55" t="str">
        <f>IF(C26="","",[1]!s_segment_product_sales1(C26,G26,3,H26,100000000))</f>
        <v/>
      </c>
      <c r="U26" s="55" t="str">
        <f>IF(C26="","",[1]!s_segment_product_cost1(C26,G26,3,H26,100000000))</f>
        <v/>
      </c>
      <c r="V26" s="55" t="str">
        <f>IF(C26="","",[1]!s_segment_product_profit1(C26,G26,3,H26,100000000))</f>
        <v/>
      </c>
      <c r="W26" s="59" t="str">
        <f>IF(C26="","",[1]!s_segment_product_gpmargin(C26,G26,3))</f>
        <v/>
      </c>
      <c r="X26" s="57" t="str">
        <f>IF(C26="","",[1]!s_segment_product_item(C26,G26,4))</f>
        <v/>
      </c>
      <c r="Y26" s="55" t="str">
        <f>IF(C26="","",[1]!s_segment_product_sales1(C26,G26,4,H26,100000000))</f>
        <v/>
      </c>
      <c r="Z26" s="55" t="str">
        <f>IF(C26="","",[1]!s_segment_product_cost1(C26,G26,4,H26,100000000))</f>
        <v/>
      </c>
      <c r="AA26" s="55" t="str">
        <f>IF(C26="","",[1]!s_segment_product_profit1(C26,G26,4,H26,100000000))</f>
        <v/>
      </c>
      <c r="AB26" s="59" t="str">
        <f>IF(C26="","",[1]!s_segment_product_gpmargin(C26,G26,4))</f>
        <v/>
      </c>
      <c r="AC26" s="57" t="str">
        <f>IF(C26="","",[1]!s_segment_product_item(C26,G26,5))</f>
        <v/>
      </c>
      <c r="AD26" s="55" t="str">
        <f>IF(C26="","",[1]!s_segment_product_sales1(C26,G26,5,H26,100000000))</f>
        <v/>
      </c>
      <c r="AE26" s="55" t="str">
        <f>IF(C26="","",[1]!s_segment_product_cost1(C26,G26,5,H26,100000000))</f>
        <v/>
      </c>
      <c r="AF26" s="55" t="str">
        <f>IF(C26="","",[1]!s_segment_product_profit1(C26,G26,5,H26,100000000))</f>
        <v/>
      </c>
      <c r="AG26" s="56" t="str">
        <f>IF(C26="","",[1]!s_segment_product_gpmargin(C26,G26,5))</f>
        <v/>
      </c>
      <c r="AH26" s="35"/>
    </row>
    <row r="27" spans="1:34" s="36" customFormat="1" ht="16.5" x14ac:dyDescent="0.2">
      <c r="A27" s="2"/>
      <c r="B27" s="6"/>
      <c r="C27" s="28" t="str">
        <f>IF(表1[[#This Row],[列1]]="","",表1[[#This Row],[列1]])</f>
        <v/>
      </c>
      <c r="D27" s="19" t="str">
        <f>IF(C27="","",[1]!hks_info_name(C27))</f>
        <v/>
      </c>
      <c r="E27" s="19" t="str">
        <f ca="1">IF(C27="","",[1]!lastradeday_s(C27,TODAY()))</f>
        <v/>
      </c>
      <c r="F27" s="49" t="str">
        <f>IF(C27="","",IF(OR([1]!s_stm_rpt_e(C27,基本资料!$I$8,0)="#N/A",[1]!s_stm_rpt_e(C27,基本资料!$I$8,0)="",[1]!s_stm_rpt_e(C27,基本资料!$I$8,0)=0),[1]!s_stm_rpt_e(C27,基本资料!$I$9,0),[1]!s_stm_rpt_e(C27,基本资料!$I$8,0)))</f>
        <v/>
      </c>
      <c r="G27" s="49" t="str">
        <f>IF(C27="","",[1]!s_stm_rpt_e(C27,F27,0))</f>
        <v/>
      </c>
      <c r="H27" s="49" t="str">
        <f>IF(C27="","",[1]!hks_info_cur2(C27,F27))</f>
        <v/>
      </c>
      <c r="I27" s="57" t="str">
        <f>IF(C27="","",[1]!s_segment_product_item(C27,G27,1))</f>
        <v/>
      </c>
      <c r="J27" s="23" t="str">
        <f>IF(C27="","",[1]!s_segment_product_sales1(C27,G27,1,H27,100000000))</f>
        <v/>
      </c>
      <c r="K27" s="23" t="str">
        <f>IF(C27="","",[1]!s_segment_product_cost1(C27,G27,1,H27,100000000))</f>
        <v/>
      </c>
      <c r="L27" s="23" t="str">
        <f>IF(C27="","",[1]!s_segment_product_profit1(C27,G27,1,H27,100000000))</f>
        <v/>
      </c>
      <c r="M27" s="25" t="str">
        <f>IF(C27="","",[1]!s_segment_product_gpmargin(C27,G27,1))</f>
        <v/>
      </c>
      <c r="N27" s="57" t="str">
        <f>IF(C27="","",[1]!s_segment_product_item(C27,G27,2))</f>
        <v/>
      </c>
      <c r="O27" s="55" t="str">
        <f>IF(C27="","",[1]!s_segment_product_sales1(C27,G27,2,H27,100000000))</f>
        <v/>
      </c>
      <c r="P27" s="55" t="str">
        <f>IF(C27="","",[1]!s_segment_product_cost1(C27,G27,2,H27,100000000))</f>
        <v/>
      </c>
      <c r="Q27" s="55" t="str">
        <f>IF(C27="","",[1]!s_segment_product_profit1(C27,G27,2,H27,100000000))</f>
        <v/>
      </c>
      <c r="R27" s="59" t="str">
        <f>IF(C27="","",[1]!s_segment_product_gpmargin(C27,G27,2))</f>
        <v/>
      </c>
      <c r="S27" s="57" t="str">
        <f>IF(C27="","",[1]!s_segment_product_item(C27,G27,3))</f>
        <v/>
      </c>
      <c r="T27" s="55" t="str">
        <f>IF(C27="","",[1]!s_segment_product_sales1(C27,G27,3,H27,100000000))</f>
        <v/>
      </c>
      <c r="U27" s="55" t="str">
        <f>IF(C27="","",[1]!s_segment_product_cost1(C27,G27,3,H27,100000000))</f>
        <v/>
      </c>
      <c r="V27" s="55" t="str">
        <f>IF(C27="","",[1]!s_segment_product_profit1(C27,G27,3,H27,100000000))</f>
        <v/>
      </c>
      <c r="W27" s="59" t="str">
        <f>IF(C27="","",[1]!s_segment_product_gpmargin(C27,G27,3))</f>
        <v/>
      </c>
      <c r="X27" s="57" t="str">
        <f>IF(C27="","",[1]!s_segment_product_item(C27,G27,4))</f>
        <v/>
      </c>
      <c r="Y27" s="55" t="str">
        <f>IF(C27="","",[1]!s_segment_product_sales1(C27,G27,4,H27,100000000))</f>
        <v/>
      </c>
      <c r="Z27" s="55" t="str">
        <f>IF(C27="","",[1]!s_segment_product_cost1(C27,G27,4,H27,100000000))</f>
        <v/>
      </c>
      <c r="AA27" s="55" t="str">
        <f>IF(C27="","",[1]!s_segment_product_profit1(C27,G27,4,H27,100000000))</f>
        <v/>
      </c>
      <c r="AB27" s="59" t="str">
        <f>IF(C27="","",[1]!s_segment_product_gpmargin(C27,G27,4))</f>
        <v/>
      </c>
      <c r="AC27" s="57" t="str">
        <f>IF(C27="","",[1]!s_segment_product_item(C27,G27,5))</f>
        <v/>
      </c>
      <c r="AD27" s="55" t="str">
        <f>IF(C27="","",[1]!s_segment_product_sales1(C27,G27,5,H27,100000000))</f>
        <v/>
      </c>
      <c r="AE27" s="55" t="str">
        <f>IF(C27="","",[1]!s_segment_product_cost1(C27,G27,5,H27,100000000))</f>
        <v/>
      </c>
      <c r="AF27" s="55" t="str">
        <f>IF(C27="","",[1]!s_segment_product_profit1(C27,G27,5,H27,100000000))</f>
        <v/>
      </c>
      <c r="AG27" s="56" t="str">
        <f>IF(C27="","",[1]!s_segment_product_gpmargin(C27,G27,5))</f>
        <v/>
      </c>
      <c r="AH27" s="35"/>
    </row>
    <row r="28" spans="1:34" s="36" customFormat="1" ht="16.5" x14ac:dyDescent="0.2">
      <c r="A28" s="2"/>
      <c r="B28" s="6"/>
      <c r="C28" s="28" t="str">
        <f>IF(表1[[#This Row],[列1]]="","",表1[[#This Row],[列1]])</f>
        <v/>
      </c>
      <c r="D28" s="19" t="str">
        <f>IF(C28="","",[1]!hks_info_name(C28))</f>
        <v/>
      </c>
      <c r="E28" s="19" t="str">
        <f ca="1">IF(C28="","",[1]!lastradeday_s(C28,TODAY()))</f>
        <v/>
      </c>
      <c r="F28" s="49" t="str">
        <f>IF(C28="","",IF(OR([1]!s_stm_rpt_e(C28,基本资料!$I$8,0)="#N/A",[1]!s_stm_rpt_e(C28,基本资料!$I$8,0)="",[1]!s_stm_rpt_e(C28,基本资料!$I$8,0)=0),[1]!s_stm_rpt_e(C28,基本资料!$I$9,0),[1]!s_stm_rpt_e(C28,基本资料!$I$8,0)))</f>
        <v/>
      </c>
      <c r="G28" s="49" t="str">
        <f>IF(C28="","",[1]!s_stm_rpt_e(C28,F28,0))</f>
        <v/>
      </c>
      <c r="H28" s="49" t="str">
        <f>IF(C28="","",[1]!hks_info_cur2(C28,F28))</f>
        <v/>
      </c>
      <c r="I28" s="57" t="str">
        <f>IF(C28="","",[1]!s_segment_product_item(C28,G28,1))</f>
        <v/>
      </c>
      <c r="J28" s="23" t="str">
        <f>IF(C28="","",[1]!s_segment_product_sales1(C28,G28,1,H28,100000000))</f>
        <v/>
      </c>
      <c r="K28" s="23" t="str">
        <f>IF(C28="","",[1]!s_segment_product_cost1(C28,G28,1,H28,100000000))</f>
        <v/>
      </c>
      <c r="L28" s="23" t="str">
        <f>IF(C28="","",[1]!s_segment_product_profit1(C28,G28,1,H28,100000000))</f>
        <v/>
      </c>
      <c r="M28" s="25" t="str">
        <f>IF(C28="","",[1]!s_segment_product_gpmargin(C28,G28,1))</f>
        <v/>
      </c>
      <c r="N28" s="57" t="str">
        <f>IF(C28="","",[1]!s_segment_product_item(C28,G28,2))</f>
        <v/>
      </c>
      <c r="O28" s="55" t="str">
        <f>IF(C28="","",[1]!s_segment_product_sales1(C28,G28,2,H28,100000000))</f>
        <v/>
      </c>
      <c r="P28" s="55" t="str">
        <f>IF(C28="","",[1]!s_segment_product_cost1(C28,G28,2,H28,100000000))</f>
        <v/>
      </c>
      <c r="Q28" s="55" t="str">
        <f>IF(C28="","",[1]!s_segment_product_profit1(C28,G28,2,H28,100000000))</f>
        <v/>
      </c>
      <c r="R28" s="59" t="str">
        <f>IF(C28="","",[1]!s_segment_product_gpmargin(C28,G28,2))</f>
        <v/>
      </c>
      <c r="S28" s="57" t="str">
        <f>IF(C28="","",[1]!s_segment_product_item(C28,G28,3))</f>
        <v/>
      </c>
      <c r="T28" s="55" t="str">
        <f>IF(C28="","",[1]!s_segment_product_sales1(C28,G28,3,H28,100000000))</f>
        <v/>
      </c>
      <c r="U28" s="55" t="str">
        <f>IF(C28="","",[1]!s_segment_product_cost1(C28,G28,3,H28,100000000))</f>
        <v/>
      </c>
      <c r="V28" s="55" t="str">
        <f>IF(C28="","",[1]!s_segment_product_profit1(C28,G28,3,H28,100000000))</f>
        <v/>
      </c>
      <c r="W28" s="59" t="str">
        <f>IF(C28="","",[1]!s_segment_product_gpmargin(C28,G28,3))</f>
        <v/>
      </c>
      <c r="X28" s="57" t="str">
        <f>IF(C28="","",[1]!s_segment_product_item(C28,G28,4))</f>
        <v/>
      </c>
      <c r="Y28" s="55" t="str">
        <f>IF(C28="","",[1]!s_segment_product_sales1(C28,G28,4,H28,100000000))</f>
        <v/>
      </c>
      <c r="Z28" s="55" t="str">
        <f>IF(C28="","",[1]!s_segment_product_cost1(C28,G28,4,H28,100000000))</f>
        <v/>
      </c>
      <c r="AA28" s="55" t="str">
        <f>IF(C28="","",[1]!s_segment_product_profit1(C28,G28,4,H28,100000000))</f>
        <v/>
      </c>
      <c r="AB28" s="59" t="str">
        <f>IF(C28="","",[1]!s_segment_product_gpmargin(C28,G28,4))</f>
        <v/>
      </c>
      <c r="AC28" s="57" t="str">
        <f>IF(C28="","",[1]!s_segment_product_item(C28,G28,5))</f>
        <v/>
      </c>
      <c r="AD28" s="55" t="str">
        <f>IF(C28="","",[1]!s_segment_product_sales1(C28,G28,5,H28,100000000))</f>
        <v/>
      </c>
      <c r="AE28" s="55" t="str">
        <f>IF(C28="","",[1]!s_segment_product_cost1(C28,G28,5,H28,100000000))</f>
        <v/>
      </c>
      <c r="AF28" s="55" t="str">
        <f>IF(C28="","",[1]!s_segment_product_profit1(C28,G28,5,H28,100000000))</f>
        <v/>
      </c>
      <c r="AG28" s="56" t="str">
        <f>IF(C28="","",[1]!s_segment_product_gpmargin(C28,G28,5))</f>
        <v/>
      </c>
      <c r="AH28" s="35"/>
    </row>
    <row r="29" spans="1:34" s="36" customFormat="1" ht="16.5" x14ac:dyDescent="0.2">
      <c r="A29" s="2"/>
      <c r="B29" s="6"/>
      <c r="C29" s="28" t="str">
        <f>IF(表1[[#This Row],[列1]]="","",表1[[#This Row],[列1]])</f>
        <v/>
      </c>
      <c r="D29" s="19" t="str">
        <f>IF(C29="","",[1]!hks_info_name(C29))</f>
        <v/>
      </c>
      <c r="E29" s="19" t="str">
        <f ca="1">IF(C29="","",[1]!lastradeday_s(C29,TODAY()))</f>
        <v/>
      </c>
      <c r="F29" s="49" t="str">
        <f>IF(C29="","",IF(OR([1]!s_stm_rpt_e(C29,基本资料!$I$8,0)="#N/A",[1]!s_stm_rpt_e(C29,基本资料!$I$8,0)="",[1]!s_stm_rpt_e(C29,基本资料!$I$8,0)=0),[1]!s_stm_rpt_e(C29,基本资料!$I$9,0),[1]!s_stm_rpt_e(C29,基本资料!$I$8,0)))</f>
        <v/>
      </c>
      <c r="G29" s="49" t="str">
        <f>IF(C29="","",[1]!s_stm_rpt_e(C29,F29,0))</f>
        <v/>
      </c>
      <c r="H29" s="49" t="str">
        <f>IF(C29="","",[1]!hks_info_cur2(C29,F29))</f>
        <v/>
      </c>
      <c r="I29" s="57" t="str">
        <f>IF(C29="","",[1]!s_segment_product_item(C29,G29,1))</f>
        <v/>
      </c>
      <c r="J29" s="23" t="str">
        <f>IF(C29="","",[1]!s_segment_product_sales1(C29,G29,1,H29,100000000))</f>
        <v/>
      </c>
      <c r="K29" s="23" t="str">
        <f>IF(C29="","",[1]!s_segment_product_cost1(C29,G29,1,H29,100000000))</f>
        <v/>
      </c>
      <c r="L29" s="23" t="str">
        <f>IF(C29="","",[1]!s_segment_product_profit1(C29,G29,1,H29,100000000))</f>
        <v/>
      </c>
      <c r="M29" s="25" t="str">
        <f>IF(C29="","",[1]!s_segment_product_gpmargin(C29,G29,1))</f>
        <v/>
      </c>
      <c r="N29" s="57" t="str">
        <f>IF(C29="","",[1]!s_segment_product_item(C29,G29,2))</f>
        <v/>
      </c>
      <c r="O29" s="55" t="str">
        <f>IF(C29="","",[1]!s_segment_product_sales1(C29,G29,2,H29,100000000))</f>
        <v/>
      </c>
      <c r="P29" s="55" t="str">
        <f>IF(C29="","",[1]!s_segment_product_cost1(C29,G29,2,H29,100000000))</f>
        <v/>
      </c>
      <c r="Q29" s="55" t="str">
        <f>IF(C29="","",[1]!s_segment_product_profit1(C29,G29,2,H29,100000000))</f>
        <v/>
      </c>
      <c r="R29" s="59" t="str">
        <f>IF(C29="","",[1]!s_segment_product_gpmargin(C29,G29,2))</f>
        <v/>
      </c>
      <c r="S29" s="57" t="str">
        <f>IF(C29="","",[1]!s_segment_product_item(C29,G29,3))</f>
        <v/>
      </c>
      <c r="T29" s="55" t="str">
        <f>IF(C29="","",[1]!s_segment_product_sales1(C29,G29,3,H29,100000000))</f>
        <v/>
      </c>
      <c r="U29" s="55" t="str">
        <f>IF(C29="","",[1]!s_segment_product_cost1(C29,G29,3,H29,100000000))</f>
        <v/>
      </c>
      <c r="V29" s="55" t="str">
        <f>IF(C29="","",[1]!s_segment_product_profit1(C29,G29,3,H29,100000000))</f>
        <v/>
      </c>
      <c r="W29" s="59" t="str">
        <f>IF(C29="","",[1]!s_segment_product_gpmargin(C29,G29,3))</f>
        <v/>
      </c>
      <c r="X29" s="57" t="str">
        <f>IF(C29="","",[1]!s_segment_product_item(C29,G29,4))</f>
        <v/>
      </c>
      <c r="Y29" s="55" t="str">
        <f>IF(C29="","",[1]!s_segment_product_sales1(C29,G29,4,H29,100000000))</f>
        <v/>
      </c>
      <c r="Z29" s="55" t="str">
        <f>IF(C29="","",[1]!s_segment_product_cost1(C29,G29,4,H29,100000000))</f>
        <v/>
      </c>
      <c r="AA29" s="55" t="str">
        <f>IF(C29="","",[1]!s_segment_product_profit1(C29,G29,4,H29,100000000))</f>
        <v/>
      </c>
      <c r="AB29" s="59" t="str">
        <f>IF(C29="","",[1]!s_segment_product_gpmargin(C29,G29,4))</f>
        <v/>
      </c>
      <c r="AC29" s="57" t="str">
        <f>IF(C29="","",[1]!s_segment_product_item(C29,G29,5))</f>
        <v/>
      </c>
      <c r="AD29" s="55" t="str">
        <f>IF(C29="","",[1]!s_segment_product_sales1(C29,G29,5,H29,100000000))</f>
        <v/>
      </c>
      <c r="AE29" s="55" t="str">
        <f>IF(C29="","",[1]!s_segment_product_cost1(C29,G29,5,H29,100000000))</f>
        <v/>
      </c>
      <c r="AF29" s="55" t="str">
        <f>IF(C29="","",[1]!s_segment_product_profit1(C29,G29,5,H29,100000000))</f>
        <v/>
      </c>
      <c r="AG29" s="56" t="str">
        <f>IF(C29="","",[1]!s_segment_product_gpmargin(C29,G29,5))</f>
        <v/>
      </c>
      <c r="AH29" s="35"/>
    </row>
    <row r="30" spans="1:34" s="36" customFormat="1" ht="16.5" x14ac:dyDescent="0.2">
      <c r="A30" s="2"/>
      <c r="B30" s="6"/>
      <c r="C30" s="28" t="str">
        <f>IF(表1[[#This Row],[列1]]="","",表1[[#This Row],[列1]])</f>
        <v/>
      </c>
      <c r="D30" s="19" t="str">
        <f>IF(C30="","",[1]!hks_info_name(C30))</f>
        <v/>
      </c>
      <c r="E30" s="19" t="str">
        <f ca="1">IF(C30="","",[1]!lastradeday_s(C30,TODAY()))</f>
        <v/>
      </c>
      <c r="F30" s="49" t="str">
        <f>IF(C30="","",IF(OR([1]!s_stm_rpt_e(C30,基本资料!$I$8,0)="#N/A",[1]!s_stm_rpt_e(C30,基本资料!$I$8,0)="",[1]!s_stm_rpt_e(C30,基本资料!$I$8,0)=0),[1]!s_stm_rpt_e(C30,基本资料!$I$9,0),[1]!s_stm_rpt_e(C30,基本资料!$I$8,0)))</f>
        <v/>
      </c>
      <c r="G30" s="49" t="str">
        <f>IF(C30="","",[1]!s_stm_rpt_e(C30,F30,0))</f>
        <v/>
      </c>
      <c r="H30" s="49" t="str">
        <f>IF(C30="","",[1]!hks_info_cur2(C30,F30))</f>
        <v/>
      </c>
      <c r="I30" s="57" t="str">
        <f>IF(C30="","",[1]!s_segment_product_item(C30,G30,1))</f>
        <v/>
      </c>
      <c r="J30" s="23" t="str">
        <f>IF(C30="","",[1]!s_segment_product_sales1(C30,G30,1,H30,100000000))</f>
        <v/>
      </c>
      <c r="K30" s="23" t="str">
        <f>IF(C30="","",[1]!s_segment_product_cost1(C30,G30,1,H30,100000000))</f>
        <v/>
      </c>
      <c r="L30" s="23" t="str">
        <f>IF(C30="","",[1]!s_segment_product_profit1(C30,G30,1,H30,100000000))</f>
        <v/>
      </c>
      <c r="M30" s="25" t="str">
        <f>IF(C30="","",[1]!s_segment_product_gpmargin(C30,G30,1))</f>
        <v/>
      </c>
      <c r="N30" s="57" t="str">
        <f>IF(C30="","",[1]!s_segment_product_item(C30,G30,2))</f>
        <v/>
      </c>
      <c r="O30" s="55" t="str">
        <f>IF(C30="","",[1]!s_segment_product_sales1(C30,G30,2,H30,100000000))</f>
        <v/>
      </c>
      <c r="P30" s="55" t="str">
        <f>IF(C30="","",[1]!s_segment_product_cost1(C30,G30,2,H30,100000000))</f>
        <v/>
      </c>
      <c r="Q30" s="55" t="str">
        <f>IF(C30="","",[1]!s_segment_product_profit1(C30,G30,2,H30,100000000))</f>
        <v/>
      </c>
      <c r="R30" s="59" t="str">
        <f>IF(C30="","",[1]!s_segment_product_gpmargin(C30,G30,2))</f>
        <v/>
      </c>
      <c r="S30" s="57" t="str">
        <f>IF(C30="","",[1]!s_segment_product_item(C30,G30,3))</f>
        <v/>
      </c>
      <c r="T30" s="55" t="str">
        <f>IF(C30="","",[1]!s_segment_product_sales1(C30,G30,3,H30,100000000))</f>
        <v/>
      </c>
      <c r="U30" s="55" t="str">
        <f>IF(C30="","",[1]!s_segment_product_cost1(C30,G30,3,H30,100000000))</f>
        <v/>
      </c>
      <c r="V30" s="55" t="str">
        <f>IF(C30="","",[1]!s_segment_product_profit1(C30,G30,3,H30,100000000))</f>
        <v/>
      </c>
      <c r="W30" s="59" t="str">
        <f>IF(C30="","",[1]!s_segment_product_gpmargin(C30,G30,3))</f>
        <v/>
      </c>
      <c r="X30" s="57" t="str">
        <f>IF(C30="","",[1]!s_segment_product_item(C30,G30,4))</f>
        <v/>
      </c>
      <c r="Y30" s="55" t="str">
        <f>IF(C30="","",[1]!s_segment_product_sales1(C30,G30,4,H30,100000000))</f>
        <v/>
      </c>
      <c r="Z30" s="55" t="str">
        <f>IF(C30="","",[1]!s_segment_product_cost1(C30,G30,4,H30,100000000))</f>
        <v/>
      </c>
      <c r="AA30" s="55" t="str">
        <f>IF(C30="","",[1]!s_segment_product_profit1(C30,G30,4,H30,100000000))</f>
        <v/>
      </c>
      <c r="AB30" s="59" t="str">
        <f>IF(C30="","",[1]!s_segment_product_gpmargin(C30,G30,4))</f>
        <v/>
      </c>
      <c r="AC30" s="57" t="str">
        <f>IF(C30="","",[1]!s_segment_product_item(C30,G30,5))</f>
        <v/>
      </c>
      <c r="AD30" s="55" t="str">
        <f>IF(C30="","",[1]!s_segment_product_sales1(C30,G30,5,H30,100000000))</f>
        <v/>
      </c>
      <c r="AE30" s="55" t="str">
        <f>IF(C30="","",[1]!s_segment_product_cost1(C30,G30,5,H30,100000000))</f>
        <v/>
      </c>
      <c r="AF30" s="55" t="str">
        <f>IF(C30="","",[1]!s_segment_product_profit1(C30,G30,5,H30,100000000))</f>
        <v/>
      </c>
      <c r="AG30" s="56" t="str">
        <f>IF(C30="","",[1]!s_segment_product_gpmargin(C30,G30,5))</f>
        <v/>
      </c>
      <c r="AH30" s="35"/>
    </row>
    <row r="31" spans="1:34" s="36" customFormat="1" ht="16.5" x14ac:dyDescent="0.2">
      <c r="A31" s="2"/>
      <c r="B31" s="6"/>
      <c r="C31" s="28" t="str">
        <f>IF(表1[[#This Row],[列1]]="","",表1[[#This Row],[列1]])</f>
        <v/>
      </c>
      <c r="D31" s="19" t="str">
        <f>IF(C31="","",[1]!hks_info_name(C31))</f>
        <v/>
      </c>
      <c r="E31" s="19" t="str">
        <f ca="1">IF(C31="","",[1]!lastradeday_s(C31,TODAY()))</f>
        <v/>
      </c>
      <c r="F31" s="49" t="str">
        <f>IF(C31="","",IF(OR([1]!s_stm_rpt_e(C31,基本资料!$I$8,0)="#N/A",[1]!s_stm_rpt_e(C31,基本资料!$I$8,0)="",[1]!s_stm_rpt_e(C31,基本资料!$I$8,0)=0),[1]!s_stm_rpt_e(C31,基本资料!$I$9,0),[1]!s_stm_rpt_e(C31,基本资料!$I$8,0)))</f>
        <v/>
      </c>
      <c r="G31" s="49" t="str">
        <f>IF(C31="","",[1]!s_stm_rpt_e(C31,F31,0))</f>
        <v/>
      </c>
      <c r="H31" s="49" t="str">
        <f>IF(C31="","",[1]!hks_info_cur2(C31,F31))</f>
        <v/>
      </c>
      <c r="I31" s="57" t="str">
        <f>IF(C31="","",[1]!s_segment_product_item(C31,G31,1))</f>
        <v/>
      </c>
      <c r="J31" s="23" t="str">
        <f>IF(C31="","",[1]!s_segment_product_sales1(C31,G31,1,H31,100000000))</f>
        <v/>
      </c>
      <c r="K31" s="23" t="str">
        <f>IF(C31="","",[1]!s_segment_product_cost1(C31,G31,1,H31,100000000))</f>
        <v/>
      </c>
      <c r="L31" s="23" t="str">
        <f>IF(C31="","",[1]!s_segment_product_profit1(C31,G31,1,H31,100000000))</f>
        <v/>
      </c>
      <c r="M31" s="25" t="str">
        <f>IF(C31="","",[1]!s_segment_product_gpmargin(C31,G31,1))</f>
        <v/>
      </c>
      <c r="N31" s="57" t="str">
        <f>IF(C31="","",[1]!s_segment_product_item(C31,G31,2))</f>
        <v/>
      </c>
      <c r="O31" s="55" t="str">
        <f>IF(C31="","",[1]!s_segment_product_sales1(C31,G31,2,H31,100000000))</f>
        <v/>
      </c>
      <c r="P31" s="55" t="str">
        <f>IF(C31="","",[1]!s_segment_product_cost1(C31,G31,2,H31,100000000))</f>
        <v/>
      </c>
      <c r="Q31" s="55" t="str">
        <f>IF(C31="","",[1]!s_segment_product_profit1(C31,G31,2,H31,100000000))</f>
        <v/>
      </c>
      <c r="R31" s="59" t="str">
        <f>IF(C31="","",[1]!s_segment_product_gpmargin(C31,G31,2))</f>
        <v/>
      </c>
      <c r="S31" s="57" t="str">
        <f>IF(C31="","",[1]!s_segment_product_item(C31,G31,3))</f>
        <v/>
      </c>
      <c r="T31" s="55" t="str">
        <f>IF(C31="","",[1]!s_segment_product_sales1(C31,G31,3,H31,100000000))</f>
        <v/>
      </c>
      <c r="U31" s="55" t="str">
        <f>IF(C31="","",[1]!s_segment_product_cost1(C31,G31,3,H31,100000000))</f>
        <v/>
      </c>
      <c r="V31" s="55" t="str">
        <f>IF(C31="","",[1]!s_segment_product_profit1(C31,G31,3,H31,100000000))</f>
        <v/>
      </c>
      <c r="W31" s="59" t="str">
        <f>IF(C31="","",[1]!s_segment_product_gpmargin(C31,G31,3))</f>
        <v/>
      </c>
      <c r="X31" s="57" t="str">
        <f>IF(C31="","",[1]!s_segment_product_item(C31,G31,4))</f>
        <v/>
      </c>
      <c r="Y31" s="55" t="str">
        <f>IF(C31="","",[1]!s_segment_product_sales1(C31,G31,4,H31,100000000))</f>
        <v/>
      </c>
      <c r="Z31" s="55" t="str">
        <f>IF(C31="","",[1]!s_segment_product_cost1(C31,G31,4,H31,100000000))</f>
        <v/>
      </c>
      <c r="AA31" s="55" t="str">
        <f>IF(C31="","",[1]!s_segment_product_profit1(C31,G31,4,H31,100000000))</f>
        <v/>
      </c>
      <c r="AB31" s="59" t="str">
        <f>IF(C31="","",[1]!s_segment_product_gpmargin(C31,G31,4))</f>
        <v/>
      </c>
      <c r="AC31" s="57" t="str">
        <f>IF(C31="","",[1]!s_segment_product_item(C31,G31,5))</f>
        <v/>
      </c>
      <c r="AD31" s="55" t="str">
        <f>IF(C31="","",[1]!s_segment_product_sales1(C31,G31,5,H31,100000000))</f>
        <v/>
      </c>
      <c r="AE31" s="55" t="str">
        <f>IF(C31="","",[1]!s_segment_product_cost1(C31,G31,5,H31,100000000))</f>
        <v/>
      </c>
      <c r="AF31" s="55" t="str">
        <f>IF(C31="","",[1]!s_segment_product_profit1(C31,G31,5,H31,100000000))</f>
        <v/>
      </c>
      <c r="AG31" s="56" t="str">
        <f>IF(C31="","",[1]!s_segment_product_gpmargin(C31,G31,5))</f>
        <v/>
      </c>
      <c r="AH31" s="35"/>
    </row>
    <row r="32" spans="1:34" s="36" customFormat="1" ht="16.5" x14ac:dyDescent="0.2">
      <c r="A32" s="2"/>
      <c r="B32" s="6"/>
      <c r="C32" s="28" t="str">
        <f>IF(表1[[#This Row],[列1]]="","",表1[[#This Row],[列1]])</f>
        <v/>
      </c>
      <c r="D32" s="19" t="str">
        <f>IF(C32="","",[1]!hks_info_name(C32))</f>
        <v/>
      </c>
      <c r="E32" s="19" t="str">
        <f ca="1">IF(C32="","",[1]!lastradeday_s(C32,TODAY()))</f>
        <v/>
      </c>
      <c r="F32" s="49" t="str">
        <f>IF(C32="","",IF(OR([1]!s_stm_rpt_e(C32,基本资料!$I$8,0)="#N/A",[1]!s_stm_rpt_e(C32,基本资料!$I$8,0)="",[1]!s_stm_rpt_e(C32,基本资料!$I$8,0)=0),[1]!s_stm_rpt_e(C32,基本资料!$I$9,0),[1]!s_stm_rpt_e(C32,基本资料!$I$8,0)))</f>
        <v/>
      </c>
      <c r="G32" s="49" t="str">
        <f>IF(C32="","",[1]!s_stm_rpt_e(C32,F32,0))</f>
        <v/>
      </c>
      <c r="H32" s="49" t="str">
        <f>IF(C32="","",[1]!hks_info_cur2(C32,F32))</f>
        <v/>
      </c>
      <c r="I32" s="57" t="str">
        <f>IF(C32="","",[1]!s_segment_product_item(C32,G32,1))</f>
        <v/>
      </c>
      <c r="J32" s="23" t="str">
        <f>IF(C32="","",[1]!s_segment_product_sales1(C32,G32,1,H32,100000000))</f>
        <v/>
      </c>
      <c r="K32" s="23" t="str">
        <f>IF(C32="","",[1]!s_segment_product_cost1(C32,G32,1,H32,100000000))</f>
        <v/>
      </c>
      <c r="L32" s="23" t="str">
        <f>IF(C32="","",[1]!s_segment_product_profit1(C32,G32,1,H32,100000000))</f>
        <v/>
      </c>
      <c r="M32" s="25" t="str">
        <f>IF(C32="","",[1]!s_segment_product_gpmargin(C32,G32,1))</f>
        <v/>
      </c>
      <c r="N32" s="57" t="str">
        <f>IF(C32="","",[1]!s_segment_product_item(C32,G32,2))</f>
        <v/>
      </c>
      <c r="O32" s="55" t="str">
        <f>IF(C32="","",[1]!s_segment_product_sales1(C32,G32,2,H32,100000000))</f>
        <v/>
      </c>
      <c r="P32" s="55" t="str">
        <f>IF(C32="","",[1]!s_segment_product_cost1(C32,G32,2,H32,100000000))</f>
        <v/>
      </c>
      <c r="Q32" s="55" t="str">
        <f>IF(C32="","",[1]!s_segment_product_profit1(C32,G32,2,H32,100000000))</f>
        <v/>
      </c>
      <c r="R32" s="59" t="str">
        <f>IF(C32="","",[1]!s_segment_product_gpmargin(C32,G32,2))</f>
        <v/>
      </c>
      <c r="S32" s="57" t="str">
        <f>IF(C32="","",[1]!s_segment_product_item(C32,G32,3))</f>
        <v/>
      </c>
      <c r="T32" s="55" t="str">
        <f>IF(C32="","",[1]!s_segment_product_sales1(C32,G32,3,H32,100000000))</f>
        <v/>
      </c>
      <c r="U32" s="55" t="str">
        <f>IF(C32="","",[1]!s_segment_product_cost1(C32,G32,3,H32,100000000))</f>
        <v/>
      </c>
      <c r="V32" s="55" t="str">
        <f>IF(C32="","",[1]!s_segment_product_profit1(C32,G32,3,H32,100000000))</f>
        <v/>
      </c>
      <c r="W32" s="59" t="str">
        <f>IF(C32="","",[1]!s_segment_product_gpmargin(C32,G32,3))</f>
        <v/>
      </c>
      <c r="X32" s="57" t="str">
        <f>IF(C32="","",[1]!s_segment_product_item(C32,G32,4))</f>
        <v/>
      </c>
      <c r="Y32" s="55" t="str">
        <f>IF(C32="","",[1]!s_segment_product_sales1(C32,G32,4,H32,100000000))</f>
        <v/>
      </c>
      <c r="Z32" s="55" t="str">
        <f>IF(C32="","",[1]!s_segment_product_cost1(C32,G32,4,H32,100000000))</f>
        <v/>
      </c>
      <c r="AA32" s="55" t="str">
        <f>IF(C32="","",[1]!s_segment_product_profit1(C32,G32,4,H32,100000000))</f>
        <v/>
      </c>
      <c r="AB32" s="59" t="str">
        <f>IF(C32="","",[1]!s_segment_product_gpmargin(C32,G32,4))</f>
        <v/>
      </c>
      <c r="AC32" s="57" t="str">
        <f>IF(C32="","",[1]!s_segment_product_item(C32,G32,5))</f>
        <v/>
      </c>
      <c r="AD32" s="55" t="str">
        <f>IF(C32="","",[1]!s_segment_product_sales1(C32,G32,5,H32,100000000))</f>
        <v/>
      </c>
      <c r="AE32" s="55" t="str">
        <f>IF(C32="","",[1]!s_segment_product_cost1(C32,G32,5,H32,100000000))</f>
        <v/>
      </c>
      <c r="AF32" s="55" t="str">
        <f>IF(C32="","",[1]!s_segment_product_profit1(C32,G32,5,H32,100000000))</f>
        <v/>
      </c>
      <c r="AG32" s="56" t="str">
        <f>IF(C32="","",[1]!s_segment_product_gpmargin(C32,G32,5))</f>
        <v/>
      </c>
      <c r="AH32" s="35"/>
    </row>
    <row r="33" spans="1:34" s="36" customFormat="1" ht="16.5" x14ac:dyDescent="0.2">
      <c r="A33" s="2"/>
      <c r="B33" s="6"/>
      <c r="C33" s="28" t="str">
        <f>IF(表1[[#This Row],[列1]]="","",表1[[#This Row],[列1]])</f>
        <v/>
      </c>
      <c r="D33" s="19" t="str">
        <f>IF(C33="","",[1]!hks_info_name(C33))</f>
        <v/>
      </c>
      <c r="E33" s="19" t="str">
        <f ca="1">IF(C33="","",[1]!lastradeday_s(C33,TODAY()))</f>
        <v/>
      </c>
      <c r="F33" s="49" t="str">
        <f>IF(C33="","",IF(OR([1]!s_stm_rpt_e(C33,基本资料!$I$8,0)="#N/A",[1]!s_stm_rpt_e(C33,基本资料!$I$8,0)="",[1]!s_stm_rpt_e(C33,基本资料!$I$8,0)=0),[1]!s_stm_rpt_e(C33,基本资料!$I$9,0),[1]!s_stm_rpt_e(C33,基本资料!$I$8,0)))</f>
        <v/>
      </c>
      <c r="G33" s="49" t="str">
        <f>IF(C33="","",[1]!s_stm_rpt_e(C33,F33,0))</f>
        <v/>
      </c>
      <c r="H33" s="49" t="str">
        <f>IF(C33="","",[1]!hks_info_cur2(C33,F33))</f>
        <v/>
      </c>
      <c r="I33" s="57" t="str">
        <f>IF(C33="","",[1]!s_segment_product_item(C33,G33,1))</f>
        <v/>
      </c>
      <c r="J33" s="23" t="str">
        <f>IF(C33="","",[1]!s_segment_product_sales1(C33,G33,1,H33,100000000))</f>
        <v/>
      </c>
      <c r="K33" s="23" t="str">
        <f>IF(C33="","",[1]!s_segment_product_cost1(C33,G33,1,H33,100000000))</f>
        <v/>
      </c>
      <c r="L33" s="23" t="str">
        <f>IF(C33="","",[1]!s_segment_product_profit1(C33,G33,1,H33,100000000))</f>
        <v/>
      </c>
      <c r="M33" s="25" t="str">
        <f>IF(C33="","",[1]!s_segment_product_gpmargin(C33,G33,1))</f>
        <v/>
      </c>
      <c r="N33" s="57" t="str">
        <f>IF(C33="","",[1]!s_segment_product_item(C33,G33,2))</f>
        <v/>
      </c>
      <c r="O33" s="55" t="str">
        <f>IF(C33="","",[1]!s_segment_product_sales1(C33,G33,2,H33,100000000))</f>
        <v/>
      </c>
      <c r="P33" s="55" t="str">
        <f>IF(C33="","",[1]!s_segment_product_cost1(C33,G33,2,H33,100000000))</f>
        <v/>
      </c>
      <c r="Q33" s="55" t="str">
        <f>IF(C33="","",[1]!s_segment_product_profit1(C33,G33,2,H33,100000000))</f>
        <v/>
      </c>
      <c r="R33" s="59" t="str">
        <f>IF(C33="","",[1]!s_segment_product_gpmargin(C33,G33,2))</f>
        <v/>
      </c>
      <c r="S33" s="57" t="str">
        <f>IF(C33="","",[1]!s_segment_product_item(C33,G33,3))</f>
        <v/>
      </c>
      <c r="T33" s="55" t="str">
        <f>IF(C33="","",[1]!s_segment_product_sales1(C33,G33,3,H33,100000000))</f>
        <v/>
      </c>
      <c r="U33" s="55" t="str">
        <f>IF(C33="","",[1]!s_segment_product_cost1(C33,G33,3,H33,100000000))</f>
        <v/>
      </c>
      <c r="V33" s="55" t="str">
        <f>IF(C33="","",[1]!s_segment_product_profit1(C33,G33,3,H33,100000000))</f>
        <v/>
      </c>
      <c r="W33" s="59" t="str">
        <f>IF(C33="","",[1]!s_segment_product_gpmargin(C33,G33,3))</f>
        <v/>
      </c>
      <c r="X33" s="57" t="str">
        <f>IF(C33="","",[1]!s_segment_product_item(C33,G33,4))</f>
        <v/>
      </c>
      <c r="Y33" s="55" t="str">
        <f>IF(C33="","",[1]!s_segment_product_sales1(C33,G33,4,H33,100000000))</f>
        <v/>
      </c>
      <c r="Z33" s="55" t="str">
        <f>IF(C33="","",[1]!s_segment_product_cost1(C33,G33,4,H33,100000000))</f>
        <v/>
      </c>
      <c r="AA33" s="55" t="str">
        <f>IF(C33="","",[1]!s_segment_product_profit1(C33,G33,4,H33,100000000))</f>
        <v/>
      </c>
      <c r="AB33" s="59" t="str">
        <f>IF(C33="","",[1]!s_segment_product_gpmargin(C33,G33,4))</f>
        <v/>
      </c>
      <c r="AC33" s="57" t="str">
        <f>IF(C33="","",[1]!s_segment_product_item(C33,G33,5))</f>
        <v/>
      </c>
      <c r="AD33" s="55" t="str">
        <f>IF(C33="","",[1]!s_segment_product_sales1(C33,G33,5,H33,100000000))</f>
        <v/>
      </c>
      <c r="AE33" s="55" t="str">
        <f>IF(C33="","",[1]!s_segment_product_cost1(C33,G33,5,H33,100000000))</f>
        <v/>
      </c>
      <c r="AF33" s="55" t="str">
        <f>IF(C33="","",[1]!s_segment_product_profit1(C33,G33,5,H33,100000000))</f>
        <v/>
      </c>
      <c r="AG33" s="56" t="str">
        <f>IF(C33="","",[1]!s_segment_product_gpmargin(C33,G33,5))</f>
        <v/>
      </c>
      <c r="AH33" s="35"/>
    </row>
    <row r="34" spans="1:34" s="36" customFormat="1" ht="16.5" x14ac:dyDescent="0.2">
      <c r="A34" s="2"/>
      <c r="B34" s="6"/>
      <c r="C34" s="28" t="str">
        <f>IF(表1[[#This Row],[列1]]="","",表1[[#This Row],[列1]])</f>
        <v/>
      </c>
      <c r="D34" s="19" t="str">
        <f>IF(C34="","",[1]!hks_info_name(C34))</f>
        <v/>
      </c>
      <c r="E34" s="19" t="str">
        <f ca="1">IF(C34="","",[1]!lastradeday_s(C34,TODAY()))</f>
        <v/>
      </c>
      <c r="F34" s="49" t="str">
        <f>IF(C34="","",IF(OR([1]!s_stm_rpt_e(C34,基本资料!$I$8,0)="#N/A",[1]!s_stm_rpt_e(C34,基本资料!$I$8,0)="",[1]!s_stm_rpt_e(C34,基本资料!$I$8,0)=0),[1]!s_stm_rpt_e(C34,基本资料!$I$9,0),[1]!s_stm_rpt_e(C34,基本资料!$I$8,0)))</f>
        <v/>
      </c>
      <c r="G34" s="49" t="str">
        <f>IF(C34="","",[1]!s_stm_rpt_e(C34,F34,0))</f>
        <v/>
      </c>
      <c r="H34" s="49" t="str">
        <f>IF(C34="","",[1]!hks_info_cur2(C34,F34))</f>
        <v/>
      </c>
      <c r="I34" s="57" t="str">
        <f>IF(C34="","",[1]!s_segment_product_item(C34,G34,1))</f>
        <v/>
      </c>
      <c r="J34" s="23" t="str">
        <f>IF(C34="","",[1]!s_segment_product_sales1(C34,G34,1,H34,100000000))</f>
        <v/>
      </c>
      <c r="K34" s="23" t="str">
        <f>IF(C34="","",[1]!s_segment_product_cost1(C34,G34,1,H34,100000000))</f>
        <v/>
      </c>
      <c r="L34" s="23" t="str">
        <f>IF(C34="","",[1]!s_segment_product_profit1(C34,G34,1,H34,100000000))</f>
        <v/>
      </c>
      <c r="M34" s="25" t="str">
        <f>IF(C34="","",[1]!s_segment_product_gpmargin(C34,G34,1))</f>
        <v/>
      </c>
      <c r="N34" s="57" t="str">
        <f>IF(C34="","",[1]!s_segment_product_item(C34,G34,2))</f>
        <v/>
      </c>
      <c r="O34" s="55" t="str">
        <f>IF(C34="","",[1]!s_segment_product_sales1(C34,G34,2,H34,100000000))</f>
        <v/>
      </c>
      <c r="P34" s="55" t="str">
        <f>IF(C34="","",[1]!s_segment_product_cost1(C34,G34,2,H34,100000000))</f>
        <v/>
      </c>
      <c r="Q34" s="55" t="str">
        <f>IF(C34="","",[1]!s_segment_product_profit1(C34,G34,2,H34,100000000))</f>
        <v/>
      </c>
      <c r="R34" s="59" t="str">
        <f>IF(C34="","",[1]!s_segment_product_gpmargin(C34,G34,2))</f>
        <v/>
      </c>
      <c r="S34" s="57" t="str">
        <f>IF(C34="","",[1]!s_segment_product_item(C34,G34,3))</f>
        <v/>
      </c>
      <c r="T34" s="55" t="str">
        <f>IF(C34="","",[1]!s_segment_product_sales1(C34,G34,3,H34,100000000))</f>
        <v/>
      </c>
      <c r="U34" s="55" t="str">
        <f>IF(C34="","",[1]!s_segment_product_cost1(C34,G34,3,H34,100000000))</f>
        <v/>
      </c>
      <c r="V34" s="55" t="str">
        <f>IF(C34="","",[1]!s_segment_product_profit1(C34,G34,3,H34,100000000))</f>
        <v/>
      </c>
      <c r="W34" s="59" t="str">
        <f>IF(C34="","",[1]!s_segment_product_gpmargin(C34,G34,3))</f>
        <v/>
      </c>
      <c r="X34" s="57" t="str">
        <f>IF(C34="","",[1]!s_segment_product_item(C34,G34,4))</f>
        <v/>
      </c>
      <c r="Y34" s="55" t="str">
        <f>IF(C34="","",[1]!s_segment_product_sales1(C34,G34,4,H34,100000000))</f>
        <v/>
      </c>
      <c r="Z34" s="55" t="str">
        <f>IF(C34="","",[1]!s_segment_product_cost1(C34,G34,4,H34,100000000))</f>
        <v/>
      </c>
      <c r="AA34" s="55" t="str">
        <f>IF(C34="","",[1]!s_segment_product_profit1(C34,G34,4,H34,100000000))</f>
        <v/>
      </c>
      <c r="AB34" s="59" t="str">
        <f>IF(C34="","",[1]!s_segment_product_gpmargin(C34,G34,4))</f>
        <v/>
      </c>
      <c r="AC34" s="57" t="str">
        <f>IF(C34="","",[1]!s_segment_product_item(C34,G34,5))</f>
        <v/>
      </c>
      <c r="AD34" s="55" t="str">
        <f>IF(C34="","",[1]!s_segment_product_sales1(C34,G34,5,H34,100000000))</f>
        <v/>
      </c>
      <c r="AE34" s="55" t="str">
        <f>IF(C34="","",[1]!s_segment_product_cost1(C34,G34,5,H34,100000000))</f>
        <v/>
      </c>
      <c r="AF34" s="55" t="str">
        <f>IF(C34="","",[1]!s_segment_product_profit1(C34,G34,5,H34,100000000))</f>
        <v/>
      </c>
      <c r="AG34" s="56" t="str">
        <f>IF(C34="","",[1]!s_segment_product_gpmargin(C34,G34,5))</f>
        <v/>
      </c>
      <c r="AH34" s="35"/>
    </row>
    <row r="35" spans="1:34" s="36" customFormat="1" ht="16.5" x14ac:dyDescent="0.2">
      <c r="A35" s="2"/>
      <c r="B35" s="6"/>
      <c r="C35" s="28" t="str">
        <f>IF(表1[[#This Row],[列1]]="","",表1[[#This Row],[列1]])</f>
        <v/>
      </c>
      <c r="D35" s="19" t="str">
        <f>IF(C35="","",[1]!hks_info_name(C35))</f>
        <v/>
      </c>
      <c r="E35" s="19" t="str">
        <f ca="1">IF(C35="","",[1]!lastradeday_s(C35,TODAY()))</f>
        <v/>
      </c>
      <c r="F35" s="49" t="str">
        <f>IF(C35="","",IF(OR([1]!s_stm_rpt_e(C35,基本资料!$I$8,0)="#N/A",[1]!s_stm_rpt_e(C35,基本资料!$I$8,0)="",[1]!s_stm_rpt_e(C35,基本资料!$I$8,0)=0),[1]!s_stm_rpt_e(C35,基本资料!$I$9,0),[1]!s_stm_rpt_e(C35,基本资料!$I$8,0)))</f>
        <v/>
      </c>
      <c r="G35" s="49" t="str">
        <f>IF(C35="","",[1]!s_stm_rpt_e(C35,F35,0))</f>
        <v/>
      </c>
      <c r="H35" s="49" t="str">
        <f>IF(C35="","",[1]!hks_info_cur2(C35,F35))</f>
        <v/>
      </c>
      <c r="I35" s="57" t="str">
        <f>IF(C35="","",[1]!s_segment_product_item(C35,G35,1))</f>
        <v/>
      </c>
      <c r="J35" s="23" t="str">
        <f>IF(C35="","",[1]!s_segment_product_sales1(C35,G35,1,H35,100000000))</f>
        <v/>
      </c>
      <c r="K35" s="23" t="str">
        <f>IF(C35="","",[1]!s_segment_product_cost1(C35,G35,1,H35,100000000))</f>
        <v/>
      </c>
      <c r="L35" s="23" t="str">
        <f>IF(C35="","",[1]!s_segment_product_profit1(C35,G35,1,H35,100000000))</f>
        <v/>
      </c>
      <c r="M35" s="25" t="str">
        <f>IF(C35="","",[1]!s_segment_product_gpmargin(C35,G35,1))</f>
        <v/>
      </c>
      <c r="N35" s="57" t="str">
        <f>IF(C35="","",[1]!s_segment_product_item(C35,G35,2))</f>
        <v/>
      </c>
      <c r="O35" s="55" t="str">
        <f>IF(C35="","",[1]!s_segment_product_sales1(C35,G35,2,H35,100000000))</f>
        <v/>
      </c>
      <c r="P35" s="55" t="str">
        <f>IF(C35="","",[1]!s_segment_product_cost1(C35,G35,2,H35,100000000))</f>
        <v/>
      </c>
      <c r="Q35" s="55" t="str">
        <f>IF(C35="","",[1]!s_segment_product_profit1(C35,G35,2,H35,100000000))</f>
        <v/>
      </c>
      <c r="R35" s="59" t="str">
        <f>IF(C35="","",[1]!s_segment_product_gpmargin(C35,G35,2))</f>
        <v/>
      </c>
      <c r="S35" s="57" t="str">
        <f>IF(C35="","",[1]!s_segment_product_item(C35,G35,3))</f>
        <v/>
      </c>
      <c r="T35" s="55" t="str">
        <f>IF(C35="","",[1]!s_segment_product_sales1(C35,G35,3,H35,100000000))</f>
        <v/>
      </c>
      <c r="U35" s="55" t="str">
        <f>IF(C35="","",[1]!s_segment_product_cost1(C35,G35,3,H35,100000000))</f>
        <v/>
      </c>
      <c r="V35" s="55" t="str">
        <f>IF(C35="","",[1]!s_segment_product_profit1(C35,G35,3,H35,100000000))</f>
        <v/>
      </c>
      <c r="W35" s="59" t="str">
        <f>IF(C35="","",[1]!s_segment_product_gpmargin(C35,G35,3))</f>
        <v/>
      </c>
      <c r="X35" s="57" t="str">
        <f>IF(C35="","",[1]!s_segment_product_item(C35,G35,4))</f>
        <v/>
      </c>
      <c r="Y35" s="55" t="str">
        <f>IF(C35="","",[1]!s_segment_product_sales1(C35,G35,4,H35,100000000))</f>
        <v/>
      </c>
      <c r="Z35" s="55" t="str">
        <f>IF(C35="","",[1]!s_segment_product_cost1(C35,G35,4,H35,100000000))</f>
        <v/>
      </c>
      <c r="AA35" s="55" t="str">
        <f>IF(C35="","",[1]!s_segment_product_profit1(C35,G35,4,H35,100000000))</f>
        <v/>
      </c>
      <c r="AB35" s="59" t="str">
        <f>IF(C35="","",[1]!s_segment_product_gpmargin(C35,G35,4))</f>
        <v/>
      </c>
      <c r="AC35" s="57" t="str">
        <f>IF(C35="","",[1]!s_segment_product_item(C35,G35,5))</f>
        <v/>
      </c>
      <c r="AD35" s="55" t="str">
        <f>IF(C35="","",[1]!s_segment_product_sales1(C35,G35,5,H35,100000000))</f>
        <v/>
      </c>
      <c r="AE35" s="55" t="str">
        <f>IF(C35="","",[1]!s_segment_product_cost1(C35,G35,5,H35,100000000))</f>
        <v/>
      </c>
      <c r="AF35" s="55" t="str">
        <f>IF(C35="","",[1]!s_segment_product_profit1(C35,G35,5,H35,100000000))</f>
        <v/>
      </c>
      <c r="AG35" s="56" t="str">
        <f>IF(C35="","",[1]!s_segment_product_gpmargin(C35,G35,5))</f>
        <v/>
      </c>
      <c r="AH35" s="35"/>
    </row>
    <row r="36" spans="1:34" s="36" customFormat="1" ht="16.5" x14ac:dyDescent="0.2">
      <c r="A36" s="2"/>
      <c r="B36" s="6"/>
      <c r="C36" s="28" t="str">
        <f>IF(表1[[#This Row],[列1]]="","",表1[[#This Row],[列1]])</f>
        <v/>
      </c>
      <c r="D36" s="19" t="str">
        <f>IF(C36="","",[1]!hks_info_name(C36))</f>
        <v/>
      </c>
      <c r="E36" s="19" t="str">
        <f ca="1">IF(C36="","",[1]!lastradeday_s(C36,TODAY()))</f>
        <v/>
      </c>
      <c r="F36" s="49" t="str">
        <f>IF(C36="","",IF(OR([1]!s_stm_rpt_e(C36,基本资料!$I$8,0)="#N/A",[1]!s_stm_rpt_e(C36,基本资料!$I$8,0)="",[1]!s_stm_rpt_e(C36,基本资料!$I$8,0)=0),[1]!s_stm_rpt_e(C36,基本资料!$I$9,0),[1]!s_stm_rpt_e(C36,基本资料!$I$8,0)))</f>
        <v/>
      </c>
      <c r="G36" s="49" t="str">
        <f>IF(C36="","",[1]!s_stm_rpt_e(C36,F36,0))</f>
        <v/>
      </c>
      <c r="H36" s="49" t="str">
        <f>IF(C36="","",[1]!hks_info_cur2(C36,F36))</f>
        <v/>
      </c>
      <c r="I36" s="57" t="str">
        <f>IF(C36="","",[1]!s_segment_product_item(C36,G36,1))</f>
        <v/>
      </c>
      <c r="J36" s="23" t="str">
        <f>IF(C36="","",[1]!s_segment_product_sales1(C36,G36,1,H36,100000000))</f>
        <v/>
      </c>
      <c r="K36" s="23" t="str">
        <f>IF(C36="","",[1]!s_segment_product_cost1(C36,G36,1,H36,100000000))</f>
        <v/>
      </c>
      <c r="L36" s="23" t="str">
        <f>IF(C36="","",[1]!s_segment_product_profit1(C36,G36,1,H36,100000000))</f>
        <v/>
      </c>
      <c r="M36" s="25" t="str">
        <f>IF(C36="","",[1]!s_segment_product_gpmargin(C36,G36,1))</f>
        <v/>
      </c>
      <c r="N36" s="57" t="str">
        <f>IF(C36="","",[1]!s_segment_product_item(C36,G36,2))</f>
        <v/>
      </c>
      <c r="O36" s="55" t="str">
        <f>IF(C36="","",[1]!s_segment_product_sales1(C36,G36,2,H36,100000000))</f>
        <v/>
      </c>
      <c r="P36" s="55" t="str">
        <f>IF(C36="","",[1]!s_segment_product_cost1(C36,G36,2,H36,100000000))</f>
        <v/>
      </c>
      <c r="Q36" s="55" t="str">
        <f>IF(C36="","",[1]!s_segment_product_profit1(C36,G36,2,H36,100000000))</f>
        <v/>
      </c>
      <c r="R36" s="59" t="str">
        <f>IF(C36="","",[1]!s_segment_product_gpmargin(C36,G36,2))</f>
        <v/>
      </c>
      <c r="S36" s="57" t="str">
        <f>IF(C36="","",[1]!s_segment_product_item(C36,G36,3))</f>
        <v/>
      </c>
      <c r="T36" s="55" t="str">
        <f>IF(C36="","",[1]!s_segment_product_sales1(C36,G36,3,H36,100000000))</f>
        <v/>
      </c>
      <c r="U36" s="55" t="str">
        <f>IF(C36="","",[1]!s_segment_product_cost1(C36,G36,3,H36,100000000))</f>
        <v/>
      </c>
      <c r="V36" s="55" t="str">
        <f>IF(C36="","",[1]!s_segment_product_profit1(C36,G36,3,H36,100000000))</f>
        <v/>
      </c>
      <c r="W36" s="59" t="str">
        <f>IF(C36="","",[1]!s_segment_product_gpmargin(C36,G36,3))</f>
        <v/>
      </c>
      <c r="X36" s="57" t="str">
        <f>IF(C36="","",[1]!s_segment_product_item(C36,G36,4))</f>
        <v/>
      </c>
      <c r="Y36" s="55" t="str">
        <f>IF(C36="","",[1]!s_segment_product_sales1(C36,G36,4,H36,100000000))</f>
        <v/>
      </c>
      <c r="Z36" s="55" t="str">
        <f>IF(C36="","",[1]!s_segment_product_cost1(C36,G36,4,H36,100000000))</f>
        <v/>
      </c>
      <c r="AA36" s="55" t="str">
        <f>IF(C36="","",[1]!s_segment_product_profit1(C36,G36,4,H36,100000000))</f>
        <v/>
      </c>
      <c r="AB36" s="59" t="str">
        <f>IF(C36="","",[1]!s_segment_product_gpmargin(C36,G36,4))</f>
        <v/>
      </c>
      <c r="AC36" s="57" t="str">
        <f>IF(C36="","",[1]!s_segment_product_item(C36,G36,5))</f>
        <v/>
      </c>
      <c r="AD36" s="55" t="str">
        <f>IF(C36="","",[1]!s_segment_product_sales1(C36,G36,5,H36,100000000))</f>
        <v/>
      </c>
      <c r="AE36" s="55" t="str">
        <f>IF(C36="","",[1]!s_segment_product_cost1(C36,G36,5,H36,100000000))</f>
        <v/>
      </c>
      <c r="AF36" s="55" t="str">
        <f>IF(C36="","",[1]!s_segment_product_profit1(C36,G36,5,H36,100000000))</f>
        <v/>
      </c>
      <c r="AG36" s="56" t="str">
        <f>IF(C36="","",[1]!s_segment_product_gpmargin(C36,G36,5))</f>
        <v/>
      </c>
      <c r="AH36" s="35"/>
    </row>
    <row r="37" spans="1:34" s="36" customFormat="1" ht="16.5" x14ac:dyDescent="0.2">
      <c r="A37" s="2"/>
      <c r="B37" s="6"/>
      <c r="C37" s="28" t="str">
        <f>IF(表1[[#This Row],[列1]]="","",表1[[#This Row],[列1]])</f>
        <v/>
      </c>
      <c r="D37" s="19" t="str">
        <f>IF(C37="","",[1]!hks_info_name(C37))</f>
        <v/>
      </c>
      <c r="E37" s="19" t="str">
        <f ca="1">IF(C37="","",[1]!lastradeday_s(C37,TODAY()))</f>
        <v/>
      </c>
      <c r="F37" s="49" t="str">
        <f>IF(C37="","",IF(OR([1]!s_stm_rpt_e(C37,基本资料!$I$8,0)="#N/A",[1]!s_stm_rpt_e(C37,基本资料!$I$8,0)="",[1]!s_stm_rpt_e(C37,基本资料!$I$8,0)=0),[1]!s_stm_rpt_e(C37,基本资料!$I$9,0),[1]!s_stm_rpt_e(C37,基本资料!$I$8,0)))</f>
        <v/>
      </c>
      <c r="G37" s="49" t="str">
        <f>IF(C37="","",[1]!s_stm_rpt_e(C37,F37,0))</f>
        <v/>
      </c>
      <c r="H37" s="49" t="str">
        <f>IF(C37="","",[1]!hks_info_cur2(C37,F37))</f>
        <v/>
      </c>
      <c r="I37" s="57" t="str">
        <f>IF(C37="","",[1]!s_segment_product_item(C37,G37,1))</f>
        <v/>
      </c>
      <c r="J37" s="23" t="str">
        <f>IF(C37="","",[1]!s_segment_product_sales1(C37,G37,1,H37,100000000))</f>
        <v/>
      </c>
      <c r="K37" s="23" t="str">
        <f>IF(C37="","",[1]!s_segment_product_cost1(C37,G37,1,H37,100000000))</f>
        <v/>
      </c>
      <c r="L37" s="23" t="str">
        <f>IF(C37="","",[1]!s_segment_product_profit1(C37,G37,1,H37,100000000))</f>
        <v/>
      </c>
      <c r="M37" s="25" t="str">
        <f>IF(C37="","",[1]!s_segment_product_gpmargin(C37,G37,1))</f>
        <v/>
      </c>
      <c r="N37" s="57" t="str">
        <f>IF(C37="","",[1]!s_segment_product_item(C37,G37,2))</f>
        <v/>
      </c>
      <c r="O37" s="55" t="str">
        <f>IF(C37="","",[1]!s_segment_product_sales1(C37,G37,2,H37,100000000))</f>
        <v/>
      </c>
      <c r="P37" s="55" t="str">
        <f>IF(C37="","",[1]!s_segment_product_cost1(C37,G37,2,H37,100000000))</f>
        <v/>
      </c>
      <c r="Q37" s="55" t="str">
        <f>IF(C37="","",[1]!s_segment_product_profit1(C37,G37,2,H37,100000000))</f>
        <v/>
      </c>
      <c r="R37" s="59" t="str">
        <f>IF(C37="","",[1]!s_segment_product_gpmargin(C37,G37,2))</f>
        <v/>
      </c>
      <c r="S37" s="57" t="str">
        <f>IF(C37="","",[1]!s_segment_product_item(C37,G37,3))</f>
        <v/>
      </c>
      <c r="T37" s="55" t="str">
        <f>IF(C37="","",[1]!s_segment_product_sales1(C37,G37,3,H37,100000000))</f>
        <v/>
      </c>
      <c r="U37" s="55" t="str">
        <f>IF(C37="","",[1]!s_segment_product_cost1(C37,G37,3,H37,100000000))</f>
        <v/>
      </c>
      <c r="V37" s="55" t="str">
        <f>IF(C37="","",[1]!s_segment_product_profit1(C37,G37,3,H37,100000000))</f>
        <v/>
      </c>
      <c r="W37" s="59" t="str">
        <f>IF(C37="","",[1]!s_segment_product_gpmargin(C37,G37,3))</f>
        <v/>
      </c>
      <c r="X37" s="57" t="str">
        <f>IF(C37="","",[1]!s_segment_product_item(C37,G37,4))</f>
        <v/>
      </c>
      <c r="Y37" s="55" t="str">
        <f>IF(C37="","",[1]!s_segment_product_sales1(C37,G37,4,H37,100000000))</f>
        <v/>
      </c>
      <c r="Z37" s="55" t="str">
        <f>IF(C37="","",[1]!s_segment_product_cost1(C37,G37,4,H37,100000000))</f>
        <v/>
      </c>
      <c r="AA37" s="55" t="str">
        <f>IF(C37="","",[1]!s_segment_product_profit1(C37,G37,4,H37,100000000))</f>
        <v/>
      </c>
      <c r="AB37" s="59" t="str">
        <f>IF(C37="","",[1]!s_segment_product_gpmargin(C37,G37,4))</f>
        <v/>
      </c>
      <c r="AC37" s="57" t="str">
        <f>IF(C37="","",[1]!s_segment_product_item(C37,G37,5))</f>
        <v/>
      </c>
      <c r="AD37" s="55" t="str">
        <f>IF(C37="","",[1]!s_segment_product_sales1(C37,G37,5,H37,100000000))</f>
        <v/>
      </c>
      <c r="AE37" s="55" t="str">
        <f>IF(C37="","",[1]!s_segment_product_cost1(C37,G37,5,H37,100000000))</f>
        <v/>
      </c>
      <c r="AF37" s="55" t="str">
        <f>IF(C37="","",[1]!s_segment_product_profit1(C37,G37,5,H37,100000000))</f>
        <v/>
      </c>
      <c r="AG37" s="56" t="str">
        <f>IF(C37="","",[1]!s_segment_product_gpmargin(C37,G37,5))</f>
        <v/>
      </c>
      <c r="AH37" s="35"/>
    </row>
    <row r="38" spans="1:34" s="36" customFormat="1" ht="16.5" x14ac:dyDescent="0.2">
      <c r="A38" s="2"/>
      <c r="B38" s="6"/>
      <c r="C38" s="28" t="str">
        <f>IF(表1[[#This Row],[列1]]="","",表1[[#This Row],[列1]])</f>
        <v/>
      </c>
      <c r="D38" s="19" t="str">
        <f>IF(C38="","",[1]!hks_info_name(C38))</f>
        <v/>
      </c>
      <c r="E38" s="19" t="str">
        <f ca="1">IF(C38="","",[1]!lastradeday_s(C38,TODAY()))</f>
        <v/>
      </c>
      <c r="F38" s="49" t="str">
        <f>IF(C38="","",IF(OR([1]!s_stm_rpt_e(C38,基本资料!$I$8,0)="#N/A",[1]!s_stm_rpt_e(C38,基本资料!$I$8,0)="",[1]!s_stm_rpt_e(C38,基本资料!$I$8,0)=0),[1]!s_stm_rpt_e(C38,基本资料!$I$9,0),[1]!s_stm_rpt_e(C38,基本资料!$I$8,0)))</f>
        <v/>
      </c>
      <c r="G38" s="49" t="str">
        <f>IF(C38="","",[1]!s_stm_rpt_e(C38,F38,0))</f>
        <v/>
      </c>
      <c r="H38" s="49" t="str">
        <f>IF(C38="","",[1]!hks_info_cur2(C38,F38))</f>
        <v/>
      </c>
      <c r="I38" s="57" t="str">
        <f>IF(C38="","",[1]!s_segment_product_item(C38,G38,1))</f>
        <v/>
      </c>
      <c r="J38" s="23" t="str">
        <f>IF(C38="","",[1]!s_segment_product_sales1(C38,G38,1,H38,100000000))</f>
        <v/>
      </c>
      <c r="K38" s="23" t="str">
        <f>IF(C38="","",[1]!s_segment_product_cost1(C38,G38,1,H38,100000000))</f>
        <v/>
      </c>
      <c r="L38" s="23" t="str">
        <f>IF(C38="","",[1]!s_segment_product_profit1(C38,G38,1,H38,100000000))</f>
        <v/>
      </c>
      <c r="M38" s="25" t="str">
        <f>IF(C38="","",[1]!s_segment_product_gpmargin(C38,G38,1))</f>
        <v/>
      </c>
      <c r="N38" s="57" t="str">
        <f>IF(C38="","",[1]!s_segment_product_item(C38,G38,2))</f>
        <v/>
      </c>
      <c r="O38" s="55" t="str">
        <f>IF(C38="","",[1]!s_segment_product_sales1(C38,G38,2,H38,100000000))</f>
        <v/>
      </c>
      <c r="P38" s="55" t="str">
        <f>IF(C38="","",[1]!s_segment_product_cost1(C38,G38,2,H38,100000000))</f>
        <v/>
      </c>
      <c r="Q38" s="55" t="str">
        <f>IF(C38="","",[1]!s_segment_product_profit1(C38,G38,2,H38,100000000))</f>
        <v/>
      </c>
      <c r="R38" s="59" t="str">
        <f>IF(C38="","",[1]!s_segment_product_gpmargin(C38,G38,2))</f>
        <v/>
      </c>
      <c r="S38" s="57" t="str">
        <f>IF(C38="","",[1]!s_segment_product_item(C38,G38,3))</f>
        <v/>
      </c>
      <c r="T38" s="55" t="str">
        <f>IF(C38="","",[1]!s_segment_product_sales1(C38,G38,3,H38,100000000))</f>
        <v/>
      </c>
      <c r="U38" s="55" t="str">
        <f>IF(C38="","",[1]!s_segment_product_cost1(C38,G38,3,H38,100000000))</f>
        <v/>
      </c>
      <c r="V38" s="55" t="str">
        <f>IF(C38="","",[1]!s_segment_product_profit1(C38,G38,3,H38,100000000))</f>
        <v/>
      </c>
      <c r="W38" s="59" t="str">
        <f>IF(C38="","",[1]!s_segment_product_gpmargin(C38,G38,3))</f>
        <v/>
      </c>
      <c r="X38" s="57" t="str">
        <f>IF(C38="","",[1]!s_segment_product_item(C38,G38,4))</f>
        <v/>
      </c>
      <c r="Y38" s="55" t="str">
        <f>IF(C38="","",[1]!s_segment_product_sales1(C38,G38,4,H38,100000000))</f>
        <v/>
      </c>
      <c r="Z38" s="55" t="str">
        <f>IF(C38="","",[1]!s_segment_product_cost1(C38,G38,4,H38,100000000))</f>
        <v/>
      </c>
      <c r="AA38" s="55" t="str">
        <f>IF(C38="","",[1]!s_segment_product_profit1(C38,G38,4,H38,100000000))</f>
        <v/>
      </c>
      <c r="AB38" s="59" t="str">
        <f>IF(C38="","",[1]!s_segment_product_gpmargin(C38,G38,4))</f>
        <v/>
      </c>
      <c r="AC38" s="57" t="str">
        <f>IF(C38="","",[1]!s_segment_product_item(C38,G38,5))</f>
        <v/>
      </c>
      <c r="AD38" s="55" t="str">
        <f>IF(C38="","",[1]!s_segment_product_sales1(C38,G38,5,H38,100000000))</f>
        <v/>
      </c>
      <c r="AE38" s="55" t="str">
        <f>IF(C38="","",[1]!s_segment_product_cost1(C38,G38,5,H38,100000000))</f>
        <v/>
      </c>
      <c r="AF38" s="55" t="str">
        <f>IF(C38="","",[1]!s_segment_product_profit1(C38,G38,5,H38,100000000))</f>
        <v/>
      </c>
      <c r="AG38" s="56" t="str">
        <f>IF(C38="","",[1]!s_segment_product_gpmargin(C38,G38,5))</f>
        <v/>
      </c>
      <c r="AH38" s="35"/>
    </row>
    <row r="39" spans="1:34" s="36" customFormat="1" ht="16.5" x14ac:dyDescent="0.2">
      <c r="A39" s="2"/>
      <c r="B39" s="6"/>
      <c r="C39" s="28" t="str">
        <f>IF(表1[[#This Row],[列1]]="","",表1[[#This Row],[列1]])</f>
        <v/>
      </c>
      <c r="D39" s="19" t="str">
        <f>IF(C39="","",[1]!hks_info_name(C39))</f>
        <v/>
      </c>
      <c r="E39" s="19" t="str">
        <f ca="1">IF(C39="","",[1]!lastradeday_s(C39,TODAY()))</f>
        <v/>
      </c>
      <c r="F39" s="49" t="str">
        <f>IF(C39="","",IF(OR([1]!s_stm_rpt_e(C39,基本资料!$I$8,0)="#N/A",[1]!s_stm_rpt_e(C39,基本资料!$I$8,0)="",[1]!s_stm_rpt_e(C39,基本资料!$I$8,0)=0),[1]!s_stm_rpt_e(C39,基本资料!$I$9,0),[1]!s_stm_rpt_e(C39,基本资料!$I$8,0)))</f>
        <v/>
      </c>
      <c r="G39" s="49" t="str">
        <f>IF(C39="","",[1]!s_stm_rpt_e(C39,F39,0))</f>
        <v/>
      </c>
      <c r="H39" s="49" t="str">
        <f>IF(C39="","",[1]!hks_info_cur2(C39,F39))</f>
        <v/>
      </c>
      <c r="I39" s="57" t="str">
        <f>IF(C39="","",[1]!s_segment_product_item(C39,G39,1))</f>
        <v/>
      </c>
      <c r="J39" s="23" t="str">
        <f>IF(C39="","",[1]!s_segment_product_sales1(C39,G39,1,H39,100000000))</f>
        <v/>
      </c>
      <c r="K39" s="23" t="str">
        <f>IF(C39="","",[1]!s_segment_product_cost1(C39,G39,1,H39,100000000))</f>
        <v/>
      </c>
      <c r="L39" s="23" t="str">
        <f>IF(C39="","",[1]!s_segment_product_profit1(C39,G39,1,H39,100000000))</f>
        <v/>
      </c>
      <c r="M39" s="25" t="str">
        <f>IF(C39="","",[1]!s_segment_product_gpmargin(C39,G39,1))</f>
        <v/>
      </c>
      <c r="N39" s="57" t="str">
        <f>IF(C39="","",[1]!s_segment_product_item(C39,G39,2))</f>
        <v/>
      </c>
      <c r="O39" s="55" t="str">
        <f>IF(C39="","",[1]!s_segment_product_sales1(C39,G39,2,H39,100000000))</f>
        <v/>
      </c>
      <c r="P39" s="55" t="str">
        <f>IF(C39="","",[1]!s_segment_product_cost1(C39,G39,2,H39,100000000))</f>
        <v/>
      </c>
      <c r="Q39" s="55" t="str">
        <f>IF(C39="","",[1]!s_segment_product_profit1(C39,G39,2,H39,100000000))</f>
        <v/>
      </c>
      <c r="R39" s="59" t="str">
        <f>IF(C39="","",[1]!s_segment_product_gpmargin(C39,G39,2))</f>
        <v/>
      </c>
      <c r="S39" s="57" t="str">
        <f>IF(C39="","",[1]!s_segment_product_item(C39,G39,3))</f>
        <v/>
      </c>
      <c r="T39" s="55" t="str">
        <f>IF(C39="","",[1]!s_segment_product_sales1(C39,G39,3,H39,100000000))</f>
        <v/>
      </c>
      <c r="U39" s="55" t="str">
        <f>IF(C39="","",[1]!s_segment_product_cost1(C39,G39,3,H39,100000000))</f>
        <v/>
      </c>
      <c r="V39" s="55" t="str">
        <f>IF(C39="","",[1]!s_segment_product_profit1(C39,G39,3,H39,100000000))</f>
        <v/>
      </c>
      <c r="W39" s="59" t="str">
        <f>IF(C39="","",[1]!s_segment_product_gpmargin(C39,G39,3))</f>
        <v/>
      </c>
      <c r="X39" s="57" t="str">
        <f>IF(C39="","",[1]!s_segment_product_item(C39,G39,4))</f>
        <v/>
      </c>
      <c r="Y39" s="55" t="str">
        <f>IF(C39="","",[1]!s_segment_product_sales1(C39,G39,4,H39,100000000))</f>
        <v/>
      </c>
      <c r="Z39" s="55" t="str">
        <f>IF(C39="","",[1]!s_segment_product_cost1(C39,G39,4,H39,100000000))</f>
        <v/>
      </c>
      <c r="AA39" s="55" t="str">
        <f>IF(C39="","",[1]!s_segment_product_profit1(C39,G39,4,H39,100000000))</f>
        <v/>
      </c>
      <c r="AB39" s="59" t="str">
        <f>IF(C39="","",[1]!s_segment_product_gpmargin(C39,G39,4))</f>
        <v/>
      </c>
      <c r="AC39" s="57" t="str">
        <f>IF(C39="","",[1]!s_segment_product_item(C39,G39,5))</f>
        <v/>
      </c>
      <c r="AD39" s="55" t="str">
        <f>IF(C39="","",[1]!s_segment_product_sales1(C39,G39,5,H39,100000000))</f>
        <v/>
      </c>
      <c r="AE39" s="55" t="str">
        <f>IF(C39="","",[1]!s_segment_product_cost1(C39,G39,5,H39,100000000))</f>
        <v/>
      </c>
      <c r="AF39" s="55" t="str">
        <f>IF(C39="","",[1]!s_segment_product_profit1(C39,G39,5,H39,100000000))</f>
        <v/>
      </c>
      <c r="AG39" s="56" t="str">
        <f>IF(C39="","",[1]!s_segment_product_gpmargin(C39,G39,5))</f>
        <v/>
      </c>
      <c r="AH39" s="35"/>
    </row>
    <row r="40" spans="1:34" s="36" customFormat="1" ht="16.5" x14ac:dyDescent="0.2">
      <c r="A40" s="2"/>
      <c r="B40" s="6"/>
      <c r="C40" s="28" t="str">
        <f>IF(表1[[#This Row],[列1]]="","",表1[[#This Row],[列1]])</f>
        <v/>
      </c>
      <c r="D40" s="19" t="str">
        <f>IF(C40="","",[1]!hks_info_name(C40))</f>
        <v/>
      </c>
      <c r="E40" s="19" t="str">
        <f ca="1">IF(C40="","",[1]!lastradeday_s(C40,TODAY()))</f>
        <v/>
      </c>
      <c r="F40" s="49" t="str">
        <f>IF(C40="","",IF(OR([1]!s_stm_rpt_e(C40,基本资料!$I$8,0)="#N/A",[1]!s_stm_rpt_e(C40,基本资料!$I$8,0)="",[1]!s_stm_rpt_e(C40,基本资料!$I$8,0)=0),[1]!s_stm_rpt_e(C40,基本资料!$I$9,0),[1]!s_stm_rpt_e(C40,基本资料!$I$8,0)))</f>
        <v/>
      </c>
      <c r="G40" s="49" t="str">
        <f>IF(C40="","",[1]!s_stm_rpt_e(C40,F40,0))</f>
        <v/>
      </c>
      <c r="H40" s="49" t="str">
        <f>IF(C40="","",[1]!hks_info_cur2(C40,F40))</f>
        <v/>
      </c>
      <c r="I40" s="57" t="str">
        <f>IF(C40="","",[1]!s_segment_product_item(C40,G40,1))</f>
        <v/>
      </c>
      <c r="J40" s="23" t="str">
        <f>IF(C40="","",[1]!s_segment_product_sales1(C40,G40,1,H40,100000000))</f>
        <v/>
      </c>
      <c r="K40" s="23" t="str">
        <f>IF(C40="","",[1]!s_segment_product_cost1(C40,G40,1,H40,100000000))</f>
        <v/>
      </c>
      <c r="L40" s="23" t="str">
        <f>IF(C40="","",[1]!s_segment_product_profit1(C40,G40,1,H40,100000000))</f>
        <v/>
      </c>
      <c r="M40" s="25" t="str">
        <f>IF(C40="","",[1]!s_segment_product_gpmargin(C40,G40,1))</f>
        <v/>
      </c>
      <c r="N40" s="57" t="str">
        <f>IF(C40="","",[1]!s_segment_product_item(C40,G40,2))</f>
        <v/>
      </c>
      <c r="O40" s="55" t="str">
        <f>IF(C40="","",[1]!s_segment_product_sales1(C40,G40,2,H40,100000000))</f>
        <v/>
      </c>
      <c r="P40" s="55" t="str">
        <f>IF(C40="","",[1]!s_segment_product_cost1(C40,G40,2,H40,100000000))</f>
        <v/>
      </c>
      <c r="Q40" s="55" t="str">
        <f>IF(C40="","",[1]!s_segment_product_profit1(C40,G40,2,H40,100000000))</f>
        <v/>
      </c>
      <c r="R40" s="59" t="str">
        <f>IF(C40="","",[1]!s_segment_product_gpmargin(C40,G40,2))</f>
        <v/>
      </c>
      <c r="S40" s="57" t="str">
        <f>IF(C40="","",[1]!s_segment_product_item(C40,G40,3))</f>
        <v/>
      </c>
      <c r="T40" s="55" t="str">
        <f>IF(C40="","",[1]!s_segment_product_sales1(C40,G40,3,H40,100000000))</f>
        <v/>
      </c>
      <c r="U40" s="55" t="str">
        <f>IF(C40="","",[1]!s_segment_product_cost1(C40,G40,3,H40,100000000))</f>
        <v/>
      </c>
      <c r="V40" s="55" t="str">
        <f>IF(C40="","",[1]!s_segment_product_profit1(C40,G40,3,H40,100000000))</f>
        <v/>
      </c>
      <c r="W40" s="59" t="str">
        <f>IF(C40="","",[1]!s_segment_product_gpmargin(C40,G40,3))</f>
        <v/>
      </c>
      <c r="X40" s="57" t="str">
        <f>IF(C40="","",[1]!s_segment_product_item(C40,G40,4))</f>
        <v/>
      </c>
      <c r="Y40" s="55" t="str">
        <f>IF(C40="","",[1]!s_segment_product_sales1(C40,G40,4,H40,100000000))</f>
        <v/>
      </c>
      <c r="Z40" s="55" t="str">
        <f>IF(C40="","",[1]!s_segment_product_cost1(C40,G40,4,H40,100000000))</f>
        <v/>
      </c>
      <c r="AA40" s="55" t="str">
        <f>IF(C40="","",[1]!s_segment_product_profit1(C40,G40,4,H40,100000000))</f>
        <v/>
      </c>
      <c r="AB40" s="59" t="str">
        <f>IF(C40="","",[1]!s_segment_product_gpmargin(C40,G40,4))</f>
        <v/>
      </c>
      <c r="AC40" s="57" t="str">
        <f>IF(C40="","",[1]!s_segment_product_item(C40,G40,5))</f>
        <v/>
      </c>
      <c r="AD40" s="55" t="str">
        <f>IF(C40="","",[1]!s_segment_product_sales1(C40,G40,5,H40,100000000))</f>
        <v/>
      </c>
      <c r="AE40" s="55" t="str">
        <f>IF(C40="","",[1]!s_segment_product_cost1(C40,G40,5,H40,100000000))</f>
        <v/>
      </c>
      <c r="AF40" s="55" t="str">
        <f>IF(C40="","",[1]!s_segment_product_profit1(C40,G40,5,H40,100000000))</f>
        <v/>
      </c>
      <c r="AG40" s="56" t="str">
        <f>IF(C40="","",[1]!s_segment_product_gpmargin(C40,G40,5))</f>
        <v/>
      </c>
      <c r="AH40" s="35"/>
    </row>
    <row r="41" spans="1:34" s="36" customFormat="1" ht="16.5" x14ac:dyDescent="0.2">
      <c r="A41" s="2"/>
      <c r="B41" s="6"/>
      <c r="C41" s="28" t="str">
        <f>IF(表1[[#This Row],[列1]]="","",表1[[#This Row],[列1]])</f>
        <v/>
      </c>
      <c r="D41" s="19" t="str">
        <f>IF(C41="","",[1]!hks_info_name(C41))</f>
        <v/>
      </c>
      <c r="E41" s="19" t="str">
        <f ca="1">IF(C41="","",[1]!lastradeday_s(C41,TODAY()))</f>
        <v/>
      </c>
      <c r="F41" s="49" t="str">
        <f>IF(C41="","",IF(OR([1]!s_stm_rpt_e(C41,基本资料!$I$8,0)="#N/A",[1]!s_stm_rpt_e(C41,基本资料!$I$8,0)="",[1]!s_stm_rpt_e(C41,基本资料!$I$8,0)=0),[1]!s_stm_rpt_e(C41,基本资料!$I$9,0),[1]!s_stm_rpt_e(C41,基本资料!$I$8,0)))</f>
        <v/>
      </c>
      <c r="G41" s="49" t="str">
        <f>IF(C41="","",[1]!s_stm_rpt_e(C41,F41,0))</f>
        <v/>
      </c>
      <c r="H41" s="49" t="str">
        <f>IF(C41="","",[1]!hks_info_cur2(C41,F41))</f>
        <v/>
      </c>
      <c r="I41" s="57" t="str">
        <f>IF(C41="","",[1]!s_segment_product_item(C41,G41,1))</f>
        <v/>
      </c>
      <c r="J41" s="23" t="str">
        <f>IF(C41="","",[1]!s_segment_product_sales1(C41,G41,1,H41,100000000))</f>
        <v/>
      </c>
      <c r="K41" s="23" t="str">
        <f>IF(C41="","",[1]!s_segment_product_cost1(C41,G41,1,H41,100000000))</f>
        <v/>
      </c>
      <c r="L41" s="23" t="str">
        <f>IF(C41="","",[1]!s_segment_product_profit1(C41,G41,1,H41,100000000))</f>
        <v/>
      </c>
      <c r="M41" s="25" t="str">
        <f>IF(C41="","",[1]!s_segment_product_gpmargin(C41,G41,1))</f>
        <v/>
      </c>
      <c r="N41" s="57" t="str">
        <f>IF(C41="","",[1]!s_segment_product_item(C41,G41,2))</f>
        <v/>
      </c>
      <c r="O41" s="55" t="str">
        <f>IF(C41="","",[1]!s_segment_product_sales1(C41,G41,2,H41,100000000))</f>
        <v/>
      </c>
      <c r="P41" s="55" t="str">
        <f>IF(C41="","",[1]!s_segment_product_cost1(C41,G41,2,H41,100000000))</f>
        <v/>
      </c>
      <c r="Q41" s="55" t="str">
        <f>IF(C41="","",[1]!s_segment_product_profit1(C41,G41,2,H41,100000000))</f>
        <v/>
      </c>
      <c r="R41" s="59" t="str">
        <f>IF(C41="","",[1]!s_segment_product_gpmargin(C41,G41,2))</f>
        <v/>
      </c>
      <c r="S41" s="57" t="str">
        <f>IF(C41="","",[1]!s_segment_product_item(C41,G41,3))</f>
        <v/>
      </c>
      <c r="T41" s="55" t="str">
        <f>IF(C41="","",[1]!s_segment_product_sales1(C41,G41,3,H41,100000000))</f>
        <v/>
      </c>
      <c r="U41" s="55" t="str">
        <f>IF(C41="","",[1]!s_segment_product_cost1(C41,G41,3,H41,100000000))</f>
        <v/>
      </c>
      <c r="V41" s="55" t="str">
        <f>IF(C41="","",[1]!s_segment_product_profit1(C41,G41,3,H41,100000000))</f>
        <v/>
      </c>
      <c r="W41" s="59" t="str">
        <f>IF(C41="","",[1]!s_segment_product_gpmargin(C41,G41,3))</f>
        <v/>
      </c>
      <c r="X41" s="57" t="str">
        <f>IF(C41="","",[1]!s_segment_product_item(C41,G41,4))</f>
        <v/>
      </c>
      <c r="Y41" s="55" t="str">
        <f>IF(C41="","",[1]!s_segment_product_sales1(C41,G41,4,H41,100000000))</f>
        <v/>
      </c>
      <c r="Z41" s="55" t="str">
        <f>IF(C41="","",[1]!s_segment_product_cost1(C41,G41,4,H41,100000000))</f>
        <v/>
      </c>
      <c r="AA41" s="55" t="str">
        <f>IF(C41="","",[1]!s_segment_product_profit1(C41,G41,4,H41,100000000))</f>
        <v/>
      </c>
      <c r="AB41" s="59" t="str">
        <f>IF(C41="","",[1]!s_segment_product_gpmargin(C41,G41,4))</f>
        <v/>
      </c>
      <c r="AC41" s="57" t="str">
        <f>IF(C41="","",[1]!s_segment_product_item(C41,G41,5))</f>
        <v/>
      </c>
      <c r="AD41" s="55" t="str">
        <f>IF(C41="","",[1]!s_segment_product_sales1(C41,G41,5,H41,100000000))</f>
        <v/>
      </c>
      <c r="AE41" s="55" t="str">
        <f>IF(C41="","",[1]!s_segment_product_cost1(C41,G41,5,H41,100000000))</f>
        <v/>
      </c>
      <c r="AF41" s="55" t="str">
        <f>IF(C41="","",[1]!s_segment_product_profit1(C41,G41,5,H41,100000000))</f>
        <v/>
      </c>
      <c r="AG41" s="56" t="str">
        <f>IF(C41="","",[1]!s_segment_product_gpmargin(C41,G41,5))</f>
        <v/>
      </c>
      <c r="AH41" s="35"/>
    </row>
    <row r="42" spans="1:34" s="36" customFormat="1" ht="16.5" x14ac:dyDescent="0.2">
      <c r="A42" s="2"/>
      <c r="B42" s="6"/>
      <c r="C42" s="28" t="str">
        <f>IF(表1[[#This Row],[列1]]="","",表1[[#This Row],[列1]])</f>
        <v/>
      </c>
      <c r="D42" s="19" t="str">
        <f>IF(C42="","",[1]!hks_info_name(C42))</f>
        <v/>
      </c>
      <c r="E42" s="19" t="str">
        <f ca="1">IF(C42="","",[1]!lastradeday_s(C42,TODAY()))</f>
        <v/>
      </c>
      <c r="F42" s="49" t="str">
        <f>IF(C42="","",IF(OR([1]!s_stm_rpt_e(C42,基本资料!$I$8,0)="#N/A",[1]!s_stm_rpt_e(C42,基本资料!$I$8,0)="",[1]!s_stm_rpt_e(C42,基本资料!$I$8,0)=0),[1]!s_stm_rpt_e(C42,基本资料!$I$9,0),[1]!s_stm_rpt_e(C42,基本资料!$I$8,0)))</f>
        <v/>
      </c>
      <c r="G42" s="49" t="str">
        <f>IF(C42="","",[1]!s_stm_rpt_e(C42,F42,0))</f>
        <v/>
      </c>
      <c r="H42" s="49" t="str">
        <f>IF(C42="","",[1]!hks_info_cur2(C42,F42))</f>
        <v/>
      </c>
      <c r="I42" s="57" t="str">
        <f>IF(C42="","",[1]!s_segment_product_item(C42,G42,1))</f>
        <v/>
      </c>
      <c r="J42" s="23" t="str">
        <f>IF(C42="","",[1]!s_segment_product_sales1(C42,G42,1,H42,100000000))</f>
        <v/>
      </c>
      <c r="K42" s="23" t="str">
        <f>IF(C42="","",[1]!s_segment_product_cost1(C42,G42,1,H42,100000000))</f>
        <v/>
      </c>
      <c r="L42" s="23" t="str">
        <f>IF(C42="","",[1]!s_segment_product_profit1(C42,G42,1,H42,100000000))</f>
        <v/>
      </c>
      <c r="M42" s="25" t="str">
        <f>IF(C42="","",[1]!s_segment_product_gpmargin(C42,G42,1))</f>
        <v/>
      </c>
      <c r="N42" s="57" t="str">
        <f>IF(C42="","",[1]!s_segment_product_item(C42,G42,2))</f>
        <v/>
      </c>
      <c r="O42" s="55" t="str">
        <f>IF(C42="","",[1]!s_segment_product_sales1(C42,G42,2,H42,100000000))</f>
        <v/>
      </c>
      <c r="P42" s="55" t="str">
        <f>IF(C42="","",[1]!s_segment_product_cost1(C42,G42,2,H42,100000000))</f>
        <v/>
      </c>
      <c r="Q42" s="55" t="str">
        <f>IF(C42="","",[1]!s_segment_product_profit1(C42,G42,2,H42,100000000))</f>
        <v/>
      </c>
      <c r="R42" s="59" t="str">
        <f>IF(C42="","",[1]!s_segment_product_gpmargin(C42,G42,2))</f>
        <v/>
      </c>
      <c r="S42" s="57" t="str">
        <f>IF(C42="","",[1]!s_segment_product_item(C42,G42,3))</f>
        <v/>
      </c>
      <c r="T42" s="55" t="str">
        <f>IF(C42="","",[1]!s_segment_product_sales1(C42,G42,3,H42,100000000))</f>
        <v/>
      </c>
      <c r="U42" s="55" t="str">
        <f>IF(C42="","",[1]!s_segment_product_cost1(C42,G42,3,H42,100000000))</f>
        <v/>
      </c>
      <c r="V42" s="55" t="str">
        <f>IF(C42="","",[1]!s_segment_product_profit1(C42,G42,3,H42,100000000))</f>
        <v/>
      </c>
      <c r="W42" s="59" t="str">
        <f>IF(C42="","",[1]!s_segment_product_gpmargin(C42,G42,3))</f>
        <v/>
      </c>
      <c r="X42" s="57" t="str">
        <f>IF(C42="","",[1]!s_segment_product_item(C42,G42,4))</f>
        <v/>
      </c>
      <c r="Y42" s="55" t="str">
        <f>IF(C42="","",[1]!s_segment_product_sales1(C42,G42,4,H42,100000000))</f>
        <v/>
      </c>
      <c r="Z42" s="55" t="str">
        <f>IF(C42="","",[1]!s_segment_product_cost1(C42,G42,4,H42,100000000))</f>
        <v/>
      </c>
      <c r="AA42" s="55" t="str">
        <f>IF(C42="","",[1]!s_segment_product_profit1(C42,G42,4,H42,100000000))</f>
        <v/>
      </c>
      <c r="AB42" s="59" t="str">
        <f>IF(C42="","",[1]!s_segment_product_gpmargin(C42,G42,4))</f>
        <v/>
      </c>
      <c r="AC42" s="57" t="str">
        <f>IF(C42="","",[1]!s_segment_product_item(C42,G42,5))</f>
        <v/>
      </c>
      <c r="AD42" s="55" t="str">
        <f>IF(C42="","",[1]!s_segment_product_sales1(C42,G42,5,H42,100000000))</f>
        <v/>
      </c>
      <c r="AE42" s="55" t="str">
        <f>IF(C42="","",[1]!s_segment_product_cost1(C42,G42,5,H42,100000000))</f>
        <v/>
      </c>
      <c r="AF42" s="55" t="str">
        <f>IF(C42="","",[1]!s_segment_product_profit1(C42,G42,5,H42,100000000))</f>
        <v/>
      </c>
      <c r="AG42" s="56" t="str">
        <f>IF(C42="","",[1]!s_segment_product_gpmargin(C42,G42,5))</f>
        <v/>
      </c>
      <c r="AH42" s="35"/>
    </row>
    <row r="43" spans="1:34" s="36" customFormat="1" ht="16.5" x14ac:dyDescent="0.2">
      <c r="A43" s="2"/>
      <c r="B43" s="6"/>
      <c r="C43" s="28" t="str">
        <f>IF(表1[[#This Row],[列1]]="","",表1[[#This Row],[列1]])</f>
        <v/>
      </c>
      <c r="D43" s="19" t="str">
        <f>IF(C43="","",[1]!hks_info_name(C43))</f>
        <v/>
      </c>
      <c r="E43" s="19" t="str">
        <f ca="1">IF(C43="","",[1]!lastradeday_s(C43,TODAY()))</f>
        <v/>
      </c>
      <c r="F43" s="49" t="str">
        <f>IF(C43="","",IF(OR([1]!s_stm_rpt_e(C43,基本资料!$I$8,0)="#N/A",[1]!s_stm_rpt_e(C43,基本资料!$I$8,0)="",[1]!s_stm_rpt_e(C43,基本资料!$I$8,0)=0),[1]!s_stm_rpt_e(C43,基本资料!$I$9,0),[1]!s_stm_rpt_e(C43,基本资料!$I$8,0)))</f>
        <v/>
      </c>
      <c r="G43" s="49" t="str">
        <f>IF(C43="","",[1]!s_stm_rpt_e(C43,F43,0))</f>
        <v/>
      </c>
      <c r="H43" s="49" t="str">
        <f>IF(C43="","",[1]!hks_info_cur2(C43,F43))</f>
        <v/>
      </c>
      <c r="I43" s="57" t="str">
        <f>IF(C43="","",[1]!s_segment_product_item(C43,G43,1))</f>
        <v/>
      </c>
      <c r="J43" s="23" t="str">
        <f>IF(C43="","",[1]!s_segment_product_sales1(C43,G43,1,H43,100000000))</f>
        <v/>
      </c>
      <c r="K43" s="23" t="str">
        <f>IF(C43="","",[1]!s_segment_product_cost1(C43,G43,1,H43,100000000))</f>
        <v/>
      </c>
      <c r="L43" s="23" t="str">
        <f>IF(C43="","",[1]!s_segment_product_profit1(C43,G43,1,H43,100000000))</f>
        <v/>
      </c>
      <c r="M43" s="25" t="str">
        <f>IF(C43="","",[1]!s_segment_product_gpmargin(C43,G43,1))</f>
        <v/>
      </c>
      <c r="N43" s="57" t="str">
        <f>IF(C43="","",[1]!s_segment_product_item(C43,G43,2))</f>
        <v/>
      </c>
      <c r="O43" s="55" t="str">
        <f>IF(C43="","",[1]!s_segment_product_sales1(C43,G43,2,H43,100000000))</f>
        <v/>
      </c>
      <c r="P43" s="55" t="str">
        <f>IF(C43="","",[1]!s_segment_product_cost1(C43,G43,2,H43,100000000))</f>
        <v/>
      </c>
      <c r="Q43" s="55" t="str">
        <f>IF(C43="","",[1]!s_segment_product_profit1(C43,G43,2,H43,100000000))</f>
        <v/>
      </c>
      <c r="R43" s="59" t="str">
        <f>IF(C43="","",[1]!s_segment_product_gpmargin(C43,G43,2))</f>
        <v/>
      </c>
      <c r="S43" s="57" t="str">
        <f>IF(C43="","",[1]!s_segment_product_item(C43,G43,3))</f>
        <v/>
      </c>
      <c r="T43" s="55" t="str">
        <f>IF(C43="","",[1]!s_segment_product_sales1(C43,G43,3,H43,100000000))</f>
        <v/>
      </c>
      <c r="U43" s="55" t="str">
        <f>IF(C43="","",[1]!s_segment_product_cost1(C43,G43,3,H43,100000000))</f>
        <v/>
      </c>
      <c r="V43" s="55" t="str">
        <f>IF(C43="","",[1]!s_segment_product_profit1(C43,G43,3,H43,100000000))</f>
        <v/>
      </c>
      <c r="W43" s="59" t="str">
        <f>IF(C43="","",[1]!s_segment_product_gpmargin(C43,G43,3))</f>
        <v/>
      </c>
      <c r="X43" s="57" t="str">
        <f>IF(C43="","",[1]!s_segment_product_item(C43,G43,4))</f>
        <v/>
      </c>
      <c r="Y43" s="55" t="str">
        <f>IF(C43="","",[1]!s_segment_product_sales1(C43,G43,4,H43,100000000))</f>
        <v/>
      </c>
      <c r="Z43" s="55" t="str">
        <f>IF(C43="","",[1]!s_segment_product_cost1(C43,G43,4,H43,100000000))</f>
        <v/>
      </c>
      <c r="AA43" s="55" t="str">
        <f>IF(C43="","",[1]!s_segment_product_profit1(C43,G43,4,H43,100000000))</f>
        <v/>
      </c>
      <c r="AB43" s="59" t="str">
        <f>IF(C43="","",[1]!s_segment_product_gpmargin(C43,G43,4))</f>
        <v/>
      </c>
      <c r="AC43" s="57" t="str">
        <f>IF(C43="","",[1]!s_segment_product_item(C43,G43,5))</f>
        <v/>
      </c>
      <c r="AD43" s="55" t="str">
        <f>IF(C43="","",[1]!s_segment_product_sales1(C43,G43,5,H43,100000000))</f>
        <v/>
      </c>
      <c r="AE43" s="55" t="str">
        <f>IF(C43="","",[1]!s_segment_product_cost1(C43,G43,5,H43,100000000))</f>
        <v/>
      </c>
      <c r="AF43" s="55" t="str">
        <f>IF(C43="","",[1]!s_segment_product_profit1(C43,G43,5,H43,100000000))</f>
        <v/>
      </c>
      <c r="AG43" s="56" t="str">
        <f>IF(C43="","",[1]!s_segment_product_gpmargin(C43,G43,5))</f>
        <v/>
      </c>
      <c r="AH43" s="35"/>
    </row>
    <row r="44" spans="1:34" s="36" customFormat="1" ht="16.5" x14ac:dyDescent="0.2">
      <c r="A44" s="2"/>
      <c r="B44" s="6"/>
      <c r="C44" s="28" t="str">
        <f>IF(表1[[#This Row],[列1]]="","",表1[[#This Row],[列1]])</f>
        <v/>
      </c>
      <c r="D44" s="19" t="str">
        <f>IF(C44="","",[1]!hks_info_name(C44))</f>
        <v/>
      </c>
      <c r="E44" s="19" t="str">
        <f ca="1">IF(C44="","",[1]!lastradeday_s(C44,TODAY()))</f>
        <v/>
      </c>
      <c r="F44" s="49" t="str">
        <f>IF(C44="","",IF(OR([1]!s_stm_rpt_e(C44,基本资料!$I$8,0)="#N/A",[1]!s_stm_rpt_e(C44,基本资料!$I$8,0)="",[1]!s_stm_rpt_e(C44,基本资料!$I$8,0)=0),[1]!s_stm_rpt_e(C44,基本资料!$I$9,0),[1]!s_stm_rpt_e(C44,基本资料!$I$8,0)))</f>
        <v/>
      </c>
      <c r="G44" s="49" t="str">
        <f>IF(C44="","",[1]!s_stm_rpt_e(C44,F44,0))</f>
        <v/>
      </c>
      <c r="H44" s="49" t="str">
        <f>IF(C44="","",[1]!hks_info_cur2(C44,F44))</f>
        <v/>
      </c>
      <c r="I44" s="57" t="str">
        <f>IF(C44="","",[1]!s_segment_product_item(C44,G44,1))</f>
        <v/>
      </c>
      <c r="J44" s="23" t="str">
        <f>IF(C44="","",[1]!s_segment_product_sales1(C44,G44,1,H44,100000000))</f>
        <v/>
      </c>
      <c r="K44" s="23" t="str">
        <f>IF(C44="","",[1]!s_segment_product_cost1(C44,G44,1,H44,100000000))</f>
        <v/>
      </c>
      <c r="L44" s="23" t="str">
        <f>IF(C44="","",[1]!s_segment_product_profit1(C44,G44,1,H44,100000000))</f>
        <v/>
      </c>
      <c r="M44" s="25" t="str">
        <f>IF(C44="","",[1]!s_segment_product_gpmargin(C44,G44,1))</f>
        <v/>
      </c>
      <c r="N44" s="57" t="str">
        <f>IF(C44="","",[1]!s_segment_product_item(C44,G44,2))</f>
        <v/>
      </c>
      <c r="O44" s="55" t="str">
        <f>IF(C44="","",[1]!s_segment_product_sales1(C44,G44,2,H44,100000000))</f>
        <v/>
      </c>
      <c r="P44" s="55" t="str">
        <f>IF(C44="","",[1]!s_segment_product_cost1(C44,G44,2,H44,100000000))</f>
        <v/>
      </c>
      <c r="Q44" s="55" t="str">
        <f>IF(C44="","",[1]!s_segment_product_profit1(C44,G44,2,H44,100000000))</f>
        <v/>
      </c>
      <c r="R44" s="59" t="str">
        <f>IF(C44="","",[1]!s_segment_product_gpmargin(C44,G44,2))</f>
        <v/>
      </c>
      <c r="S44" s="57" t="str">
        <f>IF(C44="","",[1]!s_segment_product_item(C44,G44,3))</f>
        <v/>
      </c>
      <c r="T44" s="55" t="str">
        <f>IF(C44="","",[1]!s_segment_product_sales1(C44,G44,3,H44,100000000))</f>
        <v/>
      </c>
      <c r="U44" s="55" t="str">
        <f>IF(C44="","",[1]!s_segment_product_cost1(C44,G44,3,H44,100000000))</f>
        <v/>
      </c>
      <c r="V44" s="55" t="str">
        <f>IF(C44="","",[1]!s_segment_product_profit1(C44,G44,3,H44,100000000))</f>
        <v/>
      </c>
      <c r="W44" s="59" t="str">
        <f>IF(C44="","",[1]!s_segment_product_gpmargin(C44,G44,3))</f>
        <v/>
      </c>
      <c r="X44" s="57" t="str">
        <f>IF(C44="","",[1]!s_segment_product_item(C44,G44,4))</f>
        <v/>
      </c>
      <c r="Y44" s="55" t="str">
        <f>IF(C44="","",[1]!s_segment_product_sales1(C44,G44,4,H44,100000000))</f>
        <v/>
      </c>
      <c r="Z44" s="55" t="str">
        <f>IF(C44="","",[1]!s_segment_product_cost1(C44,G44,4,H44,100000000))</f>
        <v/>
      </c>
      <c r="AA44" s="55" t="str">
        <f>IF(C44="","",[1]!s_segment_product_profit1(C44,G44,4,H44,100000000))</f>
        <v/>
      </c>
      <c r="AB44" s="59" t="str">
        <f>IF(C44="","",[1]!s_segment_product_gpmargin(C44,G44,4))</f>
        <v/>
      </c>
      <c r="AC44" s="57" t="str">
        <f>IF(C44="","",[1]!s_segment_product_item(C44,G44,5))</f>
        <v/>
      </c>
      <c r="AD44" s="55" t="str">
        <f>IF(C44="","",[1]!s_segment_product_sales1(C44,G44,5,H44,100000000))</f>
        <v/>
      </c>
      <c r="AE44" s="55" t="str">
        <f>IF(C44="","",[1]!s_segment_product_cost1(C44,G44,5,H44,100000000))</f>
        <v/>
      </c>
      <c r="AF44" s="55" t="str">
        <f>IF(C44="","",[1]!s_segment_product_profit1(C44,G44,5,H44,100000000))</f>
        <v/>
      </c>
      <c r="AG44" s="56" t="str">
        <f>IF(C44="","",[1]!s_segment_product_gpmargin(C44,G44,5))</f>
        <v/>
      </c>
      <c r="AH44" s="35"/>
    </row>
    <row r="45" spans="1:34" s="36" customFormat="1" ht="16.5" x14ac:dyDescent="0.2">
      <c r="A45" s="2"/>
      <c r="B45" s="6"/>
      <c r="C45" s="28" t="str">
        <f>IF(表1[[#This Row],[列1]]="","",表1[[#This Row],[列1]])</f>
        <v/>
      </c>
      <c r="D45" s="19" t="str">
        <f>IF(C45="","",[1]!hks_info_name(C45))</f>
        <v/>
      </c>
      <c r="E45" s="19" t="str">
        <f ca="1">IF(C45="","",[1]!lastradeday_s(C45,TODAY()))</f>
        <v/>
      </c>
      <c r="F45" s="49" t="str">
        <f>IF(C45="","",IF(OR([1]!s_stm_rpt_e(C45,基本资料!$I$8,0)="#N/A",[1]!s_stm_rpt_e(C45,基本资料!$I$8,0)="",[1]!s_stm_rpt_e(C45,基本资料!$I$8,0)=0),[1]!s_stm_rpt_e(C45,基本资料!$I$9,0),[1]!s_stm_rpt_e(C45,基本资料!$I$8,0)))</f>
        <v/>
      </c>
      <c r="G45" s="49" t="str">
        <f>IF(C45="","",[1]!s_stm_rpt_e(C45,F45,0))</f>
        <v/>
      </c>
      <c r="H45" s="49" t="str">
        <f>IF(C45="","",[1]!hks_info_cur2(C45,F45))</f>
        <v/>
      </c>
      <c r="I45" s="57" t="str">
        <f>IF(C45="","",[1]!s_segment_product_item(C45,G45,1))</f>
        <v/>
      </c>
      <c r="J45" s="23" t="str">
        <f>IF(C45="","",[1]!s_segment_product_sales1(C45,G45,1,H45,100000000))</f>
        <v/>
      </c>
      <c r="K45" s="23" t="str">
        <f>IF(C45="","",[1]!s_segment_product_cost1(C45,G45,1,H45,100000000))</f>
        <v/>
      </c>
      <c r="L45" s="23" t="str">
        <f>IF(C45="","",[1]!s_segment_product_profit1(C45,G45,1,H45,100000000))</f>
        <v/>
      </c>
      <c r="M45" s="25" t="str">
        <f>IF(C45="","",[1]!s_segment_product_gpmargin(C45,G45,1))</f>
        <v/>
      </c>
      <c r="N45" s="57" t="str">
        <f>IF(C45="","",[1]!s_segment_product_item(C45,G45,2))</f>
        <v/>
      </c>
      <c r="O45" s="55" t="str">
        <f>IF(C45="","",[1]!s_segment_product_sales1(C45,G45,2,H45,100000000))</f>
        <v/>
      </c>
      <c r="P45" s="55" t="str">
        <f>IF(C45="","",[1]!s_segment_product_cost1(C45,G45,2,H45,100000000))</f>
        <v/>
      </c>
      <c r="Q45" s="55" t="str">
        <f>IF(C45="","",[1]!s_segment_product_profit1(C45,G45,2,H45,100000000))</f>
        <v/>
      </c>
      <c r="R45" s="59" t="str">
        <f>IF(C45="","",[1]!s_segment_product_gpmargin(C45,G45,2))</f>
        <v/>
      </c>
      <c r="S45" s="57" t="str">
        <f>IF(C45="","",[1]!s_segment_product_item(C45,G45,3))</f>
        <v/>
      </c>
      <c r="T45" s="55" t="str">
        <f>IF(C45="","",[1]!s_segment_product_sales1(C45,G45,3,H45,100000000))</f>
        <v/>
      </c>
      <c r="U45" s="55" t="str">
        <f>IF(C45="","",[1]!s_segment_product_cost1(C45,G45,3,H45,100000000))</f>
        <v/>
      </c>
      <c r="V45" s="55" t="str">
        <f>IF(C45="","",[1]!s_segment_product_profit1(C45,G45,3,H45,100000000))</f>
        <v/>
      </c>
      <c r="W45" s="59" t="str">
        <f>IF(C45="","",[1]!s_segment_product_gpmargin(C45,G45,3))</f>
        <v/>
      </c>
      <c r="X45" s="57" t="str">
        <f>IF(C45="","",[1]!s_segment_product_item(C45,G45,4))</f>
        <v/>
      </c>
      <c r="Y45" s="55" t="str">
        <f>IF(C45="","",[1]!s_segment_product_sales1(C45,G45,4,H45,100000000))</f>
        <v/>
      </c>
      <c r="Z45" s="55" t="str">
        <f>IF(C45="","",[1]!s_segment_product_cost1(C45,G45,4,H45,100000000))</f>
        <v/>
      </c>
      <c r="AA45" s="55" t="str">
        <f>IF(C45="","",[1]!s_segment_product_profit1(C45,G45,4,H45,100000000))</f>
        <v/>
      </c>
      <c r="AB45" s="59" t="str">
        <f>IF(C45="","",[1]!s_segment_product_gpmargin(C45,G45,4))</f>
        <v/>
      </c>
      <c r="AC45" s="57" t="str">
        <f>IF(C45="","",[1]!s_segment_product_item(C45,G45,5))</f>
        <v/>
      </c>
      <c r="AD45" s="55" t="str">
        <f>IF(C45="","",[1]!s_segment_product_sales1(C45,G45,5,H45,100000000))</f>
        <v/>
      </c>
      <c r="AE45" s="55" t="str">
        <f>IF(C45="","",[1]!s_segment_product_cost1(C45,G45,5,H45,100000000))</f>
        <v/>
      </c>
      <c r="AF45" s="55" t="str">
        <f>IF(C45="","",[1]!s_segment_product_profit1(C45,G45,5,H45,100000000))</f>
        <v/>
      </c>
      <c r="AG45" s="56" t="str">
        <f>IF(C45="","",[1]!s_segment_product_gpmargin(C45,G45,5))</f>
        <v/>
      </c>
      <c r="AH45" s="35"/>
    </row>
    <row r="46" spans="1:34" s="36" customFormat="1" ht="16.5" x14ac:dyDescent="0.2">
      <c r="A46" s="2"/>
      <c r="B46" s="6"/>
      <c r="C46" s="28" t="str">
        <f>IF(表1[[#This Row],[列1]]="","",表1[[#This Row],[列1]])</f>
        <v/>
      </c>
      <c r="D46" s="19" t="str">
        <f>IF(C46="","",[1]!hks_info_name(C46))</f>
        <v/>
      </c>
      <c r="E46" s="19" t="str">
        <f ca="1">IF(C46="","",[1]!lastradeday_s(C46,TODAY()))</f>
        <v/>
      </c>
      <c r="F46" s="49" t="str">
        <f>IF(C46="","",IF(OR([1]!s_stm_rpt_e(C46,基本资料!$I$8,0)="#N/A",[1]!s_stm_rpt_e(C46,基本资料!$I$8,0)="",[1]!s_stm_rpt_e(C46,基本资料!$I$8,0)=0),[1]!s_stm_rpt_e(C46,基本资料!$I$9,0),[1]!s_stm_rpt_e(C46,基本资料!$I$8,0)))</f>
        <v/>
      </c>
      <c r="G46" s="49" t="str">
        <f>IF(C46="","",[1]!s_stm_rpt_e(C46,F46,0))</f>
        <v/>
      </c>
      <c r="H46" s="49" t="str">
        <f>IF(C46="","",[1]!hks_info_cur2(C46,F46))</f>
        <v/>
      </c>
      <c r="I46" s="57" t="str">
        <f>IF(C46="","",[1]!s_segment_product_item(C46,G46,1))</f>
        <v/>
      </c>
      <c r="J46" s="23" t="str">
        <f>IF(C46="","",[1]!s_segment_product_sales1(C46,G46,1,H46,100000000))</f>
        <v/>
      </c>
      <c r="K46" s="23" t="str">
        <f>IF(C46="","",[1]!s_segment_product_cost1(C46,G46,1,H46,100000000))</f>
        <v/>
      </c>
      <c r="L46" s="23" t="str">
        <f>IF(C46="","",[1]!s_segment_product_profit1(C46,G46,1,H46,100000000))</f>
        <v/>
      </c>
      <c r="M46" s="25" t="str">
        <f>IF(C46="","",[1]!s_segment_product_gpmargin(C46,G46,1))</f>
        <v/>
      </c>
      <c r="N46" s="57" t="str">
        <f>IF(C46="","",[1]!s_segment_product_item(C46,G46,2))</f>
        <v/>
      </c>
      <c r="O46" s="55" t="str">
        <f>IF(C46="","",[1]!s_segment_product_sales1(C46,G46,2,H46,100000000))</f>
        <v/>
      </c>
      <c r="P46" s="55" t="str">
        <f>IF(C46="","",[1]!s_segment_product_cost1(C46,G46,2,H46,100000000))</f>
        <v/>
      </c>
      <c r="Q46" s="55" t="str">
        <f>IF(C46="","",[1]!s_segment_product_profit1(C46,G46,2,H46,100000000))</f>
        <v/>
      </c>
      <c r="R46" s="59" t="str">
        <f>IF(C46="","",[1]!s_segment_product_gpmargin(C46,G46,2))</f>
        <v/>
      </c>
      <c r="S46" s="57" t="str">
        <f>IF(C46="","",[1]!s_segment_product_item(C46,G46,3))</f>
        <v/>
      </c>
      <c r="T46" s="55" t="str">
        <f>IF(C46="","",[1]!s_segment_product_sales1(C46,G46,3,H46,100000000))</f>
        <v/>
      </c>
      <c r="U46" s="55" t="str">
        <f>IF(C46="","",[1]!s_segment_product_cost1(C46,G46,3,H46,100000000))</f>
        <v/>
      </c>
      <c r="V46" s="55" t="str">
        <f>IF(C46="","",[1]!s_segment_product_profit1(C46,G46,3,H46,100000000))</f>
        <v/>
      </c>
      <c r="W46" s="59" t="str">
        <f>IF(C46="","",[1]!s_segment_product_gpmargin(C46,G46,3))</f>
        <v/>
      </c>
      <c r="X46" s="57" t="str">
        <f>IF(C46="","",[1]!s_segment_product_item(C46,G46,4))</f>
        <v/>
      </c>
      <c r="Y46" s="55" t="str">
        <f>IF(C46="","",[1]!s_segment_product_sales1(C46,G46,4,H46,100000000))</f>
        <v/>
      </c>
      <c r="Z46" s="55" t="str">
        <f>IF(C46="","",[1]!s_segment_product_cost1(C46,G46,4,H46,100000000))</f>
        <v/>
      </c>
      <c r="AA46" s="55" t="str">
        <f>IF(C46="","",[1]!s_segment_product_profit1(C46,G46,4,H46,100000000))</f>
        <v/>
      </c>
      <c r="AB46" s="59" t="str">
        <f>IF(C46="","",[1]!s_segment_product_gpmargin(C46,G46,4))</f>
        <v/>
      </c>
      <c r="AC46" s="57" t="str">
        <f>IF(C46="","",[1]!s_segment_product_item(C46,G46,5))</f>
        <v/>
      </c>
      <c r="AD46" s="55" t="str">
        <f>IF(C46="","",[1]!s_segment_product_sales1(C46,G46,5,H46,100000000))</f>
        <v/>
      </c>
      <c r="AE46" s="55" t="str">
        <f>IF(C46="","",[1]!s_segment_product_cost1(C46,G46,5,H46,100000000))</f>
        <v/>
      </c>
      <c r="AF46" s="55" t="str">
        <f>IF(C46="","",[1]!s_segment_product_profit1(C46,G46,5,H46,100000000))</f>
        <v/>
      </c>
      <c r="AG46" s="56" t="str">
        <f>IF(C46="","",[1]!s_segment_product_gpmargin(C46,G46,5))</f>
        <v/>
      </c>
      <c r="AH46" s="35"/>
    </row>
    <row r="47" spans="1:34" s="36" customFormat="1" ht="16.5" x14ac:dyDescent="0.2">
      <c r="A47" s="2"/>
      <c r="B47" s="6"/>
      <c r="C47" s="28" t="str">
        <f>IF(表1[[#This Row],[列1]]="","",表1[[#This Row],[列1]])</f>
        <v/>
      </c>
      <c r="D47" s="19" t="str">
        <f>IF(C47="","",[1]!hks_info_name(C47))</f>
        <v/>
      </c>
      <c r="E47" s="19" t="str">
        <f ca="1">IF(C47="","",[1]!lastradeday_s(C47,TODAY()))</f>
        <v/>
      </c>
      <c r="F47" s="49" t="str">
        <f>IF(C47="","",IF(OR([1]!s_stm_rpt_e(C47,基本资料!$I$8,0)="#N/A",[1]!s_stm_rpt_e(C47,基本资料!$I$8,0)="",[1]!s_stm_rpt_e(C47,基本资料!$I$8,0)=0),[1]!s_stm_rpt_e(C47,基本资料!$I$9,0),[1]!s_stm_rpt_e(C47,基本资料!$I$8,0)))</f>
        <v/>
      </c>
      <c r="G47" s="49" t="str">
        <f>IF(C47="","",[1]!s_stm_rpt_e(C47,F47,0))</f>
        <v/>
      </c>
      <c r="H47" s="49" t="str">
        <f>IF(C47="","",[1]!hks_info_cur2(C47,F47))</f>
        <v/>
      </c>
      <c r="I47" s="57" t="str">
        <f>IF(C47="","",[1]!s_segment_product_item(C47,G47,1))</f>
        <v/>
      </c>
      <c r="J47" s="23" t="str">
        <f>IF(C47="","",[1]!s_segment_product_sales1(C47,G47,1,H47,100000000))</f>
        <v/>
      </c>
      <c r="K47" s="23" t="str">
        <f>IF(C47="","",[1]!s_segment_product_cost1(C47,G47,1,H47,100000000))</f>
        <v/>
      </c>
      <c r="L47" s="23" t="str">
        <f>IF(C47="","",[1]!s_segment_product_profit1(C47,G47,1,H47,100000000))</f>
        <v/>
      </c>
      <c r="M47" s="25" t="str">
        <f>IF(C47="","",[1]!s_segment_product_gpmargin(C47,G47,1))</f>
        <v/>
      </c>
      <c r="N47" s="57" t="str">
        <f>IF(C47="","",[1]!s_segment_product_item(C47,G47,2))</f>
        <v/>
      </c>
      <c r="O47" s="55" t="str">
        <f>IF(C47="","",[1]!s_segment_product_sales1(C47,G47,2,H47,100000000))</f>
        <v/>
      </c>
      <c r="P47" s="55" t="str">
        <f>IF(C47="","",[1]!s_segment_product_cost1(C47,G47,2,H47,100000000))</f>
        <v/>
      </c>
      <c r="Q47" s="55" t="str">
        <f>IF(C47="","",[1]!s_segment_product_profit1(C47,G47,2,H47,100000000))</f>
        <v/>
      </c>
      <c r="R47" s="59" t="str">
        <f>IF(C47="","",[1]!s_segment_product_gpmargin(C47,G47,2))</f>
        <v/>
      </c>
      <c r="S47" s="57" t="str">
        <f>IF(C47="","",[1]!s_segment_product_item(C47,G47,3))</f>
        <v/>
      </c>
      <c r="T47" s="55" t="str">
        <f>IF(C47="","",[1]!s_segment_product_sales1(C47,G47,3,H47,100000000))</f>
        <v/>
      </c>
      <c r="U47" s="55" t="str">
        <f>IF(C47="","",[1]!s_segment_product_cost1(C47,G47,3,H47,100000000))</f>
        <v/>
      </c>
      <c r="V47" s="55" t="str">
        <f>IF(C47="","",[1]!s_segment_product_profit1(C47,G47,3,H47,100000000))</f>
        <v/>
      </c>
      <c r="W47" s="59" t="str">
        <f>IF(C47="","",[1]!s_segment_product_gpmargin(C47,G47,3))</f>
        <v/>
      </c>
      <c r="X47" s="57" t="str">
        <f>IF(C47="","",[1]!s_segment_product_item(C47,G47,4))</f>
        <v/>
      </c>
      <c r="Y47" s="55" t="str">
        <f>IF(C47="","",[1]!s_segment_product_sales1(C47,G47,4,H47,100000000))</f>
        <v/>
      </c>
      <c r="Z47" s="55" t="str">
        <f>IF(C47="","",[1]!s_segment_product_cost1(C47,G47,4,H47,100000000))</f>
        <v/>
      </c>
      <c r="AA47" s="55" t="str">
        <f>IF(C47="","",[1]!s_segment_product_profit1(C47,G47,4,H47,100000000))</f>
        <v/>
      </c>
      <c r="AB47" s="59" t="str">
        <f>IF(C47="","",[1]!s_segment_product_gpmargin(C47,G47,4))</f>
        <v/>
      </c>
      <c r="AC47" s="57" t="str">
        <f>IF(C47="","",[1]!s_segment_product_item(C47,G47,5))</f>
        <v/>
      </c>
      <c r="AD47" s="55" t="str">
        <f>IF(C47="","",[1]!s_segment_product_sales1(C47,G47,5,H47,100000000))</f>
        <v/>
      </c>
      <c r="AE47" s="55" t="str">
        <f>IF(C47="","",[1]!s_segment_product_cost1(C47,G47,5,H47,100000000))</f>
        <v/>
      </c>
      <c r="AF47" s="55" t="str">
        <f>IF(C47="","",[1]!s_segment_product_profit1(C47,G47,5,H47,100000000))</f>
        <v/>
      </c>
      <c r="AG47" s="56" t="str">
        <f>IF(C47="","",[1]!s_segment_product_gpmargin(C47,G47,5))</f>
        <v/>
      </c>
      <c r="AH47" s="35"/>
    </row>
    <row r="48" spans="1:34" s="36" customFormat="1" ht="16.5" x14ac:dyDescent="0.2">
      <c r="A48" s="2"/>
      <c r="B48" s="6"/>
      <c r="C48" s="28" t="str">
        <f>IF(表1[[#This Row],[列1]]="","",表1[[#This Row],[列1]])</f>
        <v/>
      </c>
      <c r="D48" s="19" t="str">
        <f>IF(C48="","",[1]!hks_info_name(C48))</f>
        <v/>
      </c>
      <c r="E48" s="19" t="str">
        <f ca="1">IF(C48="","",[1]!lastradeday_s(C48,TODAY()))</f>
        <v/>
      </c>
      <c r="F48" s="49" t="str">
        <f>IF(C48="","",IF(OR([1]!s_stm_rpt_e(C48,基本资料!$I$8,0)="#N/A",[1]!s_stm_rpt_e(C48,基本资料!$I$8,0)="",[1]!s_stm_rpt_e(C48,基本资料!$I$8,0)=0),[1]!s_stm_rpt_e(C48,基本资料!$I$9,0),[1]!s_stm_rpt_e(C48,基本资料!$I$8,0)))</f>
        <v/>
      </c>
      <c r="G48" s="49" t="str">
        <f>IF(C48="","",[1]!s_stm_rpt_e(C48,F48,0))</f>
        <v/>
      </c>
      <c r="H48" s="49" t="str">
        <f>IF(C48="","",[1]!hks_info_cur2(C48,F48))</f>
        <v/>
      </c>
      <c r="I48" s="57" t="str">
        <f>IF(C48="","",[1]!s_segment_product_item(C48,G48,1))</f>
        <v/>
      </c>
      <c r="J48" s="23" t="str">
        <f>IF(C48="","",[1]!s_segment_product_sales1(C48,G48,1,H48,100000000))</f>
        <v/>
      </c>
      <c r="K48" s="23" t="str">
        <f>IF(C48="","",[1]!s_segment_product_cost1(C48,G48,1,H48,100000000))</f>
        <v/>
      </c>
      <c r="L48" s="23" t="str">
        <f>IF(C48="","",[1]!s_segment_product_profit1(C48,G48,1,H48,100000000))</f>
        <v/>
      </c>
      <c r="M48" s="25" t="str">
        <f>IF(C48="","",[1]!s_segment_product_gpmargin(C48,G48,1))</f>
        <v/>
      </c>
      <c r="N48" s="57" t="str">
        <f>IF(C48="","",[1]!s_segment_product_item(C48,G48,2))</f>
        <v/>
      </c>
      <c r="O48" s="55" t="str">
        <f>IF(C48="","",[1]!s_segment_product_sales1(C48,G48,2,H48,100000000))</f>
        <v/>
      </c>
      <c r="P48" s="55" t="str">
        <f>IF(C48="","",[1]!s_segment_product_cost1(C48,G48,2,H48,100000000))</f>
        <v/>
      </c>
      <c r="Q48" s="55" t="str">
        <f>IF(C48="","",[1]!s_segment_product_profit1(C48,G48,2,H48,100000000))</f>
        <v/>
      </c>
      <c r="R48" s="59" t="str">
        <f>IF(C48="","",[1]!s_segment_product_gpmargin(C48,G48,2))</f>
        <v/>
      </c>
      <c r="S48" s="57" t="str">
        <f>IF(C48="","",[1]!s_segment_product_item(C48,G48,3))</f>
        <v/>
      </c>
      <c r="T48" s="55" t="str">
        <f>IF(C48="","",[1]!s_segment_product_sales1(C48,G48,3,H48,100000000))</f>
        <v/>
      </c>
      <c r="U48" s="55" t="str">
        <f>IF(C48="","",[1]!s_segment_product_cost1(C48,G48,3,H48,100000000))</f>
        <v/>
      </c>
      <c r="V48" s="55" t="str">
        <f>IF(C48="","",[1]!s_segment_product_profit1(C48,G48,3,H48,100000000))</f>
        <v/>
      </c>
      <c r="W48" s="59" t="str">
        <f>IF(C48="","",[1]!s_segment_product_gpmargin(C48,G48,3))</f>
        <v/>
      </c>
      <c r="X48" s="57" t="str">
        <f>IF(C48="","",[1]!s_segment_product_item(C48,G48,4))</f>
        <v/>
      </c>
      <c r="Y48" s="55" t="str">
        <f>IF(C48="","",[1]!s_segment_product_sales1(C48,G48,4,H48,100000000))</f>
        <v/>
      </c>
      <c r="Z48" s="55" t="str">
        <f>IF(C48="","",[1]!s_segment_product_cost1(C48,G48,4,H48,100000000))</f>
        <v/>
      </c>
      <c r="AA48" s="55" t="str">
        <f>IF(C48="","",[1]!s_segment_product_profit1(C48,G48,4,H48,100000000))</f>
        <v/>
      </c>
      <c r="AB48" s="59" t="str">
        <f>IF(C48="","",[1]!s_segment_product_gpmargin(C48,G48,4))</f>
        <v/>
      </c>
      <c r="AC48" s="57" t="str">
        <f>IF(C48="","",[1]!s_segment_product_item(C48,G48,5))</f>
        <v/>
      </c>
      <c r="AD48" s="55" t="str">
        <f>IF(C48="","",[1]!s_segment_product_sales1(C48,G48,5,H48,100000000))</f>
        <v/>
      </c>
      <c r="AE48" s="55" t="str">
        <f>IF(C48="","",[1]!s_segment_product_cost1(C48,G48,5,H48,100000000))</f>
        <v/>
      </c>
      <c r="AF48" s="55" t="str">
        <f>IF(C48="","",[1]!s_segment_product_profit1(C48,G48,5,H48,100000000))</f>
        <v/>
      </c>
      <c r="AG48" s="56" t="str">
        <f>IF(C48="","",[1]!s_segment_product_gpmargin(C48,G48,5))</f>
        <v/>
      </c>
      <c r="AH48" s="35"/>
    </row>
    <row r="49" spans="1:34" s="36" customFormat="1" ht="16.5" x14ac:dyDescent="0.2">
      <c r="A49" s="2"/>
      <c r="B49" s="6"/>
      <c r="C49" s="28" t="str">
        <f>IF(表1[[#This Row],[列1]]="","",表1[[#This Row],[列1]])</f>
        <v/>
      </c>
      <c r="D49" s="19" t="str">
        <f>IF(C49="","",[1]!hks_info_name(C49))</f>
        <v/>
      </c>
      <c r="E49" s="19" t="str">
        <f ca="1">IF(C49="","",[1]!lastradeday_s(C49,TODAY()))</f>
        <v/>
      </c>
      <c r="F49" s="49" t="str">
        <f>IF(C49="","",IF(OR([1]!s_stm_rpt_e(C49,基本资料!$I$8,0)="#N/A",[1]!s_stm_rpt_e(C49,基本资料!$I$8,0)="",[1]!s_stm_rpt_e(C49,基本资料!$I$8,0)=0),[1]!s_stm_rpt_e(C49,基本资料!$I$9,0),[1]!s_stm_rpt_e(C49,基本资料!$I$8,0)))</f>
        <v/>
      </c>
      <c r="G49" s="49" t="str">
        <f>IF(C49="","",[1]!s_stm_rpt_e(C49,F49,0))</f>
        <v/>
      </c>
      <c r="H49" s="49" t="str">
        <f>IF(C49="","",[1]!hks_info_cur2(C49,F49))</f>
        <v/>
      </c>
      <c r="I49" s="57" t="str">
        <f>IF(C49="","",[1]!s_segment_product_item(C49,G49,1))</f>
        <v/>
      </c>
      <c r="J49" s="23" t="str">
        <f>IF(C49="","",[1]!s_segment_product_sales1(C49,G49,1,H49,100000000))</f>
        <v/>
      </c>
      <c r="K49" s="23" t="str">
        <f>IF(C49="","",[1]!s_segment_product_cost1(C49,G49,1,H49,100000000))</f>
        <v/>
      </c>
      <c r="L49" s="23" t="str">
        <f>IF(C49="","",[1]!s_segment_product_profit1(C49,G49,1,H49,100000000))</f>
        <v/>
      </c>
      <c r="M49" s="25" t="str">
        <f>IF(C49="","",[1]!s_segment_product_gpmargin(C49,G49,1))</f>
        <v/>
      </c>
      <c r="N49" s="57" t="str">
        <f>IF(C49="","",[1]!s_segment_product_item(C49,G49,2))</f>
        <v/>
      </c>
      <c r="O49" s="55" t="str">
        <f>IF(C49="","",[1]!s_segment_product_sales1(C49,G49,2,H49,100000000))</f>
        <v/>
      </c>
      <c r="P49" s="55" t="str">
        <f>IF(C49="","",[1]!s_segment_product_cost1(C49,G49,2,H49,100000000))</f>
        <v/>
      </c>
      <c r="Q49" s="55" t="str">
        <f>IF(C49="","",[1]!s_segment_product_profit1(C49,G49,2,H49,100000000))</f>
        <v/>
      </c>
      <c r="R49" s="59" t="str">
        <f>IF(C49="","",[1]!s_segment_product_gpmargin(C49,G49,2))</f>
        <v/>
      </c>
      <c r="S49" s="57" t="str">
        <f>IF(C49="","",[1]!s_segment_product_item(C49,G49,3))</f>
        <v/>
      </c>
      <c r="T49" s="55" t="str">
        <f>IF(C49="","",[1]!s_segment_product_sales1(C49,G49,3,H49,100000000))</f>
        <v/>
      </c>
      <c r="U49" s="55" t="str">
        <f>IF(C49="","",[1]!s_segment_product_cost1(C49,G49,3,H49,100000000))</f>
        <v/>
      </c>
      <c r="V49" s="55" t="str">
        <f>IF(C49="","",[1]!s_segment_product_profit1(C49,G49,3,H49,100000000))</f>
        <v/>
      </c>
      <c r="W49" s="59" t="str">
        <f>IF(C49="","",[1]!s_segment_product_gpmargin(C49,G49,3))</f>
        <v/>
      </c>
      <c r="X49" s="57" t="str">
        <f>IF(C49="","",[1]!s_segment_product_item(C49,G49,4))</f>
        <v/>
      </c>
      <c r="Y49" s="55" t="str">
        <f>IF(C49="","",[1]!s_segment_product_sales1(C49,G49,4,H49,100000000))</f>
        <v/>
      </c>
      <c r="Z49" s="55" t="str">
        <f>IF(C49="","",[1]!s_segment_product_cost1(C49,G49,4,H49,100000000))</f>
        <v/>
      </c>
      <c r="AA49" s="55" t="str">
        <f>IF(C49="","",[1]!s_segment_product_profit1(C49,G49,4,H49,100000000))</f>
        <v/>
      </c>
      <c r="AB49" s="59" t="str">
        <f>IF(C49="","",[1]!s_segment_product_gpmargin(C49,G49,4))</f>
        <v/>
      </c>
      <c r="AC49" s="57" t="str">
        <f>IF(C49="","",[1]!s_segment_product_item(C49,G49,5))</f>
        <v/>
      </c>
      <c r="AD49" s="55" t="str">
        <f>IF(C49="","",[1]!s_segment_product_sales1(C49,G49,5,H49,100000000))</f>
        <v/>
      </c>
      <c r="AE49" s="55" t="str">
        <f>IF(C49="","",[1]!s_segment_product_cost1(C49,G49,5,H49,100000000))</f>
        <v/>
      </c>
      <c r="AF49" s="55" t="str">
        <f>IF(C49="","",[1]!s_segment_product_profit1(C49,G49,5,H49,100000000))</f>
        <v/>
      </c>
      <c r="AG49" s="56" t="str">
        <f>IF(C49="","",[1]!s_segment_product_gpmargin(C49,G49,5))</f>
        <v/>
      </c>
      <c r="AH49" s="35"/>
    </row>
    <row r="50" spans="1:34" s="36" customFormat="1" ht="16.5" x14ac:dyDescent="0.2">
      <c r="A50" s="2"/>
      <c r="B50" s="6"/>
      <c r="C50" s="28" t="str">
        <f>IF(表1[[#This Row],[列1]]="","",表1[[#This Row],[列1]])</f>
        <v/>
      </c>
      <c r="D50" s="19" t="str">
        <f>IF(C50="","",[1]!hks_info_name(C50))</f>
        <v/>
      </c>
      <c r="E50" s="19" t="str">
        <f ca="1">IF(C50="","",[1]!lastradeday_s(C50,TODAY()))</f>
        <v/>
      </c>
      <c r="F50" s="49" t="str">
        <f>IF(C50="","",IF(OR([1]!s_stm_rpt_e(C50,基本资料!$I$8,0)="#N/A",[1]!s_stm_rpt_e(C50,基本资料!$I$8,0)="",[1]!s_stm_rpt_e(C50,基本资料!$I$8,0)=0),[1]!s_stm_rpt_e(C50,基本资料!$I$9,0),[1]!s_stm_rpt_e(C50,基本资料!$I$8,0)))</f>
        <v/>
      </c>
      <c r="G50" s="49" t="str">
        <f>IF(C50="","",[1]!s_stm_rpt_e(C50,F50,0))</f>
        <v/>
      </c>
      <c r="H50" s="49" t="str">
        <f>IF(C50="","",[1]!hks_info_cur2(C50,F50))</f>
        <v/>
      </c>
      <c r="I50" s="57" t="str">
        <f>IF(C50="","",[1]!s_segment_product_item(C50,G50,1))</f>
        <v/>
      </c>
      <c r="J50" s="23" t="str">
        <f>IF(C50="","",[1]!s_segment_product_sales1(C50,G50,1,H50,100000000))</f>
        <v/>
      </c>
      <c r="K50" s="23" t="str">
        <f>IF(C50="","",[1]!s_segment_product_cost1(C50,G50,1,H50,100000000))</f>
        <v/>
      </c>
      <c r="L50" s="23" t="str">
        <f>IF(C50="","",[1]!s_segment_product_profit1(C50,G50,1,H50,100000000))</f>
        <v/>
      </c>
      <c r="M50" s="25" t="str">
        <f>IF(C50="","",[1]!s_segment_product_gpmargin(C50,G50,1))</f>
        <v/>
      </c>
      <c r="N50" s="57" t="str">
        <f>IF(C50="","",[1]!s_segment_product_item(C50,G50,2))</f>
        <v/>
      </c>
      <c r="O50" s="55" t="str">
        <f>IF(C50="","",[1]!s_segment_product_sales1(C50,G50,2,H50,100000000))</f>
        <v/>
      </c>
      <c r="P50" s="55" t="str">
        <f>IF(C50="","",[1]!s_segment_product_cost1(C50,G50,2,H50,100000000))</f>
        <v/>
      </c>
      <c r="Q50" s="55" t="str">
        <f>IF(C50="","",[1]!s_segment_product_profit1(C50,G50,2,H50,100000000))</f>
        <v/>
      </c>
      <c r="R50" s="59" t="str">
        <f>IF(C50="","",[1]!s_segment_product_gpmargin(C50,G50,2))</f>
        <v/>
      </c>
      <c r="S50" s="57" t="str">
        <f>IF(C50="","",[1]!s_segment_product_item(C50,G50,3))</f>
        <v/>
      </c>
      <c r="T50" s="55" t="str">
        <f>IF(C50="","",[1]!s_segment_product_sales1(C50,G50,3,H50,100000000))</f>
        <v/>
      </c>
      <c r="U50" s="55" t="str">
        <f>IF(C50="","",[1]!s_segment_product_cost1(C50,G50,3,H50,100000000))</f>
        <v/>
      </c>
      <c r="V50" s="55" t="str">
        <f>IF(C50="","",[1]!s_segment_product_profit1(C50,G50,3,H50,100000000))</f>
        <v/>
      </c>
      <c r="W50" s="59" t="str">
        <f>IF(C50="","",[1]!s_segment_product_gpmargin(C50,G50,3))</f>
        <v/>
      </c>
      <c r="X50" s="57" t="str">
        <f>IF(C50="","",[1]!s_segment_product_item(C50,G50,4))</f>
        <v/>
      </c>
      <c r="Y50" s="55" t="str">
        <f>IF(C50="","",[1]!s_segment_product_sales1(C50,G50,4,H50,100000000))</f>
        <v/>
      </c>
      <c r="Z50" s="55" t="str">
        <f>IF(C50="","",[1]!s_segment_product_cost1(C50,G50,4,H50,100000000))</f>
        <v/>
      </c>
      <c r="AA50" s="55" t="str">
        <f>IF(C50="","",[1]!s_segment_product_profit1(C50,G50,4,H50,100000000))</f>
        <v/>
      </c>
      <c r="AB50" s="59" t="str">
        <f>IF(C50="","",[1]!s_segment_product_gpmargin(C50,G50,4))</f>
        <v/>
      </c>
      <c r="AC50" s="57" t="str">
        <f>IF(C50="","",[1]!s_segment_product_item(C50,G50,5))</f>
        <v/>
      </c>
      <c r="AD50" s="55" t="str">
        <f>IF(C50="","",[1]!s_segment_product_sales1(C50,G50,5,H50,100000000))</f>
        <v/>
      </c>
      <c r="AE50" s="55" t="str">
        <f>IF(C50="","",[1]!s_segment_product_cost1(C50,G50,5,H50,100000000))</f>
        <v/>
      </c>
      <c r="AF50" s="55" t="str">
        <f>IF(C50="","",[1]!s_segment_product_profit1(C50,G50,5,H50,100000000))</f>
        <v/>
      </c>
      <c r="AG50" s="56" t="str">
        <f>IF(C50="","",[1]!s_segment_product_gpmargin(C50,G50,5))</f>
        <v/>
      </c>
      <c r="AH50" s="35"/>
    </row>
    <row r="51" spans="1:34" s="36" customFormat="1" ht="16.5" x14ac:dyDescent="0.2">
      <c r="A51" s="2"/>
      <c r="B51" s="6"/>
      <c r="C51" s="28" t="str">
        <f>IF(表1[[#This Row],[列1]]="","",表1[[#This Row],[列1]])</f>
        <v/>
      </c>
      <c r="D51" s="19" t="str">
        <f>IF(C51="","",[1]!hks_info_name(C51))</f>
        <v/>
      </c>
      <c r="E51" s="19" t="str">
        <f ca="1">IF(C51="","",[1]!lastradeday_s(C51,TODAY()))</f>
        <v/>
      </c>
      <c r="F51" s="49" t="str">
        <f>IF(C51="","",IF(OR([1]!s_stm_rpt_e(C51,基本资料!$I$8,0)="#N/A",[1]!s_stm_rpt_e(C51,基本资料!$I$8,0)="",[1]!s_stm_rpt_e(C51,基本资料!$I$8,0)=0),[1]!s_stm_rpt_e(C51,基本资料!$I$9,0),[1]!s_stm_rpt_e(C51,基本资料!$I$8,0)))</f>
        <v/>
      </c>
      <c r="G51" s="49" t="str">
        <f>IF(C51="","",[1]!s_stm_rpt_e(C51,F51,0))</f>
        <v/>
      </c>
      <c r="H51" s="49" t="str">
        <f>IF(C51="","",[1]!hks_info_cur2(C51,F51))</f>
        <v/>
      </c>
      <c r="I51" s="57" t="str">
        <f>IF(C51="","",[1]!s_segment_product_item(C51,G51,1))</f>
        <v/>
      </c>
      <c r="J51" s="23" t="str">
        <f>IF(C51="","",[1]!s_segment_product_sales1(C51,G51,1,H51,100000000))</f>
        <v/>
      </c>
      <c r="K51" s="23" t="str">
        <f>IF(C51="","",[1]!s_segment_product_cost1(C51,G51,1,H51,100000000))</f>
        <v/>
      </c>
      <c r="L51" s="23" t="str">
        <f>IF(C51="","",[1]!s_segment_product_profit1(C51,G51,1,H51,100000000))</f>
        <v/>
      </c>
      <c r="M51" s="25" t="str">
        <f>IF(C51="","",[1]!s_segment_product_gpmargin(C51,G51,1))</f>
        <v/>
      </c>
      <c r="N51" s="57" t="str">
        <f>IF(C51="","",[1]!s_segment_product_item(C51,G51,2))</f>
        <v/>
      </c>
      <c r="O51" s="55" t="str">
        <f>IF(C51="","",[1]!s_segment_product_sales1(C51,G51,2,H51,100000000))</f>
        <v/>
      </c>
      <c r="P51" s="55" t="str">
        <f>IF(C51="","",[1]!s_segment_product_cost1(C51,G51,2,H51,100000000))</f>
        <v/>
      </c>
      <c r="Q51" s="55" t="str">
        <f>IF(C51="","",[1]!s_segment_product_profit1(C51,G51,2,H51,100000000))</f>
        <v/>
      </c>
      <c r="R51" s="59" t="str">
        <f>IF(C51="","",[1]!s_segment_product_gpmargin(C51,G51,2))</f>
        <v/>
      </c>
      <c r="S51" s="57" t="str">
        <f>IF(C51="","",[1]!s_segment_product_item(C51,G51,3))</f>
        <v/>
      </c>
      <c r="T51" s="55" t="str">
        <f>IF(C51="","",[1]!s_segment_product_sales1(C51,G51,3,H51,100000000))</f>
        <v/>
      </c>
      <c r="U51" s="55" t="str">
        <f>IF(C51="","",[1]!s_segment_product_cost1(C51,G51,3,H51,100000000))</f>
        <v/>
      </c>
      <c r="V51" s="55" t="str">
        <f>IF(C51="","",[1]!s_segment_product_profit1(C51,G51,3,H51,100000000))</f>
        <v/>
      </c>
      <c r="W51" s="59" t="str">
        <f>IF(C51="","",[1]!s_segment_product_gpmargin(C51,G51,3))</f>
        <v/>
      </c>
      <c r="X51" s="57" t="str">
        <f>IF(C51="","",[1]!s_segment_product_item(C51,G51,4))</f>
        <v/>
      </c>
      <c r="Y51" s="55" t="str">
        <f>IF(C51="","",[1]!s_segment_product_sales1(C51,G51,4,H51,100000000))</f>
        <v/>
      </c>
      <c r="Z51" s="55" t="str">
        <f>IF(C51="","",[1]!s_segment_product_cost1(C51,G51,4,H51,100000000))</f>
        <v/>
      </c>
      <c r="AA51" s="55" t="str">
        <f>IF(C51="","",[1]!s_segment_product_profit1(C51,G51,4,H51,100000000))</f>
        <v/>
      </c>
      <c r="AB51" s="59" t="str">
        <f>IF(C51="","",[1]!s_segment_product_gpmargin(C51,G51,4))</f>
        <v/>
      </c>
      <c r="AC51" s="57" t="str">
        <f>IF(C51="","",[1]!s_segment_product_item(C51,G51,5))</f>
        <v/>
      </c>
      <c r="AD51" s="55" t="str">
        <f>IF(C51="","",[1]!s_segment_product_sales1(C51,G51,5,H51,100000000))</f>
        <v/>
      </c>
      <c r="AE51" s="55" t="str">
        <f>IF(C51="","",[1]!s_segment_product_cost1(C51,G51,5,H51,100000000))</f>
        <v/>
      </c>
      <c r="AF51" s="55" t="str">
        <f>IF(C51="","",[1]!s_segment_product_profit1(C51,G51,5,H51,100000000))</f>
        <v/>
      </c>
      <c r="AG51" s="56" t="str">
        <f>IF(C51="","",[1]!s_segment_product_gpmargin(C51,G51,5))</f>
        <v/>
      </c>
      <c r="AH51" s="35"/>
    </row>
    <row r="52" spans="1:34" s="36" customFormat="1" ht="16.5" x14ac:dyDescent="0.2">
      <c r="A52" s="2"/>
      <c r="B52" s="6"/>
      <c r="C52" s="28" t="str">
        <f>IF(表1[[#This Row],[列1]]="","",表1[[#This Row],[列1]])</f>
        <v/>
      </c>
      <c r="D52" s="19" t="str">
        <f>IF(C52="","",[1]!hks_info_name(C52))</f>
        <v/>
      </c>
      <c r="E52" s="19" t="str">
        <f ca="1">IF(C52="","",[1]!lastradeday_s(C52,TODAY()))</f>
        <v/>
      </c>
      <c r="F52" s="49" t="str">
        <f>IF(C52="","",IF(OR([1]!s_stm_rpt_e(C52,基本资料!$I$8,0)="#N/A",[1]!s_stm_rpt_e(C52,基本资料!$I$8,0)="",[1]!s_stm_rpt_e(C52,基本资料!$I$8,0)=0),[1]!s_stm_rpt_e(C52,基本资料!$I$9,0),[1]!s_stm_rpt_e(C52,基本资料!$I$8,0)))</f>
        <v/>
      </c>
      <c r="G52" s="49" t="str">
        <f>IF(C52="","",[1]!s_stm_rpt_e(C52,F52,0))</f>
        <v/>
      </c>
      <c r="H52" s="49" t="str">
        <f>IF(C52="","",[1]!hks_info_cur2(C52,F52))</f>
        <v/>
      </c>
      <c r="I52" s="57" t="str">
        <f>IF(C52="","",[1]!s_segment_product_item(C52,G52,1))</f>
        <v/>
      </c>
      <c r="J52" s="23" t="str">
        <f>IF(C52="","",[1]!s_segment_product_sales1(C52,G52,1,H52,100000000))</f>
        <v/>
      </c>
      <c r="K52" s="23" t="str">
        <f>IF(C52="","",[1]!s_segment_product_cost1(C52,G52,1,H52,100000000))</f>
        <v/>
      </c>
      <c r="L52" s="23" t="str">
        <f>IF(C52="","",[1]!s_segment_product_profit1(C52,G52,1,H52,100000000))</f>
        <v/>
      </c>
      <c r="M52" s="25" t="str">
        <f>IF(C52="","",[1]!s_segment_product_gpmargin(C52,G52,1))</f>
        <v/>
      </c>
      <c r="N52" s="57" t="str">
        <f>IF(C52="","",[1]!s_segment_product_item(C52,G52,2))</f>
        <v/>
      </c>
      <c r="O52" s="55" t="str">
        <f>IF(C52="","",[1]!s_segment_product_sales1(C52,G52,2,H52,100000000))</f>
        <v/>
      </c>
      <c r="P52" s="55" t="str">
        <f>IF(C52="","",[1]!s_segment_product_cost1(C52,G52,2,H52,100000000))</f>
        <v/>
      </c>
      <c r="Q52" s="55" t="str">
        <f>IF(C52="","",[1]!s_segment_product_profit1(C52,G52,2,H52,100000000))</f>
        <v/>
      </c>
      <c r="R52" s="59" t="str">
        <f>IF(C52="","",[1]!s_segment_product_gpmargin(C52,G52,2))</f>
        <v/>
      </c>
      <c r="S52" s="57" t="str">
        <f>IF(C52="","",[1]!s_segment_product_item(C52,G52,3))</f>
        <v/>
      </c>
      <c r="T52" s="55" t="str">
        <f>IF(C52="","",[1]!s_segment_product_sales1(C52,G52,3,H52,100000000))</f>
        <v/>
      </c>
      <c r="U52" s="55" t="str">
        <f>IF(C52="","",[1]!s_segment_product_cost1(C52,G52,3,H52,100000000))</f>
        <v/>
      </c>
      <c r="V52" s="55" t="str">
        <f>IF(C52="","",[1]!s_segment_product_profit1(C52,G52,3,H52,100000000))</f>
        <v/>
      </c>
      <c r="W52" s="59" t="str">
        <f>IF(C52="","",[1]!s_segment_product_gpmargin(C52,G52,3))</f>
        <v/>
      </c>
      <c r="X52" s="57" t="str">
        <f>IF(C52="","",[1]!s_segment_product_item(C52,G52,4))</f>
        <v/>
      </c>
      <c r="Y52" s="55" t="str">
        <f>IF(C52="","",[1]!s_segment_product_sales1(C52,G52,4,H52,100000000))</f>
        <v/>
      </c>
      <c r="Z52" s="55" t="str">
        <f>IF(C52="","",[1]!s_segment_product_cost1(C52,G52,4,H52,100000000))</f>
        <v/>
      </c>
      <c r="AA52" s="55" t="str">
        <f>IF(C52="","",[1]!s_segment_product_profit1(C52,G52,4,H52,100000000))</f>
        <v/>
      </c>
      <c r="AB52" s="59" t="str">
        <f>IF(C52="","",[1]!s_segment_product_gpmargin(C52,G52,4))</f>
        <v/>
      </c>
      <c r="AC52" s="57" t="str">
        <f>IF(C52="","",[1]!s_segment_product_item(C52,G52,5))</f>
        <v/>
      </c>
      <c r="AD52" s="55" t="str">
        <f>IF(C52="","",[1]!s_segment_product_sales1(C52,G52,5,H52,100000000))</f>
        <v/>
      </c>
      <c r="AE52" s="55" t="str">
        <f>IF(C52="","",[1]!s_segment_product_cost1(C52,G52,5,H52,100000000))</f>
        <v/>
      </c>
      <c r="AF52" s="55" t="str">
        <f>IF(C52="","",[1]!s_segment_product_profit1(C52,G52,5,H52,100000000))</f>
        <v/>
      </c>
      <c r="AG52" s="56" t="str">
        <f>IF(C52="","",[1]!s_segment_product_gpmargin(C52,G52,5))</f>
        <v/>
      </c>
      <c r="AH52" s="35"/>
    </row>
    <row r="53" spans="1:34" s="36" customFormat="1" ht="16.5" x14ac:dyDescent="0.2">
      <c r="A53" s="2"/>
      <c r="B53" s="6"/>
      <c r="C53" s="28" t="str">
        <f>IF(表1[[#This Row],[列1]]="","",表1[[#This Row],[列1]])</f>
        <v/>
      </c>
      <c r="D53" s="19" t="str">
        <f>IF(C53="","",[1]!hks_info_name(C53))</f>
        <v/>
      </c>
      <c r="E53" s="19" t="str">
        <f ca="1">IF(C53="","",[1]!lastradeday_s(C53,TODAY()))</f>
        <v/>
      </c>
      <c r="F53" s="49" t="str">
        <f>IF(C53="","",IF(OR([1]!s_stm_rpt_e(C53,基本资料!$I$8,0)="#N/A",[1]!s_stm_rpt_e(C53,基本资料!$I$8,0)="",[1]!s_stm_rpt_e(C53,基本资料!$I$8,0)=0),[1]!s_stm_rpt_e(C53,基本资料!$I$9,0),[1]!s_stm_rpt_e(C53,基本资料!$I$8,0)))</f>
        <v/>
      </c>
      <c r="G53" s="49" t="str">
        <f>IF(C53="","",[1]!s_stm_rpt_e(C53,F53,0))</f>
        <v/>
      </c>
      <c r="H53" s="49" t="str">
        <f>IF(C53="","",[1]!hks_info_cur2(C53,F53))</f>
        <v/>
      </c>
      <c r="I53" s="57" t="str">
        <f>IF(C53="","",[1]!s_segment_product_item(C53,G53,1))</f>
        <v/>
      </c>
      <c r="J53" s="23" t="str">
        <f>IF(C53="","",[1]!s_segment_product_sales1(C53,G53,1,H53,100000000))</f>
        <v/>
      </c>
      <c r="K53" s="23" t="str">
        <f>IF(C53="","",[1]!s_segment_product_cost1(C53,G53,1,H53,100000000))</f>
        <v/>
      </c>
      <c r="L53" s="23" t="str">
        <f>IF(C53="","",[1]!s_segment_product_profit1(C53,G53,1,H53,100000000))</f>
        <v/>
      </c>
      <c r="M53" s="25" t="str">
        <f>IF(C53="","",[1]!s_segment_product_gpmargin(C53,G53,1))</f>
        <v/>
      </c>
      <c r="N53" s="57" t="str">
        <f>IF(C53="","",[1]!s_segment_product_item(C53,G53,2))</f>
        <v/>
      </c>
      <c r="O53" s="55" t="str">
        <f>IF(C53="","",[1]!s_segment_product_sales1(C53,G53,2,H53,100000000))</f>
        <v/>
      </c>
      <c r="P53" s="55" t="str">
        <f>IF(C53="","",[1]!s_segment_product_cost1(C53,G53,2,H53,100000000))</f>
        <v/>
      </c>
      <c r="Q53" s="55" t="str">
        <f>IF(C53="","",[1]!s_segment_product_profit1(C53,G53,2,H53,100000000))</f>
        <v/>
      </c>
      <c r="R53" s="59" t="str">
        <f>IF(C53="","",[1]!s_segment_product_gpmargin(C53,G53,2))</f>
        <v/>
      </c>
      <c r="S53" s="57" t="str">
        <f>IF(C53="","",[1]!s_segment_product_item(C53,G53,3))</f>
        <v/>
      </c>
      <c r="T53" s="55" t="str">
        <f>IF(C53="","",[1]!s_segment_product_sales1(C53,G53,3,H53,100000000))</f>
        <v/>
      </c>
      <c r="U53" s="55" t="str">
        <f>IF(C53="","",[1]!s_segment_product_cost1(C53,G53,3,H53,100000000))</f>
        <v/>
      </c>
      <c r="V53" s="55" t="str">
        <f>IF(C53="","",[1]!s_segment_product_profit1(C53,G53,3,H53,100000000))</f>
        <v/>
      </c>
      <c r="W53" s="59" t="str">
        <f>IF(C53="","",[1]!s_segment_product_gpmargin(C53,G53,3))</f>
        <v/>
      </c>
      <c r="X53" s="57" t="str">
        <f>IF(C53="","",[1]!s_segment_product_item(C53,G53,4))</f>
        <v/>
      </c>
      <c r="Y53" s="55" t="str">
        <f>IF(C53="","",[1]!s_segment_product_sales1(C53,G53,4,H53,100000000))</f>
        <v/>
      </c>
      <c r="Z53" s="55" t="str">
        <f>IF(C53="","",[1]!s_segment_product_cost1(C53,G53,4,H53,100000000))</f>
        <v/>
      </c>
      <c r="AA53" s="55" t="str">
        <f>IF(C53="","",[1]!s_segment_product_profit1(C53,G53,4,H53,100000000))</f>
        <v/>
      </c>
      <c r="AB53" s="59" t="str">
        <f>IF(C53="","",[1]!s_segment_product_gpmargin(C53,G53,4))</f>
        <v/>
      </c>
      <c r="AC53" s="57" t="str">
        <f>IF(C53="","",[1]!s_segment_product_item(C53,G53,5))</f>
        <v/>
      </c>
      <c r="AD53" s="55" t="str">
        <f>IF(C53="","",[1]!s_segment_product_sales1(C53,G53,5,H53,100000000))</f>
        <v/>
      </c>
      <c r="AE53" s="55" t="str">
        <f>IF(C53="","",[1]!s_segment_product_cost1(C53,G53,5,H53,100000000))</f>
        <v/>
      </c>
      <c r="AF53" s="55" t="str">
        <f>IF(C53="","",[1]!s_segment_product_profit1(C53,G53,5,H53,100000000))</f>
        <v/>
      </c>
      <c r="AG53" s="56" t="str">
        <f>IF(C53="","",[1]!s_segment_product_gpmargin(C53,G53,5))</f>
        <v/>
      </c>
      <c r="AH53" s="35"/>
    </row>
    <row r="54" spans="1:34" s="36" customFormat="1" ht="16.5" x14ac:dyDescent="0.2">
      <c r="A54" s="2"/>
      <c r="B54" s="6"/>
      <c r="C54" s="28" t="str">
        <f>IF(表1[[#This Row],[列1]]="","",表1[[#This Row],[列1]])</f>
        <v/>
      </c>
      <c r="D54" s="19" t="str">
        <f>IF(C54="","",[1]!hks_info_name(C54))</f>
        <v/>
      </c>
      <c r="E54" s="19" t="str">
        <f ca="1">IF(C54="","",[1]!lastradeday_s(C54,TODAY()))</f>
        <v/>
      </c>
      <c r="F54" s="49" t="str">
        <f>IF(C54="","",IF(OR([1]!s_stm_rpt_e(C54,基本资料!$I$8,0)="#N/A",[1]!s_stm_rpt_e(C54,基本资料!$I$8,0)="",[1]!s_stm_rpt_e(C54,基本资料!$I$8,0)=0),[1]!s_stm_rpt_e(C54,基本资料!$I$9,0),[1]!s_stm_rpt_e(C54,基本资料!$I$8,0)))</f>
        <v/>
      </c>
      <c r="G54" s="49" t="str">
        <f>IF(C54="","",[1]!s_stm_rpt_e(C54,F54,0))</f>
        <v/>
      </c>
      <c r="H54" s="49" t="str">
        <f>IF(C54="","",[1]!hks_info_cur2(C54,F54))</f>
        <v/>
      </c>
      <c r="I54" s="57" t="str">
        <f>IF(C54="","",[1]!s_segment_product_item(C54,G54,1))</f>
        <v/>
      </c>
      <c r="J54" s="23" t="str">
        <f>IF(C54="","",[1]!s_segment_product_sales1(C54,G54,1,H54,100000000))</f>
        <v/>
      </c>
      <c r="K54" s="23" t="str">
        <f>IF(C54="","",[1]!s_segment_product_cost1(C54,G54,1,H54,100000000))</f>
        <v/>
      </c>
      <c r="L54" s="23" t="str">
        <f>IF(C54="","",[1]!s_segment_product_profit1(C54,G54,1,H54,100000000))</f>
        <v/>
      </c>
      <c r="M54" s="25" t="str">
        <f>IF(C54="","",[1]!s_segment_product_gpmargin(C54,G54,1))</f>
        <v/>
      </c>
      <c r="N54" s="57" t="str">
        <f>IF(C54="","",[1]!s_segment_product_item(C54,G54,2))</f>
        <v/>
      </c>
      <c r="O54" s="55" t="str">
        <f>IF(C54="","",[1]!s_segment_product_sales1(C54,G54,2,H54,100000000))</f>
        <v/>
      </c>
      <c r="P54" s="55" t="str">
        <f>IF(C54="","",[1]!s_segment_product_cost1(C54,G54,2,H54,100000000))</f>
        <v/>
      </c>
      <c r="Q54" s="55" t="str">
        <f>IF(C54="","",[1]!s_segment_product_profit1(C54,G54,2,H54,100000000))</f>
        <v/>
      </c>
      <c r="R54" s="59" t="str">
        <f>IF(C54="","",[1]!s_segment_product_gpmargin(C54,G54,2))</f>
        <v/>
      </c>
      <c r="S54" s="57" t="str">
        <f>IF(C54="","",[1]!s_segment_product_item(C54,G54,3))</f>
        <v/>
      </c>
      <c r="T54" s="55" t="str">
        <f>IF(C54="","",[1]!s_segment_product_sales1(C54,G54,3,H54,100000000))</f>
        <v/>
      </c>
      <c r="U54" s="55" t="str">
        <f>IF(C54="","",[1]!s_segment_product_cost1(C54,G54,3,H54,100000000))</f>
        <v/>
      </c>
      <c r="V54" s="55" t="str">
        <f>IF(C54="","",[1]!s_segment_product_profit1(C54,G54,3,H54,100000000))</f>
        <v/>
      </c>
      <c r="W54" s="59" t="str">
        <f>IF(C54="","",[1]!s_segment_product_gpmargin(C54,G54,3))</f>
        <v/>
      </c>
      <c r="X54" s="57" t="str">
        <f>IF(C54="","",[1]!s_segment_product_item(C54,G54,4))</f>
        <v/>
      </c>
      <c r="Y54" s="55" t="str">
        <f>IF(C54="","",[1]!s_segment_product_sales1(C54,G54,4,H54,100000000))</f>
        <v/>
      </c>
      <c r="Z54" s="55" t="str">
        <f>IF(C54="","",[1]!s_segment_product_cost1(C54,G54,4,H54,100000000))</f>
        <v/>
      </c>
      <c r="AA54" s="55" t="str">
        <f>IF(C54="","",[1]!s_segment_product_profit1(C54,G54,4,H54,100000000))</f>
        <v/>
      </c>
      <c r="AB54" s="59" t="str">
        <f>IF(C54="","",[1]!s_segment_product_gpmargin(C54,G54,4))</f>
        <v/>
      </c>
      <c r="AC54" s="57" t="str">
        <f>IF(C54="","",[1]!s_segment_product_item(C54,G54,5))</f>
        <v/>
      </c>
      <c r="AD54" s="55" t="str">
        <f>IF(C54="","",[1]!s_segment_product_sales1(C54,G54,5,H54,100000000))</f>
        <v/>
      </c>
      <c r="AE54" s="55" t="str">
        <f>IF(C54="","",[1]!s_segment_product_cost1(C54,G54,5,H54,100000000))</f>
        <v/>
      </c>
      <c r="AF54" s="55" t="str">
        <f>IF(C54="","",[1]!s_segment_product_profit1(C54,G54,5,H54,100000000))</f>
        <v/>
      </c>
      <c r="AG54" s="56" t="str">
        <f>IF(C54="","",[1]!s_segment_product_gpmargin(C54,G54,5))</f>
        <v/>
      </c>
      <c r="AH54" s="35"/>
    </row>
    <row r="55" spans="1:34" s="36" customFormat="1" ht="16.5" x14ac:dyDescent="0.2">
      <c r="A55" s="2"/>
      <c r="B55" s="6"/>
      <c r="C55" s="28" t="str">
        <f>IF(表1[[#This Row],[列1]]="","",表1[[#This Row],[列1]])</f>
        <v/>
      </c>
      <c r="D55" s="19" t="str">
        <f>IF(C55="","",[1]!hks_info_name(C55))</f>
        <v/>
      </c>
      <c r="E55" s="19" t="str">
        <f ca="1">IF(C55="","",[1]!lastradeday_s(C55,TODAY()))</f>
        <v/>
      </c>
      <c r="F55" s="49" t="str">
        <f>IF(C55="","",IF(OR([1]!s_stm_rpt_e(C55,基本资料!$I$8,0)="#N/A",[1]!s_stm_rpt_e(C55,基本资料!$I$8,0)="",[1]!s_stm_rpt_e(C55,基本资料!$I$8,0)=0),[1]!s_stm_rpt_e(C55,基本资料!$I$9,0),[1]!s_stm_rpt_e(C55,基本资料!$I$8,0)))</f>
        <v/>
      </c>
      <c r="G55" s="49" t="str">
        <f>IF(C55="","",[1]!s_stm_rpt_e(C55,F55,0))</f>
        <v/>
      </c>
      <c r="H55" s="49" t="str">
        <f>IF(C55="","",[1]!hks_info_cur2(C55,F55))</f>
        <v/>
      </c>
      <c r="I55" s="57" t="str">
        <f>IF(C55="","",[1]!s_segment_product_item(C55,G55,1))</f>
        <v/>
      </c>
      <c r="J55" s="23" t="str">
        <f>IF(C55="","",[1]!s_segment_product_sales1(C55,G55,1,H55,100000000))</f>
        <v/>
      </c>
      <c r="K55" s="23" t="str">
        <f>IF(C55="","",[1]!s_segment_product_cost1(C55,G55,1,H55,100000000))</f>
        <v/>
      </c>
      <c r="L55" s="23" t="str">
        <f>IF(C55="","",[1]!s_segment_product_profit1(C55,G55,1,H55,100000000))</f>
        <v/>
      </c>
      <c r="M55" s="25" t="str">
        <f>IF(C55="","",[1]!s_segment_product_gpmargin(C55,G55,1))</f>
        <v/>
      </c>
      <c r="N55" s="57" t="str">
        <f>IF(C55="","",[1]!s_segment_product_item(C55,G55,2))</f>
        <v/>
      </c>
      <c r="O55" s="55" t="str">
        <f>IF(C55="","",[1]!s_segment_product_sales1(C55,G55,2,H55,100000000))</f>
        <v/>
      </c>
      <c r="P55" s="55" t="str">
        <f>IF(C55="","",[1]!s_segment_product_cost1(C55,G55,2,H55,100000000))</f>
        <v/>
      </c>
      <c r="Q55" s="55" t="str">
        <f>IF(C55="","",[1]!s_segment_product_profit1(C55,G55,2,H55,100000000))</f>
        <v/>
      </c>
      <c r="R55" s="59" t="str">
        <f>IF(C55="","",[1]!s_segment_product_gpmargin(C55,G55,2))</f>
        <v/>
      </c>
      <c r="S55" s="57" t="str">
        <f>IF(C55="","",[1]!s_segment_product_item(C55,G55,3))</f>
        <v/>
      </c>
      <c r="T55" s="55" t="str">
        <f>IF(C55="","",[1]!s_segment_product_sales1(C55,G55,3,H55,100000000))</f>
        <v/>
      </c>
      <c r="U55" s="55" t="str">
        <f>IF(C55="","",[1]!s_segment_product_cost1(C55,G55,3,H55,100000000))</f>
        <v/>
      </c>
      <c r="V55" s="55" t="str">
        <f>IF(C55="","",[1]!s_segment_product_profit1(C55,G55,3,H55,100000000))</f>
        <v/>
      </c>
      <c r="W55" s="59" t="str">
        <f>IF(C55="","",[1]!s_segment_product_gpmargin(C55,G55,3))</f>
        <v/>
      </c>
      <c r="X55" s="57" t="str">
        <f>IF(C55="","",[1]!s_segment_product_item(C55,G55,4))</f>
        <v/>
      </c>
      <c r="Y55" s="55" t="str">
        <f>IF(C55="","",[1]!s_segment_product_sales1(C55,G55,4,H55,100000000))</f>
        <v/>
      </c>
      <c r="Z55" s="55" t="str">
        <f>IF(C55="","",[1]!s_segment_product_cost1(C55,G55,4,H55,100000000))</f>
        <v/>
      </c>
      <c r="AA55" s="55" t="str">
        <f>IF(C55="","",[1]!s_segment_product_profit1(C55,G55,4,H55,100000000))</f>
        <v/>
      </c>
      <c r="AB55" s="59" t="str">
        <f>IF(C55="","",[1]!s_segment_product_gpmargin(C55,G55,4))</f>
        <v/>
      </c>
      <c r="AC55" s="57" t="str">
        <f>IF(C55="","",[1]!s_segment_product_item(C55,G55,5))</f>
        <v/>
      </c>
      <c r="AD55" s="55" t="str">
        <f>IF(C55="","",[1]!s_segment_product_sales1(C55,G55,5,H55,100000000))</f>
        <v/>
      </c>
      <c r="AE55" s="55" t="str">
        <f>IF(C55="","",[1]!s_segment_product_cost1(C55,G55,5,H55,100000000))</f>
        <v/>
      </c>
      <c r="AF55" s="55" t="str">
        <f>IF(C55="","",[1]!s_segment_product_profit1(C55,G55,5,H55,100000000))</f>
        <v/>
      </c>
      <c r="AG55" s="56" t="str">
        <f>IF(C55="","",[1]!s_segment_product_gpmargin(C55,G55,5))</f>
        <v/>
      </c>
      <c r="AH55" s="35"/>
    </row>
    <row r="56" spans="1:34" s="36" customFormat="1" ht="16.5" x14ac:dyDescent="0.2">
      <c r="A56" s="2"/>
      <c r="B56" s="6"/>
      <c r="C56" s="28" t="str">
        <f>IF(表1[[#This Row],[列1]]="","",表1[[#This Row],[列1]])</f>
        <v/>
      </c>
      <c r="D56" s="19" t="str">
        <f>IF(C56="","",[1]!hks_info_name(C56))</f>
        <v/>
      </c>
      <c r="E56" s="19" t="str">
        <f ca="1">IF(C56="","",[1]!lastradeday_s(C56,TODAY()))</f>
        <v/>
      </c>
      <c r="F56" s="49" t="str">
        <f>IF(C56="","",IF(OR([1]!s_stm_rpt_e(C56,基本资料!$I$8,0)="#N/A",[1]!s_stm_rpt_e(C56,基本资料!$I$8,0)="",[1]!s_stm_rpt_e(C56,基本资料!$I$8,0)=0),[1]!s_stm_rpt_e(C56,基本资料!$I$9,0),[1]!s_stm_rpt_e(C56,基本资料!$I$8,0)))</f>
        <v/>
      </c>
      <c r="G56" s="49" t="str">
        <f>IF(C56="","",[1]!s_stm_rpt_e(C56,F56,0))</f>
        <v/>
      </c>
      <c r="H56" s="49" t="str">
        <f>IF(C56="","",[1]!hks_info_cur2(C56,F56))</f>
        <v/>
      </c>
      <c r="I56" s="57" t="str">
        <f>IF(C56="","",[1]!s_segment_product_item(C56,G56,1))</f>
        <v/>
      </c>
      <c r="J56" s="23" t="str">
        <f>IF(C56="","",[1]!s_segment_product_sales1(C56,G56,1,H56,100000000))</f>
        <v/>
      </c>
      <c r="K56" s="23" t="str">
        <f>IF(C56="","",[1]!s_segment_product_cost1(C56,G56,1,H56,100000000))</f>
        <v/>
      </c>
      <c r="L56" s="23" t="str">
        <f>IF(C56="","",[1]!s_segment_product_profit1(C56,G56,1,H56,100000000))</f>
        <v/>
      </c>
      <c r="M56" s="25" t="str">
        <f>IF(C56="","",[1]!s_segment_product_gpmargin(C56,G56,1))</f>
        <v/>
      </c>
      <c r="N56" s="57" t="str">
        <f>IF(C56="","",[1]!s_segment_product_item(C56,G56,2))</f>
        <v/>
      </c>
      <c r="O56" s="55" t="str">
        <f>IF(C56="","",[1]!s_segment_product_sales1(C56,G56,2,H56,100000000))</f>
        <v/>
      </c>
      <c r="P56" s="55" t="str">
        <f>IF(C56="","",[1]!s_segment_product_cost1(C56,G56,2,H56,100000000))</f>
        <v/>
      </c>
      <c r="Q56" s="55" t="str">
        <f>IF(C56="","",[1]!s_segment_product_profit1(C56,G56,2,H56,100000000))</f>
        <v/>
      </c>
      <c r="R56" s="59" t="str">
        <f>IF(C56="","",[1]!s_segment_product_gpmargin(C56,G56,2))</f>
        <v/>
      </c>
      <c r="S56" s="57" t="str">
        <f>IF(C56="","",[1]!s_segment_product_item(C56,G56,3))</f>
        <v/>
      </c>
      <c r="T56" s="55" t="str">
        <f>IF(C56="","",[1]!s_segment_product_sales1(C56,G56,3,H56,100000000))</f>
        <v/>
      </c>
      <c r="U56" s="55" t="str">
        <f>IF(C56="","",[1]!s_segment_product_cost1(C56,G56,3,H56,100000000))</f>
        <v/>
      </c>
      <c r="V56" s="55" t="str">
        <f>IF(C56="","",[1]!s_segment_product_profit1(C56,G56,3,H56,100000000))</f>
        <v/>
      </c>
      <c r="W56" s="59" t="str">
        <f>IF(C56="","",[1]!s_segment_product_gpmargin(C56,G56,3))</f>
        <v/>
      </c>
      <c r="X56" s="57" t="str">
        <f>IF(C56="","",[1]!s_segment_product_item(C56,G56,4))</f>
        <v/>
      </c>
      <c r="Y56" s="55" t="str">
        <f>IF(C56="","",[1]!s_segment_product_sales1(C56,G56,4,H56,100000000))</f>
        <v/>
      </c>
      <c r="Z56" s="55" t="str">
        <f>IF(C56="","",[1]!s_segment_product_cost1(C56,G56,4,H56,100000000))</f>
        <v/>
      </c>
      <c r="AA56" s="55" t="str">
        <f>IF(C56="","",[1]!s_segment_product_profit1(C56,G56,4,H56,100000000))</f>
        <v/>
      </c>
      <c r="AB56" s="59" t="str">
        <f>IF(C56="","",[1]!s_segment_product_gpmargin(C56,G56,4))</f>
        <v/>
      </c>
      <c r="AC56" s="57" t="str">
        <f>IF(C56="","",[1]!s_segment_product_item(C56,G56,5))</f>
        <v/>
      </c>
      <c r="AD56" s="55" t="str">
        <f>IF(C56="","",[1]!s_segment_product_sales1(C56,G56,5,H56,100000000))</f>
        <v/>
      </c>
      <c r="AE56" s="55" t="str">
        <f>IF(C56="","",[1]!s_segment_product_cost1(C56,G56,5,H56,100000000))</f>
        <v/>
      </c>
      <c r="AF56" s="55" t="str">
        <f>IF(C56="","",[1]!s_segment_product_profit1(C56,G56,5,H56,100000000))</f>
        <v/>
      </c>
      <c r="AG56" s="56" t="str">
        <f>IF(C56="","",[1]!s_segment_product_gpmargin(C56,G56,5))</f>
        <v/>
      </c>
      <c r="AH56" s="35"/>
    </row>
    <row r="57" spans="1:34" s="36" customFormat="1" ht="16.5" x14ac:dyDescent="0.2">
      <c r="A57" s="2"/>
      <c r="B57" s="6"/>
      <c r="C57" s="28" t="str">
        <f>IF(表1[[#This Row],[列1]]="","",表1[[#This Row],[列1]])</f>
        <v/>
      </c>
      <c r="D57" s="19" t="str">
        <f>IF(C57="","",[1]!hks_info_name(C57))</f>
        <v/>
      </c>
      <c r="E57" s="19" t="str">
        <f ca="1">IF(C57="","",[1]!lastradeday_s(C57,TODAY()))</f>
        <v/>
      </c>
      <c r="F57" s="49" t="str">
        <f>IF(C57="","",IF(OR([1]!s_stm_rpt_e(C57,基本资料!$I$8,0)="#N/A",[1]!s_stm_rpt_e(C57,基本资料!$I$8,0)="",[1]!s_stm_rpt_e(C57,基本资料!$I$8,0)=0),[1]!s_stm_rpt_e(C57,基本资料!$I$9,0),[1]!s_stm_rpt_e(C57,基本资料!$I$8,0)))</f>
        <v/>
      </c>
      <c r="G57" s="49" t="str">
        <f>IF(C57="","",[1]!s_stm_rpt_e(C57,F57,0))</f>
        <v/>
      </c>
      <c r="H57" s="49" t="str">
        <f>IF(C57="","",[1]!hks_info_cur2(C57,F57))</f>
        <v/>
      </c>
      <c r="I57" s="57" t="str">
        <f>IF(C57="","",[1]!s_segment_product_item(C57,G57,1))</f>
        <v/>
      </c>
      <c r="J57" s="23" t="str">
        <f>IF(C57="","",[1]!s_segment_product_sales1(C57,G57,1,H57,100000000))</f>
        <v/>
      </c>
      <c r="K57" s="23" t="str">
        <f>IF(C57="","",[1]!s_segment_product_cost1(C57,G57,1,H57,100000000))</f>
        <v/>
      </c>
      <c r="L57" s="23" t="str">
        <f>IF(C57="","",[1]!s_segment_product_profit1(C57,G57,1,H57,100000000))</f>
        <v/>
      </c>
      <c r="M57" s="25" t="str">
        <f>IF(C57="","",[1]!s_segment_product_gpmargin(C57,G57,1))</f>
        <v/>
      </c>
      <c r="N57" s="57" t="str">
        <f>IF(C57="","",[1]!s_segment_product_item(C57,G57,2))</f>
        <v/>
      </c>
      <c r="O57" s="55" t="str">
        <f>IF(C57="","",[1]!s_segment_product_sales1(C57,G57,2,H57,100000000))</f>
        <v/>
      </c>
      <c r="P57" s="55" t="str">
        <f>IF(C57="","",[1]!s_segment_product_cost1(C57,G57,2,H57,100000000))</f>
        <v/>
      </c>
      <c r="Q57" s="55" t="str">
        <f>IF(C57="","",[1]!s_segment_product_profit1(C57,G57,2,H57,100000000))</f>
        <v/>
      </c>
      <c r="R57" s="59" t="str">
        <f>IF(C57="","",[1]!s_segment_product_gpmargin(C57,G57,2))</f>
        <v/>
      </c>
      <c r="S57" s="57" t="str">
        <f>IF(C57="","",[1]!s_segment_product_item(C57,G57,3))</f>
        <v/>
      </c>
      <c r="T57" s="55" t="str">
        <f>IF(C57="","",[1]!s_segment_product_sales1(C57,G57,3,H57,100000000))</f>
        <v/>
      </c>
      <c r="U57" s="55" t="str">
        <f>IF(C57="","",[1]!s_segment_product_cost1(C57,G57,3,H57,100000000))</f>
        <v/>
      </c>
      <c r="V57" s="55" t="str">
        <f>IF(C57="","",[1]!s_segment_product_profit1(C57,G57,3,H57,100000000))</f>
        <v/>
      </c>
      <c r="W57" s="59" t="str">
        <f>IF(C57="","",[1]!s_segment_product_gpmargin(C57,G57,3))</f>
        <v/>
      </c>
      <c r="X57" s="57" t="str">
        <f>IF(C57="","",[1]!s_segment_product_item(C57,G57,4))</f>
        <v/>
      </c>
      <c r="Y57" s="55" t="str">
        <f>IF(C57="","",[1]!s_segment_product_sales1(C57,G57,4,H57,100000000))</f>
        <v/>
      </c>
      <c r="Z57" s="55" t="str">
        <f>IF(C57="","",[1]!s_segment_product_cost1(C57,G57,4,H57,100000000))</f>
        <v/>
      </c>
      <c r="AA57" s="55" t="str">
        <f>IF(C57="","",[1]!s_segment_product_profit1(C57,G57,4,H57,100000000))</f>
        <v/>
      </c>
      <c r="AB57" s="59" t="str">
        <f>IF(C57="","",[1]!s_segment_product_gpmargin(C57,G57,4))</f>
        <v/>
      </c>
      <c r="AC57" s="57" t="str">
        <f>IF(C57="","",[1]!s_segment_product_item(C57,G57,5))</f>
        <v/>
      </c>
      <c r="AD57" s="55" t="str">
        <f>IF(C57="","",[1]!s_segment_product_sales1(C57,G57,5,H57,100000000))</f>
        <v/>
      </c>
      <c r="AE57" s="55" t="str">
        <f>IF(C57="","",[1]!s_segment_product_cost1(C57,G57,5,H57,100000000))</f>
        <v/>
      </c>
      <c r="AF57" s="55" t="str">
        <f>IF(C57="","",[1]!s_segment_product_profit1(C57,G57,5,H57,100000000))</f>
        <v/>
      </c>
      <c r="AG57" s="56" t="str">
        <f>IF(C57="","",[1]!s_segment_product_gpmargin(C57,G57,5))</f>
        <v/>
      </c>
      <c r="AH57" s="35"/>
    </row>
    <row r="58" spans="1:34" s="36" customFormat="1" ht="16.5" x14ac:dyDescent="0.2">
      <c r="A58" s="2"/>
      <c r="B58" s="6"/>
      <c r="C58" s="28" t="str">
        <f>IF(表1[[#This Row],[列1]]="","",表1[[#This Row],[列1]])</f>
        <v/>
      </c>
      <c r="D58" s="19" t="str">
        <f>IF(C58="","",[1]!hks_info_name(C58))</f>
        <v/>
      </c>
      <c r="E58" s="19" t="str">
        <f ca="1">IF(C58="","",[1]!lastradeday_s(C58,TODAY()))</f>
        <v/>
      </c>
      <c r="F58" s="49" t="str">
        <f>IF(C58="","",IF(OR([1]!s_stm_rpt_e(C58,基本资料!$I$8,0)="#N/A",[1]!s_stm_rpt_e(C58,基本资料!$I$8,0)="",[1]!s_stm_rpt_e(C58,基本资料!$I$8,0)=0),[1]!s_stm_rpt_e(C58,基本资料!$I$9,0),[1]!s_stm_rpt_e(C58,基本资料!$I$8,0)))</f>
        <v/>
      </c>
      <c r="G58" s="49" t="str">
        <f>IF(C58="","",[1]!s_stm_rpt_e(C58,F58,0))</f>
        <v/>
      </c>
      <c r="H58" s="49" t="str">
        <f>IF(C58="","",[1]!hks_info_cur2(C58,F58))</f>
        <v/>
      </c>
      <c r="I58" s="57" t="str">
        <f>IF(C58="","",[1]!s_segment_product_item(C58,G58,1))</f>
        <v/>
      </c>
      <c r="J58" s="23" t="str">
        <f>IF(C58="","",[1]!s_segment_product_sales1(C58,G58,1,H58,100000000))</f>
        <v/>
      </c>
      <c r="K58" s="23" t="str">
        <f>IF(C58="","",[1]!s_segment_product_cost1(C58,G58,1,H58,100000000))</f>
        <v/>
      </c>
      <c r="L58" s="23" t="str">
        <f>IF(C58="","",[1]!s_segment_product_profit1(C58,G58,1,H58,100000000))</f>
        <v/>
      </c>
      <c r="M58" s="25" t="str">
        <f>IF(C58="","",[1]!s_segment_product_gpmargin(C58,G58,1))</f>
        <v/>
      </c>
      <c r="N58" s="57" t="str">
        <f>IF(C58="","",[1]!s_segment_product_item(C58,G58,2))</f>
        <v/>
      </c>
      <c r="O58" s="55" t="str">
        <f>IF(C58="","",[1]!s_segment_product_sales1(C58,G58,2,H58,100000000))</f>
        <v/>
      </c>
      <c r="P58" s="55" t="str">
        <f>IF(C58="","",[1]!s_segment_product_cost1(C58,G58,2,H58,100000000))</f>
        <v/>
      </c>
      <c r="Q58" s="55" t="str">
        <f>IF(C58="","",[1]!s_segment_product_profit1(C58,G58,2,H58,100000000))</f>
        <v/>
      </c>
      <c r="R58" s="59" t="str">
        <f>IF(C58="","",[1]!s_segment_product_gpmargin(C58,G58,2))</f>
        <v/>
      </c>
      <c r="S58" s="57" t="str">
        <f>IF(C58="","",[1]!s_segment_product_item(C58,G58,3))</f>
        <v/>
      </c>
      <c r="T58" s="55" t="str">
        <f>IF(C58="","",[1]!s_segment_product_sales1(C58,G58,3,H58,100000000))</f>
        <v/>
      </c>
      <c r="U58" s="55" t="str">
        <f>IF(C58="","",[1]!s_segment_product_cost1(C58,G58,3,H58,100000000))</f>
        <v/>
      </c>
      <c r="V58" s="55" t="str">
        <f>IF(C58="","",[1]!s_segment_product_profit1(C58,G58,3,H58,100000000))</f>
        <v/>
      </c>
      <c r="W58" s="59" t="str">
        <f>IF(C58="","",[1]!s_segment_product_gpmargin(C58,G58,3))</f>
        <v/>
      </c>
      <c r="X58" s="57" t="str">
        <f>IF(C58="","",[1]!s_segment_product_item(C58,G58,4))</f>
        <v/>
      </c>
      <c r="Y58" s="55" t="str">
        <f>IF(C58="","",[1]!s_segment_product_sales1(C58,G58,4,H58,100000000))</f>
        <v/>
      </c>
      <c r="Z58" s="55" t="str">
        <f>IF(C58="","",[1]!s_segment_product_cost1(C58,G58,4,H58,100000000))</f>
        <v/>
      </c>
      <c r="AA58" s="55" t="str">
        <f>IF(C58="","",[1]!s_segment_product_profit1(C58,G58,4,H58,100000000))</f>
        <v/>
      </c>
      <c r="AB58" s="59" t="str">
        <f>IF(C58="","",[1]!s_segment_product_gpmargin(C58,G58,4))</f>
        <v/>
      </c>
      <c r="AC58" s="57" t="str">
        <f>IF(C58="","",[1]!s_segment_product_item(C58,G58,5))</f>
        <v/>
      </c>
      <c r="AD58" s="55" t="str">
        <f>IF(C58="","",[1]!s_segment_product_sales1(C58,G58,5,H58,100000000))</f>
        <v/>
      </c>
      <c r="AE58" s="55" t="str">
        <f>IF(C58="","",[1]!s_segment_product_cost1(C58,G58,5,H58,100000000))</f>
        <v/>
      </c>
      <c r="AF58" s="55" t="str">
        <f>IF(C58="","",[1]!s_segment_product_profit1(C58,G58,5,H58,100000000))</f>
        <v/>
      </c>
      <c r="AG58" s="56" t="str">
        <f>IF(C58="","",[1]!s_segment_product_gpmargin(C58,G58,5))</f>
        <v/>
      </c>
      <c r="AH58" s="35"/>
    </row>
    <row r="59" spans="1:34" s="36" customFormat="1" ht="16.5" x14ac:dyDescent="0.2">
      <c r="A59" s="2"/>
      <c r="B59" s="6"/>
      <c r="C59" s="28" t="str">
        <f>IF(表1[[#This Row],[列1]]="","",表1[[#This Row],[列1]])</f>
        <v/>
      </c>
      <c r="D59" s="19" t="str">
        <f>IF(C59="","",[1]!hks_info_name(C59))</f>
        <v/>
      </c>
      <c r="E59" s="19" t="str">
        <f ca="1">IF(C59="","",[1]!lastradeday_s(C59,TODAY()))</f>
        <v/>
      </c>
      <c r="F59" s="49" t="str">
        <f>IF(C59="","",IF(OR([1]!s_stm_rpt_e(C59,基本资料!$I$8,0)="#N/A",[1]!s_stm_rpt_e(C59,基本资料!$I$8,0)="",[1]!s_stm_rpt_e(C59,基本资料!$I$8,0)=0),[1]!s_stm_rpt_e(C59,基本资料!$I$9,0),[1]!s_stm_rpt_e(C59,基本资料!$I$8,0)))</f>
        <v/>
      </c>
      <c r="G59" s="49" t="str">
        <f>IF(C59="","",[1]!s_stm_rpt_e(C59,F59,0))</f>
        <v/>
      </c>
      <c r="H59" s="49" t="str">
        <f>IF(C59="","",[1]!hks_info_cur2(C59,F59))</f>
        <v/>
      </c>
      <c r="I59" s="57" t="str">
        <f>IF(C59="","",[1]!s_segment_product_item(C59,G59,1))</f>
        <v/>
      </c>
      <c r="J59" s="23" t="str">
        <f>IF(C59="","",[1]!s_segment_product_sales1(C59,G59,1,H59,100000000))</f>
        <v/>
      </c>
      <c r="K59" s="23" t="str">
        <f>IF(C59="","",[1]!s_segment_product_cost1(C59,G59,1,H59,100000000))</f>
        <v/>
      </c>
      <c r="L59" s="23" t="str">
        <f>IF(C59="","",[1]!s_segment_product_profit1(C59,G59,1,H59,100000000))</f>
        <v/>
      </c>
      <c r="M59" s="25" t="str">
        <f>IF(C59="","",[1]!s_segment_product_gpmargin(C59,G59,1))</f>
        <v/>
      </c>
      <c r="N59" s="57" t="str">
        <f>IF(C59="","",[1]!s_segment_product_item(C59,G59,2))</f>
        <v/>
      </c>
      <c r="O59" s="55" t="str">
        <f>IF(C59="","",[1]!s_segment_product_sales1(C59,G59,2,H59,100000000))</f>
        <v/>
      </c>
      <c r="P59" s="55" t="str">
        <f>IF(C59="","",[1]!s_segment_product_cost1(C59,G59,2,H59,100000000))</f>
        <v/>
      </c>
      <c r="Q59" s="55" t="str">
        <f>IF(C59="","",[1]!s_segment_product_profit1(C59,G59,2,H59,100000000))</f>
        <v/>
      </c>
      <c r="R59" s="59" t="str">
        <f>IF(C59="","",[1]!s_segment_product_gpmargin(C59,G59,2))</f>
        <v/>
      </c>
      <c r="S59" s="57" t="str">
        <f>IF(C59="","",[1]!s_segment_product_item(C59,G59,3))</f>
        <v/>
      </c>
      <c r="T59" s="55" t="str">
        <f>IF(C59="","",[1]!s_segment_product_sales1(C59,G59,3,H59,100000000))</f>
        <v/>
      </c>
      <c r="U59" s="55" t="str">
        <f>IF(C59="","",[1]!s_segment_product_cost1(C59,G59,3,H59,100000000))</f>
        <v/>
      </c>
      <c r="V59" s="55" t="str">
        <f>IF(C59="","",[1]!s_segment_product_profit1(C59,G59,3,H59,100000000))</f>
        <v/>
      </c>
      <c r="W59" s="59" t="str">
        <f>IF(C59="","",[1]!s_segment_product_gpmargin(C59,G59,3))</f>
        <v/>
      </c>
      <c r="X59" s="57" t="str">
        <f>IF(C59="","",[1]!s_segment_product_item(C59,G59,4))</f>
        <v/>
      </c>
      <c r="Y59" s="55" t="str">
        <f>IF(C59="","",[1]!s_segment_product_sales1(C59,G59,4,H59,100000000))</f>
        <v/>
      </c>
      <c r="Z59" s="55" t="str">
        <f>IF(C59="","",[1]!s_segment_product_cost1(C59,G59,4,H59,100000000))</f>
        <v/>
      </c>
      <c r="AA59" s="55" t="str">
        <f>IF(C59="","",[1]!s_segment_product_profit1(C59,G59,4,H59,100000000))</f>
        <v/>
      </c>
      <c r="AB59" s="59" t="str">
        <f>IF(C59="","",[1]!s_segment_product_gpmargin(C59,G59,4))</f>
        <v/>
      </c>
      <c r="AC59" s="57" t="str">
        <f>IF(C59="","",[1]!s_segment_product_item(C59,G59,5))</f>
        <v/>
      </c>
      <c r="AD59" s="55" t="str">
        <f>IF(C59="","",[1]!s_segment_product_sales1(C59,G59,5,H59,100000000))</f>
        <v/>
      </c>
      <c r="AE59" s="55" t="str">
        <f>IF(C59="","",[1]!s_segment_product_cost1(C59,G59,5,H59,100000000))</f>
        <v/>
      </c>
      <c r="AF59" s="55" t="str">
        <f>IF(C59="","",[1]!s_segment_product_profit1(C59,G59,5,H59,100000000))</f>
        <v/>
      </c>
      <c r="AG59" s="56" t="str">
        <f>IF(C59="","",[1]!s_segment_product_gpmargin(C59,G59,5))</f>
        <v/>
      </c>
      <c r="AH59" s="35"/>
    </row>
    <row r="60" spans="1:34" s="36" customFormat="1" ht="16.5" x14ac:dyDescent="0.2">
      <c r="A60" s="2"/>
      <c r="B60" s="6"/>
      <c r="C60" s="28" t="str">
        <f>IF(表1[[#This Row],[列1]]="","",表1[[#This Row],[列1]])</f>
        <v/>
      </c>
      <c r="D60" s="19" t="str">
        <f>IF(C60="","",[1]!hks_info_name(C60))</f>
        <v/>
      </c>
      <c r="E60" s="19" t="str">
        <f ca="1">IF(C60="","",[1]!lastradeday_s(C60,TODAY()))</f>
        <v/>
      </c>
      <c r="F60" s="49" t="str">
        <f>IF(C60="","",IF(OR([1]!s_stm_rpt_e(C60,基本资料!$I$8,0)="#N/A",[1]!s_stm_rpt_e(C60,基本资料!$I$8,0)="",[1]!s_stm_rpt_e(C60,基本资料!$I$8,0)=0),[1]!s_stm_rpt_e(C60,基本资料!$I$9,0),[1]!s_stm_rpt_e(C60,基本资料!$I$8,0)))</f>
        <v/>
      </c>
      <c r="G60" s="49" t="str">
        <f>IF(C60="","",[1]!s_stm_rpt_e(C60,F60,0))</f>
        <v/>
      </c>
      <c r="H60" s="49" t="str">
        <f>IF(C60="","",[1]!hks_info_cur2(C60,F60))</f>
        <v/>
      </c>
      <c r="I60" s="57" t="str">
        <f>IF(C60="","",[1]!s_segment_product_item(C60,G60,1))</f>
        <v/>
      </c>
      <c r="J60" s="23" t="str">
        <f>IF(C60="","",[1]!s_segment_product_sales1(C60,G60,1,H60,100000000))</f>
        <v/>
      </c>
      <c r="K60" s="23" t="str">
        <f>IF(C60="","",[1]!s_segment_product_cost1(C60,G60,1,H60,100000000))</f>
        <v/>
      </c>
      <c r="L60" s="23" t="str">
        <f>IF(C60="","",[1]!s_segment_product_profit1(C60,G60,1,H60,100000000))</f>
        <v/>
      </c>
      <c r="M60" s="25" t="str">
        <f>IF(C60="","",[1]!s_segment_product_gpmargin(C60,G60,1))</f>
        <v/>
      </c>
      <c r="N60" s="57" t="str">
        <f>IF(C60="","",[1]!s_segment_product_item(C60,G60,2))</f>
        <v/>
      </c>
      <c r="O60" s="55" t="str">
        <f>IF(C60="","",[1]!s_segment_product_sales1(C60,G60,2,H60,100000000))</f>
        <v/>
      </c>
      <c r="P60" s="55" t="str">
        <f>IF(C60="","",[1]!s_segment_product_cost1(C60,G60,2,H60,100000000))</f>
        <v/>
      </c>
      <c r="Q60" s="55" t="str">
        <f>IF(C60="","",[1]!s_segment_product_profit1(C60,G60,2,H60,100000000))</f>
        <v/>
      </c>
      <c r="R60" s="59" t="str">
        <f>IF(C60="","",[1]!s_segment_product_gpmargin(C60,G60,2))</f>
        <v/>
      </c>
      <c r="S60" s="57" t="str">
        <f>IF(C60="","",[1]!s_segment_product_item(C60,G60,3))</f>
        <v/>
      </c>
      <c r="T60" s="55" t="str">
        <f>IF(C60="","",[1]!s_segment_product_sales1(C60,G60,3,H60,100000000))</f>
        <v/>
      </c>
      <c r="U60" s="55" t="str">
        <f>IF(C60="","",[1]!s_segment_product_cost1(C60,G60,3,H60,100000000))</f>
        <v/>
      </c>
      <c r="V60" s="55" t="str">
        <f>IF(C60="","",[1]!s_segment_product_profit1(C60,G60,3,H60,100000000))</f>
        <v/>
      </c>
      <c r="W60" s="59" t="str">
        <f>IF(C60="","",[1]!s_segment_product_gpmargin(C60,G60,3))</f>
        <v/>
      </c>
      <c r="X60" s="57" t="str">
        <f>IF(C60="","",[1]!s_segment_product_item(C60,G60,4))</f>
        <v/>
      </c>
      <c r="Y60" s="55" t="str">
        <f>IF(C60="","",[1]!s_segment_product_sales1(C60,G60,4,H60,100000000))</f>
        <v/>
      </c>
      <c r="Z60" s="55" t="str">
        <f>IF(C60="","",[1]!s_segment_product_cost1(C60,G60,4,H60,100000000))</f>
        <v/>
      </c>
      <c r="AA60" s="55" t="str">
        <f>IF(C60="","",[1]!s_segment_product_profit1(C60,G60,4,H60,100000000))</f>
        <v/>
      </c>
      <c r="AB60" s="59" t="str">
        <f>IF(C60="","",[1]!s_segment_product_gpmargin(C60,G60,4))</f>
        <v/>
      </c>
      <c r="AC60" s="57" t="str">
        <f>IF(C60="","",[1]!s_segment_product_item(C60,G60,5))</f>
        <v/>
      </c>
      <c r="AD60" s="55" t="str">
        <f>IF(C60="","",[1]!s_segment_product_sales1(C60,G60,5,H60,100000000))</f>
        <v/>
      </c>
      <c r="AE60" s="55" t="str">
        <f>IF(C60="","",[1]!s_segment_product_cost1(C60,G60,5,H60,100000000))</f>
        <v/>
      </c>
      <c r="AF60" s="55" t="str">
        <f>IF(C60="","",[1]!s_segment_product_profit1(C60,G60,5,H60,100000000))</f>
        <v/>
      </c>
      <c r="AG60" s="56" t="str">
        <f>IF(C60="","",[1]!s_segment_product_gpmargin(C60,G60,5))</f>
        <v/>
      </c>
      <c r="AH60" s="35"/>
    </row>
    <row r="61" spans="1:34" s="36" customFormat="1" ht="16.5" x14ac:dyDescent="0.2">
      <c r="A61" s="2"/>
      <c r="B61" s="6"/>
      <c r="C61" s="28" t="str">
        <f>IF(表1[[#This Row],[列1]]="","",表1[[#This Row],[列1]])</f>
        <v/>
      </c>
      <c r="D61" s="19" t="str">
        <f>IF(C61="","",[1]!hks_info_name(C61))</f>
        <v/>
      </c>
      <c r="E61" s="19" t="str">
        <f ca="1">IF(C61="","",[1]!lastradeday_s(C61,TODAY()))</f>
        <v/>
      </c>
      <c r="F61" s="49" t="str">
        <f>IF(C61="","",IF(OR([1]!s_stm_rpt_e(C61,基本资料!$I$8,0)="#N/A",[1]!s_stm_rpt_e(C61,基本资料!$I$8,0)="",[1]!s_stm_rpt_e(C61,基本资料!$I$8,0)=0),[1]!s_stm_rpt_e(C61,基本资料!$I$9,0),[1]!s_stm_rpt_e(C61,基本资料!$I$8,0)))</f>
        <v/>
      </c>
      <c r="G61" s="49" t="str">
        <f>IF(C61="","",[1]!s_stm_rpt_e(C61,F61,0))</f>
        <v/>
      </c>
      <c r="H61" s="49" t="str">
        <f>IF(C61="","",[1]!hks_info_cur2(C61,F61))</f>
        <v/>
      </c>
      <c r="I61" s="57" t="str">
        <f>IF(C61="","",[1]!s_segment_product_item(C61,G61,1))</f>
        <v/>
      </c>
      <c r="J61" s="23" t="str">
        <f>IF(C61="","",[1]!s_segment_product_sales1(C61,G61,1,H61,100000000))</f>
        <v/>
      </c>
      <c r="K61" s="23" t="str">
        <f>IF(C61="","",[1]!s_segment_product_cost1(C61,G61,1,H61,100000000))</f>
        <v/>
      </c>
      <c r="L61" s="23" t="str">
        <f>IF(C61="","",[1]!s_segment_product_profit1(C61,G61,1,H61,100000000))</f>
        <v/>
      </c>
      <c r="M61" s="25" t="str">
        <f>IF(C61="","",[1]!s_segment_product_gpmargin(C61,G61,1))</f>
        <v/>
      </c>
      <c r="N61" s="57" t="str">
        <f>IF(C61="","",[1]!s_segment_product_item(C61,G61,2))</f>
        <v/>
      </c>
      <c r="O61" s="55" t="str">
        <f>IF(C61="","",[1]!s_segment_product_sales1(C61,G61,2,H61,100000000))</f>
        <v/>
      </c>
      <c r="P61" s="55" t="str">
        <f>IF(C61="","",[1]!s_segment_product_cost1(C61,G61,2,H61,100000000))</f>
        <v/>
      </c>
      <c r="Q61" s="55" t="str">
        <f>IF(C61="","",[1]!s_segment_product_profit1(C61,G61,2,H61,100000000))</f>
        <v/>
      </c>
      <c r="R61" s="59" t="str">
        <f>IF(C61="","",[1]!s_segment_product_gpmargin(C61,G61,2))</f>
        <v/>
      </c>
      <c r="S61" s="57" t="str">
        <f>IF(C61="","",[1]!s_segment_product_item(C61,G61,3))</f>
        <v/>
      </c>
      <c r="T61" s="55" t="str">
        <f>IF(C61="","",[1]!s_segment_product_sales1(C61,G61,3,H61,100000000))</f>
        <v/>
      </c>
      <c r="U61" s="55" t="str">
        <f>IF(C61="","",[1]!s_segment_product_cost1(C61,G61,3,H61,100000000))</f>
        <v/>
      </c>
      <c r="V61" s="55" t="str">
        <f>IF(C61="","",[1]!s_segment_product_profit1(C61,G61,3,H61,100000000))</f>
        <v/>
      </c>
      <c r="W61" s="59" t="str">
        <f>IF(C61="","",[1]!s_segment_product_gpmargin(C61,G61,3))</f>
        <v/>
      </c>
      <c r="X61" s="57" t="str">
        <f>IF(C61="","",[1]!s_segment_product_item(C61,G61,4))</f>
        <v/>
      </c>
      <c r="Y61" s="55" t="str">
        <f>IF(C61="","",[1]!s_segment_product_sales1(C61,G61,4,H61,100000000))</f>
        <v/>
      </c>
      <c r="Z61" s="55" t="str">
        <f>IF(C61="","",[1]!s_segment_product_cost1(C61,G61,4,H61,100000000))</f>
        <v/>
      </c>
      <c r="AA61" s="55" t="str">
        <f>IF(C61="","",[1]!s_segment_product_profit1(C61,G61,4,H61,100000000))</f>
        <v/>
      </c>
      <c r="AB61" s="59" t="str">
        <f>IF(C61="","",[1]!s_segment_product_gpmargin(C61,G61,4))</f>
        <v/>
      </c>
      <c r="AC61" s="57" t="str">
        <f>IF(C61="","",[1]!s_segment_product_item(C61,G61,5))</f>
        <v/>
      </c>
      <c r="AD61" s="55" t="str">
        <f>IF(C61="","",[1]!s_segment_product_sales1(C61,G61,5,H61,100000000))</f>
        <v/>
      </c>
      <c r="AE61" s="55" t="str">
        <f>IF(C61="","",[1]!s_segment_product_cost1(C61,G61,5,H61,100000000))</f>
        <v/>
      </c>
      <c r="AF61" s="55" t="str">
        <f>IF(C61="","",[1]!s_segment_product_profit1(C61,G61,5,H61,100000000))</f>
        <v/>
      </c>
      <c r="AG61" s="56" t="str">
        <f>IF(C61="","",[1]!s_segment_product_gpmargin(C61,G61,5))</f>
        <v/>
      </c>
      <c r="AH61" s="35"/>
    </row>
    <row r="62" spans="1:34" s="36" customFormat="1" ht="16.5" x14ac:dyDescent="0.2">
      <c r="A62" s="2"/>
      <c r="B62" s="6"/>
      <c r="C62" s="28" t="str">
        <f>IF(表1[[#This Row],[列1]]="","",表1[[#This Row],[列1]])</f>
        <v/>
      </c>
      <c r="D62" s="19" t="str">
        <f>IF(C62="","",[1]!hks_info_name(C62))</f>
        <v/>
      </c>
      <c r="E62" s="19" t="str">
        <f ca="1">IF(C62="","",[1]!lastradeday_s(C62,TODAY()))</f>
        <v/>
      </c>
      <c r="F62" s="49" t="str">
        <f>IF(C62="","",IF(OR([1]!s_stm_rpt_e(C62,基本资料!$I$8,0)="#N/A",[1]!s_stm_rpt_e(C62,基本资料!$I$8,0)="",[1]!s_stm_rpt_e(C62,基本资料!$I$8,0)=0),[1]!s_stm_rpt_e(C62,基本资料!$I$9,0),[1]!s_stm_rpt_e(C62,基本资料!$I$8,0)))</f>
        <v/>
      </c>
      <c r="G62" s="49" t="str">
        <f>IF(C62="","",[1]!s_stm_rpt_e(C62,F62,0))</f>
        <v/>
      </c>
      <c r="H62" s="49" t="str">
        <f>IF(C62="","",[1]!hks_info_cur2(C62,F62))</f>
        <v/>
      </c>
      <c r="I62" s="57" t="str">
        <f>IF(C62="","",[1]!s_segment_product_item(C62,G62,1))</f>
        <v/>
      </c>
      <c r="J62" s="23" t="str">
        <f>IF(C62="","",[1]!s_segment_product_sales1(C62,G62,1,H62,100000000))</f>
        <v/>
      </c>
      <c r="K62" s="23" t="str">
        <f>IF(C62="","",[1]!s_segment_product_cost1(C62,G62,1,H62,100000000))</f>
        <v/>
      </c>
      <c r="L62" s="23" t="str">
        <f>IF(C62="","",[1]!s_segment_product_profit1(C62,G62,1,H62,100000000))</f>
        <v/>
      </c>
      <c r="M62" s="25" t="str">
        <f>IF(C62="","",[1]!s_segment_product_gpmargin(C62,G62,1))</f>
        <v/>
      </c>
      <c r="N62" s="57" t="str">
        <f>IF(C62="","",[1]!s_segment_product_item(C62,G62,2))</f>
        <v/>
      </c>
      <c r="O62" s="55" t="str">
        <f>IF(C62="","",[1]!s_segment_product_sales1(C62,G62,2,H62,100000000))</f>
        <v/>
      </c>
      <c r="P62" s="55" t="str">
        <f>IF(C62="","",[1]!s_segment_product_cost1(C62,G62,2,H62,100000000))</f>
        <v/>
      </c>
      <c r="Q62" s="55" t="str">
        <f>IF(C62="","",[1]!s_segment_product_profit1(C62,G62,2,H62,100000000))</f>
        <v/>
      </c>
      <c r="R62" s="59" t="str">
        <f>IF(C62="","",[1]!s_segment_product_gpmargin(C62,G62,2))</f>
        <v/>
      </c>
      <c r="S62" s="57" t="str">
        <f>IF(C62="","",[1]!s_segment_product_item(C62,G62,3))</f>
        <v/>
      </c>
      <c r="T62" s="55" t="str">
        <f>IF(C62="","",[1]!s_segment_product_sales1(C62,G62,3,H62,100000000))</f>
        <v/>
      </c>
      <c r="U62" s="55" t="str">
        <f>IF(C62="","",[1]!s_segment_product_cost1(C62,G62,3,H62,100000000))</f>
        <v/>
      </c>
      <c r="V62" s="55" t="str">
        <f>IF(C62="","",[1]!s_segment_product_profit1(C62,G62,3,H62,100000000))</f>
        <v/>
      </c>
      <c r="W62" s="59" t="str">
        <f>IF(C62="","",[1]!s_segment_product_gpmargin(C62,G62,3))</f>
        <v/>
      </c>
      <c r="X62" s="57" t="str">
        <f>IF(C62="","",[1]!s_segment_product_item(C62,G62,4))</f>
        <v/>
      </c>
      <c r="Y62" s="55" t="str">
        <f>IF(C62="","",[1]!s_segment_product_sales1(C62,G62,4,H62,100000000))</f>
        <v/>
      </c>
      <c r="Z62" s="55" t="str">
        <f>IF(C62="","",[1]!s_segment_product_cost1(C62,G62,4,H62,100000000))</f>
        <v/>
      </c>
      <c r="AA62" s="55" t="str">
        <f>IF(C62="","",[1]!s_segment_product_profit1(C62,G62,4,H62,100000000))</f>
        <v/>
      </c>
      <c r="AB62" s="59" t="str">
        <f>IF(C62="","",[1]!s_segment_product_gpmargin(C62,G62,4))</f>
        <v/>
      </c>
      <c r="AC62" s="57" t="str">
        <f>IF(C62="","",[1]!s_segment_product_item(C62,G62,5))</f>
        <v/>
      </c>
      <c r="AD62" s="55" t="str">
        <f>IF(C62="","",[1]!s_segment_product_sales1(C62,G62,5,H62,100000000))</f>
        <v/>
      </c>
      <c r="AE62" s="55" t="str">
        <f>IF(C62="","",[1]!s_segment_product_cost1(C62,G62,5,H62,100000000))</f>
        <v/>
      </c>
      <c r="AF62" s="55" t="str">
        <f>IF(C62="","",[1]!s_segment_product_profit1(C62,G62,5,H62,100000000))</f>
        <v/>
      </c>
      <c r="AG62" s="56" t="str">
        <f>IF(C62="","",[1]!s_segment_product_gpmargin(C62,G62,5))</f>
        <v/>
      </c>
      <c r="AH62" s="35"/>
    </row>
    <row r="63" spans="1:34" s="36" customFormat="1" ht="16.5" x14ac:dyDescent="0.2">
      <c r="A63" s="2"/>
      <c r="B63" s="6"/>
      <c r="C63" s="28" t="str">
        <f>IF(表1[[#This Row],[列1]]="","",表1[[#This Row],[列1]])</f>
        <v/>
      </c>
      <c r="D63" s="19" t="str">
        <f>IF(C63="","",[1]!hks_info_name(C63))</f>
        <v/>
      </c>
      <c r="E63" s="19" t="str">
        <f ca="1">IF(C63="","",[1]!lastradeday_s(C63,TODAY()))</f>
        <v/>
      </c>
      <c r="F63" s="49" t="str">
        <f>IF(C63="","",IF(OR([1]!s_stm_rpt_e(C63,基本资料!$I$8,0)="#N/A",[1]!s_stm_rpt_e(C63,基本资料!$I$8,0)="",[1]!s_stm_rpt_e(C63,基本资料!$I$8,0)=0),[1]!s_stm_rpt_e(C63,基本资料!$I$9,0),[1]!s_stm_rpt_e(C63,基本资料!$I$8,0)))</f>
        <v/>
      </c>
      <c r="G63" s="49" t="str">
        <f>IF(C63="","",[1]!s_stm_rpt_e(C63,F63,0))</f>
        <v/>
      </c>
      <c r="H63" s="49" t="str">
        <f>IF(C63="","",[1]!hks_info_cur2(C63,F63))</f>
        <v/>
      </c>
      <c r="I63" s="57" t="str">
        <f>IF(C63="","",[1]!s_segment_product_item(C63,G63,1))</f>
        <v/>
      </c>
      <c r="J63" s="23" t="str">
        <f>IF(C63="","",[1]!s_segment_product_sales1(C63,G63,1,H63,100000000))</f>
        <v/>
      </c>
      <c r="K63" s="23" t="str">
        <f>IF(C63="","",[1]!s_segment_product_cost1(C63,G63,1,H63,100000000))</f>
        <v/>
      </c>
      <c r="L63" s="23" t="str">
        <f>IF(C63="","",[1]!s_segment_product_profit1(C63,G63,1,H63,100000000))</f>
        <v/>
      </c>
      <c r="M63" s="25" t="str">
        <f>IF(C63="","",[1]!s_segment_product_gpmargin(C63,G63,1))</f>
        <v/>
      </c>
      <c r="N63" s="57" t="str">
        <f>IF(C63="","",[1]!s_segment_product_item(C63,G63,2))</f>
        <v/>
      </c>
      <c r="O63" s="55" t="str">
        <f>IF(C63="","",[1]!s_segment_product_sales1(C63,G63,2,H63,100000000))</f>
        <v/>
      </c>
      <c r="P63" s="55" t="str">
        <f>IF(C63="","",[1]!s_segment_product_cost1(C63,G63,2,H63,100000000))</f>
        <v/>
      </c>
      <c r="Q63" s="55" t="str">
        <f>IF(C63="","",[1]!s_segment_product_profit1(C63,G63,2,H63,100000000))</f>
        <v/>
      </c>
      <c r="R63" s="59" t="str">
        <f>IF(C63="","",[1]!s_segment_product_gpmargin(C63,G63,2))</f>
        <v/>
      </c>
      <c r="S63" s="57" t="str">
        <f>IF(C63="","",[1]!s_segment_product_item(C63,G63,3))</f>
        <v/>
      </c>
      <c r="T63" s="55" t="str">
        <f>IF(C63="","",[1]!s_segment_product_sales1(C63,G63,3,H63,100000000))</f>
        <v/>
      </c>
      <c r="U63" s="55" t="str">
        <f>IF(C63="","",[1]!s_segment_product_cost1(C63,G63,3,H63,100000000))</f>
        <v/>
      </c>
      <c r="V63" s="55" t="str">
        <f>IF(C63="","",[1]!s_segment_product_profit1(C63,G63,3,H63,100000000))</f>
        <v/>
      </c>
      <c r="W63" s="59" t="str">
        <f>IF(C63="","",[1]!s_segment_product_gpmargin(C63,G63,3))</f>
        <v/>
      </c>
      <c r="X63" s="57" t="str">
        <f>IF(C63="","",[1]!s_segment_product_item(C63,G63,4))</f>
        <v/>
      </c>
      <c r="Y63" s="55" t="str">
        <f>IF(C63="","",[1]!s_segment_product_sales1(C63,G63,4,H63,100000000))</f>
        <v/>
      </c>
      <c r="Z63" s="55" t="str">
        <f>IF(C63="","",[1]!s_segment_product_cost1(C63,G63,4,H63,100000000))</f>
        <v/>
      </c>
      <c r="AA63" s="55" t="str">
        <f>IF(C63="","",[1]!s_segment_product_profit1(C63,G63,4,H63,100000000))</f>
        <v/>
      </c>
      <c r="AB63" s="59" t="str">
        <f>IF(C63="","",[1]!s_segment_product_gpmargin(C63,G63,4))</f>
        <v/>
      </c>
      <c r="AC63" s="57" t="str">
        <f>IF(C63="","",[1]!s_segment_product_item(C63,G63,5))</f>
        <v/>
      </c>
      <c r="AD63" s="55" t="str">
        <f>IF(C63="","",[1]!s_segment_product_sales1(C63,G63,5,H63,100000000))</f>
        <v/>
      </c>
      <c r="AE63" s="55" t="str">
        <f>IF(C63="","",[1]!s_segment_product_cost1(C63,G63,5,H63,100000000))</f>
        <v/>
      </c>
      <c r="AF63" s="55" t="str">
        <f>IF(C63="","",[1]!s_segment_product_profit1(C63,G63,5,H63,100000000))</f>
        <v/>
      </c>
      <c r="AG63" s="56" t="str">
        <f>IF(C63="","",[1]!s_segment_product_gpmargin(C63,G63,5))</f>
        <v/>
      </c>
      <c r="AH63" s="35"/>
    </row>
    <row r="64" spans="1:34" s="36" customFormat="1" ht="16.5" x14ac:dyDescent="0.2">
      <c r="A64" s="2"/>
      <c r="B64" s="6"/>
      <c r="C64" s="28" t="str">
        <f>IF(表1[[#This Row],[列1]]="","",表1[[#This Row],[列1]])</f>
        <v/>
      </c>
      <c r="D64" s="19" t="str">
        <f>IF(C64="","",[1]!hks_info_name(C64))</f>
        <v/>
      </c>
      <c r="E64" s="19" t="str">
        <f ca="1">IF(C64="","",[1]!lastradeday_s(C64,TODAY()))</f>
        <v/>
      </c>
      <c r="F64" s="49" t="str">
        <f>IF(C64="","",IF(OR([1]!s_stm_rpt_e(C64,基本资料!$I$8,0)="#N/A",[1]!s_stm_rpt_e(C64,基本资料!$I$8,0)="",[1]!s_stm_rpt_e(C64,基本资料!$I$8,0)=0),[1]!s_stm_rpt_e(C64,基本资料!$I$9,0),[1]!s_stm_rpt_e(C64,基本资料!$I$8,0)))</f>
        <v/>
      </c>
      <c r="G64" s="49" t="str">
        <f>IF(C64="","",[1]!s_stm_rpt_e(C64,F64,0))</f>
        <v/>
      </c>
      <c r="H64" s="49" t="str">
        <f>IF(C64="","",[1]!hks_info_cur2(C64,F64))</f>
        <v/>
      </c>
      <c r="I64" s="57" t="str">
        <f>IF(C64="","",[1]!s_segment_product_item(C64,G64,1))</f>
        <v/>
      </c>
      <c r="J64" s="23" t="str">
        <f>IF(C64="","",[1]!s_segment_product_sales1(C64,G64,1,H64,100000000))</f>
        <v/>
      </c>
      <c r="K64" s="23" t="str">
        <f>IF(C64="","",[1]!s_segment_product_cost1(C64,G64,1,H64,100000000))</f>
        <v/>
      </c>
      <c r="L64" s="23" t="str">
        <f>IF(C64="","",[1]!s_segment_product_profit1(C64,G64,1,H64,100000000))</f>
        <v/>
      </c>
      <c r="M64" s="25" t="str">
        <f>IF(C64="","",[1]!s_segment_product_gpmargin(C64,G64,1))</f>
        <v/>
      </c>
      <c r="N64" s="57" t="str">
        <f>IF(C64="","",[1]!s_segment_product_item(C64,G64,2))</f>
        <v/>
      </c>
      <c r="O64" s="55" t="str">
        <f>IF(C64="","",[1]!s_segment_product_sales1(C64,G64,2,H64,100000000))</f>
        <v/>
      </c>
      <c r="P64" s="55" t="str">
        <f>IF(C64="","",[1]!s_segment_product_cost1(C64,G64,2,H64,100000000))</f>
        <v/>
      </c>
      <c r="Q64" s="55" t="str">
        <f>IF(C64="","",[1]!s_segment_product_profit1(C64,G64,2,H64,100000000))</f>
        <v/>
      </c>
      <c r="R64" s="59" t="str">
        <f>IF(C64="","",[1]!s_segment_product_gpmargin(C64,G64,2))</f>
        <v/>
      </c>
      <c r="S64" s="57" t="str">
        <f>IF(C64="","",[1]!s_segment_product_item(C64,G64,3))</f>
        <v/>
      </c>
      <c r="T64" s="55" t="str">
        <f>IF(C64="","",[1]!s_segment_product_sales1(C64,G64,3,H64,100000000))</f>
        <v/>
      </c>
      <c r="U64" s="55" t="str">
        <f>IF(C64="","",[1]!s_segment_product_cost1(C64,G64,3,H64,100000000))</f>
        <v/>
      </c>
      <c r="V64" s="55" t="str">
        <f>IF(C64="","",[1]!s_segment_product_profit1(C64,G64,3,H64,100000000))</f>
        <v/>
      </c>
      <c r="W64" s="59" t="str">
        <f>IF(C64="","",[1]!s_segment_product_gpmargin(C64,G64,3))</f>
        <v/>
      </c>
      <c r="X64" s="57" t="str">
        <f>IF(C64="","",[1]!s_segment_product_item(C64,G64,4))</f>
        <v/>
      </c>
      <c r="Y64" s="55" t="str">
        <f>IF(C64="","",[1]!s_segment_product_sales1(C64,G64,4,H64,100000000))</f>
        <v/>
      </c>
      <c r="Z64" s="55" t="str">
        <f>IF(C64="","",[1]!s_segment_product_cost1(C64,G64,4,H64,100000000))</f>
        <v/>
      </c>
      <c r="AA64" s="55" t="str">
        <f>IF(C64="","",[1]!s_segment_product_profit1(C64,G64,4,H64,100000000))</f>
        <v/>
      </c>
      <c r="AB64" s="59" t="str">
        <f>IF(C64="","",[1]!s_segment_product_gpmargin(C64,G64,4))</f>
        <v/>
      </c>
      <c r="AC64" s="57" t="str">
        <f>IF(C64="","",[1]!s_segment_product_item(C64,G64,5))</f>
        <v/>
      </c>
      <c r="AD64" s="55" t="str">
        <f>IF(C64="","",[1]!s_segment_product_sales1(C64,G64,5,H64,100000000))</f>
        <v/>
      </c>
      <c r="AE64" s="55" t="str">
        <f>IF(C64="","",[1]!s_segment_product_cost1(C64,G64,5,H64,100000000))</f>
        <v/>
      </c>
      <c r="AF64" s="55" t="str">
        <f>IF(C64="","",[1]!s_segment_product_profit1(C64,G64,5,H64,100000000))</f>
        <v/>
      </c>
      <c r="AG64" s="56" t="str">
        <f>IF(C64="","",[1]!s_segment_product_gpmargin(C64,G64,5))</f>
        <v/>
      </c>
      <c r="AH64" s="35"/>
    </row>
    <row r="65" spans="1:34" s="36" customFormat="1" ht="16.5" x14ac:dyDescent="0.2">
      <c r="A65" s="2"/>
      <c r="B65" s="6"/>
      <c r="C65" s="28" t="str">
        <f>IF(表1[[#This Row],[列1]]="","",表1[[#This Row],[列1]])</f>
        <v/>
      </c>
      <c r="D65" s="19" t="str">
        <f>IF(C65="","",[1]!hks_info_name(C65))</f>
        <v/>
      </c>
      <c r="E65" s="19" t="str">
        <f ca="1">IF(C65="","",[1]!lastradeday_s(C65,TODAY()))</f>
        <v/>
      </c>
      <c r="F65" s="49" t="str">
        <f>IF(C65="","",IF(OR([1]!s_stm_rpt_e(C65,基本资料!$I$8,0)="#N/A",[1]!s_stm_rpt_e(C65,基本资料!$I$8,0)="",[1]!s_stm_rpt_e(C65,基本资料!$I$8,0)=0),[1]!s_stm_rpt_e(C65,基本资料!$I$9,0),[1]!s_stm_rpt_e(C65,基本资料!$I$8,0)))</f>
        <v/>
      </c>
      <c r="G65" s="49" t="str">
        <f>IF(C65="","",[1]!s_stm_rpt_e(C65,F65,0))</f>
        <v/>
      </c>
      <c r="H65" s="49" t="str">
        <f>IF(C65="","",[1]!hks_info_cur2(C65,F65))</f>
        <v/>
      </c>
      <c r="I65" s="57" t="str">
        <f>IF(C65="","",[1]!s_segment_product_item(C65,G65,1))</f>
        <v/>
      </c>
      <c r="J65" s="23" t="str">
        <f>IF(C65="","",[1]!s_segment_product_sales1(C65,G65,1,H65,100000000))</f>
        <v/>
      </c>
      <c r="K65" s="23" t="str">
        <f>IF(C65="","",[1]!s_segment_product_cost1(C65,G65,1,H65,100000000))</f>
        <v/>
      </c>
      <c r="L65" s="23" t="str">
        <f>IF(C65="","",[1]!s_segment_product_profit1(C65,G65,1,H65,100000000))</f>
        <v/>
      </c>
      <c r="M65" s="25" t="str">
        <f>IF(C65="","",[1]!s_segment_product_gpmargin(C65,G65,1))</f>
        <v/>
      </c>
      <c r="N65" s="57" t="str">
        <f>IF(C65="","",[1]!s_segment_product_item(C65,G65,2))</f>
        <v/>
      </c>
      <c r="O65" s="55" t="str">
        <f>IF(C65="","",[1]!s_segment_product_sales1(C65,G65,2,H65,100000000))</f>
        <v/>
      </c>
      <c r="P65" s="55" t="str">
        <f>IF(C65="","",[1]!s_segment_product_cost1(C65,G65,2,H65,100000000))</f>
        <v/>
      </c>
      <c r="Q65" s="55" t="str">
        <f>IF(C65="","",[1]!s_segment_product_profit1(C65,G65,2,H65,100000000))</f>
        <v/>
      </c>
      <c r="R65" s="59" t="str">
        <f>IF(C65="","",[1]!s_segment_product_gpmargin(C65,G65,2))</f>
        <v/>
      </c>
      <c r="S65" s="57" t="str">
        <f>IF(C65="","",[1]!s_segment_product_item(C65,G65,3))</f>
        <v/>
      </c>
      <c r="T65" s="55" t="str">
        <f>IF(C65="","",[1]!s_segment_product_sales1(C65,G65,3,H65,100000000))</f>
        <v/>
      </c>
      <c r="U65" s="55" t="str">
        <f>IF(C65="","",[1]!s_segment_product_cost1(C65,G65,3,H65,100000000))</f>
        <v/>
      </c>
      <c r="V65" s="55" t="str">
        <f>IF(C65="","",[1]!s_segment_product_profit1(C65,G65,3,H65,100000000))</f>
        <v/>
      </c>
      <c r="W65" s="59" t="str">
        <f>IF(C65="","",[1]!s_segment_product_gpmargin(C65,G65,3))</f>
        <v/>
      </c>
      <c r="X65" s="57" t="str">
        <f>IF(C65="","",[1]!s_segment_product_item(C65,G65,4))</f>
        <v/>
      </c>
      <c r="Y65" s="55" t="str">
        <f>IF(C65="","",[1]!s_segment_product_sales1(C65,G65,4,H65,100000000))</f>
        <v/>
      </c>
      <c r="Z65" s="55" t="str">
        <f>IF(C65="","",[1]!s_segment_product_cost1(C65,G65,4,H65,100000000))</f>
        <v/>
      </c>
      <c r="AA65" s="55" t="str">
        <f>IF(C65="","",[1]!s_segment_product_profit1(C65,G65,4,H65,100000000))</f>
        <v/>
      </c>
      <c r="AB65" s="59" t="str">
        <f>IF(C65="","",[1]!s_segment_product_gpmargin(C65,G65,4))</f>
        <v/>
      </c>
      <c r="AC65" s="57" t="str">
        <f>IF(C65="","",[1]!s_segment_product_item(C65,G65,5))</f>
        <v/>
      </c>
      <c r="AD65" s="55" t="str">
        <f>IF(C65="","",[1]!s_segment_product_sales1(C65,G65,5,H65,100000000))</f>
        <v/>
      </c>
      <c r="AE65" s="55" t="str">
        <f>IF(C65="","",[1]!s_segment_product_cost1(C65,G65,5,H65,100000000))</f>
        <v/>
      </c>
      <c r="AF65" s="55" t="str">
        <f>IF(C65="","",[1]!s_segment_product_profit1(C65,G65,5,H65,100000000))</f>
        <v/>
      </c>
      <c r="AG65" s="56" t="str">
        <f>IF(C65="","",[1]!s_segment_product_gpmargin(C65,G65,5))</f>
        <v/>
      </c>
      <c r="AH65" s="35"/>
    </row>
    <row r="66" spans="1:34" s="36" customFormat="1" ht="16.5" x14ac:dyDescent="0.2">
      <c r="A66" s="2"/>
      <c r="B66" s="6"/>
      <c r="C66" s="28" t="str">
        <f>IF(表1[[#This Row],[列1]]="","",表1[[#This Row],[列1]])</f>
        <v/>
      </c>
      <c r="D66" s="19" t="str">
        <f>IF(C66="","",[1]!hks_info_name(C66))</f>
        <v/>
      </c>
      <c r="E66" s="19" t="str">
        <f ca="1">IF(C66="","",[1]!lastradeday_s(C66,TODAY()))</f>
        <v/>
      </c>
      <c r="F66" s="49" t="str">
        <f>IF(C66="","",IF(OR([1]!s_stm_rpt_e(C66,基本资料!$I$8,0)="#N/A",[1]!s_stm_rpt_e(C66,基本资料!$I$8,0)="",[1]!s_stm_rpt_e(C66,基本资料!$I$8,0)=0),[1]!s_stm_rpt_e(C66,基本资料!$I$9,0),[1]!s_stm_rpt_e(C66,基本资料!$I$8,0)))</f>
        <v/>
      </c>
      <c r="G66" s="49" t="str">
        <f>IF(C66="","",[1]!s_stm_rpt_e(C66,F66,0))</f>
        <v/>
      </c>
      <c r="H66" s="49" t="str">
        <f>IF(C66="","",[1]!hks_info_cur2(C66,F66))</f>
        <v/>
      </c>
      <c r="I66" s="57" t="str">
        <f>IF(C66="","",[1]!s_segment_product_item(C66,G66,1))</f>
        <v/>
      </c>
      <c r="J66" s="23" t="str">
        <f>IF(C66="","",[1]!s_segment_product_sales1(C66,G66,1,H66,100000000))</f>
        <v/>
      </c>
      <c r="K66" s="23" t="str">
        <f>IF(C66="","",[1]!s_segment_product_cost1(C66,G66,1,H66,100000000))</f>
        <v/>
      </c>
      <c r="L66" s="23" t="str">
        <f>IF(C66="","",[1]!s_segment_product_profit1(C66,G66,1,H66,100000000))</f>
        <v/>
      </c>
      <c r="M66" s="25" t="str">
        <f>IF(C66="","",[1]!s_segment_product_gpmargin(C66,G66,1))</f>
        <v/>
      </c>
      <c r="N66" s="57" t="str">
        <f>IF(C66="","",[1]!s_segment_product_item(C66,G66,2))</f>
        <v/>
      </c>
      <c r="O66" s="55" t="str">
        <f>IF(C66="","",[1]!s_segment_product_sales1(C66,G66,2,H66,100000000))</f>
        <v/>
      </c>
      <c r="P66" s="55" t="str">
        <f>IF(C66="","",[1]!s_segment_product_cost1(C66,G66,2,H66,100000000))</f>
        <v/>
      </c>
      <c r="Q66" s="55" t="str">
        <f>IF(C66="","",[1]!s_segment_product_profit1(C66,G66,2,H66,100000000))</f>
        <v/>
      </c>
      <c r="R66" s="59" t="str">
        <f>IF(C66="","",[1]!s_segment_product_gpmargin(C66,G66,2))</f>
        <v/>
      </c>
      <c r="S66" s="57" t="str">
        <f>IF(C66="","",[1]!s_segment_product_item(C66,G66,3))</f>
        <v/>
      </c>
      <c r="T66" s="55" t="str">
        <f>IF(C66="","",[1]!s_segment_product_sales1(C66,G66,3,H66,100000000))</f>
        <v/>
      </c>
      <c r="U66" s="55" t="str">
        <f>IF(C66="","",[1]!s_segment_product_cost1(C66,G66,3,H66,100000000))</f>
        <v/>
      </c>
      <c r="V66" s="55" t="str">
        <f>IF(C66="","",[1]!s_segment_product_profit1(C66,G66,3,H66,100000000))</f>
        <v/>
      </c>
      <c r="W66" s="59" t="str">
        <f>IF(C66="","",[1]!s_segment_product_gpmargin(C66,G66,3))</f>
        <v/>
      </c>
      <c r="X66" s="57" t="str">
        <f>IF(C66="","",[1]!s_segment_product_item(C66,G66,4))</f>
        <v/>
      </c>
      <c r="Y66" s="55" t="str">
        <f>IF(C66="","",[1]!s_segment_product_sales1(C66,G66,4,H66,100000000))</f>
        <v/>
      </c>
      <c r="Z66" s="55" t="str">
        <f>IF(C66="","",[1]!s_segment_product_cost1(C66,G66,4,H66,100000000))</f>
        <v/>
      </c>
      <c r="AA66" s="55" t="str">
        <f>IF(C66="","",[1]!s_segment_product_profit1(C66,G66,4,H66,100000000))</f>
        <v/>
      </c>
      <c r="AB66" s="59" t="str">
        <f>IF(C66="","",[1]!s_segment_product_gpmargin(C66,G66,4))</f>
        <v/>
      </c>
      <c r="AC66" s="57" t="str">
        <f>IF(C66="","",[1]!s_segment_product_item(C66,G66,5))</f>
        <v/>
      </c>
      <c r="AD66" s="55" t="str">
        <f>IF(C66="","",[1]!s_segment_product_sales1(C66,G66,5,H66,100000000))</f>
        <v/>
      </c>
      <c r="AE66" s="55" t="str">
        <f>IF(C66="","",[1]!s_segment_product_cost1(C66,G66,5,H66,100000000))</f>
        <v/>
      </c>
      <c r="AF66" s="55" t="str">
        <f>IF(C66="","",[1]!s_segment_product_profit1(C66,G66,5,H66,100000000))</f>
        <v/>
      </c>
      <c r="AG66" s="56" t="str">
        <f>IF(C66="","",[1]!s_segment_product_gpmargin(C66,G66,5))</f>
        <v/>
      </c>
      <c r="AH66" s="35"/>
    </row>
    <row r="67" spans="1:34" s="36" customFormat="1" ht="16.5" x14ac:dyDescent="0.2">
      <c r="A67" s="2"/>
      <c r="B67" s="6"/>
      <c r="C67" s="28" t="str">
        <f>IF(表1[[#This Row],[列1]]="","",表1[[#This Row],[列1]])</f>
        <v/>
      </c>
      <c r="D67" s="19" t="str">
        <f>IF(C67="","",[1]!hks_info_name(C67))</f>
        <v/>
      </c>
      <c r="E67" s="19" t="str">
        <f ca="1">IF(C67="","",[1]!lastradeday_s(C67,TODAY()))</f>
        <v/>
      </c>
      <c r="F67" s="49" t="str">
        <f>IF(C67="","",IF(OR([1]!s_stm_rpt_e(C67,基本资料!$I$8,0)="#N/A",[1]!s_stm_rpt_e(C67,基本资料!$I$8,0)="",[1]!s_stm_rpt_e(C67,基本资料!$I$8,0)=0),[1]!s_stm_rpt_e(C67,基本资料!$I$9,0),[1]!s_stm_rpt_e(C67,基本资料!$I$8,0)))</f>
        <v/>
      </c>
      <c r="G67" s="49" t="str">
        <f>IF(C67="","",[1]!s_stm_rpt_e(C67,F67,0))</f>
        <v/>
      </c>
      <c r="H67" s="49" t="str">
        <f>IF(C67="","",[1]!hks_info_cur2(C67,F67))</f>
        <v/>
      </c>
      <c r="I67" s="57" t="str">
        <f>IF(C67="","",[1]!s_segment_product_item(C67,G67,1))</f>
        <v/>
      </c>
      <c r="J67" s="23" t="str">
        <f>IF(C67="","",[1]!s_segment_product_sales1(C67,G67,1,H67,100000000))</f>
        <v/>
      </c>
      <c r="K67" s="23" t="str">
        <f>IF(C67="","",[1]!s_segment_product_cost1(C67,G67,1,H67,100000000))</f>
        <v/>
      </c>
      <c r="L67" s="23" t="str">
        <f>IF(C67="","",[1]!s_segment_product_profit1(C67,G67,1,H67,100000000))</f>
        <v/>
      </c>
      <c r="M67" s="25" t="str">
        <f>IF(C67="","",[1]!s_segment_product_gpmargin(C67,G67,1))</f>
        <v/>
      </c>
      <c r="N67" s="57" t="str">
        <f>IF(C67="","",[1]!s_segment_product_item(C67,G67,2))</f>
        <v/>
      </c>
      <c r="O67" s="55" t="str">
        <f>IF(C67="","",[1]!s_segment_product_sales1(C67,G67,2,H67,100000000))</f>
        <v/>
      </c>
      <c r="P67" s="55" t="str">
        <f>IF(C67="","",[1]!s_segment_product_cost1(C67,G67,2,H67,100000000))</f>
        <v/>
      </c>
      <c r="Q67" s="55" t="str">
        <f>IF(C67="","",[1]!s_segment_product_profit1(C67,G67,2,H67,100000000))</f>
        <v/>
      </c>
      <c r="R67" s="59" t="str">
        <f>IF(C67="","",[1]!s_segment_product_gpmargin(C67,G67,2))</f>
        <v/>
      </c>
      <c r="S67" s="57" t="str">
        <f>IF(C67="","",[1]!s_segment_product_item(C67,G67,3))</f>
        <v/>
      </c>
      <c r="T67" s="55" t="str">
        <f>IF(C67="","",[1]!s_segment_product_sales1(C67,G67,3,H67,100000000))</f>
        <v/>
      </c>
      <c r="U67" s="55" t="str">
        <f>IF(C67="","",[1]!s_segment_product_cost1(C67,G67,3,H67,100000000))</f>
        <v/>
      </c>
      <c r="V67" s="55" t="str">
        <f>IF(C67="","",[1]!s_segment_product_profit1(C67,G67,3,H67,100000000))</f>
        <v/>
      </c>
      <c r="W67" s="59" t="str">
        <f>IF(C67="","",[1]!s_segment_product_gpmargin(C67,G67,3))</f>
        <v/>
      </c>
      <c r="X67" s="57" t="str">
        <f>IF(C67="","",[1]!s_segment_product_item(C67,G67,4))</f>
        <v/>
      </c>
      <c r="Y67" s="55" t="str">
        <f>IF(C67="","",[1]!s_segment_product_sales1(C67,G67,4,H67,100000000))</f>
        <v/>
      </c>
      <c r="Z67" s="55" t="str">
        <f>IF(C67="","",[1]!s_segment_product_cost1(C67,G67,4,H67,100000000))</f>
        <v/>
      </c>
      <c r="AA67" s="55" t="str">
        <f>IF(C67="","",[1]!s_segment_product_profit1(C67,G67,4,H67,100000000))</f>
        <v/>
      </c>
      <c r="AB67" s="59" t="str">
        <f>IF(C67="","",[1]!s_segment_product_gpmargin(C67,G67,4))</f>
        <v/>
      </c>
      <c r="AC67" s="57" t="str">
        <f>IF(C67="","",[1]!s_segment_product_item(C67,G67,5))</f>
        <v/>
      </c>
      <c r="AD67" s="55" t="str">
        <f>IF(C67="","",[1]!s_segment_product_sales1(C67,G67,5,H67,100000000))</f>
        <v/>
      </c>
      <c r="AE67" s="55" t="str">
        <f>IF(C67="","",[1]!s_segment_product_cost1(C67,G67,5,H67,100000000))</f>
        <v/>
      </c>
      <c r="AF67" s="55" t="str">
        <f>IF(C67="","",[1]!s_segment_product_profit1(C67,G67,5,H67,100000000))</f>
        <v/>
      </c>
      <c r="AG67" s="56" t="str">
        <f>IF(C67="","",[1]!s_segment_product_gpmargin(C67,G67,5))</f>
        <v/>
      </c>
      <c r="AH67" s="35"/>
    </row>
    <row r="68" spans="1:34" s="36" customFormat="1" ht="16.5" x14ac:dyDescent="0.2">
      <c r="A68" s="2"/>
      <c r="B68" s="6"/>
      <c r="C68" s="28" t="str">
        <f>IF(表1[[#This Row],[列1]]="","",表1[[#This Row],[列1]])</f>
        <v/>
      </c>
      <c r="D68" s="19" t="str">
        <f>IF(C68="","",[1]!hks_info_name(C68))</f>
        <v/>
      </c>
      <c r="E68" s="19" t="str">
        <f ca="1">IF(C68="","",[1]!lastradeday_s(C68,TODAY()))</f>
        <v/>
      </c>
      <c r="F68" s="49" t="str">
        <f>IF(C68="","",IF(OR([1]!s_stm_rpt_e(C68,基本资料!$I$8,0)="#N/A",[1]!s_stm_rpt_e(C68,基本资料!$I$8,0)="",[1]!s_stm_rpt_e(C68,基本资料!$I$8,0)=0),[1]!s_stm_rpt_e(C68,基本资料!$I$9,0),[1]!s_stm_rpt_e(C68,基本资料!$I$8,0)))</f>
        <v/>
      </c>
      <c r="G68" s="49" t="str">
        <f>IF(C68="","",[1]!s_stm_rpt_e(C68,F68,0))</f>
        <v/>
      </c>
      <c r="H68" s="49" t="str">
        <f>IF(C68="","",[1]!hks_info_cur2(C68,F68))</f>
        <v/>
      </c>
      <c r="I68" s="57" t="str">
        <f>IF(C68="","",[1]!s_segment_product_item(C68,G68,1))</f>
        <v/>
      </c>
      <c r="J68" s="23" t="str">
        <f>IF(C68="","",[1]!s_segment_product_sales1(C68,G68,1,H68,100000000))</f>
        <v/>
      </c>
      <c r="K68" s="23" t="str">
        <f>IF(C68="","",[1]!s_segment_product_cost1(C68,G68,1,H68,100000000))</f>
        <v/>
      </c>
      <c r="L68" s="23" t="str">
        <f>IF(C68="","",[1]!s_segment_product_profit1(C68,G68,1,H68,100000000))</f>
        <v/>
      </c>
      <c r="M68" s="25" t="str">
        <f>IF(C68="","",[1]!s_segment_product_gpmargin(C68,G68,1))</f>
        <v/>
      </c>
      <c r="N68" s="57" t="str">
        <f>IF(C68="","",[1]!s_segment_product_item(C68,G68,2))</f>
        <v/>
      </c>
      <c r="O68" s="55" t="str">
        <f>IF(C68="","",[1]!s_segment_product_sales1(C68,G68,2,H68,100000000))</f>
        <v/>
      </c>
      <c r="P68" s="55" t="str">
        <f>IF(C68="","",[1]!s_segment_product_cost1(C68,G68,2,H68,100000000))</f>
        <v/>
      </c>
      <c r="Q68" s="55" t="str">
        <f>IF(C68="","",[1]!s_segment_product_profit1(C68,G68,2,H68,100000000))</f>
        <v/>
      </c>
      <c r="R68" s="59" t="str">
        <f>IF(C68="","",[1]!s_segment_product_gpmargin(C68,G68,2))</f>
        <v/>
      </c>
      <c r="S68" s="57" t="str">
        <f>IF(C68="","",[1]!s_segment_product_item(C68,G68,3))</f>
        <v/>
      </c>
      <c r="T68" s="55" t="str">
        <f>IF(C68="","",[1]!s_segment_product_sales1(C68,G68,3,H68,100000000))</f>
        <v/>
      </c>
      <c r="U68" s="55" t="str">
        <f>IF(C68="","",[1]!s_segment_product_cost1(C68,G68,3,H68,100000000))</f>
        <v/>
      </c>
      <c r="V68" s="55" t="str">
        <f>IF(C68="","",[1]!s_segment_product_profit1(C68,G68,3,H68,100000000))</f>
        <v/>
      </c>
      <c r="W68" s="59" t="str">
        <f>IF(C68="","",[1]!s_segment_product_gpmargin(C68,G68,3))</f>
        <v/>
      </c>
      <c r="X68" s="57" t="str">
        <f>IF(C68="","",[1]!s_segment_product_item(C68,G68,4))</f>
        <v/>
      </c>
      <c r="Y68" s="55" t="str">
        <f>IF(C68="","",[1]!s_segment_product_sales1(C68,G68,4,H68,100000000))</f>
        <v/>
      </c>
      <c r="Z68" s="55" t="str">
        <f>IF(C68="","",[1]!s_segment_product_cost1(C68,G68,4,H68,100000000))</f>
        <v/>
      </c>
      <c r="AA68" s="55" t="str">
        <f>IF(C68="","",[1]!s_segment_product_profit1(C68,G68,4,H68,100000000))</f>
        <v/>
      </c>
      <c r="AB68" s="59" t="str">
        <f>IF(C68="","",[1]!s_segment_product_gpmargin(C68,G68,4))</f>
        <v/>
      </c>
      <c r="AC68" s="57" t="str">
        <f>IF(C68="","",[1]!s_segment_product_item(C68,G68,5))</f>
        <v/>
      </c>
      <c r="AD68" s="55" t="str">
        <f>IF(C68="","",[1]!s_segment_product_sales1(C68,G68,5,H68,100000000))</f>
        <v/>
      </c>
      <c r="AE68" s="55" t="str">
        <f>IF(C68="","",[1]!s_segment_product_cost1(C68,G68,5,H68,100000000))</f>
        <v/>
      </c>
      <c r="AF68" s="55" t="str">
        <f>IF(C68="","",[1]!s_segment_product_profit1(C68,G68,5,H68,100000000))</f>
        <v/>
      </c>
      <c r="AG68" s="56" t="str">
        <f>IF(C68="","",[1]!s_segment_product_gpmargin(C68,G68,5))</f>
        <v/>
      </c>
      <c r="AH68" s="35"/>
    </row>
    <row r="69" spans="1:34" s="36" customFormat="1" ht="16.5" x14ac:dyDescent="0.2">
      <c r="A69" s="2"/>
      <c r="B69" s="6"/>
      <c r="C69" s="28" t="str">
        <f>IF(表1[[#This Row],[列1]]="","",表1[[#This Row],[列1]])</f>
        <v/>
      </c>
      <c r="D69" s="19" t="str">
        <f>IF(C69="","",[1]!hks_info_name(C69))</f>
        <v/>
      </c>
      <c r="E69" s="19" t="str">
        <f ca="1">IF(C69="","",[1]!lastradeday_s(C69,TODAY()))</f>
        <v/>
      </c>
      <c r="F69" s="49" t="str">
        <f>IF(C69="","",IF(OR([1]!s_stm_rpt_e(C69,基本资料!$I$8,0)="#N/A",[1]!s_stm_rpt_e(C69,基本资料!$I$8,0)="",[1]!s_stm_rpt_e(C69,基本资料!$I$8,0)=0),[1]!s_stm_rpt_e(C69,基本资料!$I$9,0),[1]!s_stm_rpt_e(C69,基本资料!$I$8,0)))</f>
        <v/>
      </c>
      <c r="G69" s="49" t="str">
        <f>IF(C69="","",[1]!s_stm_rpt_e(C69,F69,0))</f>
        <v/>
      </c>
      <c r="H69" s="49" t="str">
        <f>IF(C69="","",[1]!hks_info_cur2(C69,F69))</f>
        <v/>
      </c>
      <c r="I69" s="57" t="str">
        <f>IF(C69="","",[1]!s_segment_product_item(C69,G69,1))</f>
        <v/>
      </c>
      <c r="J69" s="23" t="str">
        <f>IF(C69="","",[1]!s_segment_product_sales1(C69,G69,1,H69,100000000))</f>
        <v/>
      </c>
      <c r="K69" s="23" t="str">
        <f>IF(C69="","",[1]!s_segment_product_cost1(C69,G69,1,H69,100000000))</f>
        <v/>
      </c>
      <c r="L69" s="23" t="str">
        <f>IF(C69="","",[1]!s_segment_product_profit1(C69,G69,1,H69,100000000))</f>
        <v/>
      </c>
      <c r="M69" s="25" t="str">
        <f>IF(C69="","",[1]!s_segment_product_gpmargin(C69,G69,1))</f>
        <v/>
      </c>
      <c r="N69" s="57" t="str">
        <f>IF(C69="","",[1]!s_segment_product_item(C69,G69,2))</f>
        <v/>
      </c>
      <c r="O69" s="55" t="str">
        <f>IF(C69="","",[1]!s_segment_product_sales1(C69,G69,2,H69,100000000))</f>
        <v/>
      </c>
      <c r="P69" s="55" t="str">
        <f>IF(C69="","",[1]!s_segment_product_cost1(C69,G69,2,H69,100000000))</f>
        <v/>
      </c>
      <c r="Q69" s="55" t="str">
        <f>IF(C69="","",[1]!s_segment_product_profit1(C69,G69,2,H69,100000000))</f>
        <v/>
      </c>
      <c r="R69" s="59" t="str">
        <f>IF(C69="","",[1]!s_segment_product_gpmargin(C69,G69,2))</f>
        <v/>
      </c>
      <c r="S69" s="57" t="str">
        <f>IF(C69="","",[1]!s_segment_product_item(C69,G69,3))</f>
        <v/>
      </c>
      <c r="T69" s="55" t="str">
        <f>IF(C69="","",[1]!s_segment_product_sales1(C69,G69,3,H69,100000000))</f>
        <v/>
      </c>
      <c r="U69" s="55" t="str">
        <f>IF(C69="","",[1]!s_segment_product_cost1(C69,G69,3,H69,100000000))</f>
        <v/>
      </c>
      <c r="V69" s="55" t="str">
        <f>IF(C69="","",[1]!s_segment_product_profit1(C69,G69,3,H69,100000000))</f>
        <v/>
      </c>
      <c r="W69" s="59" t="str">
        <f>IF(C69="","",[1]!s_segment_product_gpmargin(C69,G69,3))</f>
        <v/>
      </c>
      <c r="X69" s="57" t="str">
        <f>IF(C69="","",[1]!s_segment_product_item(C69,G69,4))</f>
        <v/>
      </c>
      <c r="Y69" s="55" t="str">
        <f>IF(C69="","",[1]!s_segment_product_sales1(C69,G69,4,H69,100000000))</f>
        <v/>
      </c>
      <c r="Z69" s="55" t="str">
        <f>IF(C69="","",[1]!s_segment_product_cost1(C69,G69,4,H69,100000000))</f>
        <v/>
      </c>
      <c r="AA69" s="55" t="str">
        <f>IF(C69="","",[1]!s_segment_product_profit1(C69,G69,4,H69,100000000))</f>
        <v/>
      </c>
      <c r="AB69" s="59" t="str">
        <f>IF(C69="","",[1]!s_segment_product_gpmargin(C69,G69,4))</f>
        <v/>
      </c>
      <c r="AC69" s="57" t="str">
        <f>IF(C69="","",[1]!s_segment_product_item(C69,G69,5))</f>
        <v/>
      </c>
      <c r="AD69" s="55" t="str">
        <f>IF(C69="","",[1]!s_segment_product_sales1(C69,G69,5,H69,100000000))</f>
        <v/>
      </c>
      <c r="AE69" s="55" t="str">
        <f>IF(C69="","",[1]!s_segment_product_cost1(C69,G69,5,H69,100000000))</f>
        <v/>
      </c>
      <c r="AF69" s="55" t="str">
        <f>IF(C69="","",[1]!s_segment_product_profit1(C69,G69,5,H69,100000000))</f>
        <v/>
      </c>
      <c r="AG69" s="56" t="str">
        <f>IF(C69="","",[1]!s_segment_product_gpmargin(C69,G69,5))</f>
        <v/>
      </c>
      <c r="AH69" s="35"/>
    </row>
    <row r="70" spans="1:34" s="36" customFormat="1" ht="16.5" x14ac:dyDescent="0.2">
      <c r="A70" s="2"/>
      <c r="B70" s="6"/>
      <c r="C70" s="28" t="str">
        <f>IF(表1[[#This Row],[列1]]="","",表1[[#This Row],[列1]])</f>
        <v/>
      </c>
      <c r="D70" s="19" t="str">
        <f>IF(C70="","",[1]!hks_info_name(C70))</f>
        <v/>
      </c>
      <c r="E70" s="19" t="str">
        <f ca="1">IF(C70="","",[1]!lastradeday_s(C70,TODAY()))</f>
        <v/>
      </c>
      <c r="F70" s="49" t="str">
        <f>IF(C70="","",IF(OR([1]!s_stm_rpt_e(C70,基本资料!$I$8,0)="#N/A",[1]!s_stm_rpt_e(C70,基本资料!$I$8,0)="",[1]!s_stm_rpt_e(C70,基本资料!$I$8,0)=0),[1]!s_stm_rpt_e(C70,基本资料!$I$9,0),[1]!s_stm_rpt_e(C70,基本资料!$I$8,0)))</f>
        <v/>
      </c>
      <c r="G70" s="49" t="str">
        <f>IF(C70="","",[1]!s_stm_rpt_e(C70,F70,0))</f>
        <v/>
      </c>
      <c r="H70" s="49" t="str">
        <f>IF(C70="","",[1]!hks_info_cur2(C70,F70))</f>
        <v/>
      </c>
      <c r="I70" s="57" t="str">
        <f>IF(C70="","",[1]!s_segment_product_item(C70,G70,1))</f>
        <v/>
      </c>
      <c r="J70" s="23" t="str">
        <f>IF(C70="","",[1]!s_segment_product_sales1(C70,G70,1,H70,100000000))</f>
        <v/>
      </c>
      <c r="K70" s="23" t="str">
        <f>IF(C70="","",[1]!s_segment_product_cost1(C70,G70,1,H70,100000000))</f>
        <v/>
      </c>
      <c r="L70" s="23" t="str">
        <f>IF(C70="","",[1]!s_segment_product_profit1(C70,G70,1,H70,100000000))</f>
        <v/>
      </c>
      <c r="M70" s="25" t="str">
        <f>IF(C70="","",[1]!s_segment_product_gpmargin(C70,G70,1))</f>
        <v/>
      </c>
      <c r="N70" s="57" t="str">
        <f>IF(C70="","",[1]!s_segment_product_item(C70,G70,2))</f>
        <v/>
      </c>
      <c r="O70" s="55" t="str">
        <f>IF(C70="","",[1]!s_segment_product_sales1(C70,G70,2,H70,100000000))</f>
        <v/>
      </c>
      <c r="P70" s="55" t="str">
        <f>IF(C70="","",[1]!s_segment_product_cost1(C70,G70,2,H70,100000000))</f>
        <v/>
      </c>
      <c r="Q70" s="55" t="str">
        <f>IF(C70="","",[1]!s_segment_product_profit1(C70,G70,2,H70,100000000))</f>
        <v/>
      </c>
      <c r="R70" s="59" t="str">
        <f>IF(C70="","",[1]!s_segment_product_gpmargin(C70,G70,2))</f>
        <v/>
      </c>
      <c r="S70" s="57" t="str">
        <f>IF(C70="","",[1]!s_segment_product_item(C70,G70,3))</f>
        <v/>
      </c>
      <c r="T70" s="55" t="str">
        <f>IF(C70="","",[1]!s_segment_product_sales1(C70,G70,3,H70,100000000))</f>
        <v/>
      </c>
      <c r="U70" s="55" t="str">
        <f>IF(C70="","",[1]!s_segment_product_cost1(C70,G70,3,H70,100000000))</f>
        <v/>
      </c>
      <c r="V70" s="55" t="str">
        <f>IF(C70="","",[1]!s_segment_product_profit1(C70,G70,3,H70,100000000))</f>
        <v/>
      </c>
      <c r="W70" s="59" t="str">
        <f>IF(C70="","",[1]!s_segment_product_gpmargin(C70,G70,3))</f>
        <v/>
      </c>
      <c r="X70" s="57" t="str">
        <f>IF(C70="","",[1]!s_segment_product_item(C70,G70,4))</f>
        <v/>
      </c>
      <c r="Y70" s="55" t="str">
        <f>IF(C70="","",[1]!s_segment_product_sales1(C70,G70,4,H70,100000000))</f>
        <v/>
      </c>
      <c r="Z70" s="55" t="str">
        <f>IF(C70="","",[1]!s_segment_product_cost1(C70,G70,4,H70,100000000))</f>
        <v/>
      </c>
      <c r="AA70" s="55" t="str">
        <f>IF(C70="","",[1]!s_segment_product_profit1(C70,G70,4,H70,100000000))</f>
        <v/>
      </c>
      <c r="AB70" s="59" t="str">
        <f>IF(C70="","",[1]!s_segment_product_gpmargin(C70,G70,4))</f>
        <v/>
      </c>
      <c r="AC70" s="57" t="str">
        <f>IF(C70="","",[1]!s_segment_product_item(C70,G70,5))</f>
        <v/>
      </c>
      <c r="AD70" s="55" t="str">
        <f>IF(C70="","",[1]!s_segment_product_sales1(C70,G70,5,H70,100000000))</f>
        <v/>
      </c>
      <c r="AE70" s="55" t="str">
        <f>IF(C70="","",[1]!s_segment_product_cost1(C70,G70,5,H70,100000000))</f>
        <v/>
      </c>
      <c r="AF70" s="55" t="str">
        <f>IF(C70="","",[1]!s_segment_product_profit1(C70,G70,5,H70,100000000))</f>
        <v/>
      </c>
      <c r="AG70" s="56" t="str">
        <f>IF(C70="","",[1]!s_segment_product_gpmargin(C70,G70,5))</f>
        <v/>
      </c>
      <c r="AH70" s="35"/>
    </row>
    <row r="71" spans="1:34" s="36" customFormat="1" ht="16.5" x14ac:dyDescent="0.2">
      <c r="A71" s="2"/>
      <c r="B71" s="6"/>
      <c r="C71" s="28" t="str">
        <f>IF(表1[[#This Row],[列1]]="","",表1[[#This Row],[列1]])</f>
        <v/>
      </c>
      <c r="D71" s="19" t="str">
        <f>IF(C71="","",[1]!hks_info_name(C71))</f>
        <v/>
      </c>
      <c r="E71" s="19" t="str">
        <f ca="1">IF(C71="","",[1]!lastradeday_s(C71,TODAY()))</f>
        <v/>
      </c>
      <c r="F71" s="49" t="str">
        <f>IF(C71="","",IF(OR([1]!s_stm_rpt_e(C71,基本资料!$I$8,0)="#N/A",[1]!s_stm_rpt_e(C71,基本资料!$I$8,0)="",[1]!s_stm_rpt_e(C71,基本资料!$I$8,0)=0),[1]!s_stm_rpt_e(C71,基本资料!$I$9,0),[1]!s_stm_rpt_e(C71,基本资料!$I$8,0)))</f>
        <v/>
      </c>
      <c r="G71" s="49" t="str">
        <f>IF(C71="","",[1]!s_stm_rpt_e(C71,F71,0))</f>
        <v/>
      </c>
      <c r="H71" s="49" t="str">
        <f>IF(C71="","",[1]!hks_info_cur2(C71,F71))</f>
        <v/>
      </c>
      <c r="I71" s="57" t="str">
        <f>IF(C71="","",[1]!s_segment_product_item(C71,G71,1))</f>
        <v/>
      </c>
      <c r="J71" s="23" t="str">
        <f>IF(C71="","",[1]!s_segment_product_sales1(C71,G71,1,H71,100000000))</f>
        <v/>
      </c>
      <c r="K71" s="23" t="str">
        <f>IF(C71="","",[1]!s_segment_product_cost1(C71,G71,1,H71,100000000))</f>
        <v/>
      </c>
      <c r="L71" s="23" t="str">
        <f>IF(C71="","",[1]!s_segment_product_profit1(C71,G71,1,H71,100000000))</f>
        <v/>
      </c>
      <c r="M71" s="25" t="str">
        <f>IF(C71="","",[1]!s_segment_product_gpmargin(C71,G71,1))</f>
        <v/>
      </c>
      <c r="N71" s="57" t="str">
        <f>IF(C71="","",[1]!s_segment_product_item(C71,G71,2))</f>
        <v/>
      </c>
      <c r="O71" s="55" t="str">
        <f>IF(C71="","",[1]!s_segment_product_sales1(C71,G71,2,H71,100000000))</f>
        <v/>
      </c>
      <c r="P71" s="55" t="str">
        <f>IF(C71="","",[1]!s_segment_product_cost1(C71,G71,2,H71,100000000))</f>
        <v/>
      </c>
      <c r="Q71" s="55" t="str">
        <f>IF(C71="","",[1]!s_segment_product_profit1(C71,G71,2,H71,100000000))</f>
        <v/>
      </c>
      <c r="R71" s="59" t="str">
        <f>IF(C71="","",[1]!s_segment_product_gpmargin(C71,G71,2))</f>
        <v/>
      </c>
      <c r="S71" s="57" t="str">
        <f>IF(C71="","",[1]!s_segment_product_item(C71,G71,3))</f>
        <v/>
      </c>
      <c r="T71" s="55" t="str">
        <f>IF(C71="","",[1]!s_segment_product_sales1(C71,G71,3,H71,100000000))</f>
        <v/>
      </c>
      <c r="U71" s="55" t="str">
        <f>IF(C71="","",[1]!s_segment_product_cost1(C71,G71,3,H71,100000000))</f>
        <v/>
      </c>
      <c r="V71" s="55" t="str">
        <f>IF(C71="","",[1]!s_segment_product_profit1(C71,G71,3,H71,100000000))</f>
        <v/>
      </c>
      <c r="W71" s="59" t="str">
        <f>IF(C71="","",[1]!s_segment_product_gpmargin(C71,G71,3))</f>
        <v/>
      </c>
      <c r="X71" s="57" t="str">
        <f>IF(C71="","",[1]!s_segment_product_item(C71,G71,4))</f>
        <v/>
      </c>
      <c r="Y71" s="55" t="str">
        <f>IF(C71="","",[1]!s_segment_product_sales1(C71,G71,4,H71,100000000))</f>
        <v/>
      </c>
      <c r="Z71" s="55" t="str">
        <f>IF(C71="","",[1]!s_segment_product_cost1(C71,G71,4,H71,100000000))</f>
        <v/>
      </c>
      <c r="AA71" s="55" t="str">
        <f>IF(C71="","",[1]!s_segment_product_profit1(C71,G71,4,H71,100000000))</f>
        <v/>
      </c>
      <c r="AB71" s="59" t="str">
        <f>IF(C71="","",[1]!s_segment_product_gpmargin(C71,G71,4))</f>
        <v/>
      </c>
      <c r="AC71" s="57" t="str">
        <f>IF(C71="","",[1]!s_segment_product_item(C71,G71,5))</f>
        <v/>
      </c>
      <c r="AD71" s="55" t="str">
        <f>IF(C71="","",[1]!s_segment_product_sales1(C71,G71,5,H71,100000000))</f>
        <v/>
      </c>
      <c r="AE71" s="55" t="str">
        <f>IF(C71="","",[1]!s_segment_product_cost1(C71,G71,5,H71,100000000))</f>
        <v/>
      </c>
      <c r="AF71" s="55" t="str">
        <f>IF(C71="","",[1]!s_segment_product_profit1(C71,G71,5,H71,100000000))</f>
        <v/>
      </c>
      <c r="AG71" s="56" t="str">
        <f>IF(C71="","",[1]!s_segment_product_gpmargin(C71,G71,5))</f>
        <v/>
      </c>
      <c r="AH71" s="35"/>
    </row>
    <row r="72" spans="1:34" s="36" customFormat="1" ht="16.5" x14ac:dyDescent="0.2">
      <c r="A72" s="2"/>
      <c r="B72" s="6"/>
      <c r="C72" s="28" t="str">
        <f>IF(表1[[#This Row],[列1]]="","",表1[[#This Row],[列1]])</f>
        <v/>
      </c>
      <c r="D72" s="19" t="str">
        <f>IF(C72="","",[1]!hks_info_name(C72))</f>
        <v/>
      </c>
      <c r="E72" s="19" t="str">
        <f ca="1">IF(C72="","",[1]!lastradeday_s(C72,TODAY()))</f>
        <v/>
      </c>
      <c r="F72" s="49" t="str">
        <f>IF(C72="","",IF(OR([1]!s_stm_rpt_e(C72,基本资料!$I$8,0)="#N/A",[1]!s_stm_rpt_e(C72,基本资料!$I$8,0)="",[1]!s_stm_rpt_e(C72,基本资料!$I$8,0)=0),[1]!s_stm_rpt_e(C72,基本资料!$I$9,0),[1]!s_stm_rpt_e(C72,基本资料!$I$8,0)))</f>
        <v/>
      </c>
      <c r="G72" s="49" t="str">
        <f>IF(C72="","",[1]!s_stm_rpt_e(C72,F72,0))</f>
        <v/>
      </c>
      <c r="H72" s="49" t="str">
        <f>IF(C72="","",[1]!hks_info_cur2(C72,F72))</f>
        <v/>
      </c>
      <c r="I72" s="57" t="str">
        <f>IF(C72="","",[1]!s_segment_product_item(C72,G72,1))</f>
        <v/>
      </c>
      <c r="J72" s="23" t="str">
        <f>IF(C72="","",[1]!s_segment_product_sales1(C72,G72,1,H72,100000000))</f>
        <v/>
      </c>
      <c r="K72" s="23" t="str">
        <f>IF(C72="","",[1]!s_segment_product_cost1(C72,G72,1,H72,100000000))</f>
        <v/>
      </c>
      <c r="L72" s="23" t="str">
        <f>IF(C72="","",[1]!s_segment_product_profit1(C72,G72,1,H72,100000000))</f>
        <v/>
      </c>
      <c r="M72" s="25" t="str">
        <f>IF(C72="","",[1]!s_segment_product_gpmargin(C72,G72,1))</f>
        <v/>
      </c>
      <c r="N72" s="57" t="str">
        <f>IF(C72="","",[1]!s_segment_product_item(C72,G72,2))</f>
        <v/>
      </c>
      <c r="O72" s="55" t="str">
        <f>IF(C72="","",[1]!s_segment_product_sales1(C72,G72,2,H72,100000000))</f>
        <v/>
      </c>
      <c r="P72" s="55" t="str">
        <f>IF(C72="","",[1]!s_segment_product_cost1(C72,G72,2,H72,100000000))</f>
        <v/>
      </c>
      <c r="Q72" s="55" t="str">
        <f>IF(C72="","",[1]!s_segment_product_profit1(C72,G72,2,H72,100000000))</f>
        <v/>
      </c>
      <c r="R72" s="59" t="str">
        <f>IF(C72="","",[1]!s_segment_product_gpmargin(C72,G72,2))</f>
        <v/>
      </c>
      <c r="S72" s="57" t="str">
        <f>IF(C72="","",[1]!s_segment_product_item(C72,G72,3))</f>
        <v/>
      </c>
      <c r="T72" s="55" t="str">
        <f>IF(C72="","",[1]!s_segment_product_sales1(C72,G72,3,H72,100000000))</f>
        <v/>
      </c>
      <c r="U72" s="55" t="str">
        <f>IF(C72="","",[1]!s_segment_product_cost1(C72,G72,3,H72,100000000))</f>
        <v/>
      </c>
      <c r="V72" s="55" t="str">
        <f>IF(C72="","",[1]!s_segment_product_profit1(C72,G72,3,H72,100000000))</f>
        <v/>
      </c>
      <c r="W72" s="59" t="str">
        <f>IF(C72="","",[1]!s_segment_product_gpmargin(C72,G72,3))</f>
        <v/>
      </c>
      <c r="X72" s="57" t="str">
        <f>IF(C72="","",[1]!s_segment_product_item(C72,G72,4))</f>
        <v/>
      </c>
      <c r="Y72" s="55" t="str">
        <f>IF(C72="","",[1]!s_segment_product_sales1(C72,G72,4,H72,100000000))</f>
        <v/>
      </c>
      <c r="Z72" s="55" t="str">
        <f>IF(C72="","",[1]!s_segment_product_cost1(C72,G72,4,H72,100000000))</f>
        <v/>
      </c>
      <c r="AA72" s="55" t="str">
        <f>IF(C72="","",[1]!s_segment_product_profit1(C72,G72,4,H72,100000000))</f>
        <v/>
      </c>
      <c r="AB72" s="59" t="str">
        <f>IF(C72="","",[1]!s_segment_product_gpmargin(C72,G72,4))</f>
        <v/>
      </c>
      <c r="AC72" s="57" t="str">
        <f>IF(C72="","",[1]!s_segment_product_item(C72,G72,5))</f>
        <v/>
      </c>
      <c r="AD72" s="55" t="str">
        <f>IF(C72="","",[1]!s_segment_product_sales1(C72,G72,5,H72,100000000))</f>
        <v/>
      </c>
      <c r="AE72" s="55" t="str">
        <f>IF(C72="","",[1]!s_segment_product_cost1(C72,G72,5,H72,100000000))</f>
        <v/>
      </c>
      <c r="AF72" s="55" t="str">
        <f>IF(C72="","",[1]!s_segment_product_profit1(C72,G72,5,H72,100000000))</f>
        <v/>
      </c>
      <c r="AG72" s="56" t="str">
        <f>IF(C72="","",[1]!s_segment_product_gpmargin(C72,G72,5))</f>
        <v/>
      </c>
      <c r="AH72" s="35"/>
    </row>
    <row r="73" spans="1:34" s="36" customFormat="1" ht="16.5" x14ac:dyDescent="0.2">
      <c r="A73" s="2"/>
      <c r="B73" s="6"/>
      <c r="C73" s="28" t="str">
        <f>IF(表1[[#This Row],[列1]]="","",表1[[#This Row],[列1]])</f>
        <v/>
      </c>
      <c r="D73" s="19" t="str">
        <f>IF(C73="","",[1]!hks_info_name(C73))</f>
        <v/>
      </c>
      <c r="E73" s="19" t="str">
        <f ca="1">IF(C73="","",[1]!lastradeday_s(C73,TODAY()))</f>
        <v/>
      </c>
      <c r="F73" s="49" t="str">
        <f>IF(C73="","",IF(OR([1]!s_stm_rpt_e(C73,基本资料!$I$8,0)="#N/A",[1]!s_stm_rpt_e(C73,基本资料!$I$8,0)="",[1]!s_stm_rpt_e(C73,基本资料!$I$8,0)=0),[1]!s_stm_rpt_e(C73,基本资料!$I$9,0),[1]!s_stm_rpt_e(C73,基本资料!$I$8,0)))</f>
        <v/>
      </c>
      <c r="G73" s="49" t="str">
        <f>IF(C73="","",[1]!s_stm_rpt_e(C73,F73,0))</f>
        <v/>
      </c>
      <c r="H73" s="49" t="str">
        <f>IF(C73="","",[1]!hks_info_cur2(C73,F73))</f>
        <v/>
      </c>
      <c r="I73" s="57" t="str">
        <f>IF(C73="","",[1]!s_segment_product_item(C73,G73,1))</f>
        <v/>
      </c>
      <c r="J73" s="23" t="str">
        <f>IF(C73="","",[1]!s_segment_product_sales1(C73,G73,1,H73,100000000))</f>
        <v/>
      </c>
      <c r="K73" s="23" t="str">
        <f>IF(C73="","",[1]!s_segment_product_cost1(C73,G73,1,H73,100000000))</f>
        <v/>
      </c>
      <c r="L73" s="23" t="str">
        <f>IF(C73="","",[1]!s_segment_product_profit1(C73,G73,1,H73,100000000))</f>
        <v/>
      </c>
      <c r="M73" s="25" t="str">
        <f>IF(C73="","",[1]!s_segment_product_gpmargin(C73,G73,1))</f>
        <v/>
      </c>
      <c r="N73" s="57" t="str">
        <f>IF(C73="","",[1]!s_segment_product_item(C73,G73,2))</f>
        <v/>
      </c>
      <c r="O73" s="55" t="str">
        <f>IF(C73="","",[1]!s_segment_product_sales1(C73,G73,2,H73,100000000))</f>
        <v/>
      </c>
      <c r="P73" s="55" t="str">
        <f>IF(C73="","",[1]!s_segment_product_cost1(C73,G73,2,H73,100000000))</f>
        <v/>
      </c>
      <c r="Q73" s="55" t="str">
        <f>IF(C73="","",[1]!s_segment_product_profit1(C73,G73,2,H73,100000000))</f>
        <v/>
      </c>
      <c r="R73" s="59" t="str">
        <f>IF(C73="","",[1]!s_segment_product_gpmargin(C73,G73,2))</f>
        <v/>
      </c>
      <c r="S73" s="57" t="str">
        <f>IF(C73="","",[1]!s_segment_product_item(C73,G73,3))</f>
        <v/>
      </c>
      <c r="T73" s="55" t="str">
        <f>IF(C73="","",[1]!s_segment_product_sales1(C73,G73,3,H73,100000000))</f>
        <v/>
      </c>
      <c r="U73" s="55" t="str">
        <f>IF(C73="","",[1]!s_segment_product_cost1(C73,G73,3,H73,100000000))</f>
        <v/>
      </c>
      <c r="V73" s="55" t="str">
        <f>IF(C73="","",[1]!s_segment_product_profit1(C73,G73,3,H73,100000000))</f>
        <v/>
      </c>
      <c r="W73" s="59" t="str">
        <f>IF(C73="","",[1]!s_segment_product_gpmargin(C73,G73,3))</f>
        <v/>
      </c>
      <c r="X73" s="57" t="str">
        <f>IF(C73="","",[1]!s_segment_product_item(C73,G73,4))</f>
        <v/>
      </c>
      <c r="Y73" s="55" t="str">
        <f>IF(C73="","",[1]!s_segment_product_sales1(C73,G73,4,H73,100000000))</f>
        <v/>
      </c>
      <c r="Z73" s="55" t="str">
        <f>IF(C73="","",[1]!s_segment_product_cost1(C73,G73,4,H73,100000000))</f>
        <v/>
      </c>
      <c r="AA73" s="55" t="str">
        <f>IF(C73="","",[1]!s_segment_product_profit1(C73,G73,4,H73,100000000))</f>
        <v/>
      </c>
      <c r="AB73" s="59" t="str">
        <f>IF(C73="","",[1]!s_segment_product_gpmargin(C73,G73,4))</f>
        <v/>
      </c>
      <c r="AC73" s="57" t="str">
        <f>IF(C73="","",[1]!s_segment_product_item(C73,G73,5))</f>
        <v/>
      </c>
      <c r="AD73" s="55" t="str">
        <f>IF(C73="","",[1]!s_segment_product_sales1(C73,G73,5,H73,100000000))</f>
        <v/>
      </c>
      <c r="AE73" s="55" t="str">
        <f>IF(C73="","",[1]!s_segment_product_cost1(C73,G73,5,H73,100000000))</f>
        <v/>
      </c>
      <c r="AF73" s="55" t="str">
        <f>IF(C73="","",[1]!s_segment_product_profit1(C73,G73,5,H73,100000000))</f>
        <v/>
      </c>
      <c r="AG73" s="56" t="str">
        <f>IF(C73="","",[1]!s_segment_product_gpmargin(C73,G73,5))</f>
        <v/>
      </c>
      <c r="AH73" s="35"/>
    </row>
    <row r="74" spans="1:34" s="36" customFormat="1" ht="16.5" x14ac:dyDescent="0.2">
      <c r="A74" s="2"/>
      <c r="B74" s="6"/>
      <c r="C74" s="28" t="str">
        <f>IF(表1[[#This Row],[列1]]="","",表1[[#This Row],[列1]])</f>
        <v/>
      </c>
      <c r="D74" s="19" t="str">
        <f>IF(C74="","",[1]!hks_info_name(C74))</f>
        <v/>
      </c>
      <c r="E74" s="19" t="str">
        <f ca="1">IF(C74="","",[1]!lastradeday_s(C74,TODAY()))</f>
        <v/>
      </c>
      <c r="F74" s="49" t="str">
        <f>IF(C74="","",IF(OR([1]!s_stm_rpt_e(C74,基本资料!$I$8,0)="#N/A",[1]!s_stm_rpt_e(C74,基本资料!$I$8,0)="",[1]!s_stm_rpt_e(C74,基本资料!$I$8,0)=0),[1]!s_stm_rpt_e(C74,基本资料!$I$9,0),[1]!s_stm_rpt_e(C74,基本资料!$I$8,0)))</f>
        <v/>
      </c>
      <c r="G74" s="49" t="str">
        <f>IF(C74="","",[1]!s_stm_rpt_e(C74,F74,0))</f>
        <v/>
      </c>
      <c r="H74" s="49" t="str">
        <f>IF(C74="","",[1]!hks_info_cur2(C74,F74))</f>
        <v/>
      </c>
      <c r="I74" s="57" t="str">
        <f>IF(C74="","",[1]!s_segment_product_item(C74,G74,1))</f>
        <v/>
      </c>
      <c r="J74" s="23" t="str">
        <f>IF(C74="","",[1]!s_segment_product_sales1(C74,G74,1,H74,100000000))</f>
        <v/>
      </c>
      <c r="K74" s="23" t="str">
        <f>IF(C74="","",[1]!s_segment_product_cost1(C74,G74,1,H74,100000000))</f>
        <v/>
      </c>
      <c r="L74" s="23" t="str">
        <f>IF(C74="","",[1]!s_segment_product_profit1(C74,G74,1,H74,100000000))</f>
        <v/>
      </c>
      <c r="M74" s="25" t="str">
        <f>IF(C74="","",[1]!s_segment_product_gpmargin(C74,G74,1))</f>
        <v/>
      </c>
      <c r="N74" s="57" t="str">
        <f>IF(C74="","",[1]!s_segment_product_item(C74,G74,2))</f>
        <v/>
      </c>
      <c r="O74" s="55" t="str">
        <f>IF(C74="","",[1]!s_segment_product_sales1(C74,G74,2,H74,100000000))</f>
        <v/>
      </c>
      <c r="P74" s="55" t="str">
        <f>IF(C74="","",[1]!s_segment_product_cost1(C74,G74,2,H74,100000000))</f>
        <v/>
      </c>
      <c r="Q74" s="55" t="str">
        <f>IF(C74="","",[1]!s_segment_product_profit1(C74,G74,2,H74,100000000))</f>
        <v/>
      </c>
      <c r="R74" s="59" t="str">
        <f>IF(C74="","",[1]!s_segment_product_gpmargin(C74,G74,2))</f>
        <v/>
      </c>
      <c r="S74" s="57" t="str">
        <f>IF(C74="","",[1]!s_segment_product_item(C74,G74,3))</f>
        <v/>
      </c>
      <c r="T74" s="55" t="str">
        <f>IF(C74="","",[1]!s_segment_product_sales1(C74,G74,3,H74,100000000))</f>
        <v/>
      </c>
      <c r="U74" s="55" t="str">
        <f>IF(C74="","",[1]!s_segment_product_cost1(C74,G74,3,H74,100000000))</f>
        <v/>
      </c>
      <c r="V74" s="55" t="str">
        <f>IF(C74="","",[1]!s_segment_product_profit1(C74,G74,3,H74,100000000))</f>
        <v/>
      </c>
      <c r="W74" s="59" t="str">
        <f>IF(C74="","",[1]!s_segment_product_gpmargin(C74,G74,3))</f>
        <v/>
      </c>
      <c r="X74" s="57" t="str">
        <f>IF(C74="","",[1]!s_segment_product_item(C74,G74,4))</f>
        <v/>
      </c>
      <c r="Y74" s="55" t="str">
        <f>IF(C74="","",[1]!s_segment_product_sales1(C74,G74,4,H74,100000000))</f>
        <v/>
      </c>
      <c r="Z74" s="55" t="str">
        <f>IF(C74="","",[1]!s_segment_product_cost1(C74,G74,4,H74,100000000))</f>
        <v/>
      </c>
      <c r="AA74" s="55" t="str">
        <f>IF(C74="","",[1]!s_segment_product_profit1(C74,G74,4,H74,100000000))</f>
        <v/>
      </c>
      <c r="AB74" s="59" t="str">
        <f>IF(C74="","",[1]!s_segment_product_gpmargin(C74,G74,4))</f>
        <v/>
      </c>
      <c r="AC74" s="57" t="str">
        <f>IF(C74="","",[1]!s_segment_product_item(C74,G74,5))</f>
        <v/>
      </c>
      <c r="AD74" s="55" t="str">
        <f>IF(C74="","",[1]!s_segment_product_sales1(C74,G74,5,H74,100000000))</f>
        <v/>
      </c>
      <c r="AE74" s="55" t="str">
        <f>IF(C74="","",[1]!s_segment_product_cost1(C74,G74,5,H74,100000000))</f>
        <v/>
      </c>
      <c r="AF74" s="55" t="str">
        <f>IF(C74="","",[1]!s_segment_product_profit1(C74,G74,5,H74,100000000))</f>
        <v/>
      </c>
      <c r="AG74" s="56" t="str">
        <f>IF(C74="","",[1]!s_segment_product_gpmargin(C74,G74,5))</f>
        <v/>
      </c>
      <c r="AH74" s="35"/>
    </row>
    <row r="75" spans="1:34" s="36" customFormat="1" ht="16.5" x14ac:dyDescent="0.2">
      <c r="A75" s="2"/>
      <c r="B75" s="6"/>
      <c r="C75" s="28" t="str">
        <f>IF(表1[[#This Row],[列1]]="","",表1[[#This Row],[列1]])</f>
        <v/>
      </c>
      <c r="D75" s="19" t="str">
        <f>IF(C75="","",[1]!hks_info_name(C75))</f>
        <v/>
      </c>
      <c r="E75" s="19" t="str">
        <f ca="1">IF(C75="","",[1]!lastradeday_s(C75,TODAY()))</f>
        <v/>
      </c>
      <c r="F75" s="49" t="str">
        <f>IF(C75="","",IF(OR([1]!s_stm_rpt_e(C75,基本资料!$I$8,0)="#N/A",[1]!s_stm_rpt_e(C75,基本资料!$I$8,0)="",[1]!s_stm_rpt_e(C75,基本资料!$I$8,0)=0),[1]!s_stm_rpt_e(C75,基本资料!$I$9,0),[1]!s_stm_rpt_e(C75,基本资料!$I$8,0)))</f>
        <v/>
      </c>
      <c r="G75" s="49" t="str">
        <f>IF(C75="","",[1]!s_stm_rpt_e(C75,F75,0))</f>
        <v/>
      </c>
      <c r="H75" s="49" t="str">
        <f>IF(C75="","",[1]!hks_info_cur2(C75,F75))</f>
        <v/>
      </c>
      <c r="I75" s="57" t="str">
        <f>IF(C75="","",[1]!s_segment_product_item(C75,G75,1))</f>
        <v/>
      </c>
      <c r="J75" s="23" t="str">
        <f>IF(C75="","",[1]!s_segment_product_sales1(C75,G75,1,H75,100000000))</f>
        <v/>
      </c>
      <c r="K75" s="23" t="str">
        <f>IF(C75="","",[1]!s_segment_product_cost1(C75,G75,1,H75,100000000))</f>
        <v/>
      </c>
      <c r="L75" s="23" t="str">
        <f>IF(C75="","",[1]!s_segment_product_profit1(C75,G75,1,H75,100000000))</f>
        <v/>
      </c>
      <c r="M75" s="25" t="str">
        <f>IF(C75="","",[1]!s_segment_product_gpmargin(C75,G75,1))</f>
        <v/>
      </c>
      <c r="N75" s="57" t="str">
        <f>IF(C75="","",[1]!s_segment_product_item(C75,G75,2))</f>
        <v/>
      </c>
      <c r="O75" s="55" t="str">
        <f>IF(C75="","",[1]!s_segment_product_sales1(C75,G75,2,H75,100000000))</f>
        <v/>
      </c>
      <c r="P75" s="55" t="str">
        <f>IF(C75="","",[1]!s_segment_product_cost1(C75,G75,2,H75,100000000))</f>
        <v/>
      </c>
      <c r="Q75" s="55" t="str">
        <f>IF(C75="","",[1]!s_segment_product_profit1(C75,G75,2,H75,100000000))</f>
        <v/>
      </c>
      <c r="R75" s="59" t="str">
        <f>IF(C75="","",[1]!s_segment_product_gpmargin(C75,G75,2))</f>
        <v/>
      </c>
      <c r="S75" s="57" t="str">
        <f>IF(C75="","",[1]!s_segment_product_item(C75,G75,3))</f>
        <v/>
      </c>
      <c r="T75" s="55" t="str">
        <f>IF(C75="","",[1]!s_segment_product_sales1(C75,G75,3,H75,100000000))</f>
        <v/>
      </c>
      <c r="U75" s="55" t="str">
        <f>IF(C75="","",[1]!s_segment_product_cost1(C75,G75,3,H75,100000000))</f>
        <v/>
      </c>
      <c r="V75" s="55" t="str">
        <f>IF(C75="","",[1]!s_segment_product_profit1(C75,G75,3,H75,100000000))</f>
        <v/>
      </c>
      <c r="W75" s="59" t="str">
        <f>IF(C75="","",[1]!s_segment_product_gpmargin(C75,G75,3))</f>
        <v/>
      </c>
      <c r="X75" s="57" t="str">
        <f>IF(C75="","",[1]!s_segment_product_item(C75,G75,4))</f>
        <v/>
      </c>
      <c r="Y75" s="55" t="str">
        <f>IF(C75="","",[1]!s_segment_product_sales1(C75,G75,4,H75,100000000))</f>
        <v/>
      </c>
      <c r="Z75" s="55" t="str">
        <f>IF(C75="","",[1]!s_segment_product_cost1(C75,G75,4,H75,100000000))</f>
        <v/>
      </c>
      <c r="AA75" s="55" t="str">
        <f>IF(C75="","",[1]!s_segment_product_profit1(C75,G75,4,H75,100000000))</f>
        <v/>
      </c>
      <c r="AB75" s="59" t="str">
        <f>IF(C75="","",[1]!s_segment_product_gpmargin(C75,G75,4))</f>
        <v/>
      </c>
      <c r="AC75" s="57" t="str">
        <f>IF(C75="","",[1]!s_segment_product_item(C75,G75,5))</f>
        <v/>
      </c>
      <c r="AD75" s="55" t="str">
        <f>IF(C75="","",[1]!s_segment_product_sales1(C75,G75,5,H75,100000000))</f>
        <v/>
      </c>
      <c r="AE75" s="55" t="str">
        <f>IF(C75="","",[1]!s_segment_product_cost1(C75,G75,5,H75,100000000))</f>
        <v/>
      </c>
      <c r="AF75" s="55" t="str">
        <f>IF(C75="","",[1]!s_segment_product_profit1(C75,G75,5,H75,100000000))</f>
        <v/>
      </c>
      <c r="AG75" s="56" t="str">
        <f>IF(C75="","",[1]!s_segment_product_gpmargin(C75,G75,5))</f>
        <v/>
      </c>
      <c r="AH75" s="35"/>
    </row>
    <row r="76" spans="1:34" s="36" customFormat="1" ht="16.5" x14ac:dyDescent="0.2">
      <c r="A76" s="2"/>
      <c r="B76" s="6"/>
      <c r="C76" s="28" t="str">
        <f>IF(表1[[#This Row],[列1]]="","",表1[[#This Row],[列1]])</f>
        <v/>
      </c>
      <c r="D76" s="19" t="str">
        <f>IF(C76="","",[1]!hks_info_name(C76))</f>
        <v/>
      </c>
      <c r="E76" s="19" t="str">
        <f ca="1">IF(C76="","",[1]!lastradeday_s(C76,TODAY()))</f>
        <v/>
      </c>
      <c r="F76" s="49" t="str">
        <f>IF(C76="","",IF(OR([1]!s_stm_rpt_e(C76,基本资料!$I$8,0)="#N/A",[1]!s_stm_rpt_e(C76,基本资料!$I$8,0)="",[1]!s_stm_rpt_e(C76,基本资料!$I$8,0)=0),[1]!s_stm_rpt_e(C76,基本资料!$I$9,0),[1]!s_stm_rpt_e(C76,基本资料!$I$8,0)))</f>
        <v/>
      </c>
      <c r="G76" s="49" t="str">
        <f>IF(C76="","",[1]!s_stm_rpt_e(C76,F76,0))</f>
        <v/>
      </c>
      <c r="H76" s="49" t="str">
        <f>IF(C76="","",[1]!hks_info_cur2(C76,F76))</f>
        <v/>
      </c>
      <c r="I76" s="57" t="str">
        <f>IF(C76="","",[1]!s_segment_product_item(C76,G76,1))</f>
        <v/>
      </c>
      <c r="J76" s="23" t="str">
        <f>IF(C76="","",[1]!s_segment_product_sales1(C76,G76,1,H76,100000000))</f>
        <v/>
      </c>
      <c r="K76" s="23" t="str">
        <f>IF(C76="","",[1]!s_segment_product_cost1(C76,G76,1,H76,100000000))</f>
        <v/>
      </c>
      <c r="L76" s="23" t="str">
        <f>IF(C76="","",[1]!s_segment_product_profit1(C76,G76,1,H76,100000000))</f>
        <v/>
      </c>
      <c r="M76" s="25" t="str">
        <f>IF(C76="","",[1]!s_segment_product_gpmargin(C76,G76,1))</f>
        <v/>
      </c>
      <c r="N76" s="57" t="str">
        <f>IF(C76="","",[1]!s_segment_product_item(C76,G76,2))</f>
        <v/>
      </c>
      <c r="O76" s="55" t="str">
        <f>IF(C76="","",[1]!s_segment_product_sales1(C76,G76,2,H76,100000000))</f>
        <v/>
      </c>
      <c r="P76" s="55" t="str">
        <f>IF(C76="","",[1]!s_segment_product_cost1(C76,G76,2,H76,100000000))</f>
        <v/>
      </c>
      <c r="Q76" s="55" t="str">
        <f>IF(C76="","",[1]!s_segment_product_profit1(C76,G76,2,H76,100000000))</f>
        <v/>
      </c>
      <c r="R76" s="59" t="str">
        <f>IF(C76="","",[1]!s_segment_product_gpmargin(C76,G76,2))</f>
        <v/>
      </c>
      <c r="S76" s="57" t="str">
        <f>IF(C76="","",[1]!s_segment_product_item(C76,G76,3))</f>
        <v/>
      </c>
      <c r="T76" s="55" t="str">
        <f>IF(C76="","",[1]!s_segment_product_sales1(C76,G76,3,H76,100000000))</f>
        <v/>
      </c>
      <c r="U76" s="55" t="str">
        <f>IF(C76="","",[1]!s_segment_product_cost1(C76,G76,3,H76,100000000))</f>
        <v/>
      </c>
      <c r="V76" s="55" t="str">
        <f>IF(C76="","",[1]!s_segment_product_profit1(C76,G76,3,H76,100000000))</f>
        <v/>
      </c>
      <c r="W76" s="59" t="str">
        <f>IF(C76="","",[1]!s_segment_product_gpmargin(C76,G76,3))</f>
        <v/>
      </c>
      <c r="X76" s="57" t="str">
        <f>IF(C76="","",[1]!s_segment_product_item(C76,G76,4))</f>
        <v/>
      </c>
      <c r="Y76" s="55" t="str">
        <f>IF(C76="","",[1]!s_segment_product_sales1(C76,G76,4,H76,100000000))</f>
        <v/>
      </c>
      <c r="Z76" s="55" t="str">
        <f>IF(C76="","",[1]!s_segment_product_cost1(C76,G76,4,H76,100000000))</f>
        <v/>
      </c>
      <c r="AA76" s="55" t="str">
        <f>IF(C76="","",[1]!s_segment_product_profit1(C76,G76,4,H76,100000000))</f>
        <v/>
      </c>
      <c r="AB76" s="59" t="str">
        <f>IF(C76="","",[1]!s_segment_product_gpmargin(C76,G76,4))</f>
        <v/>
      </c>
      <c r="AC76" s="57" t="str">
        <f>IF(C76="","",[1]!s_segment_product_item(C76,G76,5))</f>
        <v/>
      </c>
      <c r="AD76" s="55" t="str">
        <f>IF(C76="","",[1]!s_segment_product_sales1(C76,G76,5,H76,100000000))</f>
        <v/>
      </c>
      <c r="AE76" s="55" t="str">
        <f>IF(C76="","",[1]!s_segment_product_cost1(C76,G76,5,H76,100000000))</f>
        <v/>
      </c>
      <c r="AF76" s="55" t="str">
        <f>IF(C76="","",[1]!s_segment_product_profit1(C76,G76,5,H76,100000000))</f>
        <v/>
      </c>
      <c r="AG76" s="56" t="str">
        <f>IF(C76="","",[1]!s_segment_product_gpmargin(C76,G76,5))</f>
        <v/>
      </c>
      <c r="AH76" s="35"/>
    </row>
    <row r="77" spans="1:34" s="36" customFormat="1" ht="16.5" x14ac:dyDescent="0.2">
      <c r="A77" s="2"/>
      <c r="B77" s="6"/>
      <c r="C77" s="28" t="str">
        <f>IF(表1[[#This Row],[列1]]="","",表1[[#This Row],[列1]])</f>
        <v/>
      </c>
      <c r="D77" s="19" t="str">
        <f>IF(C77="","",[1]!hks_info_name(C77))</f>
        <v/>
      </c>
      <c r="E77" s="19" t="str">
        <f ca="1">IF(C77="","",[1]!lastradeday_s(C77,TODAY()))</f>
        <v/>
      </c>
      <c r="F77" s="49" t="str">
        <f>IF(C77="","",IF(OR([1]!s_stm_rpt_e(C77,基本资料!$I$8,0)="#N/A",[1]!s_stm_rpt_e(C77,基本资料!$I$8,0)="",[1]!s_stm_rpt_e(C77,基本资料!$I$8,0)=0),[1]!s_stm_rpt_e(C77,基本资料!$I$9,0),[1]!s_stm_rpt_e(C77,基本资料!$I$8,0)))</f>
        <v/>
      </c>
      <c r="G77" s="49" t="str">
        <f>IF(C77="","",[1]!s_stm_rpt_e(C77,F77,0))</f>
        <v/>
      </c>
      <c r="H77" s="49" t="str">
        <f>IF(C77="","",[1]!hks_info_cur2(C77,F77))</f>
        <v/>
      </c>
      <c r="I77" s="57" t="str">
        <f>IF(C77="","",[1]!s_segment_product_item(C77,G77,1))</f>
        <v/>
      </c>
      <c r="J77" s="23" t="str">
        <f>IF(C77="","",[1]!s_segment_product_sales1(C77,G77,1,H77,100000000))</f>
        <v/>
      </c>
      <c r="K77" s="23" t="str">
        <f>IF(C77="","",[1]!s_segment_product_cost1(C77,G77,1,H77,100000000))</f>
        <v/>
      </c>
      <c r="L77" s="23" t="str">
        <f>IF(C77="","",[1]!s_segment_product_profit1(C77,G77,1,H77,100000000))</f>
        <v/>
      </c>
      <c r="M77" s="25" t="str">
        <f>IF(C77="","",[1]!s_segment_product_gpmargin(C77,G77,1))</f>
        <v/>
      </c>
      <c r="N77" s="57" t="str">
        <f>IF(C77="","",[1]!s_segment_product_item(C77,G77,2))</f>
        <v/>
      </c>
      <c r="O77" s="55" t="str">
        <f>IF(C77="","",[1]!s_segment_product_sales1(C77,G77,2,H77,100000000))</f>
        <v/>
      </c>
      <c r="P77" s="55" t="str">
        <f>IF(C77="","",[1]!s_segment_product_cost1(C77,G77,2,H77,100000000))</f>
        <v/>
      </c>
      <c r="Q77" s="55" t="str">
        <f>IF(C77="","",[1]!s_segment_product_profit1(C77,G77,2,H77,100000000))</f>
        <v/>
      </c>
      <c r="R77" s="59" t="str">
        <f>IF(C77="","",[1]!s_segment_product_gpmargin(C77,G77,2))</f>
        <v/>
      </c>
      <c r="S77" s="57" t="str">
        <f>IF(C77="","",[1]!s_segment_product_item(C77,G77,3))</f>
        <v/>
      </c>
      <c r="T77" s="55" t="str">
        <f>IF(C77="","",[1]!s_segment_product_sales1(C77,G77,3,H77,100000000))</f>
        <v/>
      </c>
      <c r="U77" s="55" t="str">
        <f>IF(C77="","",[1]!s_segment_product_cost1(C77,G77,3,H77,100000000))</f>
        <v/>
      </c>
      <c r="V77" s="55" t="str">
        <f>IF(C77="","",[1]!s_segment_product_profit1(C77,G77,3,H77,100000000))</f>
        <v/>
      </c>
      <c r="W77" s="59" t="str">
        <f>IF(C77="","",[1]!s_segment_product_gpmargin(C77,G77,3))</f>
        <v/>
      </c>
      <c r="X77" s="57" t="str">
        <f>IF(C77="","",[1]!s_segment_product_item(C77,G77,4))</f>
        <v/>
      </c>
      <c r="Y77" s="55" t="str">
        <f>IF(C77="","",[1]!s_segment_product_sales1(C77,G77,4,H77,100000000))</f>
        <v/>
      </c>
      <c r="Z77" s="55" t="str">
        <f>IF(C77="","",[1]!s_segment_product_cost1(C77,G77,4,H77,100000000))</f>
        <v/>
      </c>
      <c r="AA77" s="55" t="str">
        <f>IF(C77="","",[1]!s_segment_product_profit1(C77,G77,4,H77,100000000))</f>
        <v/>
      </c>
      <c r="AB77" s="59" t="str">
        <f>IF(C77="","",[1]!s_segment_product_gpmargin(C77,G77,4))</f>
        <v/>
      </c>
      <c r="AC77" s="57" t="str">
        <f>IF(C77="","",[1]!s_segment_product_item(C77,G77,5))</f>
        <v/>
      </c>
      <c r="AD77" s="55" t="str">
        <f>IF(C77="","",[1]!s_segment_product_sales1(C77,G77,5,H77,100000000))</f>
        <v/>
      </c>
      <c r="AE77" s="55" t="str">
        <f>IF(C77="","",[1]!s_segment_product_cost1(C77,G77,5,H77,100000000))</f>
        <v/>
      </c>
      <c r="AF77" s="55" t="str">
        <f>IF(C77="","",[1]!s_segment_product_profit1(C77,G77,5,H77,100000000))</f>
        <v/>
      </c>
      <c r="AG77" s="56" t="str">
        <f>IF(C77="","",[1]!s_segment_product_gpmargin(C77,G77,5))</f>
        <v/>
      </c>
      <c r="AH77" s="35"/>
    </row>
    <row r="78" spans="1:34" s="36" customFormat="1" ht="16.5" x14ac:dyDescent="0.2">
      <c r="A78" s="2"/>
      <c r="B78" s="6"/>
      <c r="C78" s="28" t="str">
        <f>IF(表1[[#This Row],[列1]]="","",表1[[#This Row],[列1]])</f>
        <v/>
      </c>
      <c r="D78" s="19" t="str">
        <f>IF(C78="","",[1]!hks_info_name(C78))</f>
        <v/>
      </c>
      <c r="E78" s="19" t="str">
        <f ca="1">IF(C78="","",[1]!lastradeday_s(C78,TODAY()))</f>
        <v/>
      </c>
      <c r="F78" s="49" t="str">
        <f>IF(C78="","",IF(OR([1]!s_stm_rpt_e(C78,基本资料!$I$8,0)="#N/A",[1]!s_stm_rpt_e(C78,基本资料!$I$8,0)="",[1]!s_stm_rpt_e(C78,基本资料!$I$8,0)=0),[1]!s_stm_rpt_e(C78,基本资料!$I$9,0),[1]!s_stm_rpt_e(C78,基本资料!$I$8,0)))</f>
        <v/>
      </c>
      <c r="G78" s="49" t="str">
        <f>IF(C78="","",[1]!s_stm_rpt_e(C78,F78,0))</f>
        <v/>
      </c>
      <c r="H78" s="49" t="str">
        <f>IF(C78="","",[1]!hks_info_cur2(C78,F78))</f>
        <v/>
      </c>
      <c r="I78" s="57" t="str">
        <f>IF(C78="","",[1]!s_segment_product_item(C78,G78,1))</f>
        <v/>
      </c>
      <c r="J78" s="23" t="str">
        <f>IF(C78="","",[1]!s_segment_product_sales1(C78,G78,1,H78,100000000))</f>
        <v/>
      </c>
      <c r="K78" s="23" t="str">
        <f>IF(C78="","",[1]!s_segment_product_cost1(C78,G78,1,H78,100000000))</f>
        <v/>
      </c>
      <c r="L78" s="23" t="str">
        <f>IF(C78="","",[1]!s_segment_product_profit1(C78,G78,1,H78,100000000))</f>
        <v/>
      </c>
      <c r="M78" s="25" t="str">
        <f>IF(C78="","",[1]!s_segment_product_gpmargin(C78,G78,1))</f>
        <v/>
      </c>
      <c r="N78" s="57" t="str">
        <f>IF(C78="","",[1]!s_segment_product_item(C78,G78,2))</f>
        <v/>
      </c>
      <c r="O78" s="55" t="str">
        <f>IF(C78="","",[1]!s_segment_product_sales1(C78,G78,2,H78,100000000))</f>
        <v/>
      </c>
      <c r="P78" s="55" t="str">
        <f>IF(C78="","",[1]!s_segment_product_cost1(C78,G78,2,H78,100000000))</f>
        <v/>
      </c>
      <c r="Q78" s="55" t="str">
        <f>IF(C78="","",[1]!s_segment_product_profit1(C78,G78,2,H78,100000000))</f>
        <v/>
      </c>
      <c r="R78" s="59" t="str">
        <f>IF(C78="","",[1]!s_segment_product_gpmargin(C78,G78,2))</f>
        <v/>
      </c>
      <c r="S78" s="57" t="str">
        <f>IF(C78="","",[1]!s_segment_product_item(C78,G78,3))</f>
        <v/>
      </c>
      <c r="T78" s="55" t="str">
        <f>IF(C78="","",[1]!s_segment_product_sales1(C78,G78,3,H78,100000000))</f>
        <v/>
      </c>
      <c r="U78" s="55" t="str">
        <f>IF(C78="","",[1]!s_segment_product_cost1(C78,G78,3,H78,100000000))</f>
        <v/>
      </c>
      <c r="V78" s="55" t="str">
        <f>IF(C78="","",[1]!s_segment_product_profit1(C78,G78,3,H78,100000000))</f>
        <v/>
      </c>
      <c r="W78" s="59" t="str">
        <f>IF(C78="","",[1]!s_segment_product_gpmargin(C78,G78,3))</f>
        <v/>
      </c>
      <c r="X78" s="57" t="str">
        <f>IF(C78="","",[1]!s_segment_product_item(C78,G78,4))</f>
        <v/>
      </c>
      <c r="Y78" s="55" t="str">
        <f>IF(C78="","",[1]!s_segment_product_sales1(C78,G78,4,H78,100000000))</f>
        <v/>
      </c>
      <c r="Z78" s="55" t="str">
        <f>IF(C78="","",[1]!s_segment_product_cost1(C78,G78,4,H78,100000000))</f>
        <v/>
      </c>
      <c r="AA78" s="55" t="str">
        <f>IF(C78="","",[1]!s_segment_product_profit1(C78,G78,4,H78,100000000))</f>
        <v/>
      </c>
      <c r="AB78" s="59" t="str">
        <f>IF(C78="","",[1]!s_segment_product_gpmargin(C78,G78,4))</f>
        <v/>
      </c>
      <c r="AC78" s="57" t="str">
        <f>IF(C78="","",[1]!s_segment_product_item(C78,G78,5))</f>
        <v/>
      </c>
      <c r="AD78" s="55" t="str">
        <f>IF(C78="","",[1]!s_segment_product_sales1(C78,G78,5,H78,100000000))</f>
        <v/>
      </c>
      <c r="AE78" s="55" t="str">
        <f>IF(C78="","",[1]!s_segment_product_cost1(C78,G78,5,H78,100000000))</f>
        <v/>
      </c>
      <c r="AF78" s="55" t="str">
        <f>IF(C78="","",[1]!s_segment_product_profit1(C78,G78,5,H78,100000000))</f>
        <v/>
      </c>
      <c r="AG78" s="56" t="str">
        <f>IF(C78="","",[1]!s_segment_product_gpmargin(C78,G78,5))</f>
        <v/>
      </c>
      <c r="AH78" s="35"/>
    </row>
    <row r="79" spans="1:34" s="36" customFormat="1" ht="16.5" x14ac:dyDescent="0.2">
      <c r="A79" s="2"/>
      <c r="B79" s="6"/>
      <c r="C79" s="28" t="str">
        <f>IF(表1[[#This Row],[列1]]="","",表1[[#This Row],[列1]])</f>
        <v/>
      </c>
      <c r="D79" s="19" t="str">
        <f>IF(C79="","",[1]!hks_info_name(C79))</f>
        <v/>
      </c>
      <c r="E79" s="19" t="str">
        <f ca="1">IF(C79="","",[1]!lastradeday_s(C79,TODAY()))</f>
        <v/>
      </c>
      <c r="F79" s="49" t="str">
        <f>IF(C79="","",IF(OR([1]!s_stm_rpt_e(C79,基本资料!$I$8,0)="#N/A",[1]!s_stm_rpt_e(C79,基本资料!$I$8,0)="",[1]!s_stm_rpt_e(C79,基本资料!$I$8,0)=0),[1]!s_stm_rpt_e(C79,基本资料!$I$9,0),[1]!s_stm_rpt_e(C79,基本资料!$I$8,0)))</f>
        <v/>
      </c>
      <c r="G79" s="49" t="str">
        <f>IF(C79="","",[1]!s_stm_rpt_e(C79,F79,0))</f>
        <v/>
      </c>
      <c r="H79" s="49" t="str">
        <f>IF(C79="","",[1]!hks_info_cur2(C79,F79))</f>
        <v/>
      </c>
      <c r="I79" s="57" t="str">
        <f>IF(C79="","",[1]!s_segment_product_item(C79,G79,1))</f>
        <v/>
      </c>
      <c r="J79" s="23" t="str">
        <f>IF(C79="","",[1]!s_segment_product_sales1(C79,G79,1,H79,100000000))</f>
        <v/>
      </c>
      <c r="K79" s="23" t="str">
        <f>IF(C79="","",[1]!s_segment_product_cost1(C79,G79,1,H79,100000000))</f>
        <v/>
      </c>
      <c r="L79" s="23" t="str">
        <f>IF(C79="","",[1]!s_segment_product_profit1(C79,G79,1,H79,100000000))</f>
        <v/>
      </c>
      <c r="M79" s="25" t="str">
        <f>IF(C79="","",[1]!s_segment_product_gpmargin(C79,G79,1))</f>
        <v/>
      </c>
      <c r="N79" s="57" t="str">
        <f>IF(C79="","",[1]!s_segment_product_item(C79,G79,2))</f>
        <v/>
      </c>
      <c r="O79" s="55" t="str">
        <f>IF(C79="","",[1]!s_segment_product_sales1(C79,G79,2,H79,100000000))</f>
        <v/>
      </c>
      <c r="P79" s="55" t="str">
        <f>IF(C79="","",[1]!s_segment_product_cost1(C79,G79,2,H79,100000000))</f>
        <v/>
      </c>
      <c r="Q79" s="55" t="str">
        <f>IF(C79="","",[1]!s_segment_product_profit1(C79,G79,2,H79,100000000))</f>
        <v/>
      </c>
      <c r="R79" s="59" t="str">
        <f>IF(C79="","",[1]!s_segment_product_gpmargin(C79,G79,2))</f>
        <v/>
      </c>
      <c r="S79" s="57" t="str">
        <f>IF(C79="","",[1]!s_segment_product_item(C79,G79,3))</f>
        <v/>
      </c>
      <c r="T79" s="55" t="str">
        <f>IF(C79="","",[1]!s_segment_product_sales1(C79,G79,3,H79,100000000))</f>
        <v/>
      </c>
      <c r="U79" s="55" t="str">
        <f>IF(C79="","",[1]!s_segment_product_cost1(C79,G79,3,H79,100000000))</f>
        <v/>
      </c>
      <c r="V79" s="55" t="str">
        <f>IF(C79="","",[1]!s_segment_product_profit1(C79,G79,3,H79,100000000))</f>
        <v/>
      </c>
      <c r="W79" s="59" t="str">
        <f>IF(C79="","",[1]!s_segment_product_gpmargin(C79,G79,3))</f>
        <v/>
      </c>
      <c r="X79" s="57" t="str">
        <f>IF(C79="","",[1]!s_segment_product_item(C79,G79,4))</f>
        <v/>
      </c>
      <c r="Y79" s="55" t="str">
        <f>IF(C79="","",[1]!s_segment_product_sales1(C79,G79,4,H79,100000000))</f>
        <v/>
      </c>
      <c r="Z79" s="55" t="str">
        <f>IF(C79="","",[1]!s_segment_product_cost1(C79,G79,4,H79,100000000))</f>
        <v/>
      </c>
      <c r="AA79" s="55" t="str">
        <f>IF(C79="","",[1]!s_segment_product_profit1(C79,G79,4,H79,100000000))</f>
        <v/>
      </c>
      <c r="AB79" s="59" t="str">
        <f>IF(C79="","",[1]!s_segment_product_gpmargin(C79,G79,4))</f>
        <v/>
      </c>
      <c r="AC79" s="57" t="str">
        <f>IF(C79="","",[1]!s_segment_product_item(C79,G79,5))</f>
        <v/>
      </c>
      <c r="AD79" s="55" t="str">
        <f>IF(C79="","",[1]!s_segment_product_sales1(C79,G79,5,H79,100000000))</f>
        <v/>
      </c>
      <c r="AE79" s="55" t="str">
        <f>IF(C79="","",[1]!s_segment_product_cost1(C79,G79,5,H79,100000000))</f>
        <v/>
      </c>
      <c r="AF79" s="55" t="str">
        <f>IF(C79="","",[1]!s_segment_product_profit1(C79,G79,5,H79,100000000))</f>
        <v/>
      </c>
      <c r="AG79" s="56" t="str">
        <f>IF(C79="","",[1]!s_segment_product_gpmargin(C79,G79,5))</f>
        <v/>
      </c>
      <c r="AH79" s="35"/>
    </row>
    <row r="80" spans="1:34" s="36" customFormat="1" ht="16.5" x14ac:dyDescent="0.2">
      <c r="A80" s="2"/>
      <c r="B80" s="6"/>
      <c r="C80" s="28" t="str">
        <f>IF(表1[[#This Row],[列1]]="","",表1[[#This Row],[列1]])</f>
        <v/>
      </c>
      <c r="D80" s="19" t="str">
        <f>IF(C80="","",[1]!hks_info_name(C80))</f>
        <v/>
      </c>
      <c r="E80" s="19" t="str">
        <f ca="1">IF(C80="","",[1]!lastradeday_s(C80,TODAY()))</f>
        <v/>
      </c>
      <c r="F80" s="49" t="str">
        <f>IF(C80="","",IF(OR([1]!s_stm_rpt_e(C80,基本资料!$I$8,0)="#N/A",[1]!s_stm_rpt_e(C80,基本资料!$I$8,0)="",[1]!s_stm_rpt_e(C80,基本资料!$I$8,0)=0),[1]!s_stm_rpt_e(C80,基本资料!$I$9,0),[1]!s_stm_rpt_e(C80,基本资料!$I$8,0)))</f>
        <v/>
      </c>
      <c r="G80" s="49" t="str">
        <f>IF(C80="","",[1]!s_stm_rpt_e(C80,F80,0))</f>
        <v/>
      </c>
      <c r="H80" s="49" t="str">
        <f>IF(C80="","",[1]!hks_info_cur2(C80,F80))</f>
        <v/>
      </c>
      <c r="I80" s="57" t="str">
        <f>IF(C80="","",[1]!s_segment_product_item(C80,G80,1))</f>
        <v/>
      </c>
      <c r="J80" s="23" t="str">
        <f>IF(C80="","",[1]!s_segment_product_sales1(C80,G80,1,H80,100000000))</f>
        <v/>
      </c>
      <c r="K80" s="23" t="str">
        <f>IF(C80="","",[1]!s_segment_product_cost1(C80,G80,1,H80,100000000))</f>
        <v/>
      </c>
      <c r="L80" s="23" t="str">
        <f>IF(C80="","",[1]!s_segment_product_profit1(C80,G80,1,H80,100000000))</f>
        <v/>
      </c>
      <c r="M80" s="25" t="str">
        <f>IF(C80="","",[1]!s_segment_product_gpmargin(C80,G80,1))</f>
        <v/>
      </c>
      <c r="N80" s="57" t="str">
        <f>IF(C80="","",[1]!s_segment_product_item(C80,G80,2))</f>
        <v/>
      </c>
      <c r="O80" s="55" t="str">
        <f>IF(C80="","",[1]!s_segment_product_sales1(C80,G80,2,H80,100000000))</f>
        <v/>
      </c>
      <c r="P80" s="55" t="str">
        <f>IF(C80="","",[1]!s_segment_product_cost1(C80,G80,2,H80,100000000))</f>
        <v/>
      </c>
      <c r="Q80" s="55" t="str">
        <f>IF(C80="","",[1]!s_segment_product_profit1(C80,G80,2,H80,100000000))</f>
        <v/>
      </c>
      <c r="R80" s="59" t="str">
        <f>IF(C80="","",[1]!s_segment_product_gpmargin(C80,G80,2))</f>
        <v/>
      </c>
      <c r="S80" s="57" t="str">
        <f>IF(C80="","",[1]!s_segment_product_item(C80,G80,3))</f>
        <v/>
      </c>
      <c r="T80" s="55" t="str">
        <f>IF(C80="","",[1]!s_segment_product_sales1(C80,G80,3,H80,100000000))</f>
        <v/>
      </c>
      <c r="U80" s="55" t="str">
        <f>IF(C80="","",[1]!s_segment_product_cost1(C80,G80,3,H80,100000000))</f>
        <v/>
      </c>
      <c r="V80" s="55" t="str">
        <f>IF(C80="","",[1]!s_segment_product_profit1(C80,G80,3,H80,100000000))</f>
        <v/>
      </c>
      <c r="W80" s="59" t="str">
        <f>IF(C80="","",[1]!s_segment_product_gpmargin(C80,G80,3))</f>
        <v/>
      </c>
      <c r="X80" s="57" t="str">
        <f>IF(C80="","",[1]!s_segment_product_item(C80,G80,4))</f>
        <v/>
      </c>
      <c r="Y80" s="55" t="str">
        <f>IF(C80="","",[1]!s_segment_product_sales1(C80,G80,4,H80,100000000))</f>
        <v/>
      </c>
      <c r="Z80" s="55" t="str">
        <f>IF(C80="","",[1]!s_segment_product_cost1(C80,G80,4,H80,100000000))</f>
        <v/>
      </c>
      <c r="AA80" s="55" t="str">
        <f>IF(C80="","",[1]!s_segment_product_profit1(C80,G80,4,H80,100000000))</f>
        <v/>
      </c>
      <c r="AB80" s="59" t="str">
        <f>IF(C80="","",[1]!s_segment_product_gpmargin(C80,G80,4))</f>
        <v/>
      </c>
      <c r="AC80" s="57" t="str">
        <f>IF(C80="","",[1]!s_segment_product_item(C80,G80,5))</f>
        <v/>
      </c>
      <c r="AD80" s="55" t="str">
        <f>IF(C80="","",[1]!s_segment_product_sales1(C80,G80,5,H80,100000000))</f>
        <v/>
      </c>
      <c r="AE80" s="55" t="str">
        <f>IF(C80="","",[1]!s_segment_product_cost1(C80,G80,5,H80,100000000))</f>
        <v/>
      </c>
      <c r="AF80" s="55" t="str">
        <f>IF(C80="","",[1]!s_segment_product_profit1(C80,G80,5,H80,100000000))</f>
        <v/>
      </c>
      <c r="AG80" s="56" t="str">
        <f>IF(C80="","",[1]!s_segment_product_gpmargin(C80,G80,5))</f>
        <v/>
      </c>
      <c r="AH80" s="35"/>
    </row>
    <row r="81" spans="1:34" s="36" customFormat="1" ht="16.5" x14ac:dyDescent="0.2">
      <c r="A81" s="2"/>
      <c r="B81" s="6"/>
      <c r="C81" s="28" t="str">
        <f>IF(表1[[#This Row],[列1]]="","",表1[[#This Row],[列1]])</f>
        <v/>
      </c>
      <c r="D81" s="19" t="str">
        <f>IF(C81="","",[1]!hks_info_name(C81))</f>
        <v/>
      </c>
      <c r="E81" s="19" t="str">
        <f ca="1">IF(C81="","",[1]!lastradeday_s(C81,TODAY()))</f>
        <v/>
      </c>
      <c r="F81" s="49" t="str">
        <f>IF(C81="","",IF(OR([1]!s_stm_rpt_e(C81,基本资料!$I$8,0)="#N/A",[1]!s_stm_rpt_e(C81,基本资料!$I$8,0)="",[1]!s_stm_rpt_e(C81,基本资料!$I$8,0)=0),[1]!s_stm_rpt_e(C81,基本资料!$I$9,0),[1]!s_stm_rpt_e(C81,基本资料!$I$8,0)))</f>
        <v/>
      </c>
      <c r="G81" s="49" t="str">
        <f>IF(C81="","",[1]!s_stm_rpt_e(C81,F81,0))</f>
        <v/>
      </c>
      <c r="H81" s="49" t="str">
        <f>IF(C81="","",[1]!hks_info_cur2(C81,F81))</f>
        <v/>
      </c>
      <c r="I81" s="57" t="str">
        <f>IF(C81="","",[1]!s_segment_product_item(C81,G81,1))</f>
        <v/>
      </c>
      <c r="J81" s="23" t="str">
        <f>IF(C81="","",[1]!s_segment_product_sales1(C81,G81,1,H81,100000000))</f>
        <v/>
      </c>
      <c r="K81" s="23" t="str">
        <f>IF(C81="","",[1]!s_segment_product_cost1(C81,G81,1,H81,100000000))</f>
        <v/>
      </c>
      <c r="L81" s="23" t="str">
        <f>IF(C81="","",[1]!s_segment_product_profit1(C81,G81,1,H81,100000000))</f>
        <v/>
      </c>
      <c r="M81" s="25" t="str">
        <f>IF(C81="","",[1]!s_segment_product_gpmargin(C81,G81,1))</f>
        <v/>
      </c>
      <c r="N81" s="57" t="str">
        <f>IF(C81="","",[1]!s_segment_product_item(C81,G81,2))</f>
        <v/>
      </c>
      <c r="O81" s="55" t="str">
        <f>IF(C81="","",[1]!s_segment_product_sales1(C81,G81,2,H81,100000000))</f>
        <v/>
      </c>
      <c r="P81" s="55" t="str">
        <f>IF(C81="","",[1]!s_segment_product_cost1(C81,G81,2,H81,100000000))</f>
        <v/>
      </c>
      <c r="Q81" s="55" t="str">
        <f>IF(C81="","",[1]!s_segment_product_profit1(C81,G81,2,H81,100000000))</f>
        <v/>
      </c>
      <c r="R81" s="59" t="str">
        <f>IF(C81="","",[1]!s_segment_product_gpmargin(C81,G81,2))</f>
        <v/>
      </c>
      <c r="S81" s="57" t="str">
        <f>IF(C81="","",[1]!s_segment_product_item(C81,G81,3))</f>
        <v/>
      </c>
      <c r="T81" s="55" t="str">
        <f>IF(C81="","",[1]!s_segment_product_sales1(C81,G81,3,H81,100000000))</f>
        <v/>
      </c>
      <c r="U81" s="55" t="str">
        <f>IF(C81="","",[1]!s_segment_product_cost1(C81,G81,3,H81,100000000))</f>
        <v/>
      </c>
      <c r="V81" s="55" t="str">
        <f>IF(C81="","",[1]!s_segment_product_profit1(C81,G81,3,H81,100000000))</f>
        <v/>
      </c>
      <c r="W81" s="59" t="str">
        <f>IF(C81="","",[1]!s_segment_product_gpmargin(C81,G81,3))</f>
        <v/>
      </c>
      <c r="X81" s="57" t="str">
        <f>IF(C81="","",[1]!s_segment_product_item(C81,G81,4))</f>
        <v/>
      </c>
      <c r="Y81" s="55" t="str">
        <f>IF(C81="","",[1]!s_segment_product_sales1(C81,G81,4,H81,100000000))</f>
        <v/>
      </c>
      <c r="Z81" s="55" t="str">
        <f>IF(C81="","",[1]!s_segment_product_cost1(C81,G81,4,H81,100000000))</f>
        <v/>
      </c>
      <c r="AA81" s="55" t="str">
        <f>IF(C81="","",[1]!s_segment_product_profit1(C81,G81,4,H81,100000000))</f>
        <v/>
      </c>
      <c r="AB81" s="59" t="str">
        <f>IF(C81="","",[1]!s_segment_product_gpmargin(C81,G81,4))</f>
        <v/>
      </c>
      <c r="AC81" s="57" t="str">
        <f>IF(C81="","",[1]!s_segment_product_item(C81,G81,5))</f>
        <v/>
      </c>
      <c r="AD81" s="55" t="str">
        <f>IF(C81="","",[1]!s_segment_product_sales1(C81,G81,5,H81,100000000))</f>
        <v/>
      </c>
      <c r="AE81" s="55" t="str">
        <f>IF(C81="","",[1]!s_segment_product_cost1(C81,G81,5,H81,100000000))</f>
        <v/>
      </c>
      <c r="AF81" s="55" t="str">
        <f>IF(C81="","",[1]!s_segment_product_profit1(C81,G81,5,H81,100000000))</f>
        <v/>
      </c>
      <c r="AG81" s="56" t="str">
        <f>IF(C81="","",[1]!s_segment_product_gpmargin(C81,G81,5))</f>
        <v/>
      </c>
      <c r="AH81" s="35"/>
    </row>
    <row r="82" spans="1:34" s="36" customFormat="1" ht="16.5" x14ac:dyDescent="0.2">
      <c r="A82" s="2"/>
      <c r="B82" s="6"/>
      <c r="C82" s="28" t="str">
        <f>IF(表1[[#This Row],[列1]]="","",表1[[#This Row],[列1]])</f>
        <v/>
      </c>
      <c r="D82" s="19" t="str">
        <f>IF(C82="","",[1]!hks_info_name(C82))</f>
        <v/>
      </c>
      <c r="E82" s="19" t="str">
        <f ca="1">IF(C82="","",[1]!lastradeday_s(C82,TODAY()))</f>
        <v/>
      </c>
      <c r="F82" s="49" t="str">
        <f>IF(C82="","",IF(OR([1]!s_stm_rpt_e(C82,基本资料!$I$8,0)="#N/A",[1]!s_stm_rpt_e(C82,基本资料!$I$8,0)="",[1]!s_stm_rpt_e(C82,基本资料!$I$8,0)=0),[1]!s_stm_rpt_e(C82,基本资料!$I$9,0),[1]!s_stm_rpt_e(C82,基本资料!$I$8,0)))</f>
        <v/>
      </c>
      <c r="G82" s="49" t="str">
        <f>IF(C82="","",[1]!s_stm_rpt_e(C82,F82,0))</f>
        <v/>
      </c>
      <c r="H82" s="49" t="str">
        <f>IF(C82="","",[1]!hks_info_cur2(C82,F82))</f>
        <v/>
      </c>
      <c r="I82" s="57" t="str">
        <f>IF(C82="","",[1]!s_segment_product_item(C82,G82,1))</f>
        <v/>
      </c>
      <c r="J82" s="23" t="str">
        <f>IF(C82="","",[1]!s_segment_product_sales1(C82,G82,1,H82,100000000))</f>
        <v/>
      </c>
      <c r="K82" s="23" t="str">
        <f>IF(C82="","",[1]!s_segment_product_cost1(C82,G82,1,H82,100000000))</f>
        <v/>
      </c>
      <c r="L82" s="23" t="str">
        <f>IF(C82="","",[1]!s_segment_product_profit1(C82,G82,1,H82,100000000))</f>
        <v/>
      </c>
      <c r="M82" s="25" t="str">
        <f>IF(C82="","",[1]!s_segment_product_gpmargin(C82,G82,1))</f>
        <v/>
      </c>
      <c r="N82" s="57" t="str">
        <f>IF(C82="","",[1]!s_segment_product_item(C82,G82,2))</f>
        <v/>
      </c>
      <c r="O82" s="55" t="str">
        <f>IF(C82="","",[1]!s_segment_product_sales1(C82,G82,2,H82,100000000))</f>
        <v/>
      </c>
      <c r="P82" s="55" t="str">
        <f>IF(C82="","",[1]!s_segment_product_cost1(C82,G82,2,H82,100000000))</f>
        <v/>
      </c>
      <c r="Q82" s="55" t="str">
        <f>IF(C82="","",[1]!s_segment_product_profit1(C82,G82,2,H82,100000000))</f>
        <v/>
      </c>
      <c r="R82" s="59" t="str">
        <f>IF(C82="","",[1]!s_segment_product_gpmargin(C82,G82,2))</f>
        <v/>
      </c>
      <c r="S82" s="57" t="str">
        <f>IF(C82="","",[1]!s_segment_product_item(C82,G82,3))</f>
        <v/>
      </c>
      <c r="T82" s="55" t="str">
        <f>IF(C82="","",[1]!s_segment_product_sales1(C82,G82,3,H82,100000000))</f>
        <v/>
      </c>
      <c r="U82" s="55" t="str">
        <f>IF(C82="","",[1]!s_segment_product_cost1(C82,G82,3,H82,100000000))</f>
        <v/>
      </c>
      <c r="V82" s="55" t="str">
        <f>IF(C82="","",[1]!s_segment_product_profit1(C82,G82,3,H82,100000000))</f>
        <v/>
      </c>
      <c r="W82" s="59" t="str">
        <f>IF(C82="","",[1]!s_segment_product_gpmargin(C82,G82,3))</f>
        <v/>
      </c>
      <c r="X82" s="57" t="str">
        <f>IF(C82="","",[1]!s_segment_product_item(C82,G82,4))</f>
        <v/>
      </c>
      <c r="Y82" s="55" t="str">
        <f>IF(C82="","",[1]!s_segment_product_sales1(C82,G82,4,H82,100000000))</f>
        <v/>
      </c>
      <c r="Z82" s="55" t="str">
        <f>IF(C82="","",[1]!s_segment_product_cost1(C82,G82,4,H82,100000000))</f>
        <v/>
      </c>
      <c r="AA82" s="55" t="str">
        <f>IF(C82="","",[1]!s_segment_product_profit1(C82,G82,4,H82,100000000))</f>
        <v/>
      </c>
      <c r="AB82" s="59" t="str">
        <f>IF(C82="","",[1]!s_segment_product_gpmargin(C82,G82,4))</f>
        <v/>
      </c>
      <c r="AC82" s="57" t="str">
        <f>IF(C82="","",[1]!s_segment_product_item(C82,G82,5))</f>
        <v/>
      </c>
      <c r="AD82" s="55" t="str">
        <f>IF(C82="","",[1]!s_segment_product_sales1(C82,G82,5,H82,100000000))</f>
        <v/>
      </c>
      <c r="AE82" s="55" t="str">
        <f>IF(C82="","",[1]!s_segment_product_cost1(C82,G82,5,H82,100000000))</f>
        <v/>
      </c>
      <c r="AF82" s="55" t="str">
        <f>IF(C82="","",[1]!s_segment_product_profit1(C82,G82,5,H82,100000000))</f>
        <v/>
      </c>
      <c r="AG82" s="56" t="str">
        <f>IF(C82="","",[1]!s_segment_product_gpmargin(C82,G82,5))</f>
        <v/>
      </c>
      <c r="AH82" s="35"/>
    </row>
    <row r="83" spans="1:34" s="36" customFormat="1" ht="16.5" x14ac:dyDescent="0.2">
      <c r="A83" s="2"/>
      <c r="B83" s="6"/>
      <c r="C83" s="28" t="str">
        <f>IF(表1[[#This Row],[列1]]="","",表1[[#This Row],[列1]])</f>
        <v/>
      </c>
      <c r="D83" s="19" t="str">
        <f>IF(C83="","",[1]!hks_info_name(C83))</f>
        <v/>
      </c>
      <c r="E83" s="19" t="str">
        <f ca="1">IF(C83="","",[1]!lastradeday_s(C83,TODAY()))</f>
        <v/>
      </c>
      <c r="F83" s="49" t="str">
        <f>IF(C83="","",IF(OR([1]!s_stm_rpt_e(C83,基本资料!$I$8,0)="#N/A",[1]!s_stm_rpt_e(C83,基本资料!$I$8,0)="",[1]!s_stm_rpt_e(C83,基本资料!$I$8,0)=0),[1]!s_stm_rpt_e(C83,基本资料!$I$9,0),[1]!s_stm_rpt_e(C83,基本资料!$I$8,0)))</f>
        <v/>
      </c>
      <c r="G83" s="49" t="str">
        <f>IF(C83="","",[1]!s_stm_rpt_e(C83,F83,0))</f>
        <v/>
      </c>
      <c r="H83" s="49" t="str">
        <f>IF(C83="","",[1]!hks_info_cur2(C83,F83))</f>
        <v/>
      </c>
      <c r="I83" s="57" t="str">
        <f>IF(C83="","",[1]!s_segment_product_item(C83,G83,1))</f>
        <v/>
      </c>
      <c r="J83" s="23" t="str">
        <f>IF(C83="","",[1]!s_segment_product_sales1(C83,G83,1,H83,100000000))</f>
        <v/>
      </c>
      <c r="K83" s="23" t="str">
        <f>IF(C83="","",[1]!s_segment_product_cost1(C83,G83,1,H83,100000000))</f>
        <v/>
      </c>
      <c r="L83" s="23" t="str">
        <f>IF(C83="","",[1]!s_segment_product_profit1(C83,G83,1,H83,100000000))</f>
        <v/>
      </c>
      <c r="M83" s="25" t="str">
        <f>IF(C83="","",[1]!s_segment_product_gpmargin(C83,G83,1))</f>
        <v/>
      </c>
      <c r="N83" s="57" t="str">
        <f>IF(C83="","",[1]!s_segment_product_item(C83,G83,2))</f>
        <v/>
      </c>
      <c r="O83" s="55" t="str">
        <f>IF(C83="","",[1]!s_segment_product_sales1(C83,G83,2,H83,100000000))</f>
        <v/>
      </c>
      <c r="P83" s="55" t="str">
        <f>IF(C83="","",[1]!s_segment_product_cost1(C83,G83,2,H83,100000000))</f>
        <v/>
      </c>
      <c r="Q83" s="55" t="str">
        <f>IF(C83="","",[1]!s_segment_product_profit1(C83,G83,2,H83,100000000))</f>
        <v/>
      </c>
      <c r="R83" s="59" t="str">
        <f>IF(C83="","",[1]!s_segment_product_gpmargin(C83,G83,2))</f>
        <v/>
      </c>
      <c r="S83" s="57" t="str">
        <f>IF(C83="","",[1]!s_segment_product_item(C83,G83,3))</f>
        <v/>
      </c>
      <c r="T83" s="55" t="str">
        <f>IF(C83="","",[1]!s_segment_product_sales1(C83,G83,3,H83,100000000))</f>
        <v/>
      </c>
      <c r="U83" s="55" t="str">
        <f>IF(C83="","",[1]!s_segment_product_cost1(C83,G83,3,H83,100000000))</f>
        <v/>
      </c>
      <c r="V83" s="55" t="str">
        <f>IF(C83="","",[1]!s_segment_product_profit1(C83,G83,3,H83,100000000))</f>
        <v/>
      </c>
      <c r="W83" s="59" t="str">
        <f>IF(C83="","",[1]!s_segment_product_gpmargin(C83,G83,3))</f>
        <v/>
      </c>
      <c r="X83" s="57" t="str">
        <f>IF(C83="","",[1]!s_segment_product_item(C83,G83,4))</f>
        <v/>
      </c>
      <c r="Y83" s="55" t="str">
        <f>IF(C83="","",[1]!s_segment_product_sales1(C83,G83,4,H83,100000000))</f>
        <v/>
      </c>
      <c r="Z83" s="55" t="str">
        <f>IF(C83="","",[1]!s_segment_product_cost1(C83,G83,4,H83,100000000))</f>
        <v/>
      </c>
      <c r="AA83" s="55" t="str">
        <f>IF(C83="","",[1]!s_segment_product_profit1(C83,G83,4,H83,100000000))</f>
        <v/>
      </c>
      <c r="AB83" s="59" t="str">
        <f>IF(C83="","",[1]!s_segment_product_gpmargin(C83,G83,4))</f>
        <v/>
      </c>
      <c r="AC83" s="57" t="str">
        <f>IF(C83="","",[1]!s_segment_product_item(C83,G83,5))</f>
        <v/>
      </c>
      <c r="AD83" s="55" t="str">
        <f>IF(C83="","",[1]!s_segment_product_sales1(C83,G83,5,H83,100000000))</f>
        <v/>
      </c>
      <c r="AE83" s="55" t="str">
        <f>IF(C83="","",[1]!s_segment_product_cost1(C83,G83,5,H83,100000000))</f>
        <v/>
      </c>
      <c r="AF83" s="55" t="str">
        <f>IF(C83="","",[1]!s_segment_product_profit1(C83,G83,5,H83,100000000))</f>
        <v/>
      </c>
      <c r="AG83" s="56" t="str">
        <f>IF(C83="","",[1]!s_segment_product_gpmargin(C83,G83,5))</f>
        <v/>
      </c>
      <c r="AH83" s="35"/>
    </row>
    <row r="84" spans="1:34" s="36" customFormat="1" ht="16.5" x14ac:dyDescent="0.2">
      <c r="A84" s="2"/>
      <c r="B84" s="6"/>
      <c r="C84" s="28" t="str">
        <f>IF(表1[[#This Row],[列1]]="","",表1[[#This Row],[列1]])</f>
        <v/>
      </c>
      <c r="D84" s="19" t="str">
        <f>IF(C84="","",[1]!hks_info_name(C84))</f>
        <v/>
      </c>
      <c r="E84" s="19" t="str">
        <f ca="1">IF(C84="","",[1]!lastradeday_s(C84,TODAY()))</f>
        <v/>
      </c>
      <c r="F84" s="49" t="str">
        <f>IF(C84="","",IF(OR([1]!s_stm_rpt_e(C84,基本资料!$I$8,0)="#N/A",[1]!s_stm_rpt_e(C84,基本资料!$I$8,0)="",[1]!s_stm_rpt_e(C84,基本资料!$I$8,0)=0),[1]!s_stm_rpt_e(C84,基本资料!$I$9,0),[1]!s_stm_rpt_e(C84,基本资料!$I$8,0)))</f>
        <v/>
      </c>
      <c r="G84" s="49" t="str">
        <f>IF(C84="","",[1]!s_stm_rpt_e(C84,F84,0))</f>
        <v/>
      </c>
      <c r="H84" s="49" t="str">
        <f>IF(C84="","",[1]!hks_info_cur2(C84,F84))</f>
        <v/>
      </c>
      <c r="I84" s="57" t="str">
        <f>IF(C84="","",[1]!s_segment_product_item(C84,G84,1))</f>
        <v/>
      </c>
      <c r="J84" s="23" t="str">
        <f>IF(C84="","",[1]!s_segment_product_sales1(C84,G84,1,H84,100000000))</f>
        <v/>
      </c>
      <c r="K84" s="23" t="str">
        <f>IF(C84="","",[1]!s_segment_product_cost1(C84,G84,1,H84,100000000))</f>
        <v/>
      </c>
      <c r="L84" s="23" t="str">
        <f>IF(C84="","",[1]!s_segment_product_profit1(C84,G84,1,H84,100000000))</f>
        <v/>
      </c>
      <c r="M84" s="25" t="str">
        <f>IF(C84="","",[1]!s_segment_product_gpmargin(C84,G84,1))</f>
        <v/>
      </c>
      <c r="N84" s="57" t="str">
        <f>IF(C84="","",[1]!s_segment_product_item(C84,G84,2))</f>
        <v/>
      </c>
      <c r="O84" s="55" t="str">
        <f>IF(C84="","",[1]!s_segment_product_sales1(C84,G84,2,H84,100000000))</f>
        <v/>
      </c>
      <c r="P84" s="55" t="str">
        <f>IF(C84="","",[1]!s_segment_product_cost1(C84,G84,2,H84,100000000))</f>
        <v/>
      </c>
      <c r="Q84" s="55" t="str">
        <f>IF(C84="","",[1]!s_segment_product_profit1(C84,G84,2,H84,100000000))</f>
        <v/>
      </c>
      <c r="R84" s="59" t="str">
        <f>IF(C84="","",[1]!s_segment_product_gpmargin(C84,G84,2))</f>
        <v/>
      </c>
      <c r="S84" s="57" t="str">
        <f>IF(C84="","",[1]!s_segment_product_item(C84,G84,3))</f>
        <v/>
      </c>
      <c r="T84" s="55" t="str">
        <f>IF(C84="","",[1]!s_segment_product_sales1(C84,G84,3,H84,100000000))</f>
        <v/>
      </c>
      <c r="U84" s="55" t="str">
        <f>IF(C84="","",[1]!s_segment_product_cost1(C84,G84,3,H84,100000000))</f>
        <v/>
      </c>
      <c r="V84" s="55" t="str">
        <f>IF(C84="","",[1]!s_segment_product_profit1(C84,G84,3,H84,100000000))</f>
        <v/>
      </c>
      <c r="W84" s="59" t="str">
        <f>IF(C84="","",[1]!s_segment_product_gpmargin(C84,G84,3))</f>
        <v/>
      </c>
      <c r="X84" s="57" t="str">
        <f>IF(C84="","",[1]!s_segment_product_item(C84,G84,4))</f>
        <v/>
      </c>
      <c r="Y84" s="55" t="str">
        <f>IF(C84="","",[1]!s_segment_product_sales1(C84,G84,4,H84,100000000))</f>
        <v/>
      </c>
      <c r="Z84" s="55" t="str">
        <f>IF(C84="","",[1]!s_segment_product_cost1(C84,G84,4,H84,100000000))</f>
        <v/>
      </c>
      <c r="AA84" s="55" t="str">
        <f>IF(C84="","",[1]!s_segment_product_profit1(C84,G84,4,H84,100000000))</f>
        <v/>
      </c>
      <c r="AB84" s="59" t="str">
        <f>IF(C84="","",[1]!s_segment_product_gpmargin(C84,G84,4))</f>
        <v/>
      </c>
      <c r="AC84" s="57" t="str">
        <f>IF(C84="","",[1]!s_segment_product_item(C84,G84,5))</f>
        <v/>
      </c>
      <c r="AD84" s="55" t="str">
        <f>IF(C84="","",[1]!s_segment_product_sales1(C84,G84,5,H84,100000000))</f>
        <v/>
      </c>
      <c r="AE84" s="55" t="str">
        <f>IF(C84="","",[1]!s_segment_product_cost1(C84,G84,5,H84,100000000))</f>
        <v/>
      </c>
      <c r="AF84" s="55" t="str">
        <f>IF(C84="","",[1]!s_segment_product_profit1(C84,G84,5,H84,100000000))</f>
        <v/>
      </c>
      <c r="AG84" s="56" t="str">
        <f>IF(C84="","",[1]!s_segment_product_gpmargin(C84,G84,5))</f>
        <v/>
      </c>
      <c r="AH84" s="35"/>
    </row>
    <row r="85" spans="1:34" s="36" customFormat="1" ht="16.5" x14ac:dyDescent="0.2">
      <c r="A85" s="2"/>
      <c r="B85" s="6"/>
      <c r="C85" s="28" t="str">
        <f>IF(表1[[#This Row],[列1]]="","",表1[[#This Row],[列1]])</f>
        <v/>
      </c>
      <c r="D85" s="19" t="str">
        <f>IF(C85="","",[1]!hks_info_name(C85))</f>
        <v/>
      </c>
      <c r="E85" s="19" t="str">
        <f ca="1">IF(C85="","",[1]!lastradeday_s(C85,TODAY()))</f>
        <v/>
      </c>
      <c r="F85" s="49" t="str">
        <f>IF(C85="","",IF(OR([1]!s_stm_rpt_e(C85,基本资料!$I$8,0)="#N/A",[1]!s_stm_rpt_e(C85,基本资料!$I$8,0)="",[1]!s_stm_rpt_e(C85,基本资料!$I$8,0)=0),[1]!s_stm_rpt_e(C85,基本资料!$I$9,0),[1]!s_stm_rpt_e(C85,基本资料!$I$8,0)))</f>
        <v/>
      </c>
      <c r="G85" s="49" t="str">
        <f>IF(C85="","",[1]!s_stm_rpt_e(C85,F85,0))</f>
        <v/>
      </c>
      <c r="H85" s="49" t="str">
        <f>IF(C85="","",[1]!hks_info_cur2(C85,F85))</f>
        <v/>
      </c>
      <c r="I85" s="57" t="str">
        <f>IF(C85="","",[1]!s_segment_product_item(C85,G85,1))</f>
        <v/>
      </c>
      <c r="J85" s="23" t="str">
        <f>IF(C85="","",[1]!s_segment_product_sales1(C85,G85,1,H85,100000000))</f>
        <v/>
      </c>
      <c r="K85" s="23" t="str">
        <f>IF(C85="","",[1]!s_segment_product_cost1(C85,G85,1,H85,100000000))</f>
        <v/>
      </c>
      <c r="L85" s="23" t="str">
        <f>IF(C85="","",[1]!s_segment_product_profit1(C85,G85,1,H85,100000000))</f>
        <v/>
      </c>
      <c r="M85" s="25" t="str">
        <f>IF(C85="","",[1]!s_segment_product_gpmargin(C85,G85,1))</f>
        <v/>
      </c>
      <c r="N85" s="57" t="str">
        <f>IF(C85="","",[1]!s_segment_product_item(C85,G85,2))</f>
        <v/>
      </c>
      <c r="O85" s="55" t="str">
        <f>IF(C85="","",[1]!s_segment_product_sales1(C85,G85,2,H85,100000000))</f>
        <v/>
      </c>
      <c r="P85" s="55" t="str">
        <f>IF(C85="","",[1]!s_segment_product_cost1(C85,G85,2,H85,100000000))</f>
        <v/>
      </c>
      <c r="Q85" s="55" t="str">
        <f>IF(C85="","",[1]!s_segment_product_profit1(C85,G85,2,H85,100000000))</f>
        <v/>
      </c>
      <c r="R85" s="59" t="str">
        <f>IF(C85="","",[1]!s_segment_product_gpmargin(C85,G85,2))</f>
        <v/>
      </c>
      <c r="S85" s="57" t="str">
        <f>IF(C85="","",[1]!s_segment_product_item(C85,G85,3))</f>
        <v/>
      </c>
      <c r="T85" s="55" t="str">
        <f>IF(C85="","",[1]!s_segment_product_sales1(C85,G85,3,H85,100000000))</f>
        <v/>
      </c>
      <c r="U85" s="55" t="str">
        <f>IF(C85="","",[1]!s_segment_product_cost1(C85,G85,3,H85,100000000))</f>
        <v/>
      </c>
      <c r="V85" s="55" t="str">
        <f>IF(C85="","",[1]!s_segment_product_profit1(C85,G85,3,H85,100000000))</f>
        <v/>
      </c>
      <c r="W85" s="59" t="str">
        <f>IF(C85="","",[1]!s_segment_product_gpmargin(C85,G85,3))</f>
        <v/>
      </c>
      <c r="X85" s="57" t="str">
        <f>IF(C85="","",[1]!s_segment_product_item(C85,G85,4))</f>
        <v/>
      </c>
      <c r="Y85" s="55" t="str">
        <f>IF(C85="","",[1]!s_segment_product_sales1(C85,G85,4,H85,100000000))</f>
        <v/>
      </c>
      <c r="Z85" s="55" t="str">
        <f>IF(C85="","",[1]!s_segment_product_cost1(C85,G85,4,H85,100000000))</f>
        <v/>
      </c>
      <c r="AA85" s="55" t="str">
        <f>IF(C85="","",[1]!s_segment_product_profit1(C85,G85,4,H85,100000000))</f>
        <v/>
      </c>
      <c r="AB85" s="59" t="str">
        <f>IF(C85="","",[1]!s_segment_product_gpmargin(C85,G85,4))</f>
        <v/>
      </c>
      <c r="AC85" s="57" t="str">
        <f>IF(C85="","",[1]!s_segment_product_item(C85,G85,5))</f>
        <v/>
      </c>
      <c r="AD85" s="55" t="str">
        <f>IF(C85="","",[1]!s_segment_product_sales1(C85,G85,5,H85,100000000))</f>
        <v/>
      </c>
      <c r="AE85" s="55" t="str">
        <f>IF(C85="","",[1]!s_segment_product_cost1(C85,G85,5,H85,100000000))</f>
        <v/>
      </c>
      <c r="AF85" s="55" t="str">
        <f>IF(C85="","",[1]!s_segment_product_profit1(C85,G85,5,H85,100000000))</f>
        <v/>
      </c>
      <c r="AG85" s="56" t="str">
        <f>IF(C85="","",[1]!s_segment_product_gpmargin(C85,G85,5))</f>
        <v/>
      </c>
      <c r="AH85" s="35"/>
    </row>
    <row r="86" spans="1:34" s="36" customFormat="1" ht="16.5" x14ac:dyDescent="0.2">
      <c r="A86" s="2"/>
      <c r="B86" s="6"/>
      <c r="C86" s="28" t="str">
        <f>IF(表1[[#This Row],[列1]]="","",表1[[#This Row],[列1]])</f>
        <v/>
      </c>
      <c r="D86" s="19" t="str">
        <f>IF(C86="","",[1]!hks_info_name(C86))</f>
        <v/>
      </c>
      <c r="E86" s="19" t="str">
        <f ca="1">IF(C86="","",[1]!lastradeday_s(C86,TODAY()))</f>
        <v/>
      </c>
      <c r="F86" s="49" t="str">
        <f>IF(C86="","",IF(OR([1]!s_stm_rpt_e(C86,基本资料!$I$8,0)="#N/A",[1]!s_stm_rpt_e(C86,基本资料!$I$8,0)="",[1]!s_stm_rpt_e(C86,基本资料!$I$8,0)=0),[1]!s_stm_rpt_e(C86,基本资料!$I$9,0),[1]!s_stm_rpt_e(C86,基本资料!$I$8,0)))</f>
        <v/>
      </c>
      <c r="G86" s="49" t="str">
        <f>IF(C86="","",[1]!s_stm_rpt_e(C86,F86,0))</f>
        <v/>
      </c>
      <c r="H86" s="49" t="str">
        <f>IF(C86="","",[1]!hks_info_cur2(C86,F86))</f>
        <v/>
      </c>
      <c r="I86" s="57" t="str">
        <f>IF(C86="","",[1]!s_segment_product_item(C86,G86,1))</f>
        <v/>
      </c>
      <c r="J86" s="23" t="str">
        <f>IF(C86="","",[1]!s_segment_product_sales1(C86,G86,1,H86,100000000))</f>
        <v/>
      </c>
      <c r="K86" s="23" t="str">
        <f>IF(C86="","",[1]!s_segment_product_cost1(C86,G86,1,H86,100000000))</f>
        <v/>
      </c>
      <c r="L86" s="23" t="str">
        <f>IF(C86="","",[1]!s_segment_product_profit1(C86,G86,1,H86,100000000))</f>
        <v/>
      </c>
      <c r="M86" s="25" t="str">
        <f>IF(C86="","",[1]!s_segment_product_gpmargin(C86,G86,1))</f>
        <v/>
      </c>
      <c r="N86" s="57" t="str">
        <f>IF(C86="","",[1]!s_segment_product_item(C86,G86,2))</f>
        <v/>
      </c>
      <c r="O86" s="55" t="str">
        <f>IF(C86="","",[1]!s_segment_product_sales1(C86,G86,2,H86,100000000))</f>
        <v/>
      </c>
      <c r="P86" s="55" t="str">
        <f>IF(C86="","",[1]!s_segment_product_cost1(C86,G86,2,H86,100000000))</f>
        <v/>
      </c>
      <c r="Q86" s="55" t="str">
        <f>IF(C86="","",[1]!s_segment_product_profit1(C86,G86,2,H86,100000000))</f>
        <v/>
      </c>
      <c r="R86" s="59" t="str">
        <f>IF(C86="","",[1]!s_segment_product_gpmargin(C86,G86,2))</f>
        <v/>
      </c>
      <c r="S86" s="57" t="str">
        <f>IF(C86="","",[1]!s_segment_product_item(C86,G86,3))</f>
        <v/>
      </c>
      <c r="T86" s="55" t="str">
        <f>IF(C86="","",[1]!s_segment_product_sales1(C86,G86,3,H86,100000000))</f>
        <v/>
      </c>
      <c r="U86" s="55" t="str">
        <f>IF(C86="","",[1]!s_segment_product_cost1(C86,G86,3,H86,100000000))</f>
        <v/>
      </c>
      <c r="V86" s="55" t="str">
        <f>IF(C86="","",[1]!s_segment_product_profit1(C86,G86,3,H86,100000000))</f>
        <v/>
      </c>
      <c r="W86" s="59" t="str">
        <f>IF(C86="","",[1]!s_segment_product_gpmargin(C86,G86,3))</f>
        <v/>
      </c>
      <c r="X86" s="57" t="str">
        <f>IF(C86="","",[1]!s_segment_product_item(C86,G86,4))</f>
        <v/>
      </c>
      <c r="Y86" s="55" t="str">
        <f>IF(C86="","",[1]!s_segment_product_sales1(C86,G86,4,H86,100000000))</f>
        <v/>
      </c>
      <c r="Z86" s="55" t="str">
        <f>IF(C86="","",[1]!s_segment_product_cost1(C86,G86,4,H86,100000000))</f>
        <v/>
      </c>
      <c r="AA86" s="55" t="str">
        <f>IF(C86="","",[1]!s_segment_product_profit1(C86,G86,4,H86,100000000))</f>
        <v/>
      </c>
      <c r="AB86" s="59" t="str">
        <f>IF(C86="","",[1]!s_segment_product_gpmargin(C86,G86,4))</f>
        <v/>
      </c>
      <c r="AC86" s="57" t="str">
        <f>IF(C86="","",[1]!s_segment_product_item(C86,G86,5))</f>
        <v/>
      </c>
      <c r="AD86" s="55" t="str">
        <f>IF(C86="","",[1]!s_segment_product_sales1(C86,G86,5,H86,100000000))</f>
        <v/>
      </c>
      <c r="AE86" s="55" t="str">
        <f>IF(C86="","",[1]!s_segment_product_cost1(C86,G86,5,H86,100000000))</f>
        <v/>
      </c>
      <c r="AF86" s="55" t="str">
        <f>IF(C86="","",[1]!s_segment_product_profit1(C86,G86,5,H86,100000000))</f>
        <v/>
      </c>
      <c r="AG86" s="56" t="str">
        <f>IF(C86="","",[1]!s_segment_product_gpmargin(C86,G86,5))</f>
        <v/>
      </c>
      <c r="AH86" s="35"/>
    </row>
    <row r="87" spans="1:34" s="36" customFormat="1" ht="16.5" x14ac:dyDescent="0.2">
      <c r="A87" s="2"/>
      <c r="B87" s="6"/>
      <c r="C87" s="28" t="str">
        <f>IF(表1[[#This Row],[列1]]="","",表1[[#This Row],[列1]])</f>
        <v/>
      </c>
      <c r="D87" s="19" t="str">
        <f>IF(C87="","",[1]!hks_info_name(C87))</f>
        <v/>
      </c>
      <c r="E87" s="19" t="str">
        <f ca="1">IF(C87="","",[1]!lastradeday_s(C87,TODAY()))</f>
        <v/>
      </c>
      <c r="F87" s="49" t="str">
        <f>IF(C87="","",IF(OR([1]!s_stm_rpt_e(C87,基本资料!$I$8,0)="#N/A",[1]!s_stm_rpt_e(C87,基本资料!$I$8,0)="",[1]!s_stm_rpt_e(C87,基本资料!$I$8,0)=0),[1]!s_stm_rpt_e(C87,基本资料!$I$9,0),[1]!s_stm_rpt_e(C87,基本资料!$I$8,0)))</f>
        <v/>
      </c>
      <c r="G87" s="49" t="str">
        <f>IF(C87="","",[1]!s_stm_rpt_e(C87,F87,0))</f>
        <v/>
      </c>
      <c r="H87" s="49" t="str">
        <f>IF(C87="","",[1]!hks_info_cur2(C87,F87))</f>
        <v/>
      </c>
      <c r="I87" s="57" t="str">
        <f>IF(C87="","",[1]!s_segment_product_item(C87,G87,1))</f>
        <v/>
      </c>
      <c r="J87" s="23" t="str">
        <f>IF(C87="","",[1]!s_segment_product_sales1(C87,G87,1,H87,100000000))</f>
        <v/>
      </c>
      <c r="K87" s="23" t="str">
        <f>IF(C87="","",[1]!s_segment_product_cost1(C87,G87,1,H87,100000000))</f>
        <v/>
      </c>
      <c r="L87" s="23" t="str">
        <f>IF(C87="","",[1]!s_segment_product_profit1(C87,G87,1,H87,100000000))</f>
        <v/>
      </c>
      <c r="M87" s="25" t="str">
        <f>IF(C87="","",[1]!s_segment_product_gpmargin(C87,G87,1))</f>
        <v/>
      </c>
      <c r="N87" s="57" t="str">
        <f>IF(C87="","",[1]!s_segment_product_item(C87,G87,2))</f>
        <v/>
      </c>
      <c r="O87" s="55" t="str">
        <f>IF(C87="","",[1]!s_segment_product_sales1(C87,G87,2,H87,100000000))</f>
        <v/>
      </c>
      <c r="P87" s="55" t="str">
        <f>IF(C87="","",[1]!s_segment_product_cost1(C87,G87,2,H87,100000000))</f>
        <v/>
      </c>
      <c r="Q87" s="55" t="str">
        <f>IF(C87="","",[1]!s_segment_product_profit1(C87,G87,2,H87,100000000))</f>
        <v/>
      </c>
      <c r="R87" s="59" t="str">
        <f>IF(C87="","",[1]!s_segment_product_gpmargin(C87,G87,2))</f>
        <v/>
      </c>
      <c r="S87" s="57" t="str">
        <f>IF(C87="","",[1]!s_segment_product_item(C87,G87,3))</f>
        <v/>
      </c>
      <c r="T87" s="55" t="str">
        <f>IF(C87="","",[1]!s_segment_product_sales1(C87,G87,3,H87,100000000))</f>
        <v/>
      </c>
      <c r="U87" s="55" t="str">
        <f>IF(C87="","",[1]!s_segment_product_cost1(C87,G87,3,H87,100000000))</f>
        <v/>
      </c>
      <c r="V87" s="55" t="str">
        <f>IF(C87="","",[1]!s_segment_product_profit1(C87,G87,3,H87,100000000))</f>
        <v/>
      </c>
      <c r="W87" s="59" t="str">
        <f>IF(C87="","",[1]!s_segment_product_gpmargin(C87,G87,3))</f>
        <v/>
      </c>
      <c r="X87" s="57" t="str">
        <f>IF(C87="","",[1]!s_segment_product_item(C87,G87,4))</f>
        <v/>
      </c>
      <c r="Y87" s="55" t="str">
        <f>IF(C87="","",[1]!s_segment_product_sales1(C87,G87,4,H87,100000000))</f>
        <v/>
      </c>
      <c r="Z87" s="55" t="str">
        <f>IF(C87="","",[1]!s_segment_product_cost1(C87,G87,4,H87,100000000))</f>
        <v/>
      </c>
      <c r="AA87" s="55" t="str">
        <f>IF(C87="","",[1]!s_segment_product_profit1(C87,G87,4,H87,100000000))</f>
        <v/>
      </c>
      <c r="AB87" s="59" t="str">
        <f>IF(C87="","",[1]!s_segment_product_gpmargin(C87,G87,4))</f>
        <v/>
      </c>
      <c r="AC87" s="57" t="str">
        <f>IF(C87="","",[1]!s_segment_product_item(C87,G87,5))</f>
        <v/>
      </c>
      <c r="AD87" s="55" t="str">
        <f>IF(C87="","",[1]!s_segment_product_sales1(C87,G87,5,H87,100000000))</f>
        <v/>
      </c>
      <c r="AE87" s="55" t="str">
        <f>IF(C87="","",[1]!s_segment_product_cost1(C87,G87,5,H87,100000000))</f>
        <v/>
      </c>
      <c r="AF87" s="55" t="str">
        <f>IF(C87="","",[1]!s_segment_product_profit1(C87,G87,5,H87,100000000))</f>
        <v/>
      </c>
      <c r="AG87" s="56" t="str">
        <f>IF(C87="","",[1]!s_segment_product_gpmargin(C87,G87,5))</f>
        <v/>
      </c>
      <c r="AH87" s="35"/>
    </row>
    <row r="88" spans="1:34" s="36" customFormat="1" ht="16.5" x14ac:dyDescent="0.2">
      <c r="A88" s="2"/>
      <c r="B88" s="6"/>
      <c r="C88" s="28" t="str">
        <f>IF(表1[[#This Row],[列1]]="","",表1[[#This Row],[列1]])</f>
        <v/>
      </c>
      <c r="D88" s="19" t="str">
        <f>IF(C88="","",[1]!hks_info_name(C88))</f>
        <v/>
      </c>
      <c r="E88" s="19" t="str">
        <f ca="1">IF(C88="","",[1]!lastradeday_s(C88,TODAY()))</f>
        <v/>
      </c>
      <c r="F88" s="49" t="str">
        <f>IF(C88="","",IF(OR([1]!s_stm_rpt_e(C88,基本资料!$I$8,0)="#N/A",[1]!s_stm_rpt_e(C88,基本资料!$I$8,0)="",[1]!s_stm_rpt_e(C88,基本资料!$I$8,0)=0),[1]!s_stm_rpt_e(C88,基本资料!$I$9,0),[1]!s_stm_rpt_e(C88,基本资料!$I$8,0)))</f>
        <v/>
      </c>
      <c r="G88" s="49" t="str">
        <f>IF(C88="","",[1]!s_stm_rpt_e(C88,F88,0))</f>
        <v/>
      </c>
      <c r="H88" s="49" t="str">
        <f>IF(C88="","",[1]!hks_info_cur2(C88,F88))</f>
        <v/>
      </c>
      <c r="I88" s="57" t="str">
        <f>IF(C88="","",[1]!s_segment_product_item(C88,G88,1))</f>
        <v/>
      </c>
      <c r="J88" s="23" t="str">
        <f>IF(C88="","",[1]!s_segment_product_sales1(C88,G88,1,H88,100000000))</f>
        <v/>
      </c>
      <c r="K88" s="23" t="str">
        <f>IF(C88="","",[1]!s_segment_product_cost1(C88,G88,1,H88,100000000))</f>
        <v/>
      </c>
      <c r="L88" s="23" t="str">
        <f>IF(C88="","",[1]!s_segment_product_profit1(C88,G88,1,H88,100000000))</f>
        <v/>
      </c>
      <c r="M88" s="25" t="str">
        <f>IF(C88="","",[1]!s_segment_product_gpmargin(C88,G88,1))</f>
        <v/>
      </c>
      <c r="N88" s="57" t="str">
        <f>IF(C88="","",[1]!s_segment_product_item(C88,G88,2))</f>
        <v/>
      </c>
      <c r="O88" s="55" t="str">
        <f>IF(C88="","",[1]!s_segment_product_sales1(C88,G88,2,H88,100000000))</f>
        <v/>
      </c>
      <c r="P88" s="55" t="str">
        <f>IF(C88="","",[1]!s_segment_product_cost1(C88,G88,2,H88,100000000))</f>
        <v/>
      </c>
      <c r="Q88" s="55" t="str">
        <f>IF(C88="","",[1]!s_segment_product_profit1(C88,G88,2,H88,100000000))</f>
        <v/>
      </c>
      <c r="R88" s="59" t="str">
        <f>IF(C88="","",[1]!s_segment_product_gpmargin(C88,G88,2))</f>
        <v/>
      </c>
      <c r="S88" s="57" t="str">
        <f>IF(C88="","",[1]!s_segment_product_item(C88,G88,3))</f>
        <v/>
      </c>
      <c r="T88" s="55" t="str">
        <f>IF(C88="","",[1]!s_segment_product_sales1(C88,G88,3,H88,100000000))</f>
        <v/>
      </c>
      <c r="U88" s="55" t="str">
        <f>IF(C88="","",[1]!s_segment_product_cost1(C88,G88,3,H88,100000000))</f>
        <v/>
      </c>
      <c r="V88" s="55" t="str">
        <f>IF(C88="","",[1]!s_segment_product_profit1(C88,G88,3,H88,100000000))</f>
        <v/>
      </c>
      <c r="W88" s="59" t="str">
        <f>IF(C88="","",[1]!s_segment_product_gpmargin(C88,G88,3))</f>
        <v/>
      </c>
      <c r="X88" s="57" t="str">
        <f>IF(C88="","",[1]!s_segment_product_item(C88,G88,4))</f>
        <v/>
      </c>
      <c r="Y88" s="55" t="str">
        <f>IF(C88="","",[1]!s_segment_product_sales1(C88,G88,4,H88,100000000))</f>
        <v/>
      </c>
      <c r="Z88" s="55" t="str">
        <f>IF(C88="","",[1]!s_segment_product_cost1(C88,G88,4,H88,100000000))</f>
        <v/>
      </c>
      <c r="AA88" s="55" t="str">
        <f>IF(C88="","",[1]!s_segment_product_profit1(C88,G88,4,H88,100000000))</f>
        <v/>
      </c>
      <c r="AB88" s="59" t="str">
        <f>IF(C88="","",[1]!s_segment_product_gpmargin(C88,G88,4))</f>
        <v/>
      </c>
      <c r="AC88" s="57" t="str">
        <f>IF(C88="","",[1]!s_segment_product_item(C88,G88,5))</f>
        <v/>
      </c>
      <c r="AD88" s="55" t="str">
        <f>IF(C88="","",[1]!s_segment_product_sales1(C88,G88,5,H88,100000000))</f>
        <v/>
      </c>
      <c r="AE88" s="55" t="str">
        <f>IF(C88="","",[1]!s_segment_product_cost1(C88,G88,5,H88,100000000))</f>
        <v/>
      </c>
      <c r="AF88" s="55" t="str">
        <f>IF(C88="","",[1]!s_segment_product_profit1(C88,G88,5,H88,100000000))</f>
        <v/>
      </c>
      <c r="AG88" s="56" t="str">
        <f>IF(C88="","",[1]!s_segment_product_gpmargin(C88,G88,5))</f>
        <v/>
      </c>
      <c r="AH88" s="35"/>
    </row>
    <row r="89" spans="1:34" s="36" customFormat="1" ht="16.5" x14ac:dyDescent="0.2">
      <c r="A89" s="2"/>
      <c r="B89" s="6"/>
      <c r="C89" s="28" t="str">
        <f>IF(表1[[#This Row],[列1]]="","",表1[[#This Row],[列1]])</f>
        <v/>
      </c>
      <c r="D89" s="19" t="str">
        <f>IF(C89="","",[1]!hks_info_name(C89))</f>
        <v/>
      </c>
      <c r="E89" s="19" t="str">
        <f ca="1">IF(C89="","",[1]!lastradeday_s(C89,TODAY()))</f>
        <v/>
      </c>
      <c r="F89" s="49" t="str">
        <f>IF(C89="","",IF(OR([1]!s_stm_rpt_e(C89,基本资料!$I$8,0)="#N/A",[1]!s_stm_rpt_e(C89,基本资料!$I$8,0)="",[1]!s_stm_rpt_e(C89,基本资料!$I$8,0)=0),[1]!s_stm_rpt_e(C89,基本资料!$I$9,0),[1]!s_stm_rpt_e(C89,基本资料!$I$8,0)))</f>
        <v/>
      </c>
      <c r="G89" s="49" t="str">
        <f>IF(C89="","",[1]!s_stm_rpt_e(C89,F89,0))</f>
        <v/>
      </c>
      <c r="H89" s="49" t="str">
        <f>IF(C89="","",[1]!hks_info_cur2(C89,F89))</f>
        <v/>
      </c>
      <c r="I89" s="57" t="str">
        <f>IF(C89="","",[1]!s_segment_product_item(C89,G89,1))</f>
        <v/>
      </c>
      <c r="J89" s="23" t="str">
        <f>IF(C89="","",[1]!s_segment_product_sales1(C89,G89,1,H89,100000000))</f>
        <v/>
      </c>
      <c r="K89" s="23" t="str">
        <f>IF(C89="","",[1]!s_segment_product_cost1(C89,G89,1,H89,100000000))</f>
        <v/>
      </c>
      <c r="L89" s="23" t="str">
        <f>IF(C89="","",[1]!s_segment_product_profit1(C89,G89,1,H89,100000000))</f>
        <v/>
      </c>
      <c r="M89" s="25" t="str">
        <f>IF(C89="","",[1]!s_segment_product_gpmargin(C89,G89,1))</f>
        <v/>
      </c>
      <c r="N89" s="57" t="str">
        <f>IF(C89="","",[1]!s_segment_product_item(C89,G89,2))</f>
        <v/>
      </c>
      <c r="O89" s="55" t="str">
        <f>IF(C89="","",[1]!s_segment_product_sales1(C89,G89,2,H89,100000000))</f>
        <v/>
      </c>
      <c r="P89" s="55" t="str">
        <f>IF(C89="","",[1]!s_segment_product_cost1(C89,G89,2,H89,100000000))</f>
        <v/>
      </c>
      <c r="Q89" s="55" t="str">
        <f>IF(C89="","",[1]!s_segment_product_profit1(C89,G89,2,H89,100000000))</f>
        <v/>
      </c>
      <c r="R89" s="59" t="str">
        <f>IF(C89="","",[1]!s_segment_product_gpmargin(C89,G89,2))</f>
        <v/>
      </c>
      <c r="S89" s="57" t="str">
        <f>IF(C89="","",[1]!s_segment_product_item(C89,G89,3))</f>
        <v/>
      </c>
      <c r="T89" s="55" t="str">
        <f>IF(C89="","",[1]!s_segment_product_sales1(C89,G89,3,H89,100000000))</f>
        <v/>
      </c>
      <c r="U89" s="55" t="str">
        <f>IF(C89="","",[1]!s_segment_product_cost1(C89,G89,3,H89,100000000))</f>
        <v/>
      </c>
      <c r="V89" s="55" t="str">
        <f>IF(C89="","",[1]!s_segment_product_profit1(C89,G89,3,H89,100000000))</f>
        <v/>
      </c>
      <c r="W89" s="59" t="str">
        <f>IF(C89="","",[1]!s_segment_product_gpmargin(C89,G89,3))</f>
        <v/>
      </c>
      <c r="X89" s="57" t="str">
        <f>IF(C89="","",[1]!s_segment_product_item(C89,G89,4))</f>
        <v/>
      </c>
      <c r="Y89" s="55" t="str">
        <f>IF(C89="","",[1]!s_segment_product_sales1(C89,G89,4,H89,100000000))</f>
        <v/>
      </c>
      <c r="Z89" s="55" t="str">
        <f>IF(C89="","",[1]!s_segment_product_cost1(C89,G89,4,H89,100000000))</f>
        <v/>
      </c>
      <c r="AA89" s="55" t="str">
        <f>IF(C89="","",[1]!s_segment_product_profit1(C89,G89,4,H89,100000000))</f>
        <v/>
      </c>
      <c r="AB89" s="59" t="str">
        <f>IF(C89="","",[1]!s_segment_product_gpmargin(C89,G89,4))</f>
        <v/>
      </c>
      <c r="AC89" s="57" t="str">
        <f>IF(C89="","",[1]!s_segment_product_item(C89,G89,5))</f>
        <v/>
      </c>
      <c r="AD89" s="55" t="str">
        <f>IF(C89="","",[1]!s_segment_product_sales1(C89,G89,5,H89,100000000))</f>
        <v/>
      </c>
      <c r="AE89" s="55" t="str">
        <f>IF(C89="","",[1]!s_segment_product_cost1(C89,G89,5,H89,100000000))</f>
        <v/>
      </c>
      <c r="AF89" s="55" t="str">
        <f>IF(C89="","",[1]!s_segment_product_profit1(C89,G89,5,H89,100000000))</f>
        <v/>
      </c>
      <c r="AG89" s="56" t="str">
        <f>IF(C89="","",[1]!s_segment_product_gpmargin(C89,G89,5))</f>
        <v/>
      </c>
      <c r="AH89" s="35"/>
    </row>
    <row r="90" spans="1:34" s="36" customFormat="1" ht="16.5" x14ac:dyDescent="0.2">
      <c r="A90" s="2"/>
      <c r="B90" s="6"/>
      <c r="C90" s="28" t="str">
        <f>IF(表1[[#This Row],[列1]]="","",表1[[#This Row],[列1]])</f>
        <v/>
      </c>
      <c r="D90" s="19" t="str">
        <f>IF(C90="","",[1]!hks_info_name(C90))</f>
        <v/>
      </c>
      <c r="E90" s="19" t="str">
        <f ca="1">IF(C90="","",[1]!lastradeday_s(C90,TODAY()))</f>
        <v/>
      </c>
      <c r="F90" s="49" t="str">
        <f>IF(C90="","",IF(OR([1]!s_stm_rpt_e(C90,基本资料!$I$8,0)="#N/A",[1]!s_stm_rpt_e(C90,基本资料!$I$8,0)="",[1]!s_stm_rpt_e(C90,基本资料!$I$8,0)=0),[1]!s_stm_rpt_e(C90,基本资料!$I$9,0),[1]!s_stm_rpt_e(C90,基本资料!$I$8,0)))</f>
        <v/>
      </c>
      <c r="G90" s="49" t="str">
        <f>IF(C90="","",[1]!s_stm_rpt_e(C90,F90,0))</f>
        <v/>
      </c>
      <c r="H90" s="49" t="str">
        <f>IF(C90="","",[1]!hks_info_cur2(C90,F90))</f>
        <v/>
      </c>
      <c r="I90" s="57" t="str">
        <f>IF(C90="","",[1]!s_segment_product_item(C90,G90,1))</f>
        <v/>
      </c>
      <c r="J90" s="23" t="str">
        <f>IF(C90="","",[1]!s_segment_product_sales1(C90,G90,1,H90,100000000))</f>
        <v/>
      </c>
      <c r="K90" s="23" t="str">
        <f>IF(C90="","",[1]!s_segment_product_cost1(C90,G90,1,H90,100000000))</f>
        <v/>
      </c>
      <c r="L90" s="23" t="str">
        <f>IF(C90="","",[1]!s_segment_product_profit1(C90,G90,1,H90,100000000))</f>
        <v/>
      </c>
      <c r="M90" s="25" t="str">
        <f>IF(C90="","",[1]!s_segment_product_gpmargin(C90,G90,1))</f>
        <v/>
      </c>
      <c r="N90" s="57" t="str">
        <f>IF(C90="","",[1]!s_segment_product_item(C90,G90,2))</f>
        <v/>
      </c>
      <c r="O90" s="55" t="str">
        <f>IF(C90="","",[1]!s_segment_product_sales1(C90,G90,2,H90,100000000))</f>
        <v/>
      </c>
      <c r="P90" s="55" t="str">
        <f>IF(C90="","",[1]!s_segment_product_cost1(C90,G90,2,H90,100000000))</f>
        <v/>
      </c>
      <c r="Q90" s="55" t="str">
        <f>IF(C90="","",[1]!s_segment_product_profit1(C90,G90,2,H90,100000000))</f>
        <v/>
      </c>
      <c r="R90" s="59" t="str">
        <f>IF(C90="","",[1]!s_segment_product_gpmargin(C90,G90,2))</f>
        <v/>
      </c>
      <c r="S90" s="57" t="str">
        <f>IF(C90="","",[1]!s_segment_product_item(C90,G90,3))</f>
        <v/>
      </c>
      <c r="T90" s="55" t="str">
        <f>IF(C90="","",[1]!s_segment_product_sales1(C90,G90,3,H90,100000000))</f>
        <v/>
      </c>
      <c r="U90" s="55" t="str">
        <f>IF(C90="","",[1]!s_segment_product_cost1(C90,G90,3,H90,100000000))</f>
        <v/>
      </c>
      <c r="V90" s="55" t="str">
        <f>IF(C90="","",[1]!s_segment_product_profit1(C90,G90,3,H90,100000000))</f>
        <v/>
      </c>
      <c r="W90" s="59" t="str">
        <f>IF(C90="","",[1]!s_segment_product_gpmargin(C90,G90,3))</f>
        <v/>
      </c>
      <c r="X90" s="57" t="str">
        <f>IF(C90="","",[1]!s_segment_product_item(C90,G90,4))</f>
        <v/>
      </c>
      <c r="Y90" s="55" t="str">
        <f>IF(C90="","",[1]!s_segment_product_sales1(C90,G90,4,H90,100000000))</f>
        <v/>
      </c>
      <c r="Z90" s="55" t="str">
        <f>IF(C90="","",[1]!s_segment_product_cost1(C90,G90,4,H90,100000000))</f>
        <v/>
      </c>
      <c r="AA90" s="55" t="str">
        <f>IF(C90="","",[1]!s_segment_product_profit1(C90,G90,4,H90,100000000))</f>
        <v/>
      </c>
      <c r="AB90" s="59" t="str">
        <f>IF(C90="","",[1]!s_segment_product_gpmargin(C90,G90,4))</f>
        <v/>
      </c>
      <c r="AC90" s="57" t="str">
        <f>IF(C90="","",[1]!s_segment_product_item(C90,G90,5))</f>
        <v/>
      </c>
      <c r="AD90" s="55" t="str">
        <f>IF(C90="","",[1]!s_segment_product_sales1(C90,G90,5,H90,100000000))</f>
        <v/>
      </c>
      <c r="AE90" s="55" t="str">
        <f>IF(C90="","",[1]!s_segment_product_cost1(C90,G90,5,H90,100000000))</f>
        <v/>
      </c>
      <c r="AF90" s="55" t="str">
        <f>IF(C90="","",[1]!s_segment_product_profit1(C90,G90,5,H90,100000000))</f>
        <v/>
      </c>
      <c r="AG90" s="56" t="str">
        <f>IF(C90="","",[1]!s_segment_product_gpmargin(C90,G90,5))</f>
        <v/>
      </c>
      <c r="AH90" s="35"/>
    </row>
    <row r="91" spans="1:34" s="36" customFormat="1" ht="16.5" x14ac:dyDescent="0.2">
      <c r="A91" s="2"/>
      <c r="B91" s="6"/>
      <c r="C91" s="28" t="str">
        <f>IF(表1[[#This Row],[列1]]="","",表1[[#This Row],[列1]])</f>
        <v/>
      </c>
      <c r="D91" s="19" t="str">
        <f>IF(C91="","",[1]!hks_info_name(C91))</f>
        <v/>
      </c>
      <c r="E91" s="19" t="str">
        <f ca="1">IF(C91="","",[1]!lastradeday_s(C91,TODAY()))</f>
        <v/>
      </c>
      <c r="F91" s="49" t="str">
        <f>IF(C91="","",IF(OR([1]!s_stm_rpt_e(C91,基本资料!$I$8,0)="#N/A",[1]!s_stm_rpt_e(C91,基本资料!$I$8,0)="",[1]!s_stm_rpt_e(C91,基本资料!$I$8,0)=0),[1]!s_stm_rpt_e(C91,基本资料!$I$9,0),[1]!s_stm_rpt_e(C91,基本资料!$I$8,0)))</f>
        <v/>
      </c>
      <c r="G91" s="49" t="str">
        <f>IF(C91="","",[1]!s_stm_rpt_e(C91,F91,0))</f>
        <v/>
      </c>
      <c r="H91" s="49" t="str">
        <f>IF(C91="","",[1]!hks_info_cur2(C91,F91))</f>
        <v/>
      </c>
      <c r="I91" s="57" t="str">
        <f>IF(C91="","",[1]!s_segment_product_item(C91,G91,1))</f>
        <v/>
      </c>
      <c r="J91" s="23" t="str">
        <f>IF(C91="","",[1]!s_segment_product_sales1(C91,G91,1,H91,100000000))</f>
        <v/>
      </c>
      <c r="K91" s="23" t="str">
        <f>IF(C91="","",[1]!s_segment_product_cost1(C91,G91,1,H91,100000000))</f>
        <v/>
      </c>
      <c r="L91" s="23" t="str">
        <f>IF(C91="","",[1]!s_segment_product_profit1(C91,G91,1,H91,100000000))</f>
        <v/>
      </c>
      <c r="M91" s="25" t="str">
        <f>IF(C91="","",[1]!s_segment_product_gpmargin(C91,G91,1))</f>
        <v/>
      </c>
      <c r="N91" s="57" t="str">
        <f>IF(C91="","",[1]!s_segment_product_item(C91,G91,2))</f>
        <v/>
      </c>
      <c r="O91" s="55" t="str">
        <f>IF(C91="","",[1]!s_segment_product_sales1(C91,G91,2,H91,100000000))</f>
        <v/>
      </c>
      <c r="P91" s="55" t="str">
        <f>IF(C91="","",[1]!s_segment_product_cost1(C91,G91,2,H91,100000000))</f>
        <v/>
      </c>
      <c r="Q91" s="55" t="str">
        <f>IF(C91="","",[1]!s_segment_product_profit1(C91,G91,2,H91,100000000))</f>
        <v/>
      </c>
      <c r="R91" s="59" t="str">
        <f>IF(C91="","",[1]!s_segment_product_gpmargin(C91,G91,2))</f>
        <v/>
      </c>
      <c r="S91" s="57" t="str">
        <f>IF(C91="","",[1]!s_segment_product_item(C91,G91,3))</f>
        <v/>
      </c>
      <c r="T91" s="55" t="str">
        <f>IF(C91="","",[1]!s_segment_product_sales1(C91,G91,3,H91,100000000))</f>
        <v/>
      </c>
      <c r="U91" s="55" t="str">
        <f>IF(C91="","",[1]!s_segment_product_cost1(C91,G91,3,H91,100000000))</f>
        <v/>
      </c>
      <c r="V91" s="55" t="str">
        <f>IF(C91="","",[1]!s_segment_product_profit1(C91,G91,3,H91,100000000))</f>
        <v/>
      </c>
      <c r="W91" s="59" t="str">
        <f>IF(C91="","",[1]!s_segment_product_gpmargin(C91,G91,3))</f>
        <v/>
      </c>
      <c r="X91" s="57" t="str">
        <f>IF(C91="","",[1]!s_segment_product_item(C91,G91,4))</f>
        <v/>
      </c>
      <c r="Y91" s="55" t="str">
        <f>IF(C91="","",[1]!s_segment_product_sales1(C91,G91,4,H91,100000000))</f>
        <v/>
      </c>
      <c r="Z91" s="55" t="str">
        <f>IF(C91="","",[1]!s_segment_product_cost1(C91,G91,4,H91,100000000))</f>
        <v/>
      </c>
      <c r="AA91" s="55" t="str">
        <f>IF(C91="","",[1]!s_segment_product_profit1(C91,G91,4,H91,100000000))</f>
        <v/>
      </c>
      <c r="AB91" s="59" t="str">
        <f>IF(C91="","",[1]!s_segment_product_gpmargin(C91,G91,4))</f>
        <v/>
      </c>
      <c r="AC91" s="57" t="str">
        <f>IF(C91="","",[1]!s_segment_product_item(C91,G91,5))</f>
        <v/>
      </c>
      <c r="AD91" s="55" t="str">
        <f>IF(C91="","",[1]!s_segment_product_sales1(C91,G91,5,H91,100000000))</f>
        <v/>
      </c>
      <c r="AE91" s="55" t="str">
        <f>IF(C91="","",[1]!s_segment_product_cost1(C91,G91,5,H91,100000000))</f>
        <v/>
      </c>
      <c r="AF91" s="55" t="str">
        <f>IF(C91="","",[1]!s_segment_product_profit1(C91,G91,5,H91,100000000))</f>
        <v/>
      </c>
      <c r="AG91" s="56" t="str">
        <f>IF(C91="","",[1]!s_segment_product_gpmargin(C91,G91,5))</f>
        <v/>
      </c>
      <c r="AH91" s="35"/>
    </row>
    <row r="92" spans="1:34" s="36" customFormat="1" ht="16.5" x14ac:dyDescent="0.2">
      <c r="A92" s="2"/>
      <c r="B92" s="6"/>
      <c r="C92" s="28" t="str">
        <f>IF(表1[[#This Row],[列1]]="","",表1[[#This Row],[列1]])</f>
        <v/>
      </c>
      <c r="D92" s="19" t="str">
        <f>IF(C92="","",[1]!hks_info_name(C92))</f>
        <v/>
      </c>
      <c r="E92" s="19" t="str">
        <f ca="1">IF(C92="","",[1]!lastradeday_s(C92,TODAY()))</f>
        <v/>
      </c>
      <c r="F92" s="49" t="str">
        <f>IF(C92="","",IF(OR([1]!s_stm_rpt_e(C92,基本资料!$I$8,0)="#N/A",[1]!s_stm_rpt_e(C92,基本资料!$I$8,0)="",[1]!s_stm_rpt_e(C92,基本资料!$I$8,0)=0),[1]!s_stm_rpt_e(C92,基本资料!$I$9,0),[1]!s_stm_rpt_e(C92,基本资料!$I$8,0)))</f>
        <v/>
      </c>
      <c r="G92" s="49" t="str">
        <f>IF(C92="","",[1]!s_stm_rpt_e(C92,F92,0))</f>
        <v/>
      </c>
      <c r="H92" s="49" t="str">
        <f>IF(C92="","",[1]!hks_info_cur2(C92,F92))</f>
        <v/>
      </c>
      <c r="I92" s="57" t="str">
        <f>IF(C92="","",[1]!s_segment_product_item(C92,G92,1))</f>
        <v/>
      </c>
      <c r="J92" s="23" t="str">
        <f>IF(C92="","",[1]!s_segment_product_sales1(C92,G92,1,H92,100000000))</f>
        <v/>
      </c>
      <c r="K92" s="23" t="str">
        <f>IF(C92="","",[1]!s_segment_product_cost1(C92,G92,1,H92,100000000))</f>
        <v/>
      </c>
      <c r="L92" s="23" t="str">
        <f>IF(C92="","",[1]!s_segment_product_profit1(C92,G92,1,H92,100000000))</f>
        <v/>
      </c>
      <c r="M92" s="25" t="str">
        <f>IF(C92="","",[1]!s_segment_product_gpmargin(C92,G92,1))</f>
        <v/>
      </c>
      <c r="N92" s="57" t="str">
        <f>IF(C92="","",[1]!s_segment_product_item(C92,G92,2))</f>
        <v/>
      </c>
      <c r="O92" s="55" t="str">
        <f>IF(C92="","",[1]!s_segment_product_sales1(C92,G92,2,H92,100000000))</f>
        <v/>
      </c>
      <c r="P92" s="55" t="str">
        <f>IF(C92="","",[1]!s_segment_product_cost1(C92,G92,2,H92,100000000))</f>
        <v/>
      </c>
      <c r="Q92" s="55" t="str">
        <f>IF(C92="","",[1]!s_segment_product_profit1(C92,G92,2,H92,100000000))</f>
        <v/>
      </c>
      <c r="R92" s="59" t="str">
        <f>IF(C92="","",[1]!s_segment_product_gpmargin(C92,G92,2))</f>
        <v/>
      </c>
      <c r="S92" s="57" t="str">
        <f>IF(C92="","",[1]!s_segment_product_item(C92,G92,3))</f>
        <v/>
      </c>
      <c r="T92" s="55" t="str">
        <f>IF(C92="","",[1]!s_segment_product_sales1(C92,G92,3,H92,100000000))</f>
        <v/>
      </c>
      <c r="U92" s="55" t="str">
        <f>IF(C92="","",[1]!s_segment_product_cost1(C92,G92,3,H92,100000000))</f>
        <v/>
      </c>
      <c r="V92" s="55" t="str">
        <f>IF(C92="","",[1]!s_segment_product_profit1(C92,G92,3,H92,100000000))</f>
        <v/>
      </c>
      <c r="W92" s="59" t="str">
        <f>IF(C92="","",[1]!s_segment_product_gpmargin(C92,G92,3))</f>
        <v/>
      </c>
      <c r="X92" s="57" t="str">
        <f>IF(C92="","",[1]!s_segment_product_item(C92,G92,4))</f>
        <v/>
      </c>
      <c r="Y92" s="55" t="str">
        <f>IF(C92="","",[1]!s_segment_product_sales1(C92,G92,4,H92,100000000))</f>
        <v/>
      </c>
      <c r="Z92" s="55" t="str">
        <f>IF(C92="","",[1]!s_segment_product_cost1(C92,G92,4,H92,100000000))</f>
        <v/>
      </c>
      <c r="AA92" s="55" t="str">
        <f>IF(C92="","",[1]!s_segment_product_profit1(C92,G92,4,H92,100000000))</f>
        <v/>
      </c>
      <c r="AB92" s="59" t="str">
        <f>IF(C92="","",[1]!s_segment_product_gpmargin(C92,G92,4))</f>
        <v/>
      </c>
      <c r="AC92" s="57" t="str">
        <f>IF(C92="","",[1]!s_segment_product_item(C92,G92,5))</f>
        <v/>
      </c>
      <c r="AD92" s="55" t="str">
        <f>IF(C92="","",[1]!s_segment_product_sales1(C92,G92,5,H92,100000000))</f>
        <v/>
      </c>
      <c r="AE92" s="55" t="str">
        <f>IF(C92="","",[1]!s_segment_product_cost1(C92,G92,5,H92,100000000))</f>
        <v/>
      </c>
      <c r="AF92" s="55" t="str">
        <f>IF(C92="","",[1]!s_segment_product_profit1(C92,G92,5,H92,100000000))</f>
        <v/>
      </c>
      <c r="AG92" s="56" t="str">
        <f>IF(C92="","",[1]!s_segment_product_gpmargin(C92,G92,5))</f>
        <v/>
      </c>
      <c r="AH92" s="35"/>
    </row>
    <row r="93" spans="1:34" s="36" customFormat="1" ht="16.5" x14ac:dyDescent="0.2">
      <c r="A93" s="2"/>
      <c r="B93" s="6"/>
      <c r="C93" s="28" t="str">
        <f>IF(表1[[#This Row],[列1]]="","",表1[[#This Row],[列1]])</f>
        <v/>
      </c>
      <c r="D93" s="19" t="str">
        <f>IF(C93="","",[1]!hks_info_name(C93))</f>
        <v/>
      </c>
      <c r="E93" s="19" t="str">
        <f ca="1">IF(C93="","",[1]!lastradeday_s(C93,TODAY()))</f>
        <v/>
      </c>
      <c r="F93" s="49" t="str">
        <f>IF(C93="","",IF(OR([1]!s_stm_rpt_e(C93,基本资料!$I$8,0)="#N/A",[1]!s_stm_rpt_e(C93,基本资料!$I$8,0)="",[1]!s_stm_rpt_e(C93,基本资料!$I$8,0)=0),[1]!s_stm_rpt_e(C93,基本资料!$I$9,0),[1]!s_stm_rpt_e(C93,基本资料!$I$8,0)))</f>
        <v/>
      </c>
      <c r="G93" s="49" t="str">
        <f>IF(C93="","",[1]!s_stm_rpt_e(C93,F93,0))</f>
        <v/>
      </c>
      <c r="H93" s="49" t="str">
        <f>IF(C93="","",[1]!hks_info_cur2(C93,F93))</f>
        <v/>
      </c>
      <c r="I93" s="57" t="str">
        <f>IF(C93="","",[1]!s_segment_product_item(C93,G93,1))</f>
        <v/>
      </c>
      <c r="J93" s="23" t="str">
        <f>IF(C93="","",[1]!s_segment_product_sales1(C93,G93,1,H93,100000000))</f>
        <v/>
      </c>
      <c r="K93" s="23" t="str">
        <f>IF(C93="","",[1]!s_segment_product_cost1(C93,G93,1,H93,100000000))</f>
        <v/>
      </c>
      <c r="L93" s="23" t="str">
        <f>IF(C93="","",[1]!s_segment_product_profit1(C93,G93,1,H93,100000000))</f>
        <v/>
      </c>
      <c r="M93" s="25" t="str">
        <f>IF(C93="","",[1]!s_segment_product_gpmargin(C93,G93,1))</f>
        <v/>
      </c>
      <c r="N93" s="57" t="str">
        <f>IF(C93="","",[1]!s_segment_product_item(C93,G93,2))</f>
        <v/>
      </c>
      <c r="O93" s="55" t="str">
        <f>IF(C93="","",[1]!s_segment_product_sales1(C93,G93,2,H93,100000000))</f>
        <v/>
      </c>
      <c r="P93" s="55" t="str">
        <f>IF(C93="","",[1]!s_segment_product_cost1(C93,G93,2,H93,100000000))</f>
        <v/>
      </c>
      <c r="Q93" s="55" t="str">
        <f>IF(C93="","",[1]!s_segment_product_profit1(C93,G93,2,H93,100000000))</f>
        <v/>
      </c>
      <c r="R93" s="59" t="str">
        <f>IF(C93="","",[1]!s_segment_product_gpmargin(C93,G93,2))</f>
        <v/>
      </c>
      <c r="S93" s="57" t="str">
        <f>IF(C93="","",[1]!s_segment_product_item(C93,G93,3))</f>
        <v/>
      </c>
      <c r="T93" s="55" t="str">
        <f>IF(C93="","",[1]!s_segment_product_sales1(C93,G93,3,H93,100000000))</f>
        <v/>
      </c>
      <c r="U93" s="55" t="str">
        <f>IF(C93="","",[1]!s_segment_product_cost1(C93,G93,3,H93,100000000))</f>
        <v/>
      </c>
      <c r="V93" s="55" t="str">
        <f>IF(C93="","",[1]!s_segment_product_profit1(C93,G93,3,H93,100000000))</f>
        <v/>
      </c>
      <c r="W93" s="59" t="str">
        <f>IF(C93="","",[1]!s_segment_product_gpmargin(C93,G93,3))</f>
        <v/>
      </c>
      <c r="X93" s="57" t="str">
        <f>IF(C93="","",[1]!s_segment_product_item(C93,G93,4))</f>
        <v/>
      </c>
      <c r="Y93" s="55" t="str">
        <f>IF(C93="","",[1]!s_segment_product_sales1(C93,G93,4,H93,100000000))</f>
        <v/>
      </c>
      <c r="Z93" s="55" t="str">
        <f>IF(C93="","",[1]!s_segment_product_cost1(C93,G93,4,H93,100000000))</f>
        <v/>
      </c>
      <c r="AA93" s="55" t="str">
        <f>IF(C93="","",[1]!s_segment_product_profit1(C93,G93,4,H93,100000000))</f>
        <v/>
      </c>
      <c r="AB93" s="59" t="str">
        <f>IF(C93="","",[1]!s_segment_product_gpmargin(C93,G93,4))</f>
        <v/>
      </c>
      <c r="AC93" s="57" t="str">
        <f>IF(C93="","",[1]!s_segment_product_item(C93,G93,5))</f>
        <v/>
      </c>
      <c r="AD93" s="55" t="str">
        <f>IF(C93="","",[1]!s_segment_product_sales1(C93,G93,5,H93,100000000))</f>
        <v/>
      </c>
      <c r="AE93" s="55" t="str">
        <f>IF(C93="","",[1]!s_segment_product_cost1(C93,G93,5,H93,100000000))</f>
        <v/>
      </c>
      <c r="AF93" s="55" t="str">
        <f>IF(C93="","",[1]!s_segment_product_profit1(C93,G93,5,H93,100000000))</f>
        <v/>
      </c>
      <c r="AG93" s="56" t="str">
        <f>IF(C93="","",[1]!s_segment_product_gpmargin(C93,G93,5))</f>
        <v/>
      </c>
      <c r="AH93" s="35"/>
    </row>
    <row r="94" spans="1:34" s="36" customFormat="1" ht="16.5" x14ac:dyDescent="0.2">
      <c r="A94" s="2"/>
      <c r="B94" s="6"/>
      <c r="C94" s="28" t="str">
        <f>IF(表1[[#This Row],[列1]]="","",表1[[#This Row],[列1]])</f>
        <v/>
      </c>
      <c r="D94" s="19" t="str">
        <f>IF(C94="","",[1]!hks_info_name(C94))</f>
        <v/>
      </c>
      <c r="E94" s="19" t="str">
        <f ca="1">IF(C94="","",[1]!lastradeday_s(C94,TODAY()))</f>
        <v/>
      </c>
      <c r="F94" s="49" t="str">
        <f>IF(C94="","",IF(OR([1]!s_stm_rpt_e(C94,基本资料!$I$8,0)="#N/A",[1]!s_stm_rpt_e(C94,基本资料!$I$8,0)="",[1]!s_stm_rpt_e(C94,基本资料!$I$8,0)=0),[1]!s_stm_rpt_e(C94,基本资料!$I$9,0),[1]!s_stm_rpt_e(C94,基本资料!$I$8,0)))</f>
        <v/>
      </c>
      <c r="G94" s="49" t="str">
        <f>IF(C94="","",[1]!s_stm_rpt_e(C94,F94,0))</f>
        <v/>
      </c>
      <c r="H94" s="49" t="str">
        <f>IF(C94="","",[1]!hks_info_cur2(C94,F94))</f>
        <v/>
      </c>
      <c r="I94" s="57" t="str">
        <f>IF(C94="","",[1]!s_segment_product_item(C94,G94,1))</f>
        <v/>
      </c>
      <c r="J94" s="23" t="str">
        <f>IF(C94="","",[1]!s_segment_product_sales1(C94,G94,1,H94,100000000))</f>
        <v/>
      </c>
      <c r="K94" s="23" t="str">
        <f>IF(C94="","",[1]!s_segment_product_cost1(C94,G94,1,H94,100000000))</f>
        <v/>
      </c>
      <c r="L94" s="23" t="str">
        <f>IF(C94="","",[1]!s_segment_product_profit1(C94,G94,1,H94,100000000))</f>
        <v/>
      </c>
      <c r="M94" s="25" t="str">
        <f>IF(C94="","",[1]!s_segment_product_gpmargin(C94,G94,1))</f>
        <v/>
      </c>
      <c r="N94" s="57" t="str">
        <f>IF(C94="","",[1]!s_segment_product_item(C94,G94,2))</f>
        <v/>
      </c>
      <c r="O94" s="55" t="str">
        <f>IF(C94="","",[1]!s_segment_product_sales1(C94,G94,2,H94,100000000))</f>
        <v/>
      </c>
      <c r="P94" s="55" t="str">
        <f>IF(C94="","",[1]!s_segment_product_cost1(C94,G94,2,H94,100000000))</f>
        <v/>
      </c>
      <c r="Q94" s="55" t="str">
        <f>IF(C94="","",[1]!s_segment_product_profit1(C94,G94,2,H94,100000000))</f>
        <v/>
      </c>
      <c r="R94" s="59" t="str">
        <f>IF(C94="","",[1]!s_segment_product_gpmargin(C94,G94,2))</f>
        <v/>
      </c>
      <c r="S94" s="57" t="str">
        <f>IF(C94="","",[1]!s_segment_product_item(C94,G94,3))</f>
        <v/>
      </c>
      <c r="T94" s="55" t="str">
        <f>IF(C94="","",[1]!s_segment_product_sales1(C94,G94,3,H94,100000000))</f>
        <v/>
      </c>
      <c r="U94" s="55" t="str">
        <f>IF(C94="","",[1]!s_segment_product_cost1(C94,G94,3,H94,100000000))</f>
        <v/>
      </c>
      <c r="V94" s="55" t="str">
        <f>IF(C94="","",[1]!s_segment_product_profit1(C94,G94,3,H94,100000000))</f>
        <v/>
      </c>
      <c r="W94" s="59" t="str">
        <f>IF(C94="","",[1]!s_segment_product_gpmargin(C94,G94,3))</f>
        <v/>
      </c>
      <c r="X94" s="57" t="str">
        <f>IF(C94="","",[1]!s_segment_product_item(C94,G94,4))</f>
        <v/>
      </c>
      <c r="Y94" s="55" t="str">
        <f>IF(C94="","",[1]!s_segment_product_sales1(C94,G94,4,H94,100000000))</f>
        <v/>
      </c>
      <c r="Z94" s="55" t="str">
        <f>IF(C94="","",[1]!s_segment_product_cost1(C94,G94,4,H94,100000000))</f>
        <v/>
      </c>
      <c r="AA94" s="55" t="str">
        <f>IF(C94="","",[1]!s_segment_product_profit1(C94,G94,4,H94,100000000))</f>
        <v/>
      </c>
      <c r="AB94" s="59" t="str">
        <f>IF(C94="","",[1]!s_segment_product_gpmargin(C94,G94,4))</f>
        <v/>
      </c>
      <c r="AC94" s="57" t="str">
        <f>IF(C94="","",[1]!s_segment_product_item(C94,G94,5))</f>
        <v/>
      </c>
      <c r="AD94" s="55" t="str">
        <f>IF(C94="","",[1]!s_segment_product_sales1(C94,G94,5,H94,100000000))</f>
        <v/>
      </c>
      <c r="AE94" s="55" t="str">
        <f>IF(C94="","",[1]!s_segment_product_cost1(C94,G94,5,H94,100000000))</f>
        <v/>
      </c>
      <c r="AF94" s="55" t="str">
        <f>IF(C94="","",[1]!s_segment_product_profit1(C94,G94,5,H94,100000000))</f>
        <v/>
      </c>
      <c r="AG94" s="56" t="str">
        <f>IF(C94="","",[1]!s_segment_product_gpmargin(C94,G94,5))</f>
        <v/>
      </c>
      <c r="AH94" s="35"/>
    </row>
    <row r="95" spans="1:34" s="36" customFormat="1" ht="16.5" x14ac:dyDescent="0.2">
      <c r="A95" s="2"/>
      <c r="B95" s="6"/>
      <c r="C95" s="28" t="str">
        <f>IF(表1[[#This Row],[列1]]="","",表1[[#This Row],[列1]])</f>
        <v/>
      </c>
      <c r="D95" s="19" t="str">
        <f>IF(C95="","",[1]!hks_info_name(C95))</f>
        <v/>
      </c>
      <c r="E95" s="19" t="str">
        <f ca="1">IF(C95="","",[1]!lastradeday_s(C95,TODAY()))</f>
        <v/>
      </c>
      <c r="F95" s="49" t="str">
        <f>IF(C95="","",IF(OR([1]!s_stm_rpt_e(C95,基本资料!$I$8,0)="#N/A",[1]!s_stm_rpt_e(C95,基本资料!$I$8,0)="",[1]!s_stm_rpt_e(C95,基本资料!$I$8,0)=0),[1]!s_stm_rpt_e(C95,基本资料!$I$9,0),[1]!s_stm_rpt_e(C95,基本资料!$I$8,0)))</f>
        <v/>
      </c>
      <c r="G95" s="49" t="str">
        <f>IF(C95="","",[1]!s_stm_rpt_e(C95,F95,0))</f>
        <v/>
      </c>
      <c r="H95" s="49" t="str">
        <f>IF(C95="","",[1]!hks_info_cur2(C95,F95))</f>
        <v/>
      </c>
      <c r="I95" s="57" t="str">
        <f>IF(C95="","",[1]!s_segment_product_item(C95,G95,1))</f>
        <v/>
      </c>
      <c r="J95" s="23" t="str">
        <f>IF(C95="","",[1]!s_segment_product_sales1(C95,G95,1,H95,100000000))</f>
        <v/>
      </c>
      <c r="K95" s="23" t="str">
        <f>IF(C95="","",[1]!s_segment_product_cost1(C95,G95,1,H95,100000000))</f>
        <v/>
      </c>
      <c r="L95" s="23" t="str">
        <f>IF(C95="","",[1]!s_segment_product_profit1(C95,G95,1,H95,100000000))</f>
        <v/>
      </c>
      <c r="M95" s="25" t="str">
        <f>IF(C95="","",[1]!s_segment_product_gpmargin(C95,G95,1))</f>
        <v/>
      </c>
      <c r="N95" s="57" t="str">
        <f>IF(C95="","",[1]!s_segment_product_item(C95,G95,2))</f>
        <v/>
      </c>
      <c r="O95" s="55" t="str">
        <f>IF(C95="","",[1]!s_segment_product_sales1(C95,G95,2,H95,100000000))</f>
        <v/>
      </c>
      <c r="P95" s="55" t="str">
        <f>IF(C95="","",[1]!s_segment_product_cost1(C95,G95,2,H95,100000000))</f>
        <v/>
      </c>
      <c r="Q95" s="55" t="str">
        <f>IF(C95="","",[1]!s_segment_product_profit1(C95,G95,2,H95,100000000))</f>
        <v/>
      </c>
      <c r="R95" s="59" t="str">
        <f>IF(C95="","",[1]!s_segment_product_gpmargin(C95,G95,2))</f>
        <v/>
      </c>
      <c r="S95" s="57" t="str">
        <f>IF(C95="","",[1]!s_segment_product_item(C95,G95,3))</f>
        <v/>
      </c>
      <c r="T95" s="55" t="str">
        <f>IF(C95="","",[1]!s_segment_product_sales1(C95,G95,3,H95,100000000))</f>
        <v/>
      </c>
      <c r="U95" s="55" t="str">
        <f>IF(C95="","",[1]!s_segment_product_cost1(C95,G95,3,H95,100000000))</f>
        <v/>
      </c>
      <c r="V95" s="55" t="str">
        <f>IF(C95="","",[1]!s_segment_product_profit1(C95,G95,3,H95,100000000))</f>
        <v/>
      </c>
      <c r="W95" s="59" t="str">
        <f>IF(C95="","",[1]!s_segment_product_gpmargin(C95,G95,3))</f>
        <v/>
      </c>
      <c r="X95" s="57" t="str">
        <f>IF(C95="","",[1]!s_segment_product_item(C95,G95,4))</f>
        <v/>
      </c>
      <c r="Y95" s="55" t="str">
        <f>IF(C95="","",[1]!s_segment_product_sales1(C95,G95,4,H95,100000000))</f>
        <v/>
      </c>
      <c r="Z95" s="55" t="str">
        <f>IF(C95="","",[1]!s_segment_product_cost1(C95,G95,4,H95,100000000))</f>
        <v/>
      </c>
      <c r="AA95" s="55" t="str">
        <f>IF(C95="","",[1]!s_segment_product_profit1(C95,G95,4,H95,100000000))</f>
        <v/>
      </c>
      <c r="AB95" s="59" t="str">
        <f>IF(C95="","",[1]!s_segment_product_gpmargin(C95,G95,4))</f>
        <v/>
      </c>
      <c r="AC95" s="57" t="str">
        <f>IF(C95="","",[1]!s_segment_product_item(C95,G95,5))</f>
        <v/>
      </c>
      <c r="AD95" s="55" t="str">
        <f>IF(C95="","",[1]!s_segment_product_sales1(C95,G95,5,H95,100000000))</f>
        <v/>
      </c>
      <c r="AE95" s="55" t="str">
        <f>IF(C95="","",[1]!s_segment_product_cost1(C95,G95,5,H95,100000000))</f>
        <v/>
      </c>
      <c r="AF95" s="55" t="str">
        <f>IF(C95="","",[1]!s_segment_product_profit1(C95,G95,5,H95,100000000))</f>
        <v/>
      </c>
      <c r="AG95" s="56" t="str">
        <f>IF(C95="","",[1]!s_segment_product_gpmargin(C95,G95,5))</f>
        <v/>
      </c>
      <c r="AH95" s="35"/>
    </row>
    <row r="96" spans="1:34" s="36" customFormat="1" ht="16.5" x14ac:dyDescent="0.2">
      <c r="A96" s="2"/>
      <c r="B96" s="6"/>
      <c r="C96" s="28" t="str">
        <f>IF(表1[[#This Row],[列1]]="","",表1[[#This Row],[列1]])</f>
        <v/>
      </c>
      <c r="D96" s="19" t="str">
        <f>IF(C96="","",[1]!hks_info_name(C96))</f>
        <v/>
      </c>
      <c r="E96" s="19" t="str">
        <f ca="1">IF(C96="","",[1]!lastradeday_s(C96,TODAY()))</f>
        <v/>
      </c>
      <c r="F96" s="49" t="str">
        <f>IF(C96="","",IF(OR([1]!s_stm_rpt_e(C96,基本资料!$I$8,0)="#N/A",[1]!s_stm_rpt_e(C96,基本资料!$I$8,0)="",[1]!s_stm_rpt_e(C96,基本资料!$I$8,0)=0),[1]!s_stm_rpt_e(C96,基本资料!$I$9,0),[1]!s_stm_rpt_e(C96,基本资料!$I$8,0)))</f>
        <v/>
      </c>
      <c r="G96" s="49" t="str">
        <f>IF(C96="","",[1]!s_stm_rpt_e(C96,F96,0))</f>
        <v/>
      </c>
      <c r="H96" s="49" t="str">
        <f>IF(C96="","",[1]!hks_info_cur2(C96,F96))</f>
        <v/>
      </c>
      <c r="I96" s="57" t="str">
        <f>IF(C96="","",[1]!s_segment_product_item(C96,G96,1))</f>
        <v/>
      </c>
      <c r="J96" s="23" t="str">
        <f>IF(C96="","",[1]!s_segment_product_sales1(C96,G96,1,H96,100000000))</f>
        <v/>
      </c>
      <c r="K96" s="23" t="str">
        <f>IF(C96="","",[1]!s_segment_product_cost1(C96,G96,1,H96,100000000))</f>
        <v/>
      </c>
      <c r="L96" s="23" t="str">
        <f>IF(C96="","",[1]!s_segment_product_profit1(C96,G96,1,H96,100000000))</f>
        <v/>
      </c>
      <c r="M96" s="25" t="str">
        <f>IF(C96="","",[1]!s_segment_product_gpmargin(C96,G96,1))</f>
        <v/>
      </c>
      <c r="N96" s="57" t="str">
        <f>IF(C96="","",[1]!s_segment_product_item(C96,G96,2))</f>
        <v/>
      </c>
      <c r="O96" s="55" t="str">
        <f>IF(C96="","",[1]!s_segment_product_sales1(C96,G96,2,H96,100000000))</f>
        <v/>
      </c>
      <c r="P96" s="55" t="str">
        <f>IF(C96="","",[1]!s_segment_product_cost1(C96,G96,2,H96,100000000))</f>
        <v/>
      </c>
      <c r="Q96" s="55" t="str">
        <f>IF(C96="","",[1]!s_segment_product_profit1(C96,G96,2,H96,100000000))</f>
        <v/>
      </c>
      <c r="R96" s="59" t="str">
        <f>IF(C96="","",[1]!s_segment_product_gpmargin(C96,G96,2))</f>
        <v/>
      </c>
      <c r="S96" s="57" t="str">
        <f>IF(C96="","",[1]!s_segment_product_item(C96,G96,3))</f>
        <v/>
      </c>
      <c r="T96" s="55" t="str">
        <f>IF(C96="","",[1]!s_segment_product_sales1(C96,G96,3,H96,100000000))</f>
        <v/>
      </c>
      <c r="U96" s="55" t="str">
        <f>IF(C96="","",[1]!s_segment_product_cost1(C96,G96,3,H96,100000000))</f>
        <v/>
      </c>
      <c r="V96" s="55" t="str">
        <f>IF(C96="","",[1]!s_segment_product_profit1(C96,G96,3,H96,100000000))</f>
        <v/>
      </c>
      <c r="W96" s="59" t="str">
        <f>IF(C96="","",[1]!s_segment_product_gpmargin(C96,G96,3))</f>
        <v/>
      </c>
      <c r="X96" s="57" t="str">
        <f>IF(C96="","",[1]!s_segment_product_item(C96,G96,4))</f>
        <v/>
      </c>
      <c r="Y96" s="55" t="str">
        <f>IF(C96="","",[1]!s_segment_product_sales1(C96,G96,4,H96,100000000))</f>
        <v/>
      </c>
      <c r="Z96" s="55" t="str">
        <f>IF(C96="","",[1]!s_segment_product_cost1(C96,G96,4,H96,100000000))</f>
        <v/>
      </c>
      <c r="AA96" s="55" t="str">
        <f>IF(C96="","",[1]!s_segment_product_profit1(C96,G96,4,H96,100000000))</f>
        <v/>
      </c>
      <c r="AB96" s="59" t="str">
        <f>IF(C96="","",[1]!s_segment_product_gpmargin(C96,G96,4))</f>
        <v/>
      </c>
      <c r="AC96" s="57" t="str">
        <f>IF(C96="","",[1]!s_segment_product_item(C96,G96,5))</f>
        <v/>
      </c>
      <c r="AD96" s="55" t="str">
        <f>IF(C96="","",[1]!s_segment_product_sales1(C96,G96,5,H96,100000000))</f>
        <v/>
      </c>
      <c r="AE96" s="55" t="str">
        <f>IF(C96="","",[1]!s_segment_product_cost1(C96,G96,5,H96,100000000))</f>
        <v/>
      </c>
      <c r="AF96" s="55" t="str">
        <f>IF(C96="","",[1]!s_segment_product_profit1(C96,G96,5,H96,100000000))</f>
        <v/>
      </c>
      <c r="AG96" s="56" t="str">
        <f>IF(C96="","",[1]!s_segment_product_gpmargin(C96,G96,5))</f>
        <v/>
      </c>
      <c r="AH96" s="35"/>
    </row>
    <row r="97" spans="1:34" s="36" customFormat="1" ht="16.5" x14ac:dyDescent="0.2">
      <c r="A97" s="2"/>
      <c r="B97" s="6"/>
      <c r="C97" s="28" t="str">
        <f>IF(表1[[#This Row],[列1]]="","",表1[[#This Row],[列1]])</f>
        <v/>
      </c>
      <c r="D97" s="19" t="str">
        <f>IF(C97="","",[1]!hks_info_name(C97))</f>
        <v/>
      </c>
      <c r="E97" s="19" t="str">
        <f ca="1">IF(C97="","",[1]!lastradeday_s(C97,TODAY()))</f>
        <v/>
      </c>
      <c r="F97" s="49" t="str">
        <f>IF(C97="","",IF(OR([1]!s_stm_rpt_e(C97,基本资料!$I$8,0)="#N/A",[1]!s_stm_rpt_e(C97,基本资料!$I$8,0)="",[1]!s_stm_rpt_e(C97,基本资料!$I$8,0)=0),[1]!s_stm_rpt_e(C97,基本资料!$I$9,0),[1]!s_stm_rpt_e(C97,基本资料!$I$8,0)))</f>
        <v/>
      </c>
      <c r="G97" s="49" t="str">
        <f>IF(C97="","",[1]!s_stm_rpt_e(C97,F97,0))</f>
        <v/>
      </c>
      <c r="H97" s="49" t="str">
        <f>IF(C97="","",[1]!hks_info_cur2(C97,F97))</f>
        <v/>
      </c>
      <c r="I97" s="57" t="str">
        <f>IF(C97="","",[1]!s_segment_product_item(C97,G97,1))</f>
        <v/>
      </c>
      <c r="J97" s="23" t="str">
        <f>IF(C97="","",[1]!s_segment_product_sales1(C97,G97,1,H97,100000000))</f>
        <v/>
      </c>
      <c r="K97" s="23" t="str">
        <f>IF(C97="","",[1]!s_segment_product_cost1(C97,G97,1,H97,100000000))</f>
        <v/>
      </c>
      <c r="L97" s="23" t="str">
        <f>IF(C97="","",[1]!s_segment_product_profit1(C97,G97,1,H97,100000000))</f>
        <v/>
      </c>
      <c r="M97" s="25" t="str">
        <f>IF(C97="","",[1]!s_segment_product_gpmargin(C97,G97,1))</f>
        <v/>
      </c>
      <c r="N97" s="57" t="str">
        <f>IF(C97="","",[1]!s_segment_product_item(C97,G97,2))</f>
        <v/>
      </c>
      <c r="O97" s="55" t="str">
        <f>IF(C97="","",[1]!s_segment_product_sales1(C97,G97,2,H97,100000000))</f>
        <v/>
      </c>
      <c r="P97" s="55" t="str">
        <f>IF(C97="","",[1]!s_segment_product_cost1(C97,G97,2,H97,100000000))</f>
        <v/>
      </c>
      <c r="Q97" s="55" t="str">
        <f>IF(C97="","",[1]!s_segment_product_profit1(C97,G97,2,H97,100000000))</f>
        <v/>
      </c>
      <c r="R97" s="59" t="str">
        <f>IF(C97="","",[1]!s_segment_product_gpmargin(C97,G97,2))</f>
        <v/>
      </c>
      <c r="S97" s="57" t="str">
        <f>IF(C97="","",[1]!s_segment_product_item(C97,G97,3))</f>
        <v/>
      </c>
      <c r="T97" s="55" t="str">
        <f>IF(C97="","",[1]!s_segment_product_sales1(C97,G97,3,H97,100000000))</f>
        <v/>
      </c>
      <c r="U97" s="55" t="str">
        <f>IF(C97="","",[1]!s_segment_product_cost1(C97,G97,3,H97,100000000))</f>
        <v/>
      </c>
      <c r="V97" s="55" t="str">
        <f>IF(C97="","",[1]!s_segment_product_profit1(C97,G97,3,H97,100000000))</f>
        <v/>
      </c>
      <c r="W97" s="59" t="str">
        <f>IF(C97="","",[1]!s_segment_product_gpmargin(C97,G97,3))</f>
        <v/>
      </c>
      <c r="X97" s="57" t="str">
        <f>IF(C97="","",[1]!s_segment_product_item(C97,G97,4))</f>
        <v/>
      </c>
      <c r="Y97" s="55" t="str">
        <f>IF(C97="","",[1]!s_segment_product_sales1(C97,G97,4,H97,100000000))</f>
        <v/>
      </c>
      <c r="Z97" s="55" t="str">
        <f>IF(C97="","",[1]!s_segment_product_cost1(C97,G97,4,H97,100000000))</f>
        <v/>
      </c>
      <c r="AA97" s="55" t="str">
        <f>IF(C97="","",[1]!s_segment_product_profit1(C97,G97,4,H97,100000000))</f>
        <v/>
      </c>
      <c r="AB97" s="59" t="str">
        <f>IF(C97="","",[1]!s_segment_product_gpmargin(C97,G97,4))</f>
        <v/>
      </c>
      <c r="AC97" s="57" t="str">
        <f>IF(C97="","",[1]!s_segment_product_item(C97,G97,5))</f>
        <v/>
      </c>
      <c r="AD97" s="55" t="str">
        <f>IF(C97="","",[1]!s_segment_product_sales1(C97,G97,5,H97,100000000))</f>
        <v/>
      </c>
      <c r="AE97" s="55" t="str">
        <f>IF(C97="","",[1]!s_segment_product_cost1(C97,G97,5,H97,100000000))</f>
        <v/>
      </c>
      <c r="AF97" s="55" t="str">
        <f>IF(C97="","",[1]!s_segment_product_profit1(C97,G97,5,H97,100000000))</f>
        <v/>
      </c>
      <c r="AG97" s="56" t="str">
        <f>IF(C97="","",[1]!s_segment_product_gpmargin(C97,G97,5))</f>
        <v/>
      </c>
      <c r="AH97" s="35"/>
    </row>
    <row r="98" spans="1:34" s="36" customFormat="1" ht="16.5" x14ac:dyDescent="0.2">
      <c r="A98" s="2"/>
      <c r="B98" s="6"/>
      <c r="C98" s="28" t="str">
        <f>IF(表1[[#This Row],[列1]]="","",表1[[#This Row],[列1]])</f>
        <v/>
      </c>
      <c r="D98" s="19" t="str">
        <f>IF(C98="","",[1]!hks_info_name(C98))</f>
        <v/>
      </c>
      <c r="E98" s="19" t="str">
        <f ca="1">IF(C98="","",[1]!lastradeday_s(C98,TODAY()))</f>
        <v/>
      </c>
      <c r="F98" s="49" t="str">
        <f>IF(C98="","",IF(OR([1]!s_stm_rpt_e(C98,基本资料!$I$8,0)="#N/A",[1]!s_stm_rpt_e(C98,基本资料!$I$8,0)="",[1]!s_stm_rpt_e(C98,基本资料!$I$8,0)=0),[1]!s_stm_rpt_e(C98,基本资料!$I$9,0),[1]!s_stm_rpt_e(C98,基本资料!$I$8,0)))</f>
        <v/>
      </c>
      <c r="G98" s="49" t="str">
        <f>IF(C98="","",[1]!s_stm_rpt_e(C98,F98,0))</f>
        <v/>
      </c>
      <c r="H98" s="49" t="str">
        <f>IF(C98="","",[1]!hks_info_cur2(C98,F98))</f>
        <v/>
      </c>
      <c r="I98" s="57" t="str">
        <f>IF(C98="","",[1]!s_segment_product_item(C98,G98,1))</f>
        <v/>
      </c>
      <c r="J98" s="23" t="str">
        <f>IF(C98="","",[1]!s_segment_product_sales1(C98,G98,1,H98,100000000))</f>
        <v/>
      </c>
      <c r="K98" s="23" t="str">
        <f>IF(C98="","",[1]!s_segment_product_cost1(C98,G98,1,H98,100000000))</f>
        <v/>
      </c>
      <c r="L98" s="23" t="str">
        <f>IF(C98="","",[1]!s_segment_product_profit1(C98,G98,1,H98,100000000))</f>
        <v/>
      </c>
      <c r="M98" s="25" t="str">
        <f>IF(C98="","",[1]!s_segment_product_gpmargin(C98,G98,1))</f>
        <v/>
      </c>
      <c r="N98" s="57" t="str">
        <f>IF(C98="","",[1]!s_segment_product_item(C98,G98,2))</f>
        <v/>
      </c>
      <c r="O98" s="55" t="str">
        <f>IF(C98="","",[1]!s_segment_product_sales1(C98,G98,2,H98,100000000))</f>
        <v/>
      </c>
      <c r="P98" s="55" t="str">
        <f>IF(C98="","",[1]!s_segment_product_cost1(C98,G98,2,H98,100000000))</f>
        <v/>
      </c>
      <c r="Q98" s="55" t="str">
        <f>IF(C98="","",[1]!s_segment_product_profit1(C98,G98,2,H98,100000000))</f>
        <v/>
      </c>
      <c r="R98" s="59" t="str">
        <f>IF(C98="","",[1]!s_segment_product_gpmargin(C98,G98,2))</f>
        <v/>
      </c>
      <c r="S98" s="57" t="str">
        <f>IF(C98="","",[1]!s_segment_product_item(C98,G98,3))</f>
        <v/>
      </c>
      <c r="T98" s="55" t="str">
        <f>IF(C98="","",[1]!s_segment_product_sales1(C98,G98,3,H98,100000000))</f>
        <v/>
      </c>
      <c r="U98" s="55" t="str">
        <f>IF(C98="","",[1]!s_segment_product_cost1(C98,G98,3,H98,100000000))</f>
        <v/>
      </c>
      <c r="V98" s="55" t="str">
        <f>IF(C98="","",[1]!s_segment_product_profit1(C98,G98,3,H98,100000000))</f>
        <v/>
      </c>
      <c r="W98" s="59" t="str">
        <f>IF(C98="","",[1]!s_segment_product_gpmargin(C98,G98,3))</f>
        <v/>
      </c>
      <c r="X98" s="57" t="str">
        <f>IF(C98="","",[1]!s_segment_product_item(C98,G98,4))</f>
        <v/>
      </c>
      <c r="Y98" s="55" t="str">
        <f>IF(C98="","",[1]!s_segment_product_sales1(C98,G98,4,H98,100000000))</f>
        <v/>
      </c>
      <c r="Z98" s="55" t="str">
        <f>IF(C98="","",[1]!s_segment_product_cost1(C98,G98,4,H98,100000000))</f>
        <v/>
      </c>
      <c r="AA98" s="55" t="str">
        <f>IF(C98="","",[1]!s_segment_product_profit1(C98,G98,4,H98,100000000))</f>
        <v/>
      </c>
      <c r="AB98" s="59" t="str">
        <f>IF(C98="","",[1]!s_segment_product_gpmargin(C98,G98,4))</f>
        <v/>
      </c>
      <c r="AC98" s="57" t="str">
        <f>IF(C98="","",[1]!s_segment_product_item(C98,G98,5))</f>
        <v/>
      </c>
      <c r="AD98" s="55" t="str">
        <f>IF(C98="","",[1]!s_segment_product_sales1(C98,G98,5,H98,100000000))</f>
        <v/>
      </c>
      <c r="AE98" s="55" t="str">
        <f>IF(C98="","",[1]!s_segment_product_cost1(C98,G98,5,H98,100000000))</f>
        <v/>
      </c>
      <c r="AF98" s="55" t="str">
        <f>IF(C98="","",[1]!s_segment_product_profit1(C98,G98,5,H98,100000000))</f>
        <v/>
      </c>
      <c r="AG98" s="56" t="str">
        <f>IF(C98="","",[1]!s_segment_product_gpmargin(C98,G98,5))</f>
        <v/>
      </c>
      <c r="AH98" s="35"/>
    </row>
    <row r="99" spans="1:34" s="36" customFormat="1" ht="16.5" x14ac:dyDescent="0.2">
      <c r="A99" s="2"/>
      <c r="B99" s="6"/>
      <c r="C99" s="28" t="str">
        <f>IF(表1[[#This Row],[列1]]="","",表1[[#This Row],[列1]])</f>
        <v/>
      </c>
      <c r="D99" s="19" t="str">
        <f>IF(C99="","",[1]!hks_info_name(C99))</f>
        <v/>
      </c>
      <c r="E99" s="19" t="str">
        <f ca="1">IF(C99="","",[1]!lastradeday_s(C99,TODAY()))</f>
        <v/>
      </c>
      <c r="F99" s="49" t="str">
        <f>IF(C99="","",IF(OR([1]!s_stm_rpt_e(C99,基本资料!$I$8,0)="#N/A",[1]!s_stm_rpt_e(C99,基本资料!$I$8,0)="",[1]!s_stm_rpt_e(C99,基本资料!$I$8,0)=0),[1]!s_stm_rpt_e(C99,基本资料!$I$9,0),[1]!s_stm_rpt_e(C99,基本资料!$I$8,0)))</f>
        <v/>
      </c>
      <c r="G99" s="49" t="str">
        <f>IF(C99="","",[1]!s_stm_rpt_e(C99,F99,0))</f>
        <v/>
      </c>
      <c r="H99" s="49" t="str">
        <f>IF(C99="","",[1]!hks_info_cur2(C99,F99))</f>
        <v/>
      </c>
      <c r="I99" s="57" t="str">
        <f>IF(C99="","",[1]!s_segment_product_item(C99,G99,1))</f>
        <v/>
      </c>
      <c r="J99" s="23" t="str">
        <f>IF(C99="","",[1]!s_segment_product_sales1(C99,G99,1,H99,100000000))</f>
        <v/>
      </c>
      <c r="K99" s="23" t="str">
        <f>IF(C99="","",[1]!s_segment_product_cost1(C99,G99,1,H99,100000000))</f>
        <v/>
      </c>
      <c r="L99" s="23" t="str">
        <f>IF(C99="","",[1]!s_segment_product_profit1(C99,G99,1,H99,100000000))</f>
        <v/>
      </c>
      <c r="M99" s="25" t="str">
        <f>IF(C99="","",[1]!s_segment_product_gpmargin(C99,G99,1))</f>
        <v/>
      </c>
      <c r="N99" s="57" t="str">
        <f>IF(C99="","",[1]!s_segment_product_item(C99,G99,2))</f>
        <v/>
      </c>
      <c r="O99" s="55" t="str">
        <f>IF(C99="","",[1]!s_segment_product_sales1(C99,G99,2,H99,100000000))</f>
        <v/>
      </c>
      <c r="P99" s="55" t="str">
        <f>IF(C99="","",[1]!s_segment_product_cost1(C99,G99,2,H99,100000000))</f>
        <v/>
      </c>
      <c r="Q99" s="55" t="str">
        <f>IF(C99="","",[1]!s_segment_product_profit1(C99,G99,2,H99,100000000))</f>
        <v/>
      </c>
      <c r="R99" s="59" t="str">
        <f>IF(C99="","",[1]!s_segment_product_gpmargin(C99,G99,2))</f>
        <v/>
      </c>
      <c r="S99" s="57" t="str">
        <f>IF(C99="","",[1]!s_segment_product_item(C99,G99,3))</f>
        <v/>
      </c>
      <c r="T99" s="55" t="str">
        <f>IF(C99="","",[1]!s_segment_product_sales1(C99,G99,3,H99,100000000))</f>
        <v/>
      </c>
      <c r="U99" s="55" t="str">
        <f>IF(C99="","",[1]!s_segment_product_cost1(C99,G99,3,H99,100000000))</f>
        <v/>
      </c>
      <c r="V99" s="55" t="str">
        <f>IF(C99="","",[1]!s_segment_product_profit1(C99,G99,3,H99,100000000))</f>
        <v/>
      </c>
      <c r="W99" s="59" t="str">
        <f>IF(C99="","",[1]!s_segment_product_gpmargin(C99,G99,3))</f>
        <v/>
      </c>
      <c r="X99" s="57" t="str">
        <f>IF(C99="","",[1]!s_segment_product_item(C99,G99,4))</f>
        <v/>
      </c>
      <c r="Y99" s="55" t="str">
        <f>IF(C99="","",[1]!s_segment_product_sales1(C99,G99,4,H99,100000000))</f>
        <v/>
      </c>
      <c r="Z99" s="55" t="str">
        <f>IF(C99="","",[1]!s_segment_product_cost1(C99,G99,4,H99,100000000))</f>
        <v/>
      </c>
      <c r="AA99" s="55" t="str">
        <f>IF(C99="","",[1]!s_segment_product_profit1(C99,G99,4,H99,100000000))</f>
        <v/>
      </c>
      <c r="AB99" s="59" t="str">
        <f>IF(C99="","",[1]!s_segment_product_gpmargin(C99,G99,4))</f>
        <v/>
      </c>
      <c r="AC99" s="57" t="str">
        <f>IF(C99="","",[1]!s_segment_product_item(C99,G99,5))</f>
        <v/>
      </c>
      <c r="AD99" s="55" t="str">
        <f>IF(C99="","",[1]!s_segment_product_sales1(C99,G99,5,H99,100000000))</f>
        <v/>
      </c>
      <c r="AE99" s="55" t="str">
        <f>IF(C99="","",[1]!s_segment_product_cost1(C99,G99,5,H99,100000000))</f>
        <v/>
      </c>
      <c r="AF99" s="55" t="str">
        <f>IF(C99="","",[1]!s_segment_product_profit1(C99,G99,5,H99,100000000))</f>
        <v/>
      </c>
      <c r="AG99" s="56" t="str">
        <f>IF(C99="","",[1]!s_segment_product_gpmargin(C99,G99,5))</f>
        <v/>
      </c>
      <c r="AH99" s="35"/>
    </row>
    <row r="100" spans="1:34" s="36" customFormat="1" ht="16.5" x14ac:dyDescent="0.2">
      <c r="A100" s="2"/>
      <c r="B100" s="6"/>
      <c r="C100" s="28" t="str">
        <f>IF(表1[[#This Row],[列1]]="","",表1[[#This Row],[列1]])</f>
        <v/>
      </c>
      <c r="D100" s="19" t="str">
        <f>IF(C100="","",[1]!hks_info_name(C100))</f>
        <v/>
      </c>
      <c r="E100" s="19" t="str">
        <f ca="1">IF(C100="","",[1]!lastradeday_s(C100,TODAY()))</f>
        <v/>
      </c>
      <c r="F100" s="49" t="str">
        <f>IF(C100="","",IF(OR([1]!s_stm_rpt_e(C100,基本资料!$I$8,0)="#N/A",[1]!s_stm_rpt_e(C100,基本资料!$I$8,0)="",[1]!s_stm_rpt_e(C100,基本资料!$I$8,0)=0),[1]!s_stm_rpt_e(C100,基本资料!$I$9,0),[1]!s_stm_rpt_e(C100,基本资料!$I$8,0)))</f>
        <v/>
      </c>
      <c r="G100" s="49" t="str">
        <f>IF(C100="","",[1]!s_stm_rpt_e(C100,F100,0))</f>
        <v/>
      </c>
      <c r="H100" s="49" t="str">
        <f>IF(C100="","",[1]!hks_info_cur2(C100,F100))</f>
        <v/>
      </c>
      <c r="I100" s="57" t="str">
        <f>IF(C100="","",[1]!s_segment_product_item(C100,G100,1))</f>
        <v/>
      </c>
      <c r="J100" s="23" t="str">
        <f>IF(C100="","",[1]!s_segment_product_sales1(C100,G100,1,H100,100000000))</f>
        <v/>
      </c>
      <c r="K100" s="23" t="str">
        <f>IF(C100="","",[1]!s_segment_product_cost1(C100,G100,1,H100,100000000))</f>
        <v/>
      </c>
      <c r="L100" s="23" t="str">
        <f>IF(C100="","",[1]!s_segment_product_profit1(C100,G100,1,H100,100000000))</f>
        <v/>
      </c>
      <c r="M100" s="25" t="str">
        <f>IF(C100="","",[1]!s_segment_product_gpmargin(C100,G100,1))</f>
        <v/>
      </c>
      <c r="N100" s="57" t="str">
        <f>IF(C100="","",[1]!s_segment_product_item(C100,G100,2))</f>
        <v/>
      </c>
      <c r="O100" s="55" t="str">
        <f>IF(C100="","",[1]!s_segment_product_sales1(C100,G100,2,H100,100000000))</f>
        <v/>
      </c>
      <c r="P100" s="55" t="str">
        <f>IF(C100="","",[1]!s_segment_product_cost1(C100,G100,2,H100,100000000))</f>
        <v/>
      </c>
      <c r="Q100" s="55" t="str">
        <f>IF(C100="","",[1]!s_segment_product_profit1(C100,G100,2,H100,100000000))</f>
        <v/>
      </c>
      <c r="R100" s="59" t="str">
        <f>IF(C100="","",[1]!s_segment_product_gpmargin(C100,G100,2))</f>
        <v/>
      </c>
      <c r="S100" s="57" t="str">
        <f>IF(C100="","",[1]!s_segment_product_item(C100,G100,3))</f>
        <v/>
      </c>
      <c r="T100" s="55" t="str">
        <f>IF(C100="","",[1]!s_segment_product_sales1(C100,G100,3,H100,100000000))</f>
        <v/>
      </c>
      <c r="U100" s="55" t="str">
        <f>IF(C100="","",[1]!s_segment_product_cost1(C100,G100,3,H100,100000000))</f>
        <v/>
      </c>
      <c r="V100" s="55" t="str">
        <f>IF(C100="","",[1]!s_segment_product_profit1(C100,G100,3,H100,100000000))</f>
        <v/>
      </c>
      <c r="W100" s="59" t="str">
        <f>IF(C100="","",[1]!s_segment_product_gpmargin(C100,G100,3))</f>
        <v/>
      </c>
      <c r="X100" s="57" t="str">
        <f>IF(C100="","",[1]!s_segment_product_item(C100,G100,4))</f>
        <v/>
      </c>
      <c r="Y100" s="55" t="str">
        <f>IF(C100="","",[1]!s_segment_product_sales1(C100,G100,4,H100,100000000))</f>
        <v/>
      </c>
      <c r="Z100" s="55" t="str">
        <f>IF(C100="","",[1]!s_segment_product_cost1(C100,G100,4,H100,100000000))</f>
        <v/>
      </c>
      <c r="AA100" s="55" t="str">
        <f>IF(C100="","",[1]!s_segment_product_profit1(C100,G100,4,H100,100000000))</f>
        <v/>
      </c>
      <c r="AB100" s="59" t="str">
        <f>IF(C100="","",[1]!s_segment_product_gpmargin(C100,G100,4))</f>
        <v/>
      </c>
      <c r="AC100" s="57" t="str">
        <f>IF(C100="","",[1]!s_segment_product_item(C100,G100,5))</f>
        <v/>
      </c>
      <c r="AD100" s="55" t="str">
        <f>IF(C100="","",[1]!s_segment_product_sales1(C100,G100,5,H100,100000000))</f>
        <v/>
      </c>
      <c r="AE100" s="55" t="str">
        <f>IF(C100="","",[1]!s_segment_product_cost1(C100,G100,5,H100,100000000))</f>
        <v/>
      </c>
      <c r="AF100" s="55" t="str">
        <f>IF(C100="","",[1]!s_segment_product_profit1(C100,G100,5,H100,100000000))</f>
        <v/>
      </c>
      <c r="AG100" s="56" t="str">
        <f>IF(C100="","",[1]!s_segment_product_gpmargin(C100,G100,5))</f>
        <v/>
      </c>
      <c r="AH100" s="35"/>
    </row>
    <row r="101" spans="1:34" s="36" customFormat="1" ht="9" customHeight="1" x14ac:dyDescent="0.2">
      <c r="A101" s="2"/>
      <c r="B101" s="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</row>
    <row r="102" spans="1:34" s="36" customFormat="1" ht="9" customHeight="1" x14ac:dyDescent="0.2">
      <c r="A102" s="2"/>
      <c r="B102" s="2"/>
    </row>
  </sheetData>
  <mergeCells count="12">
    <mergeCell ref="N6:R6"/>
    <mergeCell ref="S6:W6"/>
    <mergeCell ref="X6:AB6"/>
    <mergeCell ref="AC6:AG6"/>
    <mergeCell ref="D1:J1"/>
    <mergeCell ref="I6:M6"/>
    <mergeCell ref="C6:C7"/>
    <mergeCell ref="D6:D7"/>
    <mergeCell ref="E6:E7"/>
    <mergeCell ref="F6:F7"/>
    <mergeCell ref="H6:H7"/>
    <mergeCell ref="G6:G7"/>
  </mergeCells>
  <phoneticPr fontId="2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63636D"/>
  </sheetPr>
  <dimension ref="A1"/>
  <sheetViews>
    <sheetView workbookViewId="0"/>
  </sheetViews>
  <sheetFormatPr defaultRowHeight="14.25" x14ac:dyDescent="0.2"/>
  <sheetData>
    <row r="1" spans="1:1" ht="17.25" x14ac:dyDescent="0.3">
      <c r="A1" s="73" t="s">
        <v>221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基本资料</vt:lpstr>
      <vt:lpstr>财务报表摘要</vt:lpstr>
      <vt:lpstr>估值分析</vt:lpstr>
      <vt:lpstr>财务分析</vt:lpstr>
      <vt:lpstr>盈利预测</vt:lpstr>
      <vt:lpstr>主营构成分析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SiYu</dc:creator>
  <cp:lastModifiedBy>Cui YongQiang</cp:lastModifiedBy>
  <dcterms:created xsi:type="dcterms:W3CDTF">2022-06-16T07:25:53Z</dcterms:created>
  <dcterms:modified xsi:type="dcterms:W3CDTF">2024-12-09T08:16:16Z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385712986</vt:i4>
  </property>
  <property fmtid="{D5CDD505-2E9C-101B-9397-08002B2CF9AE}" pid="3" name="_NewReviewCycle">
    <vt:lpwstr/>
  </property>
  <property fmtid="{D5CDD505-2E9C-101B-9397-08002B2CF9AE}" pid="4" name="_EmailSubject">
    <vt:lpwstr>可比公司和报价excel模板</vt:lpwstr>
  </property>
  <property fmtid="{D5CDD505-2E9C-101B-9397-08002B2CF9AE}" pid="5" name="_AuthorEmail">
    <vt:lpwstr>jywang.jesslyn@wind.com.cn</vt:lpwstr>
  </property>
  <property fmtid="{D5CDD505-2E9C-101B-9397-08002B2CF9AE}" pid="6" name="_AuthorEmailDisplayName">
    <vt:lpwstr>Wang JiaYi</vt:lpwstr>
  </property>
  <property fmtid="{D5CDD505-2E9C-101B-9397-08002B2CF9AE}" pid="7" name="_PreviousAdHocReviewCycleID">
    <vt:i4>1246074349</vt:i4>
  </property>
  <property fmtid="{D5CDD505-2E9C-101B-9397-08002B2CF9AE}" pid="8" name="_ReviewingToolsShownOnce">
    <vt:lpwstr/>
  </property>
</Properties>
</file>