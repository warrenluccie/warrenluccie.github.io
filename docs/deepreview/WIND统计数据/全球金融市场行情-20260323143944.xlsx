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4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5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指数\"/>
    </mc:Choice>
  </mc:AlternateContent>
  <bookViews>
    <workbookView xWindow="-120" yWindow="-120" windowWidth="29040" windowHeight="15840" firstSheet="1" activeTab="1"/>
  </bookViews>
  <sheets>
    <sheet name="__FDSCACHE__" sheetId="76" state="veryHidden" r:id="rId1"/>
    <sheet name="全球股指" sheetId="80" r:id="rId2"/>
    <sheet name="行业表现" sheetId="81" r:id="rId3"/>
    <sheet name="风格表现" sheetId="82" r:id="rId4"/>
    <sheet name="全球重要商品" sheetId="83" r:id="rId5"/>
    <sheet name="重要外汇" sheetId="84" r:id="rId6"/>
    <sheet name="Wind模板" sheetId="85" state="veryHidden" r:id="rId7"/>
  </sheets>
  <externalReferences>
    <externalReference r:id="rId8"/>
  </externalReferences>
  <definedNames>
    <definedName name="__FDS_HYPERLINK_TOGGLE_STATE__" hidden="1">"ON"</definedName>
    <definedName name="_xlnm._FilterDatabase" localSheetId="3" hidden="1">风格表现!$C$8:$L$8</definedName>
    <definedName name="_xlnm._FilterDatabase" localSheetId="2" hidden="1">行业表现!$C$8:$L$8</definedName>
    <definedName name="_xlnm._FilterDatabase" localSheetId="1" hidden="1">全球股指!$C$8:$O$8</definedName>
    <definedName name="_xlnm._FilterDatabase" localSheetId="4" hidden="1">全球重要商品!$C$8:$L$8</definedName>
    <definedName name="_xlnm._FilterDatabase" localSheetId="5" hidden="1">重要外汇!$C$8:$L$8</definedName>
  </definedNames>
  <calcPr calcId="162913"/>
</workbook>
</file>

<file path=xl/calcChain.xml><?xml version="1.0" encoding="utf-8"?>
<calcChain xmlns="http://schemas.openxmlformats.org/spreadsheetml/2006/main">
  <c r="O1" i="80" l="1"/>
  <c r="D3" i="80"/>
  <c r="D3" i="81" l="1"/>
  <c r="C9" i="81"/>
  <c r="E43" i="81"/>
  <c r="E33" i="81"/>
  <c r="C29" i="81"/>
  <c r="E49" i="81"/>
  <c r="E48" i="81"/>
  <c r="C45" i="81"/>
  <c r="E42" i="81"/>
  <c r="C27" i="81"/>
  <c r="E29" i="81"/>
  <c r="C23" i="81"/>
  <c r="C19" i="81"/>
  <c r="C13" i="81"/>
  <c r="E19" i="81"/>
  <c r="C42" i="81"/>
  <c r="C21" i="81"/>
  <c r="E38" i="81"/>
  <c r="E32" i="81"/>
  <c r="C20" i="81"/>
  <c r="E31" i="81"/>
  <c r="C10" i="81"/>
  <c r="C24" i="81"/>
  <c r="E34" i="81"/>
  <c r="E23" i="81"/>
  <c r="E26" i="81"/>
  <c r="C40" i="81"/>
  <c r="C11" i="81"/>
  <c r="E44" i="81"/>
  <c r="C25" i="81"/>
  <c r="C36" i="81"/>
  <c r="E41" i="81"/>
  <c r="E28" i="81"/>
  <c r="E9" i="81"/>
  <c r="E22" i="81"/>
  <c r="C26" i="81"/>
  <c r="C34" i="81"/>
  <c r="C37" i="81"/>
  <c r="E10" i="81"/>
  <c r="C15" i="81"/>
  <c r="C43" i="81"/>
  <c r="E16" i="81"/>
  <c r="C30" i="81"/>
  <c r="C48" i="81"/>
  <c r="E37" i="81"/>
  <c r="C31" i="81"/>
  <c r="C32" i="81"/>
  <c r="C14" i="81"/>
  <c r="E24" i="81"/>
  <c r="E39" i="81"/>
  <c r="E17" i="81"/>
  <c r="E46" i="81"/>
  <c r="E21" i="81"/>
  <c r="E45" i="81"/>
  <c r="E30" i="81"/>
  <c r="E25" i="81"/>
  <c r="E47" i="81"/>
  <c r="E15" i="81"/>
  <c r="E12" i="81"/>
  <c r="C12" i="81"/>
  <c r="C38" i="81"/>
  <c r="C22" i="81"/>
  <c r="E27" i="81"/>
  <c r="C17" i="81"/>
  <c r="E18" i="81"/>
  <c r="C33" i="81"/>
  <c r="E14" i="81"/>
  <c r="E36" i="81"/>
  <c r="C39" i="81"/>
  <c r="C16" i="81"/>
  <c r="E20" i="81"/>
  <c r="E35" i="81"/>
  <c r="E40" i="81"/>
  <c r="C35" i="81"/>
  <c r="C44" i="81"/>
  <c r="C28" i="81"/>
  <c r="E11" i="81"/>
  <c r="C18" i="81"/>
  <c r="C47" i="81"/>
  <c r="E13" i="81"/>
  <c r="I3" i="81" l="1"/>
  <c r="F3" i="81"/>
  <c r="J3" i="81"/>
  <c r="G3" i="81"/>
  <c r="K3" i="81"/>
  <c r="H3" i="81"/>
  <c r="L3" i="81"/>
  <c r="D66" i="80"/>
  <c r="H27" i="81"/>
  <c r="G26" i="81"/>
  <c r="H10" i="81"/>
  <c r="D108" i="80"/>
  <c r="D25" i="84"/>
  <c r="G14" i="81"/>
  <c r="F39" i="81"/>
  <c r="K20" i="81"/>
  <c r="D13" i="80"/>
  <c r="D39" i="80"/>
  <c r="H17" i="81"/>
  <c r="G28" i="81"/>
  <c r="G22" i="81"/>
  <c r="D23" i="84"/>
  <c r="I30" i="81"/>
  <c r="D38" i="80"/>
  <c r="D103" i="80"/>
  <c r="D21" i="80"/>
  <c r="J26" i="81"/>
  <c r="L25" i="81"/>
  <c r="D17" i="84"/>
  <c r="K15" i="81"/>
  <c r="D60" i="80"/>
  <c r="D19" i="80"/>
  <c r="K25" i="81"/>
  <c r="G35" i="81"/>
  <c r="H49" i="81"/>
  <c r="K40" i="81"/>
  <c r="K33" i="81"/>
  <c r="H44" i="81"/>
  <c r="D88" i="80"/>
  <c r="D87" i="80"/>
  <c r="F16" i="81"/>
  <c r="K14" i="81"/>
  <c r="K48" i="81"/>
  <c r="D29" i="80"/>
  <c r="H48" i="81"/>
  <c r="F44" i="81"/>
  <c r="K36" i="81"/>
  <c r="D24" i="80"/>
  <c r="H36" i="81"/>
  <c r="D53" i="80"/>
  <c r="D93" i="80"/>
  <c r="D30" i="83"/>
  <c r="L43" i="81"/>
  <c r="I10" i="81"/>
  <c r="F37" i="81"/>
  <c r="D21" i="83"/>
  <c r="G9" i="81"/>
  <c r="D31" i="80"/>
  <c r="L33" i="81"/>
  <c r="J24" i="81"/>
  <c r="D38" i="83"/>
  <c r="K19" i="81"/>
  <c r="H30" i="81"/>
  <c r="G30" i="81"/>
  <c r="D27" i="83"/>
  <c r="K11" i="81"/>
  <c r="G41" i="81"/>
  <c r="D76" i="80"/>
  <c r="D55" i="80"/>
  <c r="G31" i="81"/>
  <c r="G25" i="81"/>
  <c r="D97" i="80"/>
  <c r="I25" i="81"/>
  <c r="L44" i="81"/>
  <c r="D12" i="84"/>
  <c r="D30" i="80"/>
  <c r="D26" i="84"/>
  <c r="L48" i="81"/>
  <c r="H23" i="81"/>
  <c r="D35" i="84"/>
  <c r="D64" i="80"/>
  <c r="L22" i="81"/>
  <c r="J13" i="81"/>
  <c r="I32" i="81"/>
  <c r="D82" i="80"/>
  <c r="L10" i="81"/>
  <c r="G42" i="81"/>
  <c r="H45" i="81"/>
  <c r="G44" i="81"/>
  <c r="D32" i="84"/>
  <c r="H24" i="81"/>
  <c r="H33" i="81"/>
  <c r="D96" i="80"/>
  <c r="D107" i="80"/>
  <c r="D48" i="80"/>
  <c r="G12" i="81"/>
  <c r="H26" i="81"/>
  <c r="K17" i="81"/>
  <c r="J18" i="81"/>
  <c r="D89" i="80"/>
  <c r="I23" i="81"/>
  <c r="F47" i="81"/>
  <c r="J10" i="81"/>
  <c r="D57" i="80"/>
  <c r="D65" i="80"/>
  <c r="L31" i="81"/>
  <c r="D79" i="80"/>
  <c r="F34" i="81"/>
  <c r="H47" i="81"/>
  <c r="K13" i="81"/>
  <c r="D106" i="80"/>
  <c r="H37" i="81"/>
  <c r="I22" i="81"/>
  <c r="L42" i="81"/>
  <c r="H15" i="81"/>
  <c r="F23" i="81"/>
  <c r="J42" i="81"/>
  <c r="L30" i="81"/>
  <c r="J44" i="81"/>
  <c r="F35" i="81"/>
  <c r="I38" i="81"/>
  <c r="F9" i="81"/>
  <c r="D22" i="84"/>
  <c r="D84" i="80"/>
  <c r="I26" i="81"/>
  <c r="G16" i="81"/>
  <c r="D10" i="84"/>
  <c r="D69" i="80"/>
  <c r="I18" i="81"/>
  <c r="L37" i="81"/>
  <c r="F24" i="81"/>
  <c r="D30" i="84"/>
  <c r="J14" i="81"/>
  <c r="H34" i="81"/>
  <c r="I33" i="81"/>
  <c r="F14" i="81"/>
  <c r="D21" i="84"/>
  <c r="L39" i="81"/>
  <c r="H12" i="81"/>
  <c r="G23" i="81"/>
  <c r="J29" i="81"/>
  <c r="J9" i="81"/>
  <c r="D86" i="80"/>
  <c r="H32" i="81"/>
  <c r="G19" i="81"/>
  <c r="G29" i="81"/>
  <c r="D18" i="83"/>
  <c r="F15" i="81"/>
  <c r="I34" i="81"/>
  <c r="I13" i="81"/>
  <c r="J49" i="81"/>
  <c r="D46" i="80"/>
  <c r="D15" i="84"/>
  <c r="J41" i="81"/>
  <c r="D19" i="84"/>
  <c r="K24" i="81"/>
  <c r="D28" i="84"/>
  <c r="I45" i="81"/>
  <c r="D63" i="80"/>
  <c r="D45" i="80"/>
  <c r="J32" i="81"/>
  <c r="F40" i="81"/>
  <c r="D15" i="80"/>
  <c r="F49" i="81"/>
  <c r="J20" i="81"/>
  <c r="D33" i="84"/>
  <c r="D52" i="80"/>
  <c r="H42" i="81"/>
  <c r="D25" i="83"/>
  <c r="J34" i="81"/>
  <c r="F10" i="81"/>
  <c r="I39" i="81"/>
  <c r="F19" i="81"/>
  <c r="D24" i="83"/>
  <c r="D73" i="80"/>
  <c r="J37" i="81"/>
  <c r="G18" i="81"/>
  <c r="D32" i="80"/>
  <c r="F18" i="81"/>
  <c r="K46" i="81"/>
  <c r="L19" i="81"/>
  <c r="F46" i="81"/>
  <c r="G17" i="81"/>
  <c r="H31" i="81"/>
  <c r="K22" i="81"/>
  <c r="D33" i="83"/>
  <c r="D26" i="80"/>
  <c r="H19" i="81"/>
  <c r="F28" i="81"/>
  <c r="D36" i="83"/>
  <c r="G32" i="81"/>
  <c r="D14" i="83"/>
  <c r="D34" i="83"/>
  <c r="I42" i="81"/>
  <c r="D94" i="80"/>
  <c r="D32" i="83"/>
  <c r="J30" i="81"/>
  <c r="L41" i="81"/>
  <c r="I35" i="81"/>
  <c r="D105" i="80"/>
  <c r="K27" i="81"/>
  <c r="D41" i="80"/>
  <c r="D71" i="80"/>
  <c r="D50" i="80"/>
  <c r="G39" i="81"/>
  <c r="L9" i="81"/>
  <c r="L20" i="81"/>
  <c r="H40" i="81"/>
  <c r="D27" i="80"/>
  <c r="D112" i="80"/>
  <c r="I19" i="81"/>
  <c r="G10" i="81"/>
  <c r="D58" i="80"/>
  <c r="I46" i="81"/>
  <c r="D75" i="80"/>
  <c r="H16" i="81"/>
  <c r="K30" i="81"/>
  <c r="D102" i="80"/>
  <c r="F48" i="81"/>
  <c r="I24" i="81"/>
  <c r="D92" i="80"/>
  <c r="G48" i="81"/>
  <c r="L18" i="81"/>
  <c r="I12" i="81"/>
  <c r="D16" i="80"/>
  <c r="D12" i="83"/>
  <c r="F21" i="81"/>
  <c r="J48" i="81"/>
  <c r="D15" i="83"/>
  <c r="D83" i="80"/>
  <c r="L45" i="81"/>
  <c r="J36" i="81"/>
  <c r="L12" i="81"/>
  <c r="K47" i="81"/>
  <c r="H46" i="81"/>
  <c r="D35" i="80"/>
  <c r="H9" i="81"/>
  <c r="K23" i="81"/>
  <c r="I43" i="81"/>
  <c r="D111" i="80"/>
  <c r="F26" i="81"/>
  <c r="J43" i="81"/>
  <c r="G13" i="81"/>
  <c r="I21" i="81"/>
  <c r="G11" i="81"/>
  <c r="D26" i="83"/>
  <c r="L38" i="81"/>
  <c r="L47" i="81"/>
  <c r="H20" i="81"/>
  <c r="F30" i="81"/>
  <c r="D51" i="80"/>
  <c r="K38" i="81"/>
  <c r="D85" i="80"/>
  <c r="D115" i="80"/>
  <c r="F42" i="81"/>
  <c r="D24" i="84"/>
  <c r="D44" i="80"/>
  <c r="H11" i="81"/>
  <c r="D22" i="83"/>
  <c r="D10" i="83"/>
  <c r="K12" i="81"/>
  <c r="J40" i="81"/>
  <c r="D17" i="80"/>
  <c r="G36" i="81"/>
  <c r="D72" i="80"/>
  <c r="K41" i="81"/>
  <c r="L36" i="81"/>
  <c r="G24" i="81"/>
  <c r="H38" i="81"/>
  <c r="K29" i="81"/>
  <c r="J46" i="81"/>
  <c r="D78" i="80"/>
  <c r="D81" i="80"/>
  <c r="G46" i="81"/>
  <c r="K43" i="81"/>
  <c r="D109" i="80"/>
  <c r="D16" i="83"/>
  <c r="D10" i="80"/>
  <c r="D95" i="80"/>
  <c r="L13" i="81"/>
  <c r="F36" i="81"/>
  <c r="F31" i="81"/>
  <c r="I41" i="81"/>
  <c r="D25" i="80"/>
  <c r="I36" i="81"/>
  <c r="H28" i="81"/>
  <c r="K42" i="81"/>
  <c r="G34" i="81"/>
  <c r="J12" i="81"/>
  <c r="L23" i="81"/>
  <c r="I17" i="81"/>
  <c r="I31" i="81"/>
  <c r="F11" i="81"/>
  <c r="J35" i="81"/>
  <c r="L46" i="81"/>
  <c r="I40" i="81"/>
  <c r="K9" i="81"/>
  <c r="J23" i="81"/>
  <c r="D113" i="80"/>
  <c r="I28" i="81"/>
  <c r="D37" i="80"/>
  <c r="D28" i="83"/>
  <c r="G20" i="81"/>
  <c r="J28" i="81"/>
  <c r="D114" i="80"/>
  <c r="D99" i="80"/>
  <c r="L49" i="81"/>
  <c r="J16" i="81"/>
  <c r="K39" i="81"/>
  <c r="L29" i="81"/>
  <c r="D9" i="83"/>
  <c r="D104" i="80"/>
  <c r="D62" i="80"/>
  <c r="D27" i="84"/>
  <c r="G37" i="81"/>
  <c r="D29" i="83"/>
  <c r="G27" i="81"/>
  <c r="H18" i="81"/>
  <c r="F32" i="81"/>
  <c r="I49" i="81"/>
  <c r="D36" i="80"/>
  <c r="D18" i="84"/>
  <c r="G38" i="81"/>
  <c r="I9" i="81"/>
  <c r="D68" i="80"/>
  <c r="D13" i="83"/>
  <c r="F12" i="81"/>
  <c r="J45" i="81"/>
  <c r="D18" i="80"/>
  <c r="H35" i="81"/>
  <c r="H41" i="81"/>
  <c r="K28" i="81"/>
  <c r="H39" i="81"/>
  <c r="D23" i="80"/>
  <c r="D29" i="84"/>
  <c r="K16" i="81"/>
  <c r="D31" i="84"/>
  <c r="D20" i="80"/>
  <c r="H29" i="81"/>
  <c r="J11" i="81"/>
  <c r="F33" i="81"/>
  <c r="I16" i="81"/>
  <c r="I48" i="81"/>
  <c r="G40" i="81"/>
  <c r="F45" i="81"/>
  <c r="K45" i="81"/>
  <c r="H21" i="81"/>
  <c r="K35" i="81"/>
  <c r="D56" i="80"/>
  <c r="K10" i="81"/>
  <c r="J38" i="81"/>
  <c r="D40" i="80"/>
  <c r="D100" i="80"/>
  <c r="G47" i="81"/>
  <c r="F38" i="81"/>
  <c r="I11" i="81"/>
  <c r="L14" i="81"/>
  <c r="D59" i="80"/>
  <c r="L40" i="81"/>
  <c r="J31" i="81"/>
  <c r="K34" i="81"/>
  <c r="F43" i="81"/>
  <c r="I29" i="81"/>
  <c r="D12" i="80"/>
  <c r="G33" i="81"/>
  <c r="K26" i="81"/>
  <c r="L16" i="81"/>
  <c r="F27" i="81"/>
  <c r="H25" i="81"/>
  <c r="L26" i="81"/>
  <c r="J39" i="81"/>
  <c r="D77" i="80"/>
  <c r="I20" i="81"/>
  <c r="I44" i="81"/>
  <c r="J27" i="81"/>
  <c r="F17" i="81"/>
  <c r="K49" i="81"/>
  <c r="D98" i="80"/>
  <c r="F13" i="81"/>
  <c r="J17" i="81"/>
  <c r="D70" i="80"/>
  <c r="D11" i="83"/>
  <c r="F25" i="81"/>
  <c r="I47" i="81"/>
  <c r="D14" i="80"/>
  <c r="I14" i="81"/>
  <c r="D22" i="80"/>
  <c r="D37" i="83"/>
  <c r="L27" i="81"/>
  <c r="K31" i="81"/>
  <c r="L21" i="81"/>
  <c r="K18" i="81"/>
  <c r="D20" i="84"/>
  <c r="G43" i="81"/>
  <c r="H22" i="81"/>
  <c r="J25" i="81"/>
  <c r="L15" i="81"/>
  <c r="D43" i="80"/>
  <c r="D34" i="84"/>
  <c r="D11" i="84"/>
  <c r="I37" i="81"/>
  <c r="D74" i="80"/>
  <c r="D9" i="84"/>
  <c r="K21" i="81"/>
  <c r="L11" i="81"/>
  <c r="D90" i="80"/>
  <c r="H13" i="81"/>
  <c r="F20" i="81"/>
  <c r="L35" i="81"/>
  <c r="K44" i="81"/>
  <c r="L34" i="81"/>
  <c r="D20" i="83"/>
  <c r="D34" i="80"/>
  <c r="K32" i="81"/>
  <c r="D61" i="80"/>
  <c r="D91" i="80"/>
  <c r="H43" i="81"/>
  <c r="J15" i="81"/>
  <c r="F29" i="81"/>
  <c r="K37" i="81"/>
  <c r="L24" i="81"/>
  <c r="D47" i="80"/>
  <c r="F41" i="81"/>
  <c r="G21" i="81"/>
  <c r="D110" i="80"/>
  <c r="L17" i="81"/>
  <c r="G49" i="81"/>
  <c r="D19" i="83"/>
  <c r="D80" i="80"/>
  <c r="H14" i="81"/>
  <c r="D33" i="80"/>
  <c r="J22" i="81"/>
  <c r="F22" i="81"/>
  <c r="I27" i="81"/>
  <c r="D28" i="80"/>
  <c r="D23" i="83"/>
  <c r="G15" i="81"/>
  <c r="J47" i="81"/>
  <c r="G45" i="81"/>
  <c r="D11" i="80"/>
  <c r="L28" i="81"/>
  <c r="J19" i="81"/>
  <c r="D49" i="80"/>
  <c r="J33" i="81"/>
  <c r="L32" i="81"/>
  <c r="I15" i="81"/>
  <c r="J21" i="81"/>
  <c r="D3" i="84" l="1"/>
  <c r="J3" i="84" s="1"/>
  <c r="E28" i="84"/>
  <c r="E27" i="84"/>
  <c r="J11" i="84"/>
  <c r="J9" i="84"/>
  <c r="E34" i="84"/>
  <c r="E35" i="84"/>
  <c r="J13" i="84"/>
  <c r="E31" i="84"/>
  <c r="J10" i="84"/>
  <c r="J18" i="84"/>
  <c r="E17" i="84"/>
  <c r="E24" i="84"/>
  <c r="E25" i="84"/>
  <c r="J14" i="84"/>
  <c r="J25" i="84"/>
  <c r="E22" i="84"/>
  <c r="J12" i="84"/>
  <c r="J15" i="84"/>
  <c r="J16" i="84"/>
  <c r="J22" i="84"/>
  <c r="J20" i="84"/>
  <c r="J24" i="84"/>
  <c r="J21" i="84"/>
  <c r="J31" i="84"/>
  <c r="E16" i="84"/>
  <c r="E11" i="84"/>
  <c r="E26" i="84"/>
  <c r="J32" i="84"/>
  <c r="E18" i="84"/>
  <c r="E20" i="84"/>
  <c r="J26" i="84"/>
  <c r="E23" i="84"/>
  <c r="E13" i="84"/>
  <c r="J35" i="84"/>
  <c r="J27" i="84"/>
  <c r="J19" i="84"/>
  <c r="J23" i="84"/>
  <c r="E9" i="84"/>
  <c r="E19" i="84"/>
  <c r="E33" i="84"/>
  <c r="E21" i="84"/>
  <c r="E32" i="84"/>
  <c r="J17" i="84"/>
  <c r="E12" i="84"/>
  <c r="J33" i="84"/>
  <c r="E30" i="84"/>
  <c r="J29" i="84"/>
  <c r="E15" i="84"/>
  <c r="E29" i="84"/>
  <c r="E14" i="84"/>
  <c r="E10" i="84"/>
  <c r="J28" i="84"/>
  <c r="J30" i="84"/>
  <c r="J34" i="84"/>
  <c r="G3" i="84" l="1"/>
  <c r="K3" i="84"/>
  <c r="H3" i="84"/>
  <c r="L3" i="84"/>
  <c r="I3" i="84"/>
  <c r="F3" i="84"/>
  <c r="D3" i="83"/>
  <c r="K3" i="83" s="1"/>
  <c r="D3" i="82"/>
  <c r="K3" i="82" s="1"/>
  <c r="K67" i="82"/>
  <c r="G11" i="84"/>
  <c r="L23" i="84"/>
  <c r="L21" i="84"/>
  <c r="F20" i="84"/>
  <c r="H28" i="84"/>
  <c r="H30" i="84"/>
  <c r="K15" i="83"/>
  <c r="E17" i="82"/>
  <c r="H20" i="84"/>
  <c r="E10" i="83"/>
  <c r="K70" i="82"/>
  <c r="K16" i="84"/>
  <c r="F10" i="84"/>
  <c r="L30" i="84"/>
  <c r="L28" i="84"/>
  <c r="K11" i="84"/>
  <c r="E17" i="83"/>
  <c r="I15" i="84"/>
  <c r="K14" i="83"/>
  <c r="E41" i="82"/>
  <c r="K31" i="83"/>
  <c r="K9" i="84"/>
  <c r="G10" i="84"/>
  <c r="E26" i="83"/>
  <c r="L26" i="84"/>
  <c r="I21" i="84"/>
  <c r="E29" i="82"/>
  <c r="H12" i="84"/>
  <c r="K34" i="83"/>
  <c r="F18" i="84"/>
  <c r="E27" i="82"/>
  <c r="I13" i="84"/>
  <c r="E13" i="83"/>
  <c r="F28" i="84"/>
  <c r="H29" i="84"/>
  <c r="K12" i="83"/>
  <c r="L13" i="84"/>
  <c r="H26" i="84"/>
  <c r="G21" i="84"/>
  <c r="K54" i="82"/>
  <c r="G18" i="84"/>
  <c r="E12" i="82"/>
  <c r="G30" i="84"/>
  <c r="E55" i="82"/>
  <c r="F24" i="84"/>
  <c r="L17" i="84"/>
  <c r="H24" i="84"/>
  <c r="K52" i="82"/>
  <c r="L27" i="84"/>
  <c r="K17" i="83"/>
  <c r="K13" i="84"/>
  <c r="K22" i="83"/>
  <c r="K33" i="84"/>
  <c r="H31" i="84"/>
  <c r="K37" i="83"/>
  <c r="I18" i="84"/>
  <c r="E11" i="83"/>
  <c r="E70" i="82"/>
  <c r="I25" i="84"/>
  <c r="L9" i="84"/>
  <c r="L12" i="84"/>
  <c r="F25" i="84"/>
  <c r="E19" i="82"/>
  <c r="H14" i="84"/>
  <c r="L35" i="84"/>
  <c r="L33" i="84"/>
  <c r="G33" i="84"/>
  <c r="K64" i="82"/>
  <c r="F16" i="84"/>
  <c r="F14" i="84"/>
  <c r="I26" i="84"/>
  <c r="E14" i="83"/>
  <c r="E22" i="83"/>
  <c r="L18" i="84"/>
  <c r="H9" i="84"/>
  <c r="L34" i="84"/>
  <c r="H17" i="84"/>
  <c r="E23" i="83"/>
  <c r="K34" i="84"/>
  <c r="E65" i="82"/>
  <c r="K11" i="83"/>
  <c r="K16" i="83"/>
  <c r="E27" i="83"/>
  <c r="E25" i="83"/>
  <c r="F11" i="84"/>
  <c r="E38" i="82"/>
  <c r="I30" i="84"/>
  <c r="I27" i="84"/>
  <c r="E39" i="82"/>
  <c r="K30" i="83"/>
  <c r="G23" i="84"/>
  <c r="K30" i="82"/>
  <c r="G12" i="84"/>
  <c r="E18" i="83"/>
  <c r="K27" i="84"/>
  <c r="I35" i="84"/>
  <c r="L32" i="84"/>
  <c r="G13" i="84"/>
  <c r="K28" i="84"/>
  <c r="L22" i="84"/>
  <c r="F27" i="84"/>
  <c r="F9" i="84"/>
  <c r="L10" i="84"/>
  <c r="E30" i="82"/>
  <c r="E68" i="82"/>
  <c r="I11" i="84"/>
  <c r="E29" i="83"/>
  <c r="E26" i="82"/>
  <c r="E18" i="82"/>
  <c r="H27" i="84"/>
  <c r="E40" i="82"/>
  <c r="G24" i="84"/>
  <c r="K25" i="83"/>
  <c r="I12" i="84"/>
  <c r="K21" i="84"/>
  <c r="K23" i="83"/>
  <c r="E69" i="82"/>
  <c r="E10" i="82"/>
  <c r="K14" i="84"/>
  <c r="K69" i="82"/>
  <c r="K15" i="82"/>
  <c r="L20" i="84"/>
  <c r="K11" i="82"/>
  <c r="K53" i="82"/>
  <c r="G31" i="84"/>
  <c r="K26" i="82"/>
  <c r="H25" i="84"/>
  <c r="F30" i="84"/>
  <c r="G35" i="84"/>
  <c r="I22" i="84"/>
  <c r="K38" i="83"/>
  <c r="G14" i="84"/>
  <c r="E31" i="83"/>
  <c r="H11" i="84"/>
  <c r="K42" i="82"/>
  <c r="K51" i="82"/>
  <c r="E24" i="83"/>
  <c r="K18" i="83"/>
  <c r="K25" i="84"/>
  <c r="H22" i="84"/>
  <c r="K20" i="84"/>
  <c r="I9" i="84"/>
  <c r="E15" i="82"/>
  <c r="K10" i="83"/>
  <c r="H19" i="84"/>
  <c r="E14" i="82"/>
  <c r="H32" i="84"/>
  <c r="G32" i="84"/>
  <c r="H10" i="84"/>
  <c r="E52" i="82"/>
  <c r="K19" i="83"/>
  <c r="E28" i="83"/>
  <c r="K37" i="82"/>
  <c r="K10" i="82"/>
  <c r="G22" i="84"/>
  <c r="K18" i="82"/>
  <c r="I17" i="84"/>
  <c r="H23" i="84"/>
  <c r="E71" i="82"/>
  <c r="L29" i="84"/>
  <c r="G28" i="84"/>
  <c r="E15" i="83"/>
  <c r="E16" i="82"/>
  <c r="H34" i="84"/>
  <c r="E66" i="82"/>
  <c r="K44" i="82"/>
  <c r="K15" i="84"/>
  <c r="K66" i="82"/>
  <c r="K18" i="84"/>
  <c r="K29" i="84"/>
  <c r="E34" i="83"/>
  <c r="F19" i="84"/>
  <c r="F32" i="84"/>
  <c r="F34" i="84"/>
  <c r="K35" i="83"/>
  <c r="F23" i="84"/>
  <c r="L31" i="84"/>
  <c r="E44" i="82"/>
  <c r="K26" i="83"/>
  <c r="K12" i="82"/>
  <c r="H13" i="84"/>
  <c r="K28" i="83"/>
  <c r="E32" i="83"/>
  <c r="L14" i="84"/>
  <c r="K68" i="82"/>
  <c r="H16" i="84"/>
  <c r="G26" i="84"/>
  <c r="K13" i="82"/>
  <c r="K16" i="82"/>
  <c r="K71" i="82"/>
  <c r="K62" i="82"/>
  <c r="K55" i="82"/>
  <c r="K13" i="83"/>
  <c r="K21" i="83"/>
  <c r="L24" i="84"/>
  <c r="F31" i="84"/>
  <c r="L15" i="84"/>
  <c r="I31" i="84"/>
  <c r="K10" i="84"/>
  <c r="F21" i="84"/>
  <c r="K22" i="84"/>
  <c r="K35" i="84"/>
  <c r="E13" i="82"/>
  <c r="K17" i="82"/>
  <c r="E37" i="82"/>
  <c r="H15" i="84"/>
  <c r="E51" i="82"/>
  <c r="K14" i="82"/>
  <c r="K23" i="84"/>
  <c r="H35" i="84"/>
  <c r="K40" i="82"/>
  <c r="E33" i="83"/>
  <c r="K19" i="82"/>
  <c r="K29" i="82"/>
  <c r="I34" i="84"/>
  <c r="F33" i="84"/>
  <c r="F13" i="84"/>
  <c r="K33" i="83"/>
  <c r="E38" i="83"/>
  <c r="E12" i="83"/>
  <c r="I16" i="84"/>
  <c r="G25" i="84"/>
  <c r="E20" i="83"/>
  <c r="F29" i="84"/>
  <c r="K63" i="82"/>
  <c r="K19" i="84"/>
  <c r="G9" i="84"/>
  <c r="K28" i="82"/>
  <c r="I19" i="84"/>
  <c r="L19" i="84"/>
  <c r="K12" i="84"/>
  <c r="E21" i="83"/>
  <c r="E63" i="82"/>
  <c r="E11" i="82"/>
  <c r="K65" i="82"/>
  <c r="E53" i="82"/>
  <c r="E37" i="83"/>
  <c r="I33" i="84"/>
  <c r="E9" i="82"/>
  <c r="E62" i="82"/>
  <c r="K24" i="83"/>
  <c r="K27" i="82"/>
  <c r="I14" i="84"/>
  <c r="K26" i="84"/>
  <c r="H18" i="84"/>
  <c r="F15" i="84"/>
  <c r="I23" i="84"/>
  <c r="K20" i="83"/>
  <c r="F22" i="84"/>
  <c r="K27" i="83"/>
  <c r="I32" i="84"/>
  <c r="K32" i="83"/>
  <c r="G17" i="84"/>
  <c r="F35" i="84"/>
  <c r="E30" i="83"/>
  <c r="H21" i="84"/>
  <c r="K29" i="83"/>
  <c r="F12" i="84"/>
  <c r="G27" i="84"/>
  <c r="K36" i="83"/>
  <c r="E36" i="83"/>
  <c r="E28" i="82"/>
  <c r="K43" i="82"/>
  <c r="K17" i="84"/>
  <c r="L11" i="84"/>
  <c r="I29" i="84"/>
  <c r="K24" i="84"/>
  <c r="G15" i="84"/>
  <c r="L16" i="84"/>
  <c r="G29" i="84"/>
  <c r="G20" i="84"/>
  <c r="G19" i="84"/>
  <c r="E43" i="82"/>
  <c r="K31" i="84"/>
  <c r="K39" i="82"/>
  <c r="G16" i="84"/>
  <c r="K30" i="84"/>
  <c r="K38" i="82"/>
  <c r="H33" i="84"/>
  <c r="K32" i="84"/>
  <c r="I10" i="84"/>
  <c r="E42" i="82"/>
  <c r="I24" i="84"/>
  <c r="E35" i="83"/>
  <c r="E19" i="83"/>
  <c r="L25" i="84"/>
  <c r="I20" i="84"/>
  <c r="G34" i="84"/>
  <c r="F17" i="84"/>
  <c r="E54" i="82"/>
  <c r="E67" i="82"/>
  <c r="E64" i="82"/>
  <c r="I28" i="84"/>
  <c r="K9" i="82"/>
  <c r="E16" i="83"/>
  <c r="F26" i="84"/>
  <c r="K41" i="82"/>
  <c r="I3" i="83" l="1"/>
  <c r="J3" i="83"/>
  <c r="G3" i="83"/>
  <c r="F3" i="83"/>
  <c r="H3" i="83"/>
  <c r="L3" i="83"/>
  <c r="I3" i="82"/>
  <c r="F3" i="82"/>
  <c r="J3" i="82"/>
  <c r="G3" i="82"/>
  <c r="H3" i="82"/>
  <c r="L3" i="82"/>
  <c r="E113" i="80"/>
  <c r="E112" i="80"/>
  <c r="E111" i="80"/>
  <c r="E115" i="80"/>
  <c r="E114" i="80"/>
  <c r="O3" i="80" l="1"/>
  <c r="M3" i="80"/>
  <c r="N3" i="80"/>
  <c r="L3" i="80"/>
  <c r="J3" i="80"/>
  <c r="K3" i="80"/>
  <c r="F3" i="80"/>
  <c r="M95" i="80"/>
  <c r="H33" i="83"/>
  <c r="J10" i="80"/>
  <c r="F64" i="80"/>
  <c r="I71" i="82"/>
  <c r="K49" i="80"/>
  <c r="F9" i="82"/>
  <c r="J12" i="82"/>
  <c r="L16" i="83"/>
  <c r="L22" i="83"/>
  <c r="I38" i="82"/>
  <c r="F49" i="80"/>
  <c r="F19" i="80"/>
  <c r="I37" i="82"/>
  <c r="K17" i="80"/>
  <c r="H18" i="83"/>
  <c r="O69" i="80"/>
  <c r="K40" i="80"/>
  <c r="J52" i="82"/>
  <c r="F96" i="80"/>
  <c r="N69" i="80"/>
  <c r="J82" i="80"/>
  <c r="J23" i="83"/>
  <c r="M23" i="80"/>
  <c r="K97" i="80"/>
  <c r="O63" i="80"/>
  <c r="J69" i="80"/>
  <c r="O104" i="80"/>
  <c r="J83" i="80"/>
  <c r="F25" i="83"/>
  <c r="F62" i="82"/>
  <c r="M47" i="80"/>
  <c r="G12" i="83"/>
  <c r="N114" i="80"/>
  <c r="O49" i="80"/>
  <c r="G11" i="82"/>
  <c r="F106" i="80"/>
  <c r="K11" i="80"/>
  <c r="F16" i="82"/>
  <c r="F26" i="80"/>
  <c r="J21" i="80"/>
  <c r="J27" i="82"/>
  <c r="N15" i="80"/>
  <c r="N99" i="80"/>
  <c r="E52" i="80"/>
  <c r="L24" i="80"/>
  <c r="L62" i="80"/>
  <c r="F17" i="80"/>
  <c r="I21" i="83"/>
  <c r="F110" i="80"/>
  <c r="H11" i="82"/>
  <c r="G13" i="82"/>
  <c r="M102" i="80"/>
  <c r="G52" i="82"/>
  <c r="O66" i="80"/>
  <c r="H12" i="83"/>
  <c r="L112" i="80"/>
  <c r="O39" i="80"/>
  <c r="E74" i="80"/>
  <c r="M29" i="80"/>
  <c r="E36" i="80"/>
  <c r="H38" i="83"/>
  <c r="G66" i="82"/>
  <c r="I31" i="83"/>
  <c r="K46" i="80"/>
  <c r="G68" i="82"/>
  <c r="L26" i="83"/>
  <c r="N100" i="80"/>
  <c r="L13" i="83"/>
  <c r="M31" i="80"/>
  <c r="K66" i="80"/>
  <c r="F35" i="80"/>
  <c r="K14" i="80"/>
  <c r="J34" i="83"/>
  <c r="O31" i="80"/>
  <c r="O62" i="80"/>
  <c r="F29" i="80"/>
  <c r="J13" i="83"/>
  <c r="L25" i="80"/>
  <c r="M38" i="80"/>
  <c r="L33" i="83"/>
  <c r="F57" i="80"/>
  <c r="N103" i="80"/>
  <c r="E60" i="80"/>
  <c r="F10" i="80"/>
  <c r="M49" i="80"/>
  <c r="F74" i="80"/>
  <c r="O95" i="80"/>
  <c r="J112" i="80"/>
  <c r="O12" i="80"/>
  <c r="F33" i="80"/>
  <c r="O18" i="80"/>
  <c r="O68" i="80"/>
  <c r="L29" i="82"/>
  <c r="K69" i="80"/>
  <c r="N57" i="80"/>
  <c r="N53" i="80"/>
  <c r="J65" i="80"/>
  <c r="M40" i="80"/>
  <c r="L27" i="82"/>
  <c r="J81" i="80"/>
  <c r="L17" i="80"/>
  <c r="N41" i="80"/>
  <c r="L54" i="82"/>
  <c r="O84" i="80"/>
  <c r="G16" i="83"/>
  <c r="F75" i="80"/>
  <c r="K85" i="80"/>
  <c r="O72" i="80"/>
  <c r="L47" i="80"/>
  <c r="M39" i="80"/>
  <c r="N96" i="80"/>
  <c r="J85" i="80"/>
  <c r="L109" i="80"/>
  <c r="K27" i="80"/>
  <c r="F9" i="83"/>
  <c r="F28" i="80"/>
  <c r="N60" i="80"/>
  <c r="I12" i="82"/>
  <c r="M83" i="80"/>
  <c r="K110" i="80"/>
  <c r="H32" i="83"/>
  <c r="F21" i="83"/>
  <c r="H62" i="82"/>
  <c r="I27" i="83"/>
  <c r="M20" i="80"/>
  <c r="L41" i="82"/>
  <c r="K107" i="80"/>
  <c r="L37" i="82"/>
  <c r="F43" i="82"/>
  <c r="J34" i="80"/>
  <c r="J11" i="82"/>
  <c r="J51" i="82"/>
  <c r="N66" i="80"/>
  <c r="O50" i="80"/>
  <c r="O110" i="80"/>
  <c r="J113" i="80"/>
  <c r="J45" i="80"/>
  <c r="H42" i="82"/>
  <c r="J103" i="80"/>
  <c r="F48" i="80"/>
  <c r="K106" i="80"/>
  <c r="E73" i="80"/>
  <c r="G54" i="82"/>
  <c r="G18" i="83"/>
  <c r="K21" i="80"/>
  <c r="E26" i="80"/>
  <c r="N97" i="80"/>
  <c r="N36" i="80"/>
  <c r="H13" i="82"/>
  <c r="L26" i="80"/>
  <c r="F14" i="82"/>
  <c r="I42" i="82"/>
  <c r="L10" i="83"/>
  <c r="F29" i="82"/>
  <c r="J50" i="80"/>
  <c r="E25" i="80"/>
  <c r="O92" i="80"/>
  <c r="E55" i="80"/>
  <c r="J47" i="80"/>
  <c r="J11" i="83"/>
  <c r="G28" i="82"/>
  <c r="E45" i="80"/>
  <c r="G30" i="83"/>
  <c r="L114" i="80"/>
  <c r="L64" i="80"/>
  <c r="O112" i="80"/>
  <c r="L51" i="80"/>
  <c r="M53" i="80"/>
  <c r="H30" i="82"/>
  <c r="N62" i="80"/>
  <c r="H10" i="83"/>
  <c r="O80" i="80"/>
  <c r="O21" i="80"/>
  <c r="L32" i="80"/>
  <c r="O48" i="80"/>
  <c r="N95" i="80"/>
  <c r="H15" i="83"/>
  <c r="J26" i="80"/>
  <c r="J22" i="83"/>
  <c r="J78" i="80"/>
  <c r="O40" i="80"/>
  <c r="K38" i="80"/>
  <c r="M99" i="80"/>
  <c r="K112" i="80"/>
  <c r="L17" i="82"/>
  <c r="L37" i="83"/>
  <c r="O88" i="80"/>
  <c r="J65" i="82"/>
  <c r="M115" i="80"/>
  <c r="E48" i="80"/>
  <c r="F70" i="82"/>
  <c r="J53" i="80"/>
  <c r="M41" i="80"/>
  <c r="O78" i="80"/>
  <c r="O96" i="80"/>
  <c r="F16" i="83"/>
  <c r="N109" i="80"/>
  <c r="N107" i="80"/>
  <c r="M18" i="80"/>
  <c r="G42" i="82"/>
  <c r="J42" i="82"/>
  <c r="F18" i="83"/>
  <c r="M10" i="80"/>
  <c r="L31" i="83"/>
  <c r="M19" i="80"/>
  <c r="L56" i="80"/>
  <c r="G32" i="83"/>
  <c r="L12" i="80"/>
  <c r="E68" i="80"/>
  <c r="M107" i="80"/>
  <c r="E102" i="80"/>
  <c r="E32" i="80"/>
  <c r="J95" i="80"/>
  <c r="O83" i="80"/>
  <c r="E28" i="80"/>
  <c r="G38" i="83"/>
  <c r="K57" i="80"/>
  <c r="I53" i="82"/>
  <c r="F28" i="82"/>
  <c r="J35" i="80"/>
  <c r="I66" i="82"/>
  <c r="J41" i="80"/>
  <c r="I68" i="82"/>
  <c r="J36" i="80"/>
  <c r="E95" i="80"/>
  <c r="L62" i="82"/>
  <c r="O43" i="80"/>
  <c r="E97" i="80"/>
  <c r="N91" i="80"/>
  <c r="L78" i="80"/>
  <c r="J66" i="80"/>
  <c r="J40" i="80"/>
  <c r="F65" i="82"/>
  <c r="M90" i="80"/>
  <c r="L103" i="80"/>
  <c r="E57" i="80"/>
  <c r="I37" i="83"/>
  <c r="L95" i="80"/>
  <c r="M113" i="80"/>
  <c r="M77" i="80"/>
  <c r="H31" i="83"/>
  <c r="E46" i="80"/>
  <c r="K39" i="80"/>
  <c r="N113" i="80"/>
  <c r="N22" i="80"/>
  <c r="O94" i="80"/>
  <c r="I65" i="82"/>
  <c r="N104" i="80"/>
  <c r="I22" i="83"/>
  <c r="J30" i="83"/>
  <c r="J39" i="80"/>
  <c r="K50" i="80"/>
  <c r="G37" i="82"/>
  <c r="F41" i="80"/>
  <c r="L45" i="80"/>
  <c r="I36" i="83"/>
  <c r="O15" i="80"/>
  <c r="M85" i="80"/>
  <c r="J18" i="80"/>
  <c r="K83" i="80"/>
  <c r="L35" i="83"/>
  <c r="M58" i="80"/>
  <c r="L50" i="80"/>
  <c r="N23" i="80"/>
  <c r="L12" i="83"/>
  <c r="G13" i="83"/>
  <c r="K58" i="80"/>
  <c r="J73" i="80"/>
  <c r="E72" i="80"/>
  <c r="G27" i="82"/>
  <c r="E66" i="80"/>
  <c r="M62" i="80"/>
  <c r="G9" i="82"/>
  <c r="M16" i="80"/>
  <c r="J41" i="82"/>
  <c r="I40" i="82"/>
  <c r="F114" i="80"/>
  <c r="F19" i="83"/>
  <c r="O17" i="80"/>
  <c r="N90" i="80"/>
  <c r="K88" i="80"/>
  <c r="F89" i="80"/>
  <c r="J10" i="82"/>
  <c r="J19" i="80"/>
  <c r="J44" i="82"/>
  <c r="K10" i="80"/>
  <c r="G11" i="83"/>
  <c r="J29" i="83"/>
  <c r="L44" i="80"/>
  <c r="E50" i="80"/>
  <c r="F43" i="80"/>
  <c r="L60" i="80"/>
  <c r="M105" i="80"/>
  <c r="M87" i="80"/>
  <c r="E99" i="80"/>
  <c r="J20" i="83"/>
  <c r="K13" i="80"/>
  <c r="G21" i="83"/>
  <c r="N59" i="80"/>
  <c r="N87" i="80"/>
  <c r="L94" i="80"/>
  <c r="E9" i="83"/>
  <c r="F24" i="80"/>
  <c r="G55" i="82"/>
  <c r="F107" i="80"/>
  <c r="O93" i="80"/>
  <c r="F53" i="82"/>
  <c r="L16" i="82"/>
  <c r="F23" i="80"/>
  <c r="I27" i="82"/>
  <c r="G19" i="83"/>
  <c r="G65" i="82"/>
  <c r="E89" i="80"/>
  <c r="M110" i="80"/>
  <c r="N14" i="80"/>
  <c r="N12" i="80"/>
  <c r="N55" i="80"/>
  <c r="N25" i="80"/>
  <c r="J12" i="83"/>
  <c r="J17" i="80"/>
  <c r="E93" i="80"/>
  <c r="L55" i="82"/>
  <c r="M88" i="80"/>
  <c r="N115" i="80"/>
  <c r="K23" i="80"/>
  <c r="L98" i="80"/>
  <c r="E39" i="80"/>
  <c r="N13" i="80"/>
  <c r="M13" i="80"/>
  <c r="H20" i="83"/>
  <c r="F10" i="82"/>
  <c r="N72" i="80"/>
  <c r="E41" i="80"/>
  <c r="H17" i="82"/>
  <c r="N31" i="80"/>
  <c r="G10" i="82"/>
  <c r="E85" i="80"/>
  <c r="J11" i="80"/>
  <c r="K68" i="80"/>
  <c r="L14" i="80"/>
  <c r="M78" i="80"/>
  <c r="E104" i="80"/>
  <c r="O115" i="80"/>
  <c r="K96" i="80"/>
  <c r="M45" i="80"/>
  <c r="J114" i="80"/>
  <c r="J60" i="80"/>
  <c r="J108" i="80"/>
  <c r="K95" i="80"/>
  <c r="N84" i="80"/>
  <c r="G17" i="82"/>
  <c r="N37" i="80"/>
  <c r="H29" i="82"/>
  <c r="J29" i="80"/>
  <c r="K80" i="80"/>
  <c r="G35" i="83"/>
  <c r="F102" i="80"/>
  <c r="N35" i="80"/>
  <c r="J37" i="83"/>
  <c r="O56" i="80"/>
  <c r="N85" i="80"/>
  <c r="O60" i="80"/>
  <c r="E107" i="80"/>
  <c r="K16" i="80"/>
  <c r="K44" i="80"/>
  <c r="E31" i="80"/>
  <c r="F59" i="80"/>
  <c r="K12" i="80"/>
  <c r="I54" i="82"/>
  <c r="L14" i="82"/>
  <c r="M106" i="80"/>
  <c r="J93" i="80"/>
  <c r="K72" i="80"/>
  <c r="J32" i="80"/>
  <c r="J43" i="80"/>
  <c r="H43" i="82"/>
  <c r="K74" i="80"/>
  <c r="L100" i="80"/>
  <c r="M15" i="80"/>
  <c r="F28" i="83"/>
  <c r="K78" i="80"/>
  <c r="M114" i="80"/>
  <c r="K41" i="80"/>
  <c r="E109" i="80"/>
  <c r="H10" i="82"/>
  <c r="J96" i="80"/>
  <c r="F15" i="82"/>
  <c r="M69" i="80"/>
  <c r="H24" i="83"/>
  <c r="N76" i="80"/>
  <c r="J31" i="80"/>
  <c r="F34" i="83"/>
  <c r="I26" i="82"/>
  <c r="G33" i="83"/>
  <c r="L28" i="83"/>
  <c r="I29" i="83"/>
  <c r="L19" i="80"/>
  <c r="G10" i="83"/>
  <c r="K45" i="80"/>
  <c r="N24" i="80"/>
  <c r="L9" i="82"/>
  <c r="O61" i="80"/>
  <c r="I28" i="82"/>
  <c r="N81" i="80"/>
  <c r="L40" i="80"/>
  <c r="F32" i="80"/>
  <c r="J19" i="83"/>
  <c r="I64" i="82"/>
  <c r="F100" i="80"/>
  <c r="O81" i="80"/>
  <c r="L24" i="83"/>
  <c r="K55" i="80"/>
  <c r="O23" i="80"/>
  <c r="I39" i="82"/>
  <c r="J16" i="80"/>
  <c r="K34" i="80"/>
  <c r="J86" i="80"/>
  <c r="L113" i="80"/>
  <c r="H14" i="82"/>
  <c r="I15" i="83"/>
  <c r="J110" i="80"/>
  <c r="E92" i="80"/>
  <c r="J28" i="82"/>
  <c r="O76" i="80"/>
  <c r="O41" i="80"/>
  <c r="N30" i="80"/>
  <c r="J9" i="82"/>
  <c r="F98" i="80"/>
  <c r="F105" i="80"/>
  <c r="J28" i="83"/>
  <c r="F47" i="80"/>
  <c r="E34" i="80"/>
  <c r="H15" i="82"/>
  <c r="H23" i="83"/>
  <c r="J106" i="80"/>
  <c r="F77" i="80"/>
  <c r="J52" i="80"/>
  <c r="F78" i="80"/>
  <c r="L90" i="80"/>
  <c r="H54" i="82"/>
  <c r="J105" i="80"/>
  <c r="G15" i="82"/>
  <c r="K86" i="80"/>
  <c r="E63" i="80"/>
  <c r="F21" i="80"/>
  <c r="E22" i="80"/>
  <c r="E81" i="80"/>
  <c r="H35" i="83"/>
  <c r="N58" i="80"/>
  <c r="O35" i="80"/>
  <c r="L29" i="83"/>
  <c r="F36" i="80"/>
  <c r="N46" i="80"/>
  <c r="L11" i="82"/>
  <c r="G24" i="83"/>
  <c r="N20" i="80"/>
  <c r="E83" i="80"/>
  <c r="K92" i="80"/>
  <c r="N18" i="80"/>
  <c r="F11" i="83"/>
  <c r="L32" i="83"/>
  <c r="I25" i="83"/>
  <c r="L20" i="80"/>
  <c r="J71" i="82"/>
  <c r="L15" i="83"/>
  <c r="N78" i="80"/>
  <c r="F44" i="80"/>
  <c r="O87" i="80"/>
  <c r="L102" i="80"/>
  <c r="M21" i="80"/>
  <c r="K26" i="80"/>
  <c r="M73" i="80"/>
  <c r="K33" i="80"/>
  <c r="K59" i="80"/>
  <c r="K75" i="80"/>
  <c r="G71" i="82"/>
  <c r="F38" i="83"/>
  <c r="I18" i="83"/>
  <c r="O74" i="80"/>
  <c r="F71" i="80"/>
  <c r="G12" i="82"/>
  <c r="F69" i="80"/>
  <c r="O114" i="80"/>
  <c r="F76" i="80"/>
  <c r="G22" i="83"/>
  <c r="L104" i="80"/>
  <c r="I62" i="82"/>
  <c r="H21" i="83"/>
  <c r="J56" i="80"/>
  <c r="E84" i="80"/>
  <c r="L25" i="83"/>
  <c r="L18" i="80"/>
  <c r="N17" i="80"/>
  <c r="E91" i="80"/>
  <c r="O100" i="80"/>
  <c r="J26" i="83"/>
  <c r="I44" i="82"/>
  <c r="M46" i="80"/>
  <c r="O27" i="80"/>
  <c r="F84" i="80"/>
  <c r="M92" i="80"/>
  <c r="M55" i="80"/>
  <c r="G14" i="83"/>
  <c r="F103" i="80"/>
  <c r="F46" i="80"/>
  <c r="L13" i="82"/>
  <c r="J38" i="80"/>
  <c r="F69" i="82"/>
  <c r="J68" i="80"/>
  <c r="O105" i="80"/>
  <c r="M66" i="80"/>
  <c r="E15" i="80"/>
  <c r="F68" i="82"/>
  <c r="M68" i="80"/>
  <c r="J25" i="80"/>
  <c r="F61" i="80"/>
  <c r="N32" i="80"/>
  <c r="E17" i="80"/>
  <c r="F115" i="80"/>
  <c r="H53" i="82"/>
  <c r="F63" i="82"/>
  <c r="M36" i="80"/>
  <c r="K76" i="80"/>
  <c r="F62" i="80"/>
  <c r="O26" i="80"/>
  <c r="F86" i="80"/>
  <c r="L34" i="80"/>
  <c r="L18" i="83"/>
  <c r="K90" i="80"/>
  <c r="O90" i="80"/>
  <c r="M28" i="80"/>
  <c r="L29" i="80"/>
  <c r="J91" i="80"/>
  <c r="E76" i="80"/>
  <c r="L12" i="82"/>
  <c r="J88" i="80"/>
  <c r="J21" i="83"/>
  <c r="I51" i="82"/>
  <c r="N40" i="80"/>
  <c r="F29" i="83"/>
  <c r="N61" i="80"/>
  <c r="F91" i="80"/>
  <c r="E19" i="80"/>
  <c r="O33" i="80"/>
  <c r="O20" i="80"/>
  <c r="M61" i="80"/>
  <c r="G38" i="82"/>
  <c r="L17" i="83"/>
  <c r="J80" i="80"/>
  <c r="E11" i="80"/>
  <c r="F66" i="82"/>
  <c r="G17" i="83"/>
  <c r="L63" i="82"/>
  <c r="M70" i="80"/>
  <c r="G64" i="82"/>
  <c r="J28" i="80"/>
  <c r="L37" i="80"/>
  <c r="F35" i="83"/>
  <c r="L33" i="80"/>
  <c r="M72" i="80"/>
  <c r="O11" i="80"/>
  <c r="L46" i="80"/>
  <c r="G25" i="83"/>
  <c r="L82" i="80"/>
  <c r="G51" i="82"/>
  <c r="L93" i="80"/>
  <c r="E10" i="80"/>
  <c r="I16" i="83"/>
  <c r="F80" i="80"/>
  <c r="N75" i="80"/>
  <c r="E79" i="80"/>
  <c r="O45" i="80"/>
  <c r="L110" i="80"/>
  <c r="L16" i="80"/>
  <c r="O38" i="80"/>
  <c r="N71" i="80"/>
  <c r="H64" i="82"/>
  <c r="F25" i="80"/>
  <c r="K102" i="80"/>
  <c r="G41" i="82"/>
  <c r="O64" i="80"/>
  <c r="L40" i="82"/>
  <c r="F32" i="83"/>
  <c r="M74" i="80"/>
  <c r="N50" i="80"/>
  <c r="F108" i="80"/>
  <c r="E88" i="80"/>
  <c r="J74" i="80"/>
  <c r="E77" i="80"/>
  <c r="F65" i="80"/>
  <c r="F27" i="83"/>
  <c r="I18" i="82"/>
  <c r="J17" i="82"/>
  <c r="J64" i="82"/>
  <c r="J44" i="80"/>
  <c r="J69" i="82"/>
  <c r="F55" i="82"/>
  <c r="H38" i="82"/>
  <c r="J16" i="83"/>
  <c r="J31" i="83"/>
  <c r="I52" i="82"/>
  <c r="M91" i="80"/>
  <c r="E82" i="80"/>
  <c r="E37" i="80"/>
  <c r="K113" i="80"/>
  <c r="K19" i="80"/>
  <c r="M86" i="80"/>
  <c r="F31" i="83"/>
  <c r="F33" i="83"/>
  <c r="F18" i="80"/>
  <c r="J35" i="83"/>
  <c r="H22" i="83"/>
  <c r="H37" i="82"/>
  <c r="E103" i="80"/>
  <c r="I9" i="83"/>
  <c r="N74" i="80"/>
  <c r="G69" i="82"/>
  <c r="I67" i="82"/>
  <c r="L38" i="83"/>
  <c r="O47" i="80"/>
  <c r="I55" i="82"/>
  <c r="J38" i="82"/>
  <c r="F45" i="80"/>
  <c r="H66" i="82"/>
  <c r="L10" i="80"/>
  <c r="H30" i="83"/>
  <c r="E105" i="80"/>
  <c r="O51" i="80"/>
  <c r="I17" i="82"/>
  <c r="K31" i="80"/>
  <c r="F11" i="82"/>
  <c r="I13" i="83"/>
  <c r="K18" i="80"/>
  <c r="J37" i="82"/>
  <c r="N92" i="80"/>
  <c r="H70" i="82"/>
  <c r="N52" i="80"/>
  <c r="I12" i="83"/>
  <c r="K77" i="80"/>
  <c r="J26" i="82"/>
  <c r="H13" i="83"/>
  <c r="F90" i="80"/>
  <c r="G34" i="83"/>
  <c r="L97" i="80"/>
  <c r="E16" i="80"/>
  <c r="K79" i="80"/>
  <c r="I43" i="82"/>
  <c r="J62" i="82"/>
  <c r="N93" i="80"/>
  <c r="N106" i="80"/>
  <c r="K48" i="80"/>
  <c r="I11" i="83"/>
  <c r="G53" i="82"/>
  <c r="M75" i="80"/>
  <c r="N108" i="80"/>
  <c r="K28" i="80"/>
  <c r="L28" i="82"/>
  <c r="J72" i="80"/>
  <c r="O28" i="80"/>
  <c r="G23" i="83"/>
  <c r="F94" i="80"/>
  <c r="I70" i="82"/>
  <c r="J70" i="82"/>
  <c r="L83" i="80"/>
  <c r="K87" i="80"/>
  <c r="L96" i="80"/>
  <c r="L19" i="83"/>
  <c r="H44" i="82"/>
  <c r="L52" i="82"/>
  <c r="J98" i="80"/>
  <c r="M24" i="80"/>
  <c r="E75" i="80"/>
  <c r="I24" i="83"/>
  <c r="F63" i="80"/>
  <c r="O14" i="80"/>
  <c r="O89" i="80"/>
  <c r="J15" i="82"/>
  <c r="J27" i="83"/>
  <c r="J62" i="80"/>
  <c r="J99" i="80"/>
  <c r="F55" i="80"/>
  <c r="O111" i="80"/>
  <c r="O19" i="80"/>
  <c r="E64" i="80"/>
  <c r="O73" i="80"/>
  <c r="E110" i="80"/>
  <c r="F36" i="83"/>
  <c r="L92" i="80"/>
  <c r="M50" i="80"/>
  <c r="I9" i="82"/>
  <c r="L57" i="80"/>
  <c r="M76" i="80"/>
  <c r="F50" i="80"/>
  <c r="G27" i="83"/>
  <c r="O70" i="80"/>
  <c r="F92" i="80"/>
  <c r="F109" i="80"/>
  <c r="J49" i="80"/>
  <c r="L38" i="82"/>
  <c r="F17" i="83"/>
  <c r="M82" i="80"/>
  <c r="L15" i="80"/>
  <c r="O65" i="80"/>
  <c r="J39" i="82"/>
  <c r="N98" i="80"/>
  <c r="O77" i="80"/>
  <c r="F111" i="80"/>
  <c r="J102" i="80"/>
  <c r="I34" i="83"/>
  <c r="F68" i="80"/>
  <c r="L66" i="82"/>
  <c r="K104" i="80"/>
  <c r="E87" i="80"/>
  <c r="H9" i="82"/>
  <c r="L67" i="82"/>
  <c r="L38" i="80"/>
  <c r="J97" i="80"/>
  <c r="J14" i="80"/>
  <c r="N105" i="80"/>
  <c r="F95" i="80"/>
  <c r="N45" i="80"/>
  <c r="L65" i="82"/>
  <c r="F88" i="80"/>
  <c r="M51" i="80"/>
  <c r="F44" i="82"/>
  <c r="N80" i="80"/>
  <c r="I32" i="83"/>
  <c r="L22" i="80"/>
  <c r="K82" i="80"/>
  <c r="O30" i="80"/>
  <c r="F24" i="83"/>
  <c r="L23" i="83"/>
  <c r="N21" i="80"/>
  <c r="E13" i="80"/>
  <c r="L66" i="80"/>
  <c r="G26" i="83"/>
  <c r="F58" i="80"/>
  <c r="K61" i="80"/>
  <c r="L41" i="80"/>
  <c r="L91" i="80"/>
  <c r="J87" i="80"/>
  <c r="H19" i="83"/>
  <c r="O34" i="80"/>
  <c r="K89" i="80"/>
  <c r="J67" i="82"/>
  <c r="F22" i="83"/>
  <c r="M35" i="80"/>
  <c r="M98" i="80"/>
  <c r="E49" i="80"/>
  <c r="M32" i="80"/>
  <c r="K60" i="80"/>
  <c r="G39" i="82"/>
  <c r="K81" i="80"/>
  <c r="O32" i="80"/>
  <c r="E62" i="80"/>
  <c r="J10" i="83"/>
  <c r="N34" i="80"/>
  <c r="K29" i="80"/>
  <c r="M96" i="80"/>
  <c r="H17" i="83"/>
  <c r="I13" i="82"/>
  <c r="K91" i="80"/>
  <c r="J17" i="83"/>
  <c r="K109" i="80"/>
  <c r="M84" i="80"/>
  <c r="O103" i="80"/>
  <c r="F19" i="82"/>
  <c r="H67" i="82"/>
  <c r="J37" i="80"/>
  <c r="H55" i="82"/>
  <c r="G26" i="82"/>
  <c r="F66" i="80"/>
  <c r="J24" i="83"/>
  <c r="F15" i="80"/>
  <c r="F13" i="80"/>
  <c r="H28" i="82"/>
  <c r="O108" i="80"/>
  <c r="K25" i="80"/>
  <c r="F41" i="82"/>
  <c r="F40" i="80"/>
  <c r="J58" i="80"/>
  <c r="F39" i="80"/>
  <c r="J107" i="80"/>
  <c r="E23" i="80"/>
  <c r="M14" i="80"/>
  <c r="O52" i="80"/>
  <c r="F64" i="82"/>
  <c r="L69" i="80"/>
  <c r="I23" i="83"/>
  <c r="J77" i="80"/>
  <c r="O25" i="80"/>
  <c r="F10" i="83"/>
  <c r="M25" i="80"/>
  <c r="E94" i="80"/>
  <c r="M111" i="80"/>
  <c r="N11" i="80"/>
  <c r="J30" i="82"/>
  <c r="N88" i="80"/>
  <c r="I63" i="82"/>
  <c r="L111" i="80"/>
  <c r="L11" i="80"/>
  <c r="J27" i="80"/>
  <c r="J46" i="80"/>
  <c r="H41" i="82"/>
  <c r="O109" i="80"/>
  <c r="N44" i="80"/>
  <c r="I41" i="82"/>
  <c r="O10" i="80"/>
  <c r="F18" i="82"/>
  <c r="M37" i="80"/>
  <c r="L70" i="80"/>
  <c r="K84" i="80"/>
  <c r="H27" i="83"/>
  <c r="J55" i="80"/>
  <c r="O97" i="80"/>
  <c r="L70" i="82"/>
  <c r="L68" i="80"/>
  <c r="J19" i="82"/>
  <c r="L43" i="80"/>
  <c r="J33" i="80"/>
  <c r="M94" i="80"/>
  <c r="E65" i="80"/>
  <c r="N33" i="80"/>
  <c r="K35" i="80"/>
  <c r="K93" i="80"/>
  <c r="L18" i="82"/>
  <c r="N28" i="80"/>
  <c r="F54" i="82"/>
  <c r="N65" i="80"/>
  <c r="E20" i="80"/>
  <c r="O102" i="80"/>
  <c r="F87" i="80"/>
  <c r="L35" i="80"/>
  <c r="L21" i="80"/>
  <c r="J68" i="82"/>
  <c r="J40" i="82"/>
  <c r="H26" i="82"/>
  <c r="O24" i="80"/>
  <c r="J79" i="80"/>
  <c r="O106" i="80"/>
  <c r="F81" i="80"/>
  <c r="H9" i="83"/>
  <c r="J59" i="80"/>
  <c r="J24" i="80"/>
  <c r="F30" i="82"/>
  <c r="J15" i="83"/>
  <c r="M56" i="80"/>
  <c r="J63" i="80"/>
  <c r="J71" i="80"/>
  <c r="L9" i="83"/>
  <c r="E47" i="80"/>
  <c r="H71" i="82"/>
  <c r="L99" i="80"/>
  <c r="O55" i="80"/>
  <c r="L53" i="82"/>
  <c r="G63" i="82"/>
  <c r="K108" i="80"/>
  <c r="M81" i="80"/>
  <c r="N49" i="80"/>
  <c r="N110" i="80"/>
  <c r="M100" i="80"/>
  <c r="N73" i="80"/>
  <c r="O107" i="80"/>
  <c r="J38" i="83"/>
  <c r="M93" i="80"/>
  <c r="L59" i="80"/>
  <c r="J36" i="83"/>
  <c r="F42" i="82"/>
  <c r="L55" i="80"/>
  <c r="E30" i="80"/>
  <c r="F52" i="82"/>
  <c r="M80" i="80"/>
  <c r="J66" i="82"/>
  <c r="G18" i="82"/>
  <c r="J23" i="80"/>
  <c r="H51" i="82"/>
  <c r="O79" i="80"/>
  <c r="L107" i="80"/>
  <c r="L26" i="82"/>
  <c r="N48" i="80"/>
  <c r="F34" i="80"/>
  <c r="K105" i="80"/>
  <c r="J18" i="83"/>
  <c r="F72" i="80"/>
  <c r="M12" i="80"/>
  <c r="E106" i="80"/>
  <c r="F12" i="82"/>
  <c r="L68" i="82"/>
  <c r="H34" i="83"/>
  <c r="F112" i="80"/>
  <c r="F31" i="80"/>
  <c r="F23" i="83"/>
  <c r="I19" i="83"/>
  <c r="F12" i="80"/>
  <c r="M89" i="80"/>
  <c r="O85" i="80"/>
  <c r="F53" i="80"/>
  <c r="K111" i="80"/>
  <c r="L74" i="80"/>
  <c r="J12" i="80"/>
  <c r="K30" i="80"/>
  <c r="L27" i="80"/>
  <c r="L20" i="83"/>
  <c r="G19" i="82"/>
  <c r="J29" i="82"/>
  <c r="F51" i="80"/>
  <c r="N94" i="80"/>
  <c r="E29" i="80"/>
  <c r="N26" i="80"/>
  <c r="L65" i="80"/>
  <c r="H63" i="82"/>
  <c r="G37" i="83"/>
  <c r="K98" i="80"/>
  <c r="O75" i="80"/>
  <c r="F104" i="80"/>
  <c r="K63" i="80"/>
  <c r="O22" i="80"/>
  <c r="G43" i="82"/>
  <c r="M60" i="80"/>
  <c r="L105" i="80"/>
  <c r="N56" i="80"/>
  <c r="J53" i="82"/>
  <c r="L75" i="80"/>
  <c r="E86" i="80"/>
  <c r="G20" i="83"/>
  <c r="N86" i="80"/>
  <c r="H16" i="83"/>
  <c r="O58" i="80"/>
  <c r="K62" i="80"/>
  <c r="J89" i="80"/>
  <c r="J61" i="80"/>
  <c r="F79" i="80"/>
  <c r="K64" i="80"/>
  <c r="L81" i="80"/>
  <c r="G16" i="82"/>
  <c r="N10" i="80"/>
  <c r="L64" i="82"/>
  <c r="F83" i="80"/>
  <c r="N112" i="80"/>
  <c r="F51" i="82"/>
  <c r="M97" i="80"/>
  <c r="I19" i="82"/>
  <c r="K36" i="80"/>
  <c r="K51" i="80"/>
  <c r="M59" i="80"/>
  <c r="J30" i="80"/>
  <c r="L14" i="83"/>
  <c r="N38" i="80"/>
  <c r="L42" i="82"/>
  <c r="G36" i="83"/>
  <c r="J18" i="82"/>
  <c r="L39" i="80"/>
  <c r="F37" i="80"/>
  <c r="N29" i="80"/>
  <c r="L51" i="82"/>
  <c r="M48" i="80"/>
  <c r="J15" i="80"/>
  <c r="H14" i="83"/>
  <c r="O71" i="80"/>
  <c r="L30" i="80"/>
  <c r="J55" i="82"/>
  <c r="M112" i="80"/>
  <c r="N79" i="80"/>
  <c r="M26" i="80"/>
  <c r="F12" i="83"/>
  <c r="K103" i="80"/>
  <c r="M44" i="80"/>
  <c r="H16" i="82"/>
  <c r="N64" i="80"/>
  <c r="E40" i="80"/>
  <c r="J51" i="80"/>
  <c r="L85" i="80"/>
  <c r="I10" i="82"/>
  <c r="M52" i="80"/>
  <c r="G29" i="83"/>
  <c r="H25" i="83"/>
  <c r="J104" i="80"/>
  <c r="E38" i="80"/>
  <c r="L58" i="80"/>
  <c r="F14" i="80"/>
  <c r="I33" i="83"/>
  <c r="E14" i="80"/>
  <c r="L23" i="80"/>
  <c r="H40" i="82"/>
  <c r="M65" i="80"/>
  <c r="O16" i="80"/>
  <c r="L53" i="80"/>
  <c r="G67" i="82"/>
  <c r="E61" i="80"/>
  <c r="L11" i="83"/>
  <c r="O99" i="80"/>
  <c r="F113" i="80"/>
  <c r="L86" i="80"/>
  <c r="G40" i="82"/>
  <c r="F20" i="80"/>
  <c r="M11" i="80"/>
  <c r="H52" i="82"/>
  <c r="J109" i="80"/>
  <c r="E51" i="80"/>
  <c r="L52" i="80"/>
  <c r="L76" i="80"/>
  <c r="N111" i="80"/>
  <c r="K22" i="80"/>
  <c r="O29" i="80"/>
  <c r="L31" i="80"/>
  <c r="I20" i="83"/>
  <c r="M57" i="80"/>
  <c r="H69" i="82"/>
  <c r="G15" i="83"/>
  <c r="H36" i="83"/>
  <c r="H12" i="82"/>
  <c r="L71" i="80"/>
  <c r="L36" i="83"/>
  <c r="F17" i="82"/>
  <c r="G44" i="82"/>
  <c r="E56" i="80"/>
  <c r="E70" i="80"/>
  <c r="H29" i="83"/>
  <c r="I10" i="83"/>
  <c r="J75" i="80"/>
  <c r="I15" i="82"/>
  <c r="J100" i="80"/>
  <c r="F71" i="82"/>
  <c r="L115" i="80"/>
  <c r="O86" i="80"/>
  <c r="L108" i="80"/>
  <c r="G14" i="82"/>
  <c r="F85" i="80"/>
  <c r="O37" i="80"/>
  <c r="K20" i="80"/>
  <c r="E33" i="80"/>
  <c r="L89" i="80"/>
  <c r="M109" i="80"/>
  <c r="K15" i="80"/>
  <c r="K70" i="80"/>
  <c r="I17" i="83"/>
  <c r="G62" i="82"/>
  <c r="E18" i="80"/>
  <c r="E53" i="80"/>
  <c r="L73" i="80"/>
  <c r="E59" i="80"/>
  <c r="J54" i="82"/>
  <c r="J63" i="82"/>
  <c r="K73" i="80"/>
  <c r="L28" i="80"/>
  <c r="I30" i="82"/>
  <c r="L61" i="80"/>
  <c r="O44" i="80"/>
  <c r="M63" i="80"/>
  <c r="J16" i="82"/>
  <c r="E100" i="80"/>
  <c r="N39" i="80"/>
  <c r="M108" i="80"/>
  <c r="K94" i="80"/>
  <c r="L49" i="80"/>
  <c r="F27" i="80"/>
  <c r="O57" i="80"/>
  <c r="E24" i="80"/>
  <c r="O91" i="80"/>
  <c r="N47" i="80"/>
  <c r="E80" i="80"/>
  <c r="H26" i="83"/>
  <c r="N83" i="80"/>
  <c r="H68" i="82"/>
  <c r="J115" i="80"/>
  <c r="J33" i="83"/>
  <c r="N27" i="80"/>
  <c r="F30" i="83"/>
  <c r="G28" i="83"/>
  <c r="N89" i="80"/>
  <c r="I35" i="83"/>
  <c r="L77" i="80"/>
  <c r="M71" i="80"/>
  <c r="I16" i="82"/>
  <c r="L71" i="82"/>
  <c r="L19" i="82"/>
  <c r="L80" i="80"/>
  <c r="L44" i="82"/>
  <c r="I26" i="83"/>
  <c r="K24" i="80"/>
  <c r="H37" i="83"/>
  <c r="J48" i="80"/>
  <c r="E43" i="80"/>
  <c r="J25" i="83"/>
  <c r="N63" i="80"/>
  <c r="K71" i="80"/>
  <c r="L69" i="82"/>
  <c r="F93" i="80"/>
  <c r="F38" i="80"/>
  <c r="O98" i="80"/>
  <c r="F15" i="83"/>
  <c r="F82" i="80"/>
  <c r="L72" i="80"/>
  <c r="F14" i="83"/>
  <c r="F22" i="80"/>
  <c r="O13" i="80"/>
  <c r="L13" i="80"/>
  <c r="L21" i="83"/>
  <c r="L39" i="82"/>
  <c r="I11" i="82"/>
  <c r="E12" i="80"/>
  <c r="K37" i="80"/>
  <c r="L106" i="80"/>
  <c r="I14" i="83"/>
  <c r="L84" i="80"/>
  <c r="K99" i="80"/>
  <c r="J22" i="80"/>
  <c r="F73" i="80"/>
  <c r="J64" i="80"/>
  <c r="K100" i="80"/>
  <c r="J57" i="80"/>
  <c r="E21" i="80"/>
  <c r="H28" i="83"/>
  <c r="F11" i="80"/>
  <c r="I14" i="82"/>
  <c r="M27" i="80"/>
  <c r="F27" i="82"/>
  <c r="J90" i="80"/>
  <c r="L63" i="80"/>
  <c r="F60" i="80"/>
  <c r="F99" i="80"/>
  <c r="L43" i="82"/>
  <c r="E69" i="80"/>
  <c r="F38" i="82"/>
  <c r="H27" i="82"/>
  <c r="K65" i="80"/>
  <c r="N82" i="80"/>
  <c r="L88" i="80"/>
  <c r="N51" i="80"/>
  <c r="G29" i="82"/>
  <c r="K43" i="80"/>
  <c r="F20" i="83"/>
  <c r="F37" i="83"/>
  <c r="F30" i="80"/>
  <c r="F26" i="83"/>
  <c r="L15" i="82"/>
  <c r="I28" i="83"/>
  <c r="J84" i="80"/>
  <c r="G70" i="82"/>
  <c r="F26" i="82"/>
  <c r="E44" i="80"/>
  <c r="K114" i="80"/>
  <c r="L30" i="83"/>
  <c r="O46" i="80"/>
  <c r="O36" i="80"/>
  <c r="M22" i="80"/>
  <c r="J76" i="80"/>
  <c r="O59" i="80"/>
  <c r="K32" i="80"/>
  <c r="I69" i="82"/>
  <c r="L36" i="80"/>
  <c r="H19" i="82"/>
  <c r="M64" i="80"/>
  <c r="M17" i="80"/>
  <c r="M43" i="80"/>
  <c r="L79" i="80"/>
  <c r="G31" i="83"/>
  <c r="N68" i="80"/>
  <c r="O53" i="80"/>
  <c r="J13" i="80"/>
  <c r="J43" i="82"/>
  <c r="M103" i="80"/>
  <c r="E27" i="80"/>
  <c r="M30" i="80"/>
  <c r="M34" i="80"/>
  <c r="E108" i="80"/>
  <c r="F97" i="80"/>
  <c r="L30" i="82"/>
  <c r="L10" i="82"/>
  <c r="L48" i="80"/>
  <c r="J32" i="83"/>
  <c r="M79" i="80"/>
  <c r="E58" i="80"/>
  <c r="F70" i="80"/>
  <c r="G30" i="82"/>
  <c r="N70" i="80"/>
  <c r="J111" i="80"/>
  <c r="K52" i="80"/>
  <c r="J14" i="82"/>
  <c r="F13" i="83"/>
  <c r="K56" i="80"/>
  <c r="J14" i="83"/>
  <c r="J70" i="80"/>
  <c r="I38" i="83"/>
  <c r="E98" i="80"/>
  <c r="I30" i="83"/>
  <c r="H39" i="82"/>
  <c r="E78" i="80"/>
  <c r="H18" i="82"/>
  <c r="E96" i="80"/>
  <c r="N102" i="80"/>
  <c r="H65" i="82"/>
  <c r="F52" i="80"/>
  <c r="G9" i="83"/>
  <c r="J9" i="83"/>
  <c r="L87" i="80"/>
  <c r="J94" i="80"/>
  <c r="M33" i="80"/>
  <c r="K53" i="80"/>
  <c r="M104" i="80"/>
  <c r="K115" i="80"/>
  <c r="E35" i="80"/>
  <c r="J13" i="82"/>
  <c r="E71" i="80"/>
  <c r="L34" i="83"/>
  <c r="L27" i="83"/>
  <c r="H11" i="83"/>
  <c r="F39" i="82"/>
  <c r="F37" i="82"/>
  <c r="F13" i="82"/>
  <c r="F40" i="82"/>
  <c r="N19" i="80"/>
  <c r="F67" i="82"/>
  <c r="J20" i="80"/>
  <c r="N43" i="80"/>
  <c r="O82" i="80"/>
  <c r="O113" i="80"/>
  <c r="F16" i="80"/>
  <c r="K47" i="80"/>
  <c r="F56" i="80"/>
  <c r="N77" i="80"/>
  <c r="E90" i="80"/>
  <c r="J92" i="80"/>
  <c r="I29" i="82"/>
  <c r="N16" i="80"/>
  <c r="K9" i="83"/>
  <c r="E137" i="80" l="1"/>
  <c r="D137" i="80" s="1"/>
  <c r="E136" i="80"/>
  <c r="D136" i="80" s="1"/>
  <c r="E134" i="80"/>
  <c r="D134" i="80" s="1"/>
  <c r="E135" i="80"/>
  <c r="D135" i="80" s="1"/>
  <c r="E123" i="80"/>
  <c r="D123" i="80" s="1"/>
  <c r="E125" i="80"/>
  <c r="D125" i="80" s="1"/>
  <c r="E133" i="80"/>
  <c r="D133" i="80" s="1"/>
  <c r="E124" i="80"/>
  <c r="D124" i="80" s="1"/>
  <c r="E126" i="80"/>
  <c r="D126" i="80" s="1"/>
  <c r="E122" i="80"/>
  <c r="D122" i="80" s="1"/>
</calcChain>
</file>

<file path=xl/comments1.xml><?xml version="1.0" encoding="utf-8"?>
<comments xmlns="http://schemas.openxmlformats.org/spreadsheetml/2006/main">
  <authors>
    <author>Microsoft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&lt;?xml version="1.0" encoding="utf-8"?&gt;&lt;Schema xmlns:xsd="http://www.w3.org/2001/XMLSchema" xmlns:xsi="http://www.w3.org/2001/XMLSchema-instance" Version="2" Timestamp="1648707636"&gt;&lt;FQL&gt;&lt;Q&gt;FDS^FG_COMPANY_NAME&lt;/Q&gt;&lt;R&gt;1&lt;/R&gt;&lt;C&gt;1&lt;/C&gt;&lt;D xsi:type="xsd:string"&gt;FactSet Research Systems Inc.&lt;/D&gt;&lt;/FQL&gt;&lt;FQL&gt;&lt;Q&gt;FDS^FG_BUS_DESC_BRIEF("ARRAY")[0]&lt;/Q&gt;&lt;R&gt;1&lt;/R&gt;&lt;C&gt;1&lt;/C&gt;&lt;D xsi:type="xsd:string"&gt;FactSet Research Systems Inc. (the "Company" or "FactSet") is a global&lt;/D&gt;&lt;/FQL&gt;&lt;FQL&gt;&lt;Q&gt;FDS^FG_BUS_DESC_BRIEF("ARRAY")[1]&lt;/Q&gt;&lt;R&gt;1&lt;/R&gt;&lt;C&gt;1&lt;/C&gt;&lt;D xsi:type="xsd:string"&gt;provider of integrated financial information, analytical applications and&lt;/D&gt;&lt;/FQL&gt;&lt;FQL&gt;&lt;Q&gt;FDS^FG_BUS_DESC_BRIEF("ARRAY")[2]&lt;/Q&gt;&lt;R&gt;1&lt;/R&gt;&lt;C&gt;1&lt;/C&gt;&lt;D xsi:type="xsd:string"&gt;services for the investment and corporate communities. Since inception,&lt;/D&gt;&lt;/FQL&gt;&lt;FQL&gt;&lt;Q&gt;FDS^FG_BUS_DESC_BRIEF("ARRAY")[3]&lt;/Q&gt;&lt;R&gt;1&lt;/R&gt;&lt;C&gt;1&lt;/C&gt;&lt;D xsi:type="xsd:string"&gt;global financial professionals have utilized the Company's content and&lt;/D&gt;&lt;/FQL&gt;&lt;FQL&gt;&lt;Q&gt;FDS^FG_BUS_DESC_BRIEF("ARRAY")[4]&lt;/Q&gt;&lt;R&gt;1&lt;/R&gt;&lt;C&gt;1&lt;/C&gt;&lt;D xsi:type="xsd:string"&gt;multi-asset class solutions across each stage of the investment process.&lt;/D&gt;&lt;/FQL&gt;&lt;FQL&gt;&lt;Q&gt;FDS^FG_BUS_DESC_BRIEF("ARRAY")[5]&lt;/Q&gt;&lt;R&gt;1&lt;/R&gt;&lt;C&gt;1&lt;/C&gt;&lt;D xsi:type="xsd:string"&gt;FactSet's goal is to provide a seamless user experience spanning idea&lt;/D&gt;&lt;/FQL&gt;&lt;FQL&gt;&lt;Q&gt;FDS^FG_BUS_DESC_BRIEF("ARRAY")[6]&lt;/Q&gt;&lt;R&gt;1&lt;/R&gt;&lt;C&gt;1&lt;/C&gt;&lt;D xsi:type="xsd:string"&gt;generation, research, portfolio construction, trade execution,&lt;/D&gt;&lt;/FQL&gt;&lt;FQL&gt;&lt;Q&gt;FDS^FG_BUS_DESC_BRIEF("ARRAY")[7]&lt;/Q&gt;&lt;R&gt;1&lt;/R&gt;&lt;C&gt;1&lt;/C&gt;&lt;D xsi:type="xsd:string"&gt;performance measurement, risk management, reporting, and portfolio&lt;/D&gt;&lt;/FQL&gt;&lt;FQL&gt;&lt;Q&gt;FDS^FG_BUS_DESC_BRIEF("ARRAY")[8]&lt;/Q&gt;&lt;R&gt;1&lt;/R&gt;&lt;C&gt;1&lt;/C&gt;&lt;D xsi:type="xsd:string"&gt;analysis, in which the Company serves the front, middle, and back offices&lt;/D&gt;&lt;/FQL&gt;&lt;FQL&gt;&lt;Q&gt;FDS^FG_BUS_DESC_BRIEF("ARRAY")[9]&lt;/Q&gt;&lt;R&gt;1&lt;/R&gt;&lt;C&gt;1&lt;/C&gt;&lt;D xsi:type="xsd:string"&gt;to drive productivity and improved performance. FactSet's flexible, open&lt;/D&gt;&lt;/FQL&gt;&lt;FQL&gt;&lt;Q&gt;FDS^FG_BUS_DESC_BRIEF("ARRAY")[10]&lt;/Q&gt;&lt;R&gt;1&lt;/R&gt;&lt;C&gt;1&lt;/C&gt;&lt;D xsi:type="xsd:string"&gt;data and technology solutions can be implemented both across the&lt;/D&gt;&lt;/FQL&gt;&lt;FQL&gt;&lt;Q&gt;FDS^FG_BUS_DESC_BRIEF("ARRAY")[11]&lt;/Q&gt;&lt;R&gt;1&lt;/R&gt;&lt;C&gt;1&lt;/C&gt;&lt;D xsi:type="xsd:string"&gt;investment portfolio lifecycle or as standalone components serving&lt;/D&gt;&lt;/FQL&gt;&lt;FQL&gt;&lt;Q&gt;FDS^FG_BUS_DESC_BRIEF("ARRAY")[12]&lt;/Q&gt;&lt;R&gt;1&lt;/R&gt;&lt;C&gt;1&lt;/C&gt;&lt;D xsi:type="xsd:string"&gt;different workflows in the organization. FactSet is focused on growing&lt;/D&gt;&lt;/FQL&gt;&lt;FQL&gt;&lt;Q&gt;FDS^FG_BUS_DESC_BRIEF("ARRAY")[13]&lt;/Q&gt;&lt;R&gt;1&lt;/R&gt;&lt;C&gt;1&lt;/C&gt;&lt;D xsi:type="xsd:string"&gt;the business throughout each of its three segments, the Americas, EMEA&lt;/D&gt;&lt;/FQL&gt;&lt;FQL&gt;&lt;Q&gt;FDS^FG_BUS_DESC_BRIEF("ARRAY")[14]&lt;/Q&gt;&lt;R&gt;1&lt;/R&gt;&lt;C&gt;1&lt;/C&gt;&lt;D xsi:type="xsd:string"&gt;(formerly known as Europe), and Asia Pacific. The Company primarily&lt;/D&gt;&lt;/FQL&gt;&lt;FQL&gt;&lt;Q&gt;FDS^FG_ADDRESS_L1&lt;/Q&gt;&lt;R&gt;1&lt;/R&gt;&lt;C&gt;1&lt;/C&gt;&lt;D xsi:type="xsd:string"&gt;45 Glover Avenue&lt;/D&gt;&lt;/FQL&gt;&lt;FQL&gt;&lt;Q&gt;FDS^FG_ADDRESS_L2&lt;/Q&gt;&lt;R&gt;1&lt;/R&gt;&lt;C&gt;1&lt;/C&gt;&lt;D xsi:type="xsd:string"&gt;Norwalk, Connecticut 06850 US&lt;/D&gt;&lt;/FQL&gt;&lt;FQL&gt;&lt;Q&gt;FDS^PROPER(FG_COUNTRY)&lt;/Q&gt;&lt;R&gt;1&lt;/R&gt;&lt;C&gt;1&lt;/C&gt;&lt;D xsi:type="xsd:string"&gt;United States&lt;/D&gt;&lt;/FQL&gt;&lt;FQL&gt;&lt;Q&gt;JD^FG_BUS_DESC_BRIEF("ARRAY")[0]&lt;/Q&gt;&lt;R&gt;1&lt;/R&gt;&lt;C&gt;1&lt;/C&gt;&lt;D xsi:type="xsd:string"&gt;JD.com, Inc. is a technology driven E-commerce company. It engages in the&lt;/D&gt;&lt;/FQL&gt;&lt;FQL&gt;&lt;Q&gt;FDS^FG_PRICE_ICS(0/0/-1,NOW,D,LOCAL,SPLIT,0,,,5)&lt;/Q&gt;&lt;R&gt;254&lt;/R&gt;&lt;C&gt;1&lt;/C&gt;&lt;D xsi:type="xsd:double"&gt;332.8&lt;/D&gt;&lt;D xsi:type="xsd:double"&gt;327.97&lt;/D&gt;&lt;D xsi:type="xsd:double"&gt;328.48&lt;/D&gt;&lt;D xsi:type="xsd:double"&gt;322.27&lt;/D&gt;&lt;D xsi:type="xsd:double"&gt;318.9&lt;/D&gt;&lt;D xsi:type="xsd:double"&gt;311.23&lt;/D&gt;&lt;D xsi:type="xsd:double"&gt;310.25&lt;/D&gt;&lt;D xsi:type="xsd:double"&gt;306.5&lt;/D&gt;&lt;D xsi:type="xsd:double"&gt;311.18&lt;/D&gt;&lt;D xsi:type="xsd:double"&gt;319.48&lt;/D&gt;&lt;D xsi:type="xsd:double"&gt;327.88&lt;/D&gt;&lt;D xsi:type="xsd:double"&gt;332.97&lt;/D&gt;&lt;D xsi:type="xsd:double"&gt;335.83&lt;/D&gt;&lt;D xsi:type="xsd:double"&gt;316.71&lt;/D&gt;&lt;D xsi:type="xsd:double"&gt;323.1&lt;/D&gt;&lt;D xsi:type="xsd:double"&gt;335.15&lt;/D&gt;&lt;D xsi:type="xsd:double"&gt;324.76&lt;/D&gt;&lt;D xsi:type="xsd:double"&gt;328.26&lt;/D&gt;&lt;D xsi:type="xsd:double"&gt;329.95&lt;/D&gt;&lt;D xsi:type="xsd:double"&gt;323.25&lt;/D&gt;&lt;D xsi:type="xsd:double"&gt;317.06&lt;/D&gt;&lt;D xsi:type="xsd:double"&gt;317.96&lt;/D&gt;&lt;D xsi:type="xsd:double"&gt;321.55&lt;/D&gt;&lt;D xsi:type="xsd:double"&gt;318.88&lt;/D&gt;&lt;D xsi:type="xsd:double"&gt;319.88&lt;/D&gt;&lt;D xsi:type="xsd:double"&gt;322.28&lt;/D&gt;&lt;D xsi:type="xsd:double"&gt;322.75&lt;/D&gt;&lt;D xsi:type="xsd:double"&gt;333.76&lt;/D&gt;&lt;D xsi:type="xsd:double"&gt;342.23&lt;/D&gt;&lt;D xsi:type="xsd:double"&gt;336.15&lt;/D&gt;&lt;D xsi:type="xsd:double"&gt;346.57&lt;/D&gt;&lt;D xsi:type="xsd:double"&gt;351.01&lt;/D&gt;&lt;D xsi:type="xsd:double"&gt;351.71&lt;/D&gt;&lt;D xsi:type="xsd:double"&gt;348.57&lt;/D&gt;&lt;D xsi:type="xsd:double"&gt;345.76&lt;/D&gt;&lt;D xsi:type="xsd:double"&gt;348.69&lt;/D&gt;&lt;D xsi:type="xsd:double"&gt;351.47&lt;/D&gt;&lt;D xsi:type="xsd:double"&gt;344.89&lt;/D&gt;&lt;D xsi:type="xsd:double"&gt;347.99&lt;/D&gt;&lt;D xsi:type="xsd:double"&gt;345.38&lt;/D&gt;&lt;D xsi:type="xsd:double"&gt;345.23&lt;/D&gt;&lt;D xsi:type="xsd:double"&gt;347.03&lt;/D&gt;&lt;D xsi:type="xsd:double"&gt;332.65&lt;/D&gt;&lt;D xsi:type="xsd:double"&gt;331&lt;/D&gt;&lt;D xsi:type="xsd:double"&gt;325.08&lt;/D&gt;&lt;D xsi:type="xsd:double"&gt;327.43&lt;/D&gt;&lt;D xsi:type="xsd:double"&gt;330.02&lt;/D&gt;&lt;D xsi:type="xsd:double"&gt;327.33&lt;/D&gt;&lt;D xsi:type="xsd:double"&gt;328.38&lt;/D&gt;&lt;D xsi:type="xsd:double"&gt;332.5&lt;/D&gt;&lt;D xsi:type="xsd:double"&gt;330.59&lt;/D&gt;&lt;D xsi:type="xsd:double"&gt;329.58&lt;/D&gt;&lt;D xsi:type="xsd:double"&gt;332.23&lt;/D&gt;&lt;D xsi:type="xsd:double"&gt;334.4&lt;/D&gt;&lt;D xsi:type="xsd:double"&gt;334.45&lt;/D&gt;&lt;D xsi:type="xsd:double"&gt;332.25&lt;/D&gt;&lt;D xsi:type="xsd:double"&gt;335.44&lt;/D&gt;&lt;D xsi:type="xsd:double"&gt;330.99&lt;/D&gt;&lt;D xsi:type="xsd:double"&gt;320.64&lt;/D&gt;&lt;D xsi:type="xsd:double"&gt;318.2&lt;/D&gt;&lt;D xsi:type="xsd:double"&gt;319.35&lt;/D&gt;&lt;D xsi:type="xsd:double"&gt;327.45&lt;/D&gt;&lt;D xsi:type="xsd:double"&gt;324.72&lt;/D&gt;&lt;D xsi:type="xsd:double"&gt;320.23&lt;/D&gt;&lt;D xsi:type="xsd:double"&gt;317.52&lt;/D&gt;&lt;D xsi:type="xsd:double"&gt;311.9&lt;/D&gt;&lt;D xsi:type="xsd:double"&gt;312.69&lt;/D&gt;&lt;D xsi:type="xsd:double"&gt;308.79&lt;/D&gt;&lt;D xsi:type="xsd:double"&gt;302.34&lt;/D&gt;&lt;D xsi:type="xsd:double"&gt;312.26&lt;/D&gt;&lt;D xsi:type="xsd:double"&gt;317.7&lt;/D&gt;&lt;D xsi:type="xsd:double"&gt;315.35&lt;/D&gt;&lt;D xsi:type="xsd:double"&gt;315.84&lt;/D&gt;&lt;D xsi:type="xsd:double"&gt;317.97&lt;/D&gt;&lt;D xsi:type="xsd:double"&gt;320.95&lt;/D&gt;&lt;D xsi:type="xsd:double"&gt;313.6&lt;/D&gt;&lt;D xsi:type="xsd:double"&gt;309.41&lt;/D&gt;&lt;D xsi:type="xsd:double"&gt;317.14&lt;/D&gt;&lt;D xsi:type="xsd:double"&gt;316&lt;/D&gt;&lt;D xsi:type="xsd:double"&gt;312.6&lt;/D&gt;&lt;D xsi:type="xsd:double"&gt;315.04&lt;/D&gt;&lt;D xsi:type="xsd:double"&gt;318.5&lt;/D&gt;&lt;D xsi:type="xsd:double"&gt;313.68&lt;/D&gt;&lt;D xsi:type="xsd:double"&gt;303.87&lt;/D&gt;&lt;D xsi:type="xsd:double"&gt;302.79&lt;/D&gt;&lt;D xsi:type="xsd:double"&gt;300.94&lt;/D&gt;&lt;D xsi:type="xsd:double"&gt;294.35&lt;/D&gt;&lt;D xsi:type="xsd:double"&gt;303.91&lt;/D&gt;&lt;D xsi:type="xsd:double"&gt;311.18&lt;/D&gt;&lt;D xsi:type="xsd:double"&gt;310.92&lt;/D&gt;&lt;D xsi:type="xsd:double"&gt;308.87&lt;/D&gt;&lt;D xsi:type="xsd:double"&gt;305.09&lt;/D&gt;&lt;D xsi:type="xsd:double"&gt;314.25&lt;/D&gt;&lt;D xsi:type="xsd:double"&gt;315.9&lt;/D&gt;&lt;D xsi:type="xsd:double"&gt;312.49&lt;/D&gt;&lt;D xsi:type="xsd:double"&gt;312.29&lt;/D&gt;&lt;D xsi:type="xsd:double"&gt;312.74&lt;/D&gt;&lt;D xsi:type="xsd:double"&gt;310.9&lt;/D&gt;&lt;D xsi:type="xsd:double"&gt;318.52&lt;/D&gt;&lt;D xsi:type="xsd:double"&gt;317.76&lt;/D&gt;&lt;D xsi:type="xsd:double"&gt;316.3&lt;/D&gt;&lt;D xsi:type="xsd:double"&gt;310.1&lt;/D&gt;&lt;D xsi:type="xsd:double"&gt;311.44&lt;/D&gt;&lt;D xsi:type="xsd:double"&gt;314.38&lt;/D&gt;&lt;D xsi:type="xsd:double"&gt;320.4&lt;/D&gt;&lt;D xsi:type="xsd:double"&gt;321.35&lt;/D&gt;&lt;D xsi:type="xsd:double"&gt;321.17&lt;/D&gt;&lt;D xsi:type="xsd:double"&gt;325.62&lt;/D&gt;&lt;D xsi:type="xsd:double"&gt;323.95&lt;/D&gt;&lt;D xsi:type="xsd:double"&gt;311.34&lt;/D&gt;&lt;D xsi:type="xsd:double"&gt;308.59&lt;/D&gt;&lt;D xsi:type="xsd:double"&gt;317.01&lt;/D&gt;&lt;D xsi:type="xsd:double"&gt;320.55&lt;/D&gt;&lt;D xsi:type="xsd:double"&gt;318.18&lt;/D&gt;&lt;D xsi:type="xsd:double"&gt;309.36&lt;/D&gt;&lt;D xsi:type="xsd:double"&gt;310.14&lt;/D&gt;&lt;D xsi:type="xsd:double"&gt;309.13&lt;/D&gt;&lt;D xsi:type="xsd:double"&gt;311.26&lt;/D&gt;&lt;D xsi:type="xsd:double"&gt;311.4&lt;/D&gt;&lt;D xsi:type="xsd:double"&gt;309.26&lt;/D&gt;&lt;D xsi:type="xsd:double"&gt;314.9&lt;/D&gt;&lt;D xsi:type="xsd:double"&gt;319.27&lt;/D&gt;&lt;D xsi:type="xsd:double"&gt;317.34&lt;/D&gt;&lt;D xsi:type="xsd:double"&gt;318.85&lt;/D&gt;&lt;D xsi:type="xsd:double"&gt;321.75&lt;/D&gt;&lt;D xsi:type="xsd:double"&gt;323.79&lt;/D&gt;&lt;D xsi:type="xsd:double"&gt;347.1&lt;/D&gt;&lt;D xsi:type="xsd:double"&gt;336.91&lt;/D&gt;&lt;D xsi:type="xsd:double"&gt;342.16&lt;/D&gt;&lt;D xsi:type="xsd:double"&gt;336.4&lt;/D&gt;&lt;D xsi:type="xsd:double"&gt;341.27&lt;/D&gt;&lt;D xsi:type="xsd:double"&gt;336.22&lt;/D&gt;&lt;D xsi:type="xsd:double"&gt;342.06&lt;/D&gt;&lt;D xsi:type="xsd:double"&gt;345.6&lt;/D&gt;&lt;D xsi:type="xsd:double"&gt;336.55&lt;/D&gt;&lt;D xsi:type="xsd:double"&gt;338.06&lt;/D&gt;&lt;D xsi:type="xsd:double"&gt;337.05&lt;/D&gt;&lt;D xsi:type="xsd:double"&gt;335.11&lt;/D&gt;&lt;D xsi:type="xsd:double"&gt;331.86&lt;/D&gt;&lt;D xsi:type="xsd:double"&gt;326.51&lt;/D&gt;&lt;D xsi:type="xsd:double"&gt;328.53&lt;/D&gt;&lt;D xsi:type="xsd:double"&gt;330.91&lt;/D&gt;&lt;D xsi:type="xsd:double"&gt;326.53&lt;/D&gt;&lt;D xsi:type="xsd:double"&gt;321.72&lt;/D&gt;&lt;D xsi:type="xsd:double"&gt;322.4&lt;/D&gt;&lt;D xsi:type="xsd:double"&gt;327.31&lt;/D&gt;&lt;D xsi:type="xsd:double"&gt;328.15&lt;/D&gt;&lt;D xsi:type="xsd:double"&gt;328.94&lt;/D&gt;&lt;D xsi:type="xsd:double"&gt;329.73&lt;/D&gt;&lt;D xsi:type="xsd:double"&gt;331.51&lt;/D&gt;&lt;D xsi:type="xsd:double"&gt;332.26&lt;/D&gt;&lt;D xsi:type="xsd:double"&gt;334.36&lt;/D&gt;&lt;D xsi:type="xsd:double"&gt;324.11&lt;/D&gt;&lt;D xsi:type="xsd:double"&gt;327.49&lt;/D&gt;&lt;D xsi:type="xsd:double"&gt;324.98&lt;/D&gt;&lt;D xsi:type="xsd:double"&gt;325.42&lt;/D&gt;&lt;D xsi:type="xsd:double"&gt;323.15&lt;/D&gt;&lt;D xsi:type="xsd:double"&gt;323.4&lt;/D&gt;&lt;D xsi:type="xsd:double"&gt;321.78&lt;/D&gt;&lt;D xsi:type="xsd:double"&gt;324.44&lt;/D&gt;&lt;D xsi:type="xsd:double"&gt;328.4&lt;/D&gt;&lt;D xsi:type="xsd:double"&gt;328&lt;/D&gt;&lt;D xsi:type="xsd:double"&gt;327.98&lt;/D&gt;&lt;D xsi:type="xsd:double"&gt;326.47&lt;/D&gt;&lt;D xsi:type="xsd:double"&gt;328.58&lt;/D&gt;&lt;D xsi:type="xsd:double"&gt;325.34&lt;/D&gt;&lt;D xsi:type="xsd:double"&gt;329.67&lt;/D&gt;&lt;D xsi:type="xsd:double"&gt;330.79&lt;/D&gt;&lt;D xsi:type="xsd:double"&gt;328.52&lt;/D&gt;&lt;D xsi:type="xsd:double"&gt;330.63&lt;/D&gt;&lt;D xsi:type="xsd:double"&gt;332.08&lt;/D&gt;&lt;D xsi:type="xsd:double"&gt;337.03&lt;/D&gt;&lt;D xsi:type="xsd:double"&gt;336.11&lt;/D&gt;&lt;D xsi:type="xsd:double"&gt;335.61&lt;/D&gt;&lt;D xsi:type="xsd:double"&gt;335.83&lt;/D&gt;&lt;D xsi:type="xsd:double"&gt;338.47&lt;/D&gt;&lt;D xsi:type="xsd:double"&gt;341.01&lt;/D&gt;&lt;D xsi:type="xsd:double"&gt;339.59&lt;/D&gt;&lt;D xsi:type="xsd:double"&gt;340.84&lt;/D&gt;&lt;D xsi:type="xsd:double"&gt;343.2&lt;/D&gt;&lt;D xsi:type="xsd:double"&gt;339.54&lt;/D&gt;&lt;D xsi:type="xsd:double"&gt;335.5&lt;/D&gt;&lt;D xsi:type="xsd:double"&gt;335.71&lt;/D&gt;&lt;D xsi:type="xsd:double"&gt;338.84&lt;/D&gt;&lt;D xsi:type="xsd:double"&gt;341.18&lt;/D&gt;&lt;D xsi:type="xsd:double"&gt;337.18&lt;/D&gt;&lt;D xsi:type="xsd:double"&gt;339.93&lt;/D&gt;&lt;D xsi:type="xsd:double"&gt;340.49&lt;/D&gt;&lt;D xsi:type="xsd:double"&gt;340.83&lt;/D&gt;&lt;D xsi:type="xsd:double"&gt;345.23&lt;/D&gt;&lt;D xsi:type="xsd:double"&gt;342.75&lt;/D&gt;&lt;D xsi:type="xsd:double"&gt;344.09&lt;/D&gt;&lt;D xsi:type="xsd:double"&gt;345.35&lt;/D&gt;&lt;D xsi:type="xsd:double"&gt;349.2&lt;/D&gt;&lt;D xsi:type="xsd:double"&gt;357.28&lt;/D&gt;&lt;D xsi:type="xsd:double"&gt;359.22&lt;/D&gt;&lt;D xsi:type="xsd:double"&gt;357.98&lt;/D&gt;&lt;D xsi:type="xsd:double"&gt;358.79&lt;/D&gt;&lt;D xsi:type="xsd:double"&gt;358.99&lt;/D&gt;&lt;D xsi:type="xsd:double"&gt;362.19&lt;/D&gt;&lt;D xsi:type="xsd:double"&gt;362.61&lt;/D&gt;&lt;D xsi:type="xsd:double"&gt;362&lt;/D&gt;&lt;D xsi:type="xsd:double"&gt;364.34&lt;/D&gt;&lt;D xsi:type="xsd:double"&gt;362.78&lt;/D&gt;&lt;D xsi:type="xsd:double"&gt;368.12&lt;/D&gt;&lt;D xsi:type="xsd:double"&gt;373.94&lt;/D&gt;&lt;D xsi:type="xsd:double"&gt;374.57&lt;/D&gt;&lt;D xsi:type="xsd:double"&gt;361.17&lt;/D&gt;&lt;D xsi:type="xsd:double"&gt;365.16&lt;/D&gt;&lt;D xsi:type="xsd:double"&gt;368.98&lt;/D&gt;&lt;D xsi:type="xsd:double"&gt;366.61&lt;/D&gt;&lt;D xsi:type="xsd:double"&gt;367.64&lt;/D&gt;&lt;D xsi:type="xsd:double"&gt;376&lt;/D&gt;&lt;D xsi:type="xsd:double"&gt;374.01&lt;/D&gt;&lt;D xsi:type="xsd:double"&gt;376.58&lt;/D&gt;&lt;D xsi:type="xsd:double"&gt;380.08&lt;/D&gt;&lt;D xsi:type="xsd:double"&gt;380.22&lt;/D&gt;&lt;D xsi:type="xsd:double"&gt;385.84&lt;/D&gt;&lt;D xsi:type="xsd:double"&gt;386.91&lt;/D&gt;&lt;D xsi:type="xsd:double"&gt;385.91&lt;/D&gt;&lt;D xsi:type="xsd:double"&gt;382.41&lt;/D&gt;&lt;D xsi:type="xsd:double"&gt;384.84&lt;/D&gt;&lt;D xsi:type="xsd:double"&gt;383.57&lt;/D&gt;&lt;D xsi:type="xsd:double"&gt;384.01&lt;/D&gt;&lt;D xsi:type="xsd:double"&gt;382.58&lt;/D&gt;&lt;D xsi:type="xsd:double"&gt;383.75&lt;/D&gt;&lt;D xsi:type="xsd:double"&gt;383.77&lt;/D&gt;&lt;D xsi:type="xsd:double"&gt;382.18&lt;/D&gt;&lt;D xsi:type="xsd:double"&gt;378.25&lt;/D&gt;&lt;D xsi:type="xsd:double"&gt;374.51&lt;/D&gt;&lt;D xsi:type="xsd:double"&gt;371.11&lt;/D&gt;&lt;D xsi:type="xsd:double"&gt;374.43&lt;/D&gt;&lt;D xsi:type="xsd:double"&gt;373.5&lt;/D&gt;&lt;D xsi:type="xsd:double"&gt;372.78&lt;/D&gt;&lt;D xsi:type="xsd:double"&gt;369.12&lt;/D&gt;&lt;D xsi:type="xsd:double"&gt;383.29&lt;/D&gt;&lt;D xsi:type="xsd:double"&gt;394.51&lt;/D&gt;&lt;D xsi:type="xsd:double"&gt;394.78&lt;/D&gt;&lt;D xsi:type="xsd:double"&gt;394.13&lt;/D&gt;&lt;D xsi:type="xsd:double"&gt;396.61&lt;/D&gt;&lt;D xsi:type="xsd:double"&gt;396.74&lt;/D&gt;&lt;D xsi:type="xsd:double"&gt;394.82&lt;/D&gt;&lt;D xsi:type="xsd:double"&gt;401.66&lt;/D&gt;&lt;D xsi:type="xsd:double"&gt;401.13&lt;/D&gt;&lt;D xsi:type="xsd:double"&gt;405.15&lt;/D&gt;&lt;D xsi:type="xsd:double"&gt;410.86&lt;/D&gt;&lt;D xsi:type="xsd:double"&gt;409.73&lt;/D&gt;&lt;D xsi:type="xsd:double"&gt;414.66&lt;/D&gt;&lt;D xsi:type="xsd:double"&gt;414.89&lt;/D&gt;&lt;D xsi:type="xsd:double"&gt;415.8&lt;/D&gt;&lt;D xsi:type="xsd:double"&gt;422.35&lt;/D&gt;&lt;D xsi:type="xsd:double"&gt;421.32&lt;/D&gt;&lt;D xsi:type="xsd:double"&gt;426.99&lt;/D&gt;&lt;D xsi:type="xsd:double"&gt;426.99&lt;/D&gt;&lt;/FQL&gt;&lt;FQL&gt;&lt;Q&gt;FDS^FF_SALES(ANN,-4FY,0FY,,RP)&lt;/Q&gt;&lt;R&gt;5&lt;/R&gt;&lt;C&gt;1&lt;/C&gt;&lt;D xsi:type="xsd:double"&gt;1221.179&lt;/D&gt;&lt;D xsi:type="xsd:double"&gt;1350.145&lt;/D&gt;&lt;D xsi:type="xsd:double"&gt;1435.351&lt;/D&gt;&lt;D xsi:type="xsd:double"&gt;1494.111&lt;/D&gt;&lt;D xsi:type="xsd:double"&gt;1591.445&lt;/D&gt;&lt;/FQL&gt;&lt;FQL&gt;&lt;Q&gt;FDS^FF_SALES(ANN,-5FY,,,RP)&lt;/Q&gt;&lt;R&gt;1&lt;/R&gt;&lt;C&gt;1&lt;/C&gt;&lt;D xsi:type="xsd:double"&gt;1127.092&lt;/D&gt;&lt;/FQL&gt;&lt;FQL&gt;&lt;Q&gt;FDS^FF_SGA(ANN,-4FY,0FY,,RP)&lt;/Q&gt;&lt;R&gt;5&lt;/R&gt;&lt;C&gt;1&lt;/C&gt;&lt;D xsi:type="xsd:double"&gt;502.781&lt;/D&gt;&lt;D xsi:type="xsd:double"&gt;535.951&lt;/D&gt;&lt;D xsi:type="xsd:double"&gt;546.776&lt;/D&gt;&lt;D xsi:type="xsd:double"&gt;564.949&lt;/D&gt;&lt;D xsi:type="xsd:double"&gt;331.004&lt;/D&gt;&lt;/FQL&gt;&lt;FQL&gt;&lt;Q&gt;FDS^FF_SGA(ANN,-5FY,,,RP)&lt;/Q&gt;&lt;R&gt;1&lt;/R&gt;&lt;C&gt;1&lt;/C&gt;&lt;D xsi:type="xsd:double"&gt;282.856&lt;/D&gt;&lt;/FQL&gt;&lt;FQL&gt;&lt;Q&gt;FDS^FF_EBITDA_OPER(ANN,-4FY,0FY,,RP)&lt;/Q&gt;&lt;R&gt;5&lt;/R&gt;&lt;C&gt;1&lt;/C&gt;&lt;D xsi:type="xsd:double"&gt;421.412&lt;/D&gt;&lt;D xsi:type="xsd:double"&gt;437.783&lt;/D&gt;&lt;D xsi:type="xsd:double"&gt;500.292&lt;/D&gt;&lt;D xsi:type="xsd:double"&gt;558.515&lt;/D&gt;&lt;D xsi:type="xsd:double"&gt;581.363&lt;/D&gt;&lt;/FQL&gt;&lt;FQL&gt;&lt;Q&gt;FDS^FF_EBITDA_OPER(ANN,-5FY,,,RP)&lt;/Q&gt;&lt;R&gt;1&lt;/R&gt;&lt;C&gt;1&lt;/C&gt;&lt;D xsi:type="xsd:double"&gt;398.079&lt;/D&gt;&lt;/FQL&gt;&lt;FQL&gt;&lt;Q&gt;FDS^FF_EBIT_OPER(ANN,-4FY,0FY,,RP)&lt;/Q&gt;&lt;R&gt;5&lt;/R&gt;&lt;C&gt;1&lt;/C&gt;&lt;D xsi:type="xsd:double"&gt;373.118&lt;/D&gt;&lt;D xsi:type="xsd:double"&gt;380.498&lt;/D&gt;&lt;D xsi:type="xsd:double"&gt;439.829&lt;/D&gt;&lt;D xsi:type="xsd:double"&gt;457.716&lt;/D&gt;&lt;D xsi:type="xsd:double"&gt;474.041&lt;/D&gt;&lt;/FQL&gt;&lt;FQL&gt;&lt;Q&gt;FDS^FF_EBIT_OPER(ANN,-5FY,,,RP)&lt;/Q&gt;&lt;R&gt;1&lt;/R&gt;&lt;C&gt;1&lt;/C&gt;&lt;D xsi:type="xsd:double"&gt;360.027&lt;/D&gt;&lt;/FQL&gt;&lt;FQL&gt;&lt;Q&gt;FDS^FF_NET_INC(ANN,-4FY,0FY,,RP)&lt;/Q&gt;&lt;R&gt;5&lt;/R&gt;&lt;C&gt;1&lt;/C&gt;&lt;D xsi:type="xsd:double"&gt;258.259&lt;/D&gt;&lt;D xsi:type="xsd:double"&gt;267.085&lt;/D&gt;&lt;D xsi:type="xsd:double"&gt;352.79&lt;/D&gt;&lt;D xsi:type="xsd:double"&gt;372.938&lt;/D&gt;&lt;D xsi:type="xsd:double"&gt;399.59&lt;/D&gt;&lt;/FQL&gt;&lt;FQL&gt;&lt;Q&gt;FDS^FF_NET_INC(ANN,-5FY,,,RP)&lt;/Q&gt;&lt;R&gt;1&lt;/R&gt;&lt;C&gt;1&lt;/C&gt;&lt;D xsi:type="xsd:double"&gt;338.815&lt;/D&gt;&lt;/FQL&gt;&lt;FQL&gt;&lt;Q&gt;FDS^FF_EPS_DIL(ANN,-4FY,0FY,,RP)&lt;/Q&gt;&lt;R&gt;5&lt;/R&gt;&lt;C&gt;1&lt;/C&gt;&lt;D xsi:type="xsd:double"&gt;6.51&lt;/D&gt;&lt;D xsi:type="xsd:double"&gt;6.78&lt;/D&gt;&lt;D xsi:type="xsd:double"&gt;9.0754&lt;/D&gt;&lt;D xsi:type="xsd:double"&gt;9.6501&lt;/D&gt;&lt;D xsi:type="xsd:double"&gt;10.3601&lt;/D&gt;&lt;/FQL&gt;&lt;FQL&gt;&lt;Q&gt;FDS^FF_EPS_DIL(ANN,-5FY,,,RP)&lt;/Q&gt;&lt;R&gt;1&lt;/R&gt;&lt;C&gt;1&lt;/C&gt;&lt;D xsi:type="xsd:double"&gt;8.19&lt;/D&gt;&lt;/FQL&gt;&lt;FQL&gt;&lt;Q&gt;FDS^FF_ASSETS(ANN,-4FY,0FY,,RP)&lt;/Q&gt;&lt;R&gt;5&lt;/R&gt;&lt;C&gt;1&lt;/C&gt;&lt;D xsi:type="xsd:double"&gt;1413.315&lt;/D&gt;&lt;D xsi:type="xsd:double"&gt;1419.447&lt;/D&gt;&lt;D xsi:type="xsd:double"&gt;1560.13&lt;/D&gt;&lt;D xsi:type="xsd:double"&gt;2083.388&lt;/D&gt;&lt;D xsi:type="xsd:double"&gt;2222.847&lt;/D&gt;&lt;/FQL&gt;&lt;FQL&gt;&lt;Q&gt;FDS^FF_ASSETS(ANN,-5FY,,,RP)&lt;/Q&gt;&lt;R&gt;1&lt;/R&gt;&lt;C&gt;1&lt;/C&gt;&lt;D xsi:type="xsd:double"&gt;1019.161&lt;/D&gt;&lt;/FQL&gt;&lt;FQL&gt;&lt;Q&gt;FDS^FF_SHLDRS_EQ(ANN,-4FY,0FY,,RP)&lt;/Q&gt;&lt;R&gt;5&lt;/R&gt;&lt;C&gt;1&lt;/C&gt;&lt;D xsi:type="xsd:double"&gt;559.691&lt;/D&gt;&lt;D xsi:type="xsd:double"&gt;525.9&lt;/D&gt;&lt;D xsi:type="xsd:double"&gt;672.256&lt;/D&gt;&lt;D xsi:type="xsd:double"&gt;896.375&lt;/D&gt;&lt;D xsi:type="xsd:double"&gt;1016.353&lt;/D&gt;&lt;/FQL&gt;&lt;FQL&gt;&lt;Q&gt;FDS^FF_SHLDRS_EQ(ANN,-5FY,,,RP)&lt;/Q&gt;&lt;R&gt;1&lt;/R&gt;&lt;C&gt;1&lt;/C&gt;&lt;D xsi:type="xsd:double"&gt;517.381&lt;/D&gt;&lt;/FQL&gt;&lt;FQL&gt;&lt;Q&gt;FDS^FF_RECEIV_TOT(ANN,-4FY,0FY,,RP)&lt;/Q&gt;&lt;R&gt;5&lt;/R&gt;&lt;C&gt;1&lt;/C&gt;&lt;D xsi:type="xsd:double"&gt;148.331&lt;/D&gt;&lt;D xsi:type="xsd:double"&gt;156.639&lt;/D&gt;&lt;D xsi:type="xsd:double"&gt;146.309&lt;/D&gt;&lt;D xsi:type="xsd:double"&gt;155.011&lt;/D&gt;&lt;D xsi:type="xsd:double"&gt;151.187&lt;/D&gt;&lt;/FQL&gt;&lt;FQL&gt;&lt;Q&gt;FDS^FF_RECEIV_TOT(ANN,-5FY,,,RP)&lt;/Q&gt;&lt;R&gt;1&lt;/R&gt;&lt;C&gt;1&lt;/C&gt;&lt;D xsi:type="xsd:double"&gt;97.797&lt;/D&gt;&lt;/FQL&gt;&lt;FQL&gt;&lt;Q&gt;FDS^FF_INVEN(ANN,-4FY,,,RP)&lt;/Q&gt;&lt;R&gt;1&lt;/R&gt;&lt;C&gt;1&lt;/C&gt;&lt;D xsi:type="xsd:double"&gt;0&lt;/D&gt;&lt;/FQL&gt;&lt;FQL&gt;&lt;Q&gt;FDS^FF_COGS(ANN,-4FY,0FY,,RP)&lt;/Q&gt;&lt;R&gt;5&lt;/R&gt;&lt;C&gt;1&lt;/C&gt;&lt;D xsi:type="xsd:double"&gt;345.28&lt;/D&gt;&lt;D xsi:type="xsd:double"&gt;433.696&lt;/D&gt;&lt;D xsi:type="xsd:double"&gt;448.746&lt;/D&gt;&lt;D xsi:type="xsd:double"&gt;471.446&lt;/D&gt;&lt;D xsi:type="xsd:double"&gt;786.4&lt;/D&gt;&lt;/FQL&gt;&lt;FQL&gt;&lt;Q&gt;FDS^FF_INVEN(ANN,-5FY,,,RP)&lt;/Q&gt;&lt;R&gt;1&lt;/R&gt;&lt;C&gt;1&lt;/C&gt;&lt;D xsi:type="xsd:double"&gt;0&lt;/D&gt;&lt;/FQL&gt;&lt;FQL&gt;&lt;Q&gt;FDS^FF_PAY_ACCT(ANN,-4FY,0FY,,RP)&lt;/Q&gt;&lt;R&gt;5&lt;/R&gt;&lt;C&gt;1&lt;/C&gt;&lt;D xsi:type="xsd:double"&gt;59.214&lt;/D&gt;&lt;D xsi:type="xsd:double"&gt;70.328&lt;/D&gt;&lt;D xsi:type="xsd:double"&gt;76.045&lt;/D&gt;&lt;D xsi:type="xsd:double"&gt;80.14&lt;/D&gt;&lt;D xsi:type="xsd:double"&gt;85.777&lt;/D&gt;&lt;/FQL&gt;&lt;FQL&gt;&lt;Q&gt;FDS^FF_PAY_ACCT(ANN,-6FY,,,RP)&lt;/Q&gt;&lt;R&gt;1&lt;/R&gt;&lt;C&gt;1&lt;/C&gt;&lt;D xsi:type="xsd:double"&gt;33.88&lt;/D&gt;&lt;/FQL&gt;&lt;FQL&gt;&lt;Q&gt;FDS^P_LOCAL_INDEX&lt;/Q&gt;&lt;R&gt;1&lt;/R&gt;&lt;C&gt;1&lt;/C&gt;&lt;D xsi:type="xsd:string"&gt;SP50&lt;/D&gt;&lt;/FQL&gt;&lt;FQL&gt;&lt;Q&gt;FDS^HOMEPAGE&lt;/Q&gt;&lt;R&gt;1&lt;/R&gt;&lt;C&gt;1&lt;/C&gt;&lt;D xsi:type="xsd:string"&gt;http://www.factset.com&lt;/D&gt;&lt;/FQL&gt;&lt;FQL&gt;&lt;Q&gt;FDS^FG_VOLUME(0/0/-1,NOW,D,SPLIT)&lt;/Q&gt;&lt;R&gt;254&lt;/R&gt;&lt;C&gt;1&lt;/C&gt;&lt;D xsi:type="xsd:double"&gt;0.12934&lt;/D&gt;&lt;D xsi:type="xsd:double"&gt;0.158712&lt;/D&gt;&lt;D xsi:type="xsd:double"&gt;0.141846&lt;/D&gt;&lt;D xsi:type="xsd:double"&gt;0.236154&lt;/D&gt;&lt;D xsi:type="xsd:double"&gt;0.179764&lt;/D&gt;&lt;D xsi:type="xsd:double"&gt;0.211497&lt;/D&gt;&lt;D xsi:type="xsd:double"&gt;0.220667&lt;/D&gt;&lt;D xsi:type="xsd:double"&gt;0.297559&lt;/D&gt;&lt;D xsi:type="xsd:double"&gt;0.42996&lt;/D&gt;&lt;D xsi:type="xsd:double"&gt;0.271764&lt;/D&gt;&lt;D xsi:type="xsd:double"&gt;0.204442&lt;/D&gt;&lt;D xsi:type="xsd:double"&gt;0.161936&lt;/D&gt;&lt;D xsi:type="xsd:double"&gt;0.151505&lt;/D&gt;&lt;D xsi:type="xsd:double"&gt;0.332956&lt;/D&gt;&lt;D xsi:type="xsd:double"&gt;0.224719&lt;/D&gt;&lt;D xsi:type="xsd:double"&gt;0.25225&lt;/D&gt;&lt;D xsi:type="xsd:double"&gt;0.177923&lt;/D&gt;&lt;D xsi:type="xsd:double"&gt;0.125519&lt;/D&gt;&lt;D xsi:type="xsd:double"&gt;0.156616&lt;/D&gt;&lt;D xsi:type="xsd:double"&gt;0.157401&lt;/D&gt;&lt;D xsi:type="xsd:double"&gt;0.17356&lt;/D&gt;&lt;D xsi:type="xsd:double"&gt;0.149292&lt;/D&gt;&lt;D xsi:type="xsd:double"&gt;0.187407&lt;/D&gt;&lt;D xsi:type="xsd:double"&gt;0.166135&lt;/D&gt;&lt;D xsi:type="xsd:double"&gt;0.186743&lt;/D&gt;&lt;D xsi:type="xsd:double"&gt;0.144828&lt;/D&gt;&lt;D xsi:type="xsd:double"&gt;0.08984&lt;/D&gt;&lt;D xsi:type="xsd:double"&gt;0.462463&lt;/D&gt;&lt;D xsi:type="xsd:double"&gt;0.378547&lt;/D&gt;&lt;D xsi:type="xsd:double"&gt;0.188139&lt;/D&gt;&lt;D xsi:type="xsd:double"&gt;0.297559&lt;/D&gt;&lt;D xsi:type="xsd:double"&gt;0.19535&lt;/D&gt;&lt;D xsi:type="xsd:double"&gt;0.174521&lt;/D&gt;&lt;D xsi:type="xsd:double"&gt;0.206993&lt;/D&gt;&lt;D xsi:type="xsd:double"&gt;0.216904&lt;/D&gt;&lt;D xsi:type="xsd:double"&gt;0.214282&lt;/D&gt;&lt;D xsi:type="xsd:double"&gt;0.205386&lt;/D&gt;&lt;D xsi:type="xsd:double"&gt;0.187981&lt;/D&gt;&lt;D xsi:type="xsd:double"&gt;0.21492&lt;/D&gt;&lt;D xsi:type="xsd:double"&gt;0.204984&lt;/D&gt;&lt;D xsi:type="xsd:double"&gt;0.215464&lt;/D&gt;&lt;D xsi:type="xsd:double"&gt;0.467208&lt;/D&gt;&lt;D xsi:type="xsd:double"&gt;0.358306&lt;/D&gt;&lt;D xsi:type="xsd:double"&gt;0.239017&lt;/D&gt;&lt;D xsi:type="xsd:double"&gt;0.213106&lt;/D&gt;&lt;D xsi:type="xsd:double"&gt;0.070314&lt;/D&gt;&lt;D xsi:type="xsd:double"&gt;0.166759&lt;/D&gt;&lt;D xsi:type="xsd:double"&gt;0.155975&lt;/D&gt;&lt;D xsi:type="xsd:double"&gt;0.148339&lt;/D&gt;&lt;D xsi:type="xsd:double"&gt;0.159939&lt;/D&gt;&lt;D xsi:type="xsd:double"&gt;0.295401&lt;/D&gt;&lt;D xsi:type="xsd:double"&gt;0.149374&lt;/D&gt;&lt;D xsi:type="xsd:double"&gt;0.250937&lt;/D&gt;&lt;D xsi:type="xsd:double"&gt;0.204853&lt;/D&gt;&lt;D xsi:type="xsd:double"&gt;0.165875&lt;/D&gt;&lt;D xsi:type="xsd:double"&gt;0.139227&lt;/D&gt;&lt;D xsi:type="xsd:double"&gt;0.18390599999999999&lt;/D&gt;&lt;D xsi:type="xsd:double"&gt;0.143995&lt;/D&gt;&lt;D xsi:type="xsd:double"&gt;0.194715&lt;/D&gt;&lt;D xsi:type="xsd:double"&gt;0.173916&lt;/D&gt;&lt;D xsi:type="xsd:double"&gt;0.206086&lt;/D&gt;&lt;D xsi:type="xsd:double"&gt;0.240578&lt;/D&gt;&lt;D xsi:type="xsd:double"&gt;0.224053&lt;/D&gt;&lt;D xsi:type="xsd:double"&gt;0.193212&lt;/D&gt;&lt;D xsi:type="xsd:double"&gt;0.256185&lt;/D&gt;&lt;D xsi:type="xsd:double"&gt;0.235838&lt;/D&gt;&lt;D xsi:type="xsd:double"&gt;0.348027&lt;/D&gt;&lt;D xsi:type="xsd:double"&gt;0.239568&lt;/D&gt;&lt;D xsi:type="xsd:double"&gt;0.52536&lt;/D&gt;&lt;D xsi:type="xsd:double"&gt;0.199688&lt;/D&gt;&lt;D xsi:type="xsd:double"&gt;0.23206&lt;/D&gt;&lt;D xsi:type="xsd:double"&gt;0.142545&lt;/D&gt;&lt;D xsi:type="xsd:double"&gt;0.198207&lt;/D&gt;&lt;D xsi:type="xsd:double"&gt;0.160618&lt;/D&gt;&lt;D xsi:type="xsd:double"&gt;0.124046&lt;/D&gt;&lt;D xsi:type="xsd:double"&gt;0.208062&lt;/D&gt;&lt;D xsi:type="xsd:double"&gt;0.165536&lt;/D&gt;&lt;D xsi:type="xsd:double"&gt;0.225372&lt;/D&gt;&lt;D xsi:type="xsd:double"&gt;0.115579&lt;/D&gt;&lt;D xsi:type="xsd:double"&gt;0.139678&lt;/D&gt;&lt;D xsi:type="xsd:double"&gt;0.17895&lt;/D&gt;&lt;D xsi:type="xsd:double"&gt;0.134708&lt;/D&gt;&lt;D xsi:type="xsd:double"&gt;0.188753&lt;/D&gt;&lt;D xsi:type="xsd:double"&gt;0.195387&lt;/D&gt;&lt;D xsi:type="xsd:double"&gt;0.210747&lt;/D&gt;&lt;D xsi:type="xsd:double"&gt;0.272831&lt;/D&gt;&lt;D xsi:type="xsd:double"&gt;0.208687&lt;/D&gt;&lt;D xsi:type="xsd:double"&gt;0.390831&lt;/D&gt;&lt;D xsi:type="xsd:double"&gt;0.23735&lt;/D&gt;&lt;D xsi:type="xsd:double"&gt;0.243974&lt;/D&gt;&lt;D xsi:type="xsd:double"&gt;0.252055&lt;/D&gt;&lt;D xsi:type="xsd:double"&gt;0.231114&lt;/D&gt;&lt;D xsi:type="xsd:double"&gt;0.246381&lt;/D&gt;&lt;D xsi:type="xsd:double"&gt;0.235918&lt;/D&gt;&lt;D xsi:type="xsd:double"&gt;0.30067&lt;/D&gt;&lt;D xsi:type="xsd:double"&gt;0.218165&lt;/D&gt;&lt;D xsi:type="xsd:double"&gt;0.246458&lt;/D&gt;&lt;D xsi:type="xsd:double"&gt;0.342246&lt;/D&gt;&lt;D xsi:type="xsd:double"&gt;0.240415&lt;/D&gt;&lt;D xsi:type="xsd:double"&gt;0.197748&lt;/D&gt;&lt;D xsi:type="xsd:double"&gt;0.188778&lt;/D&gt;&lt;D xsi:type="xsd:double"&gt;0.271164&lt;/D&gt;&lt;D xsi:type="xsd:double"&gt;0.603312&lt;/D&gt;&lt;D xsi:type="xsd:double"&gt;0.255322&lt;/D&gt;&lt;D xsi:type="xsd:double"&gt;0.26212&lt;/D&gt;&lt;D xsi:type="xsd:double"&gt;0.25761&lt;/D&gt;&lt;D xsi:type="xsd:double"&gt;0.194698&lt;/D&gt;&lt;D xsi:type="xsd:double"&gt;0.170289&lt;/D&gt;&lt;D xsi:type="xsd:double"&gt;0.301945&lt;/D&gt;&lt;D xsi:type="xsd:double"&gt;0.408824&lt;/D&gt;&lt;D xsi:type="xsd:double"&gt;0.367464&lt;/D&gt;&lt;D xsi:type="xsd:double"&gt;0.279309&lt;/D&gt;&lt;D xsi:type="xsd:double"&gt;0.253615&lt;/D&gt;&lt;D xsi:type="xsd:double"&gt;0.215969&lt;/D&gt;&lt;D xsi:type="xsd:double"&gt;0.247906&lt;/D&gt;&lt;D xsi:type="xsd:double"&gt;0.339612&lt;/D&gt;&lt;D xsi:type="xsd:double"&gt;0.212079&lt;/D&gt;&lt;D xsi:type="xsd:double"&gt;0.213007&lt;/D&gt;&lt;D xsi:type="xsd:double"&gt;0.237656&lt;/D&gt;&lt;D xsi:type="xsd:double"&gt;0.308168&lt;/D&gt;&lt;D xsi:type="xsd:double"&gt;0.388408&lt;/D&gt;&lt;D xsi:type="xsd:double"&gt;0.184512&lt;/D&gt;&lt;D xsi:type="xsd:double"&gt;0.223824&lt;/D&gt;&lt;D xsi:type="xsd:double"&gt;0.198951&lt;/D&gt;&lt;D xsi:type="xsd:double"&gt;0.224392&lt;/D&gt;&lt;D xsi:type="xsd:double"&gt;0.263725&lt;/D&gt;&lt;D xsi:type="xsd:double"&gt;1.450496&lt;/D&gt;&lt;D xsi:type="xsd:double"&gt;0.435253&lt;/D&gt;&lt;D xsi:type="xsd:double"&gt;0.291552&lt;/D&gt;&lt;D xsi:type="xsd:double"&gt;0.224687&lt;/D&gt;&lt;D xsi:type="xsd:double"&gt;0.144686&lt;/D&gt;&lt;D xsi:type="xsd:double"&gt;0.280648&lt;/D&gt;&lt;D xsi:type="xsd:double"&gt;0.181907&lt;/D&gt;&lt;D xsi:type="xsd:double"&gt;0.203959&lt;/D&gt;&lt;D xsi:type="xsd:double"&gt;0.347394&lt;/D&gt;&lt;D xsi:type="xsd:double"&gt;0.150044&lt;/D&gt;&lt;D xsi:type="xsd:double"&gt;0.220408&lt;/D&gt;&lt;D xsi:type="xsd:double"&gt;0.197322&lt;/D&gt;&lt;D xsi:type="xsd:double"&gt;0.162824&lt;/D&gt;&lt;D xsi:type="xsd:double"&gt;0.219635&lt;/D&gt;&lt;D xsi:type="xsd:double"&gt;0.211034&lt;/D&gt;&lt;D xsi:type="xsd:double"&gt;0.150355&lt;/D&gt;&lt;D xsi:type="xsd:double"&gt;0.159141&lt;/D&gt;&lt;D xsi:type="xsd:double"&gt;0.096694&lt;/D&gt;&lt;D xsi:type="xsd:double"&gt;0.131933&lt;/D&gt;&lt;D xsi:type="xsd:double"&gt;0.172348&lt;/D&gt;&lt;D xsi:type="xsd:double"&gt;0.125497&lt;/D&gt;&lt;D xsi:type="xsd:double"&gt;0.118802&lt;/D&gt;&lt;D xsi:type="xsd:double"&gt;0.07989&lt;/D&gt;&lt;D xsi:type="xsd:double"&gt;0.160788&lt;/D&gt;&lt;D xsi:type="xsd:double"&gt;0.265722&lt;/D&gt;&lt;D xsi:type="xsd:double"&gt;0.124551&lt;/D&gt;&lt;D xsi:type="xsd:double"&gt;0.167325&lt;/D&gt;&lt;D xsi:type="xsd:double"&gt;0.143405&lt;/D&gt;&lt;D xsi:type="xsd:double"&gt;0.159925&lt;/D&gt;&lt;D xsi:type="xsd:double"&gt;0.114704&lt;/D&gt;&lt;D xsi:type="xsd:double"&gt;0.14605&lt;/D&gt;&lt;D xsi:type="xsd:double"&gt;0.119425&lt;/D&gt;&lt;D xsi:type="xsd:double"&gt;0.105441&lt;/D&gt;&lt;D xsi:type="xsd:double"&gt;0.106305&lt;/D&gt;&lt;D xsi:type="xsd:double"&gt;0.07979&lt;/D&gt;&lt;D xsi:type="xsd:double"&gt;0.144345&lt;/D&gt;&lt;D xsi:type="xsd:double"&gt;0.151768&lt;/D&gt;&lt;D xsi:type="xsd:double"&gt;0.131817&lt;/D&gt;&lt;D xsi:type="xsd:double"&gt;0.15809&lt;/D&gt;&lt;D xsi:type="xsd:double"&gt;0.403927&lt;/D&gt;&lt;D xsi:type="xsd:double"&gt;0.182222&lt;/D&gt;&lt;D xsi:type="xsd:double"&gt;0.174091&lt;/D&gt;&lt;D xsi:type="xsd:double"&gt;0.104039&lt;/D&gt;&lt;D xsi:type="xsd:double"&gt;0.136946&lt;/D&gt;&lt;D xsi:type="xsd:double"&gt;0.326694&lt;/D&gt;&lt;D xsi:type="xsd:double"&gt;0.206976&lt;/D&gt;&lt;D xsi:type="xsd:double"&gt;0.246452&lt;/D&gt;&lt;D xsi:type="xsd:double"&gt;0.267319&lt;/D&gt;&lt;D xsi:type="xsd:double"&gt;0.218536&lt;/D&gt;&lt;D xsi:type="xsd:double"&gt;0.112576&lt;/D&gt;&lt;D xsi:type="xsd:double"&gt;0.163257&lt;/D&gt;&lt;D xsi:type="xsd:double"&gt;0.150439&lt;/D&gt;&lt;D xsi:type="xsd:double"&gt;0.146138&lt;/D&gt;&lt;D xsi:type="xsd:double"&gt;0.117319&lt;/D&gt;&lt;D xsi:type="xsd:double"&gt;0.193908&lt;/D&gt;&lt;D xsi:type="xsd:double"&gt;0.162576&lt;/D&gt;&lt;D xsi:type="xsd:double"&gt;0.123514&lt;/D&gt;&lt;D xsi:type="xsd:double"&gt;0.120619&lt;/D&gt;&lt;D xsi:type="xsd:double"&gt;0.125321&lt;/D&gt;&lt;D xsi:type="xsd:double"&gt;0.184437&lt;/D&gt;&lt;D xsi:type="xsd:double"&gt;0.253964&lt;/D&gt;&lt;D xsi:type="xsd:double"&gt;0.110077&lt;/D&gt;&lt;D xsi:type="xsd:double"&gt;0.145089&lt;/D&gt;&lt;D xsi:type="xsd:double"&gt;0.10369&lt;/D&gt;&lt;D xsi:type="xsd:double"&gt;0.125017&lt;/D&gt;&lt;D xsi:type="xsd:double"&gt;0.093072&lt;/D&gt;&lt;D xsi:type="xsd:double"&gt;0.106967&lt;/D&gt;&lt;D xsi:type="xsd:double"&gt;0.107177&lt;/D&gt;&lt;D xsi:type="xsd:double"&gt;0.280373&lt;/D&gt;&lt;D xsi:type="xsd:double"&gt;0.188527&lt;/D&gt;&lt;D xsi:type="xsd:double"&gt;0.146389&lt;/D&gt;&lt;D xsi:type="xsd:double"&gt;0.112973&lt;/D&gt;&lt;D xsi:type="xsd:double"&gt;0.153904&lt;/D&gt;&lt;D xsi:type="xsd:double"&gt;0.123477&lt;/D&gt;&lt;D xsi:type="xsd:double"&gt;0.129464&lt;/D&gt;&lt;D xsi:type="xsd:double"&gt;0.12281&lt;/D&gt;&lt;D xsi:type="xsd:double"&gt;0.162144&lt;/D&gt;&lt;D xsi:type="xsd:double"&gt;0.132773&lt;/D&gt;&lt;D xsi:type="xsd:double"&gt;0.115815&lt;/D&gt;&lt;D xsi:type="xsd:double"&gt;0.126182&lt;/D&gt;&lt;D xsi:type="xsd:double"&gt;0.155616&lt;/D&gt;&lt;D xsi:type="xsd:double"&gt;0.205873&lt;/D&gt;&lt;D xsi:type="xsd:double"&gt;0.141336&lt;/D&gt;&lt;D xsi:type="xsd:double"&gt;0.089977&lt;/D&gt;&lt;D xsi:type="xsd:double"&gt;0.157303&lt;/D&gt;&lt;D xsi:type="xsd:double"&gt;0.113627&lt;/D&gt;&lt;D xsi:type="xsd:double"&gt;0.195053&lt;/D&gt;&lt;D xsi:type="xsd:double"&gt;0.124169&lt;/D&gt;&lt;D xsi:type="xsd:double"&gt;0.148418&lt;/D&gt;&lt;D xsi:type="xsd:double"&gt;0.109032&lt;/D&gt;&lt;D xsi:type="xsd:double"&gt;0.277554&lt;/D&gt;&lt;D xsi:type="xsd:double"&gt;0.162729&lt;/D&gt;&lt;D xsi:type="xsd:double"&gt;0.175929&lt;/D&gt;&lt;D xsi:type="xsd:double"&gt;0.095151&lt;/D&gt;&lt;D xsi:type="xsd:double"&gt;0.109316&lt;/D&gt;&lt;D xsi:type="xsd:double"&gt;0.211341&lt;/D&gt;&lt;D xsi:type="xsd:double"&gt;0.098996&lt;/D&gt;&lt;D xsi:type="xsd:double"&gt;0.090673&lt;/D&gt;&lt;D xsi:type="xsd:double"&gt;0.134426&lt;/D&gt;&lt;D xsi:type="xsd:double"&gt;0.144606&lt;/D&gt;&lt;D xsi:type="xsd:double"&gt;0.139114&lt;/D&gt;&lt;D xsi:type="xsd:double"&gt;0.170936&lt;/D&gt;&lt;D xsi:type="xsd:double"&gt;0.514067&lt;/D&gt;&lt;D xsi:type="xsd:double"&gt;0.150352&lt;/D&gt;&lt;D xsi:type="xsd:double"&gt;0.131776&lt;/D&gt;&lt;D xsi:type="xsd:double"&gt;0.122114&lt;/D&gt;&lt;D xsi:type="xsd:double"&gt;0.140657&lt;/D&gt;&lt;D xsi:type="xsd:double"&gt;0.271185&lt;/D&gt;&lt;D xsi:type="xsd:double"&gt;0.29635&lt;/D&gt;&lt;D xsi:type="xsd:double"&gt;0.404796&lt;/D&gt;&lt;D xsi:type="xsd:double"&gt;0.276048&lt;/D&gt;&lt;D xsi:type="xsd:double"&gt;0.216048&lt;/D&gt;&lt;D xsi:type="xsd:double"&gt;0.199382&lt;/D&gt;&lt;D xsi:type="xsd:double"&gt;0.222374&lt;/D&gt;&lt;D xsi:type="xsd:double"&gt;0.207358&lt;/D&gt;&lt;D xsi:type="xsd:double"&gt;0.254844&lt;/D&gt;&lt;D xsi:type="xsd:double"&gt;0.2777&lt;/D&gt;&lt;D xsi:type="xsd:double"&gt;0.186818&lt;/D&gt;&lt;D xsi:type="xsd:double"&gt;0.131207&lt;/D&gt;&lt;D xsi:type="xsd:double"&gt;0.221446&lt;/D&gt;&lt;D xsi:type="xsd:double"&gt;0.135862&lt;/D&gt;&lt;D xsi:type="xsd:double"&gt;0.145306&lt;/D&gt;&lt;D xsi:type="xsd:double"&gt;0.158147&lt;/D&gt;&lt;D xsi:type="xsd:double"&gt;0.16586&lt;/D&gt;&lt;D xsi:type="xsd:double"&gt;0.133584&lt;/D&gt;&lt;D xsi:type="xsd:double"&gt;0.149975&lt;/D&gt;&lt;D xsi:type="xsd:double"&gt;0.200584&lt;/D&gt;&lt;D xsi:type="xsd:double"&gt;2E-06&lt;/D&gt;&lt;/FQL&gt;&lt;FQL&gt;&lt;Q&gt;FDS^P_PRICE(NOW)&lt;/Q&gt;&lt;R&gt;1&lt;/R&gt;&lt;C&gt;1&lt;/C&gt;&lt;D xsi:type="xsd:double"&gt;426.99&lt;/D&gt;&lt;/FQL&gt;&lt;FQL&gt;&lt;Q&gt;FDS^P_PRICE_HIGH(-52AW,0,,,,"PRICE","INTRA")&lt;/Q&gt;&lt;R&gt;1&lt;/R&gt;&lt;C&gt;1&lt;/C&gt;&lt;D xsi:type="xsd:double"&gt;430.23&lt;/D&gt;&lt;/FQL&gt;&lt;FQL&gt;&lt;Q&gt;FDS^P_PRICE_LOW(-52AW,0,,,,"PRICE","INTRA")&lt;/Q&gt;&lt;R&gt;1&lt;/R&gt;&lt;C&gt;1&lt;/C&gt;&lt;D xsi:type="xsd:double"&gt;294.21&lt;/D&gt;&lt;/FQL&gt;&lt;FQL&gt;&lt;Q&gt;FDS^P_PRICE_CHANGE(0CY,NOW,RANGE)/100&lt;/Q&gt;&lt;R&gt;1&lt;/R&gt;&lt;C&gt;1&lt;/C&gt;&lt;D xsi:type="xsd:double"&gt;0.2841804&lt;/D&gt;&lt;/FQL&gt;&lt;FQL&gt;&lt;Q&gt;FDS^P_PRICE_CHANGE(-1AY,NOW,RANGE)/100&lt;/Q&gt;&lt;R&gt;1&lt;/R&gt;&lt;C&gt;1&lt;/C&gt;&lt;D xsi:type="xsd:double"&gt;0.28302288&lt;/D&gt;&lt;/FQL&gt;&lt;FQL&gt;&lt;Q&gt;FDS^BETA("SP50",-60AM,0,AM)&lt;/Q&gt;&lt;R&gt;1&lt;/R&gt;&lt;C&gt;1&lt;/C&gt;&lt;D xsi:type="xsd:double"&gt;1.0063407&lt;/D&gt;&lt;/FQL&gt;&lt;FQL&gt;&lt;Q&gt;FDS^FF_FISCAL_DATE(ANN,-4FY,,,RP,"DATEM")&lt;/Q&gt;&lt;R&gt;1&lt;/R&gt;&lt;C&gt;1&lt;/C&gt;&lt;D xsi:type="xsd:string"&gt;08/2017&lt;/D&gt;&lt;/FQL&gt;&lt;FQL&gt;&lt;Q&gt;FDS^FF_FISCAL_DATE(ANN,-3FY,,,RP,"DATEM")&lt;/Q&gt;&lt;R&gt;1&lt;/R&gt;&lt;C&gt;1&lt;/C&gt;&lt;D xsi:type="xsd:string"&gt;08/2018&lt;/D&gt;&lt;/FQL&gt;&lt;FQL&gt;&lt;Q&gt;FDS^FF_FISCAL_DATE(ANN,-2FY,,,RP,"DATEM")&lt;/Q&gt;&lt;R&gt;1&lt;/R&gt;&lt;C&gt;1&lt;/C&gt;&lt;D xsi:type="xsd:string"&gt;08/2019&lt;/D&gt;&lt;/FQL&gt;&lt;FQL&gt;&lt;Q&gt;FDS^FF_FISCAL_DATE(ANN,-1FY,,,RP,"DATEM")&lt;/Q&gt;&lt;R&gt;1&lt;/R&gt;&lt;C&gt;1&lt;/C&gt;&lt;D xsi:type="xsd:string"&gt;08/2020&lt;/D&gt;&lt;/FQL&gt;&lt;FQL&gt;&lt;Q&gt;FDS^FF_FISCAL_DATE(ANN,0FY,,,RP,"DATEM")&lt;/Q&gt;&lt;R&gt;1&lt;/R&gt;&lt;C&gt;1&lt;/C&gt;&lt;D xsi:type="xsd:string"&gt;08/2021&lt;/D&gt;&lt;/FQL&gt;&lt;FQL&gt;&lt;Q&gt;FDS^FF_FISCAL_DATE(QTR,0,,,RP,"DATEM")@FF_FISCAL_DATE(SEMI,0,,,RP,"DATEM")&lt;/Q&gt;&lt;R&gt;1&lt;/R&gt;&lt;C&gt;1&lt;/C&gt;&lt;D xsi:type="xsd:string"&gt;08/2021&lt;/D&gt;&lt;/FQL&gt;&lt;FQL&gt;&lt;Q&gt;FDS^FF_SALES(LTM,0)@FF_SALES(LTM_SEMI,0)&lt;/Q&gt;&lt;R&gt;1&lt;/R&gt;&lt;C&gt;1&lt;/C&gt;&lt;D xsi:type="xsd:double"&gt;1591.446&lt;/D&gt;&lt;/FQL&gt;&lt;FQL&gt;&lt;Q&gt;FDS^FF_COGS(LTM,0)@FF_COGS(LTM_SEMI,0)&lt;/Q&gt;&lt;R&gt;1&lt;/R&gt;&lt;C&gt;1&lt;/C&gt;&lt;D xsi:type="xsd:double"&gt;780.498&lt;/D&gt;&lt;/FQL&gt;&lt;FQL&gt;&lt;Q&gt;FDS^FF_SGA(LTM,0)@FF_SGA(LTM_SEMI,0)&lt;/Q&gt;&lt;R&gt;1&lt;/R&gt;&lt;C&gt;1&lt;/C&gt;&lt;D xsi:type="xsd:double"&gt;334.601&lt;/D&gt;&lt;/FQL&gt;&lt;FQL&gt;&lt;Q&gt;FDS^FF_EBITDA_OPER(LTM,0)@FF_EBITDA_OPER(LTM_SEMI,0)&lt;/Q&gt;&lt;R&gt;1&lt;/R&gt;&lt;C&gt;1&lt;/C&gt;&lt;D xsi:type="xsd:double"&gt;577.767&lt;/D&gt;&lt;/FQL&gt;&lt;FQL&gt;&lt;Q&gt;FDS^FF_EBIT_OPER(LTM,0)@FF_EBIT_OPER(LTM_SEMI,0)&lt;/Q&gt;&lt;R&gt;1&lt;/R&gt;&lt;C&gt;1&lt;/C&gt;&lt;D xsi:type="xsd:double"&gt;470.445&lt;/D&gt;&lt;/FQL&gt;&lt;FQL&gt;&lt;Q&gt;FDS^FF_INT_EXP_NET(ANN,-4FY,,,RP)&lt;/Q&gt;&lt;R&gt;1&lt;/R&gt;&lt;C&gt;1&lt;/C&gt;&lt;D xsi:type="xsd:double"&gt;8.2&lt;/D&gt;&lt;/FQL&gt;&lt;FQL&gt;&lt;Q&gt;FDS^FF_INT_EXP_NET(ANN,-3FY,,,RP)&lt;/Q&gt;&lt;R&gt;1&lt;/R&gt;&lt;C&gt;1&lt;/C&gt;&lt;D xsi:type="xsd:double"&gt;15.9&lt;/D&gt;&lt;/FQL&gt;&lt;FQL&gt;&lt;Q&gt;FDS^FF_INT_EXP_NET(ANN,-2FY,,,RP)&lt;/Q&gt;&lt;R&gt;1&lt;/R&gt;&lt;C&gt;1&lt;/C&gt;&lt;D xsi:type="xsd:double"&gt;19.8&lt;/D&gt;&lt;/FQL&gt;&lt;FQL&gt;&lt;Q&gt;FDS^FF_INT_EXP_NET(ANN,-1FY,,,RP)&lt;/Q&gt;&lt;R&gt;1&lt;/R&gt;&lt;C&gt;1&lt;/C&gt;&lt;D xsi:type="xsd:double"&gt;12.442&lt;/D&gt;&lt;/FQL&gt;&lt;FQL&gt;&lt;Q&gt;FDS^FF_INT_EXP_NET(ANN,0FY,,,RP)&lt;/Q&gt;&lt;R&gt;1&lt;/R&gt;&lt;C&gt;1&lt;/C&gt;&lt;D xsi:type="xsd:double"&gt;6.394&lt;/D&gt;&lt;/FQL&gt;&lt;FQL&gt;&lt;Q&gt;FDS^FF_INT_EXP_NET(LTM,0)&lt;/Q&gt;&lt;R&gt;1&lt;/R&gt;&lt;C&gt;1&lt;/C&gt;&lt;D xsi:type="xsd:double"&gt;6.268&lt;/D&gt;&lt;/FQL&gt;&lt;FQL&gt;&lt;Q&gt;FDS^FF_PTX_INC(ANN,-4FY,0FY,,RP)&lt;/Q&gt;&lt;R&gt;5&lt;/R&gt;&lt;C&gt;1&lt;/C&gt;&lt;D xsi:type="xsd:double"&gt;344.312&lt;/D&gt;&lt;D xsi:type="xsd:double"&gt;351.838&lt;/D&gt;&lt;D xsi:type="xsd:double"&gt;421.965&lt;/D&gt;&lt;D xsi:type="xsd:double"&gt;427.134&lt;/D&gt;&lt;D xsi:type="xsd:double"&gt;467.617&lt;/D&gt;&lt;/FQL&gt;&lt;FQL&gt;&lt;Q&gt;FDS^FF_PTX_INC(LTM,0)@FF_PTX_INC(LTM_SEMI,0)&lt;/Q&gt;&lt;R&gt;1&lt;/R&gt;&lt;C&gt;1&lt;/C&gt;&lt;D xsi:type="xsd:double"&gt;467.617&lt;/D&gt;&lt;/FQL&gt;&lt;FQL&gt;&lt;Q&gt;FDS^FF_NET_INC(LTM,0)@FF_NET_INC(LTM_SEMI,0)&lt;/Q&gt;&lt;R&gt;1&lt;/R&gt;&lt;C&gt;1&lt;/C&gt;&lt;D xsi:type="xsd:double"&gt;399.59&lt;/D&gt;&lt;/FQL&gt;&lt;FQL&gt;&lt;Q&gt;FDS^FF_EPS_DIL(LTM,0)@FF_EPS_DIL(LTM_SEMI,0)&lt;/Q&gt;&lt;R&gt;1&lt;/R&gt;&lt;C&gt;1&lt;/C&gt;&lt;D xsi:type="xsd:double"&gt;10.3602&lt;/D&gt;&lt;/FQL&gt;&lt;FQL&gt;&lt;Q&gt;FDS^FF_COM_SHS_OUT(ANN,-4FY,,,RP)&lt;/Q&gt;&lt;R&gt;1&lt;/R&gt;&lt;C&gt;1&lt;/C&gt;&lt;D xsi:type="xsd:double"&gt;39.023032&lt;/D&gt;&lt;/FQL&gt;&lt;FQL&gt;&lt;Q&gt;FDS^FF_COM_SHS_OUT(ANN,-3FY,,,RP)&lt;/Q&gt;&lt;R&gt;1&lt;/R&gt;&lt;C&gt;1&lt;/C&gt;&lt;D xsi:type="xsd:double"&gt;38.192586&lt;/D&gt;&lt;/FQL&gt;&lt;FQL&gt;&lt;Q&gt;FDS^FF_COM_SHS_OUT(ANN,-2FY,,,RP)&lt;/Q&gt;&lt;R&gt;1&lt;/R&gt;&lt;C&gt;1&lt;/C&gt;&lt;D xsi:type="xsd:double"&gt;38.11784&lt;/D&gt;&lt;/FQL&gt;&lt;FQL&gt;&lt;Q&gt;FDS^FF_COM_SHS_OUT(ANN,-1FY,,,RP)&lt;/Q&gt;&lt;R&gt;1&lt;/R&gt;&lt;C&gt;1&lt;/C&gt;&lt;D xsi:type="xsd:double"&gt;38.030252&lt;/D&gt;&lt;/FQL&gt;&lt;FQL&gt;&lt;Q&gt;FDS^FF_COM_SHS_OUT(ANN,0FY,,,RP)&lt;/Q&gt;&lt;R&gt;0&lt;/R&gt;&lt;C&gt;0&lt;/C&gt;&lt;/FQL&gt;&lt;FQL&gt;&lt;Q&gt;FDS^FF_COM_SHS_OUT(LTM,0)&lt;/Q&gt;&lt;R&gt;0&lt;/R&gt;&lt;C&gt;0&lt;/C&gt;&lt;/FQL&gt;&lt;FQL&gt;&lt;Q&gt;FDS^FF_CAPEX(ANN,-4FY,0FY,,RP)&lt;/Q&gt;&lt;R&gt;5&lt;/R&gt;&lt;C&gt;1&lt;/C&gt;&lt;D xsi:type="xsd:double"&gt;36.862&lt;/D&gt;&lt;D xsi:type="xsd:double"&gt;33.52&lt;/D&gt;&lt;D xsi:type="xsd:double"&gt;59.37&lt;/D&gt;&lt;D xsi:type="xsd:double"&gt;77.642&lt;/D&gt;&lt;D xsi:type="xsd:double"&gt;61.325&lt;/D&gt;&lt;/FQL&gt;&lt;FQL&gt;&lt;Q&gt;FDS^FF_CAPEX(LTM,0)@FF_CAPEX(LTM_SEMI,0)&lt;/Q&gt;&lt;R&gt;1&lt;/R&gt;&lt;C&gt;1&lt;/C&gt;&lt;D xsi:type="xsd:double"&gt;61.325&lt;/D&gt;&lt;/FQL&gt;&lt;FQL&gt;&lt;Q&gt;FDS^FF_FISCAL_DATE(LTM,0,,,RP,"DATEM")&lt;/Q&gt;&lt;R&gt;1&lt;/R&gt;&lt;C&gt;1&lt;/C&gt;&lt;D xsi:type="xsd:string"&gt;08/2021&lt;/D&gt;&lt;/FQL&gt;&lt;FQL&gt;&lt;Q&gt;FDS^FF_CASH_ST(ANN,-4FY,0FY,,RP)&lt;/Q&gt;&lt;R&gt;5&lt;/R&gt;&lt;C&gt;1&lt;/C&gt;&lt;D xsi:type="xsd:double"&gt;227.175&lt;/D&gt;&lt;D xsi:type="xsd:double"&gt;237.882&lt;/D&gt;&lt;D xsi:type="xsd:double"&gt;385.612&lt;/D&gt;&lt;D xsi:type="xsd:double"&gt;605.177&lt;/D&gt;&lt;D xsi:type="xsd:double"&gt;717.849&lt;/D&gt;&lt;/FQL&gt;&lt;FQL&gt;&lt;Q&gt;FDS^FF_CASH_ST(QTR,0)@FF_CASH_ST(SEMI,0)&lt;/Q&gt;&lt;R&gt;1&lt;/R&gt;&lt;C&gt;1&lt;/C&gt;&lt;D xsi:type="xsd:double"&gt;717.849&lt;/D&gt;&lt;/FQL&gt;&lt;FQL&gt;&lt;Q&gt;FDS^FF_RECEIV_TOT(QTR,0,,,RP)@FF_RECEIV_TOT(SEMI,0,,,RP)&lt;/Q&gt;&lt;R&gt;1&lt;/R&gt;&lt;C&gt;1&lt;/C&gt;&lt;D xsi:type="xsd:double"&gt;151.187&lt;/D&gt;&lt;/FQL&gt;&lt;FQL&gt;&lt;Q&gt;FDS^FF_INVEN(ANN,-3FY,,,RP)&lt;/Q&gt;&lt;R&gt;1&lt;/R&gt;&lt;C&gt;1&lt;/C&gt;&lt;D xsi:type="xsd:double"&gt;0&lt;/D&gt;&lt;/FQL&gt;&lt;FQL&gt;&lt;Q&gt;FDS^FF_INVEN(ANN,-2FY,,,RP)&lt;/Q&gt;&lt;R&gt;1&lt;/R&gt;&lt;C&gt;1&lt;/C&gt;&lt;D xsi:type="xsd:double"&gt;0&lt;/D&gt;&lt;/FQL&gt;&lt;FQL&gt;&lt;Q&gt;FDS^FF_INVEN(ANN,-1FY,,,RP)&lt;/Q&gt;&lt;R&gt;1&lt;/R&gt;&lt;C&gt;1&lt;/C&gt;&lt;D xsi:type="xsd:double"&gt;0&lt;/D&gt;&lt;/FQL&gt;&lt;FQL&gt;&lt;Q&gt;FDS^FF_INVEN(ANN,0FY,,,RP)&lt;/Q&gt;&lt;R&gt;0&lt;/R&gt;&lt;C&gt;0&lt;/C&gt;&lt;/FQL&gt;&lt;FQL&gt;&lt;Q&gt;FDS^FF_INVEN(QTR,0)@FF_INVEN(SEMI,0)&lt;/Q&gt;&lt;R&gt;0&lt;/R&gt;&lt;C&gt;0&lt;/C&gt;&lt;/FQL&gt;&lt;FQL&gt;&lt;Q&gt;FDS^FF_ASSETS_CURR(ANN,-4FY,0FY,,RP)&lt;/Q&gt;&lt;R&gt;5&lt;/R&gt;&lt;C&gt;1&lt;/C&gt;&lt;D xsi:type="xsd:double"&gt;409.376&lt;/D&gt;&lt;D xsi:type="xsd:double"&gt;430.916&lt;/D&gt;&lt;D xsi:type="xsd:double"&gt;583.812&lt;/D&gt;&lt;D xsi:type="xsd:double"&gt;841.93&lt;/D&gt;&lt;D xsi:type="xsd:double"&gt;933.578&lt;/D&gt;&lt;/FQL&gt;&lt;FQL&gt;&lt;Q&gt;FDS^FF_ASSETS_CURR(QTR,0)@FF_ASSETS_CURR(SEMI,0)&lt;/Q&gt;&lt;R&gt;1&lt;/R&gt;&lt;C&gt;1&lt;/C&gt;&lt;D xsi:type="xsd:double"&gt;933.578&lt;/D&gt;&lt;/FQL&gt;&lt;FQL&gt;&lt;Q&gt;FDS^FF_PPE_NET(ANN,-4FY,0FY,,RP)&lt;/Q&gt;&lt;R&gt;5&lt;/R&gt;&lt;C&gt;1&lt;/C&gt;&lt;D xsi:type="xsd:double"&gt;100.454&lt;/D&gt;&lt;D xsi:type="xsd:double"&gt;100.545&lt;/D&gt;&lt;D xsi:type="xsd:double"&gt;132.524&lt;/D&gt;&lt;D xsi:type="xsd:double"&gt;382.031&lt;/D&gt;&lt;D xsi:type="xsd:double"&gt;370.441&lt;/D&gt;&lt;/FQL&gt;&lt;FQL&gt;&lt;Q&gt;FDS^FF_PPE_NET(QTR,0)@FF_PPE_NET(SEMI,0)&lt;/Q&gt;&lt;R&gt;1&lt;/R&gt;&lt;C&gt;1&lt;/C&gt;&lt;D xsi:type="xsd:double"&gt;370.441&lt;/D&gt;&lt;/FQL&gt;&lt;FQL&gt;&lt;Q&gt;FDS^FF_ASSETS(QTR,0)&lt;/Q&gt;&lt;R&gt;1&lt;/R&gt;&lt;C&gt;1&lt;/C&gt;&lt;D xsi:type="xsd:double"&gt;2222.847&lt;/D&gt;&lt;/FQL&gt;&lt;FQL&gt;&lt;Q&gt;FDS^FF_DEBT_ST(ANN,-4FY,0FY,,RP)&lt;/Q&gt;&lt;R&gt;5&lt;/R&gt;&lt;C&gt;1&lt;/C&gt;&lt;D xsi:type="xsd:double"&gt;0&lt;/D&gt;&lt;D xsi:type="xsd:double"&gt;0&lt;/D&gt;&lt;D xsi:type="xsd:double"&gt;0&lt;/D&gt;&lt;D xsi:type="xsd:double"&gt;29.056&lt;/D&gt;&lt;D xsi:type="xsd:double"&gt;31.576&lt;/D&gt;&lt;/FQL&gt;&lt;FQL&gt;&lt;Q&gt;FDS^FF_DEBT_ST(QTR,0)@FF_DEBT_ST(SEMI,0)&lt;/Q&gt;&lt;R&gt;1&lt;/R&gt;&lt;C&gt;1&lt;/C&gt;&lt;D xsi:type="xsd:double"&gt;31.576&lt;/D&gt;&lt;/FQL&gt;&lt;FQL&gt;&lt;Q&gt;FDS^FF_PAY_ACCT(QTR,0)@FF_PAY_ACCT(SEMI,0)&lt;/Q&gt;&lt;R&gt;1&lt;/R&gt;&lt;C&gt;1&lt;/C&gt;&lt;D xsi:type="xsd:double"&gt;85.777&lt;/D&gt;&lt;/FQL&gt;&lt;FQL&gt;&lt;Q&gt;FDS^FF_LIABS_CURR(ANN,-4FY,0FY,,RP)&lt;/Q&gt;&lt;R&gt;5&lt;/R&gt;&lt;C&gt;1&lt;/C&gt;&lt;D xsi:type="xsd:double"&gt;201.139&lt;/D&gt;&lt;D xsi:type="xsd:double"&gt;221.134&lt;/D&gt;&lt;D xsi:type="xsd:double"&gt;218.923&lt;/D&gt;&lt;D xsi:type="xsd:double"&gt;276.293&lt;/D&gt;&lt;D xsi:type="xsd:double"&gt;315.705&lt;/D&gt;&lt;/FQL&gt;&lt;FQL&gt;&lt;Q&gt;FDS^FF_LIABS_CURR(QTR,0)@FF_LIABS_CURR(SEMI,0)&lt;/Q&gt;&lt;R&gt;1&lt;/R&gt;&lt;C&gt;1&lt;/C&gt;&lt;D xsi:type="xsd:double"&gt;315.705&lt;/D&gt;&lt;/FQL&gt;&lt;FQL&gt;&lt;Q&gt;FDS^FF_DEBT_LT(ANN,-4FY,0FY,,RP)&lt;/Q&gt;&lt;R&gt;5&lt;/R&gt;&lt;C&gt;1&lt;/C&gt;&lt;D xsi:type="xsd:double"&gt;575&lt;/D&gt;&lt;D xsi:type="xsd:double"&gt;574.775&lt;/D&gt;&lt;D xsi:type="xsd:double"&gt;574.174&lt;/D&gt;&lt;D xsi:type="xsd:double"&gt;846.623&lt;/D&gt;&lt;D xsi:type="xsd:double"&gt;834.672&lt;/D&gt;&lt;/FQL&gt;&lt;FQL&gt;&lt;Q&gt;FDS^FF_DEBT_LT(QTR,0)&lt;/Q&gt;&lt;R&gt;1&lt;/R&gt;&lt;C&gt;1&lt;/C&gt;&lt;D xsi:type="xsd:double"&gt;834.672&lt;/D&gt;&lt;/FQL&gt;&lt;FQL&gt;&lt;Q&gt;FDS^FF_LIABS(ANN,-4FY,0FY,,RP)&lt;/Q&gt;&lt;R&gt;5&lt;/R&gt;&lt;C&gt;1&lt;/C&gt;&lt;D xsi:type="xsd:double"&gt;853.624&lt;/D&gt;&lt;D xsi:type="xsd:double"&gt;893.547&lt;/D&gt;&lt;D xsi:type="xsd:double"&gt;887.874&lt;/D&gt;&lt;D xsi:type="</t>
        </r>
      </text>
    </comment>
    <comment ref="A2" authorId="0" shapeId="0">
      <text>
        <r>
          <rPr>
            <b/>
            <sz val="9"/>
            <color indexed="81"/>
            <rFont val="宋体"/>
            <family val="3"/>
            <charset val="134"/>
          </rPr>
          <t>xsd:double"&gt;1187.013&lt;/D&gt;&lt;D xsi:type="xsd:double"&gt;1206.494&lt;/D&gt;&lt;/FQL&gt;&lt;FQL&gt;&lt;Q&gt;FDS^FF_LIABS(QTR,0)@FF_LIABS(SEMI,0)&lt;/Q&gt;&lt;R&gt;1&lt;/R&gt;&lt;C&gt;1&lt;/C&gt;&lt;D xsi:type="xsd:double"&gt;1206.494&lt;/D&gt;&lt;/FQL&gt;&lt;FQL&gt;&lt;Q&gt;FDS^FF_PFD_STK(ANN,-4FY,0FY,,RP)&lt;/Q&gt;&lt;R&gt;5&lt;/R&gt;&lt;C&gt;1&lt;/C&gt;&lt;D xsi:type="xsd:double"&gt;0&lt;/D&gt;&lt;D xsi:type="xsd:double"&gt;0&lt;/D&gt;&lt;D xsi:type="xsd:double"&gt;0&lt;/D&gt;&lt;D xsi:type="xsd:double"&gt;0&lt;/D&gt;&lt;D xsi:type="xsd:double"&gt;0&lt;/D&gt;&lt;/FQL&gt;&lt;FQL&gt;&lt;Q&gt;FDS^FF_PFD_STK(QTR,0)@FF_PFD_STK(SEMI,0)&lt;/Q&gt;&lt;R&gt;1&lt;/R&gt;&lt;C&gt;1&lt;/C&gt;&lt;D xsi:type="xsd:double"&gt;0&lt;/D&gt;&lt;/FQL&gt;&lt;FQL&gt;&lt;Q&gt;FDS^FF_SHLDRS_EQ(QTR,0)@FF_SHLDRS_EQ(SEMI,0)&lt;/Q&gt;&lt;R&gt;1&lt;/R&gt;&lt;C&gt;1&lt;/C&gt;&lt;D xsi:type="xsd:double"&gt;1016.353&lt;/D&gt;&lt;/FQL&gt;&lt;FQL&gt;&lt;Q&gt;FDS^FF_LIABS_SHLDRS_EQ(ANN,-4FY,0FY,,RP)&lt;/Q&gt;&lt;R&gt;5&lt;/R&gt;&lt;C&gt;1&lt;/C&gt;&lt;D xsi:type="xsd:double"&gt;1413.315&lt;/D&gt;&lt;D xsi:type="xsd:double"&gt;1419.447&lt;/D&gt;&lt;D xsi:type="xsd:double"&gt;1560.13&lt;/D&gt;&lt;D xsi:type="xsd:double"&gt;2083.388&lt;/D&gt;&lt;D xsi:type="xsd:double"&gt;2222.847&lt;/D&gt;&lt;/FQL&gt;&lt;FQL&gt;&lt;Q&gt;FDS^FF_LIABS_SHLDRS_EQ(QTR,0,,,RP)@FF_LIABS_SHLDRS_EQ(SEMI,0,,,RP)&lt;/Q&gt;&lt;R&gt;1&lt;/R&gt;&lt;C&gt;1&lt;/C&gt;&lt;D xsi:type="xsd:double"&gt;2222.847&lt;/D&gt;&lt;/FQL&gt;&lt;FQL&gt;&lt;Q&gt;FDS^FG_PRICE(-4FY,,)&lt;/Q&gt;&lt;R&gt;1&lt;/R&gt;&lt;C&gt;1&lt;/C&gt;&lt;D xsi:type="xsd:double"&gt;157.18&lt;/D&gt;&lt;/FQL&gt;&lt;FQL&gt;&lt;Q&gt;FDS^FG_PRICE(-3FY,,)&lt;/Q&gt;&lt;R&gt;1&lt;/R&gt;&lt;C&gt;1&lt;/C&gt;&lt;D xsi:type="xsd:double"&gt;229.39&lt;/D&gt;&lt;/FQL&gt;&lt;FQL&gt;&lt;Q&gt;FDS^FG_PRICE(-2FY,,)&lt;/Q&gt;&lt;R&gt;1&lt;/R&gt;&lt;C&gt;1&lt;/C&gt;&lt;D xsi:type="xsd:double"&gt;272.09&lt;/D&gt;&lt;/FQL&gt;&lt;FQL&gt;&lt;Q&gt;FDS^FG_PRICE(-1FY,,)&lt;/Q&gt;&lt;R&gt;1&lt;/R&gt;&lt;C&gt;1&lt;/C&gt;&lt;D xsi:type="xsd:double"&gt;350.4&lt;/D&gt;&lt;/FQL&gt;&lt;FQL&gt;&lt;Q&gt;FDS^FG_PRICE(-0FY,,)&lt;/Q&gt;&lt;R&gt;1&lt;/R&gt;&lt;C&gt;1&lt;/C&gt;&lt;D xsi:type="xsd:double"&gt;380.22&lt;/D&gt;&lt;/FQL&gt;&lt;FQL&gt;&lt;Q&gt;FDS^FG_PRICE(0M,,)&lt;/Q&gt;&lt;R&gt;1&lt;/R&gt;&lt;C&gt;1&lt;/C&gt;&lt;D xsi:type="xsd:double"&gt;394.78&lt;/D&gt;&lt;/FQL&gt;&lt;FQL&gt;&lt;Q&gt;FDS^FG_FACTSET_SECTOR&lt;/Q&gt;&lt;R&gt;1&lt;/R&gt;&lt;C&gt;1&lt;/C&gt;&lt;D xsi:type="xsd:string"&gt;Technology Services&lt;/D&gt;&lt;/FQL&gt;&lt;FQL&gt;&lt;Q&gt;FDS^FE_ESTIMATE(EPS,MEAN,ANNUAL,+1,NOW)&lt;/Q&gt;&lt;R&gt;1&lt;/R&gt;&lt;C&gt;1&lt;/C&gt;&lt;D xsi:type="xsd:double"&gt;12.212925&lt;/D&gt;&lt;/FQL&gt;&lt;FQL&gt;&lt;Q&gt;FDS^FE_ESTIMATE(EPS,MEAN,NTMA,,NOW)&lt;/Q&gt;&lt;R&gt;1&lt;/R&gt;&lt;C&gt;1&lt;/C&gt;&lt;D xsi:type="xsd:double"&gt;12.379853&lt;/D&gt;&lt;/FQL&gt;&lt;FQL&gt;&lt;Q&gt;FDS^FE_ESTIMATE(EPS_LTG,MEAN,,,NOW,,,'')/100&lt;/Q&gt;&lt;R&gt;1&lt;/R&gt;&lt;C&gt;1&lt;/C&gt;&lt;D xsi:type="xsd:double"&gt;0.085&lt;/D&gt;&lt;/FQL&gt;&lt;FQL&gt;&lt;Q&gt;FDS^CS_EVENT_DATEJ_N("ER",1)&lt;/Q&gt;&lt;R&gt;1&lt;/R&gt;&lt;C&gt;1&lt;/C&gt;&lt;D xsi:type="xsd:long"&gt;44551&lt;/D&gt;&lt;/FQL&gt;&lt;FQL&gt;&lt;Q&gt;FDS^FG_FACTSET_IND&lt;/Q&gt;&lt;R&gt;1&lt;/R&gt;&lt;C&gt;1&lt;/C&gt;&lt;D xsi:type="xsd:string"&gt;Data Processing Services&lt;/D&gt;&lt;/FQL&gt;&lt;FQL&gt;&lt;Q&gt;FDS^FF_COM_SHS_OUT(CURR,0)&lt;/Q&gt;&lt;R&gt;1&lt;/R&gt;&lt;C&gt;1&lt;/C&gt;&lt;D xsi:type="xsd:double"&gt;37.4565&lt;/D&gt;&lt;/FQL&gt;&lt;FQL&gt;&lt;Q&gt;FDS^FF_DPS(LTM,0)&lt;/Q&gt;&lt;R&gt;1&lt;/R&gt;&lt;C&gt;1&lt;/C&gt;&lt;D xsi:type="xsd:double"&gt;3.18&lt;/D&gt;&lt;/FQL&gt;&lt;FQL&gt;&lt;Q&gt;JD^FG_COMPANY_NAME&lt;/Q&gt;&lt;R&gt;1&lt;/R&gt;&lt;C&gt;1&lt;/C&gt;&lt;D xsi:type="xsd:string"&gt;JD.com, Inc. Sponsored ADR Class A&lt;/D&gt;&lt;/FQL&gt;&lt;FQL&gt;&lt;Q&gt;FDS^P(NOW)&lt;/Q&gt;&lt;R&gt;1&lt;/R&gt;&lt;C&gt;1&lt;/C&gt;&lt;D xsi:type="xsd:double"&gt;426.99&lt;/D&gt;&lt;/FQL&gt;&lt;FQL&gt;&lt;Q&gt;FDS^P_CURRENCY("ISO")&lt;/Q&gt;&lt;R&gt;1&lt;/R&gt;&lt;C&gt;1&lt;/C&gt;&lt;D xsi:type="xsd:string"&gt;USD&lt;/D&gt;&lt;/FQL&gt;&lt;FQL&gt;&lt;Q&gt;FDS^P_EXCHANGE('NAME','FS')&lt;/Q&gt;&lt;R&gt;1&lt;/R&gt;&lt;C&gt;1&lt;/C&gt;&lt;D xsi:type="xsd:string"&gt;NYSE&lt;/D&gt;&lt;/FQL&gt;&lt;FQL&gt;&lt;Q&gt;FDS^FF_COGS(ANN,-5FY,,,RP)&lt;/Q&gt;&lt;R&gt;1&lt;/R&gt;&lt;C&gt;1&lt;/C&gt;&lt;D xsi:type="xsd:double"&gt;484.209&lt;/D&gt;&lt;/FQL&gt;&lt;FQL&gt;&lt;Q&gt;SP50^FG_PRICE_ICS(0/0/-1,NOW,D,LOCAL,SPLIT,0,,,5)&lt;/Q&gt;&lt;R&gt;254&lt;/R&gt;&lt;C&gt;1&lt;/C&gt;&lt;D xsi:type="xsd:double"&gt;3435.56&lt;/D&gt;&lt;D xsi:type="xsd:double"&gt;3453.49&lt;/D&gt;&lt;D xsi:type="xsd:double"&gt;3465.39&lt;/D&gt;&lt;D xsi:type="xsd:double"&gt;3400.97&lt;/D&gt;&lt;D xsi:type="xsd:double"&gt;3390.68&lt;/D&gt;&lt;D xsi:type="xsd:double"&gt;3271.03&lt;/D&gt;&lt;D xsi:type="xsd:double"&gt;3310.11&lt;/D&gt;&lt;D xsi:type="xsd:double"&gt;3269.96&lt;/D&gt;&lt;D xsi:type="xsd:double"&gt;3310.24&lt;/D&gt;&lt;D xsi:type="xsd:double"&gt;3369.1567&lt;/D&gt;&lt;D xsi:type="xsd:double"&gt;3443.44&lt;/D&gt;&lt;D xsi:type="xsd:double"&gt;3510.45&lt;/D&gt;&lt;D xsi:type="xsd:double"&gt;3509.44&lt;/D&gt;&lt;D xsi:type="xsd:double"&gt;3550.5&lt;/D&gt;&lt;D xsi:type="xsd:double"&gt;3545.53&lt;/D&gt;&lt;D xsi:type="xsd:double"&gt;3572.66&lt;/D&gt;&lt;D xsi:type="xsd:double"&gt;3537.01&lt;/D&gt;&lt;D xsi:type="xsd:double"&gt;3585.15&lt;/D&gt;&lt;D xsi:type="xsd:double"&gt;3626.91&lt;/D&gt;&lt;D xsi:type="xsd:double"&gt;3609.53&lt;/D&gt;&lt;D xsi:type="xsd:double"&gt;3567.79&lt;/D&gt;&lt;D xsi:type="xsd:double"&gt;3581.87&lt;/D&gt;&lt;D xsi:type="xsd:double"&gt;3557.54&lt;/D&gt;&lt;D xsi:type="xsd:double"&gt;3577.59&lt;/D&gt;&lt;D xsi:type="xsd:double"&gt;3635.41&lt;/D&gt;&lt;D xsi:type="xsd:double"&gt;3629.65&lt;/D&gt;&lt;D xsi:type="xsd:double"&gt;3638.35&lt;/D&gt;&lt;D xsi:type="xsd:double"&gt;3621.63&lt;/D&gt;&lt;D xsi:type="xsd:double"&gt;3662.45&lt;/D&gt;&lt;D xsi:type="xsd:double"&gt;3669.01&lt;/D&gt;&lt;D xsi:type="xsd:double"&gt;3666.72&lt;/D&gt;&lt;D xsi:type="xsd:double"&gt;3699.12&lt;/D&gt;&lt;D xsi:type="xsd:double"&gt;3691.96&lt;/D&gt;&lt;D xsi:type="xsd:double"&gt;3702.25&lt;/D&gt;&lt;D xsi:type="xsd:double"&gt;3672.82&lt;/D&gt;&lt;D xsi:type="xsd:double"&gt;3668.1&lt;/D&gt;&lt;D xsi:type="xsd:double"&gt;3663.46&lt;/D&gt;&lt;D xsi:type="xsd:double"&gt;3647.49&lt;/D&gt;&lt;D xsi:type="xsd:double"&gt;3694.62&lt;/D&gt;&lt;D xsi:type="xsd:double"&gt;3701.17&lt;/D&gt;&lt;D xsi:type="xsd:double"&gt;3722.48&lt;/D&gt;&lt;D xsi:type="xsd:double"&gt;3709.41&lt;/D&gt;&lt;D xsi:type="xsd:double"&gt;3694.92&lt;/D&gt;&lt;D xsi:type="xsd:double"&gt;3687.26&lt;/D&gt;&lt;D xsi:type="xsd:double"&gt;3690.01&lt;/D&gt;&lt;D xsi:type="xsd:double"&gt;3703.06&lt;/D&gt;&lt;D xsi:type="xsd:double"&gt;3735.36&lt;/D&gt;&lt;D xsi:type="xsd:double"&gt;3727.04&lt;/D&gt;&lt;D xsi:type="xsd:double"&gt;3732.04&lt;/D&gt;&lt;D xsi:type="xsd:double"&gt;3756.07&lt;/D&gt;&lt;D xsi:type="xsd:double"&gt;3700.65&lt;/D&gt;&lt;D xsi:type="xsd:double"&gt;3726.86&lt;/D&gt;&lt;D xsi:type="xsd:double"&gt;3748.14&lt;/D&gt;&lt;D xsi:type="xsd:double"&gt;3803.79&lt;/D&gt;&lt;D xsi:type="xsd:double"&gt;3824.68&lt;/D&gt;&lt;D xsi:type="xsd:double"&gt;3799.61&lt;/D&gt;&lt;D xsi:type="xsd:double"&gt;3801.19&lt;/D&gt;&lt;D xsi:type="xsd:double"&gt;3809.84&lt;/D&gt;&lt;D xsi:type="xsd:double"&gt;3795.54&lt;/D&gt;&lt;D xsi:type="xsd:double"&gt;3768.25&lt;/D&gt;&lt;D xsi:type="xsd:double"&gt;3798.91&lt;/D&gt;&lt;D xsi:type="xsd:double"&gt;3851.85&lt;/D&gt;&lt;D xsi:type="xsd:double"&gt;3853.07&lt;/D&gt;&lt;D xsi:type="xsd:double"&gt;3841.47&lt;/D&gt;&lt;D xsi:type="xsd:double"&gt;3855.36&lt;/D&gt;&lt;D xsi:type="xsd:double"&gt;3849.62&lt;/D&gt;&lt;D xsi:type="xsd:double"&gt;3750.77&lt;/D&gt;&lt;D xsi:type="xsd:double"&gt;3787.38&lt;/D&gt;&lt;D xsi:type="xsd:double"&gt;3714.24&lt;/D&gt;&lt;D xsi:type="xsd:double"&gt;3773.86&lt;/D&gt;&lt;D xsi:type="xsd:double"&gt;3826.31&lt;/D&gt;&lt;D xsi:type="xsd:double"&gt;3830.17&lt;/D&gt;&lt;D xsi:type="xsd:double"&gt;3871.74&lt;/D&gt;&lt;D xsi:type="xsd:double"&gt;3886.83&lt;/D&gt;&lt;D xsi:type="xsd:double"&gt;3915.59&lt;/D&gt;&lt;D xsi:type="xsd:double"&gt;3911.23&lt;/D&gt;&lt;D xsi:type="xsd:double"&gt;3909.88&lt;/D&gt;&lt;D xsi:type="xsd:double"&gt;3916.38&lt;/D&gt;&lt;D xsi:type="xsd:double"&gt;3934.83&lt;/D&gt;&lt;D xsi:type="xsd:double"&gt;3932.59&lt;/D&gt;&lt;D xsi:type="xsd:double"&gt;3931.33&lt;/D&gt;&lt;D xsi:type="xsd:double"&gt;3913.97&lt;/D&gt;&lt;D xsi:type="xsd:double"&gt;3906.71&lt;/D&gt;&lt;D xsi:type="xsd:double"&gt;3876.5&lt;/D&gt;&lt;D xsi:type="xsd:double"&gt;3881.37&lt;/D&gt;&lt;D xsi:type="xsd:double"&gt;3925.43&lt;/D&gt;&lt;D xsi:type="xsd:double"&gt;3829.34&lt;/D&gt;&lt;D xsi:type="xsd:double"&gt;3811.15&lt;/D&gt;&lt;D xsi:type="xsd:double"&gt;3901.82&lt;/D&gt;&lt;D xsi:type="xsd:double"&gt;3870.29&lt;/D&gt;&lt;D xsi:type="xsd:double"&gt;3819.72&lt;/D&gt;&lt;D xsi:type="xsd:double"&gt;3768.47&lt;/D&gt;&lt;D xsi:type="xsd:double"&gt;3841.94&lt;/D&gt;&lt;D xsi:type="xsd:double"&gt;3821.35&lt;/D&gt;&lt;D xsi:type="xsd:double"&gt;3875.44&lt;/D&gt;&lt;D xsi:type="xsd:double"&gt;3898.81&lt;/D&gt;&lt;D xsi:type="xsd:double"&gt;3939.34&lt;/D&gt;&lt;D xsi:type="xsd:double"&gt;3943.34&lt;/D&gt;&lt;D xsi:type="xsd:double"&gt;3968.94&lt;/D&gt;&lt;D xsi:type="xsd:double"&gt;3962.71&lt;/D&gt;&lt;D xsi:type="xsd:double"&gt;3974.12&lt;/D&gt;&lt;D xsi:type="xsd:double"&gt;3915.46&lt;/D&gt;&lt;D xsi:type="xsd:double"&gt;3913.1&lt;/D&gt;&lt;D xsi:type="xsd:double"&gt;3940.59&lt;/D&gt;&lt;D xsi:type="xsd:double"&gt;3910.52&lt;/D&gt;&lt;D xsi:type="xsd:double"&gt;3889.14&lt;/D&gt;&lt;D xsi:type="xsd:double"&gt;3909.52&lt;/D&gt;&lt;D xsi:type="xsd:double"&gt;3974.54&lt;/D&gt;&lt;D xsi:type="xsd:double"&gt;3971.09&lt;/D&gt;&lt;D xsi:type="xsd:double"&gt;3958.55&lt;/D&gt;&lt;D xsi:type="xsd:double"&gt;3972.89&lt;/D&gt;&lt;D xsi:type="xsd:double"&gt;4019.87&lt;/D&gt;&lt;D xsi:type="xsd:double"&gt;4077.91&lt;/D&gt;&lt;D xsi:type="xsd:double"&gt;4073.94&lt;/D&gt;&lt;D xsi:type="xsd:double"&gt;4079.95&lt;/D&gt;&lt;D xsi:type="xsd:double"&gt;4097.17&lt;/D&gt;&lt;D xsi:type="xsd:double"&gt;4128.8&lt;/D&gt;&lt;D xsi:type="xsd:double"&gt;4127.99&lt;/D&gt;&lt;D xsi:type="xsd:double"&gt;4141.59&lt;/D&gt;&lt;D xsi:type="xsd:double"&gt;4124.66&lt;/D&gt;&lt;D xsi:type="xsd:double"&gt;4170.42&lt;/D&gt;&lt;D xsi:type="xsd:double"&gt;4185.47&lt;/D&gt;&lt;D xsi:type="xsd:double"&gt;4163.26&lt;/D&gt;&lt;D xsi:type="xsd:double"&gt;4134.94&lt;/D&gt;&lt;D xsi:type="xsd:double"&gt;4173.42&lt;/D&gt;&lt;D xsi:type="xsd:double"&gt;4134.98&lt;/D&gt;&lt;D xsi:type="xsd:double"&gt;4180.17&lt;/D&gt;&lt;D xsi:type="xsd:double"&gt;4187.62&lt;/D&gt;&lt;D xsi:type="xsd:double"&gt;4186.72&lt;/D&gt;&lt;D xsi:type="xsd:double"&gt;4183.18&lt;/D&gt;&lt;D xsi:type="xsd:double"&gt;4211.47&lt;/D&gt;&lt;D xsi:type="xsd:double"&gt;4181.17&lt;/D&gt;&lt;D xsi:type="xsd:double"&gt;4192.66&lt;/D&gt;&lt;D xsi:type="xsd:double"&gt;4164.66&lt;/D&gt;&lt;D xsi:type="xsd:double"&gt;4167.59&lt;/D&gt;&lt;D xsi:type="xsd:double"&gt;4201.62&lt;/D&gt;&lt;D xsi:type="xsd:double"&gt;4232.6&lt;/D&gt;&lt;D xsi:type="xsd:double"&gt;4188.43&lt;/D&gt;&lt;D xsi:type="xsd:double"&gt;4152.1&lt;/D&gt;&lt;D xsi:type="xsd:double"&gt;4063.04&lt;/D&gt;&lt;D xsi:type="xsd:double"&gt;4112.5&lt;/D&gt;&lt;D xsi:type="xsd:double"&gt;4173.85&lt;/D&gt;&lt;D xsi:type="xsd:double"&gt;4163.29&lt;/D&gt;&lt;D xsi:type="xsd:double"&gt;4127.83&lt;/D&gt;&lt;D xsi:type="xsd:double"&gt;4115.68&lt;/D&gt;&lt;D xsi:type="xsd:double"&gt;4159.12&lt;/D&gt;&lt;D xsi:type="xsd:double"&gt;4155.86&lt;/D&gt;&lt;D xsi:type="xsd:double"&gt;4197.05&lt;/D&gt;&lt;D xsi:type="xsd:double"&gt;4188.13&lt;/D&gt;&lt;D xsi:type="xsd:double"&gt;4195.99&lt;/D&gt;&lt;D xsi:type="xsd:double"&gt;4200.88&lt;/D&gt;&lt;D xsi:type="xsd:double"&gt;4204.11&lt;/D&gt;&lt;D xsi:type="xsd:double"&gt;4202.04&lt;/D&gt;&lt;D xsi:type="xsd:double"&gt;4208.12&lt;/D&gt;&lt;D xsi:type="xsd:double"&gt;4192.85&lt;/D&gt;&lt;D xsi:type="xsd:double"&gt;4229.89&lt;/D&gt;&lt;D xsi:type="xsd:double"&gt;4226.52&lt;/D&gt;&lt;D xsi:type="xsd:double"&gt;4227.26&lt;/D&gt;&lt;D xsi:type="xsd:double"&gt;4219.55&lt;/D&gt;&lt;D xsi:type="xsd:double"&gt;4239.18&lt;/D&gt;&lt;D xsi:type="xsd:double"&gt;4247.44&lt;/D&gt;&lt;D xsi:type="xsd:double"&gt;4255.15&lt;/D&gt;&lt;D xsi:type="xsd:double"&gt;4246.59&lt;/D&gt;&lt;D xsi:type="xsd:double"&gt;4223.7&lt;/D&gt;&lt;D xsi:type="xsd:double"&gt;4221.86&lt;/D&gt;&lt;D xsi:type="xsd:double"&gt;4166.45&lt;/D&gt;&lt;D xsi:type="xsd:double"&gt;4224.79&lt;/D&gt;&lt;D xsi:type="xsd:double"&gt;4246.44&lt;/D&gt;&lt;D xsi:type="xsd:double"&gt;4241.84&lt;/D&gt;&lt;D xsi:type="xsd:double"&gt;4266.49&lt;/D&gt;&lt;D xsi:type="xsd:double"&gt;4280.7&lt;/D&gt;&lt;D xsi:type="xsd:double"&gt;4290.61&lt;/D&gt;&lt;D xsi:type="xsd:double"&gt;4291.8&lt;/D&gt;&lt;D xsi:type="xsd:double"&gt;4297.5&lt;/D&gt;&lt;D xsi:type="xsd:double"&gt;4319.94&lt;/D&gt;&lt;D xsi:type="xsd:double"&gt;4352.34&lt;/D&gt;&lt;D xsi:type="xsd:double"&gt;4343.54&lt;/D&gt;&lt;D xsi:type="xsd:double"&gt;4358.13&lt;/D&gt;&lt;D xsi:type="xsd:double"&gt;4320.82&lt;/D&gt;&lt;D xsi:type="xsd:double"&gt;4369.55&lt;/D&gt;&lt;D xsi:type="xsd:double"&gt;4384.63&lt;/D&gt;&lt;D xsi:type="xsd:double"&gt;4369.21&lt;/D&gt;&lt;D xsi:type="xsd:double"&gt;4374.3&lt;/D&gt;&lt;D xsi:type="xsd:double"&gt;4360.03&lt;/D&gt;&lt;D xsi:type="xsd:double"&gt;4327.16&lt;/D&gt;&lt;D xsi:type="xsd:double"&gt;4258.49&lt;/D&gt;&lt;D xsi:type="xsd:double"&gt;4323.06&lt;/D&gt;&lt;D xsi:type="xsd:double"&gt;4358.69&lt;/D&gt;&lt;D xsi:type="xsd:double"&gt;4367.48&lt;/D&gt;&lt;D xsi:type="xsd:double"&gt;4411.79&lt;/D&gt;&lt;D xsi:type="xsd:double"&gt;4422.3&lt;/D&gt;&lt;D xsi:type="xsd:double"&gt;4401.46&lt;/D&gt;&lt;D xsi:type="xsd:double"&gt;4400.64&lt;/D&gt;&lt;D xsi:type="xsd:double"&gt;4419.15&lt;/D&gt;&lt;D xsi:type="xsd:double"&gt;4395.26&lt;/D&gt;&lt;D xsi:type="xsd:double"&gt;4387.16&lt;/D&gt;&lt;D xsi:type="xsd:double"&gt;4423.15&lt;/D&gt;&lt;D xsi:type="xsd:double"&gt;4402.66&lt;/D&gt;&lt;D xsi:type="xsd:double"&gt;4429.1&lt;/D&gt;&lt;D xsi:type="xsd:double"&gt;4436.52&lt;/D&gt;&lt;D xsi:type="xsd:double"&gt;4432.35&lt;/D&gt;&lt;D xsi:type="xsd:double"&gt;4436.75&lt;/D&gt;&lt;D xsi:type="xsd:double"&gt;4447.7&lt;/D&gt;&lt;D xsi:type="xsd:double"&gt;4460.83&lt;/D&gt;&lt;D xsi:type="xsd:double"&gt;4468&lt;/D&gt;&lt;D xsi:type="xsd:double"&gt;4479.71&lt;/D&gt;&lt;D xsi:type="xsd:double"&gt;4448.08&lt;/D&gt;&lt;D xsi:type="xsd:double"&gt;4400.27&lt;/D&gt;&lt;D xsi:type="xsd:double"&gt;4405.8&lt;/D&gt;&lt;D xsi:type="xsd:double"&gt;4441.67&lt;/D&gt;&lt;D xsi:type="xsd:double"&gt;4479.53&lt;/D&gt;&lt;D xsi:type="xsd:double"&gt;4486.23&lt;/D&gt;&lt;D xsi:type="xsd:double"&gt;4496.19&lt;/D&gt;&lt;D xsi:type="xsd:double"&gt;4470&lt;/D&gt;&lt;D xsi:type="xsd:double"&gt;4509.37&lt;/D&gt;&lt;D xsi:type="xsd:double"&gt;4528.79&lt;/D&gt;&lt;D xsi:type="xsd:double"&gt;4522.68&lt;/D&gt;&lt;D xsi:type="xsd:double"&gt;4524.09&lt;/D&gt;&lt;D xsi:type="xsd:double"&gt;4536.95&lt;/D&gt;&lt;D xsi:type="xsd:double"&gt;4535.43&lt;/D&gt;&lt;D xsi:type="xsd:double"&gt;4520.03&lt;/D&gt;&lt;D xsi:type="xsd:double"&gt;4514.07&lt;/D&gt;&lt;D xsi:type="xsd:double"&gt;4493.28&lt;/D&gt;&lt;D xsi:type="xsd:double"&gt;4458.58&lt;/D&gt;&lt;D xsi:type="xsd:double"&gt;4468.73&lt;/D&gt;&lt;D xsi:type="xsd:double"&gt;4443.05&lt;/D&gt;&lt;D xsi:type="xsd:double"&gt;4480.7&lt;/D&gt;&lt;D xsi:type="xsd:double"&gt;4473.75&lt;/D&gt;&lt;D xsi:type="xsd:double"&gt;4432.99&lt;/D&gt;&lt;D xsi:type="xsd:double"&gt;4357.73&lt;/D&gt;&lt;D xsi:type="xsd:double"&gt;4354.19&lt;/D&gt;&lt;D xsi:type="xsd:double"&gt;4395.64&lt;/D&gt;&lt;D xsi:type="xsd:double"&gt;4448.98&lt;/D&gt;&lt;D xsi:type="xsd:double"&gt;4455.48&lt;/D&gt;&lt;D xsi:type="xsd:double"&gt;4443.11&lt;/D&gt;&lt;D xsi:type="xsd:double"&gt;4352.63&lt;/D&gt;&lt;D xsi:type="xsd:double"&gt;4359.461&lt;/D&gt;&lt;D xsi:type="xsd:double"&gt;4307.54&lt;/D&gt;&lt;D xsi:type="xsd:double"&gt;4357.04&lt;/D&gt;&lt;D xsi:type="xsd:double"&gt;4300.46&lt;/D&gt;&lt;D xsi:type="xsd:double"&gt;4345.72&lt;/D&gt;&lt;D xsi:type="xsd:double"&gt;4363.55&lt;/D&gt;&lt;D xsi:type="xsd:double"&gt;4399.76&lt;/D&gt;&lt;D xsi:type="xsd:double"&gt;4391.34&lt;/D&gt;&lt;D xsi:type="xsd:double"&gt;4361.19&lt;/D&gt;&lt;D xsi:type="xsd:double"&gt;4350.65&lt;/D&gt;&lt;D xsi:type="xsd:double"&gt;4363.8&lt;/D&gt;&lt;D xsi:type="xsd:double"&gt;4438.26&lt;/D&gt;&lt;D xsi:type="xsd:double"&gt;4471.37&lt;/D&gt;&lt;D xsi:type="xsd:double"&gt;4486.46&lt;/D&gt;&lt;D xsi:type="xsd:double"&gt;4519.63&lt;/D&gt;&lt;D xsi:type="xsd:double"&gt;4536.19&lt;/D&gt;&lt;D xsi:type="xsd:double"&gt;4549.78&lt;/D&gt;&lt;D xsi:type="xsd:double"&gt;4549.78&lt;/D&gt;&lt;/FQL&gt;&lt;FQL&gt;&lt;Q&gt;FDS^REBASE(FG_PRICE_ICS(,,,LOCAL,SPLIT,0,,,5), 332.8, 0/0/-1) : 0/0/-1,NOW,D&lt;/Q&gt;&lt;R&gt;254&lt;/R&gt;&lt;C&gt;1&lt;/C&gt;&lt;D xsi:type="xsd:double"&gt;332.8&lt;/D&gt;&lt;D xsi:type="xsd:double"&gt;327.97&lt;/D&gt;&lt;D xsi:type="xsd:double"&gt;328.48&lt;/D&gt;&lt;D xsi:type="xsd:double"&gt;322.27&lt;/D&gt;&lt;D xsi:type="xsd:double"&gt;318.9&lt;/D&gt;&lt;D xsi:type="xsd:double"&gt;311.23&lt;/D&gt;&lt;D xsi:type="xsd:double"&gt;310.25&lt;/D&gt;&lt;D xsi:type="xsd:double"&gt;306.5&lt;/D&gt;&lt;D xsi:type="xsd:double"&gt;311.18&lt;/D&gt;&lt;D xsi:type="xsd:double"&gt;319.48&lt;/D&gt;&lt;D xsi:type="xsd:double"&gt;327.88&lt;/D&gt;&lt;D xsi:type="xsd:double"&gt;332.97&lt;/D&gt;&lt;D xsi:type="xsd:double"&gt;335.83&lt;/D&gt;&lt;D xsi:type="xsd:double"&gt;316.71&lt;/D&gt;&lt;D xsi:type="xsd:double"&gt;323.1&lt;/D&gt;&lt;D xsi:type="xsd:double"&gt;335.15&lt;/D&gt;&lt;D xsi:type="xsd:double"&gt;324.76&lt;/D&gt;&lt;D xsi:type="xsd:double"&gt;328.26&lt;/D&gt;&lt;D xsi:type="xsd:double"&gt;329.95&lt;/D&gt;&lt;D xsi:type="xsd:double"&gt;323.25&lt;/D&gt;&lt;D xsi:type="xsd:double"&gt;317.06&lt;/D&gt;&lt;D xsi:type="xsd:double"&gt;317.96&lt;/D&gt;&lt;D xsi:type="xsd:double"&gt;321.55&lt;/D&gt;&lt;D xsi:type="xsd:double"&gt;318.88&lt;/D&gt;&lt;D xsi:type="xsd:double"&gt;319.88&lt;/D&gt;&lt;D xsi:type="xsd:double"&gt;322.28&lt;/D&gt;&lt;D xsi:type="xsd:double"&gt;322.75&lt;/D&gt;&lt;D xsi:type="xsd:double"&gt;333.76&lt;/D&gt;&lt;D xsi:type="xsd:double"&gt;342.23&lt;/D&gt;&lt;D xsi:type="xsd:double"&gt;336.15&lt;/D&gt;&lt;D xsi:type="xsd:double"&gt;346.57&lt;/D&gt;&lt;D xsi:type="xsd:double"&gt;351.01&lt;/D&gt;&lt;D xsi:type="xsd:double"&gt;351.71&lt;/D&gt;&lt;D xsi:type="xsd:double"&gt;348.57&lt;/D&gt;&lt;D xsi:type="xsd:double"&gt;345.76&lt;/D&gt;&lt;D xsi:type="xsd:double"&gt;348.69&lt;/D&gt;&lt;D xsi:type="xsd:double"&gt;351.47&lt;/D&gt;&lt;D xsi:type="xsd:double"&gt;344.89&lt;/D&gt;&lt;D xsi:type="xsd:double"&gt;347.99&lt;/D&gt;&lt;D xsi:type="xsd:double"&gt;345.38&lt;/D&gt;&lt;D xsi:type="xsd:double"&gt;345.23&lt;/D&gt;&lt;D xsi:type="xsd:double"&gt;347.03&lt;/D&gt;&lt;D xsi:type="xsd:double"&gt;332.65&lt;/D&gt;&lt;D xsi:type="xsd:double"&gt;331&lt;/D&gt;&lt;D xsi:type="xsd:double"&gt;325.08&lt;/D&gt;&lt;D xsi:type="xsd:double"&gt;327.43&lt;/D&gt;&lt;D xsi:type="xsd:double"&gt;330.02&lt;/D&gt;&lt;D xsi:type="xsd:double"&gt;327.33&lt;/D&gt;&lt;D xsi:type="xsd:double"&gt;328.38&lt;/D&gt;&lt;D xsi:type="xsd:double"&gt;332.5&lt;/D&gt;&lt;D xsi:type="xsd:double"&gt;330.59&lt;/D&gt;&lt;D xsi:type="xsd:double"&gt;329.58&lt;/D&gt;&lt;D xsi:type="xsd:double"&gt;332.23&lt;/D&gt;&lt;D xsi:type="xsd:double"&gt;334.4&lt;/D&gt;&lt;D xsi:type="xsd:double"&gt;334.45&lt;/D&gt;&lt;D xsi:type="xsd:double"&gt;332.25&lt;/D&gt;&lt;D xsi:type="xsd:double"&gt;335.44&lt;/D&gt;&lt;D xsi:type="xsd:double"&gt;330.99&lt;/D&gt;&lt;D xsi:type="xsd:double"&gt;320.64&lt;/D&gt;&lt;D xsi:type="xsd:double"&gt;318.2&lt;/D&gt;&lt;D xsi:type="xsd:double"&gt;319.35&lt;/D&gt;&lt;D xsi:type="xsd:double"&gt;327.45&lt;/D&gt;&lt;D xsi:type="xsd:double"&gt;324.72&lt;/D&gt;&lt;D xsi:type="xsd:double"&gt;320.23&lt;/D&gt;&lt;D xsi:type="xsd:double"&gt;317.52&lt;/D&gt;&lt;D xsi:type="xsd:double"&gt;311.9&lt;/D&gt;&lt;D xsi:type="xsd:double"&gt;312.69&lt;/D&gt;&lt;D xsi:type="xsd:double"&gt;308.79&lt;/D&gt;&lt;D xsi:type="xsd:double"&gt;302.34&lt;/D&gt;&lt;D xsi:type="xsd:double"&gt;312.26&lt;/D&gt;&lt;D xsi:type="xsd:double"&gt;317.7&lt;/D&gt;&lt;D xsi:type="xsd:double"&gt;315.35&lt;/D&gt;&lt;D xsi:type="xsd:double"&gt;315.84&lt;/D&gt;&lt;D xsi:type="xsd:double"&gt;317.97&lt;/D&gt;&lt;D xsi:type="xsd:double"&gt;320.95&lt;/D&gt;&lt;D xsi:type="xsd:double"&gt;313.6&lt;/D&gt;&lt;D xsi:type="xsd:double"&gt;309.41&lt;/D&gt;&lt;D xsi:type="xsd:double"&gt;317.14&lt;/D&gt;&lt;D xsi:type="xsd:double"&gt;316&lt;/D&gt;&lt;D xsi:type="xsd:double"&gt;312.6&lt;/D&gt;&lt;D xsi:type="xsd:double"&gt;315.04&lt;/D&gt;&lt;D xsi:type="xsd:double"&gt;318.5&lt;/D&gt;&lt;D xsi:type="xsd:double"&gt;313.68&lt;/D&gt;&lt;D xsi:type="xsd:double"&gt;303.87&lt;/D&gt;&lt;D xsi:type="xsd:double"&gt;302.79&lt;/D&gt;&lt;D xsi:type="xsd:double"&gt;300.94&lt;/D&gt;&lt;D xsi:type="xsd:double"&gt;294.35&lt;/D&gt;&lt;D xsi:type="xsd:double"&gt;303.91&lt;/D&gt;&lt;D xsi:type="xsd:double"&gt;311.18&lt;/D&gt;&lt;D xsi:type="xsd:double"&gt;310.92&lt;/D&gt;&lt;D xsi:type="xsd:double"&gt;308.87&lt;/D&gt;&lt;D xsi:type="xsd:double"&gt;305.09&lt;/D&gt;&lt;D xsi:type="xsd:double"&gt;314.25&lt;/D&gt;&lt;D xsi:type="xsd:double"&gt;315.9&lt;/D&gt;&lt;D xsi:type="xsd:double"&gt;312.49&lt;/D&gt;&lt;D xsi:type="xsd:double"&gt;312.29&lt;/D&gt;&lt;D xsi:type="xsd:double"&gt;312.74&lt;/D&gt;&lt;D xsi:type="xsd:double"&gt;310.9&lt;/D&gt;&lt;D xsi:type="xsd:double"&gt;318.52&lt;/D&gt;&lt;D xsi:type="xsd:double"&gt;317.76&lt;/D&gt;&lt;D xsi:type="xsd:double"&gt;316.3&lt;/D&gt;&lt;D xsi:type="xsd:double"&gt;310.1&lt;/D&gt;&lt;D xsi:type="xsd:double"&gt;311.44&lt;/D&gt;&lt;D xsi:type="xsd:double"&gt;314.38&lt;/D&gt;&lt;D xsi:type="xsd:double"&gt;320.4&lt;/D&gt;&lt;D xsi:type="xsd:double"&gt;321.35&lt;/D&gt;&lt;D xsi:type="xsd:double"&gt;321.17&lt;/D&gt;&lt;D xsi:type="xsd:double"&gt;325.62&lt;/D&gt;&lt;D xsi:type="xsd:double"&gt;323.95&lt;/D&gt;&lt;D xsi:type="xsd:double"&gt;311.34&lt;/D&gt;&lt;D xsi:type="xsd:double"&gt;308.59&lt;/D&gt;&lt;D xsi:type="xsd:double"&gt;317.01&lt;/D&gt;&lt;D xsi:type="xsd:double"&gt;320.55&lt;/D&gt;&lt;D xsi:type="xsd:double"&gt;318.18&lt;/D&gt;&lt;D xsi:type="xsd:double"&gt;309.36&lt;/D&gt;&lt;D xsi:type="xsd:double"&gt;310.14&lt;/D&gt;&lt;D xsi:type="xsd:double"&gt;309.13&lt;/D&gt;&lt;D xsi:type="xsd:double"&gt;311.26&lt;/D&gt;&lt;D xsi:type="xsd:double"&gt;311.4&lt;/D&gt;&lt;D xsi:type="xsd:double"&gt;309.26&lt;/D&gt;&lt;D xsi:type="xsd:double"&gt;314.9&lt;/D&gt;&lt;D xsi:type="xsd:double"&gt;319.27&lt;/D&gt;&lt;D xsi:type="xsd:double"&gt;317.34&lt;/D&gt;&lt;D xsi:type="xsd:double"&gt;318.85&lt;/D&gt;&lt;D xsi:type="xsd:double"&gt;321.75&lt;/D&gt;&lt;D xsi:type="xsd:double"&gt;323.79&lt;/D&gt;&lt;D xsi:type="xsd:double"&gt;347.1&lt;/D&gt;&lt;D xsi:type="xsd:double"&gt;336.91&lt;/D&gt;&lt;D xsi:type="xsd:double"&gt;342.16&lt;/D&gt;&lt;D xsi:type="xsd:double"&gt;336.4&lt;/D&gt;&lt;D xsi:type="xsd:double"&gt;341.27&lt;/D&gt;&lt;D xsi:type="xsd:double"&gt;336.22&lt;/D&gt;&lt;D xsi:type="xsd:double"&gt;342.06&lt;/D&gt;&lt;D xsi:type="xsd:double"&gt;345.6&lt;/D&gt;&lt;D xsi:type="xsd:double"&gt;336.55&lt;/D&gt;&lt;D xsi:type="xsd:double"&gt;338.06&lt;/D&gt;&lt;D xsi:type="xsd:double"&gt;337.05&lt;/D&gt;&lt;D xsi:type="xsd:double"&gt;335.11&lt;/D&gt;&lt;D xsi:type="xsd:double"&gt;331.86&lt;/D&gt;&lt;D xsi:type="xsd:double"&gt;326.51&lt;/D&gt;&lt;D xsi:type="xsd:double"&gt;328.53&lt;/D&gt;&lt;D xsi:type="xsd:double"&gt;330.91&lt;/D&gt;&lt;D xsi:type="xsd:double"&gt;326.53&lt;/D&gt;&lt;D xsi:type="xsd:double"&gt;321.72&lt;/D&gt;&lt;D xsi:type="xsd:double"&gt;322.4&lt;/D&gt;&lt;D xsi:type="xsd:double"&gt;327.31&lt;/D&gt;&lt;D xsi:type="xsd:double"&gt;328.15&lt;/D&gt;&lt;D xsi:type="xsd:double"&gt;328.94&lt;/D&gt;&lt;D xsi:type="xsd:double"&gt;329.73&lt;/D&gt;&lt;D xsi:type="xsd:double"&gt;331.51&lt;/D&gt;&lt;D xsi:type="xsd:double"&gt;332.26&lt;/D&gt;&lt;D xsi:type="xsd:double"&gt;334.36&lt;/D&gt;&lt;D xsi:type="xsd:double"&gt;324.11&lt;/D&gt;&lt;D xsi:type="xsd:double"&gt;327.49&lt;/D&gt;&lt;D xsi:type="xsd:double"&gt;324.98&lt;/D&gt;&lt;D xsi:type="xsd:double"&gt;325.42&lt;/D&gt;&lt;D xsi:type="xsd:double"&gt;323.15&lt;/D&gt;&lt;D xsi:type="xsd:double"&gt;323.4&lt;/D&gt;&lt;D xsi:type="xsd:double"&gt;321.78&lt;/D&gt;&lt;D xsi:type="xsd:double"&gt;324.44&lt;/D&gt;&lt;D xsi:type="xsd:double"&gt;328.4&lt;/D&gt;&lt;D xsi:type="xsd:double"&gt;328&lt;/D&gt;&lt;D xsi:type="xsd:double"&gt;327.98&lt;/D&gt;&lt;D xsi:type="xsd:double"&gt;326.47&lt;/D&gt;&lt;D xsi:type="xsd:double"&gt;328.58&lt;/D&gt;&lt;D xsi:type="xsd:double"&gt;325.34&lt;/D&gt;&lt;D xsi:type="xsd:double"&gt;329.67&lt;/D&gt;&lt;D xsi:type="xsd:double"&gt;330.79&lt;/D&gt;&lt;D xsi:type="xsd:double"&gt;328.52&lt;/D&gt;&lt;D xsi:type="xsd:double"&gt;330.63&lt;/D&gt;&lt;D xsi:type="xsd:double"&gt;332.08&lt;/D&gt;&lt;D xsi:type="xsd:double"&gt;337.03&lt;/D&gt;&lt;D xsi:type="xsd:double"&gt;336.11&lt;/D&gt;&lt;D xsi:type="xsd:double"&gt;335.61&lt;/D&gt;&lt;D xsi:type="xsd:double"&gt;335.83&lt;/D&gt;&lt;D xsi:type="xsd:double"&gt;338.47&lt;/D&gt;&lt;D xsi:type="xsd:double"&gt;341.01&lt;/D&gt;&lt;D xsi:type="xsd:double"&gt;339.59&lt;/D&gt;&lt;D xsi:type="xsd:double"&gt;340.84&lt;/D&gt;&lt;D xsi:type="xsd:double"&gt;343.2&lt;/D&gt;&lt;D xsi:type="xsd:double"&gt;339.54&lt;/D&gt;&lt;D xsi:type="xsd:double"&gt;335.5&lt;/D&gt;&lt;D xsi:type="xsd:double"&gt;335.71&lt;/D&gt;&lt;D xsi:type="xsd:double"&gt;338.84&lt;/D&gt;&lt;D xsi:type="xsd:double"&gt;341.18&lt;/D&gt;&lt;D xsi:type="xsd:double"&gt;337.18&lt;/D&gt;&lt;D xsi:type="xsd:double"&gt;339.93&lt;/D&gt;&lt;D xsi:type="xsd:double"&gt;340.49&lt;/D&gt;&lt;D xsi:type="xsd:double"&gt;340.83&lt;/D&gt;&lt;D xsi:type="xsd:double"&gt;345.23&lt;/D&gt;&lt;D xsi:type="xsd:double"&gt;342.75&lt;/D&gt;&lt;D xsi:type="xsd:double"&gt;344.09&lt;/D&gt;&lt;D xsi:type="xsd:double"&gt;345.35&lt;/D&gt;&lt;D xsi:type="xsd:double"&gt;349.2&lt;/D&gt;&lt;D xsi:type="xsd:double"&gt;357.28&lt;/D&gt;&lt;D xsi:type="xsd:double"&gt;359.22&lt;/D&gt;&lt;D xsi:type="xsd:double"&gt;357.98&lt;/D&gt;&lt;D xsi:type="xsd:double"&gt;358.79&lt;/D&gt;&lt;D xsi:type="xsd:double"&gt;358.99&lt;/D&gt;&lt;D xsi:type="xsd:double"&gt;362.19&lt;/D&gt;&lt;D xsi:type="xsd:double"&gt;362.61&lt;/D&gt;&lt;D xsi:type="xsd:double"&gt;362&lt;/D&gt;&lt;D xsi:type="xsd:double"&gt;364.34&lt;/D&gt;&lt;D xsi:type="xsd:double"&gt;362.78&lt;/D&gt;&lt;D xsi:type="xsd:double"&gt;368.12&lt;/D&gt;&lt;D xsi:type="xsd:double"&gt;373.94&lt;/D&gt;&lt;D xsi:type="xsd:double"&gt;374.57&lt;/D&gt;&lt;D xsi:type="xsd:double"&gt;361.17&lt;/D&gt;&lt;D xsi:type="xsd:double"&gt;365.16&lt;/D&gt;&lt;D xsi:type="xsd:double"&gt;368.98&lt;/D&gt;&lt;D xsi:type="xsd:double"&gt;366.61&lt;/D&gt;&lt;D xsi:type="xsd:double"&gt;367.64&lt;/D&gt;&lt;D xsi:type="xsd:double"&gt;376&lt;/D&gt;&lt;D xsi:type="xsd:double"&gt;374.01&lt;/D&gt;&lt;D xsi:type="xsd:double"&gt;376.58&lt;/D&gt;&lt;D xsi:type="xsd:double"&gt;380.08&lt;/D&gt;&lt;D xsi:type="xsd:double"&gt;380.22&lt;/D&gt;&lt;D xsi:type="xsd:double"&gt;385.84&lt;/D&gt;&lt;D xsi:type="xsd:double"&gt;386.91&lt;/D&gt;&lt;D xsi:type="xsd:double"&gt;385.91&lt;/D&gt;&lt;D xsi:type="xsd:double"&gt;382.41&lt;/D&gt;&lt;D xsi:type="xsd:double"&gt;384.84&lt;/D&gt;&lt;D xsi:type="xsd:double"&gt;383.57&lt;/D&gt;&lt;D xsi:type="xsd:double"&gt;384.01&lt;/D&gt;&lt;D xsi:type="xsd:double"&gt;382.58&lt;/D&gt;&lt;D xsi:type="xsd:double"&gt;383.75&lt;/D&gt;&lt;D xsi:type="xsd:double"&gt;383.77&lt;/D&gt;&lt;D xsi:type="xsd:double"&gt;382.18&lt;/D&gt;&lt;D xsi:type="xsd:double"&gt;378.25&lt;/D&gt;&lt;D xsi:type="xsd:double"&gt;374.51&lt;/D&gt;&lt;D xsi:type="xsd:double"&gt;371.11&lt;/D&gt;&lt;D xsi:type="xsd:double"&gt;374.43&lt;/D&gt;&lt;D xsi:type="xsd:double"&gt;373.5&lt;/D&gt;&lt;D xsi:type="xsd:double"&gt;372.78&lt;/D&gt;&lt;D xsi:type="xsd:double"&gt;369.12&lt;/D&gt;&lt;D xsi:type="xsd:double"&gt;383.29&lt;/D&gt;&lt;D xsi:type="xsd:double"&gt;394.51&lt;/D&gt;&lt;D xsi:type="xsd:double"&gt;394.78&lt;/D&gt;&lt;D xsi:type="xsd:double"&gt;394.13&lt;/D&gt;&lt;D xsi:type="xsd:double"&gt;396.61&lt;/D&gt;&lt;D xsi:type="xsd:double"&gt;396.74&lt;/D&gt;&lt;D xsi:type="xsd:double"&gt;394.82&lt;/D&gt;&lt;D xsi:type="xsd:double"&gt;401.66&lt;/D&gt;&lt;D xsi:type="xsd:double"&gt;401.13&lt;/D&gt;&lt;D xsi:type="xsd:double"&gt;405.15&lt;/D&gt;&lt;D xsi:type="xsd:double"&gt;410.86&lt;/D&gt;&lt;D xsi:type="xsd:double"&gt;409.73&lt;/D&gt;&lt;D xsi:type="xsd:double"&gt;414.66&lt;/D&gt;&lt;D xsi:type="xsd:double"&gt;414.89&lt;/D&gt;&lt;D xsi:type="xsd:double"&gt;415.8&lt;/D&gt;&lt;D xsi:type="xsd:double"&gt;422.35&lt;/D&gt;&lt;D xsi:type="xsd:double"&gt;421.32&lt;/D&gt;&lt;D xsi:type="xsd:double"&gt;426.99&lt;/D&gt;&lt;D xsi:type="xsd:double"&gt;426.99&lt;/D&gt;&lt;/FQL&gt;&lt;FQL&gt;&lt;Q&gt;SP50^REBASE(FG_PRICE_ICS(,,,LOCAL,SPLIT,0,,,5), 332.8, 0/0/-1) : 0/0/-1,NOW,D&lt;/Q&gt;&lt;R&gt;254&lt;/R&gt;&lt;C&gt;1&lt;/C&gt;&lt;D xsi:type="xsd:double"&gt;332.8&lt;/D&gt;&lt;D xsi:type="xsd:double"&gt;334.536865023461&lt;/D&gt;&lt;D xsi:type="xsd:double"&gt;335.689608680972&lt;/D&gt;&lt;D xsi:type="xsd:double"&gt;329.449293856023&lt;/D&gt;&lt;D xsi:type="xsd:double"&gt;328.452509634528&lt;/D&gt;&lt;D xsi:type="xsd:double"&gt;316.862108069718&lt;/D&gt;&lt;D xsi:type="xsd:double"&gt;320.647756988671&lt;/D&gt;&lt;D xsi:type="xsd:double"&gt;316.758458009757&lt;/D&gt;&lt;D xsi:type="xsd:double"&gt;320.660349986611&lt;/D&gt;&lt;D xsi:type="xsd:double"&gt;326.367564461107&lt;/D&gt;&lt;D xsi:type="xsd:double"&gt;333.563329413545&lt;/D&gt;&lt;D xsi:type="xsd:double"&gt;340.054535505129&lt;/D&gt;&lt;D xsi:type="xsd:double"&gt;339.956697598063&lt;/D&gt;&lt;D xsi:type="xsd:double"&gt;343.934147562552&lt;/D&gt;&lt;D xsi:type="xsd:double"&gt;343.452707564415&lt;/D&gt;&lt;D xsi:type="xsd:double"&gt;346.080769365111&lt;/D&gt;&lt;D xsi:type="xsd:double"&gt;342.627381853322&lt;/D&gt;&lt;D xsi:type="xsd:double"&gt;347.290665859423&lt;/D&gt;&lt;D xsi:type="xsd:double"&gt;351.335924274354&lt;/D&gt;&lt;D xsi:type="xsd:double"&gt;349.652337319098&lt;/D&gt;&lt;D xsi:type="xsd:double"&gt;345.609016288465&lt;/D&gt;&lt;D xsi:type="xsd:double"&gt;346.972934834496&lt;/D&gt;&lt;D xsi:type="xsd:double"&gt;344.616106835567&lt;/D&gt;&lt;D xsi:type="xsd:double"&gt;346.558334594651&lt;/D&gt;&lt;D xsi:type="xsd:double"&gt;352.159312601148&lt;/D&gt;&lt;D xsi:type="xsd:double"&gt;351.601345923227&lt;/D&gt;&lt;D xsi:type="xsd:double"&gt;352.444108093004&lt;/D&gt;&lt;D xsi:type="xsd:double"&gt;350.824454819593&lt;/D&gt;&lt;D xsi:type="xsd:double"&gt;354.778656172502&lt;/D&gt;&lt;D xsi:type="xsd:double"&gt;355.414118222357&lt;/D&gt;&lt;D xsi:type="xsd:double"&gt;355.192287720197&lt;/D&gt;&lt;D xsi:type="xsd:double"&gt;358.330850283505&lt;/D&gt;&lt;D xsi:type="xsd:double"&gt;357.6372667047&lt;/D&gt;&lt;D xsi:type="xsd:double"&gt;358.634050926195&lt;/D&gt;&lt;D xsi:type="xsd:double"&gt;355.78318993119&lt;/D&gt;&lt;D xsi:type="xsd:double"&gt;355.325967236782&lt;/D&gt;&lt;D xsi:type="xsd:double"&gt;354.876494079568&lt;/D&gt;&lt;D xsi:type="xsd:double"&gt;353.329492717344&lt;/D&gt;&lt;D xsi:type="xsd:double"&gt;357.894938816379&lt;/D&gt;&lt;D xsi:type="xsd:double"&gt;358.529432174085&lt;/D&gt;&lt;D xsi:type="xsd:double"&gt;360.593715143965&lt;/D&gt;&lt;D xsi:type="xsd:double"&gt;359.327634505001&lt;/D&gt;&lt;D xsi:type="xsd:double"&gt;357.923999580854&lt;/D&gt;&lt;D xsi:type="xsd:double"&gt;357.181981394591&lt;/D&gt;&lt;D xsi:type="xsd:double"&gt;357.448371735612&lt;/D&gt;&lt;D xsi:type="xsd:double"&gt;358.712514990278&lt;/D&gt;&lt;D xsi:type="xsd:double"&gt;361.841390632095&lt;/D&gt;&lt;D xsi:type="xsd:double"&gt;361.035438763986&lt;/D&gt;&lt;D xsi:type="xsd:double"&gt;361.519784838571&lt;/D&gt;&lt;D xsi:type="xsd:double"&gt;363.847552073024&lt;/D&gt;&lt;D xsi:type="xsd:double"&gt;358.479060182328&lt;/D&gt;&lt;D xsi:type="xsd:double"&gt;361.018002305301&lt;/D&gt;&lt;D xsi:type="xsd:double"&gt;363.079379198733&lt;/D&gt;&lt;D xsi:type="xsd:double"&gt;368.47015100886&lt;/D&gt;&lt;D xsi:type="xsd:double"&gt;370.493748908475&lt;/D&gt;&lt;D xsi:type="xsd:double"&gt;368.065237690508&lt;/D&gt;&lt;D xsi:type="xsd:double"&gt;368.218291050076&lt;/D&gt;&lt;D xsi:type="xsd:double"&gt;369.056209759108&lt;/D&gt;&lt;D xsi:type="xsd:double"&gt;367.670979985796&lt;/D&gt;&lt;D xsi:type="xsd:double"&gt;365.027419110713&lt;/D&gt;&lt;D xsi:type="xsd:double"&gt;367.997429240066&lt;/D&gt;&lt;D xsi:type="xsd:double"&gt;373.125685477768&lt;/D&gt;&lt;D xsi:type="xsd:double"&gt;373.243865919966&lt;/D&gt;&lt;D xsi:type="xsd:double"&gt;372.12018302693&lt;/D&gt;&lt;D xsi:type="xsd:double"&gt;373.465696422126&lt;/D&gt;&lt;D xsi:type="xsd:double"&gt;372.909667128503&lt;/D&gt;&lt;D xsi:type="xsd:double"&gt;363.334145233965&lt;/D&gt;&lt;D xsi:type="xsd:double"&gt;366.880527192074&lt;/D&gt;&lt;D xsi:type="xsd:double"&gt;359.795512813049&lt;/D&gt;&lt;D xsi:type="xsd:double"&gt;365.570855406397&lt;/D&gt;&lt;D xsi:type="xsd:double"&gt;370.65164572879&lt;/D&gt;&lt;D xsi:type="xsd:double"&gt;371.025560898369&lt;/D&gt;&lt;D xsi:type="xsd:double"&gt;375.052414162466&lt;/D&gt;&lt;D xsi:type="xsd:double"&gt;376.514170615562&lt;/D&gt;&lt;D xsi:type="xsd:double"&gt;379.300129236573&lt;/D&gt;&lt;D xsi:type="xsd:double"&gt;378.877779459535&lt;/D&gt;&lt;D xsi:type="xsd:double"&gt;378.747006019397&lt;/D&gt;&lt;D xsi:type="xsd:double"&gt;379.376655916357&lt;/D&gt;&lt;D xsi:type="xsd:double"&gt;381.163892931574&lt;/D&gt;&lt;D xsi:type="xsd:double"&gt;380.946905890161&lt;/D&gt;&lt;D xsi:type="xsd:double"&gt;380.824850679365&lt;/D&gt;&lt;D xsi:type="xsd:double"&gt;379.143201108407&lt;/D&gt;&lt;D xsi:type="xsd:double"&gt;378.43993060811&lt;/D&gt;&lt;D xsi:type="xsd:double"&gt;375.51351162547&lt;/D&gt;&lt;D xsi:type="xsd:double"&gt;375.985264702116&lt;/D&gt;&lt;D xsi:type="xsd:double"&gt;380.253322311355&lt;/D&gt;&lt;D xsi:type="xsd:double"&gt;370.945159449988&lt;/D&gt;&lt;D xsi:type="xsd:double"&gt;369.183108430649&lt;/D&gt;&lt;D xsi:type="xsd:double"&gt;377.966240147167&lt;/D&gt;&lt;D xsi:type="xsd:double"&gt;374.911953800836&lt;/D&gt;&lt;D xsi:type="xsd:double"&gt;370.013277602487&lt;/D&gt;&lt;D xsi:type="xsd:double"&gt;365.048730337994&lt;/D&gt;&lt;D xsi:type="xsd:double"&gt;372.165711557941&lt;/D&gt;&lt;D xsi:type="xsd:double"&gt;370.171174422802&lt;/D&gt;&lt;D xsi:type="xsd:double"&gt;375.410830257658&lt;/D&gt;&lt;D xsi:type="xsd:double"&gt;377.674663810267&lt;/D&gt;&lt;D xsi:type="xsd:double"&gt;381.60077309085&lt;/D&gt;&lt;D xsi:type="xsd:double"&gt;381.988249950518&lt;/D&gt;&lt;D xsi:type="xsd:double"&gt;384.468101852391&lt;/D&gt;&lt;D xsi:type="xsd:double"&gt;383.864606643458&lt;/D&gt;&lt;D xsi:type="xsd:double"&gt;384.969884385661&lt;/D&gt;&lt;D xsi:type="xsd:double"&gt;379.287536238634&lt;/D&gt;&lt;D xsi:type="xsd:double"&gt;379.05892489143&lt;/D&gt;&lt;D xsi:type="xsd:double"&gt;381.721859609496&lt;/D&gt;&lt;D xsi:type="xsd:double"&gt;378.809002316944&lt;/D&gt;&lt;D xsi:type="xsd:double"&gt;376.73793850202&lt;/D&gt;&lt;D xsi:type="xsd:double"&gt;378.712133102027&lt;/D&gt;&lt;D xsi:type="xsd:double"&gt;385.010569455926&lt;/D&gt;&lt;D xsi:type="xsd:double"&gt;384.676370664462&lt;/D&gt;&lt;D xsi:type="xsd:double"&gt;383.461630709404&lt;/D&gt;&lt;D xsi:type="xsd:double"&gt;384.850735251313&lt;/D&gt;&lt;D xsi:type="xsd:double"&gt;389.40165096811&lt;/D&gt;&lt;D xsi:type="xsd:double"&gt;395.023940201888&lt;/D&gt;&lt;D xsi:type="xsd:double"&gt;394.639369418668&lt;/D&gt;&lt;D xsi:type="xsd:double"&gt;395.221553400319&lt;/D&gt;&lt;D xsi:type="xsd:double"&gt;396.889641281189&lt;/D&gt;&lt;D xsi:type="xsd:double"&gt;399.953614549011&lt;/D&gt;&lt;D xsi:type="xsd:double"&gt;399.875150484928&lt;/D&gt;&lt;D xsi:type="xsd:double"&gt;401.192571807798&lt;/D&gt;&lt;D xsi:type="xsd:double"&gt;399.552575999255&lt;/D&gt;&lt;D xsi:type="xsd:double"&gt;403.985311273854&lt;/D&gt;&lt;D xsi:type="xsd:double"&gt;405.443192958353&lt;/D&gt;&lt;D xsi:type="xsd:double"&gt;403.291727695048&lt;/D&gt;&lt;D xsi:type="xsd:double"&gt;400.548391528601&lt;/D&gt;&lt;D xsi:type="xsd:double"&gt;404.275918918604&lt;/D&gt;&lt;D xsi:type="xsd:double"&gt;400.552266297198&lt;/D&gt;&lt;D xsi:type="xsd:double"&gt;404.929786119294&lt;/D&gt;&lt;D xsi:type="xsd:double"&gt;405.651461770425&lt;/D&gt;&lt;D xsi:type="xsd:double"&gt;405.564279476999&lt;/D&gt;&lt;D xsi:type="xsd:double"&gt;405.221362456194&lt;/D&gt;&lt;D xsi:type="xsd:double"&gt;407.961792546193&lt;/D&gt;&lt;D xsi:type="xsd:double"&gt;405.02665533421&lt;/D&gt;&lt;D xsi:type="xsd:double"&gt;406.139682613606&lt;/D&gt;&lt;D xsi:type="xsd:double"&gt;403.427344595932&lt;/D&gt;&lt;D xsi:type="xsd:double"&gt;403.711171395639&lt;/D&gt;&lt;D xsi:type="xsd:double"&gt;407.007630779262&lt;/D&gt;&lt;D xsi:type="xsd:double"&gt;410.008639057388&lt;/D&gt;&lt;D xsi:type="xsd:double"&gt;405.729925834507&lt;/D&gt;&lt;D xsi:type="xsd:double"&gt;402.210667256575&lt;/D&gt;&lt;D xsi:type="xsd:double"&gt;393.583494976074&lt;/D&gt;&lt;D xsi:type="xsd:double"&gt;398.374646345865&lt;/D&gt;&lt;D xsi:type="xsd:double"&gt;404.317572681019&lt;/D&gt;&lt;D xsi:type="xsd:double"&gt;403.294633771496&lt;/D&gt;&lt;D xsi:type="xsd:double"&gt;399.859651410542&lt;/D&gt;&lt;D xsi:type="xsd:double"&gt;398.682690449301&lt;/D&gt;&lt;D xsi:type="xsd:double"&gt;402.890689145292&lt;/D&gt;&lt;D xsi:type="xsd:double"&gt;402.574895504663&lt;/D&gt;&lt;D xsi:type="xsd:double"&gt;406.564938467091&lt;/D&gt;&lt;D xsi:type="xsd:double"&gt;405.700865070032&lt;/D&gt;&lt;D xsi:type="xsd:double"&gt;406.462257099279&lt;/D&gt;&lt;D xsi:type="xsd:double"&gt;406.935947560223&lt;/D&gt;&lt;D xsi:type="xsd:double"&gt;407.248835124405&lt;/D&gt;&lt;D xsi:type="xsd:double"&gt;407.048315849527&lt;/D&gt;&lt;D xsi:type="xsd:double"&gt;407.637280676222&lt;/D&gt;&lt;D xsi:type="xsd:double"&gt;406.15808776444&lt;/D&gt;&lt;D xsi:type="xsd:double"&gt;409.746123484963&lt;/D&gt;&lt;D xsi:type="xsd:double"&gt;409.419674230693&lt;/D&gt;&lt;D xsi:type="xsd:double"&gt;409.491357449732&lt;/D&gt;&lt;D xsi:type="xsd:double"&gt;408.744495802722&lt;/D&gt;&lt;D xsi:type="xsd:double"&gt;410.646038491541&lt;/D&gt;&lt;D xsi:type="xsd:double"&gt;411.446178206755&lt;/D&gt;&lt;D xsi:type="xsd:double"&gt;412.193039853765&lt;/D&gt;&lt;D xsi:type="xsd:double"&gt;411.363839374076&lt;/D&gt;&lt;D xsi:type="xsd:double"&gt;409.146503044627&lt;/D&gt;&lt;D xsi:type="xsd:double"&gt;408.96826368918&lt;/D&gt;&lt;D xsi:type="xsd:double"&gt;403.600740490633&lt;/D&gt;&lt;D xsi:type="xsd:double"&gt;409.252090488887&lt;/D&gt;&lt;D xsi:type="xsd:double"&gt;411.349308991838&lt;/D&gt;&lt;D xsi:type="xsd:double"&gt;410.90371060322&lt;/D&gt;&lt;D xsi:type="xsd:double"&gt;413.291536750923&lt;/D&gt;&lt;D xsi:type="xsd:double"&gt;414.668048294892&lt;/D&gt;&lt;D xsi:type="xsd:double"&gt;415.628022214719&lt;/D&gt;&lt;D xsi:type="xsd:double"&gt;415.74329658047&lt;/D&gt;&lt;D xsi:type="xsd:double"&gt;416.295451105497&lt;/D&gt;&lt;D xsi:type="xsd:double"&gt;418.469196288232&lt;/D&gt;&lt;D xsi:type="xsd:double"&gt;421.607758851541&lt;/D&gt;&lt;D xsi:type="xsd:double"&gt;420.755309760272&lt;/D&gt;&lt;D xsi:type="xsd:double"&gt;422.16863160591&lt;/D&gt;&lt;D xsi:type="xsd:double"&gt;418.554441197359&lt;/D&gt;&lt;D xsi:type="xsd:double"&gt;423.274878040261&lt;/D&gt;&lt;D xsi:type="xsd:double"&gt;424.735665801209&lt;/D&gt;&lt;D xsi:type="xsd:double"&gt;423.24194250719&lt;/D&gt;&lt;D xsi:type="xsd:double"&gt;423.735006811117&lt;/D&gt;&lt;D xsi:type="xsd:double"&gt;422.352683114252&lt;/D&gt;&lt;D xsi:type="xsd:double"&gt;419.168592019933&lt;/D&gt;&lt;D xsi:type="xsd:double"&gt;412.516583031587&lt;/D&gt;&lt;D xsi:type="xsd:double"&gt;418.771428238773&lt;/D&gt;&lt;D xsi:type="xsd:double"&gt;422.222878366263&lt;/D&gt;&lt;D xsi:type="xsd:double"&gt;423.074358765383&lt;/D&gt;&lt;D xsi:type="xsd:double"&gt;427.366633678352&lt;/D&gt;&lt;D xsi:type="xsd:double"&gt;428.384729127129&lt;/D&gt;&lt;D xsi:type="xsd:double"&gt;426.36597468826&lt;/D&gt;&lt;D xsi:type="xsd:double"&gt;426.286541932029&lt;/D&gt;&lt;D xsi:type="xsd:double"&gt;428.079591100141&lt;/D&gt;&lt;D xsi:type="xsd:double"&gt;425.765385555776&lt;/D&gt;&lt;D xsi:type="xsd:double"&gt;424.980744914948&lt;/D&gt;&lt;D xsi:type="xsd:double"&gt;428.467067959809&lt;/D&gt;&lt;D xsi:type="xsd:double"&gt;426.482217746161&lt;/D&gt;&lt;D xsi:type="xsd:double"&gt;429.043439788564&lt;/D&gt;&lt;D xsi:type="xsd:double"&gt;429.762209363248&lt;/D&gt;&lt;D xsi:type="xsd:double"&gt;429.358264737044&lt;/D&gt;&lt;D xsi:type="xsd:double"&gt;429.784489282679&lt;/D&gt;&lt;D xsi:type="xsd:double"&gt;430.845207186019&lt;/D&gt;&lt;D xsi:type="xsd:double"&gt;432.117099977878&lt;/D&gt;&lt;D xsi:type="xsd:double"&gt;432.811652248833&lt;/D&gt;&lt;D xsi:type="xsd:double"&gt;433.94599075551&lt;/D&gt;&lt;D xsi:type="xsd:double"&gt;430.882017487688&lt;/D&gt;&lt;D xsi:type="xsd:double"&gt;426.250700322509&lt;/D&gt;&lt;D xsi:type="xsd:double"&gt;426.786387081&lt;/D&gt;&lt;D xsi:type="xsd:double"&gt;430.26108582007&lt;/D&gt;&lt;D xsi:type="xsd:double"&gt;433.928554296825&lt;/D&gt;&lt;D xsi:type="xsd:double"&gt;434.577578036768&lt;/D&gt;&lt;D xsi:type="xsd:double"&gt;435.542395417341&lt;/D&gt;&lt;D xsi:type="xsd:double"&gt;433.005390678667&lt;/D&gt;&lt;D xsi:type="xsd:double"&gt;436.819131669946&lt;/D&gt;&lt;D xsi:type="xsd:double"&gt;438.700331823633&lt;/D&gt;&lt;D xsi:type="xsd:double"&gt;438.10846092049&lt;/D&gt;&lt;D xsi:type="xsd:double"&gt;438.245046513523&lt;/D&gt;&lt;D xsi:type="xsd:double"&gt;439.490784617355&lt;/D&gt;&lt;D xsi:type="xsd:double"&gt;439.343543410681&lt;/D&gt;&lt;D xsi:type="xsd:double"&gt;437.851757500961&lt;/D&gt;&lt;D xsi:type="xsd:double"&gt;437.274416980056&lt;/D&gt;&lt;D xsi:type="xsd:double"&gt;435.260506001933&lt;/D&gt;&lt;D xsi:type="xsd:double"&gt;431.899144244315&lt;/D&gt;&lt;D xsi:type="xsd:double"&gt;432.882366775722&lt;/D&gt;&lt;D xsi:type="xsd:double"&gt;430.394765336655&lt;/D&gt;&lt;D xsi:type="xsd:double"&gt;434.041891278278&lt;/D&gt;&lt;D xsi:type="xsd:double"&gt;433.368650234605&lt;/D&gt;&lt;D xsi:type="xsd:double"&gt;429.420261034591&lt;/D&gt;&lt;D xsi:type="xsd:double"&gt;422.129883919943&lt;/D&gt;&lt;D xsi:type="xsd:double"&gt;421.786966899137&lt;/D&gt;&lt;D xsi:type="xsd:double"&gt;425.802195857444&lt;/D&gt;&lt;D xsi:type="xsd:double"&gt;430.969199781113&lt;/D&gt;&lt;D xsi:type="xsd:double"&gt;431.598849678073&lt;/D&gt;&lt;D xsi:type="xsd:double"&gt;430.40057748955&lt;/D&gt;&lt;D xsi:type="xsd:double"&gt;421.635850923867&lt;/D&gt;&lt;D xsi:type="xsd:double"&gt;422.297564530964&lt;/D&gt;&lt;D xsi:type="xsd:double"&gt;417.268018023263&lt;/D&gt;&lt;D xsi:type="xsd:double"&gt;422.063044161651&lt;/D&gt;&lt;D xsi:type="xsd:double"&gt;416.582183981651&lt;/D&gt;&lt;D xsi:type="xsd:double"&gt;420.966484648791&lt;/D&gt;&lt;D xsi:type="xsd:double"&gt;422.69366275076&lt;/D&gt;&lt;D xsi:type="xsd:double"&gt;426.201297022902&lt;/D&gt;&lt;D xsi:type="xsd:double"&gt;425.385658233301&lt;/D&gt;&lt;D xsi:type="xsd:double"&gt;422.465051403556&lt;/D&gt;&lt;D xsi:type="xsd:double"&gt;421.444049878331&lt;/D&gt;&lt;D xsi:type="xsd:double"&gt;422.717880054489&lt;/D&gt;&lt;D xsi:type="xsd:double"&gt;429.930761797203&lt;/D&gt;&lt;D xsi:type="xsd:double"&gt;433.138101503103&lt;/D&gt;&lt;D xsi:type="xsd:double"&gt;434.599857956199&lt;/D&gt;&lt;D xsi:type="xsd:double"&gt;437.813009814994&lt;/D&gt;&lt;D xsi:type="xsd:double"&gt;439.417164014018&lt;/D&gt;&lt;D xsi:type="xsd:double"&gt;440.733616644739&lt;/D&gt;&lt;D xsi:type="xsd:double"&gt;440.733616644739&lt;/D&gt;&lt;/FQL&gt;&lt;FQL&gt;&lt;Q&gt;JD^FG_BUS_DESC_BRIEF("ARRAY")[1]&lt;/Q&gt;&lt;R&gt;1&lt;/R&gt;&lt;C&gt;1&lt;/C&gt;&lt;D xsi:type="xsd:string"&gt;sale of electronics products and general merchandise products, including&lt;/D&gt;&lt;/FQL&gt;&lt;FQL&gt;&lt;Q&gt;JD^FG_BUS_DESC_BRIEF("ARRAY")[2]&lt;/Q&gt;&lt;R&gt;1&lt;/R&gt;&lt;C&gt;1&lt;/C&gt;&lt;D xsi:type="xsd:string"&gt;audio, video products, and b</t>
        </r>
      </text>
    </commen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ooks. The company operates through the JD&lt;/D&gt;&lt;/FQL&gt;&lt;FQL&gt;&lt;Q&gt;JD^FG_BUS_DESC_BRIEF("ARRAY")[3]&lt;/Q&gt;&lt;R&gt;1&lt;/R&gt;&lt;C&gt;1&lt;/C&gt;&lt;D xsi:type="xsd:string"&gt;Retail and New Businesses segments. The JD Retail segment offers online&lt;/D&gt;&lt;/FQL&gt;&lt;FQL&gt;&lt;Q&gt;JD^FG_BUS_DESC_BRIEF("ARRAY")[4]&lt;/Q&gt;&lt;R&gt;1&lt;/R&gt;&lt;C&gt;1&lt;/C&gt;&lt;D xsi:type="xsd:string"&gt;retail, online marketplace, and marketing services. The New Businesses&lt;/D&gt;&lt;/FQL&gt;&lt;FQL&gt;&lt;Q&gt;JD^FG_BUS_DESC_BRIEF("ARRAY")[5]&lt;/Q&gt;&lt;R&gt;1&lt;/R&gt;&lt;C&gt;1&lt;/C&gt;&lt;D xsi:type="xsd:string"&gt;segment consists of logistic services provided to third parties, the&lt;/D&gt;&lt;/FQL&gt;&lt;FQL&gt;&lt;Q&gt;JD^FG_BUS_DESC_BRIEF("ARRAY")[6]&lt;/Q&gt;&lt;R&gt;1&lt;/R&gt;&lt;C&gt;1&lt;/C&gt;&lt;D xsi:type="xsd:string"&gt;overseas business, and technology initiatives, asset management services&lt;/D&gt;&lt;/FQL&gt;&lt;FQL&gt;&lt;Q&gt;JD^FG_BUS_DESC_BRIEF("ARRAY")[7]&lt;/Q&gt;&lt;R&gt;1&lt;/R&gt;&lt;C&gt;1&lt;/C&gt;&lt;D xsi:type="xsd:string"&gt;to logistics property investors, and the sale of development properties&lt;/D&gt;&lt;/FQL&gt;&lt;FQL&gt;&lt;Q&gt;JD^FG_BUS_DESC_BRIEF("ARRAY")[8]&lt;/Q&gt;&lt;R&gt;1&lt;/R&gt;&lt;C&gt;1&lt;/C&gt;&lt;D xsi:type="xsd:string"&gt;by JD Property. The company was founded on June 18, 1998 by Qiang Dong&lt;/D&gt;&lt;/FQL&gt;&lt;FQL&gt;&lt;Q&gt;JD^FG_BUS_DESC_BRIEF("ARRAY")[9]&lt;/Q&gt;&lt;R&gt;1&lt;/R&gt;&lt;C&gt;1&lt;/C&gt;&lt;D xsi:type="xsd:string"&gt;Liu and is headquartered in Beijing, China.&lt;/D&gt;&lt;/FQL&gt;&lt;FQL&gt;&lt;Q&gt;JD^FG_BUS_DESC_BRIEF("ARRAY")[10]&lt;/Q&gt;&lt;R&gt;0&lt;/R&gt;&lt;C&gt;0&lt;/C&gt;&lt;/FQL&gt;&lt;FQL&gt;&lt;Q&gt;JD^FG_BUS_DESC_BRIEF("ARRAY")[11]&lt;/Q&gt;&lt;R&gt;0&lt;/R&gt;&lt;C&gt;0&lt;/C&gt;&lt;/FQL&gt;&lt;FQL&gt;&lt;Q&gt;JD^FG_BUS_DESC_BRIEF("ARRAY")[12]&lt;/Q&gt;&lt;R&gt;0&lt;/R&gt;&lt;C&gt;0&lt;/C&gt;&lt;/FQL&gt;&lt;FQL&gt;&lt;Q&gt;JD^FG_BUS_DESC_BRIEF("ARRAY")[13]&lt;/Q&gt;&lt;R&gt;0&lt;/R&gt;&lt;C&gt;0&lt;/C&gt;&lt;/FQL&gt;&lt;FQL&gt;&lt;Q&gt;JD^FG_BUS_DESC_BRIEF("ARRAY")[14]&lt;/Q&gt;&lt;R&gt;0&lt;/R&gt;&lt;C&gt;0&lt;/C&gt;&lt;/FQL&gt;&lt;FQL&gt;&lt;Q&gt;JD^FG_ADDRESS_L1&lt;/Q&gt;&lt;R&gt;1&lt;/R&gt;&lt;C&gt;1&lt;/C&gt;&lt;D xsi:type="xsd:string"&gt;No. 18 Kechuang 11 Street&lt;/D&gt;&lt;/FQL&gt;&lt;FQL&gt;&lt;Q&gt;JD^FG_ADDRESS_L2&lt;/Q&gt;&lt;R&gt;1&lt;/R&gt;&lt;C&gt;1&lt;/C&gt;&lt;D xsi:type="xsd:string"&gt;Beijing, Beijing 101111 China&lt;/D&gt;&lt;/FQL&gt;&lt;FQL&gt;&lt;Q&gt;JD^PROPER(FG_COUNTRY)&lt;/Q&gt;&lt;R&gt;1&lt;/R&gt;&lt;C&gt;1&lt;/C&gt;&lt;D xsi:type="xsd:string"&gt;Hong Kong&lt;/D&gt;&lt;/FQL&gt;&lt;FQL&gt;&lt;Q&gt;JD^FF_SALES(ANN,-4FY,0FY,,RP)&lt;/Q&gt;&lt;R&gt;5&lt;/R&gt;&lt;C&gt;1&lt;/C&gt;&lt;D xsi:type="xsd:double"&gt;53613.4779423297&lt;/D&gt;&lt;D xsi:type="xsd:double"&gt;69823.0235914103&lt;/D&gt;&lt;D xsi:type="xsd:double"&gt;83487.7885460179&lt;/D&gt;&lt;D xsi:type="xsd:double"&gt;108052.240301348&lt;/D&gt;&lt;D xsi:type="xsd:double"&gt;147548.346605138&lt;/D&gt;&lt;/FQL&gt;&lt;FQL&gt;&lt;Q&gt;JD^FF_SALES(ANN,-5FY,,,RP)&lt;/Q&gt;&lt;R&gt;1&lt;/R&gt;&lt;C&gt;1&lt;/C&gt;&lt;D xsi:type="xsd:double"&gt;39153.963036177&lt;/D&gt;&lt;/FQL&gt;&lt;FQL&gt;&lt;Q&gt;JD^FF_SGA(ANN,-4FY,0FY,,RP)&lt;/Q&gt;&lt;R&gt;5&lt;/R&gt;&lt;C&gt;1&lt;/C&gt;&lt;D xsi:type="xsd:double"&gt;7379.51541425642&lt;/D&gt;&lt;D xsi:type="xsd:double"&gt;10086.7960876033&lt;/D&gt;&lt;D xsi:type="xsd:double"&gt;11302.9761033912&lt;/D&gt;&lt;D xsi:type="xsd:double"&gt;14070.9887397552&lt;/D&gt;&lt;D xsi:type="xsd:double"&gt;19258.6115083257&lt;/D&gt;&lt;/FQL&gt;&lt;FQL&gt;&lt;Q&gt;JD^FF_SGA(ANN,-5FY,,,RP)&lt;/Q&gt;&lt;R&gt;1&lt;/R&gt;&lt;C&gt;1&lt;/C&gt;&lt;D xsi:type="xsd:double"&gt;6256.85990877324&lt;/D&gt;&lt;/FQL&gt;&lt;FQL&gt;&lt;Q&gt;JD^FF_EBITDA_OPER(ANN,-4FY,0FY,,RP)&lt;/Q&gt;&lt;R&gt;5&lt;/R&gt;&lt;C&gt;1&lt;/C&gt;&lt;D xsi:type="xsd:double"&gt;484.27461&lt;/D&gt;&lt;D xsi:type="xsd:double"&gt;420.44947&lt;/D&gt;&lt;D xsi:type="xsd:double"&gt;1590.84866&lt;/D&gt;&lt;D xsi:type="xsd:double"&gt;2466.47986&lt;/D&gt;&lt;D xsi:type="xsd:double"&gt;1489.51501&lt;/D&gt;&lt;/FQL&gt;&lt;FQL&gt;&lt;Q&gt;JD^FF_EBITDA_OPER(ANN,-5FY,,,RP)&lt;/Q&gt;&lt;R&gt;1&lt;/R&gt;&lt;C&gt;1&lt;/C&gt;&lt;D xsi:type="xsd:double"&gt;216.73942&lt;/D&gt;&lt;/FQL&gt;&lt;FQL&gt;&lt;Q&gt;JD^FF_EBIT_OPER(ANN,-4FY,0FY,,RP)&lt;/Q&gt;&lt;R&gt;5&lt;/R&gt;&lt;C&gt;1&lt;/C&gt;&lt;D xsi:type="xsd:double"&gt;-123.62365&lt;/D&gt;&lt;D xsi:type="xsd:double"&gt;-392.44513&lt;/D&gt;&lt;D xsi:type="xsd:double"&gt;739.54826&lt;/D&gt;&lt;D xsi:type="xsd:double"&gt;1549.36394&lt;/D&gt;&lt;D xsi:type="xsd:double"&gt;523.14631&lt;/D&gt;&lt;/FQL&gt;&lt;FQL&gt;&lt;Q&gt;JD^FF_EBIT_OPER(ANN,-5FY,,,RP)&lt;/Q&gt;&lt;R&gt;1&lt;/R&gt;&lt;C&gt;1&lt;/C&gt;&lt;D xsi:type="xsd:double"&gt;-322.85363&lt;/D&gt;&lt;/FQL&gt;&lt;FQL&gt;&lt;Q&gt;JD^FF_NET_INC(ANN,-4FY,0FY,,RP)&lt;/Q&gt;&lt;R&gt;5&lt;/R&gt;&lt;C&gt;1&lt;/C&gt;&lt;D xsi:type="xsd:double"&gt;17.285465076144&lt;/D&gt;&lt;D xsi:type="xsd:double"&gt;-376.549587655485&lt;/D&gt;&lt;D xsi:type="xsd:double"&gt;1763.30120025746&lt;/D&gt;&lt;D xsi:type="xsd:double"&gt;7157.85938323261&lt;/D&gt;&lt;D xsi:type="xsd:double"&gt;-551.923747105321&lt;/D&gt;&lt;/FQL&gt;&lt;FQL&gt;&lt;Q&gt;JD^FF_NET_INC(ANN,-5FY,,,RP)&lt;/Q&gt;&lt;R&gt;1&lt;/R&gt;&lt;C&gt;1&lt;/C&gt;&lt;D xsi:type="xsd:double"&gt;-573.004660748199&lt;/D&gt;&lt;/FQL&gt;&lt;FQL&gt;&lt;Q&gt;JD^FF_EPS_DIL(ANN,-4FY,0FY,,RP)&lt;/Q&gt;&lt;R&gt;5&lt;/R&gt;&lt;C&gt;1&lt;/C&gt;&lt;D xsi:type="xsd:double"&gt;-0.0146&lt;/D&gt;&lt;D xsi:type="xsd:double"&gt;-0.2447&lt;/D&gt;&lt;D xsi:type="xsd:double"&gt;1.1458&lt;/D&gt;&lt;D xsi:type="xsd:double"&gt;4.5899&lt;/D&gt;&lt;D xsi:type="xsd:double"&gt;-0.3552&lt;/D&gt;&lt;/FQL&gt;&lt;FQL&gt;&lt;Q&gt;JD^FF_EPS_DIL(ANN,-5FY,,,RP)&lt;/Q&gt;&lt;R&gt;1&lt;/R&gt;&lt;C&gt;1&lt;/C&gt;&lt;D xsi:type="xsd:double"&gt;-0.3723&lt;/D&gt;&lt;/FQL&gt;&lt;FQL&gt;&lt;Q&gt;JD^FF_ASSETS(ANN,-4FY,0FY,,RP)&lt;/Q&gt;&lt;R&gt;5&lt;/R&gt;&lt;C&gt;1&lt;/C&gt;&lt;D xsi:type="xsd:double"&gt;28263.9689803446&lt;/D&gt;&lt;D xsi:type="xsd:double"&gt;30465.1902937799&lt;/D&gt;&lt;D xsi:type="xsd:double"&gt;37286.0881174907&lt;/D&gt;&lt;D xsi:type="xsd:double"&gt;64571.9737606665&lt;/D&gt;&lt;D xsi:type="xsd:double"&gt;77903.5698651439&lt;/D&gt;&lt;/FQL&gt;&lt;FQL&gt;&lt;Q&gt;JD^FF_ASSETS(ANN,-5FY,,,RP)&lt;/Q&gt;&lt;R&gt;1&lt;/R&gt;&lt;C&gt;1&lt;/C&gt;&lt;D xsi:type="xsd:double"&gt;23076.9865457942&lt;/D&gt;&lt;/FQL&gt;&lt;FQL&gt;&lt;Q&gt;JD^FF_SHLDRS_EQ(ANN,-4FY,0FY,,RP)&lt;/Q&gt;&lt;R&gt;5&lt;/R&gt;&lt;C&gt;1&lt;/C&gt;&lt;D xsi:type="xsd:double"&gt;7991.52549140068&lt;/D&gt;&lt;D xsi:type="xsd:double"&gt;8705.73619587242&lt;/D&gt;&lt;D xsi:type="xsd:double"&gt;11751.291327505&lt;/D&gt;&lt;D xsi:type="xsd:double"&gt;28677.221780483&lt;/D&gt;&lt;D xsi:type="xsd:double"&gt;32778.9393333186&lt;/D&gt;&lt;/FQL&gt;&lt;FQL&gt;&lt;Q&gt;JD^FF_SHLDRS_EQ(ANN,-5FY,,,RP)&lt;/Q&gt;&lt;R&gt;1&lt;/R&gt;&lt;C&gt;1&lt;/C&gt;&lt;D xsi:type="xsd:double"&gt;4877.02712425345&lt;/D&gt;&lt;/FQL&gt;&lt;FQL&gt;&lt;Q&gt;JD^FF_RECEIV_TOT(ANN,-4FY,0FY,,RP)&lt;/Q&gt;&lt;R&gt;5&lt;/R&gt;&lt;C&gt;1&lt;/C&gt;&lt;D xsi:type="xsd:double"&gt;4958.29330466842&lt;/D&gt;&lt;D xsi:type="xsd:double"&gt;2470.64800384525&lt;/D&gt;&lt;D xsi:type="xsd:double"&gt;1719.29798871617&lt;/D&gt;&lt;D xsi:type="xsd:double"&gt;2211.45402000065&lt;/D&gt;&lt;D xsi:type="xsd:double"&gt;2730.06095695365&lt;/D&gt;&lt;/FQL&gt;&lt;FQL&gt;&lt;Q&gt;JD^FF_RECEIV_TOT(ANN,-5FY,,,RP)&lt;/Q&gt;&lt;R&gt;1&lt;/R&gt;&lt;C&gt;1&lt;/C&gt;&lt;D xsi:type="xsd:double"&gt;4543.11432477148&lt;/D&gt;&lt;/FQL&gt;&lt;FQL&gt;&lt;Q&gt;JD^FF_INVEN(ANN,-4FY,,,RP)&lt;/Q&gt;&lt;R&gt;1&lt;/R&gt;&lt;C&gt;1&lt;/C&gt;&lt;D xsi:type="xsd:double"&gt;6464.21268427534&lt;/D&gt;&lt;/FQL&gt;&lt;FQL&gt;&lt;Q&gt;JD^FF_COGS(ANN,-4FY,0FY,,RP)&lt;/Q&gt;&lt;R&gt;5&lt;/R&gt;&lt;C&gt;1&lt;/C&gt;&lt;D xsi:type="xsd:double"&gt;46357.5861785065&lt;/D&gt;&lt;D xsi:type="xsd:double"&gt;60128.672635541&lt;/D&gt;&lt;D xsi:type="xsd:double"&gt;71445.2641803285&lt;/D&gt;&lt;D xsi:type="xsd:double"&gt;92431.8876255565&lt;/D&gt;&lt;D xsi:type="xsd:double"&gt;127766.588786365&lt;/D&gt;&lt;/FQL&gt;&lt;FQL&gt;&lt;Q&gt;JD^FF_INVEN(ANN,-5FY,,,RP)&lt;/Q&gt;&lt;R&gt;1&lt;/R&gt;&lt;C&gt;1&lt;/C&gt;&lt;D xsi:type="xsd:double"&gt;4364.79948197704&lt;/D&gt;&lt;/FQL&gt;&lt;FQL&gt;&lt;Q&gt;JD^FF_PAY_ACCT(ANN,-4FY,0FY,,RP)&lt;/Q&gt;&lt;R&gt;5&lt;/R&gt;&lt;C&gt;1&lt;/C&gt;&lt;D xsi:type="xsd:double"&gt;11415.495700246&lt;/D&gt;&lt;D xsi:type="xsd:double"&gt;11649.9436328418&lt;/D&gt;&lt;D xsi:type="xsd:double"&gt;12981.9518497784&lt;/D&gt;&lt;D xsi:type="xsd:double"&gt;16333.592005872&lt;/D&gt;&lt;D xsi:type="xsd:double"&gt;22042.4274518117&lt;/D&gt;&lt;/FQL&gt;&lt;FQL&gt;&lt;Q&gt;JD^FF_PAY_ACCT(ANN,-6FY,,,RP)&lt;/Q&gt;&lt;R&gt;1&lt;/R&gt;&lt;C&gt;1&lt;/C&gt;&lt;D xsi:type="xsd:double"&gt;4592.11238758171&lt;/D&gt;&lt;/FQL&gt;&lt;FQL&gt;&lt;Q&gt;JD^HOMEPAGE&lt;/Q&gt;&lt;R&gt;1&lt;/R&gt;&lt;C&gt;1&lt;/C&gt;&lt;D xsi:type="xsd:string"&gt;http://www.jd.com&lt;/D&gt;&lt;/FQL&gt;&lt;FQL&gt;&lt;Q&gt;^JULIAN(DATE_YYYYMMDD(0/0/-1, NOW, D))&lt;/Q&gt;&lt;R&gt;245&lt;/R&gt;&lt;C&gt;1&lt;/C&gt;&lt;D xsi:type="xsd:long"&gt;44285&lt;/D&gt;&lt;D xsi:type="xsd:long"&gt;44286&lt;/D&gt;&lt;D xsi:type="xsd:long"&gt;44287&lt;/D&gt;&lt;D xsi:type="xsd:long"&gt;44288&lt;/D&gt;&lt;D xsi:type="xsd:long"&gt;44292&lt;/D&gt;&lt;D xsi:type="xsd:long"&gt;44293&lt;/D&gt;&lt;D xsi:type="xsd:long"&gt;44294&lt;/D&gt;&lt;D xsi:type="xsd:long"&gt;44295&lt;/D&gt;&lt;D xsi:type="xsd:long"&gt;44298&lt;/D&gt;&lt;D xsi:type="xsd:long"&gt;44299&lt;/D&gt;&lt;D xsi:type="xsd:long"&gt;44300&lt;/D&gt;&lt;D xsi:type="xsd:long"&gt;44301&lt;/D&gt;&lt;D xsi:type="xsd:long"&gt;44302&lt;/D&gt;&lt;D xsi:type="xsd:long"&gt;44305&lt;/D&gt;&lt;D xsi:type="xsd:long"&gt;44306&lt;/D&gt;&lt;D xsi:type="xsd:long"&gt;44307&lt;/D&gt;&lt;D xsi:type="xsd:long"&gt;44308&lt;/D&gt;&lt;D xsi:type="xsd:long"&gt;44309&lt;/D&gt;&lt;D xsi:type="xsd:long"&gt;44312&lt;/D&gt;&lt;D xsi:type="xsd:long"&gt;44313&lt;/D&gt;&lt;D xsi:type="xsd:long"&gt;44314&lt;/D&gt;&lt;D xsi:type="xsd:long"&gt;44315&lt;/D&gt;&lt;D xsi:type="xsd:long"&gt;44316&lt;/D&gt;&lt;D xsi:type="xsd:long"&gt;44322&lt;/D&gt;&lt;D xsi:type="xsd:long"&gt;44323&lt;/D&gt;&lt;D xsi:type="xsd:long"&gt;44326&lt;/D&gt;&lt;D xsi:type="xsd:long"&gt;44327&lt;/D&gt;&lt;D xsi:type="xsd:long"&gt;44328&lt;/D&gt;&lt;D xsi:type="xsd:long"&gt;44329&lt;/D&gt;&lt;D xsi:type="xsd:long"&gt;44330&lt;/D&gt;&lt;D xsi:type="xsd:long"&gt;44333&lt;/D&gt;&lt;D xsi:type="xsd:long"&gt;44334&lt;/D&gt;&lt;D xsi:type="xsd:long"&gt;44335&lt;/D&gt;&lt;D xsi:type="xsd:long"&gt;44336&lt;/D&gt;&lt;D xsi:type="xsd:long"&gt;44337&lt;/D&gt;&lt;D xsi:type="xsd:long"&gt;44340&lt;/D&gt;&lt;D xsi:type="xsd:long"&gt;44341&lt;/D&gt;&lt;D xsi:type="xsd:long"&gt;44342&lt;/D&gt;&lt;D xsi:type="xsd:long"&gt;44343&lt;/D&gt;&lt;D xsi:type="xsd:long"&gt;44344&lt;/D&gt;&lt;D xsi:type="xsd:long"&gt;44347&lt;/D&gt;&lt;D xsi:type="xsd:long"&gt;44348&lt;/D&gt;&lt;D xsi:type="xsd:long"&gt;44349&lt;/D&gt;&lt;D xsi:type="xsd:long"&gt;44350&lt;/D&gt;&lt;D xsi:type="xsd:long"&gt;44351&lt;/D&gt;&lt;D xsi:type="xsd:long"&gt;44354&lt;/D&gt;&lt;D xsi:type="xsd:long"&gt;44355&lt;/D&gt;&lt;D xsi:type="xsd:long"&gt;44356&lt;/D&gt;&lt;D xsi:type="xsd:long"&gt;44357&lt;/D&gt;&lt;D xsi:type="xsd:long"&gt;44358&lt;/D&gt;&lt;D xsi:type="xsd:long"&gt;44362&lt;/D&gt;&lt;D xsi:type="xsd:long"&gt;44363&lt;/D&gt;&lt;D xsi:type="xsd:long"&gt;44364&lt;/D&gt;&lt;D xsi:type="xsd:long"&gt;44365&lt;/D&gt;&lt;D xsi:type="xsd:long"&gt;44368&lt;/D&gt;&lt;D xsi:type="xsd:long"&gt;44369&lt;/D&gt;&lt;D xsi:type="xsd:long"&gt;44370&lt;/D&gt;&lt;D xsi:type="xsd:long"&gt;44371&lt;/D&gt;&lt;D xsi:type="xsd:long"&gt;44372&lt;/D&gt;&lt;D xsi:type="xsd:long"&gt;44375&lt;/D&gt;&lt;D xsi:type="xsd:long"&gt;44376&lt;/D&gt;&lt;D xsi:type="xsd:long"&gt;44377&lt;/D&gt;&lt;D xsi:type="xsd:long"&gt;44378&lt;/D&gt;&lt;D xsi:type="xsd:long"&gt;44379&lt;/D&gt;&lt;D xsi:type="xsd:long"&gt;44382&lt;/D&gt;&lt;D xsi:type="xsd:long"&gt;44383&lt;/D&gt;&lt;D xsi:type="xsd:long"&gt;44384&lt;/D&gt;&lt;D xsi:type="xsd:long"&gt;44385&lt;/D&gt;&lt;D xsi:type="xsd:long"&gt;44386&lt;/D&gt;&lt;D xsi:type="xsd:long"&gt;44389&lt;/D&gt;&lt;D xsi:type="xsd:long"&gt;44390&lt;/D&gt;&lt;D xsi:type="xsd:long"&gt;44391&lt;/D&gt;&lt;D xsi:type="xsd:long"&gt;44392&lt;/D&gt;&lt;D xsi:type="xsd:long"&gt;44393&lt;/D&gt;&lt;D xsi:type="xsd:long"&gt;44396&lt;/D&gt;&lt;D xsi:type="xsd:long"&gt;44397&lt;/D&gt;&lt;D xsi:type="xsd:long"&gt;44398&lt;/D&gt;&lt;D xsi:type="xsd:long"&gt;44399&lt;/D&gt;&lt;D xsi:type="xsd:long"&gt;44400&lt;/D&gt;&lt;D xsi:type="xsd:long"&gt;44403&lt;/D&gt;&lt;D xsi:type="xsd:long"&gt;44404&lt;/D&gt;&lt;D xsi:type="xsd:long"&gt;44405&lt;/D&gt;&lt;D xsi:type="xsd:long"&gt;44406&lt;/D&gt;&lt;D xsi:type="xsd:long"&gt;44407&lt;/D&gt;&lt;D xsi:type="xsd:long"&gt;44410&lt;/D&gt;&lt;D xsi:type="xsd:long"&gt;44411&lt;/D&gt;&lt;D xsi:type="xsd:long"&gt;44412&lt;/D&gt;&lt;D xsi:type="xsd:long"&gt;44413&lt;/D&gt;&lt;D xsi:type="xsd:long"&gt;44414&lt;/D&gt;&lt;D xsi:type="xsd:long"&gt;44417&lt;/D&gt;&lt;D xsi:type="xsd:long"&gt;44418&lt;/D&gt;&lt;D xsi:type="xsd:long"&gt;44419&lt;/D&gt;&lt;D xsi:type="xsd:long"&gt;44420&lt;/D&gt;&lt;D xsi:type="xsd:long"&gt;44421&lt;/D&gt;&lt;D xsi:type="xsd:long"&gt;44424&lt;/D&gt;&lt;D xsi:type="xsd:long"&gt;44425&lt;/D&gt;&lt;D xsi:type="xsd:long"&gt;44426&lt;/D&gt;&lt;D xsi:type="xsd:long"&gt;44427&lt;/D&gt;&lt;D xsi:type="xsd:long"&gt;44428&lt;/D&gt;&lt;D xsi:type="xsd:long"&gt;44431&lt;/D&gt;&lt;D xsi:type="xsd:long"&gt;44432&lt;/D&gt;&lt;D xsi:type="xsd:long"&gt;44433&lt;/D&gt;&lt;D xsi:type="xsd:long"&gt;44434&lt;/D&gt;&lt;D xsi:type="xsd:long"&gt;44435&lt;/D&gt;&lt;D xsi:type="xsd:long"&gt;44438&lt;/D&gt;&lt;D xsi:type="xsd:long"&gt;44439&lt;/D&gt;&lt;D xsi:type="xsd:long"&gt;44440&lt;/D&gt;&lt;D xsi:type="xsd:long"&gt;44441&lt;/D&gt;&lt;D xsi:type="xsd:long"&gt;44442&lt;/D&gt;&lt;D xsi:type="xsd:long"&gt;44445&lt;/D&gt;&lt;D xsi:type="xsd:long"&gt;44446&lt;/D&gt;&lt;D xsi:type="xsd:long"&gt;44447&lt;/D&gt;&lt;D xsi:type="xsd:long"&gt;44448&lt;/D&gt;&lt;D xsi:type="xsd:long"&gt;44449&lt;/D&gt;&lt;D xsi:type="xsd:long"&gt;44452&lt;/D&gt;&lt;D xsi:type="xsd:long"&gt;44453&lt;/D&gt;&lt;D xsi:type="xsd:long"&gt;44454&lt;/D&gt;&lt;D xsi:type="xsd:long"&gt;44455&lt;/D&gt;&lt;D xsi:type="xsd:long"&gt;44456&lt;/D&gt;&lt;D xsi:type="xsd:long"&gt;44461&lt;/D&gt;&lt;D xsi:type="xsd:long"&gt;44462&lt;/D&gt;&lt;D xsi:type="xsd:long"&gt;44463&lt;/D&gt;&lt;D xsi:type="xsd:long"&gt;44466&lt;/D&gt;&lt;D xsi:type="xsd:long"&gt;44467&lt;/D&gt;&lt;D xsi:type="xsd:long"&gt;44468&lt;/D&gt;&lt;D xsi:type="xsd:long"&gt;44469&lt;/D&gt;&lt;D xsi:type="xsd:long"&gt;44477&lt;/D&gt;&lt;D xsi:type="xsd:long"&gt;44480&lt;/D&gt;&lt;D xsi:type="xsd:long"&gt;44481&lt;/D&gt;&lt;D xsi:type="xsd:long"&gt;44482&lt;/D&gt;&lt;D xsi:type="xsd:long"&gt;44483&lt;/D&gt;&lt;D xsi:type="xsd:long"&gt;44484&lt;/D&gt;&lt;D xsi:type="xsd:long"&gt;44487&lt;/D&gt;&lt;D xsi:type="xsd:long"&gt;44488&lt;/D&gt;&lt;D xsi:type="xsd:long"&gt;44489&lt;/D&gt;&lt;D xsi:type="xsd:long"&gt;44490&lt;/D&gt;&lt;D xsi:type="xsd:long"&gt;44491&lt;/D&gt;&lt;D xsi:type="xsd:long"&gt;44494&lt;/D&gt;&lt;D xsi:type="xsd:long"&gt;44495&lt;/D&gt;&lt;D xsi:type="xsd:long"&gt;44496&lt;/D&gt;&lt;D xsi:type="xsd:long"&gt;44497&lt;/D&gt;&lt;D xsi:type="xsd:long"&gt;44498&lt;/D&gt;&lt;D xsi:type="xsd:long"&gt;44501&lt;/D&gt;&lt;D xsi:type="xsd:long"&gt;44502&lt;/D&gt;&lt;D xsi:type="xsd:long"&gt;44503&lt;/D&gt;&lt;D xsi:type="xsd:long"&gt;44504&lt;/D&gt;&lt;D xsi:type="xsd:long"&gt;44505&lt;/D&gt;&lt;D xsi:type="xsd:long"&gt;44508&lt;/D&gt;&lt;D xsi:type="xsd:long"&gt;44509&lt;/D&gt;&lt;D xsi:type="xsd:long"&gt;44510&lt;/D&gt;&lt;D xsi:type="xsd:long"&gt;44511&lt;/D&gt;&lt;D xsi:type="xsd:long"&gt;44512&lt;/D&gt;&lt;D xsi:type="xsd:long"&gt;44515&lt;/D&gt;&lt;D xsi:type="xsd:long"&gt;44516&lt;/D&gt;&lt;D xsi:type="xsd:long"&gt;44517&lt;/D&gt;&lt;D xsi:type="xsd:long"&gt;44518&lt;/D&gt;&lt;D xsi:type="xsd:long"&gt;44519&lt;/D&gt;&lt;D xsi:type="xsd:long"&gt;44522&lt;/D&gt;&lt;D xsi:type="xsd:long"&gt;44523&lt;/D&gt;&lt;D xsi:type="xsd:long"&gt;44524&lt;/D&gt;&lt;D xsi:type="xsd:long"&gt;44525&lt;/D&gt;&lt;D xsi:type="xsd:long"&gt;44526&lt;/D&gt;&lt;D xsi:type="xsd:long"&gt;44529&lt;/D&gt;&lt;D xsi:type="xsd:long"&gt;44530&lt;/D&gt;&lt;D xsi:type="xsd:long"&gt;44531&lt;/D&gt;&lt;D xsi:type="xsd:long"&gt;44532&lt;/D&gt;&lt;D xsi:type="xsd:long"&gt;44533&lt;/D&gt;&lt;D xsi:type="xsd:long"&gt;44536&lt;/D&gt;&lt;D xsi:type="xsd:long"&gt;44537&lt;/D&gt;&lt;D xsi:type="xsd:long"&gt;44538&lt;/D&gt;&lt;D xsi:type="xsd:long"&gt;44539&lt;/D&gt;&lt;D xsi:type="xsd:long"&gt;44540&lt;/D&gt;&lt;D xsi:type="xsd:long"&gt;44543&lt;/D&gt;&lt;D xsi:type="xsd:long"&gt;44544&lt;/D&gt;&lt;D xsi:type="xsd:long"&gt;44545&lt;/D&gt;&lt;D xsi:type="xsd:long"&gt;44546&lt;/D&gt;&lt;D xsi:type="xsd:long"&gt;44547&lt;/D&gt;&lt;D xsi:type="xsd:long"&gt;44550&lt;/D&gt;&lt;D xsi:type="xsd:long"&gt;44551&lt;/D&gt;&lt;D xsi:type="xsd:long"&gt;44552&lt;/D&gt;&lt;D xsi:type="xsd:long"&gt;44553&lt;/D&gt;&lt;D xsi:type="xsd:long"&gt;44554&lt;/D&gt;&lt;D xsi:type="xsd:long"&gt;44557&lt;/D&gt;&lt;D xsi:type="xsd:long"&gt;44558&lt;/D&gt;&lt;D xsi:type="xsd:long"&gt;44559&lt;/D&gt;&lt;D xsi:type="xsd:long"&gt;44560&lt;/D&gt;&lt;D xsi:type="xsd:long"&gt;44561&lt;/D&gt;&lt;D xsi:type="xsd:long"&gt;44565&lt;/D&gt;&lt;D xsi:type="xsd:long"&gt;44566&lt;/D&gt;&lt;D xsi:type="xsd:long"&gt;44567&lt;/D&gt;&lt;D xsi:type="xsd:long"&gt;44568&lt;/D&gt;&lt;D xsi:type="xsd:long"&gt;44571&lt;/D&gt;&lt;D xsi:type="xsd:long"&gt;44572&lt;/D&gt;&lt;D xsi:type="xsd:long"&gt;44573&lt;/D&gt;&lt;D xsi:type="xsd:long"&gt;44574&lt;/D&gt;&lt;D xsi:type="xsd:long"&gt;44575&lt;/D&gt;&lt;D xsi:type="xsd:long"&gt;44578&lt;/D&gt;&lt;D xsi:type="xsd:long"&gt;44579&lt;/D&gt;&lt;D xsi:type="xsd:long"&gt;44580&lt;/D&gt;&lt;D xsi:type="xsd:long"&gt;44581&lt;/D&gt;&lt;D xsi:type="xsd:long"&gt;44582&lt;/D&gt;&lt;D xsi:type="xsd:long"&gt;44585&lt;/D&gt;&lt;D xsi:type="xsd:long"&gt;44586&lt;/D&gt;&lt;D xsi:type="xsd:long"&gt;44587&lt;/D&gt;&lt;D xsi:type="xsd:long"&gt;44588&lt;/D&gt;&lt;D xsi:type="xsd:long"&gt;44589&lt;/D&gt;&lt;D xsi:type="xsd:long"&gt;44599&lt;/D&gt;&lt;D xsi:type="xsd:long"&gt;44600&lt;/D&gt;&lt;D xsi:type="xsd:long"&gt;44601&lt;/D&gt;&lt;D xsi:type="xsd:long"&gt;44602&lt;/D&gt;&lt;D xsi:type="xsd:long"&gt;44603&lt;/D&gt;&lt;D xsi:type="xsd:long"&gt;44606&lt;/D&gt;&lt;D xsi:type="xsd:long"&gt;44607&lt;/D&gt;&lt;D xsi:type="xsd:long"&gt;44608&lt;/D&gt;&lt;D xsi:type="xsd:long"&gt;44609&lt;/D&gt;&lt;D xsi:type="xsd:long"&gt;44610&lt;/D&gt;&lt;D xsi:type="xsd:long"&gt;44613&lt;/D&gt;&lt;D xsi:type="xsd:long"&gt;44614&lt;/D&gt;&lt;D xsi:type="xsd:long"&gt;44615&lt;/D&gt;&lt;D xsi:type="xsd:long"&gt;44616&lt;/D&gt;&lt;D xsi:type="xsd:long"&gt;44617&lt;/D&gt;&lt;D xsi:type="xsd:long"&gt;44620&lt;/D&gt;&lt;D xsi:type="xsd:long"&gt;44621&lt;/D&gt;&lt;D xsi:type="xsd:long"&gt;44622&lt;/D&gt;&lt;D xsi:type="xsd:long"&gt;44623&lt;/D&gt;&lt;D xsi:type="xsd:long"&gt;44624&lt;/D&gt;&lt;D xsi:type="xsd:long"&gt;44627&lt;/D&gt;&lt;D xsi:type="xsd:long"&gt;44628&lt;/D&gt;&lt;D xsi:type="xsd:long"&gt;44629&lt;/D&gt;&lt;D xsi:type="xsd:long"&gt;44630&lt;/D&gt;&lt;D xsi:type="xsd:long"&gt;44631&lt;/D&gt;&lt;D xsi:type="xsd:long"&gt;44634&lt;/D&gt;&lt;D xsi:type="xsd:long"&gt;44635&lt;/D&gt;&lt;D xsi:type="xsd:long"&gt;44636&lt;/D&gt;&lt;D xsi:type="xsd:long"&gt;44637&lt;/D&gt;&lt;D xsi:type="xsd:long"&gt;44638&lt;/D&gt;&lt;D xsi:type="xsd:long"&gt;44641&lt;/D&gt;&lt;D xsi:type="xsd:long"&gt;44642&lt;/D&gt;&lt;D xsi:type="xsd:long"&gt;44643&lt;/D&gt;&lt;D xsi:type="xsd:long"&gt;44644&lt;/D&gt;&lt;D xsi:type="xsd:long"&gt;44645&lt;/D&gt;&lt;D xsi:type="xsd:long"&gt;44648&lt;/D&gt;&lt;D xsi:type="xsd:long"&gt;44649&lt;/D&gt;&lt;D xsi:type="xsd:long"&gt;44650&lt;/D&gt;&lt;D xsi:type="xsd:long"&gt;44651&lt;/D&gt;&lt;/FQL&gt;&lt;FQL&gt;&lt;Q&gt;JD^FG_PRICE_ICS(0/0/-1,NOW,D,LOCAL,SPLIT,0,,,5)&lt;/Q&gt;&lt;R&gt;245&lt;/R&gt;&lt;C&gt;1&lt;/C&gt;&lt;D xsi:type="xsd:double"&gt;83&lt;/D&gt;&lt;D xsi:type="xsd:double"&gt;84.33&lt;/D&gt;&lt;D xsi:type="xsd:double"&gt;84.31&lt;/D&gt;&lt;D xsi:type="xsd:double"&gt;84.31&lt;/D&gt;&lt;D xsi:type="xsd:double"&gt;83.51&lt;/D&gt;&lt;D xsi:type="xsd:double"&gt;81.25&lt;/D&gt;&lt;D xsi:type="xsd:double"&gt;82.14&lt;/D&gt;&lt;D xsi:type="xsd:double"&gt;80.41&lt;/D&gt;&lt;D xsi:type="xsd:double"&gt;78.65&lt;/D&gt;&lt;D xsi:type="xsd:double"&gt;78.8&lt;/D&gt;&lt;D xsi:type="xsd:double"&gt;78.12&lt;/D&gt;&lt;D xsi:type="xsd:double"&gt;77.49&lt;/D&gt;&lt;D xsi:type="xsd:double"&gt;77.04&lt;/D&gt;&lt;D xsi:type="xsd:double"&gt;76.95&lt;/D&gt;&lt;D xsi:type="xsd:double"&gt;74.55&lt;/D&gt;&lt;D xsi:type="xsd:double"&gt;75.72&lt;/D&gt;&lt;D xsi:type="xsd:double"&gt;76.11&lt;/D&gt;&lt;D xsi:type="xsd:double"&gt;76.75&lt;/D&gt;&lt;D xsi:type="xsd:double"&gt;76.14&lt;/D&gt;&lt;D xsi:type="xsd:double"&gt;78.46&lt;/D&gt;&lt;D xsi:type="xsd:double"&gt;79.06&lt;/D&gt;&lt;D xsi:type="xsd:double"&gt;77.83&lt;/D&gt;&lt;D xsi:type="xsd:double"&gt;77.36&lt;/D&gt;&lt;D xsi:type="xsd:double"&gt;76.39&lt;/D&gt;&lt;D xsi:type="xsd:double"&gt;75.51&lt;/D&gt;&lt;D xsi:type="xsd:double"&gt;71.4&lt;/D&gt;&lt;D xsi:type="xsd:double"&gt;72.78&lt;/D&gt;&lt;D xsi:type="xsd:double"&gt;71.25&lt;/D&gt;&lt;D xsi:type="xsd:double"&gt;67.03&lt;/D&gt;&lt;D xsi:type="xsd:double"&gt;68.15&lt;/D&gt;&lt;D xsi:type="xsd:double"&gt;68.21&lt;/D&gt;&lt;D xsi:type="xsd:double"&gt;69.74&lt;/D&gt;&lt;D xsi:type="xsd:double"&gt;70.58&lt;/D&gt;&lt;D xsi:type="xsd:double"&gt;73.7&lt;/D&gt;&lt;D xsi:type="xsd:double"&gt;72.75&lt;/D&gt;&lt;D xsi:type="xsd:double"&gt;71.66&lt;/D&gt;&lt;D xsi:type="xsd:double"&gt;72.81&lt;/D&gt;&lt;D xsi:type="xsd:double"&gt;73.2&lt;/D&gt;&lt;D xsi:type="xsd:double"&gt;72.83&lt;/D&gt;&lt;D xsi:type="xsd:double"&gt;73.94&lt;/D&gt;&lt;D xsi:type="xsd:double"&gt;73.94&lt;/D&gt;&lt;D xsi:type="xsd:double"&gt;78.33&lt;/D&gt;&lt;D xsi:type="xsd:double"&gt;76.54&lt;/D&gt;&lt;D xsi:type="xsd:double"&gt;75.52&lt;/D&gt;&lt;D xsi:type="xsd:double"&gt;75.43&lt;/D&gt;&lt;D xsi:type="xsd:double"&gt;74.68&lt;/D&gt;&lt;D xsi:type="xsd:double"&gt;73.28&lt;/D&gt;&lt;D xsi:type="xsd:double"&gt;72.64&lt;/D&gt;&lt;D xsi:type="xsd:double"&gt;71.85&lt;/D&gt;&lt;D xsi:type="xsd:double"&gt;71.19&lt;/D&gt;&lt;D xsi:type="xsd:double"&gt;70.84&lt;/D&gt;&lt;D xsi:type="xsd:double"&gt;71.49&lt;/D&gt;&lt;D xsi:type="xsd:double"&gt;73.5&lt;/D&gt;&lt;D xsi:type="xsd:double"&gt;71.62&lt;/D&gt;&lt;D xsi:type="xsd:double"&gt;72.62&lt;/D&gt;&lt;D xsi:type="xsd:double"&gt;73.3&lt;/D&gt;&lt;D xsi:type="xsd:double"&gt;73.14&lt;/D&gt;&lt;D xsi:type="xsd:double"&gt;74.9&lt;/D&gt;&lt;D xsi:type="xsd:double"&gt;78.23&lt;/D&gt;&lt;D xsi:type="xsd:double"&gt;77.12&lt;/D&gt;&lt;D xsi:type="xsd:double"&gt;79.75&lt;/D&gt;&lt;D xsi:type="xsd:double"&gt;79.81&lt;/D&gt;&lt;D xsi:type="xsd:double"&gt;77.44&lt;/D&gt;&lt;D xsi:type="xsd:double"&gt;76.23&lt;/D&gt;&lt;D xsi:type="xsd:double"&gt;76.23&lt;/D&gt;&lt;D xsi:type="xsd:double"&gt;72.39&lt;/D&gt;&lt;D xsi:type="xsd:double"&gt;72.7&lt;/D&gt;&lt;D xsi:type="xsd:double"&gt;70.89&lt;/D&gt;&lt;D xsi:type="xsd:double"&gt;73.56&lt;/D&gt;&lt;D xsi:type="xsd:double"&gt;73.17&lt;/D&gt;&lt;D xsi:type="xsd:double"&gt;76.52&lt;/D&gt;&lt;D xsi:type="xsd:double"&gt;75.45&lt;/D&gt;&lt;D xsi:type="xsd:double"&gt;76.86&lt;/D&gt;&lt;D xsi:type="xsd:double"&gt;75.59&lt;/D&gt;&lt;D xsi:type="xsd:double"&gt;74.22&lt;/D&gt;&lt;D xsi:type="xsd:double"&gt;73.87&lt;/D&gt;&lt;D xsi:type="xsd:double"&gt;75.3&lt;/D&gt;&lt;D xsi:type="xsd:double"&gt;75.91&lt;/D&gt;&lt;D xsi:type="xsd:double"&gt;72.29&lt;/D&gt;&lt;D xsi:type="xsd:double"&gt;66.08&lt;/D&gt;&lt;D xsi:type="xsd:double"&gt;64.77&lt;/D&gt;&lt;D xsi:type="xsd:double"&gt;70.28&lt;/D&gt;&lt;D xsi:type="xsd:double"&gt;71.93&lt;/D&gt;&lt;D xsi:type="xsd:double"&gt;70.88&lt;/D&gt;&lt;D xsi:type="xsd:double"&gt;71.49&lt;/D&gt;&lt;D xsi:type="xsd:double"&gt;70.24&lt;/D&gt;&lt;D xsi:type="xsd:double"&gt;71.4&lt;/D&gt;&lt;D xsi:type="xsd:double"&gt;70.74&lt;/D&gt;&lt;D xsi:type="xsd:double"&gt;69.59&lt;/D&gt;&lt;D xsi:type="xsd:double"&gt;71.73&lt;/D&gt;&lt;D xsi:type="xsd:double"&gt;71.76&lt;/D&gt;&lt;D xsi:type="xsd:double"&gt;71.07&lt;/D&gt;&lt;D xsi:type="xsd:double"&gt;70.53&lt;/D&gt;&lt;D xsi:type="xsd:double"&gt;69.86&lt;/D&gt;&lt;D xsi:type="xsd:double"&gt;66.67&lt;/D&gt;&lt;D xsi:type="xsd:double"&gt;64.26&lt;/D&gt;&lt;D xsi:type="xsd:double"&gt;65.53&lt;/D&gt;&lt;D xsi:type="xsd:double"&gt;62.19&lt;/D&gt;&lt;D xsi:type="xsd:double"&gt;63.62&lt;/D&gt;&lt;D xsi:type="xsd:double"&gt;65.73&lt;/D&gt;&lt;D xsi:type="xsd:double"&gt;75.22&lt;/D&gt;&lt;D xsi:type="xsd:double"&gt;76.14&lt;/D&gt;&lt;D xsi:type="xsd:double"&gt;77.04&lt;/D&gt;&lt;D xsi:type="xsd:double"&gt;76.43&lt;/D&gt;&lt;D xsi:type="xsd:double"&gt;76.69&lt;/D&gt;&lt;D xsi:type="xsd:double"&gt;78.56&lt;/D&gt;&lt;D xsi:type="xsd:double"&gt;80.78&lt;/D&gt;&lt;D xsi:type="xsd:double"&gt;80.24&lt;/D&gt;&lt;D xsi:type="xsd:double"&gt;79.855&lt;/D&gt;&lt;D xsi:type="xsd:double"&gt;79.855&lt;/D&gt;&lt;D xsi:type="xsd:double"&gt;83.24&lt;/D&gt;&lt;D xsi:type="xsd:double"&gt;81.73&lt;/D&gt;&lt;D xsi:type="xsd:double"&gt;80.26&lt;/D&gt;&lt;D xsi:type="xsd:double"&gt;80.64&lt;/D&gt;&lt;D xsi:type="xsd:double"&gt;80.17&lt;/D&gt;&lt;D xsi:type="xsd:double"&gt;77.9&lt;/D&gt;&lt;D xsi:type="xsd:double"&gt;76.63&lt;/D&gt;&lt;D xsi:type="xsd:double"&gt;77.17&lt;/D&gt;&lt;D xsi:type="xsd:double"&gt;77.69&lt;/D&gt;&lt;D xsi:type="xsd:double"&gt;75.92&lt;/D&gt;&lt;D xsi:type="xsd:double"&gt;76.13&lt;/D&gt;&lt;D xsi:type="xsd:double"&gt;73.98&lt;/D&gt;&lt;D xsi:type="xsd:double"&gt;76.43&lt;/D&gt;&lt;D xsi:type="xsd:double"&gt;75.42&lt;/D&gt;&lt;D xsi:type="xsd:double"&gt;71.62&lt;/D&gt;&lt;D xsi:type="xsd:double"&gt;72.24&lt;/D&gt;&lt;D xsi:type="xsd:double"&gt;78.61&lt;/D&gt;&lt;D xsi:type="xsd:double"&gt;78&lt;/D&gt;&lt;D xsi:type="xsd:double"&gt;78.41&lt;/D&gt;&lt;D xsi:type="xsd:double"&gt;80.57&lt;/D&gt;&lt;D xsi:type="xsd:double"&gt;81.03&lt;/D&gt;&lt;D xsi:type="xsd:double"&gt;81.42&lt;/D&gt;&lt;D xsi:type="xsd:double"&gt;82.42&lt;/D&gt;&lt;D xsi:type="xsd:double"&gt;84.91&lt;/D&gt;&lt;D xsi:type="xsd:double"&gt;85.53&lt;/D&gt;&lt;D xsi:type="xsd:double"&gt;83.97&lt;/D&gt;&lt;D xsi:type="xsd:double"&gt;83.07&lt;/D&gt;&lt;D xsi:type="xsd:double"&gt;84.25&lt;/D&gt;&lt;D xsi:type="xsd:double"&gt;81.48&lt;/D&gt;&lt;D xsi:type="xsd:double"&gt;80.86&lt;/D&gt;&lt;D xsi:type="xsd:double"&gt;80.92&lt;/D&gt;&lt;D xsi:type="xsd:double"&gt;78.28&lt;/D&gt;&lt;D xsi:type="xsd:double"&gt;82.5&lt;/D&gt;&lt;D xsi:type="xsd:double"&gt;80.7&lt;/D&gt;&lt;D xsi:type="xsd:double"&gt;81.36&lt;/D&gt;&lt;D xsi:type="xsd:double"&gt;80.3&lt;/D&gt;&lt;D xsi:type="xsd:double"&gt;77.57&lt;/D&gt;&lt;D xsi:type="xsd:double"&gt;77.47&lt;/D&gt;&lt;D xsi:type="xsd:double"&gt;77.19&lt;/D&gt;&lt;D xsi:type="xsd:double"&gt;77.74&lt;/D&gt;&lt;D xsi:type="xsd:double"&gt;84.2&lt;/D&gt;&lt;D xsi:type="xsd:double"&gt;85.95&lt;/D&gt;&lt;D xsi:type="xsd:double"&gt;84.62&lt;/D&gt;&lt;D xsi:type="xsd:double"&gt;85.73&lt;/D&gt;&lt;D xsi:type="xsd:double"&gt;83.15&lt;/D&gt;&lt;D xsi:type="xsd:double"&gt;88.1&lt;/D&gt;&lt;D xsi:type="xsd:double"&gt;91.55&lt;/D&gt;&lt;D xsi:type="xsd:double"&gt;87.71&lt;/D&gt;&lt;D xsi:type="xsd:double"&gt;89.46&lt;/D&gt;&lt;D xsi:type="xsd:double"&gt;89.36&lt;/D&gt;&lt;D xsi:type="xsd:double"&gt;89.36&lt;/D&gt;&lt;D xsi:type="xsd:double"&gt;88.67&lt;/D&gt;&lt;D xsi:type="xsd:double"&gt;87.91&lt;/D&gt;&lt;D xsi:type="xsd:double"&gt;84.11&lt;/D&gt;&lt;D xsi:type="xsd:double"&gt;85.18&lt;/D&gt;&lt;D xsi:type="xsd:double"&gt;84.46&lt;/D&gt;&lt;D xsi:type="xsd:double"&gt;77.95&lt;/D&gt;&lt;D xsi:type="xsd:double"&gt;75.19&lt;/D&gt;&lt;D xsi:type="xsd:double"&gt;78.09&lt;/D&gt;&lt;D xsi:type="xsd:double"&gt;78.29&lt;/D&gt;&lt;D xsi:type="xsd:double"&gt;79.57&lt;/D&gt;&lt;D xsi:type="xsd:double"&gt;79.71&lt;/D&gt;&lt;D xsi:type="xsd:double"&gt;78.05&lt;/D&gt;&lt;D xsi:type="xsd:double"&gt;77.65&lt;/D&gt;&lt;D xsi:type="xsd:double"&gt;73.66&lt;/D&gt;&lt;D xsi:type="xsd:double"&gt;72.68&lt;/D&gt;&lt;D xsi:type="xsd:double"&gt;71.04&lt;/D&gt;&lt;D xsi:type="xsd:double"&gt;68.19&lt;/D&gt;&lt;D xsi:type="xsd:double"&gt;73.41&lt;/D&gt;&lt;D xsi:type="xsd:double"&gt;73.75&lt;/D&gt;&lt;D xsi:type="xsd:double"&gt;68.65&lt;/D&gt;&lt;D xsi:type="xsd:double"&gt;68.65&lt;/D&gt;&lt;D xsi:type="xsd:double"&gt;67.71&lt;/D&gt;&lt;D xsi:type="xsd:double"&gt;65.87&lt;/D&gt;&lt;D xsi:type="xsd:double"&gt;65.63&lt;/D&gt;&lt;D xsi:type="xsd:double"&gt;70.4&lt;/D&gt;&lt;D xsi:type="xsd:double"&gt;70.07&lt;/D&gt;&lt;D xsi:type="xsd:double"&gt;64.2&lt;/D&gt;&lt;D xsi:type="xsd:double"&gt;63.02&lt;/D&gt;&lt;D xsi:type="xsd:double"&gt;66.78&lt;/D&gt;&lt;D xsi:type="xsd:double"&gt;68.24&lt;/D&gt;&lt;D xsi:type="xsd:double"&gt;69.6&lt;/D&gt;&lt;D xsi:type="xsd:double"&gt;76.76&lt;/D&gt;&lt;D xsi:type="xsd:double"&gt;76.4&lt;/D&gt;&lt;D xsi:type="xsd:double"&gt;71.44&lt;/D&gt;&lt;D xsi:type="xsd:double"&gt;73.72&lt;/D&gt;&lt;D xsi:type="xsd:double"&gt;73.72&lt;/D&gt;&lt;D xsi:type="xsd:double"&gt;73.4&lt;/D&gt;&lt;D xsi:type="xsd:double"&gt;72.3&lt;/D&gt;&lt;D xsi:type="xsd:double"&gt;77&lt;/D&gt;&lt;D xsi:type="xsd:double"&gt;73.46&lt;/D&gt;&lt;D xsi:type="xsd:double"&gt;71.74&lt;/D&gt;&lt;D xsi:type="xsd:double"&gt;72.15&lt;/D&gt;&lt;D xsi:type="xsd:double"&gt;71.11&lt;/D&gt;&lt;D xsi:type="xsd:double"&gt;66.68&lt;/D&gt;&lt;D xsi:type="xsd:double"&gt;69.34&lt;/D&gt;&lt;D xsi:type="xsd:double"&gt;73.15&lt;/D&gt;&lt;D xsi:type="xsd:double"&gt;75.36&lt;/D&gt;&lt;D xsi:type="xsd:double"&gt;78.29&lt;/D&gt;&lt;D xsi:type="xsd:double"&gt;76.4&lt;/D&gt;&lt;D xsi:type="xsd:double"&gt;73.98&lt;/D&gt;&lt;D xsi:type="xsd:double"&gt;74.45&lt;/D&gt;&lt;D xsi:type="xsd:double"&gt;76.13&lt;/D&gt;&lt;D xsi:type="xsd:double"&gt;75.3&lt;/D&gt;&lt;D xsi:type="xsd:double"&gt;74.55&lt;/D&gt;&lt;D xsi:type="xsd:double"&gt;71.86&lt;/D&gt;&lt;D xsi:type="xsd:double"&gt;71.86&lt;/D&gt;&lt;D xsi:type="xsd:double"&gt;70.98&lt;/D&gt;&lt;D xsi:type="xsd:double"&gt;70.54&lt;/D&gt;&lt;D xsi:type="xsd:double"&gt;70.91&lt;/D&gt;&lt;D xsi:type="xsd:double"&gt;72.5&lt;/D&gt;&lt;D xsi:type="xsd:double"&gt;71.63&lt;/D&gt;&lt;D xsi:type="xsd:double"&gt;73.3&lt;/D&gt;&lt;D xsi:type="xsd:double"&gt;71.79&lt;/D&gt;&lt;D xsi:type="xsd:double"&gt;67.83&lt;/D&gt;&lt;D xsi:type="xsd:double"&gt;63.59&lt;/D&gt;&lt;D xsi:type="xsd:double"&gt;60.52&lt;/D&gt;&lt;D xsi:type="xsd:double"&gt;58.69&lt;/D&gt;&lt;D xsi:type="xsd:double"&gt;62.4&lt;/D&gt;&lt;D xsi:type="xsd:double"&gt;52.52&lt;/D&gt;&lt;D xsi:type="xsd:double"&gt;47.99&lt;/D&gt;&lt;D xsi:type="xsd:double"&gt;42.94&lt;/D&gt;&lt;D xsi:type="xsd:double"&gt;45.98&lt;/D&gt;&lt;D xsi:type="xsd:double"&gt;64.08&lt;/D&gt;&lt;D xsi:type="xsd:double"&gt;61.94&lt;/D&gt;&lt;D xsi:type="xsd:double"&gt;65.13&lt;/D&gt;&lt;D xsi:type="xsd:double"&gt;61.44&lt;/D&gt;&lt;D xsi:type="xsd:double"&gt;64.73&lt;/D&gt;&lt;D xsi:type="xsd:double"&gt;64.29&lt;/D&gt;&lt;D xsi:type="xsd:double"&gt;61.52&lt;/D&gt;&lt;D xsi:type="xsd:double"&gt;59.92&lt;/D&gt;&lt;D xsi:type="xsd:double"&gt;59.77&lt;/D&gt;&lt;D xsi:type="xsd:double"&gt;62.73&lt;/D&gt;&lt;D xsi:type="xsd:double"&gt;61.49&lt;/D&gt;&lt;D xsi:type="xsd:double"&gt;61.49&lt;/D&gt;&lt;/FQL&gt;&lt;FQL&gt;&lt;Q&gt;JD^P_LOCAL_INDEX&lt;/Q&gt;&lt;R&gt;1&lt;/R&gt;&lt;C&gt;1&lt;/C&gt;&lt;D xsi:type="xsd:string"&gt;SP50&lt;/D&gt;&lt;/FQL&gt;&lt;FQL&gt;&lt;Q&gt;JD^FG_VOLUME(0/0/-1,NOW,D,SPLIT)&lt;/Q&gt;&lt;R&gt;245&lt;/R&gt;&lt;C&gt;1&lt;/C&gt;&lt;D xsi:type="xsd:double"&gt;7.102211&lt;/D&gt;&lt;D xsi:type="xsd:double"&gt;10.1406&lt;/D&gt;&lt;D xsi:type="xsd:double"&gt;11.9091&lt;/D&gt;&lt;D xsi:type="xsd:string"&gt;@NA&lt;/D&gt;&lt;D xsi:type="xsd:double"&gt;8.909481&lt;/D&gt;&lt;D xsi:type="xsd:double"&gt;9.445156&lt;/D&gt;&lt;D xsi:type="xsd:double"&gt;6.65182&lt;/D&gt;&lt;D xsi:type="xsd:double"&gt;8.313427&lt;/D&gt;&lt;D xsi:type="xsd:double"&gt;14.30254&lt;/D&gt;&lt;D xsi:type="xsd:double"&gt;12.51154&lt;/D&gt;&lt;D xsi:type="xsd:double"&gt;8.603738&lt;/D&gt;&lt;D xsi:type="xsd:double"&gt;8.614366&lt;/D&gt;&lt;D xsi:type="xsd:double"&gt;13.89161&lt;/D&gt;&lt;D xsi:type="xsd:double"&gt;9.509046&lt;/D&gt;&lt;D xsi:type="xsd:double"&gt;15.55075&lt;/D&gt;&lt;D xsi:type="xsd:double"&gt;10.83353&lt;/D&gt;&lt;D xsi:type="xsd:double"&gt;9.508967&lt;/D&gt;&lt;D xsi:type="xsd:double"&gt;9.587386&lt;/D&gt;&lt;D xsi:type="xsd:double"&gt;12.23862&lt;/D&gt;&lt;D xsi:type="xsd:double"&gt;11.83405&lt;/D&gt;&lt;D xsi:type="xsd:double"&gt;7.035546&lt;/D&gt;&lt;D xsi:type="xsd:double"&gt;7.32734&lt;/D&gt;&lt;D xsi:type="xsd:double"&gt;6.386928&lt;/D&gt;&lt;D xsi:type="xsd:double"&gt;8.142913&lt;/D&gt;&lt;D xsi:type="xsd:double"&gt;7.808512&lt;/D&gt;&lt;D xsi:type="xsd:double"&gt;16.60201&lt;/D&gt;&lt;D xsi:type="xsd:double"&gt;10.50722&lt;/D&gt;&lt;D xsi:type="xsd:double"&gt;8.704053&lt;/D&gt;&lt;D xsi:type="xsd:double"&gt;34.600006&lt;/D&gt;&lt;D xsi:type="xsd:double"&gt;19.3667&lt;/D&gt;&lt;D xsi:type="xsd:double"&gt;11.87467&lt;/D&gt;&lt;D xsi:type="xsd:double"&gt;12.59403&lt;/D&gt;&lt;D xsi:type="xsd:double"&gt;15.6178&lt;/D&gt;&lt;D xsi:type="xsd:double"&gt;18.38454&lt;/D&gt;&lt;D xsi:type="xsd:double"&gt;10.65772&lt;/D&gt;&lt;D xsi:type="xsd:double"&gt;8.579512&lt;/D&gt;&lt;D xsi:type="xsd:double"&gt;9.398954&lt;/D&gt;&lt;D xsi:type="xsd:double"&gt;6.598702&lt;/D&gt;&lt;D xsi:type="xsd:double"&gt;9.926226&lt;/D&gt;&lt;D xsi:type="xsd:double"&gt;7.876436&lt;/D&gt;&lt;D xsi:type="xsd:string"&gt;@NA&lt;/D&gt;&lt;D xsi:type="xsd:double"&gt;21.29213&lt;/D&gt;&lt;D xsi:type="xsd:double"&gt;9.419916&lt;/D&gt;&lt;D xsi:type="xsd:double"&gt;12.02768&lt;/D&gt;&lt;D xsi:type="xsd:double"&gt;8.264643&lt;/D&gt;&lt;D xsi:type="xsd:double"&gt;8.419478&lt;/D&gt;&lt;D xsi:type="xsd:double"&gt;8.902747&lt;/D&gt;&lt;D xsi:type="xsd:double"&gt;7.421482&lt;/D&gt;&lt;D xsi:type="xsd:double"&gt;9.47661&lt;/D&gt;&lt;D xsi:type="xsd:double"&gt;11.38708&lt;/D&gt;&lt;D xsi:type="xsd:double"&gt;8.45556&lt;/D&gt;&lt;D xsi:type="xsd:double"&gt;12.30648&lt;/D&gt;&lt;D xsi:type="xsd:double"&gt;12.894&lt;/D&gt;&lt;D xsi:type="xsd:double"&gt;27.66653&lt;/D&gt;&lt;D xsi:type="xsd:double"&gt;8.410114&lt;/D&gt;&lt;D xsi:type="xsd:double"&gt;10.25039&lt;/D&gt;&lt;D xsi:type="xsd:double"&gt;7.976604&lt;/D&gt;&lt;D xsi:type="xsd:double"&gt;9.80007&lt;/D&gt;&lt;D xsi:type="xsd:double"&gt;16.60447&lt;/D&gt;&lt;D xsi:type="xsd:double"&gt;8.378976&lt;/D&gt;&lt;D xsi:type="xsd:double"&gt;11.87644&lt;/D&gt;&lt;D xsi:type="xsd:double"&gt;11.26397&lt;/D&gt;&lt;D xsi:type="xsd:double"&gt;11.11665&lt;/D&gt;&lt;D xsi:type="xsd:double"&gt;8.016401&lt;/D&gt;&lt;D xsi:type="xsd:string"&gt;@NA&lt;/D&gt;&lt;D xsi:type="xsd:double"&gt;15.59127&lt;/D&gt;&lt;D xsi:type="xsd:double"&gt;10.45951&lt;/D&gt;&lt;D xsi:type="xsd:double"&gt;11.91878&lt;/D&gt;&lt;D xsi:type="xsd:double"&gt;11.20542&lt;/D&gt;&lt;D xsi:type="xsd:double"&gt;5.664117&lt;/D&gt;&lt;D xsi:type="xsd:double"&gt;15.41283&lt;/D&gt;&lt;D xsi:type="xsd:double"&gt;9.620573&lt;/D&gt;&lt;D xsi:type="xsd:double"&gt;9.169867&lt;/D&gt;&lt;D xsi:type="xsd:double"&gt;6.527675&lt;/D&gt;&lt;D xsi:type="xsd:double"&gt;9.476921&lt;/D&gt;&lt;D xsi:type="xsd:double"&gt;6.612382&lt;/D&gt;&lt;D xsi:type="xsd:double"&gt;6.17602&lt;/D&gt;&lt;D xsi:type="xsd:double"&gt;4.531898&lt;/D&gt;&lt;D xsi:type="xsd:double"&gt;20.29002&lt;/D&gt;&lt;D xsi:type="xsd:double"&gt;39.96756&lt;/D&gt;&lt;D xsi:type="xsd:double"&gt;44.22916&lt;/D&gt;&lt;D xsi:type="xsd:double"&gt;33.62872&lt;/D&gt;&lt;D xsi:type="xsd:double"&gt;17.06503&lt;/D&gt;&lt;D xsi:type="xsd:double"&gt;9.947957&lt;/D&gt;&lt;D xsi:type="xsd:double"&gt;8.422528&lt;/D&gt;&lt;D xsi:type="xsd:double"&gt;8.509517&lt;/D&gt;&lt;D xsi:type="xsd:double"&gt;8.074923&lt;/D&gt;&lt;D xsi:type="xsd:double"&gt;7.485547&lt;/D&gt;&lt;D xsi:type="xsd:double"&gt;6.977587&lt;/D&gt;&lt;D xsi:type="xsd:double"&gt;6.342002&lt;/D&gt;&lt;D xsi:type="xsd:double"&gt;5.195324&lt;/D&gt;&lt;D xsi:type="xsd:double"&gt;5.674238&lt;/D&gt;&lt;D xsi:type="xsd:double"&gt;5.78382&lt;/D&gt;&lt;D xsi:type="xsd:double"&gt;5.630593&lt;/D&gt;&lt;D xsi:type="xsd:double"&gt;12.50281&lt;/D&gt;&lt;D xsi:type="xsd:double"&gt;13.38599&lt;/D&gt;&lt;D xsi:type="xsd:double"&gt;9.352488&lt;/D&gt;&lt;D xsi:type="xsd:double"&gt;16.72476&lt;/D&gt;&lt;D xsi:type="xsd:double"&gt;14.98685&lt;/D&gt;&lt;D xsi:type="xsd:double"&gt;19.78276&lt;/D&gt;&lt;D xsi:type="xsd:double"&gt;35.95469&lt;/D&gt;&lt;D xsi:type="xsd:double"&gt;11.31188&lt;/D&gt;&lt;D xsi:type="xsd:double"&gt;11.58111&lt;/D&gt;&lt;D xsi:type="xsd:double"&gt;12.96955&lt;/D&gt;&lt;D xsi:type="xsd:double"&gt;7.979903&lt;/D&gt;&lt;D xsi:type="xsd:double"&gt;13.04441&lt;/D&gt;&lt;D xsi:type="xsd:double"&gt;12.06146&lt;/D&gt;&lt;D xsi:type="xsd:double"&gt;9.906151&lt;/D&gt;&lt;D xsi:type="xsd:double"&gt;8.507041&lt;/D&gt;&lt;D xsi:type="xsd:string"&gt;@NA&lt;/D&gt;&lt;D xsi:type="xsd:double"&gt;19.34413&lt;/D&gt;&lt;D xsi:type="xsd:double"&gt;7.158622&lt;/D&gt;&lt;D xsi:type="xsd:double"&gt;9.719349&lt;/D&gt;&lt;D xsi:type="xsd:double"&gt;8.229947&lt;/D&gt;&lt;D xsi:type="xsd:double"&gt;7.567679&lt;/D&gt;&lt;D xsi:type="xsd:double"&gt;11.32503&lt;/D&gt;&lt;D xsi:type="xsd:double"&gt;10.90163&lt;/D&gt;&lt;D xsi:type="xsd:double"&gt;7.989437&lt;/D&gt;&lt;D xsi:type="xsd:double"&gt;9.779545&lt;/D&gt;&lt;D xsi:type="xsd:double"&gt;7.788362&lt;/D&gt;&lt;D xsi:type="xsd:double"&gt;4.93146&lt;/D&gt;&lt;D xsi:type="xsd:double"&gt;6.085782&lt;/D&gt;&lt;D xsi:type="xsd:double"&gt;7.938996&lt;/D&gt;&lt;D xsi:type="xsd:double"&gt;11.18538&lt;/D&gt;&lt;D xsi:type="xsd:double"&gt;12.04524&lt;/D&gt;&lt;D xsi:type="xsd:double"&gt;7.134269&lt;/D&gt;&lt;D xsi:type="xsd:double"&gt;11.56328&lt;/D&gt;&lt;D xsi:type="xsd:double"&gt;10.27027&lt;/D&gt;&lt;D xsi:type="xsd:double"&gt;8.772753&lt;/D&gt;&lt;D xsi:type="xsd:double"&gt;9.579548&lt;/D&gt;&lt;D xsi:type="xsd:double"&gt;7.895681&lt;/D&gt;&lt;D xsi:type="xsd:double"&gt;8.360972&lt;/D&gt;&lt;D xsi:type="xsd:double"&gt;6.106603&lt;/D&gt;&lt;D xsi:type="xsd:double"&gt;11.38385&lt;/D&gt;&lt;D xsi:type="xsd:double"&gt;9.831278&lt;/D&gt;&lt;D xsi:type="xsd:double"&gt;6.718708&lt;/D&gt;&lt;D xsi:type="xsd:double"&gt;5.852466&lt;/D&gt;&lt;D xsi:type="xsd:double"&gt;5.129227&lt;/D&gt;&lt;D xsi:type="xsd:double"&gt;6.447767&lt;/D&gt;&lt;D xsi:type="xsd:double"&gt;5.779849&lt;/D&gt;&lt;D xsi:type="xsd:double"&gt;4.468662&lt;/D&gt;&lt;D xsi:type="xsd:double"&gt;8.080133&lt;/D&gt;&lt;D xsi:type="xsd:double"&gt;6.063625&lt;/D&gt;&lt;D xsi:type="xsd:double"&gt;6.083705&lt;/D&gt;&lt;D xsi:type="xsd:double"&gt;5.520253&lt;/D&gt;&lt;D xsi:type="xsd:double"&gt;6.799745&lt;/D&gt;&lt;D xsi:type="xsd:double"&gt;5.704234&lt;/D&gt;&lt;D xsi:type="xsd:double"&gt;6.595199&lt;/D&gt;&lt;D xsi:type="xsd:double"&gt;5.2502&lt;/D&gt;&lt;D xsi:type="xsd:double"&gt;8.36711&lt;/D&gt;&lt;D xsi:type="xsd:double"&gt;15.63726&lt;/D&gt;&lt;D xsi:type="xsd:double"&gt;9.315097&lt;/D&gt;&lt;D xsi:type="xsd:double"&gt;7.317918&lt;/D&gt;&lt;D xsi:type="xsd:double"&gt;9.06469&lt;/D&gt;&lt;D xsi:type="xsd:double"&gt;7.427147&lt;/D&gt;&lt;D xsi:type="xsd:double"&gt;19.31872&lt;/D&gt;&lt;D xsi:type="xsd:double"&gt;15.1839&lt;/D&gt;&lt;D xsi:type="xsd:double"&gt;12.30157&lt;/D&gt;&lt;D xsi:type="xsd:double"&gt;11.90336&lt;/D&gt;&lt;D xsi:type="xsd:double"&gt;6.977328&lt;/D&gt;&lt;D xsi:type="xsd:string"&gt;@NA&lt;/D&gt;&lt;D xsi:type="xsd:double"&gt;8.311022&lt;/D&gt;&lt;D xsi:type="xsd:double"&gt;9.475248&lt;/D&gt;&lt;D xsi:type="xsd:double"&gt;14.60836&lt;/D&gt;&lt;D xsi:type="xsd:double"&gt;8.963097&lt;/D&gt;&lt;D xsi:type="xsd:double"&gt;10.69533&lt;/D&gt;&lt;D xsi:type="xsd:double"&gt;20.65693&lt;/D&gt;&lt;D xsi:type="xsd:double"&gt;22.19176&lt;/D&gt;&lt;D xsi:type="xsd:double"&gt;14.54843&lt;/D&gt;&lt;D xsi:type="xsd:double"&gt;11.27031&lt;/D&gt;&lt;D xsi:type="xsd:double"&gt;7.49832&lt;/D&gt;&lt;D xsi:type="xsd:double"&gt;10.62483&lt;/D&gt;&lt;D xsi:type="xsd:double"&gt;6.05947&lt;/D&gt;&lt;D xsi:type="xsd:double"&gt;5.595971&lt;/D&gt;&lt;D xsi:type="xsd:double"&gt;14.82151&lt;/D&gt;&lt;D xsi:type="xsd:double"&gt;7.849844&lt;/D&gt;&lt;D xsi:type="xsd:double"&gt;13.13054&lt;/D&gt;&lt;D xsi:type="xsd:double"&gt;10.71484&lt;/D&gt;&lt;D xsi:type="xsd:double"&gt;9.822844&lt;/D&gt;&lt;D xsi:type="xsd:double"&gt;9.264729&lt;/D&gt;&lt;D xsi:type="xsd:double"&gt;26.52902&lt;/D&gt;&lt;D xsi:type="xsd:string"&gt;@NA&lt;/D&gt;&lt;D xsi:type="xsd:double"&gt;7.691903&lt;/D&gt;&lt;D xsi:type="xsd:double"&gt;9.263487&lt;/D&gt;&lt;D xsi:type="xsd:double"&gt;6.469254&lt;/D&gt;&lt;D xsi:type="xsd:double"&gt;13.90263&lt;/D&gt;&lt;D xsi:type="xsd:double"&gt;5.446238&lt;/D&gt;&lt;D xsi:type="xsd:double"&gt;19.98982&lt;/D&gt;&lt;D xsi:type="xsd:double"&gt;19.18811&lt;/D&gt;&lt;D xsi:type="xsd:double"&gt;12.96537&lt;/D&gt;&lt;D xsi:type="xsd:double"&gt;13.00826&lt;/D&gt;&lt;D xsi:type="xsd:double"&gt;15.80419&lt;/D&gt;&lt;D xsi:type="xsd:double"&gt;27.3756&lt;/D&gt;&lt;D xsi:type="xsd:double"&gt;12.93959&lt;/D&gt;&lt;D xsi:type="xsd:double"&gt;12.50423&lt;/D&gt;&lt;D xsi:type="xsd:double"&gt;12.7831&lt;/D&gt;&lt;D xsi:type="xsd:string"&gt;@NA&lt;/D&gt;&lt;D xsi:type="xsd:double"&gt;10.21382&lt;/D&gt;&lt;D xsi:type="xsd:double"&gt;6.318328&lt;/D&gt;&lt;D xsi:type="xsd:double"&gt;26.21826&lt;/D&gt;&lt;D xsi:type="xsd:double"&gt;14.4405&lt;/D&gt;&lt;D xsi:type="xsd:double"&gt;15.5034&lt;/D&gt;&lt;D xsi:type="xsd:double"&gt;7.291178&lt;/D&gt;&lt;D xsi:type="xsd:double"&gt;9.546074&lt;/D&gt;&lt;D xsi:type="xsd:double"&gt;13.13708&lt;/D&gt;&lt;D xsi:type="xsd:double"&gt;9.026547&lt;/D&gt;&lt;D xsi:type="xsd:double"&gt;6.135832&lt;/D&gt;&lt;D xsi:type="xsd:double"&gt;7.903249&lt;/D&gt;&lt;D xsi:type="xsd:double"&gt;7.061571&lt;/D&gt;&lt;D xsi:type="xsd:double"&gt;6.432184&lt;/D&gt;&lt;D xsi:type="xsd:double"&gt;6.673354&lt;/D&gt;&lt;D xsi:type="xsd:double"&gt;5.244967&lt;/D&gt;&lt;D xsi:type="xsd:double"&gt;6.766205&lt;/D&gt;&lt;D xsi:type="xsd:double"&gt;6.20116&lt;/D&gt;&lt;D xsi:type="xsd:double"&gt;5.944452&lt;/D&gt;&lt;D xsi:type="xsd:double"&gt;8.913822&lt;/D&gt;&lt;D xsi:type="xsd:string"&gt;@NA&lt;/D&gt;&lt;D xsi:type="xsd:double"&gt;8.539445&lt;/D&gt;&lt;D xsi:type="xsd:double"&gt;9.412824&lt;/D&gt;&lt;D xsi:type="xsd:double"&gt;10.30709&lt;/D&gt;&lt;D xsi:type="xsd:double"&gt;6.711319&lt;/D&gt;&lt;D xsi:type="xsd:double"&gt;6.469842&lt;/D&gt;&lt;D xsi:type="xsd:double"&gt;8.89576&lt;/D&gt;&lt;D xsi:type="xsd:double"&gt;4.990926&lt;/D&gt;&lt;D xsi:type="xsd:double"&gt;16.44839&lt;/D&gt;&lt;D xsi:type="xsd:double"&gt;15.96782&lt;/D&gt;&lt;D xsi:type="xsd:double"&gt;15.69678&lt;/D&gt;&lt;D xsi:type="xsd:double"&gt;11.86944&lt;/D&gt;&lt;D xsi:type="xsd:double"&gt;9.487275&lt;/D&gt;&lt;D xsi:type="xsd:double"&gt;55.34814&lt;/D&gt;&lt;D xsi:type="xsd:double"&gt;32.96304&lt;/D&gt;&lt;D xsi:type="xsd:double"&gt;47.47733&lt;/D&gt;&lt;D xsi:type="xsd:double"&gt;39.19454&lt;/D&gt;&lt;D xsi:type="xsd:double"&gt;60.08131&lt;/D&gt;&lt;D xsi:type="xsd:double"&gt;25.85408&lt;/D&gt;&lt;D xsi:type="xsd:double"&gt;46.3441&lt;/D&gt;&lt;D xsi:type="xsd:double"&gt;19.69858&lt;/D&gt;&lt;D xsi:type="xsd:double"&gt;19.03855&lt;/D&gt;&lt;D xsi:type="xsd:double"&gt;23.6264&lt;/D&gt;&lt;D xsi:type="xsd:double"&gt;20.64091&lt;/D&gt;&lt;D xsi:type="xsd:double"&gt;16.01403&lt;/D&gt;&lt;D xsi:type="xsd:double"&gt;18.14596&lt;/D&gt;&lt;D xsi:type="xsd:double"&gt;13.14416&lt;/D&gt;&lt;D xsi:type="xsd:double"&gt;10.68729&lt;/D&gt;&lt;D xsi:type="xsd:string"&gt;@NA&lt;/D&gt;&lt;/FQL&gt;&lt;FQL&gt;&lt;Q&gt;JD^P_PRICE(NOW)&lt;/Q&gt;&lt;R&gt;1&lt;/R&gt;&lt;C&gt;1&lt;/C&gt;&lt;D xsi:type="xsd:double"&gt;61.49&lt;/D&gt;&lt;/FQL&gt;&lt;FQL&gt;&lt;Q&gt;JD^P_PRICE_HIGH(-52AW,0,,,,"PRICE","INTRA")&lt;/Q&gt;&lt;R&gt;1&lt;/R&gt;&lt;C&gt;1&lt;/C&gt;&lt;D xsi:type="xsd:double"&gt;92.69&lt;/D&gt;&lt;/FQL&gt;&lt;FQL&gt;&lt;Q&gt;JD^P_PRICE_LOW(-52AW,0,,,,"PRICE","INTRA")&lt;/Q&gt;&lt;R&gt;1&lt;/R&gt;&lt;C&gt;1&lt;/C&gt;&lt;D xsi:type="xsd:double"&gt;41.56&lt;/D&gt;&lt;/FQL&gt;&lt;FQL&gt;&lt;Q&gt;JD^P_PRICE_CHANGE(0CY,NOW,RANGE)/100&lt;/Q&gt;&lt;R&gt;1&lt;/R&gt;&lt;C&gt;1&lt;/C&gt;&lt;D xsi:type="xsd:double"&gt;-0.12244898&lt;/D&gt;&lt;/FQL&gt;&lt;FQL&gt;&lt;Q&gt;JD^P_PRICE_CHANGE(-1AY,NOW,RANGE)/100&lt;/Q&gt;&lt;R&gt;1&lt;/R&gt;&lt;C&gt;1&lt;/C&gt;&lt;D xsi:type="xsd:double"&gt;-0.25915658&lt;/D&gt;&lt;/FQL&gt;&lt;FQL&gt;&lt;Q&gt;JD^BETA("SP50",-60AM,0,AM)&lt;/Q&gt;&lt;R&gt;1&lt;/R&gt;&lt;C&gt;1&lt;/C&gt;&lt;D xsi:type="xsd:double"&gt;0.70359516&lt;/D&gt;&lt;/FQL&gt;&lt;FQL&gt;&lt;Q&gt;JD^FF_FISCAL_DATE(ANN,-4FY,,,RP,"DATEM")&lt;/Q&gt;&lt;R&gt;1&lt;/R&gt;&lt;C&gt;1&lt;/C&gt;&lt;D xsi:type="xsd:string"&gt;12/2017&lt;/D&gt;&lt;/FQL&gt;&lt;FQL&gt;&lt;Q&gt;JD^FF_FISCAL_DATE(ANN,-3FY,,,RP,"DATEM")&lt;/Q&gt;&lt;R&gt;1&lt;/R&gt;&lt;C&gt;1&lt;/C&gt;&lt;D xsi:type="xsd:string"&gt;12/2018&lt;/D&gt;&lt;/FQL&gt;&lt;FQL&gt;&lt;Q&gt;JD^FF_FISCAL_DATE(ANN,-2FY,,,RP,"DATEM")&lt;/Q&gt;&lt;R&gt;1&lt;/R&gt;&lt;C&gt;1&lt;/C&gt;&lt;D xsi:type="xsd:string"&gt;12/2019&lt;/D&gt;&lt;/FQL&gt;&lt;FQL&gt;&lt;Q&gt;JD^FF_FISCAL_DATE(ANN,-1FY,,,RP,"DATEM")&lt;/Q&gt;&lt;R&gt;1&lt;/R&gt;&lt;C&gt;1&lt;/C&gt;&lt;D xsi:type="xsd:string"&gt;12/2020&lt;/D&gt;&lt;/FQL&gt;&lt;FQL&gt;&lt;Q&gt;JD^FF_</t>
        </r>
      </text>
    </commen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FISCAL_DATE(ANN,0FY,,,RP,"DATEM")&lt;/Q&gt;&lt;R&gt;1&lt;/R&gt;&lt;C&gt;1&lt;/C&gt;&lt;D xsi:type="xsd:string"&gt;12/2021&lt;/D&gt;&lt;/FQL&gt;&lt;FQL&gt;&lt;Q&gt;JD^FF_FISCAL_DATE(QTR,0,,,RP,"DATEM")@FF_FISCAL_DATE(SEMI,0,,,RP,"DATEM")&lt;/Q&gt;&lt;R&gt;1&lt;/R&gt;&lt;C&gt;1&lt;/C&gt;&lt;D xsi:type="xsd:string"&gt;12/2021&lt;/D&gt;&lt;/FQL&gt;&lt;FQL&gt;&lt;Q&gt;JD^FF_SALES(LTM,0)@FF_SALES(LTM_SEMI,0)&lt;/Q&gt;&lt;R&gt;1&lt;/R&gt;&lt;C&gt;1&lt;/C&gt;&lt;D xsi:type="xsd:double"&gt;147625.578788965&lt;/D&gt;&lt;/FQL&gt;&lt;FQL&gt;&lt;Q&gt;JD^FF_COGS(LTM,0)@FF_COGS(LTM_SEMI,0)&lt;/Q&gt;&lt;R&gt;1&lt;/R&gt;&lt;C&gt;1&lt;/C&gt;&lt;D xsi:type="xsd:double"&gt;127835.032106131&lt;/D&gt;&lt;/FQL&gt;&lt;FQL&gt;&lt;Q&gt;JD^FF_SGA(LTM,0)@FF_SGA(LTM_SEMI,0)&lt;/Q&gt;&lt;R&gt;1&lt;/R&gt;&lt;C&gt;1&lt;/C&gt;&lt;D xsi:type="xsd:double"&gt;19270.0649917947&lt;/D&gt;&lt;/FQL&gt;&lt;FQL&gt;&lt;Q&gt;JD^FF_EBITDA_OPER(LTM,0)@FF_EBITDA_OPER(LTM_SEMI,0)&lt;/Q&gt;&lt;R&gt;1&lt;/R&gt;&lt;C&gt;1&lt;/C&gt;&lt;D xsi:type="xsd:double"&gt;1451.19569&lt;/D&gt;&lt;/FQL&gt;&lt;FQL&gt;&lt;Q&gt;JD^FF_EBIT_OPER(LTM,0)@FF_EBIT_OPER(LTM_SEMI,0)&lt;/Q&gt;&lt;R&gt;1&lt;/R&gt;&lt;C&gt;1&lt;/C&gt;&lt;D xsi:type="xsd:double"&gt;520.48169&lt;/D&gt;&lt;/FQL&gt;&lt;FQL&gt;&lt;Q&gt;JD^FF_INT_EXP_NET(ANN,-4FY,,,RP)&lt;/Q&gt;&lt;R&gt;1&lt;/R&gt;&lt;C&gt;1&lt;/C&gt;&lt;D xsi:type="xsd:double"&gt;142.602904351289&lt;/D&gt;&lt;/FQL&gt;&lt;FQL&gt;&lt;Q&gt;JD^FF_INT_EXP_NET(ANN,-3FY,,,RP)&lt;/Q&gt;&lt;R&gt;1&lt;/R&gt;&lt;C&gt;1&lt;/C&gt;&lt;D xsi:type="xsd:double"&gt;129.142587024631&lt;/D&gt;&lt;/FQL&gt;&lt;FQL&gt;&lt;Q&gt;JD^FF_INT_EXP_NET(ANN,-2FY,,,RP)&lt;/Q&gt;&lt;R&gt;1&lt;/R&gt;&lt;C&gt;1&lt;/C&gt;&lt;D xsi:type="xsd:double"&gt;104.924059419686&lt;/D&gt;&lt;/FQL&gt;&lt;FQL&gt;&lt;Q&gt;JD^FF_INT_EXP_NET(ANN,-1FY,,,RP)&lt;/Q&gt;&lt;R&gt;1&lt;/R&gt;&lt;C&gt;1&lt;/C&gt;&lt;D xsi:type="xsd:double"&gt;163.016921888705&lt;/D&gt;&lt;/FQL&gt;&lt;FQL&gt;&lt;Q&gt;JD^FF_INT_EXP_NET(ANN,0FY,,,RP)&lt;/Q&gt;&lt;R&gt;1&lt;/R&gt;&lt;C&gt;1&lt;/C&gt;&lt;D xsi:type="xsd:double"&gt;188.151276970004&lt;/D&gt;&lt;/FQL&gt;&lt;FQL&gt;&lt;Q&gt;JD^FF_INT_EXP_NET(LTM,0)&lt;/Q&gt;&lt;R&gt;1&lt;/R&gt;&lt;C&gt;1&lt;/C&gt;&lt;D xsi:type="xsd:double"&gt;188.398800021067&lt;/D&gt;&lt;/FQL&gt;&lt;FQL&gt;&lt;Q&gt;JD^FF_PTX_INC(ANN,-4FY,0FY,,RP)&lt;/Q&gt;&lt;R&gt;5&lt;/R&gt;&lt;C&gt;1&lt;/C&gt;&lt;D xsi:type="xsd:double"&gt;302.990961462764&lt;/D&gt;&lt;D xsi:type="xsd:double"&gt;-190.504879073137&lt;/D&gt;&lt;D xsi:type="xsd:double"&gt;2233.15131489824&lt;/D&gt;&lt;D xsi:type="xsd:double"&gt;6740.92410565728&lt;/D&gt;&lt;D xsi:type="xsd:double"&gt;362.403961891882&lt;/D&gt;&lt;/FQL&gt;&lt;FQL&gt;&lt;Q&gt;JD^FF_PTX_INC(LTM,0)@FF_PTX_INC(LTM_SEMI,0)&lt;/Q&gt;&lt;R&gt;1&lt;/R&gt;&lt;C&gt;1&lt;/C&gt;&lt;D xsi:type="xsd:double"&gt;359.031037243975&lt;/D&gt;&lt;/FQL&gt;&lt;FQL&gt;&lt;Q&gt;JD^FF_NET_INC(LTM,0)@FF_NET_INC(LTM_SEMI,0)&lt;/Q&gt;&lt;R&gt;1&lt;/R&gt;&lt;C&gt;1&lt;/C&gt;&lt;D xsi:type="xsd:double"&gt;-560.353792169055&lt;/D&gt;&lt;/FQL&gt;&lt;FQL&gt;&lt;Q&gt;JD^FF_EPS_DIL(LTM,0)@FF_EPS_DIL(LTM_SEMI,0)&lt;/Q&gt;&lt;R&gt;1&lt;/R&gt;&lt;C&gt;1&lt;/C&gt;&lt;D xsi:type="xsd:double"&gt;-0.3732&lt;/D&gt;&lt;/FQL&gt;&lt;FQL&gt;&lt;Q&gt;JD^FF_COM_SHS_OUT(ANN,-4FY,,,RP)&lt;/Q&gt;&lt;R&gt;1&lt;/R&gt;&lt;C&gt;1&lt;/C&gt;&lt;D xsi:type="xsd:double"&gt;1329.5005&lt;/D&gt;&lt;/FQL&gt;&lt;FQL&gt;&lt;Q&gt;JD^FF_COM_SHS_OUT(ANN,-3FY,,,RP)&lt;/Q&gt;&lt;R&gt;1&lt;/R&gt;&lt;C&gt;1&lt;/C&gt;&lt;D xsi:type="xsd:double"&gt;1329.5005&lt;/D&gt;&lt;/FQL&gt;&lt;FQL&gt;&lt;Q&gt;JD^FF_COM_SHS_OUT(ANN,-2FY,,,RP)&lt;/Q&gt;&lt;R&gt;1&lt;/R&gt;&lt;C&gt;1&lt;/C&gt;&lt;D xsi:type="xsd:double"&gt;1329.5005&lt;/D&gt;&lt;/FQL&gt;&lt;FQL&gt;&lt;Q&gt;JD^FF_COM_SHS_OUT(ANN,-1FY,,,RP)&lt;/Q&gt;&lt;R&gt;1&lt;/R&gt;&lt;C&gt;1&lt;/C&gt;&lt;D xsi:type="xsd:double"&gt;1339.4565&lt;/D&gt;&lt;/FQL&gt;&lt;FQL&gt;&lt;Q&gt;JD^FF_COM_SHS_OUT(ANN,0FY,,,RP)&lt;/Q&gt;&lt;R&gt;0&lt;/R&gt;&lt;C&gt;0&lt;/C&gt;&lt;/FQL&gt;&lt;FQL&gt;&lt;Q&gt;JD^FF_COM_SHS_OUT(LTM,0)&lt;/Q&gt;&lt;R&gt;0&lt;/R&gt;&lt;C&gt;0&lt;/C&gt;&lt;/FQL&gt;&lt;FQL&gt;&lt;Q&gt;JD^FF_CAPEX(ANN,-4FY,0FY,,RP)&lt;/Q&gt;&lt;R&gt;5&lt;/R&gt;&lt;C&gt;1&lt;/C&gt;&lt;D xsi:type="xsd:double"&gt;1680.3052647391&lt;/D&gt;&lt;D xsi:type="xsd:double"&gt;3229.47807887693&lt;/D&gt;&lt;D xsi:type="xsd:double"&gt;1302.42855375916&lt;/D&gt;&lt;D xsi:type="xsd:double"&gt;1804.76253702638&lt;/D&gt;&lt;D xsi:type="xsd:string"&gt;@NA&lt;/D&gt;&lt;/FQL&gt;&lt;FQL&gt;&lt;Q&gt;JD^FF_CAPEX(LTM,0)@FF_CAPEX(LTM_SEMI,0)&lt;/Q&gt;&lt;R&gt;0&lt;/R&gt;&lt;C&gt;0&lt;/C&gt;&lt;/FQL&gt;&lt;FQL&gt;&lt;Q&gt;JD^FF_FISCAL_DATE(LTM,0,,,RP,"DATEM")&lt;/Q&gt;&lt;R&gt;1&lt;/R&gt;&lt;C&gt;1&lt;/C&gt;&lt;D xsi:type="xsd:string"&gt;12/2021&lt;/D&gt;&lt;/FQL&gt;&lt;FQL&gt;&lt;Q&gt;JD^FF_CASH_ST(ANN,-4FY,0FY,,RP)&lt;/Q&gt;&lt;R&gt;5&lt;/R&gt;&lt;C&gt;1&lt;/C&gt;&lt;D xsi:type="xsd:double"&gt;5894.71575552839&lt;/D&gt;&lt;D xsi:type="xsd:double"&gt;5758.71841181538&lt;/D&gt;&lt;D xsi:type="xsd:double"&gt;9261.81948691462&lt;/D&gt;&lt;D xsi:type="xsd:double"&gt;23104.1339184688&lt;/D&gt;&lt;D xsi:type="xsd:double"&gt;30008.7577176847&lt;/D&gt;&lt;/FQL&gt;&lt;FQL&gt;&lt;Q&gt;JD^FF_CASH_ST(QTR,0)@FF_CASH_ST(SEMI,0)&lt;/Q&gt;&lt;R&gt;1&lt;/R&gt;&lt;C&gt;1&lt;/C&gt;&lt;D xsi:type="xsd:double"&gt;30008.7577176847&lt;/D&gt;&lt;/FQL&gt;&lt;FQL&gt;&lt;Q&gt;JD^FF_RECEIV_TOT(QTR,0,,,RP)@FF_RECEIV_TOT(SEMI,0,,,RP)&lt;/Q&gt;&lt;R&gt;1&lt;/R&gt;&lt;C&gt;1&lt;/C&gt;&lt;D xsi:type="xsd:double"&gt;2730.06095695365&lt;/D&gt;&lt;/FQL&gt;&lt;FQL&gt;&lt;Q&gt;JD^FF_INVEN(ANN,-3FY,,,RP)&lt;/Q&gt;&lt;R&gt;1&lt;/R&gt;&lt;C&gt;1&lt;/C&gt;&lt;D xsi:type="xsd:double"&gt;6482.54263949793&lt;/D&gt;&lt;/FQL&gt;&lt;FQL&gt;&lt;Q&gt;JD^FF_INVEN(ANN,-2FY,,,RP)&lt;/Q&gt;&lt;R&gt;1&lt;/R&gt;&lt;C&gt;1&lt;/C&gt;&lt;D xsi:type="xsd:double"&gt;8401.9245732663&lt;/D&gt;&lt;/FQL&gt;&lt;FQL&gt;&lt;Q&gt;JD^FF_INVEN(ANN,-1FY,,,RP)&lt;/Q&gt;&lt;R&gt;1&lt;/R&gt;&lt;C&gt;1&lt;/C&gt;&lt;D xsi:type="xsd:double"&gt;9587.5182727302&lt;/D&gt;&lt;/FQL&gt;&lt;FQL&gt;&lt;Q&gt;JD^FF_INVEN(ANN,0FY,,,RP)&lt;/Q&gt;&lt;R&gt;1&lt;/R&gt;&lt;C&gt;1&lt;/C&gt;&lt;D xsi:type="xsd:double"&gt;12483.2394266755&lt;/D&gt;&lt;/FQL&gt;&lt;FQL&gt;&lt;Q&gt;JD^FF_INVEN(QTR,0)@FF_INVEN(SEMI,0)&lt;/Q&gt;&lt;R&gt;1&lt;/R&gt;&lt;C&gt;1&lt;/C&gt;&lt;D xsi:type="xsd:double"&gt;12483.2394266755&lt;/D&gt;&lt;/FQL&gt;&lt;FQL&gt;&lt;Q&gt;JD^FF_ASSETS_CURR(ANN,-4FY,0FY,,RP)&lt;/Q&gt;&lt;R&gt;5&lt;/R&gt;&lt;C&gt;1&lt;/C&gt;&lt;D xsi:type="xsd:double"&gt;17664.1050368554&lt;/D&gt;&lt;D xsi:type="xsd:double"&gt;15272.4090770063&lt;/D&gt;&lt;D xsi:type="xsd:double"&gt;19968.4967770651&lt;/D&gt;&lt;D xsi:type="xsd:double"&gt;35903.430991774&lt;/D&gt;&lt;D xsi:type="xsd:double"&gt;47019.4822189287&lt;/D&gt;&lt;/FQL&gt;&lt;FQL&gt;&lt;Q&gt;JD^FF_ASSETS_CURR(QTR,0)@FF_ASSETS_CURR(SEMI,0)&lt;/Q&gt;&lt;R&gt;1&lt;/R&gt;&lt;C&gt;1&lt;/C&gt;&lt;D xsi:type="xsd:double"&gt;47019.4822189287&lt;/D&gt;&lt;/FQL&gt;&lt;FQL&gt;&lt;Q&gt;JD^FF_PPE_NET(ANN,-4FY,0FY,,RP)&lt;/Q&gt;&lt;R&gt;5&lt;/R&gt;&lt;C&gt;1&lt;/C&gt;&lt;D xsi:type="xsd:double"&gt;2421.78961916468&lt;/D&gt;&lt;D xsi:type="xsd:double"&gt;4025.30696068872&lt;/D&gt;&lt;D xsi:type="xsd:double"&gt;5039.54749702121&lt;/D&gt;&lt;D xsi:type="xsd:double"&gt;7031.87528670612&lt;/D&gt;&lt;D xsi:type="xsd:double"&gt;9217.8785097322&lt;/D&gt;&lt;/FQL&gt;&lt;FQL&gt;&lt;Q&gt;JD^FF_PPE_NET(QTR,0)@FF_PPE_NET(SEMI,0)&lt;/Q&gt;&lt;R&gt;1&lt;/R&gt;&lt;C&gt;1&lt;/C&gt;&lt;D xsi:type="xsd:double"&gt;9217.8785097322&lt;/D&gt;&lt;/FQL&gt;&lt;FQL&gt;&lt;Q&gt;JD^FF_ASSETS(QTR,0)&lt;/Q&gt;&lt;R&gt;1&lt;/R&gt;&lt;C&gt;1&lt;/C&gt;&lt;D xsi:type="xsd:double"&gt;77903.5698651439&lt;/D&gt;&lt;/FQL&gt;&lt;FQL&gt;&lt;Q&gt;JD^FF_DEBT_ST(ANN,-4FY,0FY,,RP)&lt;/Q&gt;&lt;R&gt;5&lt;/R&gt;&lt;C&gt;1&lt;/C&gt;&lt;D xsi:type="xsd:double"&gt;2002.00522113027&lt;/D&gt;&lt;D xsi:type="xsd:double"&gt;668.236742065645&lt;/D&gt;&lt;D xsi:type="xsd:double"&gt;516.369926927669&lt;/D&gt;&lt;D xsi:type="xsd:double"&gt;1382.7010000306&lt;/D&gt;&lt;D xsi:type="xsd:double"&gt;1731.03846485762&lt;/D&gt;&lt;/FQL&gt;&lt;FQL&gt;&lt;Q&gt;JD^FF_DEBT_ST(QTR,0)@FF_DEBT_ST(SEMI,0)&lt;/Q&gt;&lt;R&gt;1&lt;/R&gt;&lt;C&gt;1&lt;/C&gt;&lt;D xsi:type="xsd:double"&gt;1731.03846485762&lt;/D&gt;&lt;/FQL&gt;&lt;FQL&gt;&lt;Q&gt;JD^FF_PAY_ACCT(QTR,0)@FF_PAY_ACCT(SEMI,0)&lt;/Q&gt;&lt;R&gt;1&lt;/R&gt;&lt;C&gt;1&lt;/C&gt;&lt;D xsi:type="xsd:double"&gt;22042.4274518117&lt;/D&gt;&lt;/FQL&gt;&lt;FQL&gt;&lt;Q&gt;JD^FF_LIABS_CURR(ANN,-4FY,0FY,,RP)&lt;/Q&gt;&lt;R&gt;5&lt;/R&gt;&lt;C&gt;1&lt;/C&gt;&lt;D xsi:type="xsd:double"&gt;18158.8791461921&lt;/D&gt;&lt;D xsi:type="xsd:double"&gt;17603.7425171508&lt;/D&gt;&lt;D xsi:type="xsd:double"&gt;20100.9261093648&lt;/D&gt;&lt;D xsi:type="xsd:double"&gt;26608.866020368&lt;/D&gt;&lt;D xsi:type="xsd:double"&gt;34775.361466106&lt;/D&gt;&lt;/FQL&gt;&lt;FQL&gt;&lt;Q&gt;JD^FF_LIABS_CURR(QTR,0)@FF_LIABS_CURR(SEMI,0)&lt;/Q&gt;&lt;R&gt;1&lt;/R&gt;&lt;C&gt;1&lt;/C&gt;&lt;D xsi:type="xsd:double"&gt;34775.361466106&lt;/D&gt;&lt;/FQL&gt;&lt;FQL&gt;&lt;Q&gt;JD^FF_DEBT_LT(ANN,-4FY,0FY,,RP)&lt;/Q&gt;&lt;R&gt;5&lt;/R&gt;&lt;C&gt;1&lt;/C&gt;&lt;D xsi:type="xsd:double"&gt;1677.30267199021&lt;/D&gt;&lt;D xsi:type="xsd:double"&gt;1438.24853984302&lt;/D&gt;&lt;D xsi:type="xsd:double"&gt;2235.94843303621&lt;/D&gt;&lt;D xsi:type="xsd:double"&gt;3483.39673996152&lt;/D&gt;&lt;D xsi:type="xsd:double"&gt;3625.52754830673&lt;/D&gt;&lt;/FQL&gt;&lt;FQL&gt;&lt;Q&gt;JD^FF_DEBT_LT(QTR,0)&lt;/Q&gt;&lt;R&gt;1&lt;/R&gt;&lt;C&gt;1&lt;/C&gt;&lt;D xsi:type="xsd:double"&gt;3625.52754830673&lt;/D&gt;&lt;/FQL&gt;&lt;FQL&gt;&lt;Q&gt;JD^FF_LIABS(ANN,-4FY,0FY,,RP)&lt;/Q&gt;&lt;R&gt;5&lt;/R&gt;&lt;C&gt;1&lt;/C&gt;&lt;D xsi:type="xsd:double"&gt;20219.0207309587&lt;/D&gt;&lt;D xsi:type="xsd:double"&gt;19275.0503226186&lt;/D&gt;&lt;D xsi:type="xsd:double"&gt;22840.4141723018&lt;/D&gt;&lt;D xsi:type="xsd:double"&gt;30684.2224532865&lt;/D&gt;&lt;D xsi:type="xsd:double"&gt;39182.3125985561&lt;/D&gt;&lt;/FQL&gt;&lt;FQL&gt;&lt;Q&gt;JD^FF_LIABS(QTR,0)@FF_LIABS(SEMI,0)&lt;/Q&gt;&lt;R&gt;1&lt;/R&gt;&lt;C&gt;1&lt;/C&gt;&lt;D xsi:type="xsd:double"&gt;39182.3125985561&lt;/D&gt;&lt;/FQL&gt;&lt;FQL&gt;&lt;Q&gt;JD^FF_PFD_STK(ANN,-4FY,0FY,,RP)&lt;/Q&gt;&lt;R&gt;5&lt;/R&gt;&lt;C&gt;1&lt;/C&gt;&lt;D xsi:type="xsd:double"&gt;0&lt;/D&gt;&lt;D xsi:type="xsd:double"&gt;0&lt;/D&gt;&lt;D xsi:type="xsd:double"&gt;0&lt;/D&gt;&lt;D xsi:type="xsd:double"&gt;0&lt;/D&gt;&lt;D xsi:type="xsd:double"&gt;0&lt;/D&gt;&lt;/FQL&gt;&lt;FQL&gt;&lt;Q&gt;JD^FF_PFD_STK(QTR,0)@FF_PFD_STK(SEMI,0)&lt;/Q&gt;&lt;R&gt;1&lt;/R&gt;&lt;C&gt;1&lt;/C&gt;&lt;D xsi:type="xsd:double"&gt;0&lt;/D&gt;&lt;/FQL&gt;&lt;FQL&gt;&lt;Q&gt;JD^FF_SHLDRS_EQ(QTR,0)@FF_SHLDRS_EQ(SEMI,0)&lt;/Q&gt;&lt;R&gt;1&lt;/R&gt;&lt;C&gt;1&lt;/C&gt;&lt;D xsi:type="xsd:double"&gt;32778.9393333186&lt;/D&gt;&lt;/FQL&gt;&lt;FQL&gt;&lt;Q&gt;JD^FF_LIABS_SHLDRS_EQ(ANN,-4FY,0FY,,RP)&lt;/Q&gt;&lt;R&gt;5&lt;/R&gt;&lt;C&gt;1&lt;/C&gt;&lt;D xsi:type="xsd:double"&gt;28263.9689803446&lt;/D&gt;&lt;D xsi:type="xsd:double"&gt;30465.1902937799&lt;/D&gt;&lt;D xsi:type="xsd:double"&gt;37286.0881174907&lt;/D&gt;&lt;D xsi:type="xsd:double"&gt;64571.9737606665&lt;/D&gt;&lt;D xsi:type="xsd:double"&gt;77903.5698651439&lt;/D&gt;&lt;/FQL&gt;&lt;FQL&gt;&lt;Q&gt;JD^FF_LIABS_SHLDRS_EQ(QTR,0,,,RP)@FF_LIABS_SHLDRS_EQ(SEMI,0,,,RP)&lt;/Q&gt;&lt;R&gt;1&lt;/R&gt;&lt;C&gt;1&lt;/C&gt;&lt;D xsi:type="xsd:double"&gt;77903.5698651439&lt;/D&gt;&lt;/FQL&gt;&lt;FQL&gt;&lt;Q&gt;JD^FG_PRICE(-4FY,,)&lt;/Q&gt;&lt;R&gt;1&lt;/R&gt;&lt;C&gt;1&lt;/C&gt;&lt;D xsi:type="xsd:double"&gt;41.42&lt;/D&gt;&lt;/FQL&gt;&lt;FQL&gt;&lt;Q&gt;JD^FG_PRICE(-3FY,,)&lt;/Q&gt;&lt;R&gt;1&lt;/R&gt;&lt;C&gt;1&lt;/C&gt;&lt;D xsi:type="xsd:double"&gt;21.71&lt;/D&gt;&lt;/FQL&gt;&lt;FQL&gt;&lt;Q&gt;JD^FG_PRICE(-2FY,,)&lt;/Q&gt;&lt;R&gt;1&lt;/R&gt;&lt;C&gt;1&lt;/C&gt;&lt;D xsi:type="xsd:double"&gt;35.23&lt;/D&gt;&lt;/FQL&gt;&lt;FQL&gt;&lt;Q&gt;JD^FG_PRICE(-1FY,,)&lt;/Q&gt;&lt;R&gt;1&lt;/R&gt;&lt;C&gt;1&lt;/C&gt;&lt;D xsi:type="xsd:double"&gt;87.9&lt;/D&gt;&lt;/FQL&gt;&lt;FQL&gt;&lt;Q&gt;JD^FG_PRICE(-0FY,,)&lt;/Q&gt;&lt;R&gt;1&lt;/R&gt;&lt;C&gt;1&lt;/C&gt;&lt;D xsi:type="xsd:double"&gt;70.07&lt;/D&gt;&lt;/FQL&gt;&lt;FQL&gt;&lt;Q&gt;JD^FG_PRICE(0M,,)&lt;/Q&gt;&lt;R&gt;1&lt;/R&gt;&lt;C&gt;1&lt;/C&gt;&lt;D xsi:type="xsd:double"&gt;71.63&lt;/D&gt;&lt;/FQL&gt;&lt;FQL&gt;&lt;Q&gt;JD^FG_FACTSET_SECTOR&lt;/Q&gt;&lt;R&gt;1&lt;/R&gt;&lt;C&gt;1&lt;/C&gt;&lt;D xsi:type="xsd:string"&gt;Retail Trade&lt;/D&gt;&lt;/FQL&gt;&lt;FQL&gt;&lt;Q&gt;JD^FE_ESTIMATE(EPS,MEAN,ANNUAL,+1,NOW)&lt;/Q&gt;&lt;R&gt;1&lt;/R&gt;&lt;C&gt;1&lt;/C&gt;&lt;D xsi:type="xsd:double"&gt;1.9583534&lt;/D&gt;&lt;/FQL&gt;&lt;FQL&gt;&lt;Q&gt;JD^FE_ESTIMATE(EPS,MEAN,NTMA,,NOW)&lt;/Q&gt;&lt;R&gt;1&lt;/R&gt;&lt;C&gt;1&lt;/C&gt;&lt;D xsi:type="xsd:double"&gt;2.2140288&lt;/D&gt;&lt;/FQL&gt;&lt;FQL&gt;&lt;Q&gt;JD^FE_ESTIMATE(EPS_LTG,MEAN,,,NOW,,,'')/100&lt;/Q&gt;&lt;R&gt;1&lt;/R&gt;&lt;C&gt;1&lt;/C&gt;&lt;D xsi:type="xsd:double"&gt;-0.06498662&lt;/D&gt;&lt;/FQL&gt;&lt;FQL&gt;&lt;Q&gt;JD^CS_EVENT_DATEJ_N("ER",1)&lt;/Q&gt;&lt;R&gt;1&lt;/R&gt;&lt;C&gt;1&lt;/C&gt;&lt;D xsi:type="xsd:long"&gt;44692&lt;/D&gt;&lt;/FQL&gt;&lt;FQL&gt;&lt;Q&gt;JD^FG_FACTSET_IND&lt;/Q&gt;&lt;R&gt;1&lt;/R&gt;&lt;C&gt;1&lt;/C&gt;&lt;D xsi:type="xsd:string"&gt;Internet Retail&lt;/D&gt;&lt;/FQL&gt;&lt;FQL&gt;&lt;Q&gt;JD^FF_COM_SHS_OUT(CURR,0)&lt;/Q&gt;&lt;R&gt;1&lt;/R&gt;&lt;C&gt;1&lt;/C&gt;&lt;D xsi:type="xsd:double"&gt;1317.449284&lt;/D&gt;&lt;/FQL&gt;&lt;FQL&gt;&lt;Q&gt;JD^FF_DPS(LTM,0)&lt;/Q&gt;&lt;R&gt;0&lt;/R&gt;&lt;C&gt;0&lt;/C&gt;&lt;/FQL&gt;&lt;FQL&gt;&lt;Q&gt;DUMMY^JULIAN(TODAY)&lt;/Q&gt;&lt;R&gt;1&lt;/R&gt;&lt;C&gt;1&lt;/C&gt;&lt;D xsi:type="xsd:long"&gt;44651&lt;/D&gt;&lt;/FQL&gt;&lt;FQL&gt;&lt;Q&gt;JD^P(NOW)&lt;/Q&gt;&lt;R&gt;1&lt;/R&gt;&lt;C&gt;1&lt;/C&gt;&lt;D xsi:type="xsd:double"&gt;61.49&lt;/D&gt;&lt;/FQL&gt;&lt;FQL&gt;&lt;Q&gt;JD^P_CURRENCY("ISO")&lt;/Q&gt;&lt;R&gt;1&lt;/R&gt;&lt;C&gt;1&lt;/C&gt;&lt;D xsi:type="xsd:string"&gt;USD&lt;/D&gt;&lt;/FQL&gt;&lt;FQL&gt;&lt;Q&gt;JD^P_EXCHANGE('NAME','FS')&lt;/Q&gt;&lt;R&gt;1&lt;/R&gt;&lt;C&gt;1&lt;/C&gt;&lt;D xsi:type="xsd:string"&gt;NASDAQ&lt;/D&gt;&lt;/FQL&gt;&lt;FQL&gt;&lt;Q&gt;JD^FF_COGS(ANN,-5FY,,,RP)&lt;/Q&gt;&lt;R&gt;1&lt;/R&gt;&lt;C&gt;1&lt;/C&gt;&lt;D xsi:type="xsd:double"&gt;33219.9567594205&lt;/D&gt;&lt;/FQL&gt;&lt;FQL&gt;&lt;Q&gt;JD^REBASE(FG_PRICE_ICS(,,,LOCAL,SPLIT,0,,,5), 83, 0/0/-1) : 0/0/-1,NOW,D&lt;/Q&gt;&lt;R&gt;245&lt;/R&gt;&lt;C&gt;1&lt;/C&gt;&lt;D xsi:type="xsd:double"&gt;83&lt;/D&gt;&lt;D xsi:type="xsd:double"&gt;84.33&lt;/D&gt;&lt;D xsi:type="xsd:double"&gt;84.31&lt;/D&gt;&lt;D xsi:type="xsd:double"&gt;84.31&lt;/D&gt;&lt;D xsi:type="xsd:double"&gt;83.51&lt;/D&gt;&lt;D xsi:type="xsd:double"&gt;81.25&lt;/D&gt;&lt;D xsi:type="xsd:double"&gt;82.14&lt;/D&gt;&lt;D xsi:type="xsd:double"&gt;80.41&lt;/D&gt;&lt;D xsi:type="xsd:double"&gt;78.65&lt;/D&gt;&lt;D xsi:type="xsd:double"&gt;78.8&lt;/D&gt;&lt;D xsi:type="xsd:double"&gt;78.12&lt;/D&gt;&lt;D xsi:type="xsd:double"&gt;77.49&lt;/D&gt;&lt;D xsi:type="xsd:double"&gt;77.04&lt;/D&gt;&lt;D xsi:type="xsd:double"&gt;76.95&lt;/D&gt;&lt;D xsi:type="xsd:double"&gt;74.55&lt;/D&gt;&lt;D xsi:type="xsd:double"&gt;75.72&lt;/D&gt;&lt;D xsi:type="xsd:double"&gt;76.11&lt;/D&gt;&lt;D xsi:type="xsd:double"&gt;76.75&lt;/D&gt;&lt;D xsi:type="xsd:double"&gt;76.14&lt;/D&gt;&lt;D xsi:type="xsd:double"&gt;78.46&lt;/D&gt;&lt;D xsi:type="xsd:double"&gt;79.06&lt;/D&gt;&lt;D xsi:type="xsd:double"&gt;77.83&lt;/D&gt;&lt;D xsi:type="xsd:double"&gt;77.36&lt;/D&gt;&lt;D xsi:type="xsd:double"&gt;76.39&lt;/D&gt;&lt;D xsi:type="xsd:double"&gt;75.51&lt;/D&gt;&lt;D xsi:type="xsd:double"&gt;71.4&lt;/D&gt;&lt;D xsi:type="xsd:double"&gt;72.78&lt;/D&gt;&lt;D xsi:type="xsd:double"&gt;71.25&lt;/D&gt;&lt;D xsi:type="xsd:double"&gt;67.03&lt;/D&gt;&lt;D xsi:type="xsd:double"&gt;68.15&lt;/D&gt;&lt;D xsi:type="xsd:double"&gt;68.21&lt;/D&gt;&lt;D xsi:type="xsd:double"&gt;69.74&lt;/D&gt;&lt;D xsi:type="xsd:double"&gt;70.58&lt;/D&gt;&lt;D xsi:type="xsd:double"&gt;73.7&lt;/D&gt;&lt;D xsi:type="xsd:double"&gt;72.75&lt;/D&gt;&lt;D xsi:type="xsd:double"&gt;71.66&lt;/D&gt;&lt;D xsi:type="xsd:double"&gt;72.81&lt;/D&gt;&lt;D xsi:type="xsd:double"&gt;73.2&lt;/D&gt;&lt;D xsi:type="xsd:double"&gt;72.83&lt;/D&gt;&lt;D xsi:type="xsd:double"&gt;73.94&lt;/D&gt;&lt;D xsi:type="xsd:double"&gt;73.94&lt;/D&gt;&lt;D xsi:type="xsd:double"&gt;78.33&lt;/D&gt;&lt;D xsi:type="xsd:double"&gt;76.54&lt;/D&gt;&lt;D xsi:type="xsd:double"&gt;75.52&lt;/D&gt;&lt;D xsi:type="xsd:double"&gt;75.43&lt;/D&gt;&lt;D xsi:type="xsd:double"&gt;74.68&lt;/D&gt;&lt;D xsi:type="xsd:double"&gt;73.28&lt;/D&gt;&lt;D xsi:type="xsd:double"&gt;72.64&lt;/D&gt;&lt;D xsi:type="xsd:double"&gt;71.85&lt;/D&gt;&lt;D xsi:type="xsd:double"&gt;71.19&lt;/D&gt;&lt;D xsi:type="xsd:double"&gt;70.84&lt;/D&gt;&lt;D xsi:type="xsd:double"&gt;71.49&lt;/D&gt;&lt;D xsi:type="xsd:double"&gt;73.5&lt;/D&gt;&lt;D xsi:type="xsd:double"&gt;71.62&lt;/D&gt;&lt;D xsi:type="xsd:double"&gt;72.62&lt;/D&gt;&lt;D xsi:type="xsd:double"&gt;73.3&lt;/D&gt;&lt;D xsi:type="xsd:double"&gt;73.14&lt;/D&gt;&lt;D xsi:type="xsd:double"&gt;74.9&lt;/D&gt;&lt;D xsi:type="xsd:double"&gt;78.23&lt;/D&gt;&lt;D xsi:type="xsd:double"&gt;77.12&lt;/D&gt;&lt;D xsi:type="xsd:double"&gt;79.75&lt;/D&gt;&lt;D xsi:type="xsd:double"&gt;79.81&lt;/D&gt;&lt;D xsi:type="xsd:double"&gt;77.44&lt;/D&gt;&lt;D xsi:type="xsd:double"&gt;76.23&lt;/D&gt;&lt;D xsi:type="xsd:double"&gt;76.23&lt;/D&gt;&lt;D xsi:type="xsd:double"&gt;72.39&lt;/D&gt;&lt;D xsi:type="xsd:double"&gt;72.7&lt;/D&gt;&lt;D xsi:type="xsd:double"&gt;70.89&lt;/D&gt;&lt;D xsi:type="xsd:double"&gt;73.56&lt;/D&gt;&lt;D xsi:type="xsd:double"&gt;73.17&lt;/D&gt;&lt;D xsi:type="xsd:double"&gt;76.52&lt;/D&gt;&lt;D xsi:type="xsd:double"&gt;75.45&lt;/D&gt;&lt;D xsi:type="xsd:double"&gt;76.86&lt;/D&gt;&lt;D xsi:type="xsd:double"&gt;75.59&lt;/D&gt;&lt;D xsi:type="xsd:double"&gt;74.22&lt;/D&gt;&lt;D xsi:type="xsd:double"&gt;73.87&lt;/D&gt;&lt;D xsi:type="xsd:double"&gt;75.3&lt;/D&gt;&lt;D xsi:type="xsd:double"&gt;75.91&lt;/D&gt;&lt;D xsi:type="xsd:double"&gt;72.29&lt;/D&gt;&lt;D xsi:type="xsd:double"&gt;66.08&lt;/D&gt;&lt;D xsi:type="xsd:double"&gt;64.77&lt;/D&gt;&lt;D xsi:type="xsd:double"&gt;70.28&lt;/D&gt;&lt;D xsi:type="xsd:double"&gt;71.93&lt;/D&gt;&lt;D xsi:type="xsd:double"&gt;70.88&lt;/D&gt;&lt;D xsi:type="xsd:double"&gt;71.49&lt;/D&gt;&lt;D xsi:type="xsd:double"&gt;70.24&lt;/D&gt;&lt;D xsi:type="xsd:double"&gt;71.4&lt;/D&gt;&lt;D xsi:type="xsd:double"&gt;70.74&lt;/D&gt;&lt;D xsi:type="xsd:double"&gt;69.59&lt;/D&gt;&lt;D xsi:type="xsd:double"&gt;71.73&lt;/D&gt;&lt;D xsi:type="xsd:double"&gt;71.76&lt;/D&gt;&lt;D xsi:type="xsd:double"&gt;71.07&lt;/D&gt;&lt;D xsi:type="xsd:double"&gt;70.53&lt;/D&gt;&lt;D xsi:type="xsd:double"&gt;69.86&lt;/D&gt;&lt;D xsi:type="xsd:double"&gt;66.67&lt;/D&gt;&lt;D xsi:type="xsd:double"&gt;64.26&lt;/D&gt;&lt;D xsi:type="xsd:double"&gt;65.53&lt;/D&gt;&lt;D xsi:type="xsd:double"&gt;62.19&lt;/D&gt;&lt;D xsi:type="xsd:double"&gt;63.62&lt;/D&gt;&lt;D xsi:type="xsd:double"&gt;65.73&lt;/D&gt;&lt;D xsi:type="xsd:double"&gt;75.22&lt;/D&gt;&lt;D xsi:type="xsd:double"&gt;76.14&lt;/D&gt;&lt;D xsi:type="xsd:double"&gt;77.04&lt;/D&gt;&lt;D xsi:type="xsd:double"&gt;76.43&lt;/D&gt;&lt;D xsi:type="xsd:double"&gt;76.69&lt;/D&gt;&lt;D xsi:type="xsd:double"&gt;78.56&lt;/D&gt;&lt;D xsi:type="xsd:double"&gt;80.78&lt;/D&gt;&lt;D xsi:type="xsd:double"&gt;80.24&lt;/D&gt;&lt;D xsi:type="xsd:double"&gt;79.855&lt;/D&gt;&lt;D xsi:type="xsd:double"&gt;79.855&lt;/D&gt;&lt;D xsi:type="xsd:double"&gt;83.24&lt;/D&gt;&lt;D xsi:type="xsd:double"&gt;81.73&lt;/D&gt;&lt;D xsi:type="xsd:double"&gt;80.26&lt;/D&gt;&lt;D xsi:type="xsd:double"&gt;80.64&lt;/D&gt;&lt;D xsi:type="xsd:double"&gt;80.17&lt;/D&gt;&lt;D xsi:type="xsd:double"&gt;77.9&lt;/D&gt;&lt;D xsi:type="xsd:double"&gt;76.63&lt;/D&gt;&lt;D xsi:type="xsd:double"&gt;77.17&lt;/D&gt;&lt;D xsi:type="xsd:double"&gt;77.69&lt;/D&gt;&lt;D xsi:type="xsd:double"&gt;75.92&lt;/D&gt;&lt;D xsi:type="xsd:double"&gt;76.13&lt;/D&gt;&lt;D xsi:type="xsd:double"&gt;73.98&lt;/D&gt;&lt;D xsi:type="xsd:double"&gt;76.43&lt;/D&gt;&lt;D xsi:type="xsd:double"&gt;75.42&lt;/D&gt;&lt;D xsi:type="xsd:double"&gt;71.62&lt;/D&gt;&lt;D xsi:type="xsd:double"&gt;72.24&lt;/D&gt;&lt;D xsi:type="xsd:double"&gt;78.61&lt;/D&gt;&lt;D xsi:type="xsd:double"&gt;78&lt;/D&gt;&lt;D xsi:type="xsd:double"&gt;78.41&lt;/D&gt;&lt;D xsi:type="xsd:double"&gt;80.57&lt;/D&gt;&lt;D xsi:type="xsd:double"&gt;81.03&lt;/D&gt;&lt;D xsi:type="xsd:double"&gt;81.42&lt;/D&gt;&lt;D xsi:type="xsd:double"&gt;82.42&lt;/D&gt;&lt;D xsi:type="xsd:double"&gt;84.91&lt;/D&gt;&lt;D xsi:type="xsd:double"&gt;85.53&lt;/D&gt;&lt;D xsi:type="xsd:double"&gt;83.97&lt;/D&gt;&lt;D xsi:type="xsd:double"&gt;83.07&lt;/D&gt;&lt;D xsi:type="xsd:double"&gt;84.25&lt;/D&gt;&lt;D xsi:type="xsd:double"&gt;81.48&lt;/D&gt;&lt;D xsi:type="xsd:double"&gt;80.86&lt;/D&gt;&lt;D xsi:type="xsd:double"&gt;80.92&lt;/D&gt;&lt;D xsi:type="xsd:double"&gt;78.28&lt;/D&gt;&lt;D xsi:type="xsd:double"&gt;82.5&lt;/D&gt;&lt;D xsi:type="xsd:double"&gt;80.7&lt;/D&gt;&lt;D xsi:type="xsd:double"&gt;81.36&lt;/D&gt;&lt;D xsi:type="xsd:double"&gt;80.3&lt;/D&gt;&lt;D xsi:type="xsd:double"&gt;77.57&lt;/D&gt;&lt;D xsi:type="xsd:double"&gt;77.47&lt;/D&gt;&lt;D xsi:type="xsd:double"&gt;77.19&lt;/D&gt;&lt;D xsi:type="xsd:double"&gt;77.74&lt;/D&gt;&lt;D xsi:type="xsd:double"&gt;84.2&lt;/D&gt;&lt;D xsi:type="xsd:double"&gt;85.95&lt;/D&gt;&lt;D xsi:type="xsd:double"&gt;84.62&lt;/D&gt;&lt;D xsi:type="xsd:double"&gt;85.73&lt;/D&gt;&lt;D xsi:type="xsd:double"&gt;83.15&lt;/D&gt;&lt;D xsi:type="xsd:double"&gt;88.1&lt;/D&gt;&lt;D xsi:type="xsd:double"&gt;91.55&lt;/D&gt;&lt;D xsi:type="xsd:double"&gt;87.71&lt;/D&gt;&lt;D xsi:type="xsd:double"&gt;89.46&lt;/D&gt;&lt;D xsi:type="xsd:double"&gt;89.36&lt;/D&gt;&lt;D xsi:type="xsd:double"&gt;89.36&lt;/D&gt;&lt;D xsi:type="xsd:double"&gt;88.67&lt;/D&gt;&lt;D xsi:type="xsd:double"&gt;87.91&lt;/D&gt;&lt;D xsi:type="xsd:double"&gt;84.11&lt;/D&gt;&lt;D xsi:type="xsd:double"&gt;85.18&lt;/D&gt;&lt;D xsi:type="xsd:double"&gt;84.46&lt;/D&gt;&lt;D xsi:type="xsd:double"&gt;77.95&lt;/D&gt;&lt;D xsi:type="xsd:double"&gt;75.19&lt;/D&gt;&lt;D xsi:type="xsd:double"&gt;78.09&lt;/D&gt;&lt;D xsi:type="xsd:double"&gt;78.29&lt;/D&gt;&lt;D xsi:type="xsd:double"&gt;79.57&lt;/D&gt;&lt;D xsi:type="xsd:double"&gt;79.71&lt;/D&gt;&lt;D xsi:type="xsd:double"&gt;78.05&lt;/D&gt;&lt;D xsi:type="xsd:double"&gt;77.65&lt;/D&gt;&lt;D xsi:type="xsd:double"&gt;73.66&lt;/D&gt;&lt;D xsi:type="xsd:double"&gt;72.68&lt;/D&gt;&lt;D xsi:type="xsd:double"&gt;71.04&lt;/D&gt;&lt;D xsi:type="xsd:double"&gt;68.19&lt;/D&gt;&lt;D xsi:type="xsd:double"&gt;73.41&lt;/D&gt;&lt;D xsi:type="xsd:double"&gt;73.75&lt;/D&gt;&lt;D xsi:type="xsd:double"&gt;68.65&lt;/D&gt;&lt;D xsi:type="xsd:double"&gt;68.65&lt;/D&gt;&lt;D xsi:type="xsd:double"&gt;67.71&lt;/D&gt;&lt;D xsi:type="xsd:double"&gt;65.87&lt;/D&gt;&lt;D xsi:type="xsd:double"&gt;65.63&lt;/D&gt;&lt;D xsi:type="xsd:double"&gt;70.4&lt;/D&gt;&lt;D xsi:type="xsd:double"&gt;70.07&lt;/D&gt;&lt;D xsi:type="xsd:double"&gt;64.2&lt;/D&gt;&lt;D xsi:type="xsd:double"&gt;63.02&lt;/D&gt;&lt;D xsi:type="xsd:double"&gt;66.78&lt;/D&gt;&lt;D xsi:type="xsd:double"&gt;68.24&lt;/D&gt;&lt;D xsi:type="xsd:double"&gt;69.6&lt;/D&gt;&lt;D xsi:type="xsd:double"&gt;76.76&lt;/D&gt;&lt;D xsi:type="xsd:double"&gt;76.4&lt;/D&gt;&lt;D xsi:type="xsd:double"&gt;71.44&lt;/D&gt;&lt;D xsi:type="xsd:double"&gt;73.72&lt;/D&gt;&lt;D xsi:type="xsd:double"&gt;73.72&lt;/D&gt;&lt;D xsi:type="xsd:double"&gt;73.4&lt;/D&gt;&lt;D xsi:type="xsd:double"&gt;72.3&lt;/D&gt;&lt;D xsi:type="xsd:double"&gt;77&lt;/D&gt;&lt;D xsi:type="xsd:double"&gt;73.46&lt;/D&gt;&lt;D xsi:type="xsd:double"&gt;71.74&lt;/D&gt;&lt;D xsi:type="xsd:double"&gt;72.15&lt;/D&gt;&lt;D xsi:type="xsd:double"&gt;71.11&lt;/D&gt;&lt;D xsi:type="xsd:double"&gt;66.68&lt;/D&gt;&lt;D xsi:type="xsd:double"&gt;69.34&lt;/D&gt;&lt;D xsi:type="xsd:double"&gt;73.15&lt;/D&gt;&lt;D xsi:type="xsd:double"&gt;75.36&lt;/D&gt;&lt;D xsi:type="xsd:double"&gt;78.29&lt;/D&gt;&lt;D xsi:type="xsd:double"&gt;76.4&lt;/D&gt;&lt;D xsi:type="xsd:double"&gt;73.98&lt;/D&gt;&lt;D xsi:type="xsd:double"&gt;74.45&lt;/D&gt;&lt;D xsi:type="xsd:double"&gt;76.13&lt;/D&gt;&lt;D xsi:type="xsd:double"&gt;75.3&lt;/D&gt;&lt;D xsi:type="xsd:double"&gt;74.55&lt;/D&gt;&lt;D xsi:type="xsd:double"&gt;71.86&lt;/D&gt;&lt;D xsi:type="xsd:double"&gt;71.86&lt;/D&gt;&lt;D xsi:type="xsd:double"&gt;70.98&lt;/D&gt;&lt;D xsi:type="xsd:double"&gt;70.54&lt;/D&gt;&lt;D xsi:type="xsd:double"&gt;70.91&lt;/D&gt;&lt;D xsi:type="xsd:double"&gt;72.5&lt;/D&gt;&lt;D xsi:type="xsd:double"&gt;71.63&lt;/D&gt;&lt;D xsi:type="xsd:double"&gt;73.3&lt;/D&gt;&lt;D xsi:type="xsd:double"&gt;71.79&lt;/D&gt;&lt;D xsi:type="xsd:double"&gt;67.83&lt;/D&gt;&lt;D xsi:type="xsd:double"&gt;63.59&lt;/D&gt;&lt;D xsi:type="xsd:double"&gt;60.52&lt;/D&gt;&lt;D xsi:type="xsd:double"&gt;58.69&lt;/D&gt;&lt;D xsi:type="xsd:double"&gt;62.4&lt;/D&gt;&lt;D xsi:type="xsd:double"&gt;52.52&lt;/D&gt;&lt;D xsi:type="xsd:double"&gt;47.99&lt;/D&gt;&lt;D xsi:type="xsd:double"&gt;42.94&lt;/D&gt;&lt;D xsi:type="xsd:double"&gt;45.98&lt;/D&gt;&lt;D xsi:type="xsd:double"&gt;64.08&lt;/D&gt;&lt;D xsi:type="xsd:double"&gt;61.94&lt;/D&gt;&lt;D xsi:type="xsd:double"&gt;65.13&lt;/D&gt;&lt;D xsi:type="xsd:double"&gt;61.44&lt;/D&gt;&lt;D xsi:type="xsd:double"&gt;64.73&lt;/D&gt;&lt;D xsi:type="xsd:double"&gt;64.29&lt;/D&gt;&lt;D xsi:type="xsd:double"&gt;61.52&lt;/D&gt;&lt;D xsi:type="xsd:double"&gt;59.92&lt;/D&gt;&lt;D xsi:type="xsd:double"&gt;59.77&lt;/D&gt;&lt;D xsi:type="xsd:double"&gt;62.73&lt;/D&gt;&lt;D xsi:type="xsd:double"&gt;61.49&lt;/D&gt;&lt;D xsi:type="xsd:double"&gt;61.49&lt;/D&gt;&lt;/FQL&gt;&lt;FQL&gt;&lt;Q&gt;SP50^REBASE(FG_PRICE_ICS(,,,LOCAL,SPLIT,0,,,5), 83, 0/0/-1) : 0/0/-1,NOW,D&lt;/Q&gt;&lt;R&gt;245&lt;/R&gt;&lt;C&gt;1&lt;/C&gt;&lt;D xsi:type="xsd:double"&gt;83&lt;/D&gt;&lt;D xsi:type="xsd:double"&gt;83.3006707001301&lt;/D&gt;&lt;D xsi:type="xsd:double"&gt;84.2857132030668&lt;/D&gt;&lt;D xsi:type="xsd:double"&gt;84.2857132030668&lt;/D&gt;&lt;D xsi:type="xsd:double"&gt;85.4194136741989&lt;/D&gt;&lt;D xsi:type="xsd:double"&gt;85.5454269871544&lt;/D&gt;&lt;D xsi:type="xsd:double"&gt;85.9064834345909&lt;/D&gt;&lt;D xsi:type="xsd:double"&gt;86.5696782912935&lt;/D&gt;&lt;D xsi:type="xsd:double"&gt;86.5526947998636&lt;/D&gt;&lt;D xsi:type="xsd:double"&gt;86.8378497176997&lt;/D&gt;&lt;D xsi:type="xsd:double"&gt;86.4828737795405&lt;/D&gt;&lt;D xsi:type="xsd:double"&gt;87.4423362089654&lt;/D&gt;&lt;D xsi:type="xsd:double"&gt;87.7578936731884&lt;/D&gt;&lt;D xsi:type="xsd:double"&gt;87.2922105316341&lt;/D&gt;&lt;D xsi:type="xsd:double"&gt;86.6984173497871&lt;/D&gt;&lt;D xsi:type="xsd:double"&gt;87.5052380290763&lt;/D&gt;&lt;D xsi:type="xsd:double"&gt;86.699256040722&lt;/D&gt;&lt;D xsi:type="xsd:double"&gt;87.6467671243258&lt;/D&gt;&lt;D xsi:type="xsd:double"&gt;87.8029733109346&lt;/D&gt;&lt;D xsi:type="xsd:double"&gt;87.7841027649013&lt;/D&gt;&lt;D xsi:type="xsd:double"&gt;87.7098786171704&lt;/D&gt;&lt;D xsi:type="xsd:double"&gt;88.3030427808162&lt;/D&gt;&lt;D xsi:type="xsd:double"&gt;87.6677343976961&lt;/D&gt;&lt;D xsi:type="xsd:double"&gt;88.0965151381187&lt;/D&gt;&lt;D xsi:type="xsd:double"&gt;88.7460812671306&lt;/D&gt;&lt;D xsi:type="xsd:double"&gt;87.8199568023645&lt;/D&gt;&lt;D xsi:type="xsd:double"&gt;87.0582157608215&lt;/D&gt;&lt;D xsi:type="xsd:double"&gt;85.1908703944626&lt;/D&gt;&lt;D xsi:type="xsd:double"&gt;86.2279117353576&lt;/D&gt;&lt;D xsi:type="xsd:double"&gt;87.5142539566255&lt;/D&gt;&lt;D xsi:type="xsd:double"&gt;87.2928395498352&lt;/D&gt;&lt;D xsi:type="xsd:double"&gt;86.5493400361243&lt;/D&gt;&lt;D xsi:type="xsd:double"&gt;86.2945876646752&lt;/D&gt;&lt;D xsi:type="xsd:double"&gt;87.205406019881&lt;/D&gt;&lt;D xsi:type="xsd:double"&gt;87.1370527086938&lt;/D&gt;&lt;D xsi:type="xsd:double"&gt;88.0006946988165&lt;/D&gt;&lt;D xsi:type="xsd:double"&gt;87.8136666203534&lt;/D&gt;&lt;D xsi:type="xsd:double"&gt;87.978469389044&lt;/D&gt;&lt;D xsi:type="xsd:double"&gt;88.0809993558247&lt;/D&gt;&lt;D xsi:type="xsd:double"&gt;88.1487236488108&lt;/D&gt;&lt;D xsi:type="xsd:double"&gt;88.1487236488108&lt;/D&gt;&lt;D xsi:type="xsd:double"&gt;88.1053213929343&lt;/D&gt;&lt;D xsi:type="xsd:double"&gt;88.2328024150257&lt;/D&gt;&lt;D xsi:type="xsd:double"&gt;87.9126321506612&lt;/D&gt;&lt;D xsi:type="xsd:double"&gt;88.6892599562971&lt;/D&gt;&lt;D xsi:type="xsd:double"&gt;88.6186002450392&lt;/D&gt;&lt;D xsi:type="xsd:double"&gt;88.6341160273332&lt;/D&gt;&lt;D xsi:type="xsd:double"&gt;88.4724583496482&lt;/D&gt;&lt;D xsi:type="xsd:double"&gt;88.8840459259072&lt;/D&gt;&lt;D xsi:type="xsd:double"&gt;89.0572356039459&lt;/D&gt;&lt;D xsi:type="xsd:double"&gt;89.0394134215811&lt;/D&gt;&lt;D xsi:type="xsd:double"&gt;88.559472534135&lt;/D&gt;&lt;D xsi:type="xsd:double"&gt;88.5208927511336&lt;/D&gt;&lt;D xsi:type="xsd:double"&gt;87.3590961336853&lt;/D&gt;&lt;D xsi:type="xsd:double"&gt;88.5823268621086&lt;/D&gt;&lt;D xsi:type="xsd:double"&gt;89.0362683305756&lt;/D&gt;&lt;D xsi:type="xsd:double"&gt;88.9398188730722&lt;/D&gt;&lt;D xsi:type="xsd:double"&gt;89.4566621616501&lt;/D&gt;&lt;D xsi:type="xsd:double"&gt;89.7546071162421&lt;/D&gt;&lt;D xsi:type="xsd:double"&gt;89.9623927953417&lt;/D&gt;&lt;D xsi:type="xsd:double"&gt;89.9873438506524&lt;/D&gt;&lt;D xsi:type="xsd:double"&gt;90.1068573088631&lt;/D&gt;&lt;D xsi:type="xsd:double"&gt;90.5773629232926&lt;/D&gt;&lt;D xsi:type="xsd:double"&gt;91.2567025804903&lt;/D&gt;&lt;D xsi:type="xsd:double"&gt;91.2567025804903&lt;/D&gt;&lt;D xsi:type="xsd:double"&gt;91.0721905748317&lt;/D&gt;&lt;D xsi:type="xsd:double"&gt;91.3781030933044&lt;/D&gt;&lt;D xsi:type="xsd:double"&gt;90.5958141238585&lt;/D&gt;&lt;D xsi:type="xsd:double"&gt;91.6175493551932&lt;/D&gt;&lt;D xsi:type="xsd:double"&gt;91.9337358376173&lt;/D&gt;&lt;D xsi:type="xsd:double"&gt;91.6104204822473&lt;/D&gt;&lt;D xsi:type="xsd:double"&gt;91.7171439037021&lt;/D&gt;&lt;D xsi:type="xsd:double"&gt;91.4179409127079&lt;/D&gt;&lt;D xsi:type="xsd:double"&gt;90.7287466370262&lt;/D&gt;&lt;D xsi:type="xsd:double"&gt;89.2889239746877&lt;/D&gt;&lt;D xsi:type="xsd:double"&gt;90.642780816208&lt;/D&gt;&lt;D xsi:type="xsd:double"&gt;91.3898447663917&lt;/D&gt;&lt;D xsi:type="xsd:double"&gt;91.5741470993167&lt;/D&gt;&lt;D xsi:type="xsd:double"&gt;92.5032069823547&lt;/D&gt;&lt;D xsi:type="xsd:double"&gt;92.7235730254765&lt;/D&gt;&lt;D xsi:type="xsd:double"&gt;92.2866150484395&lt;/D&gt;&lt;D xsi:type="xsd:double"&gt;92.2694218842758&lt;/D&gt;&lt;D xsi:type="xsd:double"&gt;92.65752611436&lt;/D&gt;&lt;D xsi:type="xsd:double"&gt;92.1566179535436&lt;/D&gt;&lt;D xsi:type="xsd:double"&gt;91.9867830392442&lt;/D&gt;&lt;D xsi:type="xsd:double"&gt;92.7413952078413&lt;/D&gt;&lt;D xsi:type="xsd:double"&gt;92.3117757764838&lt;/D&gt;&lt;D xsi:type="xsd:double"&gt;92.8661504843946&lt;/D&gt;&lt;D xsi:type="xsd:double"&gt;93.0217276528022&lt;/D&gt;&lt;D xsi:type="xsd:double"&gt;92.934294122848&lt;/D&gt;&lt;D xsi:type="xsd:double"&gt;93.0265501256773&lt;/D&gt;&lt;D xsi:type="xsd:double"&gt;93.2561417690821&lt;/D&gt;&lt;D xsi:type="xsd:double"&gt;93.5314420684341&lt;/D&gt;&lt;D xsi:type="xsd:double"&gt;93.6817774184992&lt;/D&gt;&lt;D xsi:type="xsd:double"&gt;93.9273041896654&lt;/D&gt;&lt;D xsi:type="xsd:double"&gt;93.2641093329628&lt;/D&gt;&lt;D xsi:type="xsd:double"&gt;92.2616639931288&lt;/D&gt;&lt;D xsi:type="xsd:double"&gt;92.3776130148666&lt;/D&gt;&lt;D xsi:type="xsd:double"&gt;93.1297091106592&lt;/D&gt;&lt;D xsi:type="xsd:double"&gt;93.9235300804587&lt;/D&gt;&lt;D xsi:type="xsd:double"&gt;94.0640108120398&lt;/D&gt;&lt;D xsi:type="xsd:double"&gt;94.2728448548079&lt;/D&gt;&lt;D xsi:type="xsd:double"&gt;93.7237119652398&lt;/D&gt;&lt;D xsi:type="xsd:double"&gt;94.5491935178285&lt;/D&gt;&lt;D xsi:type="xsd:double"&gt;94.9563779666797&lt;/D&gt;&lt;D xsi:type="xsd:double"&gt;94.8282679263872&lt;/D&gt;&lt;D xsi:type="xsd:double"&gt;94.8578317818393&lt;/D&gt;&lt;D xsi:type="xsd:double"&gt;95.1274709173814&lt;/D&gt;&lt;D xsi:type="xsd:double"&gt;95.0956006618585&lt;/D&gt;&lt;D xsi:type="xsd:double"&gt;95.0956006618585&lt;/D&gt;&lt;D xsi:type="xsd:double"&gt;94.7727046519559&lt;/D&gt;&lt;D xsi:type="xsd:double"&gt;94.6477397026689&lt;/D&gt;&lt;D xsi:type="xsd:double"&gt;94.2118300893004&lt;/D&gt;&lt;D xsi:type="xsd:double"&gt;93.484265703351&lt;/D&gt;&lt;D xsi:type="xsd:double"&gt;93.6970835280595&lt;/D&gt;&lt;D xsi:type="xsd:double"&gt;93.1586439479102&lt;/D&gt;&lt;D xsi:type="xsd:double"&gt;93.948061790302&lt;/D&gt;&lt;D xsi:type="xsd:double"&gt;93.8023392403784&lt;/D&gt;&lt;D xsi:type="xsd:double"&gt;92.947713177805&lt;/D&gt;&lt;D xsi:type="xsd:double"&gt;92.1645855174243&lt;/D&gt;&lt;D xsi:type="xsd:double"&gt;93.2829798789961&lt;/D&gt;&lt;D xsi:type="xsd:double"&gt;93.419267155903&lt;/D&gt;&lt;D xsi:type="xsd:double"&gt;93.1599019843124&lt;/D&gt;&lt;D xsi:type="xsd:double"&gt;91.2627830897677&lt;/D&gt;&lt;D xsi:type="xsd:double"&gt;91.4060105341602&lt;/D&gt;&lt;D xsi:type="xsd:double"&gt;90.3173687335009&lt;/D&gt;&lt;D xsi:type="xsd:double"&gt;92.074426241932&lt;/D&gt;&lt;D xsi:type="xsd:double"&gt;91.4422629498175&lt;/D&gt;&lt;D xsi:type="xsd:double"&gt;91.2212678884945&lt;/D&gt;&lt;D xsi:type="xsd:double"&gt;91.496987533314&lt;/D&gt;&lt;D xsi:type="xsd:double"&gt;93.0582107084665&lt;/D&gt;&lt;D xsi:type="xsd:double"&gt;93.7524371297571&lt;/D&gt;&lt;D xsi:type="xsd:double"&gt;94.0688332849149&lt;/D&gt;&lt;D xsi:type="xsd:double"&gt;94.7643177426078&lt;/D&gt;&lt;D xsi:type="xsd:double"&gt;95.1115357896199&lt;/D&gt;&lt;D xsi:type="xsd:double"&gt;95.3964810347223&lt;/D&gt;&lt;D xsi:type="xsd:double"&gt;95.2941607406752&lt;/D&gt;&lt;D xsi:type="xsd:double"&gt;95.7466345000063&lt;/D&gt;&lt;D xsi:type="xsd:double"&gt;95.9208725417135&lt;/D&gt;&lt;D xsi:type="xsd:double"&gt;95.4363188541259&lt;/D&gt;&lt;D xsi:type="xsd:double"&gt;96.3743946647131&lt;/D&gt;&lt;D xsi:type="xsd:double"&gt;96.562261434111&lt;/D&gt;&lt;D xsi:type="xsd:double"&gt;96.7360801303508&lt;/D&gt;&lt;D xsi:type="xsd:double"&gt;97.0921044321784&lt;/D&gt;&lt;D xsi:type="xsd:double"&gt;97.7194452514178&lt;/D&gt;&lt;D xsi:type="xsd:double"&gt;98.128097409405&lt;/D&gt;&lt;D xsi:type="xsd:double"&gt;98.4943956751841&lt;/D&gt;&lt;D xsi:type="xsd:double"&gt;98.5818292051382&lt;/D&gt;&lt;D xsi:type="xsd:double"&gt;98.2369175581968&lt;/D&gt;&lt;D xsi:type="xsd:double"&gt;97.4288388425055&lt;/D&gt;&lt;D xsi:type="xsd:double"&gt;97.4825150623334&lt;/D&gt;&lt;D xsi:type="xsd:double"&gt;98.1865961021081&lt;/D&gt;&lt;D xsi:type="xsd:double"&gt;98.1855477384396&lt;/D&gt;&lt;D xsi:type="xsd:double"&gt;98.565055386442&lt;/D&gt;&lt;D xsi:type="xsd:double"&gt;98.3086256331232&lt;/D&gt;&lt;D xsi:type="xsd:double"&gt;98.6413762615099&lt;/D&gt;&lt;D xsi:type="xsd:double"&gt;98.5034116027333&lt;/D&gt;&lt;D xsi:type="xsd:double"&gt;98.1884831567114&lt;/D&gt;&lt;D xsi:type="xsd:double"&gt;98.3511891980649&lt;/D&gt;&lt;D xsi:type="xsd:double"&gt;98.5767970595294&lt;/D&gt;&lt;D xsi:type="xsd:double"&gt;98.5767970595294&lt;/D&gt;&lt;D xsi:type="xsd:double"&gt;96.3366535726465&lt;/D&gt;&lt;D xsi:type="xsd:double"&gt;97.6083187025552&lt;/D&gt;&lt;D xsi:type="xsd:double"&gt;95.7575374821589&lt;/D&gt;&lt;D xsi:type="xsd:double"&gt;94.6261434110975&lt;/D&gt;&lt;D xsi:type="xsd:double"&gt;95.9693069431989&lt;/D&gt;&lt;D xsi:type="xsd:double"&gt;95.1585024819694&lt;/D&gt;&lt;D xsi:type="xsd:double"&gt;96.2748001162042&lt;/D&gt;&lt;D xsi:type="xsd:double"&gt;98.2683684682523&lt;/D&gt;&lt;D xsi:type="xsd:double"&gt;98.5715552411868&lt;/D&gt;&lt;D xsi:type="xsd:double"&gt;97.8637000922055&lt;/D&gt;&lt;D xsi:type="xsd:double"&gt;98.7982114663197&lt;/D&gt;&lt;D xsi:type="xsd:double"&gt;97.8955703477283&lt;/D&gt;&lt;D xsi:type="xsd:double"&gt;97.1642318525723&lt;/D&gt;&lt;D xsi:type="xsd:double"&gt;98.7527124831062&lt;/D&gt;&lt;D xsi:type="xsd:double"&gt;97.8892801657172&lt;/D&gt;&lt;D xsi:type="xsd:double"&gt;96.8822220257418&lt;/D&gt;&lt;D xsi:type="xsd:double"&gt;95.7789241009966&lt;/D&gt;&lt;D xsi:type="xsd:double"&gt;97.4816763713986&lt;/D&gt;&lt;D xsi:type="xsd:double"&gt;98.4740574200149&lt;/D&gt;&lt;D xsi:type="xsd:double"&gt;99.0869308206288&lt;/D&gt;&lt;D xsi:type="xsd:double"&gt;99.0869308206288&lt;/D&gt;&lt;D xsi:type="xsd:double"&gt;100.458190499046&lt;/D&gt;&lt;D xsi:type="xsd:double"&gt;100.356708895934&lt;/D&gt;&lt;D xsi:type="xsd:double"&gt;100.497399300249&lt;/D&gt;&lt;D xsi:type="xsd:double"&gt;100.196938272852&lt;/D&gt;&lt;D xsi:type="xsd:double"&gt;99.9337989920552&lt;/D&gt;&lt;D xsi:type="xsd:double"&gt;100.507463591467&lt;/D&gt;&lt;D xsi:type="xsd:double"&gt;98.5583458589635&lt;/D&gt;&lt;D xsi:type="xsd:double"&gt;98.463364110596&lt;/D&gt;&lt;D xsi:type="xsd:double"&gt;98.0645665710929&lt;/D&gt;&lt;D xsi:type="xsd:double"&gt;97.9232471485771&lt;/D&gt;&lt;D xsi:type="xsd:double"&gt;98.8202271033585&lt;/D&gt;&lt;D xsi:type="xsd:double"&gt;99.0986724937161&lt;/D&gt;&lt;D xsi:type="xsd:double"&gt;97.6871556504275&lt;/D&gt;&lt;D xsi:type="xsd:double"&gt;97.7672506347021&lt;/D&gt;&lt;D xsi:type="xsd:double"&gt;97.7672506347021&lt;/D&gt;&lt;D xsi:type="xsd:double"&gt;95.9695166159326&lt;/D&gt;&lt;D xsi:type="xsd:double"&gt;95.0396180419598&lt;/D&gt;&lt;D xsi:type="xsd:double"&gt;93.9906253552437&lt;/D&gt;&lt;D xsi:type="xsd:double"&gt;92.212810246176&lt;/D&gt;&lt;D xsi:type="xsd:double"&gt;92.46840130856&lt;/D&gt;&lt;D xsi:type="xsd:double"&gt;91.3428780740423&lt;/D&gt;&lt;D xsi:type="xsd:double"&gt;91.2061714516679&lt;/D&gt;&lt;D xsi:type="xsd:double"&gt;90.7151179093355&lt;/D&gt;&lt;D xsi:type="xsd:double"&gt;92.9238104861629&lt;/D&gt;&lt;D xsi:type="xsd:double"&gt;94.0145280468858&lt;/D&gt;&lt;D xsi:type="xsd:double"&gt;94.804365234745&lt;/D&gt;&lt;D xsi:type="xsd:double"&gt;96.1806570587715&lt;/D&gt;&lt;D xsi:type="xsd:double"&gt;94.4382766416996&lt;/D&gt;&lt;D xsi:type="xsd:double"&gt;92.6468328049412&lt;/D&gt;&lt;D xsi:type="xsd:double"&gt;92.2910181758472&lt;/D&gt;&lt;D xsi:type="xsd:double"&gt;93.746146947746&lt;/D&gt;&lt;D xsi:type="xsd:double"&gt;93.828758004825&lt;/D&gt;&lt;D xsi:type="xsd:double"&gt;91.8421088529891&lt;/D&gt;&lt;D xsi:type="xsd:double"&gt;91.1839461418954&lt;/D&gt;&lt;D xsi:type="xsd:double"&gt;91.1839461418954&lt;/D&gt;&lt;D xsi:type="xsd:double"&gt;90.2590797135315&lt;/D&gt;&lt;D xsi:type="xsd:double"&gt;88.5972136262015&lt;/D&gt;&lt;D xsi:type="xsd:double"&gt;89.9223453032044&lt;/D&gt;&lt;D xsi:type="xsd:double"&gt;91.9341551830847&lt;/D&gt;&lt;D xsi:type="xsd:double"&gt;91.7095956852888&lt;/D&gt;&lt;D xsi:type="xsd:double"&gt;90.2905306235869&lt;/D&gt;&lt;D xsi:type="xsd:double"&gt;91.9737833297546&lt;/D&gt;&lt;D xsi:type="xsd:double"&gt;91.4904876785692&lt;/D&gt;&lt;D xsi:type="xsd:double"&gt;90.7646006744894&lt;/D&gt;&lt;D xsi:type="xsd:double"&gt;88.0854024832325&lt;/D&gt;&lt;D xsi:type="xsd:double"&gt;87.4482070455091&lt;/D&gt;&lt;D xsi:type="xsd:double"&gt;89.6954794053378&lt;/D&gt;&lt;D xsi:type="xsd:double"&gt;89.3105202662591&lt;/D&gt;&lt;D xsi:type="xsd:double"&gt;88.1529171034849&lt;/D&gt;&lt;D xsi:type="xsd:double"&gt;87.4987381743315&lt;/D&gt;&lt;D xsi:type="xsd:double"&gt;89.3719543772341&lt;/D&gt;&lt;D xsi:type="xsd:double"&gt;91.3724419294944&lt;/D&gt;&lt;D xsi:type="xsd:double"&gt;92.5006909095502&lt;/D&gt;&lt;D xsi:type="xsd:double"&gt;93.5794571244521&lt;/D&gt;&lt;D xsi:type="xsd:double"&gt;93.5387806141138&lt;/D&gt;&lt;D xsi:type="xsd:double"&gt;94.596160210178&lt;/D&gt;&lt;D xsi:type="xsd:double"&gt;93.4352022836645&lt;/D&gt;&lt;D xsi:type="xsd:double"&gt;94.775430397494&lt;/D&gt;&lt;D xsi:type="xsd:double"&gt;95.2555809576739&lt;/D&gt;&lt;D xsi:type="xsd:double"&gt;95.9361786512738&lt;/D&gt;&lt;D xsi:type="xsd:double"&gt;97.1120233418802&lt;/D&gt;&lt;D xsi:type="xsd:double"&gt;96.500827323136&lt;/D&gt;&lt;D xsi:type="xsd:double"&gt;96.500827323136&lt;/D&gt;&lt;/FQL&gt;&lt;/Schema&gt;</t>
        </r>
      </text>
    </comment>
  </commentList>
</comments>
</file>

<file path=xl/sharedStrings.xml><?xml version="1.0" encoding="utf-8"?>
<sst xmlns="http://schemas.openxmlformats.org/spreadsheetml/2006/main" count="447" uniqueCount="322">
  <si>
    <t>This sheet contains FactSet XML data for use with this workbook's =FDS codes.  Modifying the worksheet's contents may damage the workbook's =FDS functionality.</t>
  </si>
  <si>
    <t>涨跌幅</t>
  </si>
  <si>
    <t>全球股指</t>
    <phoneticPr fontId="11" type="noConversion"/>
  </si>
  <si>
    <t>最近更新：2022/6/13</t>
    <phoneticPr fontId="11" type="noConversion"/>
  </si>
  <si>
    <t>名称</t>
  </si>
  <si>
    <t>代码</t>
  </si>
  <si>
    <t>现价</t>
  </si>
  <si>
    <t>1周涨跌幅</t>
  </si>
  <si>
    <t>1月涨跌幅</t>
  </si>
  <si>
    <t>3月涨跌幅</t>
  </si>
  <si>
    <t>半年涨跌幅</t>
  </si>
  <si>
    <t>1年涨跌幅</t>
  </si>
  <si>
    <t>年初至今</t>
  </si>
  <si>
    <t>日期</t>
    <phoneticPr fontId="11" type="noConversion"/>
  </si>
  <si>
    <t>全球金融市场行情-全球股指</t>
    <phoneticPr fontId="11" type="noConversion"/>
  </si>
  <si>
    <t>上证指数</t>
  </si>
  <si>
    <t>深证成指</t>
  </si>
  <si>
    <t>沪深300</t>
  </si>
  <si>
    <t>创业板指</t>
  </si>
  <si>
    <t>中证全指</t>
  </si>
  <si>
    <t>000016.SH</t>
  </si>
  <si>
    <t>000903.SH</t>
  </si>
  <si>
    <t>000905.SH</t>
  </si>
  <si>
    <t>000852.SH</t>
  </si>
  <si>
    <t>CN2303.CNI</t>
  </si>
  <si>
    <t>000985.CSI</t>
  </si>
  <si>
    <t>000001.SH</t>
  </si>
  <si>
    <t>399001.SZ</t>
  </si>
  <si>
    <t>399005.SZ</t>
  </si>
  <si>
    <t>399006.SZ</t>
  </si>
  <si>
    <t>序号</t>
    <phoneticPr fontId="11" type="noConversion"/>
  </si>
  <si>
    <t>名称</t>
    <phoneticPr fontId="11" type="noConversion"/>
  </si>
  <si>
    <t>1周涨跌幅</t>
    <phoneticPr fontId="11" type="noConversion"/>
  </si>
  <si>
    <t>涨幅前五</t>
    <phoneticPr fontId="11" type="noConversion"/>
  </si>
  <si>
    <t>跌幅前五</t>
    <phoneticPr fontId="11" type="noConversion"/>
  </si>
  <si>
    <t>中证1000</t>
  </si>
  <si>
    <t>中证500</t>
  </si>
  <si>
    <t>000906.SH</t>
  </si>
  <si>
    <t>399004.SZ</t>
  </si>
  <si>
    <t>000010.SH</t>
  </si>
  <si>
    <t>000300.SH</t>
  </si>
  <si>
    <t>上证50</t>
  </si>
  <si>
    <t>中证100</t>
  </si>
  <si>
    <t>涨跌幅</t>
    <phoneticPr fontId="11" type="noConversion"/>
  </si>
  <si>
    <t>1周涨跌幅</t>
    <phoneticPr fontId="11" type="noConversion"/>
  </si>
  <si>
    <t>1年涨跌幅</t>
    <phoneticPr fontId="11" type="noConversion"/>
  </si>
  <si>
    <t>小盘成长R</t>
  </si>
  <si>
    <t>CN2376.CNI</t>
  </si>
  <si>
    <t>巨潮小盘R</t>
  </si>
  <si>
    <t>CN2316.CNI</t>
  </si>
  <si>
    <t>小盘价值R</t>
  </si>
  <si>
    <t>CN2377.CNI</t>
  </si>
  <si>
    <t>国证成长R</t>
  </si>
  <si>
    <t>CN2370.CNI</t>
  </si>
  <si>
    <t>中盘价值R</t>
  </si>
  <si>
    <t>CN2375.CNI</t>
  </si>
  <si>
    <t>大盘成长R</t>
  </si>
  <si>
    <t>CN2372.CNI</t>
  </si>
  <si>
    <t>巨潮中盘R</t>
  </si>
  <si>
    <t>CN2315.CNI</t>
  </si>
  <si>
    <t>巨潮大盘R</t>
  </si>
  <si>
    <t>CN2314.CNI</t>
  </si>
  <si>
    <t>国证价值R</t>
  </si>
  <si>
    <t>CN2371.CNI</t>
  </si>
  <si>
    <t>中盘成长R</t>
  </si>
  <si>
    <t>CN2374.CNI</t>
  </si>
  <si>
    <t>大盘价值R</t>
  </si>
  <si>
    <t>CN2373.CNI</t>
  </si>
  <si>
    <t>行业表现</t>
    <phoneticPr fontId="11" type="noConversion"/>
  </si>
  <si>
    <t>涨跌幅</t>
    <phoneticPr fontId="11" type="noConversion"/>
  </si>
  <si>
    <t>1年涨跌幅</t>
    <phoneticPr fontId="11" type="noConversion"/>
  </si>
  <si>
    <t>年初至今</t>
    <phoneticPr fontId="11" type="noConversion"/>
  </si>
  <si>
    <t>1月涨跌幅</t>
    <phoneticPr fontId="11" type="noConversion"/>
  </si>
  <si>
    <t>风格表现1</t>
    <phoneticPr fontId="11" type="noConversion"/>
  </si>
  <si>
    <t>风格表现2</t>
    <phoneticPr fontId="11" type="noConversion"/>
  </si>
  <si>
    <t>周期(风格.中信)</t>
  </si>
  <si>
    <t>CI005918.WI</t>
  </si>
  <si>
    <t>成长(风格.中信)</t>
  </si>
  <si>
    <t>CI005920.WI</t>
  </si>
  <si>
    <t>消费(风格.中信)</t>
  </si>
  <si>
    <t>CI005919.WI</t>
  </si>
  <si>
    <t>金融(风格.中信)</t>
  </si>
  <si>
    <t>CI005917.WI</t>
  </si>
  <si>
    <t>稳定(风格.中信)</t>
  </si>
  <si>
    <t>CI005921.WI</t>
  </si>
  <si>
    <t>1月涨跌幅</t>
    <phoneticPr fontId="11" type="noConversion"/>
  </si>
  <si>
    <t>风格表现3</t>
    <phoneticPr fontId="11" type="noConversion"/>
  </si>
  <si>
    <t>消费(组合.中信)</t>
  </si>
  <si>
    <t>CI005915.WI</t>
  </si>
  <si>
    <t>交通运输(组合.中信)</t>
  </si>
  <si>
    <t>CI005914.WI</t>
  </si>
  <si>
    <t>金融地产(组合.中信)</t>
  </si>
  <si>
    <t>CI005909.WI</t>
  </si>
  <si>
    <t>工业服务(组合.中信)</t>
  </si>
  <si>
    <t>CI005913.WI</t>
  </si>
  <si>
    <t>资源能源(组合.中信)</t>
  </si>
  <si>
    <t>CI005910.WI</t>
  </si>
  <si>
    <t>设备制造(组合.中信)</t>
  </si>
  <si>
    <t>CI005912.WI</t>
  </si>
  <si>
    <t>原材料(组合.中信)</t>
  </si>
  <si>
    <t>CI005911.WI</t>
  </si>
  <si>
    <t>科技(组合.中信)</t>
  </si>
  <si>
    <t>CI005916.WI</t>
  </si>
  <si>
    <t>全球金融市场行情-行业表现</t>
    <phoneticPr fontId="11" type="noConversion"/>
  </si>
  <si>
    <t>全球金融市场行情-风格表现</t>
    <phoneticPr fontId="11" type="noConversion"/>
  </si>
  <si>
    <t>TMT(中信)</t>
  </si>
  <si>
    <t>CI005905.WI</t>
  </si>
  <si>
    <t>中游(中信)</t>
  </si>
  <si>
    <t>CI005902.WI</t>
  </si>
  <si>
    <t>上游(中信)</t>
  </si>
  <si>
    <t>CI005901.WI</t>
  </si>
  <si>
    <t>基础设施及建设(中信)</t>
  </si>
  <si>
    <t>CI005904.WI</t>
  </si>
  <si>
    <t>下游(中信)</t>
  </si>
  <si>
    <t>CI005903.WI</t>
  </si>
  <si>
    <t>风格表现4</t>
    <phoneticPr fontId="11" type="noConversion"/>
  </si>
  <si>
    <t>风格表现5</t>
    <phoneticPr fontId="11" type="noConversion"/>
  </si>
  <si>
    <t>中证医药</t>
  </si>
  <si>
    <t>000933.SH</t>
  </si>
  <si>
    <t>中证电信</t>
  </si>
  <si>
    <t>000936.CSI</t>
  </si>
  <si>
    <t>中证消费</t>
  </si>
  <si>
    <t>000932.SH</t>
  </si>
  <si>
    <t>中证能源</t>
  </si>
  <si>
    <t>000928.SH</t>
  </si>
  <si>
    <t>中证公用</t>
  </si>
  <si>
    <t>000937.CSI</t>
  </si>
  <si>
    <t>中证工业</t>
  </si>
  <si>
    <t>000930.CSI</t>
  </si>
  <si>
    <t>中证材料</t>
  </si>
  <si>
    <t>000929.CSI</t>
  </si>
  <si>
    <t>中证信息</t>
  </si>
  <si>
    <t>000935.SH</t>
  </si>
  <si>
    <t>中证可选</t>
  </si>
  <si>
    <t>000931.CSI</t>
  </si>
  <si>
    <t>中证金融</t>
  </si>
  <si>
    <t>000934.SH</t>
  </si>
  <si>
    <t>全球金融市场行情-重要商品</t>
    <phoneticPr fontId="11" type="noConversion"/>
  </si>
  <si>
    <t>重要商品</t>
    <phoneticPr fontId="11" type="noConversion"/>
  </si>
  <si>
    <t>道琼斯工业指数</t>
  </si>
  <si>
    <t>纳斯达克指数</t>
  </si>
  <si>
    <t>加拿大S&amp;P/TSX综合</t>
  </si>
  <si>
    <t>墨西哥MXX</t>
  </si>
  <si>
    <t>阿根廷MERV</t>
  </si>
  <si>
    <t>委内瑞拉IBC</t>
  </si>
  <si>
    <t>IPSA智力圣地亚哥</t>
  </si>
  <si>
    <t>纳斯达克100</t>
  </si>
  <si>
    <t>纳斯达克生物技术</t>
  </si>
  <si>
    <t>费城半导体指数</t>
  </si>
  <si>
    <t>AMEXBTK制药指数</t>
  </si>
  <si>
    <t>CBOE波动率</t>
  </si>
  <si>
    <t>MSCI美国</t>
  </si>
  <si>
    <t>纳斯达克OMX绿色经济</t>
  </si>
  <si>
    <t>纳斯达克中国科技股</t>
  </si>
  <si>
    <t>巴西IBOVESPA指数</t>
  </si>
  <si>
    <t>日经225</t>
  </si>
  <si>
    <t>韩国综合指数</t>
  </si>
  <si>
    <t>富时新加坡海峡指数</t>
  </si>
  <si>
    <t>印度SENSEX30</t>
  </si>
  <si>
    <t>澳洲标普200</t>
  </si>
  <si>
    <t>新西兰标普50</t>
  </si>
  <si>
    <t>泰国SET指数</t>
  </si>
  <si>
    <t>印尼综指</t>
  </si>
  <si>
    <t>富时马来西亚综指</t>
  </si>
  <si>
    <t>马尼拉综指</t>
  </si>
  <si>
    <t>胡志明指数</t>
  </si>
  <si>
    <t>MSCI亚太地区</t>
  </si>
  <si>
    <t>韩国KOSDAQ</t>
  </si>
  <si>
    <t>英国富时100</t>
  </si>
  <si>
    <t>法国CAC40</t>
  </si>
  <si>
    <t>德国DAX</t>
  </si>
  <si>
    <t>欧洲STOXX50(欧元)</t>
  </si>
  <si>
    <t>意大利指数</t>
  </si>
  <si>
    <t>西班牙IBEX35</t>
  </si>
  <si>
    <t>瑞士SMI</t>
  </si>
  <si>
    <t>葡萄牙PSI</t>
  </si>
  <si>
    <t>爱尔兰综指</t>
  </si>
  <si>
    <t>荷兰AEX</t>
  </si>
  <si>
    <t>比利时BFX</t>
  </si>
  <si>
    <t>卢森堡LUXX</t>
  </si>
  <si>
    <t>丹麦OMX20</t>
  </si>
  <si>
    <t>芬兰OMX全指</t>
  </si>
  <si>
    <t>挪威OSEAX</t>
  </si>
  <si>
    <t>瑞典OMX全指</t>
  </si>
  <si>
    <t>奥地利ATX</t>
  </si>
  <si>
    <t>希腊ASE综指</t>
  </si>
  <si>
    <t>华沙WIG</t>
  </si>
  <si>
    <t>布拉格综指</t>
  </si>
  <si>
    <t>俄罗斯RTS</t>
  </si>
  <si>
    <t>布达佩斯股市指数</t>
  </si>
  <si>
    <t>乌克兰股票指数</t>
  </si>
  <si>
    <t>伊斯坦堡ISE100</t>
  </si>
  <si>
    <t>欧洲STOXX600(欧元)</t>
  </si>
  <si>
    <t>开罗CASE30</t>
  </si>
  <si>
    <t>尼日利亚综指</t>
  </si>
  <si>
    <t>以色列TA100</t>
  </si>
  <si>
    <t>贝鲁特BLOM</t>
  </si>
  <si>
    <t>沙特全指</t>
  </si>
  <si>
    <t>阿联酋DFM综指</t>
  </si>
  <si>
    <t>MSCI欧澳远东</t>
  </si>
  <si>
    <t>MSCI欧洲</t>
  </si>
  <si>
    <t>欧洲证券交易所100</t>
  </si>
  <si>
    <t>欧洲证券交易所150</t>
  </si>
  <si>
    <t>德国DAX价格(欧元)</t>
  </si>
  <si>
    <t>德国DAX中盘股(欧元)</t>
  </si>
  <si>
    <t>德国DAX小盘(欧元)</t>
  </si>
  <si>
    <t>瑞典OMX30</t>
  </si>
  <si>
    <t>OMX赫尔辛基15</t>
  </si>
  <si>
    <t>恒生指数</t>
  </si>
  <si>
    <t>恒生中国企业指数</t>
  </si>
  <si>
    <t>恒生香港中资企业指数</t>
  </si>
  <si>
    <t>中华120</t>
  </si>
  <si>
    <t>台湾加权指数</t>
  </si>
  <si>
    <t>台湾柜台指数</t>
  </si>
  <si>
    <t>台湾中型100</t>
  </si>
  <si>
    <t>台湾50</t>
  </si>
  <si>
    <t>MSCI中国A股</t>
  </si>
  <si>
    <t>MSCI中国H股(美元)</t>
  </si>
  <si>
    <t>中小100</t>
  </si>
  <si>
    <t>深证100</t>
  </si>
  <si>
    <t>国证2000R</t>
  </si>
  <si>
    <t>中证转债</t>
  </si>
  <si>
    <t>上证转债</t>
  </si>
  <si>
    <t>深证转债</t>
  </si>
  <si>
    <t>中债-综合净价(总值)指数</t>
  </si>
  <si>
    <t>中证综合债(净)</t>
  </si>
  <si>
    <t>中债-综合全价(总值)指数</t>
  </si>
  <si>
    <t>中证全债</t>
  </si>
  <si>
    <t>股票基金</t>
  </si>
  <si>
    <t>债券基金</t>
  </si>
  <si>
    <t>货币基金</t>
  </si>
  <si>
    <t>美国</t>
  </si>
  <si>
    <t>亚洲</t>
  </si>
  <si>
    <t>欧洲</t>
  </si>
  <si>
    <t>其他地区</t>
  </si>
  <si>
    <t>标普500</t>
  </si>
  <si>
    <t>中国</t>
    <phoneticPr fontId="11" type="noConversion"/>
  </si>
  <si>
    <t>伦敦金现</t>
  </si>
  <si>
    <t>伦敦银现</t>
  </si>
  <si>
    <t>COMEX黄金</t>
  </si>
  <si>
    <t>COMEX白银</t>
  </si>
  <si>
    <t>SHFE黄金</t>
  </si>
  <si>
    <t>SHFE白银</t>
  </si>
  <si>
    <t>ICE布油</t>
  </si>
  <si>
    <t>NYMEX原油</t>
  </si>
  <si>
    <t>LME铜</t>
  </si>
  <si>
    <t>LME铝</t>
  </si>
  <si>
    <t>SHFE铜</t>
  </si>
  <si>
    <t>SHFE铝</t>
  </si>
  <si>
    <t>SHFE螺纹钢</t>
  </si>
  <si>
    <t>DCE铁矿石</t>
  </si>
  <si>
    <t>CZCE动力煤</t>
  </si>
  <si>
    <t>CBOT大豆</t>
  </si>
  <si>
    <t>CBOT小麦</t>
  </si>
  <si>
    <t>CBOT玉米</t>
  </si>
  <si>
    <t>DCE豆一</t>
  </si>
  <si>
    <t>DCE玉米</t>
  </si>
  <si>
    <t>ICE11号糖</t>
  </si>
  <si>
    <t>ICE2号棉花</t>
  </si>
  <si>
    <t>CZCE白糖</t>
  </si>
  <si>
    <t>CZCE棉花</t>
  </si>
  <si>
    <t>SHFE热轧卷板</t>
  </si>
  <si>
    <t>DCE聚丙烯</t>
  </si>
  <si>
    <t>CZCE强麦</t>
  </si>
  <si>
    <t>CFFEX10年期国债期货</t>
  </si>
  <si>
    <t>CFFEX5年期国债期货</t>
  </si>
  <si>
    <t>CFFEX2年期国债期货</t>
  </si>
  <si>
    <t>CA.LME</t>
    <phoneticPr fontId="11" type="noConversion"/>
  </si>
  <si>
    <t>SR.CZC</t>
    <phoneticPr fontId="11" type="noConversion"/>
  </si>
  <si>
    <t>WS.CZC</t>
    <phoneticPr fontId="11" type="noConversion"/>
  </si>
  <si>
    <t>美元兑人民币(CFETS)</t>
  </si>
  <si>
    <t>美元兑离岸人民币</t>
  </si>
  <si>
    <t>美元指数</t>
  </si>
  <si>
    <t>欧元兑美元</t>
  </si>
  <si>
    <t>美元兑日元</t>
  </si>
  <si>
    <t>英镑兑美元</t>
  </si>
  <si>
    <t>美元兑加元</t>
  </si>
  <si>
    <t>澳元兑美元</t>
  </si>
  <si>
    <t>新西兰元兑美元</t>
  </si>
  <si>
    <t>美元兑瑞郎</t>
  </si>
  <si>
    <t>美元兑港币</t>
  </si>
  <si>
    <t>美元兑新台币</t>
  </si>
  <si>
    <t>人民币指数</t>
  </si>
  <si>
    <t>美元中间价</t>
  </si>
  <si>
    <t>欧元中间价</t>
  </si>
  <si>
    <t>英镑中间价</t>
  </si>
  <si>
    <t>日元中间价</t>
  </si>
  <si>
    <t>港币中间价</t>
  </si>
  <si>
    <t>澳元中间价</t>
  </si>
  <si>
    <t>加元中间价</t>
  </si>
  <si>
    <t>俄罗斯卢布中间价</t>
  </si>
  <si>
    <t>林吉特中间价</t>
  </si>
  <si>
    <t>新西兰元中间价</t>
  </si>
  <si>
    <t>新加坡元中间价</t>
  </si>
  <si>
    <t>瑞郎中间价</t>
  </si>
  <si>
    <t>兰特中间价</t>
  </si>
  <si>
    <t>韩元中间价</t>
  </si>
  <si>
    <t>USDJPY.FX</t>
    <phoneticPr fontId="11" type="noConversion"/>
  </si>
  <si>
    <t>GBPUSD.FX</t>
    <phoneticPr fontId="11" type="noConversion"/>
  </si>
  <si>
    <t>AUDUSD.FX</t>
    <phoneticPr fontId="11" type="noConversion"/>
  </si>
  <si>
    <t>HSTECH</t>
  </si>
  <si>
    <t>HSU</t>
    <phoneticPr fontId="11" type="noConversion"/>
  </si>
  <si>
    <t>HSSCT</t>
    <phoneticPr fontId="11" type="noConversion"/>
  </si>
  <si>
    <t>HSSCNE</t>
    <phoneticPr fontId="11" type="noConversion"/>
  </si>
  <si>
    <t>HSSCHI</t>
    <phoneticPr fontId="11" type="noConversion"/>
  </si>
  <si>
    <t>HSREIT</t>
    <phoneticPr fontId="11" type="noConversion"/>
  </si>
  <si>
    <t>HSPSM</t>
    <phoneticPr fontId="11" type="noConversion"/>
  </si>
  <si>
    <t>HSP</t>
    <phoneticPr fontId="11" type="noConversion"/>
  </si>
  <si>
    <t>HSNCON</t>
    <phoneticPr fontId="11" type="noConversion"/>
  </si>
  <si>
    <t>HSIII</t>
    <phoneticPr fontId="11" type="noConversion"/>
  </si>
  <si>
    <t>HSHKBIO</t>
    <phoneticPr fontId="11" type="noConversion"/>
  </si>
  <si>
    <t>HSHCI</t>
    <phoneticPr fontId="11" type="noConversion"/>
  </si>
  <si>
    <t>HSF</t>
    <phoneticPr fontId="11" type="noConversion"/>
  </si>
  <si>
    <t>HSDII</t>
    <phoneticPr fontId="11" type="noConversion"/>
  </si>
  <si>
    <t>HSCGSI</t>
    <phoneticPr fontId="11" type="noConversion"/>
  </si>
  <si>
    <t>HSC</t>
    <phoneticPr fontId="11" type="noConversion"/>
  </si>
  <si>
    <t>恒生地产类</t>
    <phoneticPr fontId="11" type="noConversion"/>
  </si>
  <si>
    <t>恒生金融类</t>
    <phoneticPr fontId="11" type="noConversion"/>
  </si>
  <si>
    <t>恒生工商类</t>
    <phoneticPr fontId="11" type="noConversion"/>
  </si>
  <si>
    <t>最近更新：</t>
    <phoneticPr fontId="11" type="noConversion"/>
  </si>
  <si>
    <t>全球金融市场行情</t>
  </si>
  <si>
    <t>全球金融市场行情-重要商品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</si>
</sst>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yyyy\-mm\-dd"/>
    <numFmt numFmtId="177" formatCode="0.0000"/>
    <numFmt numFmtId="178" formatCode="#,##0.00_);[Red]\(#,##0.00\)"/>
  </numFmts>
  <fonts count="25">
    <font>
      <sz val="10"/>
      <name val="Arial"/>
      <family val="2"/>
    </font>
    <font>
      <sz val="11"/>
      <color theme="1"/>
      <name val="黑体"/>
      <family val="2"/>
      <charset val="134"/>
      <scheme val="minor"/>
    </font>
    <font>
      <sz val="11"/>
      <color theme="1"/>
      <name val="黑体"/>
      <family val="2"/>
      <charset val="134"/>
      <scheme val="minor"/>
    </font>
    <font>
      <sz val="10"/>
      <color indexed="8"/>
      <name val="Tahoma"/>
      <family val="2"/>
    </font>
    <font>
      <b/>
      <sz val="10"/>
      <name val="Arial"/>
      <family val="2"/>
    </font>
    <font>
      <sz val="8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Arial"/>
      <family val="2"/>
    </font>
    <font>
      <sz val="10"/>
      <color rgb="FF0066CC"/>
      <name val="Arial"/>
      <family val="2"/>
    </font>
    <font>
      <i/>
      <sz val="10"/>
      <color indexed="8"/>
      <name val="Arial"/>
      <family val="2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color theme="0"/>
      <name val="微软雅黑"/>
      <family val="2"/>
      <charset val="134"/>
    </font>
    <font>
      <sz val="10"/>
      <name val="Arial"/>
      <family val="3"/>
      <charset val="134"/>
    </font>
    <font>
      <b/>
      <sz val="10"/>
      <color theme="1" tint="0.249977111117893"/>
      <name val="宋体"/>
      <family val="3"/>
      <charset val="134"/>
    </font>
    <font>
      <sz val="12"/>
      <name val="微软雅黑"/>
      <family val="2"/>
      <charset val="134"/>
    </font>
    <font>
      <b/>
      <sz val="10"/>
      <color rgb="FF212121"/>
      <name val="Arial Unicode MS"/>
      <family val="2"/>
      <charset val="134"/>
    </font>
    <font>
      <sz val="10"/>
      <color rgb="FF212121"/>
      <name val="Arial Unicode MS"/>
      <family val="2"/>
      <charset val="134"/>
    </font>
    <font>
      <sz val="10"/>
      <name val="Arial"/>
      <family val="2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0"/>
      <color rgb="FF212121"/>
      <name val="微软雅黑"/>
      <family val="2"/>
      <charset val="134"/>
    </font>
    <font>
      <b/>
      <sz val="20"/>
      <color theme="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E1E1E1"/>
        </stop>
      </gradientFill>
    </fill>
    <fill>
      <patternFill patternType="solid">
        <fgColor rgb="FFEFF6FB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C65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11">
    <xf numFmtId="0" fontId="0" fillId="0" borderId="0"/>
    <xf numFmtId="0" fontId="6" fillId="5" borderId="0" applyNumberFormat="0" applyFont="0" applyBorder="0" applyAlignment="0" applyProtection="0"/>
    <xf numFmtId="0" fontId="4" fillId="3" borderId="3" applyNumberFormat="0" applyFill="0" applyBorder="0" applyProtection="0">
      <alignment horizontal="left"/>
    </xf>
    <xf numFmtId="0" fontId="9" fillId="3" borderId="0" applyNumberFormat="0" applyFill="0" applyBorder="0" applyProtection="0">
      <alignment horizontal="left"/>
    </xf>
    <xf numFmtId="4" fontId="10" fillId="3" borderId="0" applyNumberFormat="0" applyFill="0" applyBorder="0" applyProtection="0">
      <alignment horizontal="left"/>
    </xf>
    <xf numFmtId="0" fontId="8" fillId="4" borderId="2" applyAlignment="0">
      <alignment horizontal="right" vertical="center"/>
    </xf>
    <xf numFmtId="0" fontId="7" fillId="2" borderId="1">
      <alignment horizontal="right" vertical="center" indent="1"/>
    </xf>
    <xf numFmtId="0" fontId="9" fillId="3" borderId="0" applyNumberFormat="0" applyFill="0" applyBorder="0" applyAlignment="0" applyProtection="0">
      <alignment horizontal="right"/>
    </xf>
    <xf numFmtId="43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 applyFill="1"/>
    <xf numFmtId="0" fontId="0" fillId="6" borderId="0" xfId="0" applyFill="1"/>
    <xf numFmtId="0" fontId="14" fillId="6" borderId="0" xfId="0" applyFont="1" applyFill="1" applyAlignment="1">
      <alignment vertical="center"/>
    </xf>
    <xf numFmtId="0" fontId="0" fillId="3" borderId="0" xfId="0" applyFill="1"/>
    <xf numFmtId="0" fontId="13" fillId="3" borderId="0" xfId="0" applyFont="1" applyFill="1"/>
    <xf numFmtId="0" fontId="0" fillId="7" borderId="0" xfId="0" applyFill="1"/>
    <xf numFmtId="0" fontId="0" fillId="3" borderId="4" xfId="0" applyFill="1" applyBorder="1"/>
    <xf numFmtId="0" fontId="15" fillId="3" borderId="0" xfId="0" applyFont="1" applyFill="1"/>
    <xf numFmtId="0" fontId="16" fillId="3" borderId="0" xfId="0" applyFont="1" applyFill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17" fillId="3" borderId="4" xfId="0" applyFont="1" applyFill="1" applyBorder="1" applyAlignment="1">
      <alignment vertical="top"/>
    </xf>
    <xf numFmtId="0" fontId="19" fillId="3" borderId="0" xfId="0" applyFont="1" applyFill="1"/>
    <xf numFmtId="43" fontId="19" fillId="3" borderId="0" xfId="8" applyFont="1" applyFill="1" applyAlignment="1"/>
    <xf numFmtId="178" fontId="19" fillId="3" borderId="0" xfId="0" applyNumberFormat="1" applyFont="1" applyFill="1"/>
    <xf numFmtId="0" fontId="0" fillId="3" borderId="0" xfId="0" applyFill="1" applyBorder="1"/>
    <xf numFmtId="0" fontId="18" fillId="8" borderId="0" xfId="0" applyFont="1" applyFill="1" applyAlignment="1">
      <alignment horizontal="left"/>
    </xf>
    <xf numFmtId="0" fontId="18" fillId="8" borderId="0" xfId="0" applyFont="1" applyFill="1" applyAlignment="1">
      <alignment horizontal="right"/>
    </xf>
    <xf numFmtId="0" fontId="21" fillId="8" borderId="0" xfId="0" applyFont="1" applyFill="1" applyAlignment="1">
      <alignment horizontal="left"/>
    </xf>
    <xf numFmtId="0" fontId="21" fillId="8" borderId="0" xfId="0" applyFont="1" applyFill="1" applyAlignment="1">
      <alignment horizontal="right"/>
    </xf>
    <xf numFmtId="0" fontId="21" fillId="8" borderId="0" xfId="0" applyFont="1" applyFill="1" applyAlignment="1">
      <alignment horizontal="center"/>
    </xf>
    <xf numFmtId="0" fontId="22" fillId="3" borderId="0" xfId="0" applyFont="1" applyFill="1"/>
    <xf numFmtId="43" fontId="22" fillId="3" borderId="0" xfId="8" applyFont="1" applyFill="1" applyAlignment="1">
      <alignment horizontal="right"/>
    </xf>
    <xf numFmtId="178" fontId="22" fillId="3" borderId="0" xfId="0" applyNumberFormat="1" applyFont="1" applyFill="1"/>
    <xf numFmtId="0" fontId="22" fillId="9" borderId="0" xfId="0" applyFont="1" applyFill="1"/>
    <xf numFmtId="43" fontId="22" fillId="9" borderId="0" xfId="8" applyFont="1" applyFill="1" applyAlignment="1">
      <alignment horizontal="right"/>
    </xf>
    <xf numFmtId="178" fontId="22" fillId="9" borderId="0" xfId="0" applyNumberFormat="1" applyFont="1" applyFill="1"/>
    <xf numFmtId="0" fontId="22" fillId="3" borderId="0" xfId="0" applyFont="1" applyFill="1" applyAlignment="1">
      <alignment horizontal="left"/>
    </xf>
    <xf numFmtId="0" fontId="22" fillId="9" borderId="0" xfId="0" applyFont="1" applyFill="1" applyAlignment="1">
      <alignment horizontal="left"/>
    </xf>
    <xf numFmtId="0" fontId="23" fillId="3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23" fillId="3" borderId="0" xfId="0" applyFont="1" applyFill="1"/>
    <xf numFmtId="0" fontId="23" fillId="9" borderId="0" xfId="0" applyFont="1" applyFill="1"/>
    <xf numFmtId="43" fontId="22" fillId="3" borderId="0" xfId="8" applyFont="1" applyFill="1" applyAlignment="1"/>
    <xf numFmtId="43" fontId="22" fillId="9" borderId="0" xfId="8" applyFont="1" applyFill="1" applyAlignment="1"/>
    <xf numFmtId="0" fontId="21" fillId="10" borderId="0" xfId="0" applyFont="1" applyFill="1" applyBorder="1"/>
    <xf numFmtId="0" fontId="18" fillId="10" borderId="0" xfId="0" applyFont="1" applyFill="1" applyBorder="1"/>
    <xf numFmtId="0" fontId="21" fillId="3" borderId="0" xfId="0" applyFont="1" applyFill="1"/>
    <xf numFmtId="0" fontId="21" fillId="9" borderId="0" xfId="0" applyFont="1" applyFill="1"/>
    <xf numFmtId="0" fontId="14" fillId="6" borderId="0" xfId="0" applyFont="1" applyFill="1" applyAlignment="1">
      <alignment horizontal="right" vertical="center"/>
    </xf>
    <xf numFmtId="14" fontId="14" fillId="6" borderId="0" xfId="0" applyNumberFormat="1" applyFont="1" applyFill="1" applyAlignment="1">
      <alignment horizontal="right" vertical="center"/>
    </xf>
    <xf numFmtId="0" fontId="17" fillId="0" borderId="0" xfId="0" applyFont="1" applyAlignment="1"/>
    <xf numFmtId="2" fontId="22" fillId="3" borderId="0" xfId="8" applyNumberFormat="1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2" fontId="22" fillId="9" borderId="0" xfId="8" applyNumberFormat="1" applyFont="1" applyFill="1" applyAlignment="1">
      <alignment horizontal="center"/>
    </xf>
    <xf numFmtId="0" fontId="24" fillId="6" borderId="0" xfId="0" applyFont="1" applyFill="1" applyAlignment="1">
      <alignment vertical="center"/>
    </xf>
    <xf numFmtId="176" fontId="22" fillId="11" borderId="0" xfId="0" applyNumberFormat="1" applyFont="1" applyFill="1" applyBorder="1" applyAlignment="1">
      <alignment horizontal="center"/>
    </xf>
    <xf numFmtId="0" fontId="0" fillId="11" borderId="0" xfId="0" applyFont="1" applyFill="1"/>
  </cellXfs>
  <cellStyles count="11">
    <cellStyle name="Background" xfId="1"/>
    <cellStyle name="CompanyName" xfId="5"/>
    <cellStyle name="DataOutput" xfId="7"/>
    <cellStyle name="FactSet header" xfId="6"/>
    <cellStyle name="KeyDataCalculated" xfId="4"/>
    <cellStyle name="KeyDataOutput" xfId="3"/>
    <cellStyle name="KeyName" xfId="2"/>
    <cellStyle name="常规" xfId="0" builtinId="0" customBuiltin="1"/>
    <cellStyle name="常规 2" xfId="9"/>
    <cellStyle name="常规 3" xfId="10"/>
    <cellStyle name="千位分隔" xfId="8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339900"/>
      <rgbColor rgb="00000080"/>
      <rgbColor rgb="00996633"/>
      <rgbColor rgb="00800080"/>
      <rgbColor rgb="00009999"/>
      <rgbColor rgb="00C0C0C0"/>
      <rgbColor rgb="00646464"/>
      <rgbColor rgb="00005A9C"/>
      <rgbColor rgb="009A3366"/>
      <rgbColor rgb="008B2A2E"/>
      <rgbColor rgb="00C4A00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AEEF"/>
      <rgbColor rgb="00CCFFFF"/>
      <rgbColor rgb="00CCFFCC"/>
      <rgbColor rgb="00FFFF99"/>
      <rgbColor rgb="0099CCFF"/>
      <rgbColor rgb="00FF99CC"/>
      <rgbColor rgb="00CC99FF"/>
      <rgbColor rgb="00FFCC99"/>
      <rgbColor rgb="000066CC"/>
      <rgbColor rgb="0033CCCC"/>
      <rgbColor rgb="0099CC33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66CC"/>
      <rgbColor rgb="00333333"/>
    </indexedColors>
    <mruColors>
      <color rgb="FFE8D078"/>
      <color rgb="FF4A588E"/>
      <color rgb="FFD15757"/>
      <color rgb="FFF68616"/>
      <color rgb="FF2277A2"/>
      <color rgb="FF5FBEC0"/>
      <color rgb="FF2276A1"/>
      <color rgb="FF4B588D"/>
      <color rgb="FFDF5D5D"/>
      <color rgb="FFE4C6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全球股指!$D$122:$D$126</c:f>
              <c:strCache>
                <c:ptCount val="5"/>
                <c:pt idx="0">
                  <c:v>CBOE波动率</c:v>
                </c:pt>
                <c:pt idx="1">
                  <c:v>委内瑞拉IBC</c:v>
                </c:pt>
                <c:pt idx="2">
                  <c:v>葡萄牙PSI</c:v>
                </c:pt>
                <c:pt idx="3">
                  <c:v>阿根廷MERV</c:v>
                </c:pt>
                <c:pt idx="4">
                  <c:v>台湾50</c:v>
                </c:pt>
              </c:strCache>
            </c:strRef>
          </c:cat>
          <c:val>
            <c:numRef>
              <c:f>全球股指!$E$122:$E$126</c:f>
              <c:numCache>
                <c:formatCode>0.00</c:formatCode>
                <c:ptCount val="5"/>
                <c:pt idx="0">
                  <c:v>7.9850280723642975</c:v>
                </c:pt>
                <c:pt idx="1">
                  <c:v>3.8236913703821207</c:v>
                </c:pt>
                <c:pt idx="2">
                  <c:v>3.1515645554544003</c:v>
                </c:pt>
                <c:pt idx="3">
                  <c:v>2.4829789066879826</c:v>
                </c:pt>
                <c:pt idx="4">
                  <c:v>2.2454240864658415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B-43B4-9B30-5E755276B4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全球股指!$D$122:$D$126</c:f>
              <c:strCache>
                <c:ptCount val="5"/>
                <c:pt idx="0">
                  <c:v>CBOE波动率</c:v>
                </c:pt>
                <c:pt idx="1">
                  <c:v>委内瑞拉IBC</c:v>
                </c:pt>
                <c:pt idx="2">
                  <c:v>葡萄牙PSI</c:v>
                </c:pt>
                <c:pt idx="3">
                  <c:v>阿根廷MERV</c:v>
                </c:pt>
                <c:pt idx="4">
                  <c:v>台湾50</c:v>
                </c:pt>
              </c:strCache>
            </c:strRef>
          </c:cat>
          <c:val>
            <c:numRef>
              <c:f>全球股指!$F$122:$F$126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5CFB-43B4-9B30-5E755276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795423"/>
        <c:axId val="1409795839"/>
      </c:barChart>
      <c:catAx>
        <c:axId val="14097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409795839"/>
        <c:crosses val="autoZero"/>
        <c:auto val="1"/>
        <c:lblAlgn val="ctr"/>
        <c:lblOffset val="100"/>
        <c:noMultiLvlLbl val="0"/>
      </c:catAx>
      <c:valAx>
        <c:axId val="14097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40979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全球股指!$D$133:$D$137</c:f>
              <c:strCache>
                <c:ptCount val="5"/>
                <c:pt idx="0">
                  <c:v>创业板指</c:v>
                </c:pt>
                <c:pt idx="1">
                  <c:v>深证100</c:v>
                </c:pt>
                <c:pt idx="2">
                  <c:v>深证成指</c:v>
                </c:pt>
                <c:pt idx="3">
                  <c:v>国证2000R</c:v>
                </c:pt>
                <c:pt idx="4">
                  <c:v>中证1000</c:v>
                </c:pt>
              </c:strCache>
            </c:strRef>
          </c:cat>
          <c:val>
            <c:numRef>
              <c:f>全球股指!$E$133:$E$137</c:f>
              <c:numCache>
                <c:formatCode>0.00</c:formatCode>
                <c:ptCount val="5"/>
                <c:pt idx="0">
                  <c:v>-4.2129099353840349</c:v>
                </c:pt>
                <c:pt idx="1">
                  <c:v>-3.8843093293280839</c:v>
                </c:pt>
                <c:pt idx="2">
                  <c:v>-3.3162783660577344</c:v>
                </c:pt>
                <c:pt idx="3">
                  <c:v>-3.2485726326813236</c:v>
                </c:pt>
                <c:pt idx="4">
                  <c:v>-2.947816207830023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6-46DB-BCDA-85D33F945A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全球股指!$D$133:$D$137</c:f>
              <c:strCache>
                <c:ptCount val="5"/>
                <c:pt idx="0">
                  <c:v>创业板指</c:v>
                </c:pt>
                <c:pt idx="1">
                  <c:v>深证100</c:v>
                </c:pt>
                <c:pt idx="2">
                  <c:v>深证成指</c:v>
                </c:pt>
                <c:pt idx="3">
                  <c:v>国证2000R</c:v>
                </c:pt>
                <c:pt idx="4">
                  <c:v>中证1000</c:v>
                </c:pt>
              </c:strCache>
            </c:strRef>
          </c:cat>
          <c:val>
            <c:numRef>
              <c:f>全球股指!$F$133:$F$137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2A66-46DB-BCDA-85D33F94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795423"/>
        <c:axId val="1409795839"/>
      </c:barChart>
      <c:catAx>
        <c:axId val="14097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409795839"/>
        <c:crosses val="autoZero"/>
        <c:auto val="1"/>
        <c:lblAlgn val="ctr"/>
        <c:lblOffset val="100"/>
        <c:noMultiLvlLbl val="0"/>
      </c:catAx>
      <c:valAx>
        <c:axId val="14097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40979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行业表现!$C$9:$C$49</c:f>
              <c:strCache>
                <c:ptCount val="41"/>
                <c:pt idx="0">
                  <c:v>能源</c:v>
                </c:pt>
                <c:pt idx="1">
                  <c:v>材料</c:v>
                </c:pt>
                <c:pt idx="2">
                  <c:v>工业</c:v>
                </c:pt>
                <c:pt idx="3">
                  <c:v>可选消费</c:v>
                </c:pt>
                <c:pt idx="4">
                  <c:v>日常消费</c:v>
                </c:pt>
                <c:pt idx="5">
                  <c:v>医疗保健</c:v>
                </c:pt>
                <c:pt idx="6">
                  <c:v>金融</c:v>
                </c:pt>
                <c:pt idx="7">
                  <c:v>信息技术</c:v>
                </c:pt>
                <c:pt idx="8">
                  <c:v>电信服务</c:v>
                </c:pt>
                <c:pt idx="9">
                  <c:v>公用事业</c:v>
                </c:pt>
                <c:pt idx="10">
                  <c:v>房地产</c:v>
                </c:pt>
                <c:pt idx="11">
                  <c:v>中证1000</c:v>
                </c:pt>
                <c:pt idx="12">
                  <c:v>国证2000R</c:v>
                </c:pt>
                <c:pt idx="13">
                  <c:v>创业板指</c:v>
                </c:pt>
                <c:pt idx="14">
                  <c:v>中证500</c:v>
                </c:pt>
                <c:pt idx="15">
                  <c:v>中证全指</c:v>
                </c:pt>
                <c:pt idx="16">
                  <c:v>深证成指</c:v>
                </c:pt>
                <c:pt idx="17">
                  <c:v>上证指数</c:v>
                </c:pt>
                <c:pt idx="18">
                  <c:v>中证800</c:v>
                </c:pt>
                <c:pt idx="19">
                  <c:v>深证100R</c:v>
                </c:pt>
                <c:pt idx="20">
                  <c:v>上证180</c:v>
                </c:pt>
                <c:pt idx="21">
                  <c:v>沪深300</c:v>
                </c:pt>
                <c:pt idx="22">
                  <c:v>上证50</c:v>
                </c:pt>
                <c:pt idx="23">
                  <c:v>中证100</c:v>
                </c:pt>
                <c:pt idx="24">
                  <c:v>中小100</c:v>
                </c:pt>
                <c:pt idx="25">
                  <c:v>恒生公用事业类</c:v>
                </c:pt>
                <c:pt idx="26">
                  <c:v>恒生科技</c:v>
                </c:pt>
                <c:pt idx="27">
                  <c:v>恒生港股通中国科技</c:v>
                </c:pt>
                <c:pt idx="28">
                  <c:v>恒生港股通新经济</c:v>
                </c:pt>
                <c:pt idx="29">
                  <c:v>恒生港股通医疗保健指数</c:v>
                </c:pt>
                <c:pt idx="30">
                  <c:v>恒生REIT</c:v>
                </c:pt>
                <c:pt idx="31">
                  <c:v>恒生物业服务及管理</c:v>
                </c:pt>
                <c:pt idx="32">
                  <c:v>恒生地产类</c:v>
                </c:pt>
                <c:pt idx="33">
                  <c:v>恒生新消费</c:v>
                </c:pt>
                <c:pt idx="34">
                  <c:v>恒生互联网科技业</c:v>
                </c:pt>
                <c:pt idx="35">
                  <c:v>恒生香港上市生物科技</c:v>
                </c:pt>
                <c:pt idx="36">
                  <c:v>恒生医疗保健</c:v>
                </c:pt>
                <c:pt idx="37">
                  <c:v>恒生金融类</c:v>
                </c:pt>
                <c:pt idx="38">
                  <c:v>恒生防御行业</c:v>
                </c:pt>
                <c:pt idx="39">
                  <c:v>恒生消费</c:v>
                </c:pt>
                <c:pt idx="40">
                  <c:v>恒生工商类</c:v>
                </c:pt>
              </c:strCache>
            </c:strRef>
          </c:cat>
          <c:val>
            <c:numRef>
              <c:f>行业表现!$F$9:$F$49</c:f>
              <c:numCache>
                <c:formatCode>#,##0.00_);[Red]\(#,##0.00\)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3-41F8-B3DD-E17D96DB3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行业表现!$C$9:$C$49</c:f>
              <c:strCache>
                <c:ptCount val="41"/>
                <c:pt idx="0">
                  <c:v>能源</c:v>
                </c:pt>
                <c:pt idx="1">
                  <c:v>材料</c:v>
                </c:pt>
                <c:pt idx="2">
                  <c:v>工业</c:v>
                </c:pt>
                <c:pt idx="3">
                  <c:v>可选消费</c:v>
                </c:pt>
                <c:pt idx="4">
                  <c:v>日常消费</c:v>
                </c:pt>
                <c:pt idx="5">
                  <c:v>医疗保健</c:v>
                </c:pt>
                <c:pt idx="6">
                  <c:v>金融</c:v>
                </c:pt>
                <c:pt idx="7">
                  <c:v>信息技术</c:v>
                </c:pt>
                <c:pt idx="8">
                  <c:v>电信服务</c:v>
                </c:pt>
                <c:pt idx="9">
                  <c:v>公用事业</c:v>
                </c:pt>
                <c:pt idx="10">
                  <c:v>房地产</c:v>
                </c:pt>
                <c:pt idx="11">
                  <c:v>中证1000</c:v>
                </c:pt>
                <c:pt idx="12">
                  <c:v>国证2000R</c:v>
                </c:pt>
                <c:pt idx="13">
                  <c:v>创业板指</c:v>
                </c:pt>
                <c:pt idx="14">
                  <c:v>中证500</c:v>
                </c:pt>
                <c:pt idx="15">
                  <c:v>中证全指</c:v>
                </c:pt>
                <c:pt idx="16">
                  <c:v>深证成指</c:v>
                </c:pt>
                <c:pt idx="17">
                  <c:v>上证指数</c:v>
                </c:pt>
                <c:pt idx="18">
                  <c:v>中证800</c:v>
                </c:pt>
                <c:pt idx="19">
                  <c:v>深证100R</c:v>
                </c:pt>
                <c:pt idx="20">
                  <c:v>上证180</c:v>
                </c:pt>
                <c:pt idx="21">
                  <c:v>沪深300</c:v>
                </c:pt>
                <c:pt idx="22">
                  <c:v>上证50</c:v>
                </c:pt>
                <c:pt idx="23">
                  <c:v>中证100</c:v>
                </c:pt>
                <c:pt idx="24">
                  <c:v>中小100</c:v>
                </c:pt>
                <c:pt idx="25">
                  <c:v>恒生公用事业类</c:v>
                </c:pt>
                <c:pt idx="26">
                  <c:v>恒生科技</c:v>
                </c:pt>
                <c:pt idx="27">
                  <c:v>恒生港股通中国科技</c:v>
                </c:pt>
                <c:pt idx="28">
                  <c:v>恒生港股通新经济</c:v>
                </c:pt>
                <c:pt idx="29">
                  <c:v>恒生港股通医疗保健指数</c:v>
                </c:pt>
                <c:pt idx="30">
                  <c:v>恒生REIT</c:v>
                </c:pt>
                <c:pt idx="31">
                  <c:v>恒生物业服务及管理</c:v>
                </c:pt>
                <c:pt idx="32">
                  <c:v>恒生地产类</c:v>
                </c:pt>
                <c:pt idx="33">
                  <c:v>恒生新消费</c:v>
                </c:pt>
                <c:pt idx="34">
                  <c:v>恒生互联网科技业</c:v>
                </c:pt>
                <c:pt idx="35">
                  <c:v>恒生香港上市生物科技</c:v>
                </c:pt>
                <c:pt idx="36">
                  <c:v>恒生医疗保健</c:v>
                </c:pt>
                <c:pt idx="37">
                  <c:v>恒生金融类</c:v>
                </c:pt>
                <c:pt idx="38">
                  <c:v>恒生防御行业</c:v>
                </c:pt>
                <c:pt idx="39">
                  <c:v>恒生消费</c:v>
                </c:pt>
                <c:pt idx="40">
                  <c:v>恒生工商类</c:v>
                </c:pt>
              </c:strCache>
            </c:strRef>
          </c:cat>
          <c:val>
            <c:numRef>
              <c:f>行业表现!$G$9:$G$49</c:f>
              <c:numCache>
                <c:formatCode>#,##0.00_);[Red]\(#,##0.00\)</c:formatCode>
                <c:ptCount val="41"/>
                <c:pt idx="0">
                  <c:v>0.5603358491790944</c:v>
                </c:pt>
                <c:pt idx="1">
                  <c:v>-0.83951113566107516</c:v>
                </c:pt>
                <c:pt idx="2">
                  <c:v>-2.6452073308424806</c:v>
                </c:pt>
                <c:pt idx="3">
                  <c:v>-1.7314088721423704</c:v>
                </c:pt>
                <c:pt idx="4">
                  <c:v>-5.3852018489599534</c:v>
                </c:pt>
                <c:pt idx="5">
                  <c:v>-3.2134572293806118</c:v>
                </c:pt>
                <c:pt idx="6">
                  <c:v>-2.9643167533971226</c:v>
                </c:pt>
                <c:pt idx="7">
                  <c:v>-4.1573215185871089</c:v>
                </c:pt>
                <c:pt idx="8">
                  <c:v>-2.6744109480636769</c:v>
                </c:pt>
                <c:pt idx="9">
                  <c:v>2.6723068533208272</c:v>
                </c:pt>
                <c:pt idx="10">
                  <c:v>-7.02658345969005</c:v>
                </c:pt>
                <c:pt idx="11">
                  <c:v>-2.947816207830023</c:v>
                </c:pt>
                <c:pt idx="12">
                  <c:v>-3.2485726326813236</c:v>
                </c:pt>
                <c:pt idx="13">
                  <c:v>-4.2129099353840349</c:v>
                </c:pt>
                <c:pt idx="14">
                  <c:v>-1.8117903349524678</c:v>
                </c:pt>
                <c:pt idx="15">
                  <c:v>-2.718621918278108</c:v>
                </c:pt>
                <c:pt idx="16">
                  <c:v>-3.3162783660577344</c:v>
                </c:pt>
                <c:pt idx="17">
                  <c:v>-1.623251769241274</c:v>
                </c:pt>
                <c:pt idx="18">
                  <c:v>-2.3789812927900389</c:v>
                </c:pt>
                <c:pt idx="19">
                  <c:v>-3.8843070684009162</c:v>
                </c:pt>
                <c:pt idx="20">
                  <c:v>-1.9283206475247727</c:v>
                </c:pt>
                <c:pt idx="21">
                  <c:v>-2.5776142186770268</c:v>
                </c:pt>
                <c:pt idx="22">
                  <c:v>-2.3093825984941807</c:v>
                </c:pt>
                <c:pt idx="23">
                  <c:v>-2.6499446576428554</c:v>
                </c:pt>
                <c:pt idx="24">
                  <c:v>-2.9007047294221544</c:v>
                </c:pt>
                <c:pt idx="25">
                  <c:v>1.6310517064046293</c:v>
                </c:pt>
                <c:pt idx="26">
                  <c:v>0.68330198876231929</c:v>
                </c:pt>
                <c:pt idx="27">
                  <c:v>0.69012328791870914</c:v>
                </c:pt>
                <c:pt idx="28">
                  <c:v>1.6895386788311262</c:v>
                </c:pt>
                <c:pt idx="29">
                  <c:v>9.3603559304966666E-2</c:v>
                </c:pt>
                <c:pt idx="30">
                  <c:v>-4.2623098220072597</c:v>
                </c:pt>
                <c:pt idx="31">
                  <c:v>-1.3978646589492882</c:v>
                </c:pt>
                <c:pt idx="32">
                  <c:v>-2.6022016791855562</c:v>
                </c:pt>
                <c:pt idx="33">
                  <c:v>1.1518485992287886</c:v>
                </c:pt>
                <c:pt idx="34">
                  <c:v>-5.7658144342753737E-2</c:v>
                </c:pt>
                <c:pt idx="35">
                  <c:v>0.531480497258352</c:v>
                </c:pt>
                <c:pt idx="36">
                  <c:v>0.48421815978740845</c:v>
                </c:pt>
                <c:pt idx="37">
                  <c:v>-1.3168755872148719</c:v>
                </c:pt>
                <c:pt idx="38">
                  <c:v>0.7093387633667847</c:v>
                </c:pt>
                <c:pt idx="39">
                  <c:v>-0.67382668824480518</c:v>
                </c:pt>
                <c:pt idx="40">
                  <c:v>0.82278494584457906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E99-B743-89B213734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行业表现!$C$9:$C$49</c:f>
              <c:strCache>
                <c:ptCount val="41"/>
                <c:pt idx="0">
                  <c:v>能源</c:v>
                </c:pt>
                <c:pt idx="1">
                  <c:v>材料</c:v>
                </c:pt>
                <c:pt idx="2">
                  <c:v>工业</c:v>
                </c:pt>
                <c:pt idx="3">
                  <c:v>可选消费</c:v>
                </c:pt>
                <c:pt idx="4">
                  <c:v>日常消费</c:v>
                </c:pt>
                <c:pt idx="5">
                  <c:v>医疗保健</c:v>
                </c:pt>
                <c:pt idx="6">
                  <c:v>金融</c:v>
                </c:pt>
                <c:pt idx="7">
                  <c:v>信息技术</c:v>
                </c:pt>
                <c:pt idx="8">
                  <c:v>电信服务</c:v>
                </c:pt>
                <c:pt idx="9">
                  <c:v>公用事业</c:v>
                </c:pt>
                <c:pt idx="10">
                  <c:v>房地产</c:v>
                </c:pt>
                <c:pt idx="11">
                  <c:v>中证1000</c:v>
                </c:pt>
                <c:pt idx="12">
                  <c:v>国证2000R</c:v>
                </c:pt>
                <c:pt idx="13">
                  <c:v>创业板指</c:v>
                </c:pt>
                <c:pt idx="14">
                  <c:v>中证500</c:v>
                </c:pt>
                <c:pt idx="15">
                  <c:v>中证全指</c:v>
                </c:pt>
                <c:pt idx="16">
                  <c:v>深证成指</c:v>
                </c:pt>
                <c:pt idx="17">
                  <c:v>上证指数</c:v>
                </c:pt>
                <c:pt idx="18">
                  <c:v>中证800</c:v>
                </c:pt>
                <c:pt idx="19">
                  <c:v>深证100R</c:v>
                </c:pt>
                <c:pt idx="20">
                  <c:v>上证180</c:v>
                </c:pt>
                <c:pt idx="21">
                  <c:v>沪深300</c:v>
                </c:pt>
                <c:pt idx="22">
                  <c:v>上证50</c:v>
                </c:pt>
                <c:pt idx="23">
                  <c:v>中证100</c:v>
                </c:pt>
                <c:pt idx="24">
                  <c:v>中小100</c:v>
                </c:pt>
                <c:pt idx="25">
                  <c:v>恒生公用事业类</c:v>
                </c:pt>
                <c:pt idx="26">
                  <c:v>恒生科技</c:v>
                </c:pt>
                <c:pt idx="27">
                  <c:v>恒生港股通中国科技</c:v>
                </c:pt>
                <c:pt idx="28">
                  <c:v>恒生港股通新经济</c:v>
                </c:pt>
                <c:pt idx="29">
                  <c:v>恒生港股通医疗保健指数</c:v>
                </c:pt>
                <c:pt idx="30">
                  <c:v>恒生REIT</c:v>
                </c:pt>
                <c:pt idx="31">
                  <c:v>恒生物业服务及管理</c:v>
                </c:pt>
                <c:pt idx="32">
                  <c:v>恒生地产类</c:v>
                </c:pt>
                <c:pt idx="33">
                  <c:v>恒生新消费</c:v>
                </c:pt>
                <c:pt idx="34">
                  <c:v>恒生互联网科技业</c:v>
                </c:pt>
                <c:pt idx="35">
                  <c:v>恒生香港上市生物科技</c:v>
                </c:pt>
                <c:pt idx="36">
                  <c:v>恒生医疗保健</c:v>
                </c:pt>
                <c:pt idx="37">
                  <c:v>恒生金融类</c:v>
                </c:pt>
                <c:pt idx="38">
                  <c:v>恒生防御行业</c:v>
                </c:pt>
                <c:pt idx="39">
                  <c:v>恒生消费</c:v>
                </c:pt>
                <c:pt idx="40">
                  <c:v>恒生工商类</c:v>
                </c:pt>
              </c:strCache>
            </c:strRef>
          </c:cat>
          <c:val>
            <c:numRef>
              <c:f>行业表现!$H$9:$H$49</c:f>
              <c:numCache>
                <c:formatCode>#,##0.00_);[Red]\(#,##0.00\)</c:formatCode>
                <c:ptCount val="41"/>
                <c:pt idx="0">
                  <c:v>5.8641246032676841</c:v>
                </c:pt>
                <c:pt idx="1">
                  <c:v>5.9792123388203722</c:v>
                </c:pt>
                <c:pt idx="2">
                  <c:v>-1.5937565462950443</c:v>
                </c:pt>
                <c:pt idx="3">
                  <c:v>-0.9238614443124793</c:v>
                </c:pt>
                <c:pt idx="4">
                  <c:v>-4.114424689477902</c:v>
                </c:pt>
                <c:pt idx="5">
                  <c:v>-6.4134217116670111</c:v>
                </c:pt>
                <c:pt idx="6">
                  <c:v>-3.8376460337257501</c:v>
                </c:pt>
                <c:pt idx="7">
                  <c:v>-9.5609958472735457</c:v>
                </c:pt>
                <c:pt idx="8">
                  <c:v>5.8444775641763869E-3</c:v>
                </c:pt>
                <c:pt idx="9">
                  <c:v>4.2190601439579867</c:v>
                </c:pt>
                <c:pt idx="10">
                  <c:v>-10.918903562451199</c:v>
                </c:pt>
                <c:pt idx="11">
                  <c:v>-3.3144108249946402</c:v>
                </c:pt>
                <c:pt idx="12">
                  <c:v>-3.4139354690913892</c:v>
                </c:pt>
                <c:pt idx="13">
                  <c:v>-6.9794250843272181</c:v>
                </c:pt>
                <c:pt idx="14">
                  <c:v>-2.5464585907225668</c:v>
                </c:pt>
                <c:pt idx="15">
                  <c:v>-2.8214645811539985</c:v>
                </c:pt>
                <c:pt idx="16">
                  <c:v>-3.9225315048622145</c:v>
                </c:pt>
                <c:pt idx="17">
                  <c:v>-0.80034243647798542</c:v>
                </c:pt>
                <c:pt idx="18">
                  <c:v>-2.6610046280169053</c:v>
                </c:pt>
                <c:pt idx="19">
                  <c:v>-4.3516739696753408</c:v>
                </c:pt>
                <c:pt idx="20">
                  <c:v>-1.8970965008851759</c:v>
                </c:pt>
                <c:pt idx="21">
                  <c:v>-2.7019133844535803</c:v>
                </c:pt>
                <c:pt idx="22">
                  <c:v>-2.2058769312154003</c:v>
                </c:pt>
                <c:pt idx="23">
                  <c:v>-2.027374665327486</c:v>
                </c:pt>
                <c:pt idx="24">
                  <c:v>-3.8518471850110481</c:v>
                </c:pt>
                <c:pt idx="25">
                  <c:v>-2.5184017160409966</c:v>
                </c:pt>
                <c:pt idx="26">
                  <c:v>-4.9730601974673938</c:v>
                </c:pt>
                <c:pt idx="27">
                  <c:v>-5.3935298011799748</c:v>
                </c:pt>
                <c:pt idx="28">
                  <c:v>-3.7569998916145875</c:v>
                </c:pt>
                <c:pt idx="29">
                  <c:v>-13.383505672584473</c:v>
                </c:pt>
                <c:pt idx="30">
                  <c:v>-13.886052616503408</c:v>
                </c:pt>
                <c:pt idx="31">
                  <c:v>-8.7232916465963655</c:v>
                </c:pt>
                <c:pt idx="32">
                  <c:v>-8.9119134690170636</c:v>
                </c:pt>
                <c:pt idx="33">
                  <c:v>-1.9141022640434713</c:v>
                </c:pt>
                <c:pt idx="34">
                  <c:v>-3.5467570358636014</c:v>
                </c:pt>
                <c:pt idx="35">
                  <c:v>-13.186616367971526</c:v>
                </c:pt>
                <c:pt idx="36">
                  <c:v>-12.546137253335466</c:v>
                </c:pt>
                <c:pt idx="37">
                  <c:v>-5.3026227394197489</c:v>
                </c:pt>
                <c:pt idx="38">
                  <c:v>-2.7255650166648993</c:v>
                </c:pt>
                <c:pt idx="39">
                  <c:v>1.1427845851064156E-2</c:v>
                </c:pt>
                <c:pt idx="40">
                  <c:v>0.33503339664111564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C-45B1-BC99-48A0F4D8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行业表现!$C$9:$C$49</c:f>
              <c:strCache>
                <c:ptCount val="41"/>
                <c:pt idx="0">
                  <c:v>能源</c:v>
                </c:pt>
                <c:pt idx="1">
                  <c:v>材料</c:v>
                </c:pt>
                <c:pt idx="2">
                  <c:v>工业</c:v>
                </c:pt>
                <c:pt idx="3">
                  <c:v>可选消费</c:v>
                </c:pt>
                <c:pt idx="4">
                  <c:v>日常消费</c:v>
                </c:pt>
                <c:pt idx="5">
                  <c:v>医疗保健</c:v>
                </c:pt>
                <c:pt idx="6">
                  <c:v>金融</c:v>
                </c:pt>
                <c:pt idx="7">
                  <c:v>信息技术</c:v>
                </c:pt>
                <c:pt idx="8">
                  <c:v>电信服务</c:v>
                </c:pt>
                <c:pt idx="9">
                  <c:v>公用事业</c:v>
                </c:pt>
                <c:pt idx="10">
                  <c:v>房地产</c:v>
                </c:pt>
                <c:pt idx="11">
                  <c:v>中证1000</c:v>
                </c:pt>
                <c:pt idx="12">
                  <c:v>国证2000R</c:v>
                </c:pt>
                <c:pt idx="13">
                  <c:v>创业板指</c:v>
                </c:pt>
                <c:pt idx="14">
                  <c:v>中证500</c:v>
                </c:pt>
                <c:pt idx="15">
                  <c:v>中证全指</c:v>
                </c:pt>
                <c:pt idx="16">
                  <c:v>深证成指</c:v>
                </c:pt>
                <c:pt idx="17">
                  <c:v>上证指数</c:v>
                </c:pt>
                <c:pt idx="18">
                  <c:v>中证800</c:v>
                </c:pt>
                <c:pt idx="19">
                  <c:v>深证100R</c:v>
                </c:pt>
                <c:pt idx="20">
                  <c:v>上证180</c:v>
                </c:pt>
                <c:pt idx="21">
                  <c:v>沪深300</c:v>
                </c:pt>
                <c:pt idx="22">
                  <c:v>上证50</c:v>
                </c:pt>
                <c:pt idx="23">
                  <c:v>中证100</c:v>
                </c:pt>
                <c:pt idx="24">
                  <c:v>中小100</c:v>
                </c:pt>
                <c:pt idx="25">
                  <c:v>恒生公用事业类</c:v>
                </c:pt>
                <c:pt idx="26">
                  <c:v>恒生科技</c:v>
                </c:pt>
                <c:pt idx="27">
                  <c:v>恒生港股通中国科技</c:v>
                </c:pt>
                <c:pt idx="28">
                  <c:v>恒生港股通新经济</c:v>
                </c:pt>
                <c:pt idx="29">
                  <c:v>恒生港股通医疗保健指数</c:v>
                </c:pt>
                <c:pt idx="30">
                  <c:v>恒生REIT</c:v>
                </c:pt>
                <c:pt idx="31">
                  <c:v>恒生物业服务及管理</c:v>
                </c:pt>
                <c:pt idx="32">
                  <c:v>恒生地产类</c:v>
                </c:pt>
                <c:pt idx="33">
                  <c:v>恒生新消费</c:v>
                </c:pt>
                <c:pt idx="34">
                  <c:v>恒生互联网科技业</c:v>
                </c:pt>
                <c:pt idx="35">
                  <c:v>恒生香港上市生物科技</c:v>
                </c:pt>
                <c:pt idx="36">
                  <c:v>恒生医疗保健</c:v>
                </c:pt>
                <c:pt idx="37">
                  <c:v>恒生金融类</c:v>
                </c:pt>
                <c:pt idx="38">
                  <c:v>恒生防御行业</c:v>
                </c:pt>
                <c:pt idx="39">
                  <c:v>恒生消费</c:v>
                </c:pt>
                <c:pt idx="40">
                  <c:v>恒生工商类</c:v>
                </c:pt>
              </c:strCache>
            </c:strRef>
          </c:cat>
          <c:val>
            <c:numRef>
              <c:f>行业表现!$K$9:$K$49</c:f>
              <c:numCache>
                <c:formatCode>#,##0.00_);[Red]\(#,##0.00\)</c:formatCode>
                <c:ptCount val="41"/>
                <c:pt idx="0">
                  <c:v>24.956286739530654</c:v>
                </c:pt>
                <c:pt idx="1">
                  <c:v>-14.946829422787921</c:v>
                </c:pt>
                <c:pt idx="2">
                  <c:v>-14.962541400997276</c:v>
                </c:pt>
                <c:pt idx="3">
                  <c:v>-4.9951386141894432</c:v>
                </c:pt>
                <c:pt idx="4">
                  <c:v>-16.723113416449408</c:v>
                </c:pt>
                <c:pt idx="5">
                  <c:v>-24.629578094617965</c:v>
                </c:pt>
                <c:pt idx="6">
                  <c:v>-2.1194159147016278</c:v>
                </c:pt>
                <c:pt idx="7">
                  <c:v>-28.730567825835152</c:v>
                </c:pt>
                <c:pt idx="8">
                  <c:v>-9.6819840354003261</c:v>
                </c:pt>
                <c:pt idx="9">
                  <c:v>8.4156726726871902</c:v>
                </c:pt>
                <c:pt idx="10">
                  <c:v>-36.836588002185735</c:v>
                </c:pt>
                <c:pt idx="11">
                  <c:v>-23.368616106560669</c:v>
                </c:pt>
                <c:pt idx="12">
                  <c:v>-19.926564831261707</c:v>
                </c:pt>
                <c:pt idx="13">
                  <c:v>-26.722668362041858</c:v>
                </c:pt>
                <c:pt idx="14">
                  <c:v>-17.603271862179181</c:v>
                </c:pt>
                <c:pt idx="15">
                  <c:v>-17.04684878566227</c:v>
                </c:pt>
                <c:pt idx="16">
                  <c:v>-21.393873162597632</c:v>
                </c:pt>
                <c:pt idx="17">
                  <c:v>-9.007158889570821</c:v>
                </c:pt>
                <c:pt idx="18">
                  <c:v>-15.391853517773669</c:v>
                </c:pt>
                <c:pt idx="19">
                  <c:v>-20.632368217991569</c:v>
                </c:pt>
                <c:pt idx="20">
                  <c:v>-11.333201582830766</c:v>
                </c:pt>
                <c:pt idx="21">
                  <c:v>-14.577115249512484</c:v>
                </c:pt>
                <c:pt idx="22">
                  <c:v>-11.084841168804404</c:v>
                </c:pt>
                <c:pt idx="23">
                  <c:v>-15.566652644695111</c:v>
                </c:pt>
                <c:pt idx="24">
                  <c:v>-26.464724388920036</c:v>
                </c:pt>
                <c:pt idx="25">
                  <c:v>-7.0066285472316299</c:v>
                </c:pt>
                <c:pt idx="26">
                  <c:v>-16.476074858468472</c:v>
                </c:pt>
                <c:pt idx="27">
                  <c:v>-22.480483070094049</c:v>
                </c:pt>
                <c:pt idx="28">
                  <c:v>-20.237917013491757</c:v>
                </c:pt>
                <c:pt idx="29">
                  <c:v>-42.398693568072879</c:v>
                </c:pt>
                <c:pt idx="30">
                  <c:v>-45.81156273325643</c:v>
                </c:pt>
                <c:pt idx="31">
                  <c:v>-50.99313220583587</c:v>
                </c:pt>
                <c:pt idx="32">
                  <c:v>-41.953967257122102</c:v>
                </c:pt>
                <c:pt idx="33">
                  <c:v>-18.848481455040901</c:v>
                </c:pt>
                <c:pt idx="34">
                  <c:v>-24.886296647654294</c:v>
                </c:pt>
                <c:pt idx="35">
                  <c:v>-42.397165649093097</c:v>
                </c:pt>
                <c:pt idx="36">
                  <c:v>-43.275105323432314</c:v>
                </c:pt>
                <c:pt idx="37">
                  <c:v>-16.788333955923019</c:v>
                </c:pt>
                <c:pt idx="38">
                  <c:v>-19.206737764691784</c:v>
                </c:pt>
                <c:pt idx="39">
                  <c:v>-21.687861041788871</c:v>
                </c:pt>
                <c:pt idx="40">
                  <c:v>-16.249111600757381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0-4991-806F-7178C424C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行业表现!$C$9:$C$49</c:f>
              <c:strCache>
                <c:ptCount val="41"/>
                <c:pt idx="0">
                  <c:v>能源</c:v>
                </c:pt>
                <c:pt idx="1">
                  <c:v>材料</c:v>
                </c:pt>
                <c:pt idx="2">
                  <c:v>工业</c:v>
                </c:pt>
                <c:pt idx="3">
                  <c:v>可选消费</c:v>
                </c:pt>
                <c:pt idx="4">
                  <c:v>日常消费</c:v>
                </c:pt>
                <c:pt idx="5">
                  <c:v>医疗保健</c:v>
                </c:pt>
                <c:pt idx="6">
                  <c:v>金融</c:v>
                </c:pt>
                <c:pt idx="7">
                  <c:v>信息技术</c:v>
                </c:pt>
                <c:pt idx="8">
                  <c:v>电信服务</c:v>
                </c:pt>
                <c:pt idx="9">
                  <c:v>公用事业</c:v>
                </c:pt>
                <c:pt idx="10">
                  <c:v>房地产</c:v>
                </c:pt>
                <c:pt idx="11">
                  <c:v>中证1000</c:v>
                </c:pt>
                <c:pt idx="12">
                  <c:v>国证2000R</c:v>
                </c:pt>
                <c:pt idx="13">
                  <c:v>创业板指</c:v>
                </c:pt>
                <c:pt idx="14">
                  <c:v>中证500</c:v>
                </c:pt>
                <c:pt idx="15">
                  <c:v>中证全指</c:v>
                </c:pt>
                <c:pt idx="16">
                  <c:v>深证成指</c:v>
                </c:pt>
                <c:pt idx="17">
                  <c:v>上证指数</c:v>
                </c:pt>
                <c:pt idx="18">
                  <c:v>中证800</c:v>
                </c:pt>
                <c:pt idx="19">
                  <c:v>深证100R</c:v>
                </c:pt>
                <c:pt idx="20">
                  <c:v>上证180</c:v>
                </c:pt>
                <c:pt idx="21">
                  <c:v>沪深300</c:v>
                </c:pt>
                <c:pt idx="22">
                  <c:v>上证50</c:v>
                </c:pt>
                <c:pt idx="23">
                  <c:v>中证100</c:v>
                </c:pt>
                <c:pt idx="24">
                  <c:v>中小100</c:v>
                </c:pt>
                <c:pt idx="25">
                  <c:v>恒生公用事业类</c:v>
                </c:pt>
                <c:pt idx="26">
                  <c:v>恒生科技</c:v>
                </c:pt>
                <c:pt idx="27">
                  <c:v>恒生港股通中国科技</c:v>
                </c:pt>
                <c:pt idx="28">
                  <c:v>恒生港股通新经济</c:v>
                </c:pt>
                <c:pt idx="29">
                  <c:v>恒生港股通医疗保健指数</c:v>
                </c:pt>
                <c:pt idx="30">
                  <c:v>恒生REIT</c:v>
                </c:pt>
                <c:pt idx="31">
                  <c:v>恒生物业服务及管理</c:v>
                </c:pt>
                <c:pt idx="32">
                  <c:v>恒生地产类</c:v>
                </c:pt>
                <c:pt idx="33">
                  <c:v>恒生新消费</c:v>
                </c:pt>
                <c:pt idx="34">
                  <c:v>恒生互联网科技业</c:v>
                </c:pt>
                <c:pt idx="35">
                  <c:v>恒生香港上市生物科技</c:v>
                </c:pt>
                <c:pt idx="36">
                  <c:v>恒生医疗保健</c:v>
                </c:pt>
                <c:pt idx="37">
                  <c:v>恒生金融类</c:v>
                </c:pt>
                <c:pt idx="38">
                  <c:v>恒生防御行业</c:v>
                </c:pt>
                <c:pt idx="39">
                  <c:v>恒生消费</c:v>
                </c:pt>
                <c:pt idx="40">
                  <c:v>恒生工商类</c:v>
                </c:pt>
              </c:strCache>
            </c:strRef>
          </c:cat>
          <c:val>
            <c:numRef>
              <c:f>行业表现!$L$9:$L$49</c:f>
              <c:numCache>
                <c:formatCode>#,##0.00_);[Red]\(#,##0.00\)</c:formatCode>
                <c:ptCount val="41"/>
                <c:pt idx="0">
                  <c:v>16.800095595075291</c:v>
                </c:pt>
                <c:pt idx="1">
                  <c:v>1.8111669502134831</c:v>
                </c:pt>
                <c:pt idx="2">
                  <c:v>-2.9841835248500259</c:v>
                </c:pt>
                <c:pt idx="3">
                  <c:v>0.67346375248413803</c:v>
                </c:pt>
                <c:pt idx="4">
                  <c:v>-5.9290940402418446</c:v>
                </c:pt>
                <c:pt idx="5">
                  <c:v>-14.29436527436293</c:v>
                </c:pt>
                <c:pt idx="6">
                  <c:v>0.77651608808790851</c:v>
                </c:pt>
                <c:pt idx="7">
                  <c:v>-13.711039652549317</c:v>
                </c:pt>
                <c:pt idx="8">
                  <c:v>2.153106404347982</c:v>
                </c:pt>
                <c:pt idx="9">
                  <c:v>9.2759311913165767</c:v>
                </c:pt>
                <c:pt idx="10">
                  <c:v>-16.855828675168492</c:v>
                </c:pt>
                <c:pt idx="11">
                  <c:v>-9.3161866309056762</c:v>
                </c:pt>
                <c:pt idx="12">
                  <c:v>-11.197048935129272</c:v>
                </c:pt>
                <c:pt idx="13">
                  <c:v>-6.7934691663408486</c:v>
                </c:pt>
                <c:pt idx="14">
                  <c:v>-2.7998414802485327</c:v>
                </c:pt>
                <c:pt idx="15">
                  <c:v>-4.2193920976479893</c:v>
                </c:pt>
                <c:pt idx="16">
                  <c:v>-3.1124878139072054</c:v>
                </c:pt>
                <c:pt idx="17">
                  <c:v>1.4971319707578257</c:v>
                </c:pt>
                <c:pt idx="18">
                  <c:v>0.20021884774645837</c:v>
                </c:pt>
                <c:pt idx="19">
                  <c:v>-1.8273345370405703</c:v>
                </c:pt>
                <c:pt idx="20">
                  <c:v>2.682153444995472</c:v>
                </c:pt>
                <c:pt idx="21">
                  <c:v>1.3036306415017629</c:v>
                </c:pt>
                <c:pt idx="22">
                  <c:v>2.0580539746567261</c:v>
                </c:pt>
                <c:pt idx="23">
                  <c:v>1.9376554775396349</c:v>
                </c:pt>
                <c:pt idx="24">
                  <c:v>-5.4488513410710144</c:v>
                </c:pt>
                <c:pt idx="25">
                  <c:v>2.0771955654452778</c:v>
                </c:pt>
                <c:pt idx="26">
                  <c:v>-7.6991942703670606</c:v>
                </c:pt>
                <c:pt idx="27">
                  <c:v>-10.150685026150519</c:v>
                </c:pt>
                <c:pt idx="28">
                  <c:v>-7.1115744841101165</c:v>
                </c:pt>
                <c:pt idx="29">
                  <c:v>-24.610009459724779</c:v>
                </c:pt>
                <c:pt idx="30">
                  <c:v>-26.329445274076456</c:v>
                </c:pt>
                <c:pt idx="31">
                  <c:v>-16.877420053613491</c:v>
                </c:pt>
                <c:pt idx="32">
                  <c:v>-17.695446755317313</c:v>
                </c:pt>
                <c:pt idx="33">
                  <c:v>-1.1848960552705345</c:v>
                </c:pt>
                <c:pt idx="34">
                  <c:v>-3.9512175640731284</c:v>
                </c:pt>
                <c:pt idx="35">
                  <c:v>-24.211359549683376</c:v>
                </c:pt>
                <c:pt idx="36">
                  <c:v>-23.921451431867691</c:v>
                </c:pt>
                <c:pt idx="37">
                  <c:v>-6.0361841774363212</c:v>
                </c:pt>
                <c:pt idx="38">
                  <c:v>-4.2099281238855424</c:v>
                </c:pt>
                <c:pt idx="39">
                  <c:v>3.6354784805463058</c:v>
                </c:pt>
                <c:pt idx="40">
                  <c:v>1.8409917681166954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E-41AA-A1E1-C04E91BA1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风格表现!$C$9:$C$19</c:f>
              <c:strCache>
                <c:ptCount val="11"/>
                <c:pt idx="0">
                  <c:v>小盘成长R</c:v>
                </c:pt>
                <c:pt idx="1">
                  <c:v>巨潮小盘R</c:v>
                </c:pt>
                <c:pt idx="2">
                  <c:v>小盘价值R</c:v>
                </c:pt>
                <c:pt idx="3">
                  <c:v>国证成长R</c:v>
                </c:pt>
                <c:pt idx="4">
                  <c:v>中盘价值R</c:v>
                </c:pt>
                <c:pt idx="5">
                  <c:v>大盘成长R</c:v>
                </c:pt>
                <c:pt idx="6">
                  <c:v>巨潮中盘R</c:v>
                </c:pt>
                <c:pt idx="7">
                  <c:v>巨潮大盘R</c:v>
                </c:pt>
                <c:pt idx="8">
                  <c:v>国证价值R</c:v>
                </c:pt>
                <c:pt idx="9">
                  <c:v>中盘成长R</c:v>
                </c:pt>
                <c:pt idx="10">
                  <c:v>大盘价值R</c:v>
                </c:pt>
              </c:strCache>
            </c:strRef>
          </c:cat>
          <c:val>
            <c:numRef>
              <c:f>风格表现!$F$9:$F$19</c:f>
              <c:numCache>
                <c:formatCode>#,##0.00_);[Red]\(#,##0.00\)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D-4906-BDCC-E758861A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风格表现!$C$9:$C$19</c:f>
              <c:strCache>
                <c:ptCount val="11"/>
                <c:pt idx="0">
                  <c:v>小盘成长R</c:v>
                </c:pt>
                <c:pt idx="1">
                  <c:v>巨潮小盘R</c:v>
                </c:pt>
                <c:pt idx="2">
                  <c:v>小盘价值R</c:v>
                </c:pt>
                <c:pt idx="3">
                  <c:v>国证成长R</c:v>
                </c:pt>
                <c:pt idx="4">
                  <c:v>中盘价值R</c:v>
                </c:pt>
                <c:pt idx="5">
                  <c:v>大盘成长R</c:v>
                </c:pt>
                <c:pt idx="6">
                  <c:v>巨潮中盘R</c:v>
                </c:pt>
                <c:pt idx="7">
                  <c:v>巨潮大盘R</c:v>
                </c:pt>
                <c:pt idx="8">
                  <c:v>国证价值R</c:v>
                </c:pt>
                <c:pt idx="9">
                  <c:v>中盘成长R</c:v>
                </c:pt>
                <c:pt idx="10">
                  <c:v>大盘价值R</c:v>
                </c:pt>
              </c:strCache>
            </c:strRef>
          </c:cat>
          <c:val>
            <c:numRef>
              <c:f>风格表现!$G$9:$G$19</c:f>
              <c:numCache>
                <c:formatCode>#,##0.00_);[Red]\(#,##0.00\)</c:formatCode>
                <c:ptCount val="11"/>
                <c:pt idx="0">
                  <c:v>-2.0081557373920589</c:v>
                </c:pt>
                <c:pt idx="1">
                  <c:v>-2.0657318039867256</c:v>
                </c:pt>
                <c:pt idx="2">
                  <c:v>-0.35228897386714308</c:v>
                </c:pt>
                <c:pt idx="3">
                  <c:v>-3.2852200500914419</c:v>
                </c:pt>
                <c:pt idx="4">
                  <c:v>-3.8909425440536438E-2</c:v>
                </c:pt>
                <c:pt idx="5">
                  <c:v>-3.7720677246859013</c:v>
                </c:pt>
                <c:pt idx="6">
                  <c:v>-1.6695517044043928</c:v>
                </c:pt>
                <c:pt idx="7">
                  <c:v>-2.7596475443740998</c:v>
                </c:pt>
                <c:pt idx="8">
                  <c:v>-1.2090062334176976</c:v>
                </c:pt>
                <c:pt idx="9">
                  <c:v>-2.9992766091037293</c:v>
                </c:pt>
                <c:pt idx="10">
                  <c:v>-1.8784593017538431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F-4837-98BC-6E18BDBB8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风格表现!$C$9:$C$19</c:f>
              <c:strCache>
                <c:ptCount val="11"/>
                <c:pt idx="0">
                  <c:v>小盘成长R</c:v>
                </c:pt>
                <c:pt idx="1">
                  <c:v>巨潮小盘R</c:v>
                </c:pt>
                <c:pt idx="2">
                  <c:v>小盘价值R</c:v>
                </c:pt>
                <c:pt idx="3">
                  <c:v>国证成长R</c:v>
                </c:pt>
                <c:pt idx="4">
                  <c:v>中盘价值R</c:v>
                </c:pt>
                <c:pt idx="5">
                  <c:v>大盘成长R</c:v>
                </c:pt>
                <c:pt idx="6">
                  <c:v>巨潮中盘R</c:v>
                </c:pt>
                <c:pt idx="7">
                  <c:v>巨潮大盘R</c:v>
                </c:pt>
                <c:pt idx="8">
                  <c:v>国证价值R</c:v>
                </c:pt>
                <c:pt idx="9">
                  <c:v>中盘成长R</c:v>
                </c:pt>
                <c:pt idx="10">
                  <c:v>大盘价值R</c:v>
                </c:pt>
              </c:strCache>
            </c:strRef>
          </c:cat>
          <c:val>
            <c:numRef>
              <c:f>风格表现!$H$9:$H$19</c:f>
              <c:numCache>
                <c:formatCode>#,##0.00_);[Red]\(#,##0.00\)</c:formatCode>
                <c:ptCount val="11"/>
                <c:pt idx="0">
                  <c:v>-3.3103601134028771</c:v>
                </c:pt>
                <c:pt idx="1">
                  <c:v>-2.8785685665929095</c:v>
                </c:pt>
                <c:pt idx="2">
                  <c:v>2.194050436655659</c:v>
                </c:pt>
                <c:pt idx="3">
                  <c:v>-3.6716682931981715</c:v>
                </c:pt>
                <c:pt idx="4">
                  <c:v>3.8738563525017033</c:v>
                </c:pt>
                <c:pt idx="5">
                  <c:v>-3.5135594515270263</c:v>
                </c:pt>
                <c:pt idx="6">
                  <c:v>-2.5068449420940331</c:v>
                </c:pt>
                <c:pt idx="7">
                  <c:v>-2.7377076245392651</c:v>
                </c:pt>
                <c:pt idx="8">
                  <c:v>0.55075490916909331</c:v>
                </c:pt>
                <c:pt idx="9">
                  <c:v>-4.4113984281770158</c:v>
                </c:pt>
                <c:pt idx="10">
                  <c:v>-1.0798048206621336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1-475D-9127-5CBB127F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风格表现!$C$9:$C$19</c:f>
              <c:strCache>
                <c:ptCount val="11"/>
                <c:pt idx="0">
                  <c:v>小盘成长R</c:v>
                </c:pt>
                <c:pt idx="1">
                  <c:v>巨潮小盘R</c:v>
                </c:pt>
                <c:pt idx="2">
                  <c:v>小盘价值R</c:v>
                </c:pt>
                <c:pt idx="3">
                  <c:v>国证成长R</c:v>
                </c:pt>
                <c:pt idx="4">
                  <c:v>中盘价值R</c:v>
                </c:pt>
                <c:pt idx="5">
                  <c:v>大盘成长R</c:v>
                </c:pt>
                <c:pt idx="6">
                  <c:v>巨潮中盘R</c:v>
                </c:pt>
                <c:pt idx="7">
                  <c:v>巨潮大盘R</c:v>
                </c:pt>
                <c:pt idx="8">
                  <c:v>国证价值R</c:v>
                </c:pt>
                <c:pt idx="9">
                  <c:v>中盘成长R</c:v>
                </c:pt>
                <c:pt idx="10">
                  <c:v>大盘价值R</c:v>
                </c:pt>
              </c:strCache>
            </c:strRef>
          </c:cat>
          <c:val>
            <c:numRef>
              <c:f>风格表现!$K$9:$K$19</c:f>
              <c:numCache>
                <c:formatCode>#,##0.00_);[Red]\(#,##0.00\)</c:formatCode>
                <c:ptCount val="11"/>
                <c:pt idx="0">
                  <c:v>-23.960314190519384</c:v>
                </c:pt>
                <c:pt idx="1">
                  <c:v>-16.770256844194577</c:v>
                </c:pt>
                <c:pt idx="2">
                  <c:v>-3.3117709701974696</c:v>
                </c:pt>
                <c:pt idx="3">
                  <c:v>-24.230347282098876</c:v>
                </c:pt>
                <c:pt idx="4">
                  <c:v>-0.19410737915565024</c:v>
                </c:pt>
                <c:pt idx="5">
                  <c:v>-23.35582392090544</c:v>
                </c:pt>
                <c:pt idx="6">
                  <c:v>-19.336695190129795</c:v>
                </c:pt>
                <c:pt idx="7">
                  <c:v>-11.063426090731399</c:v>
                </c:pt>
                <c:pt idx="8">
                  <c:v>1.7965981586559376</c:v>
                </c:pt>
                <c:pt idx="9">
                  <c:v>-26.634925738185935</c:v>
                </c:pt>
                <c:pt idx="10">
                  <c:v>4.1110501145736889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A-496D-8DB8-5209DCD1B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风格表现!$C$9:$C$19</c:f>
              <c:strCache>
                <c:ptCount val="11"/>
                <c:pt idx="0">
                  <c:v>小盘成长R</c:v>
                </c:pt>
                <c:pt idx="1">
                  <c:v>巨潮小盘R</c:v>
                </c:pt>
                <c:pt idx="2">
                  <c:v>小盘价值R</c:v>
                </c:pt>
                <c:pt idx="3">
                  <c:v>国证成长R</c:v>
                </c:pt>
                <c:pt idx="4">
                  <c:v>中盘价值R</c:v>
                </c:pt>
                <c:pt idx="5">
                  <c:v>大盘成长R</c:v>
                </c:pt>
                <c:pt idx="6">
                  <c:v>巨潮中盘R</c:v>
                </c:pt>
                <c:pt idx="7">
                  <c:v>巨潮大盘R</c:v>
                </c:pt>
                <c:pt idx="8">
                  <c:v>国证价值R</c:v>
                </c:pt>
                <c:pt idx="9">
                  <c:v>中盘成长R</c:v>
                </c:pt>
                <c:pt idx="10">
                  <c:v>大盘价值R</c:v>
                </c:pt>
              </c:strCache>
            </c:strRef>
          </c:cat>
          <c:val>
            <c:numRef>
              <c:f>风格表现!$L$9:$L$19</c:f>
              <c:numCache>
                <c:formatCode>#,##0.00_);[Red]\(#,##0.00\)</c:formatCode>
                <c:ptCount val="11"/>
                <c:pt idx="0">
                  <c:v>-7.6571248849689466</c:v>
                </c:pt>
                <c:pt idx="1">
                  <c:v>-4.9674878405148952</c:v>
                </c:pt>
                <c:pt idx="2">
                  <c:v>6.0126881900993912</c:v>
                </c:pt>
                <c:pt idx="3">
                  <c:v>-3.8051310246535408</c:v>
                </c:pt>
                <c:pt idx="4">
                  <c:v>10.901097748798438</c:v>
                </c:pt>
                <c:pt idx="5">
                  <c:v>-1.8327728561436274</c:v>
                </c:pt>
                <c:pt idx="6">
                  <c:v>-1.10310434732378</c:v>
                </c:pt>
                <c:pt idx="7">
                  <c:v>1.4875632322491228</c:v>
                </c:pt>
                <c:pt idx="8">
                  <c:v>8.3916785485551806</c:v>
                </c:pt>
                <c:pt idx="9">
                  <c:v>-5.7203896579849811</c:v>
                </c:pt>
                <c:pt idx="10">
                  <c:v>8.1830382868643969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9-415E-9EDB-DCCC9D3AA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风格表现!$F$26:$F$30</c:f>
              <c:numCache>
                <c:formatCode>#,##0.00_);[Red]\(#,##0.00\)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B-4903-BBEF-FED985E2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风格表现!$F$26:$F$30</c:f>
              <c:numCache>
                <c:formatCode>#,##0.00_);[Red]\(#,##0.00\)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C-442F-82A1-079C926B9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风格表现!$G$26:$G$30</c:f>
              <c:numCache>
                <c:formatCode>#,##0.00_);[Red]\(#,##0.00\)</c:formatCode>
                <c:ptCount val="5"/>
                <c:pt idx="0">
                  <c:v>-0.29449834912625983</c:v>
                </c:pt>
                <c:pt idx="1">
                  <c:v>-3.8413295301098827</c:v>
                </c:pt>
                <c:pt idx="2">
                  <c:v>-3.979359741730204</c:v>
                </c:pt>
                <c:pt idx="3">
                  <c:v>-3.3800254546850872</c:v>
                </c:pt>
                <c:pt idx="4">
                  <c:v>5.7540555756863121E-2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E-415D-8E6C-60664789D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风格表现!$H$26:$H$30</c:f>
              <c:numCache>
                <c:formatCode>#,##0.00_);[Red]\(#,##0.00\)</c:formatCode>
                <c:ptCount val="5"/>
                <c:pt idx="0">
                  <c:v>3.8850509957659929</c:v>
                </c:pt>
                <c:pt idx="1">
                  <c:v>-6.5239699483200191</c:v>
                </c:pt>
                <c:pt idx="2">
                  <c:v>-3.9208305009008293</c:v>
                </c:pt>
                <c:pt idx="3">
                  <c:v>-4.5496138415168978</c:v>
                </c:pt>
                <c:pt idx="4">
                  <c:v>2.2084471124731664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4D47-AF2C-AAB47A533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风格表现!$K$26:$K$30</c:f>
              <c:numCache>
                <c:formatCode>#,##0.00_);[Red]\(#,##0.00\)</c:formatCode>
                <c:ptCount val="5"/>
                <c:pt idx="0">
                  <c:v>-2.7585201725463082</c:v>
                </c:pt>
                <c:pt idx="1">
                  <c:v>-26.145110153130258</c:v>
                </c:pt>
                <c:pt idx="2">
                  <c:v>-16.66707617827128</c:v>
                </c:pt>
                <c:pt idx="3">
                  <c:v>-6.4594243942990071</c:v>
                </c:pt>
                <c:pt idx="4">
                  <c:v>-2.71063064558551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F-47B9-BA76-9A410FF89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风格表现!$L$26:$L$30</c:f>
              <c:numCache>
                <c:formatCode>#,##0.00_);[Red]\(#,##0.00\)</c:formatCode>
                <c:ptCount val="5"/>
                <c:pt idx="0">
                  <c:v>3.6439270959993886</c:v>
                </c:pt>
                <c:pt idx="1">
                  <c:v>-10.691768541635627</c:v>
                </c:pt>
                <c:pt idx="2">
                  <c:v>-6.3208650071306387</c:v>
                </c:pt>
                <c:pt idx="3">
                  <c:v>-1.0302312980288719</c:v>
                </c:pt>
                <c:pt idx="4">
                  <c:v>5.8533095454975426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8-4637-B4A6-EA2A3BF19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38036838315558E-2"/>
          <c:y val="8.7824351297405193E-2"/>
          <c:w val="0.89320326109678772"/>
          <c:h val="0.453692929102425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风格表现!$C$37:$C$44</c:f>
              <c:strCache>
                <c:ptCount val="8"/>
                <c:pt idx="0">
                  <c:v>消费(组合.中信)</c:v>
                </c:pt>
                <c:pt idx="1">
                  <c:v>交通运输(组合.中信)</c:v>
                </c:pt>
                <c:pt idx="2">
                  <c:v>金融地产(组合.中信)</c:v>
                </c:pt>
                <c:pt idx="3">
                  <c:v>工业服务(组合.中信)</c:v>
                </c:pt>
                <c:pt idx="4">
                  <c:v>资源能源(组合.中信)</c:v>
                </c:pt>
                <c:pt idx="5">
                  <c:v>设备制造(组合.中信)</c:v>
                </c:pt>
                <c:pt idx="6">
                  <c:v>原材料(组合.中信)</c:v>
                </c:pt>
                <c:pt idx="7">
                  <c:v>科技(组合.中信)</c:v>
                </c:pt>
              </c:strCache>
            </c:strRef>
          </c:cat>
          <c:val>
            <c:numRef>
              <c:f>风格表现!$F$37:$F$44</c:f>
              <c:numCache>
                <c:formatCode>#,##0.00_);[Red]\(#,##0.00\)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3-4EBD-984B-9DA7ED14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38036838315558E-2"/>
          <c:y val="8.7824351297405193E-2"/>
          <c:w val="0.89320326109678772"/>
          <c:h val="0.453692929102425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风格表现!$C$37:$C$44</c:f>
              <c:strCache>
                <c:ptCount val="8"/>
                <c:pt idx="0">
                  <c:v>消费(组合.中信)</c:v>
                </c:pt>
                <c:pt idx="1">
                  <c:v>交通运输(组合.中信)</c:v>
                </c:pt>
                <c:pt idx="2">
                  <c:v>金融地产(组合.中信)</c:v>
                </c:pt>
                <c:pt idx="3">
                  <c:v>工业服务(组合.中信)</c:v>
                </c:pt>
                <c:pt idx="4">
                  <c:v>资源能源(组合.中信)</c:v>
                </c:pt>
                <c:pt idx="5">
                  <c:v>设备制造(组合.中信)</c:v>
                </c:pt>
                <c:pt idx="6">
                  <c:v>原材料(组合.中信)</c:v>
                </c:pt>
                <c:pt idx="7">
                  <c:v>科技(组合.中信)</c:v>
                </c:pt>
              </c:strCache>
            </c:strRef>
          </c:cat>
          <c:val>
            <c:numRef>
              <c:f>风格表现!$G$37:$G$44</c:f>
              <c:numCache>
                <c:formatCode>#,##0.00_);[Red]\(#,##0.00\)</c:formatCode>
                <c:ptCount val="8"/>
                <c:pt idx="0">
                  <c:v>-4.2621841527802573</c:v>
                </c:pt>
                <c:pt idx="1">
                  <c:v>-0.84722985839207343</c:v>
                </c:pt>
                <c:pt idx="2">
                  <c:v>-3.2581908708786633</c:v>
                </c:pt>
                <c:pt idx="3">
                  <c:v>2.0968821203401378</c:v>
                </c:pt>
                <c:pt idx="4">
                  <c:v>0</c:v>
                </c:pt>
                <c:pt idx="5">
                  <c:v>-2.0575373538575747</c:v>
                </c:pt>
                <c:pt idx="6">
                  <c:v>-0.97233551468920432</c:v>
                </c:pt>
                <c:pt idx="7">
                  <c:v>-3.7516127911640051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6-4E8F-917B-55F197EC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38036838315558E-2"/>
          <c:y val="8.7824351297405193E-2"/>
          <c:w val="0.89320326109678772"/>
          <c:h val="0.453692929102425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风格表现!$C$37:$C$44</c:f>
              <c:strCache>
                <c:ptCount val="8"/>
                <c:pt idx="0">
                  <c:v>消费(组合.中信)</c:v>
                </c:pt>
                <c:pt idx="1">
                  <c:v>交通运输(组合.中信)</c:v>
                </c:pt>
                <c:pt idx="2">
                  <c:v>金融地产(组合.中信)</c:v>
                </c:pt>
                <c:pt idx="3">
                  <c:v>工业服务(组合.中信)</c:v>
                </c:pt>
                <c:pt idx="4">
                  <c:v>资源能源(组合.中信)</c:v>
                </c:pt>
                <c:pt idx="5">
                  <c:v>设备制造(组合.中信)</c:v>
                </c:pt>
                <c:pt idx="6">
                  <c:v>原材料(组合.中信)</c:v>
                </c:pt>
                <c:pt idx="7">
                  <c:v>科技(组合.中信)</c:v>
                </c:pt>
              </c:strCache>
            </c:strRef>
          </c:cat>
          <c:val>
            <c:numRef>
              <c:f>风格表现!$H$37:$H$44</c:f>
              <c:numCache>
                <c:formatCode>#,##0.00_);[Red]\(#,##0.00\)</c:formatCode>
                <c:ptCount val="8"/>
                <c:pt idx="0">
                  <c:v>-5.3451697532103548</c:v>
                </c:pt>
                <c:pt idx="1">
                  <c:v>2.973224639742722</c:v>
                </c:pt>
                <c:pt idx="2">
                  <c:v>-4.8488048505373467</c:v>
                </c:pt>
                <c:pt idx="3">
                  <c:v>4.0119441896393493</c:v>
                </c:pt>
                <c:pt idx="4">
                  <c:v>0</c:v>
                </c:pt>
                <c:pt idx="5">
                  <c:v>-2.2406247719345629</c:v>
                </c:pt>
                <c:pt idx="6">
                  <c:v>4.465118605008489</c:v>
                </c:pt>
                <c:pt idx="7">
                  <c:v>-8.2664246235864205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B-4469-82D0-F749CFA7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38036838315558E-2"/>
          <c:y val="8.7824351297405193E-2"/>
          <c:w val="0.89320326109678772"/>
          <c:h val="0.453692929102425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风格表现!$C$37:$C$44</c:f>
              <c:strCache>
                <c:ptCount val="8"/>
                <c:pt idx="0">
                  <c:v>消费(组合.中信)</c:v>
                </c:pt>
                <c:pt idx="1">
                  <c:v>交通运输(组合.中信)</c:v>
                </c:pt>
                <c:pt idx="2">
                  <c:v>金融地产(组合.中信)</c:v>
                </c:pt>
                <c:pt idx="3">
                  <c:v>工业服务(组合.中信)</c:v>
                </c:pt>
                <c:pt idx="4">
                  <c:v>资源能源(组合.中信)</c:v>
                </c:pt>
                <c:pt idx="5">
                  <c:v>设备制造(组合.中信)</c:v>
                </c:pt>
                <c:pt idx="6">
                  <c:v>原材料(组合.中信)</c:v>
                </c:pt>
                <c:pt idx="7">
                  <c:v>科技(组合.中信)</c:v>
                </c:pt>
              </c:strCache>
            </c:strRef>
          </c:cat>
          <c:val>
            <c:numRef>
              <c:f>风格表现!$K$37:$K$44</c:f>
              <c:numCache>
                <c:formatCode>#,##0.00_);[Red]\(#,##0.00\)</c:formatCode>
                <c:ptCount val="8"/>
                <c:pt idx="0">
                  <c:v>-20.104202186667809</c:v>
                </c:pt>
                <c:pt idx="1">
                  <c:v>-7.3908151089655316</c:v>
                </c:pt>
                <c:pt idx="2">
                  <c:v>-7.5019900647040778</c:v>
                </c:pt>
                <c:pt idx="3">
                  <c:v>6.8599504329208028</c:v>
                </c:pt>
                <c:pt idx="4">
                  <c:v>0</c:v>
                </c:pt>
                <c:pt idx="5">
                  <c:v>-9.0626058845507238</c:v>
                </c:pt>
                <c:pt idx="6">
                  <c:v>-13.523492671587123</c:v>
                </c:pt>
                <c:pt idx="7">
                  <c:v>-23.672973229687432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7-409D-B47C-02220843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38036838315558E-2"/>
          <c:y val="8.7824351297405193E-2"/>
          <c:w val="0.89320326109678772"/>
          <c:h val="0.453692929102425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风格表现!$C$37:$C$44</c:f>
              <c:strCache>
                <c:ptCount val="8"/>
                <c:pt idx="0">
                  <c:v>消费(组合.中信)</c:v>
                </c:pt>
                <c:pt idx="1">
                  <c:v>交通运输(组合.中信)</c:v>
                </c:pt>
                <c:pt idx="2">
                  <c:v>金融地产(组合.中信)</c:v>
                </c:pt>
                <c:pt idx="3">
                  <c:v>工业服务(组合.中信)</c:v>
                </c:pt>
                <c:pt idx="4">
                  <c:v>资源能源(组合.中信)</c:v>
                </c:pt>
                <c:pt idx="5">
                  <c:v>设备制造(组合.中信)</c:v>
                </c:pt>
                <c:pt idx="6">
                  <c:v>原材料(组合.中信)</c:v>
                </c:pt>
                <c:pt idx="7">
                  <c:v>科技(组合.中信)</c:v>
                </c:pt>
              </c:strCache>
            </c:strRef>
          </c:cat>
          <c:val>
            <c:numRef>
              <c:f>风格表现!$L$37:$L$44</c:f>
              <c:numCache>
                <c:formatCode>#,##0.00_);[Red]\(#,##0.00\)</c:formatCode>
                <c:ptCount val="8"/>
                <c:pt idx="0">
                  <c:v>-9.96145549878098</c:v>
                </c:pt>
                <c:pt idx="1">
                  <c:v>5.347797150004463</c:v>
                </c:pt>
                <c:pt idx="2">
                  <c:v>-2.6945436660102295</c:v>
                </c:pt>
                <c:pt idx="3">
                  <c:v>7.6856003458896094</c:v>
                </c:pt>
                <c:pt idx="4">
                  <c:v>0</c:v>
                </c:pt>
                <c:pt idx="5">
                  <c:v>-0.7928218263477893</c:v>
                </c:pt>
                <c:pt idx="6">
                  <c:v>-1.4654775268061138</c:v>
                </c:pt>
                <c:pt idx="7">
                  <c:v>-10.247740598520672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C-4917-8233-AE7C4D0B0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8911"/>
        <c:axId val="106305983"/>
      </c:barChart>
      <c:catAx>
        <c:axId val="1062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305983"/>
        <c:crosses val="autoZero"/>
        <c:auto val="1"/>
        <c:lblAlgn val="ctr"/>
        <c:lblOffset val="100"/>
        <c:noMultiLvlLbl val="0"/>
      </c:catAx>
      <c:valAx>
        <c:axId val="1063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风格表现!$C$51:$C$55</c:f>
              <c:strCache>
                <c:ptCount val="5"/>
                <c:pt idx="0">
                  <c:v>TMT(中信)</c:v>
                </c:pt>
                <c:pt idx="1">
                  <c:v>中游(中信)</c:v>
                </c:pt>
                <c:pt idx="2">
                  <c:v>上游(中信)</c:v>
                </c:pt>
                <c:pt idx="3">
                  <c:v>基础设施及建设(中信)</c:v>
                </c:pt>
                <c:pt idx="4">
                  <c:v>下游(中信)</c:v>
                </c:pt>
              </c:strCache>
            </c:strRef>
          </c:cat>
          <c:val>
            <c:numRef>
              <c:f>风格表现!$F$51:$F$55</c:f>
              <c:numCache>
                <c:formatCode>#,##0.00_);[Red]\(#,##0.00\)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D-42A7-A2CA-6BB67DD78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风格表现!$C$26:$C$30</c:f>
              <c:strCache>
                <c:ptCount val="5"/>
                <c:pt idx="0">
                  <c:v>周期(风格.中信)</c:v>
                </c:pt>
                <c:pt idx="1">
                  <c:v>成长(风格.中信)</c:v>
                </c:pt>
                <c:pt idx="2">
                  <c:v>消费(风格.中信)</c:v>
                </c:pt>
                <c:pt idx="3">
                  <c:v>金融(风格.中信)</c:v>
                </c:pt>
                <c:pt idx="4">
                  <c:v>稳定(风格.中信)</c:v>
                </c:pt>
              </c:strCache>
            </c:strRef>
          </c:cat>
          <c:val>
            <c:numRef>
              <c:f>风格表现!$F$26:$F$30</c:f>
              <c:numCache>
                <c:formatCode>#,##0.00_);[Red]\(#,##0.00\)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C-4444-810A-983A908D5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69167801066261E-2"/>
          <c:y val="0.12826362996172291"/>
          <c:w val="0.88742731265677177"/>
          <c:h val="0.607303957258922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风格表现!$C$51:$C$55</c:f>
              <c:strCache>
                <c:ptCount val="5"/>
                <c:pt idx="0">
                  <c:v>TMT(中信)</c:v>
                </c:pt>
                <c:pt idx="1">
                  <c:v>中游(中信)</c:v>
                </c:pt>
                <c:pt idx="2">
                  <c:v>上游(中信)</c:v>
                </c:pt>
                <c:pt idx="3">
                  <c:v>基础设施及建设(中信)</c:v>
                </c:pt>
                <c:pt idx="4">
                  <c:v>下游(中信)</c:v>
                </c:pt>
              </c:strCache>
            </c:strRef>
          </c:cat>
          <c:val>
            <c:numRef>
              <c:f>风格表现!$G$51:$G$55</c:f>
              <c:numCache>
                <c:formatCode>#,##0.00_);[Red]\(#,##0.00\)</c:formatCode>
                <c:ptCount val="5"/>
                <c:pt idx="0">
                  <c:v>-3.7787958645282504</c:v>
                </c:pt>
                <c:pt idx="1">
                  <c:v>-2.8616254346430003</c:v>
                </c:pt>
                <c:pt idx="2">
                  <c:v>1.2526064150765182</c:v>
                </c:pt>
                <c:pt idx="3">
                  <c:v>-0.49573183727142922</c:v>
                </c:pt>
                <c:pt idx="4">
                  <c:v>-3.4143946587772311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9-40B5-9B7F-BD0A6E1C6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21738743862863E-2"/>
          <c:y val="0.12826362996172291"/>
          <c:w val="0.88322511798616454"/>
          <c:h val="0.406256914713408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风格表现!$C$51:$C$55</c:f>
              <c:strCache>
                <c:ptCount val="5"/>
                <c:pt idx="0">
                  <c:v>TMT(中信)</c:v>
                </c:pt>
                <c:pt idx="1">
                  <c:v>中游(中信)</c:v>
                </c:pt>
                <c:pt idx="2">
                  <c:v>上游(中信)</c:v>
                </c:pt>
                <c:pt idx="3">
                  <c:v>基础设施及建设(中信)</c:v>
                </c:pt>
                <c:pt idx="4">
                  <c:v>下游(中信)</c:v>
                </c:pt>
              </c:strCache>
            </c:strRef>
          </c:cat>
          <c:val>
            <c:numRef>
              <c:f>风格表现!$H$51:$H$55</c:f>
              <c:numCache>
                <c:formatCode>#,##0.00_);[Red]\(#,##0.00\)</c:formatCode>
                <c:ptCount val="5"/>
                <c:pt idx="0">
                  <c:v>-8.1722692361790088</c:v>
                </c:pt>
                <c:pt idx="1">
                  <c:v>-2.3624206795890945</c:v>
                </c:pt>
                <c:pt idx="2">
                  <c:v>11.415859753047929</c:v>
                </c:pt>
                <c:pt idx="3">
                  <c:v>1.8989105662440053</c:v>
                </c:pt>
                <c:pt idx="4">
                  <c:v>-3.7103459227719182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D42-A40D-0644BA900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风格表现!$C$51:$C$55</c:f>
              <c:strCache>
                <c:ptCount val="5"/>
                <c:pt idx="0">
                  <c:v>TMT(中信)</c:v>
                </c:pt>
                <c:pt idx="1">
                  <c:v>中游(中信)</c:v>
                </c:pt>
                <c:pt idx="2">
                  <c:v>上游(中信)</c:v>
                </c:pt>
                <c:pt idx="3">
                  <c:v>基础设施及建设(中信)</c:v>
                </c:pt>
                <c:pt idx="4">
                  <c:v>下游(中信)</c:v>
                </c:pt>
              </c:strCache>
            </c:strRef>
          </c:cat>
          <c:val>
            <c:numRef>
              <c:f>风格表现!$K$51:$K$55</c:f>
              <c:numCache>
                <c:formatCode>#,##0.00_);[Red]\(#,##0.00\)</c:formatCode>
                <c:ptCount val="5"/>
                <c:pt idx="0">
                  <c:v>-24.889940895482543</c:v>
                </c:pt>
                <c:pt idx="1">
                  <c:v>-20.768730346675678</c:v>
                </c:pt>
                <c:pt idx="2">
                  <c:v>7.527169090023822</c:v>
                </c:pt>
                <c:pt idx="3">
                  <c:v>-7.3485529633449564</c:v>
                </c:pt>
                <c:pt idx="4">
                  <c:v>-15.335360971017231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4-44AC-94A4-8FB270D5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风格表现!$C$51:$C$55</c:f>
              <c:strCache>
                <c:ptCount val="5"/>
                <c:pt idx="0">
                  <c:v>TMT(中信)</c:v>
                </c:pt>
                <c:pt idx="1">
                  <c:v>中游(中信)</c:v>
                </c:pt>
                <c:pt idx="2">
                  <c:v>上游(中信)</c:v>
                </c:pt>
                <c:pt idx="3">
                  <c:v>基础设施及建设(中信)</c:v>
                </c:pt>
                <c:pt idx="4">
                  <c:v>下游(中信)</c:v>
                </c:pt>
              </c:strCache>
            </c:strRef>
          </c:cat>
          <c:val>
            <c:numRef>
              <c:f>风格表现!$L$51:$L$55</c:f>
              <c:numCache>
                <c:formatCode>#,##0.00_);[Red]\(#,##0.00\)</c:formatCode>
                <c:ptCount val="5"/>
                <c:pt idx="0">
                  <c:v>-11.721193009329777</c:v>
                </c:pt>
                <c:pt idx="1">
                  <c:v>-5.86086331410689</c:v>
                </c:pt>
                <c:pt idx="2">
                  <c:v>17.20229326725995</c:v>
                </c:pt>
                <c:pt idx="3">
                  <c:v>3.3406458818570517</c:v>
                </c:pt>
                <c:pt idx="4">
                  <c:v>-6.6804890662205079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0C1-9549-2C3F3ABB0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383"/>
        <c:axId val="106278111"/>
      </c:barChart>
      <c:catAx>
        <c:axId val="1062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78111"/>
        <c:crosses val="autoZero"/>
        <c:auto val="1"/>
        <c:lblAlgn val="ctr"/>
        <c:lblOffset val="100"/>
        <c:noMultiLvlLbl val="0"/>
      </c:catAx>
      <c:valAx>
        <c:axId val="1062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6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风格表现!$C$62:$C$71</c:f>
              <c:strCache>
                <c:ptCount val="10"/>
                <c:pt idx="0">
                  <c:v>中证医药</c:v>
                </c:pt>
                <c:pt idx="1">
                  <c:v>中证电信</c:v>
                </c:pt>
                <c:pt idx="2">
                  <c:v>中证消费</c:v>
                </c:pt>
                <c:pt idx="3">
                  <c:v>中证能源</c:v>
                </c:pt>
                <c:pt idx="4">
                  <c:v>中证公用</c:v>
                </c:pt>
                <c:pt idx="5">
                  <c:v>中证工业</c:v>
                </c:pt>
                <c:pt idx="6">
                  <c:v>中证材料</c:v>
                </c:pt>
                <c:pt idx="7">
                  <c:v>中证信息</c:v>
                </c:pt>
                <c:pt idx="8">
                  <c:v>中证可选</c:v>
                </c:pt>
                <c:pt idx="9">
                  <c:v>中证金融</c:v>
                </c:pt>
              </c:strCache>
            </c:strRef>
          </c:cat>
          <c:val>
            <c:numRef>
              <c:f>风格表现!$F$62:$F$71</c:f>
              <c:numCache>
                <c:formatCode>#,##0.00_);[Red]\(#,##0.00\)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6-4CA1-8059-A29B50D28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88911"/>
        <c:axId val="1744676015"/>
      </c:barChart>
      <c:catAx>
        <c:axId val="17446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44676015"/>
        <c:crosses val="autoZero"/>
        <c:auto val="1"/>
        <c:lblAlgn val="ctr"/>
        <c:lblOffset val="100"/>
        <c:noMultiLvlLbl val="0"/>
      </c:catAx>
      <c:valAx>
        <c:axId val="17446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6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风格表现!$C$62:$C$71</c:f>
              <c:strCache>
                <c:ptCount val="10"/>
                <c:pt idx="0">
                  <c:v>中证医药</c:v>
                </c:pt>
                <c:pt idx="1">
                  <c:v>中证电信</c:v>
                </c:pt>
                <c:pt idx="2">
                  <c:v>中证消费</c:v>
                </c:pt>
                <c:pt idx="3">
                  <c:v>中证能源</c:v>
                </c:pt>
                <c:pt idx="4">
                  <c:v>中证公用</c:v>
                </c:pt>
                <c:pt idx="5">
                  <c:v>中证工业</c:v>
                </c:pt>
                <c:pt idx="6">
                  <c:v>中证材料</c:v>
                </c:pt>
                <c:pt idx="7">
                  <c:v>中证信息</c:v>
                </c:pt>
                <c:pt idx="8">
                  <c:v>中证可选</c:v>
                </c:pt>
                <c:pt idx="9">
                  <c:v>中证金融</c:v>
                </c:pt>
              </c:strCache>
            </c:strRef>
          </c:cat>
          <c:val>
            <c:numRef>
              <c:f>风格表现!$G$62:$G$71</c:f>
              <c:numCache>
                <c:formatCode>#,##0.00_);[Red]\(#,##0.00\)</c:formatCode>
                <c:ptCount val="10"/>
                <c:pt idx="0">
                  <c:v>-2.9106861986180066</c:v>
                </c:pt>
                <c:pt idx="1">
                  <c:v>-0.89382891822241683</c:v>
                </c:pt>
                <c:pt idx="2">
                  <c:v>-5.9848731395481973</c:v>
                </c:pt>
                <c:pt idx="3">
                  <c:v>0.17312351767186929</c:v>
                </c:pt>
                <c:pt idx="4">
                  <c:v>3.1677660519663586</c:v>
                </c:pt>
                <c:pt idx="5">
                  <c:v>-2.5694597656163887</c:v>
                </c:pt>
                <c:pt idx="6">
                  <c:v>0.47754650093918549</c:v>
                </c:pt>
                <c:pt idx="7">
                  <c:v>-3.1947929355971572</c:v>
                </c:pt>
                <c:pt idx="8">
                  <c:v>-1.5817511861544675</c:v>
                </c:pt>
                <c:pt idx="9">
                  <c:v>-3.2995369425749099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C-47B5-A06C-A46BA52C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88911"/>
        <c:axId val="1744676015"/>
      </c:barChart>
      <c:catAx>
        <c:axId val="17446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44676015"/>
        <c:crosses val="autoZero"/>
        <c:auto val="1"/>
        <c:lblAlgn val="ctr"/>
        <c:lblOffset val="100"/>
        <c:noMultiLvlLbl val="0"/>
      </c:catAx>
      <c:valAx>
        <c:axId val="17446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6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风格表现!$C$62:$C$71</c:f>
              <c:strCache>
                <c:ptCount val="10"/>
                <c:pt idx="0">
                  <c:v>中证医药</c:v>
                </c:pt>
                <c:pt idx="1">
                  <c:v>中证电信</c:v>
                </c:pt>
                <c:pt idx="2">
                  <c:v>中证消费</c:v>
                </c:pt>
                <c:pt idx="3">
                  <c:v>中证能源</c:v>
                </c:pt>
                <c:pt idx="4">
                  <c:v>中证公用</c:v>
                </c:pt>
                <c:pt idx="5">
                  <c:v>中证工业</c:v>
                </c:pt>
                <c:pt idx="6">
                  <c:v>中证材料</c:v>
                </c:pt>
                <c:pt idx="7">
                  <c:v>中证信息</c:v>
                </c:pt>
                <c:pt idx="8">
                  <c:v>中证可选</c:v>
                </c:pt>
                <c:pt idx="9">
                  <c:v>中证金融</c:v>
                </c:pt>
              </c:strCache>
            </c:strRef>
          </c:cat>
          <c:val>
            <c:numRef>
              <c:f>风格表现!$H$62:$H$71</c:f>
              <c:numCache>
                <c:formatCode>#,##0.00_);[Red]\(#,##0.00\)</c:formatCode>
                <c:ptCount val="10"/>
                <c:pt idx="0">
                  <c:v>-7.7678975458279069</c:v>
                </c:pt>
                <c:pt idx="1">
                  <c:v>-2.8063329416824434</c:v>
                </c:pt>
                <c:pt idx="2">
                  <c:v>-4.5473261377481418</c:v>
                </c:pt>
                <c:pt idx="3">
                  <c:v>4.9167677463314741</c:v>
                </c:pt>
                <c:pt idx="4">
                  <c:v>5.2003938099741909</c:v>
                </c:pt>
                <c:pt idx="5">
                  <c:v>-2.4454616652755057</c:v>
                </c:pt>
                <c:pt idx="6">
                  <c:v>8.580373717453881</c:v>
                </c:pt>
                <c:pt idx="7">
                  <c:v>-8.619194337018099</c:v>
                </c:pt>
                <c:pt idx="8">
                  <c:v>-1.0894139041089934</c:v>
                </c:pt>
                <c:pt idx="9">
                  <c:v>-4.5741598270404911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3-4264-B806-51480E6C8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88911"/>
        <c:axId val="1744676015"/>
      </c:barChart>
      <c:catAx>
        <c:axId val="17446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44676015"/>
        <c:crosses val="autoZero"/>
        <c:auto val="1"/>
        <c:lblAlgn val="ctr"/>
        <c:lblOffset val="100"/>
        <c:noMultiLvlLbl val="0"/>
      </c:catAx>
      <c:valAx>
        <c:axId val="17446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6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风格表现!$C$62:$C$71</c:f>
              <c:strCache>
                <c:ptCount val="10"/>
                <c:pt idx="0">
                  <c:v>中证医药</c:v>
                </c:pt>
                <c:pt idx="1">
                  <c:v>中证电信</c:v>
                </c:pt>
                <c:pt idx="2">
                  <c:v>中证消费</c:v>
                </c:pt>
                <c:pt idx="3">
                  <c:v>中证能源</c:v>
                </c:pt>
                <c:pt idx="4">
                  <c:v>中证公用</c:v>
                </c:pt>
                <c:pt idx="5">
                  <c:v>中证工业</c:v>
                </c:pt>
                <c:pt idx="6">
                  <c:v>中证材料</c:v>
                </c:pt>
                <c:pt idx="7">
                  <c:v>中证信息</c:v>
                </c:pt>
                <c:pt idx="8">
                  <c:v>中证可选</c:v>
                </c:pt>
                <c:pt idx="9">
                  <c:v>中证金融</c:v>
                </c:pt>
              </c:strCache>
            </c:strRef>
          </c:cat>
          <c:val>
            <c:numRef>
              <c:f>风格表现!$K$62:$K$71</c:f>
              <c:numCache>
                <c:formatCode>#,##0.00_);[Red]\(#,##0.00\)</c:formatCode>
                <c:ptCount val="10"/>
                <c:pt idx="0">
                  <c:v>-27.523787816832247</c:v>
                </c:pt>
                <c:pt idx="1">
                  <c:v>-10.701966010399</c:v>
                </c:pt>
                <c:pt idx="2">
                  <c:v>-19.603351502219667</c:v>
                </c:pt>
                <c:pt idx="3">
                  <c:v>21.323964536149333</c:v>
                </c:pt>
                <c:pt idx="4">
                  <c:v>13.942378968264002</c:v>
                </c:pt>
                <c:pt idx="5">
                  <c:v>-22.255069735322429</c:v>
                </c:pt>
                <c:pt idx="6">
                  <c:v>-8.3246791401631821</c:v>
                </c:pt>
                <c:pt idx="7">
                  <c:v>-28.203652813249736</c:v>
                </c:pt>
                <c:pt idx="8">
                  <c:v>-5.1334718742791718</c:v>
                </c:pt>
                <c:pt idx="9">
                  <c:v>-9.8487997715443587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0-470C-AF1E-93F9BC69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88911"/>
        <c:axId val="1744676015"/>
      </c:barChart>
      <c:catAx>
        <c:axId val="17446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44676015"/>
        <c:crosses val="autoZero"/>
        <c:auto val="1"/>
        <c:lblAlgn val="ctr"/>
        <c:lblOffset val="100"/>
        <c:noMultiLvlLbl val="0"/>
      </c:catAx>
      <c:valAx>
        <c:axId val="17446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6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风格表现!$C$62:$C$71</c:f>
              <c:strCache>
                <c:ptCount val="10"/>
                <c:pt idx="0">
                  <c:v>中证医药</c:v>
                </c:pt>
                <c:pt idx="1">
                  <c:v>中证电信</c:v>
                </c:pt>
                <c:pt idx="2">
                  <c:v>中证消费</c:v>
                </c:pt>
                <c:pt idx="3">
                  <c:v>中证能源</c:v>
                </c:pt>
                <c:pt idx="4">
                  <c:v>中证公用</c:v>
                </c:pt>
                <c:pt idx="5">
                  <c:v>中证工业</c:v>
                </c:pt>
                <c:pt idx="6">
                  <c:v>中证材料</c:v>
                </c:pt>
                <c:pt idx="7">
                  <c:v>中证信息</c:v>
                </c:pt>
                <c:pt idx="8">
                  <c:v>中证可选</c:v>
                </c:pt>
                <c:pt idx="9">
                  <c:v>中证金融</c:v>
                </c:pt>
              </c:strCache>
            </c:strRef>
          </c:cat>
          <c:val>
            <c:numRef>
              <c:f>风格表现!$L$62:$L$71</c:f>
              <c:numCache>
                <c:formatCode>#,##0.00_);[Red]\(#,##0.00\)</c:formatCode>
                <c:ptCount val="10"/>
                <c:pt idx="0">
                  <c:v>-13.685806641324326</c:v>
                </c:pt>
                <c:pt idx="1">
                  <c:v>7.6602125582302172</c:v>
                </c:pt>
                <c:pt idx="2">
                  <c:v>-3.1502561863156475</c:v>
                </c:pt>
                <c:pt idx="3">
                  <c:v>20.013804206561602</c:v>
                </c:pt>
                <c:pt idx="4">
                  <c:v>16.25944722815753</c:v>
                </c:pt>
                <c:pt idx="5">
                  <c:v>0.94726008931780292</c:v>
                </c:pt>
                <c:pt idx="6">
                  <c:v>12.245102130673358</c:v>
                </c:pt>
                <c:pt idx="7">
                  <c:v>-10.567006783987566</c:v>
                </c:pt>
                <c:pt idx="8">
                  <c:v>5.9010724750360621</c:v>
                </c:pt>
                <c:pt idx="9">
                  <c:v>-0.10833271624918206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A-40CE-BDBA-FDB6EA47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88911"/>
        <c:axId val="1744676015"/>
      </c:barChart>
      <c:catAx>
        <c:axId val="17446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44676015"/>
        <c:crosses val="autoZero"/>
        <c:auto val="1"/>
        <c:lblAlgn val="ctr"/>
        <c:lblOffset val="100"/>
        <c:noMultiLvlLbl val="0"/>
      </c:catAx>
      <c:valAx>
        <c:axId val="17446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6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全球重要商品!$C$9:$C$38</c:f>
              <c:strCache>
                <c:ptCount val="30"/>
                <c:pt idx="0">
                  <c:v>伦敦金现</c:v>
                </c:pt>
                <c:pt idx="1">
                  <c:v>伦敦银现</c:v>
                </c:pt>
                <c:pt idx="2">
                  <c:v>COMEX黄金</c:v>
                </c:pt>
                <c:pt idx="3">
                  <c:v>COMEX白银</c:v>
                </c:pt>
                <c:pt idx="4">
                  <c:v>SHFE黄金</c:v>
                </c:pt>
                <c:pt idx="5">
                  <c:v>SHFE白银</c:v>
                </c:pt>
                <c:pt idx="6">
                  <c:v>ICE布油</c:v>
                </c:pt>
                <c:pt idx="7">
                  <c:v>NYMEX原油</c:v>
                </c:pt>
                <c:pt idx="8">
                  <c:v>LME铜</c:v>
                </c:pt>
                <c:pt idx="9">
                  <c:v>LME铝</c:v>
                </c:pt>
                <c:pt idx="10">
                  <c:v>SHFE铜</c:v>
                </c:pt>
                <c:pt idx="11">
                  <c:v>SHFE铝</c:v>
                </c:pt>
                <c:pt idx="12">
                  <c:v>SHFE螺纹钢</c:v>
                </c:pt>
                <c:pt idx="13">
                  <c:v>DCE铁矿石</c:v>
                </c:pt>
                <c:pt idx="14">
                  <c:v>CZCE动力煤</c:v>
                </c:pt>
                <c:pt idx="15">
                  <c:v>CBOT大豆</c:v>
                </c:pt>
                <c:pt idx="16">
                  <c:v>CBOT小麦</c:v>
                </c:pt>
                <c:pt idx="17">
                  <c:v>CBOT玉米</c:v>
                </c:pt>
                <c:pt idx="18">
                  <c:v>DCE豆一</c:v>
                </c:pt>
                <c:pt idx="19">
                  <c:v>DCE玉米</c:v>
                </c:pt>
                <c:pt idx="20">
                  <c:v>ICE11号糖</c:v>
                </c:pt>
                <c:pt idx="21">
                  <c:v>ICE2号棉花</c:v>
                </c:pt>
                <c:pt idx="22">
                  <c:v>CZCE白糖</c:v>
                </c:pt>
                <c:pt idx="23">
                  <c:v>CZCE棉花</c:v>
                </c:pt>
                <c:pt idx="24">
                  <c:v>SHFE热轧卷板</c:v>
                </c:pt>
                <c:pt idx="25">
                  <c:v>DCE聚丙烯</c:v>
                </c:pt>
                <c:pt idx="26">
                  <c:v>CZCE强麦</c:v>
                </c:pt>
                <c:pt idx="27">
                  <c:v>CFFEX10年期国债期货</c:v>
                </c:pt>
                <c:pt idx="28">
                  <c:v>CFFEX5年期国债期货</c:v>
                </c:pt>
                <c:pt idx="29">
                  <c:v>CFFEX2年期国债期货</c:v>
                </c:pt>
              </c:strCache>
            </c:strRef>
          </c:cat>
          <c:val>
            <c:numRef>
              <c:f>全球重要商品!$F$9:$F$38</c:f>
              <c:numCache>
                <c:formatCode>#,##0.00_);[Red]\(#,##0.00\)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D-490B-B9E3-D0D4B90C1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全球重要商品!$C$9:$C$38</c:f>
              <c:strCache>
                <c:ptCount val="30"/>
                <c:pt idx="0">
                  <c:v>伦敦金现</c:v>
                </c:pt>
                <c:pt idx="1">
                  <c:v>伦敦银现</c:v>
                </c:pt>
                <c:pt idx="2">
                  <c:v>COMEX黄金</c:v>
                </c:pt>
                <c:pt idx="3">
                  <c:v>COMEX白银</c:v>
                </c:pt>
                <c:pt idx="4">
                  <c:v>SHFE黄金</c:v>
                </c:pt>
                <c:pt idx="5">
                  <c:v>SHFE白银</c:v>
                </c:pt>
                <c:pt idx="6">
                  <c:v>ICE布油</c:v>
                </c:pt>
                <c:pt idx="7">
                  <c:v>NYMEX原油</c:v>
                </c:pt>
                <c:pt idx="8">
                  <c:v>LME铜</c:v>
                </c:pt>
                <c:pt idx="9">
                  <c:v>LME铝</c:v>
                </c:pt>
                <c:pt idx="10">
                  <c:v>SHFE铜</c:v>
                </c:pt>
                <c:pt idx="11">
                  <c:v>SHFE铝</c:v>
                </c:pt>
                <c:pt idx="12">
                  <c:v>SHFE螺纹钢</c:v>
                </c:pt>
                <c:pt idx="13">
                  <c:v>DCE铁矿石</c:v>
                </c:pt>
                <c:pt idx="14">
                  <c:v>CZCE动力煤</c:v>
                </c:pt>
                <c:pt idx="15">
                  <c:v>CBOT大豆</c:v>
                </c:pt>
                <c:pt idx="16">
                  <c:v>CBOT小麦</c:v>
                </c:pt>
                <c:pt idx="17">
                  <c:v>CBOT玉米</c:v>
                </c:pt>
                <c:pt idx="18">
                  <c:v>DCE豆一</c:v>
                </c:pt>
                <c:pt idx="19">
                  <c:v>DCE玉米</c:v>
                </c:pt>
                <c:pt idx="20">
                  <c:v>ICE11号糖</c:v>
                </c:pt>
                <c:pt idx="21">
                  <c:v>ICE2号棉花</c:v>
                </c:pt>
                <c:pt idx="22">
                  <c:v>CZCE白糖</c:v>
                </c:pt>
                <c:pt idx="23">
                  <c:v>CZCE棉花</c:v>
                </c:pt>
                <c:pt idx="24">
                  <c:v>SHFE热轧卷板</c:v>
                </c:pt>
                <c:pt idx="25">
                  <c:v>DCE聚丙烯</c:v>
                </c:pt>
                <c:pt idx="26">
                  <c:v>CZCE强麦</c:v>
                </c:pt>
                <c:pt idx="27">
                  <c:v>CFFEX10年期国债期货</c:v>
                </c:pt>
                <c:pt idx="28">
                  <c:v>CFFEX5年期国债期货</c:v>
                </c:pt>
                <c:pt idx="29">
                  <c:v>CFFEX2年期国债期货</c:v>
                </c:pt>
              </c:strCache>
            </c:strRef>
          </c:cat>
          <c:val>
            <c:numRef>
              <c:f>全球重要商品!$G$9:$G$38</c:f>
              <c:numCache>
                <c:formatCode>#,##0.00_);[Red]\(#,##0.00\)</c:formatCode>
                <c:ptCount val="30"/>
                <c:pt idx="0">
                  <c:v>0.5887352601553042</c:v>
                </c:pt>
                <c:pt idx="1">
                  <c:v>1.3946544315781795</c:v>
                </c:pt>
                <c:pt idx="2">
                  <c:v>0.63102242687813281</c:v>
                </c:pt>
                <c:pt idx="3">
                  <c:v>1.6979965821910292</c:v>
                </c:pt>
                <c:pt idx="4">
                  <c:v>6.1237397224599048</c:v>
                </c:pt>
                <c:pt idx="5">
                  <c:v>12.158510957670369</c:v>
                </c:pt>
                <c:pt idx="6">
                  <c:v>-1.1187890753537304</c:v>
                </c:pt>
                <c:pt idx="7">
                  <c:v>0</c:v>
                </c:pt>
                <c:pt idx="8">
                  <c:v>0.83069832252532294</c:v>
                </c:pt>
                <c:pt idx="9">
                  <c:v>1.1426239542950418</c:v>
                </c:pt>
                <c:pt idx="10">
                  <c:v>4.4688943221950561</c:v>
                </c:pt>
                <c:pt idx="11">
                  <c:v>4.2745788282625092</c:v>
                </c:pt>
                <c:pt idx="12">
                  <c:v>3.3912795668281563</c:v>
                </c:pt>
                <c:pt idx="13">
                  <c:v>9.973924380704041</c:v>
                </c:pt>
                <c:pt idx="14">
                  <c:v>0</c:v>
                </c:pt>
                <c:pt idx="15">
                  <c:v>-1.0970464135021099</c:v>
                </c:pt>
                <c:pt idx="16">
                  <c:v>-2.1154693697664166</c:v>
                </c:pt>
                <c:pt idx="17">
                  <c:v>0.11514104778353484</c:v>
                </c:pt>
                <c:pt idx="18">
                  <c:v>-0.71025694589513266</c:v>
                </c:pt>
                <c:pt idx="19">
                  <c:v>-1.7248459958932241</c:v>
                </c:pt>
                <c:pt idx="20">
                  <c:v>-6.9122328331059553</c:v>
                </c:pt>
                <c:pt idx="21">
                  <c:v>-1.9478260869565296</c:v>
                </c:pt>
                <c:pt idx="22">
                  <c:v>-3.2238534887240808</c:v>
                </c:pt>
                <c:pt idx="23">
                  <c:v>0.77017868145409729</c:v>
                </c:pt>
                <c:pt idx="24">
                  <c:v>2.3564463705308776</c:v>
                </c:pt>
                <c:pt idx="25">
                  <c:v>-3.9588281868566902E-2</c:v>
                </c:pt>
                <c:pt idx="26">
                  <c:v>-7.8709169618262909E-2</c:v>
                </c:pt>
                <c:pt idx="27">
                  <c:v>0.3171094988708964</c:v>
                </c:pt>
                <c:pt idx="28">
                  <c:v>0.26178010471203805</c:v>
                </c:pt>
                <c:pt idx="29">
                  <c:v>8.8566986163871958E-2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9-40E6-A1BF-5B2D0E9E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全球重要商品!$C$9:$C$38</c:f>
              <c:strCache>
                <c:ptCount val="30"/>
                <c:pt idx="0">
                  <c:v>伦敦金现</c:v>
                </c:pt>
                <c:pt idx="1">
                  <c:v>伦敦银现</c:v>
                </c:pt>
                <c:pt idx="2">
                  <c:v>COMEX黄金</c:v>
                </c:pt>
                <c:pt idx="3">
                  <c:v>COMEX白银</c:v>
                </c:pt>
                <c:pt idx="4">
                  <c:v>SHFE黄金</c:v>
                </c:pt>
                <c:pt idx="5">
                  <c:v>SHFE白银</c:v>
                </c:pt>
                <c:pt idx="6">
                  <c:v>ICE布油</c:v>
                </c:pt>
                <c:pt idx="7">
                  <c:v>NYMEX原油</c:v>
                </c:pt>
                <c:pt idx="8">
                  <c:v>LME铜</c:v>
                </c:pt>
                <c:pt idx="9">
                  <c:v>LME铝</c:v>
                </c:pt>
                <c:pt idx="10">
                  <c:v>SHFE铜</c:v>
                </c:pt>
                <c:pt idx="11">
                  <c:v>SHFE铝</c:v>
                </c:pt>
                <c:pt idx="12">
                  <c:v>SHFE螺纹钢</c:v>
                </c:pt>
                <c:pt idx="13">
                  <c:v>DCE铁矿石</c:v>
                </c:pt>
                <c:pt idx="14">
                  <c:v>CZCE动力煤</c:v>
                </c:pt>
                <c:pt idx="15">
                  <c:v>CBOT大豆</c:v>
                </c:pt>
                <c:pt idx="16">
                  <c:v>CBOT小麦</c:v>
                </c:pt>
                <c:pt idx="17">
                  <c:v>CBOT玉米</c:v>
                </c:pt>
                <c:pt idx="18">
                  <c:v>DCE豆一</c:v>
                </c:pt>
                <c:pt idx="19">
                  <c:v>DCE玉米</c:v>
                </c:pt>
                <c:pt idx="20">
                  <c:v>ICE11号糖</c:v>
                </c:pt>
                <c:pt idx="21">
                  <c:v>ICE2号棉花</c:v>
                </c:pt>
                <c:pt idx="22">
                  <c:v>CZCE白糖</c:v>
                </c:pt>
                <c:pt idx="23">
                  <c:v>CZCE棉花</c:v>
                </c:pt>
                <c:pt idx="24">
                  <c:v>SHFE热轧卷板</c:v>
                </c:pt>
                <c:pt idx="25">
                  <c:v>DCE聚丙烯</c:v>
                </c:pt>
                <c:pt idx="26">
                  <c:v>CZCE强麦</c:v>
                </c:pt>
                <c:pt idx="27">
                  <c:v>CFFEX10年期国债期货</c:v>
                </c:pt>
                <c:pt idx="28">
                  <c:v>CFFEX5年期国债期货</c:v>
                </c:pt>
                <c:pt idx="29">
                  <c:v>CFFEX2年期国债期货</c:v>
                </c:pt>
              </c:strCache>
            </c:strRef>
          </c:cat>
          <c:val>
            <c:numRef>
              <c:f>全球重要商品!$H$9:$H$38</c:f>
              <c:numCache>
                <c:formatCode>#,##0.00_);[Red]\(#,##0.00\)</c:formatCode>
                <c:ptCount val="30"/>
                <c:pt idx="0">
                  <c:v>7.7804526688400877</c:v>
                </c:pt>
                <c:pt idx="1">
                  <c:v>11.406737617028085</c:v>
                </c:pt>
                <c:pt idx="2">
                  <c:v>8.2263389581804667</c:v>
                </c:pt>
                <c:pt idx="3">
                  <c:v>11.186198123708062</c:v>
                </c:pt>
                <c:pt idx="4">
                  <c:v>12.974771278070415</c:v>
                </c:pt>
                <c:pt idx="5">
                  <c:v>21.97192295135488</c:v>
                </c:pt>
                <c:pt idx="6">
                  <c:v>7.2831131738664814</c:v>
                </c:pt>
                <c:pt idx="7">
                  <c:v>0</c:v>
                </c:pt>
                <c:pt idx="8">
                  <c:v>5.3769463425562902</c:v>
                </c:pt>
                <c:pt idx="9">
                  <c:v>9.4743816254416959</c:v>
                </c:pt>
                <c:pt idx="10">
                  <c:v>9.8243609881479372</c:v>
                </c:pt>
                <c:pt idx="11">
                  <c:v>7.9666753449622503</c:v>
                </c:pt>
                <c:pt idx="12">
                  <c:v>0.41516745087185164</c:v>
                </c:pt>
                <c:pt idx="13">
                  <c:v>2.9286150091519221</c:v>
                </c:pt>
                <c:pt idx="14">
                  <c:v>0</c:v>
                </c:pt>
                <c:pt idx="15">
                  <c:v>-2.0681011071652393</c:v>
                </c:pt>
                <c:pt idx="16">
                  <c:v>2.0211299954065227</c:v>
                </c:pt>
                <c:pt idx="17">
                  <c:v>-1.4730878186968839</c:v>
                </c:pt>
                <c:pt idx="18">
                  <c:v>0.7631969472122111</c:v>
                </c:pt>
                <c:pt idx="19">
                  <c:v>-1.9262295081967213</c:v>
                </c:pt>
                <c:pt idx="20">
                  <c:v>-6.6575467396260875</c:v>
                </c:pt>
                <c:pt idx="21">
                  <c:v>-10.885142255005281</c:v>
                </c:pt>
                <c:pt idx="22">
                  <c:v>-0.92965602726991015</c:v>
                </c:pt>
                <c:pt idx="23">
                  <c:v>2.5713389777359672</c:v>
                </c:pt>
                <c:pt idx="24">
                  <c:v>-0.50026329647182732</c:v>
                </c:pt>
                <c:pt idx="25">
                  <c:v>1.8966908797417272</c:v>
                </c:pt>
                <c:pt idx="26">
                  <c:v>-7.8709169618262909E-2</c:v>
                </c:pt>
                <c:pt idx="27">
                  <c:v>0.55868612435582365</c:v>
                </c:pt>
                <c:pt idx="28">
                  <c:v>0.52982063870121199</c:v>
                </c:pt>
                <c:pt idx="29">
                  <c:v>0.27605789328390695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9-45E3-A135-AFED18236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全球重要商品!$C$9:$C$38</c:f>
              <c:strCache>
                <c:ptCount val="30"/>
                <c:pt idx="0">
                  <c:v>伦敦金现</c:v>
                </c:pt>
                <c:pt idx="1">
                  <c:v>伦敦银现</c:v>
                </c:pt>
                <c:pt idx="2">
                  <c:v>COMEX黄金</c:v>
                </c:pt>
                <c:pt idx="3">
                  <c:v>COMEX白银</c:v>
                </c:pt>
                <c:pt idx="4">
                  <c:v>SHFE黄金</c:v>
                </c:pt>
                <c:pt idx="5">
                  <c:v>SHFE白银</c:v>
                </c:pt>
                <c:pt idx="6">
                  <c:v>ICE布油</c:v>
                </c:pt>
                <c:pt idx="7">
                  <c:v>NYMEX原油</c:v>
                </c:pt>
                <c:pt idx="8">
                  <c:v>LME铜</c:v>
                </c:pt>
                <c:pt idx="9">
                  <c:v>LME铝</c:v>
                </c:pt>
                <c:pt idx="10">
                  <c:v>SHFE铜</c:v>
                </c:pt>
                <c:pt idx="11">
                  <c:v>SHFE铝</c:v>
                </c:pt>
                <c:pt idx="12">
                  <c:v>SHFE螺纹钢</c:v>
                </c:pt>
                <c:pt idx="13">
                  <c:v>DCE铁矿石</c:v>
                </c:pt>
                <c:pt idx="14">
                  <c:v>CZCE动力煤</c:v>
                </c:pt>
                <c:pt idx="15">
                  <c:v>CBOT大豆</c:v>
                </c:pt>
                <c:pt idx="16">
                  <c:v>CBOT小麦</c:v>
                </c:pt>
                <c:pt idx="17">
                  <c:v>CBOT玉米</c:v>
                </c:pt>
                <c:pt idx="18">
                  <c:v>DCE豆一</c:v>
                </c:pt>
                <c:pt idx="19">
                  <c:v>DCE玉米</c:v>
                </c:pt>
                <c:pt idx="20">
                  <c:v>ICE11号糖</c:v>
                </c:pt>
                <c:pt idx="21">
                  <c:v>ICE2号棉花</c:v>
                </c:pt>
                <c:pt idx="22">
                  <c:v>CZCE白糖</c:v>
                </c:pt>
                <c:pt idx="23">
                  <c:v>CZCE棉花</c:v>
                </c:pt>
                <c:pt idx="24">
                  <c:v>SHFE热轧卷板</c:v>
                </c:pt>
                <c:pt idx="25">
                  <c:v>DCE聚丙烯</c:v>
                </c:pt>
                <c:pt idx="26">
                  <c:v>CZCE强麦</c:v>
                </c:pt>
                <c:pt idx="27">
                  <c:v>CFFEX10年期国债期货</c:v>
                </c:pt>
                <c:pt idx="28">
                  <c:v>CFFEX5年期国债期货</c:v>
                </c:pt>
                <c:pt idx="29">
                  <c:v>CFFEX2年期国债期货</c:v>
                </c:pt>
              </c:strCache>
            </c:strRef>
          </c:cat>
          <c:val>
            <c:numRef>
              <c:f>全球重要商品!$K$9:$K$38</c:f>
              <c:numCache>
                <c:formatCode>#,##0.00_);[Red]\(#,##0.00\)</c:formatCode>
                <c:ptCount val="30"/>
                <c:pt idx="0">
                  <c:v>14.908594294008616</c:v>
                </c:pt>
                <c:pt idx="1">
                  <c:v>7.8845408756295976</c:v>
                </c:pt>
                <c:pt idx="2">
                  <c:v>14.834817301610451</c:v>
                </c:pt>
                <c:pt idx="3">
                  <c:v>7.8881388621022106</c:v>
                </c:pt>
                <c:pt idx="4">
                  <c:v>27.480336074365397</c:v>
                </c:pt>
                <c:pt idx="5">
                  <c:v>31.758067360253921</c:v>
                </c:pt>
                <c:pt idx="6">
                  <c:v>4.7159948890695809</c:v>
                </c:pt>
                <c:pt idx="7">
                  <c:v>0</c:v>
                </c:pt>
                <c:pt idx="8">
                  <c:v>3.8472153226251589</c:v>
                </c:pt>
                <c:pt idx="9">
                  <c:v>4.7106041402619345</c:v>
                </c:pt>
                <c:pt idx="10">
                  <c:v>11.221981200289227</c:v>
                </c:pt>
                <c:pt idx="11">
                  <c:v>12.141698215251488</c:v>
                </c:pt>
                <c:pt idx="12">
                  <c:v>-6.5189384179335219</c:v>
                </c:pt>
                <c:pt idx="13">
                  <c:v>8.8387096774193559</c:v>
                </c:pt>
                <c:pt idx="14">
                  <c:v>0</c:v>
                </c:pt>
                <c:pt idx="15">
                  <c:v>-21.918720852764821</c:v>
                </c:pt>
                <c:pt idx="16">
                  <c:v>-16.754122938530735</c:v>
                </c:pt>
                <c:pt idx="17">
                  <c:v>-33.346109620544269</c:v>
                </c:pt>
                <c:pt idx="18">
                  <c:v>-6.8769592476489034</c:v>
                </c:pt>
                <c:pt idx="19">
                  <c:v>-13.108206245461149</c:v>
                </c:pt>
                <c:pt idx="20">
                  <c:v>-12.483967507481838</c:v>
                </c:pt>
                <c:pt idx="21">
                  <c:v>1.4637072585482891</c:v>
                </c:pt>
                <c:pt idx="22">
                  <c:v>-4.5244139166791095</c:v>
                </c:pt>
                <c:pt idx="23">
                  <c:v>10.768709786657636</c:v>
                </c:pt>
                <c:pt idx="24">
                  <c:v>-4.7150781643973776</c:v>
                </c:pt>
                <c:pt idx="25">
                  <c:v>-0.17132314180284661</c:v>
                </c:pt>
                <c:pt idx="26">
                  <c:v>-7.8709169618262909E-2</c:v>
                </c:pt>
                <c:pt idx="27">
                  <c:v>3.6024413238723718</c:v>
                </c:pt>
                <c:pt idx="28">
                  <c:v>2.2241992882562278</c:v>
                </c:pt>
                <c:pt idx="29">
                  <c:v>0.79080368645327703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9-462B-9032-C3B0B504C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全球重要商品!$C$9:$C$38</c:f>
              <c:strCache>
                <c:ptCount val="30"/>
                <c:pt idx="0">
                  <c:v>伦敦金现</c:v>
                </c:pt>
                <c:pt idx="1">
                  <c:v>伦敦银现</c:v>
                </c:pt>
                <c:pt idx="2">
                  <c:v>COMEX黄金</c:v>
                </c:pt>
                <c:pt idx="3">
                  <c:v>COMEX白银</c:v>
                </c:pt>
                <c:pt idx="4">
                  <c:v>SHFE黄金</c:v>
                </c:pt>
                <c:pt idx="5">
                  <c:v>SHFE白银</c:v>
                </c:pt>
                <c:pt idx="6">
                  <c:v>ICE布油</c:v>
                </c:pt>
                <c:pt idx="7">
                  <c:v>NYMEX原油</c:v>
                </c:pt>
                <c:pt idx="8">
                  <c:v>LME铜</c:v>
                </c:pt>
                <c:pt idx="9">
                  <c:v>LME铝</c:v>
                </c:pt>
                <c:pt idx="10">
                  <c:v>SHFE铜</c:v>
                </c:pt>
                <c:pt idx="11">
                  <c:v>SHFE铝</c:v>
                </c:pt>
                <c:pt idx="12">
                  <c:v>SHFE螺纹钢</c:v>
                </c:pt>
                <c:pt idx="13">
                  <c:v>DCE铁矿石</c:v>
                </c:pt>
                <c:pt idx="14">
                  <c:v>CZCE动力煤</c:v>
                </c:pt>
                <c:pt idx="15">
                  <c:v>CBOT大豆</c:v>
                </c:pt>
                <c:pt idx="16">
                  <c:v>CBOT小麦</c:v>
                </c:pt>
                <c:pt idx="17">
                  <c:v>CBOT玉米</c:v>
                </c:pt>
                <c:pt idx="18">
                  <c:v>DCE豆一</c:v>
                </c:pt>
                <c:pt idx="19">
                  <c:v>DCE玉米</c:v>
                </c:pt>
                <c:pt idx="20">
                  <c:v>ICE11号糖</c:v>
                </c:pt>
                <c:pt idx="21">
                  <c:v>ICE2号棉花</c:v>
                </c:pt>
                <c:pt idx="22">
                  <c:v>CZCE白糖</c:v>
                </c:pt>
                <c:pt idx="23">
                  <c:v>CZCE棉花</c:v>
                </c:pt>
                <c:pt idx="24">
                  <c:v>SHFE热轧卷板</c:v>
                </c:pt>
                <c:pt idx="25">
                  <c:v>DCE聚丙烯</c:v>
                </c:pt>
                <c:pt idx="26">
                  <c:v>CZCE强麦</c:v>
                </c:pt>
                <c:pt idx="27">
                  <c:v>CFFEX10年期国债期货</c:v>
                </c:pt>
                <c:pt idx="28">
                  <c:v>CFFEX5年期国债期货</c:v>
                </c:pt>
                <c:pt idx="29">
                  <c:v>CFFEX2年期国债期货</c:v>
                </c:pt>
              </c:strCache>
            </c:strRef>
          </c:cat>
          <c:val>
            <c:numRef>
              <c:f>全球重要商品!$L$9:$L$38</c:f>
              <c:numCache>
                <c:formatCode>#,##0.00_);[Red]\(#,##0.00\)</c:formatCode>
                <c:ptCount val="30"/>
                <c:pt idx="0">
                  <c:v>13.608364980299115</c:v>
                </c:pt>
                <c:pt idx="1">
                  <c:v>17.100598434733595</c:v>
                </c:pt>
                <c:pt idx="2">
                  <c:v>13.920262573607472</c:v>
                </c:pt>
                <c:pt idx="3">
                  <c:v>16.125550112098317</c:v>
                </c:pt>
                <c:pt idx="4">
                  <c:v>18.50359353578995</c:v>
                </c:pt>
                <c:pt idx="5">
                  <c:v>24.284763805721891</c:v>
                </c:pt>
                <c:pt idx="6">
                  <c:v>17.017133956386292</c:v>
                </c:pt>
                <c:pt idx="7">
                  <c:v>0</c:v>
                </c:pt>
                <c:pt idx="8">
                  <c:v>9.9076994976048596</c:v>
                </c:pt>
                <c:pt idx="9">
                  <c:v>3.9639261744966445</c:v>
                </c:pt>
                <c:pt idx="10">
                  <c:v>11.512251703639263</c:v>
                </c:pt>
                <c:pt idx="11">
                  <c:v>6.3878912262698817</c:v>
                </c:pt>
                <c:pt idx="12">
                  <c:v>-9.3000000000000007</c:v>
                </c:pt>
                <c:pt idx="13">
                  <c:v>-13.35387776065742</c:v>
                </c:pt>
                <c:pt idx="14">
                  <c:v>0</c:v>
                </c:pt>
                <c:pt idx="15">
                  <c:v>-9.7072419106317405</c:v>
                </c:pt>
                <c:pt idx="16">
                  <c:v>-11.584394904458598</c:v>
                </c:pt>
                <c:pt idx="17">
                  <c:v>-7.7453580901856762</c:v>
                </c:pt>
                <c:pt idx="18">
                  <c:v>-4.8448448448448449</c:v>
                </c:pt>
                <c:pt idx="19">
                  <c:v>-1.2381345439537763</c:v>
                </c:pt>
                <c:pt idx="20">
                  <c:v>-0.5344995140913481</c:v>
                </c:pt>
                <c:pt idx="21">
                  <c:v>4.4074074074073986</c:v>
                </c:pt>
                <c:pt idx="22">
                  <c:v>1.1068943706514864</c:v>
                </c:pt>
                <c:pt idx="23">
                  <c:v>5.176848874598071</c:v>
                </c:pt>
                <c:pt idx="24">
                  <c:v>-8.0535279805352804</c:v>
                </c:pt>
                <c:pt idx="25">
                  <c:v>-6.5963060686015831E-2</c:v>
                </c:pt>
                <c:pt idx="26">
                  <c:v>-7.8709169618262909E-2</c:v>
                </c:pt>
                <c:pt idx="27">
                  <c:v>1.5021876519202739</c:v>
                </c:pt>
                <c:pt idx="28">
                  <c:v>0.84353210785508304</c:v>
                </c:pt>
                <c:pt idx="29">
                  <c:v>0.38096366040938362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A-4A57-88F7-A9CFA98DC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重要外汇!$C$9:$C$35</c:f>
              <c:strCache>
                <c:ptCount val="27"/>
                <c:pt idx="0">
                  <c:v>美元兑人民币(CFETS)</c:v>
                </c:pt>
                <c:pt idx="1">
                  <c:v>美元兑离岸人民币</c:v>
                </c:pt>
                <c:pt idx="2">
                  <c:v>美元指数</c:v>
                </c:pt>
                <c:pt idx="3">
                  <c:v>欧元兑美元</c:v>
                </c:pt>
                <c:pt idx="4">
                  <c:v>美元兑日元</c:v>
                </c:pt>
                <c:pt idx="5">
                  <c:v>英镑兑美元</c:v>
                </c:pt>
                <c:pt idx="6">
                  <c:v>美元兑加元</c:v>
                </c:pt>
                <c:pt idx="7">
                  <c:v>澳元兑美元</c:v>
                </c:pt>
                <c:pt idx="8">
                  <c:v>新西兰元兑美元</c:v>
                </c:pt>
                <c:pt idx="9">
                  <c:v>美元兑瑞郎</c:v>
                </c:pt>
                <c:pt idx="10">
                  <c:v>美元兑港币</c:v>
                </c:pt>
                <c:pt idx="11">
                  <c:v>美元兑新台币</c:v>
                </c:pt>
                <c:pt idx="12">
                  <c:v>人民币指数</c:v>
                </c:pt>
                <c:pt idx="13">
                  <c:v>美元中间价</c:v>
                </c:pt>
                <c:pt idx="14">
                  <c:v>欧元中间价</c:v>
                </c:pt>
                <c:pt idx="15">
                  <c:v>英镑中间价</c:v>
                </c:pt>
                <c:pt idx="16">
                  <c:v>日元中间价</c:v>
                </c:pt>
                <c:pt idx="17">
                  <c:v>港币中间价</c:v>
                </c:pt>
                <c:pt idx="18">
                  <c:v>澳元中间价</c:v>
                </c:pt>
                <c:pt idx="19">
                  <c:v>加元中间价</c:v>
                </c:pt>
                <c:pt idx="20">
                  <c:v>俄罗斯卢布中间价</c:v>
                </c:pt>
                <c:pt idx="21">
                  <c:v>林吉特中间价</c:v>
                </c:pt>
                <c:pt idx="22">
                  <c:v>新西兰元中间价</c:v>
                </c:pt>
                <c:pt idx="23">
                  <c:v>新加坡元中间价</c:v>
                </c:pt>
                <c:pt idx="24">
                  <c:v>瑞郎中间价</c:v>
                </c:pt>
                <c:pt idx="25">
                  <c:v>兰特中间价</c:v>
                </c:pt>
                <c:pt idx="26">
                  <c:v>韩元中间价</c:v>
                </c:pt>
              </c:strCache>
            </c:strRef>
          </c:cat>
          <c:val>
            <c:numRef>
              <c:f>重要外汇!$F$9:$F$35</c:f>
              <c:numCache>
                <c:formatCode>#,##0.00_);[Red]\(#,##0.00\)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B-4D4F-B226-2D438D80F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重要外汇!$C$9:$C$35</c:f>
              <c:strCache>
                <c:ptCount val="27"/>
                <c:pt idx="0">
                  <c:v>美元兑人民币(CFETS)</c:v>
                </c:pt>
                <c:pt idx="1">
                  <c:v>美元兑离岸人民币</c:v>
                </c:pt>
                <c:pt idx="2">
                  <c:v>美元指数</c:v>
                </c:pt>
                <c:pt idx="3">
                  <c:v>欧元兑美元</c:v>
                </c:pt>
                <c:pt idx="4">
                  <c:v>美元兑日元</c:v>
                </c:pt>
                <c:pt idx="5">
                  <c:v>英镑兑美元</c:v>
                </c:pt>
                <c:pt idx="6">
                  <c:v>美元兑加元</c:v>
                </c:pt>
                <c:pt idx="7">
                  <c:v>澳元兑美元</c:v>
                </c:pt>
                <c:pt idx="8">
                  <c:v>新西兰元兑美元</c:v>
                </c:pt>
                <c:pt idx="9">
                  <c:v>美元兑瑞郎</c:v>
                </c:pt>
                <c:pt idx="10">
                  <c:v>美元兑港币</c:v>
                </c:pt>
                <c:pt idx="11">
                  <c:v>美元兑新台币</c:v>
                </c:pt>
                <c:pt idx="12">
                  <c:v>人民币指数</c:v>
                </c:pt>
                <c:pt idx="13">
                  <c:v>美元中间价</c:v>
                </c:pt>
                <c:pt idx="14">
                  <c:v>欧元中间价</c:v>
                </c:pt>
                <c:pt idx="15">
                  <c:v>英镑中间价</c:v>
                </c:pt>
                <c:pt idx="16">
                  <c:v>日元中间价</c:v>
                </c:pt>
                <c:pt idx="17">
                  <c:v>港币中间价</c:v>
                </c:pt>
                <c:pt idx="18">
                  <c:v>澳元中间价</c:v>
                </c:pt>
                <c:pt idx="19">
                  <c:v>加元中间价</c:v>
                </c:pt>
                <c:pt idx="20">
                  <c:v>俄罗斯卢布中间价</c:v>
                </c:pt>
                <c:pt idx="21">
                  <c:v>林吉特中间价</c:v>
                </c:pt>
                <c:pt idx="22">
                  <c:v>新西兰元中间价</c:v>
                </c:pt>
                <c:pt idx="23">
                  <c:v>新加坡元中间价</c:v>
                </c:pt>
                <c:pt idx="24">
                  <c:v>瑞郎中间价</c:v>
                </c:pt>
                <c:pt idx="25">
                  <c:v>兰特中间价</c:v>
                </c:pt>
                <c:pt idx="26">
                  <c:v>韩元中间价</c:v>
                </c:pt>
              </c:strCache>
            </c:strRef>
          </c:cat>
          <c:val>
            <c:numRef>
              <c:f>重要外汇!$G$9:$G$35</c:f>
              <c:numCache>
                <c:formatCode>#,##0.00_);[Red]\(#,##0.00\)</c:formatCode>
                <c:ptCount val="27"/>
                <c:pt idx="0">
                  <c:v>2.6259052462829224E-2</c:v>
                </c:pt>
                <c:pt idx="1">
                  <c:v>0.27734849321117139</c:v>
                </c:pt>
                <c:pt idx="2">
                  <c:v>1.654892575802891</c:v>
                </c:pt>
                <c:pt idx="3">
                  <c:v>-1.8086186213896904</c:v>
                </c:pt>
                <c:pt idx="4">
                  <c:v>1.0370946839417083</c:v>
                </c:pt>
                <c:pt idx="5">
                  <c:v>-1.4641867827463351</c:v>
                </c:pt>
                <c:pt idx="6">
                  <c:v>1.3612950699043447</c:v>
                </c:pt>
                <c:pt idx="7">
                  <c:v>-1.8237082066869359</c:v>
                </c:pt>
                <c:pt idx="8">
                  <c:v>-1.297189422917</c:v>
                </c:pt>
                <c:pt idx="9">
                  <c:v>1.3747228381374654</c:v>
                </c:pt>
                <c:pt idx="10">
                  <c:v>0</c:v>
                </c:pt>
                <c:pt idx="11">
                  <c:v>0.54785139530899585</c:v>
                </c:pt>
                <c:pt idx="12">
                  <c:v>0</c:v>
                </c:pt>
                <c:pt idx="13">
                  <c:v>2.5370336438856889E-2</c:v>
                </c:pt>
                <c:pt idx="14">
                  <c:v>-0.31782006695062481</c:v>
                </c:pt>
                <c:pt idx="15">
                  <c:v>-3.4606325143171635E-2</c:v>
                </c:pt>
                <c:pt idx="16">
                  <c:v>-0.95953806309175826</c:v>
                </c:pt>
                <c:pt idx="17">
                  <c:v>0</c:v>
                </c:pt>
                <c:pt idx="18">
                  <c:v>0.4883715926937704</c:v>
                </c:pt>
                <c:pt idx="19">
                  <c:v>-0.75299486594410103</c:v>
                </c:pt>
                <c:pt idx="20">
                  <c:v>0.89291937394968546</c:v>
                </c:pt>
                <c:pt idx="21">
                  <c:v>-5.2301255230136068E-2</c:v>
                </c:pt>
                <c:pt idx="22">
                  <c:v>0.69866128994442445</c:v>
                </c:pt>
                <c:pt idx="23">
                  <c:v>1.7081040045541229E-2</c:v>
                </c:pt>
                <c:pt idx="24">
                  <c:v>-0.11979252953394637</c:v>
                </c:pt>
                <c:pt idx="25">
                  <c:v>-0.3711558854719077</c:v>
                </c:pt>
                <c:pt idx="26">
                  <c:v>1.0939989378651038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6-4E38-B450-160F39225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重要外汇!$C$9:$C$35</c:f>
              <c:strCache>
                <c:ptCount val="27"/>
                <c:pt idx="0">
                  <c:v>美元兑人民币(CFETS)</c:v>
                </c:pt>
                <c:pt idx="1">
                  <c:v>美元兑离岸人民币</c:v>
                </c:pt>
                <c:pt idx="2">
                  <c:v>美元指数</c:v>
                </c:pt>
                <c:pt idx="3">
                  <c:v>欧元兑美元</c:v>
                </c:pt>
                <c:pt idx="4">
                  <c:v>美元兑日元</c:v>
                </c:pt>
                <c:pt idx="5">
                  <c:v>英镑兑美元</c:v>
                </c:pt>
                <c:pt idx="6">
                  <c:v>美元兑加元</c:v>
                </c:pt>
                <c:pt idx="7">
                  <c:v>澳元兑美元</c:v>
                </c:pt>
                <c:pt idx="8">
                  <c:v>新西兰元兑美元</c:v>
                </c:pt>
                <c:pt idx="9">
                  <c:v>美元兑瑞郎</c:v>
                </c:pt>
                <c:pt idx="10">
                  <c:v>美元兑港币</c:v>
                </c:pt>
                <c:pt idx="11">
                  <c:v>美元兑新台币</c:v>
                </c:pt>
                <c:pt idx="12">
                  <c:v>人民币指数</c:v>
                </c:pt>
                <c:pt idx="13">
                  <c:v>美元中间价</c:v>
                </c:pt>
                <c:pt idx="14">
                  <c:v>欧元中间价</c:v>
                </c:pt>
                <c:pt idx="15">
                  <c:v>英镑中间价</c:v>
                </c:pt>
                <c:pt idx="16">
                  <c:v>日元中间价</c:v>
                </c:pt>
                <c:pt idx="17">
                  <c:v>港币中间价</c:v>
                </c:pt>
                <c:pt idx="18">
                  <c:v>澳元中间价</c:v>
                </c:pt>
                <c:pt idx="19">
                  <c:v>加元中间价</c:v>
                </c:pt>
                <c:pt idx="20">
                  <c:v>俄罗斯卢布中间价</c:v>
                </c:pt>
                <c:pt idx="21">
                  <c:v>林吉特中间价</c:v>
                </c:pt>
                <c:pt idx="22">
                  <c:v>新西兰元中间价</c:v>
                </c:pt>
                <c:pt idx="23">
                  <c:v>新加坡元中间价</c:v>
                </c:pt>
                <c:pt idx="24">
                  <c:v>瑞郎中间价</c:v>
                </c:pt>
                <c:pt idx="25">
                  <c:v>兰特中间价</c:v>
                </c:pt>
                <c:pt idx="26">
                  <c:v>韩元中间价</c:v>
                </c:pt>
              </c:strCache>
            </c:strRef>
          </c:cat>
          <c:val>
            <c:numRef>
              <c:f>重要外汇!$H$9:$H$35</c:f>
              <c:numCache>
                <c:formatCode>#,##0.00_);[Red]\(#,##0.00\)</c:formatCode>
                <c:ptCount val="27"/>
                <c:pt idx="0">
                  <c:v>0.59767878240322148</c:v>
                </c:pt>
                <c:pt idx="1">
                  <c:v>1.0245217971530218</c:v>
                </c:pt>
                <c:pt idx="2">
                  <c:v>3.1230820556764405</c:v>
                </c:pt>
                <c:pt idx="3">
                  <c:v>-2.7952863798300864</c:v>
                </c:pt>
                <c:pt idx="4">
                  <c:v>3.6841517517232969</c:v>
                </c:pt>
                <c:pt idx="5">
                  <c:v>-2.7039699906220682</c:v>
                </c:pt>
                <c:pt idx="6">
                  <c:v>2.2566995768688258</c:v>
                </c:pt>
                <c:pt idx="7">
                  <c:v>-2.4316568494185176</c:v>
                </c:pt>
                <c:pt idx="8">
                  <c:v>-3.7463509568602005</c:v>
                </c:pt>
                <c:pt idx="9">
                  <c:v>4.0509786071916132</c:v>
                </c:pt>
                <c:pt idx="10">
                  <c:v>0</c:v>
                </c:pt>
                <c:pt idx="11">
                  <c:v>2.6585094549499422</c:v>
                </c:pt>
                <c:pt idx="12">
                  <c:v>0.24567932248711344</c:v>
                </c:pt>
                <c:pt idx="13">
                  <c:v>5.2164105456076193E-2</c:v>
                </c:pt>
                <c:pt idx="14">
                  <c:v>-1.6286184379659674</c:v>
                </c:pt>
                <c:pt idx="15">
                  <c:v>-1.691752022746984</c:v>
                </c:pt>
                <c:pt idx="16">
                  <c:v>-3.3197944297082116</c:v>
                </c:pt>
                <c:pt idx="17">
                  <c:v>0</c:v>
                </c:pt>
                <c:pt idx="18">
                  <c:v>-0.78382224865646277</c:v>
                </c:pt>
                <c:pt idx="19">
                  <c:v>-1.1664457489111824</c:v>
                </c:pt>
                <c:pt idx="20">
                  <c:v>1.4049425958357675</c:v>
                </c:pt>
                <c:pt idx="21">
                  <c:v>1.4762107051826456</c:v>
                </c:pt>
                <c:pt idx="22">
                  <c:v>-2.0591052127513998</c:v>
                </c:pt>
                <c:pt idx="23">
                  <c:v>-1.3201258332709132</c:v>
                </c:pt>
                <c:pt idx="24">
                  <c:v>-3.4219735804416285</c:v>
                </c:pt>
                <c:pt idx="25">
                  <c:v>0.17135676478428064</c:v>
                </c:pt>
                <c:pt idx="26">
                  <c:v>3.6254763200871176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D-4D6C-A660-B670326AA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重要外汇!$C$9:$C$35</c:f>
              <c:strCache>
                <c:ptCount val="27"/>
                <c:pt idx="0">
                  <c:v>美元兑人民币(CFETS)</c:v>
                </c:pt>
                <c:pt idx="1">
                  <c:v>美元兑离岸人民币</c:v>
                </c:pt>
                <c:pt idx="2">
                  <c:v>美元指数</c:v>
                </c:pt>
                <c:pt idx="3">
                  <c:v>欧元兑美元</c:v>
                </c:pt>
                <c:pt idx="4">
                  <c:v>美元兑日元</c:v>
                </c:pt>
                <c:pt idx="5">
                  <c:v>英镑兑美元</c:v>
                </c:pt>
                <c:pt idx="6">
                  <c:v>美元兑加元</c:v>
                </c:pt>
                <c:pt idx="7">
                  <c:v>澳元兑美元</c:v>
                </c:pt>
                <c:pt idx="8">
                  <c:v>新西兰元兑美元</c:v>
                </c:pt>
                <c:pt idx="9">
                  <c:v>美元兑瑞郎</c:v>
                </c:pt>
                <c:pt idx="10">
                  <c:v>美元兑港币</c:v>
                </c:pt>
                <c:pt idx="11">
                  <c:v>美元兑新台币</c:v>
                </c:pt>
                <c:pt idx="12">
                  <c:v>人民币指数</c:v>
                </c:pt>
                <c:pt idx="13">
                  <c:v>美元中间价</c:v>
                </c:pt>
                <c:pt idx="14">
                  <c:v>欧元中间价</c:v>
                </c:pt>
                <c:pt idx="15">
                  <c:v>英镑中间价</c:v>
                </c:pt>
                <c:pt idx="16">
                  <c:v>日元中间价</c:v>
                </c:pt>
                <c:pt idx="17">
                  <c:v>港币中间价</c:v>
                </c:pt>
                <c:pt idx="18">
                  <c:v>澳元中间价</c:v>
                </c:pt>
                <c:pt idx="19">
                  <c:v>加元中间价</c:v>
                </c:pt>
                <c:pt idx="20">
                  <c:v>俄罗斯卢布中间价</c:v>
                </c:pt>
                <c:pt idx="21">
                  <c:v>林吉特中间价</c:v>
                </c:pt>
                <c:pt idx="22">
                  <c:v>新西兰元中间价</c:v>
                </c:pt>
                <c:pt idx="23">
                  <c:v>新加坡元中间价</c:v>
                </c:pt>
                <c:pt idx="24">
                  <c:v>瑞郎中间价</c:v>
                </c:pt>
                <c:pt idx="25">
                  <c:v>兰特中间价</c:v>
                </c:pt>
                <c:pt idx="26">
                  <c:v>韩元中间价</c:v>
                </c:pt>
              </c:strCache>
            </c:strRef>
          </c:cat>
          <c:val>
            <c:numRef>
              <c:f>重要外汇!$K$9:$K$35</c:f>
              <c:numCache>
                <c:formatCode>#,##0.00_);[Red]\(#,##0.00\)</c:formatCode>
                <c:ptCount val="27"/>
                <c:pt idx="0">
                  <c:v>5.3171519622822849</c:v>
                </c:pt>
                <c:pt idx="1">
                  <c:v>5.7492506038822944</c:v>
                </c:pt>
                <c:pt idx="2">
                  <c:v>4.9576893682905965</c:v>
                </c:pt>
                <c:pt idx="3">
                  <c:v>-3.6752059382637814</c:v>
                </c:pt>
                <c:pt idx="4">
                  <c:v>15.562696598701041</c:v>
                </c:pt>
                <c:pt idx="5">
                  <c:v>-0.53527203003913559</c:v>
                </c:pt>
                <c:pt idx="6">
                  <c:v>3.2686108403928271</c:v>
                </c:pt>
                <c:pt idx="7">
                  <c:v>-4.7619047619047556</c:v>
                </c:pt>
                <c:pt idx="8">
                  <c:v>-5.8982083399397478</c:v>
                </c:pt>
                <c:pt idx="9">
                  <c:v>2.7993254637436848</c:v>
                </c:pt>
                <c:pt idx="10">
                  <c:v>0</c:v>
                </c:pt>
                <c:pt idx="11">
                  <c:v>6.0421522602672306</c:v>
                </c:pt>
                <c:pt idx="12">
                  <c:v>-2.7900040133248871</c:v>
                </c:pt>
                <c:pt idx="13">
                  <c:v>3.3630458213172565</c:v>
                </c:pt>
                <c:pt idx="14">
                  <c:v>1.3575439711803305</c:v>
                </c:pt>
                <c:pt idx="15">
                  <c:v>4.402369071491874</c:v>
                </c:pt>
                <c:pt idx="16">
                  <c:v>-9.6395576301059442</c:v>
                </c:pt>
                <c:pt idx="17">
                  <c:v>0</c:v>
                </c:pt>
                <c:pt idx="18">
                  <c:v>1.5987644922019539</c:v>
                </c:pt>
                <c:pt idx="19">
                  <c:v>2.164891951143133</c:v>
                </c:pt>
                <c:pt idx="20">
                  <c:v>9.0346068544168823</c:v>
                </c:pt>
                <c:pt idx="21">
                  <c:v>4.2228282041293141</c:v>
                </c:pt>
                <c:pt idx="22">
                  <c:v>0.64203200787309456</c:v>
                </c:pt>
                <c:pt idx="23">
                  <c:v>1.8633420315067095</c:v>
                </c:pt>
                <c:pt idx="24">
                  <c:v>2.2331502811004045</c:v>
                </c:pt>
                <c:pt idx="25">
                  <c:v>-1.9713061300540402</c:v>
                </c:pt>
                <c:pt idx="26">
                  <c:v>-1.2450715916165089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F-4757-996E-744CF4FE1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重要外汇!$C$9:$C$35</c:f>
              <c:strCache>
                <c:ptCount val="27"/>
                <c:pt idx="0">
                  <c:v>美元兑人民币(CFETS)</c:v>
                </c:pt>
                <c:pt idx="1">
                  <c:v>美元兑离岸人民币</c:v>
                </c:pt>
                <c:pt idx="2">
                  <c:v>美元指数</c:v>
                </c:pt>
                <c:pt idx="3">
                  <c:v>欧元兑美元</c:v>
                </c:pt>
                <c:pt idx="4">
                  <c:v>美元兑日元</c:v>
                </c:pt>
                <c:pt idx="5">
                  <c:v>英镑兑美元</c:v>
                </c:pt>
                <c:pt idx="6">
                  <c:v>美元兑加元</c:v>
                </c:pt>
                <c:pt idx="7">
                  <c:v>澳元兑美元</c:v>
                </c:pt>
                <c:pt idx="8">
                  <c:v>新西兰元兑美元</c:v>
                </c:pt>
                <c:pt idx="9">
                  <c:v>美元兑瑞郎</c:v>
                </c:pt>
                <c:pt idx="10">
                  <c:v>美元兑港币</c:v>
                </c:pt>
                <c:pt idx="11">
                  <c:v>美元兑新台币</c:v>
                </c:pt>
                <c:pt idx="12">
                  <c:v>人民币指数</c:v>
                </c:pt>
                <c:pt idx="13">
                  <c:v>美元中间价</c:v>
                </c:pt>
                <c:pt idx="14">
                  <c:v>欧元中间价</c:v>
                </c:pt>
                <c:pt idx="15">
                  <c:v>英镑中间价</c:v>
                </c:pt>
                <c:pt idx="16">
                  <c:v>日元中间价</c:v>
                </c:pt>
                <c:pt idx="17">
                  <c:v>港币中间价</c:v>
                </c:pt>
                <c:pt idx="18">
                  <c:v>澳元中间价</c:v>
                </c:pt>
                <c:pt idx="19">
                  <c:v>加元中间价</c:v>
                </c:pt>
                <c:pt idx="20">
                  <c:v>俄罗斯卢布中间价</c:v>
                </c:pt>
                <c:pt idx="21">
                  <c:v>林吉特中间价</c:v>
                </c:pt>
                <c:pt idx="22">
                  <c:v>新西兰元中间价</c:v>
                </c:pt>
                <c:pt idx="23">
                  <c:v>新加坡元中间价</c:v>
                </c:pt>
                <c:pt idx="24">
                  <c:v>瑞郎中间价</c:v>
                </c:pt>
                <c:pt idx="25">
                  <c:v>兰特中间价</c:v>
                </c:pt>
                <c:pt idx="26">
                  <c:v>韩元中间价</c:v>
                </c:pt>
              </c:strCache>
            </c:strRef>
          </c:cat>
          <c:val>
            <c:numRef>
              <c:f>重要外汇!$L$9:$L$35</c:f>
              <c:numCache>
                <c:formatCode>#,##0.00_);[Red]\(#,##0.00\)</c:formatCode>
                <c:ptCount val="27"/>
                <c:pt idx="0">
                  <c:v>2.051607445008452</c:v>
                </c:pt>
                <c:pt idx="1">
                  <c:v>2.0000561419267981</c:v>
                </c:pt>
                <c:pt idx="2">
                  <c:v>4.5818709816153103</c:v>
                </c:pt>
                <c:pt idx="3">
                  <c:v>-3.5879315031258407</c:v>
                </c:pt>
                <c:pt idx="4">
                  <c:v>8.6275663774857403</c:v>
                </c:pt>
                <c:pt idx="5">
                  <c:v>-2.2379269729092988</c:v>
                </c:pt>
                <c:pt idx="6">
                  <c:v>3.9230479064503943</c:v>
                </c:pt>
                <c:pt idx="7">
                  <c:v>-5.1951863809803323</c:v>
                </c:pt>
                <c:pt idx="8">
                  <c:v>-6.4322875610909547</c:v>
                </c:pt>
                <c:pt idx="9">
                  <c:v>8.6631016042780793</c:v>
                </c:pt>
                <c:pt idx="10">
                  <c:v>0</c:v>
                </c:pt>
                <c:pt idx="11">
                  <c:v>5.2320372693065664</c:v>
                </c:pt>
                <c:pt idx="12">
                  <c:v>-0.26822643529947898</c:v>
                </c:pt>
                <c:pt idx="13">
                  <c:v>0.1976647323760794</c:v>
                </c:pt>
                <c:pt idx="14">
                  <c:v>-2.6249491042345308</c:v>
                </c:pt>
                <c:pt idx="15">
                  <c:v>-0.9545298691530868</c:v>
                </c:pt>
                <c:pt idx="16">
                  <c:v>-7.0878059466672028</c:v>
                </c:pt>
                <c:pt idx="17">
                  <c:v>0</c:v>
                </c:pt>
                <c:pt idx="18">
                  <c:v>-3.6630641036218159</c:v>
                </c:pt>
                <c:pt idx="19">
                  <c:v>-2.7555754289866452</c:v>
                </c:pt>
                <c:pt idx="20">
                  <c:v>4.573694434187936</c:v>
                </c:pt>
                <c:pt idx="21">
                  <c:v>3.1062124248496747</c:v>
                </c:pt>
                <c:pt idx="22">
                  <c:v>-4.5342401813696203</c:v>
                </c:pt>
                <c:pt idx="23">
                  <c:v>-1.9954623223982781</c:v>
                </c:pt>
                <c:pt idx="24">
                  <c:v>-6.9003611137508303</c:v>
                </c:pt>
                <c:pt idx="25">
                  <c:v>0.46977046174998538</c:v>
                </c:pt>
                <c:pt idx="26">
                  <c:v>4.9625055138950103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0-4CC6-8420-97B3CDEE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8479"/>
        <c:axId val="106293087"/>
      </c:barChart>
      <c:catAx>
        <c:axId val="106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93087"/>
        <c:crosses val="autoZero"/>
        <c:auto val="1"/>
        <c:lblAlgn val="ctr"/>
        <c:lblOffset val="100"/>
        <c:noMultiLvlLbl val="0"/>
      </c:catAx>
      <c:valAx>
        <c:axId val="1062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26" Type="http://schemas.openxmlformats.org/officeDocument/2006/relationships/chart" Target="../charts/chart32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5" Type="http://schemas.openxmlformats.org/officeDocument/2006/relationships/chart" Target="../charts/chart31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image" Target="../media/image1.png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24" Type="http://schemas.openxmlformats.org/officeDocument/2006/relationships/chart" Target="../charts/chart30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23" Type="http://schemas.openxmlformats.org/officeDocument/2006/relationships/chart" Target="../charts/chart29.xml"/><Relationship Id="rId28" Type="http://schemas.openxmlformats.org/officeDocument/2006/relationships/chart" Target="../charts/chart34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Relationship Id="rId27" Type="http://schemas.openxmlformats.org/officeDocument/2006/relationships/chart" Target="../charts/chart3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.png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image" Target="../media/image1.png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502377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5725"/>
          <a:ext cx="607152" cy="21960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119</xdr:row>
      <xdr:rowOff>104775</xdr:rowOff>
    </xdr:from>
    <xdr:to>
      <xdr:col>14</xdr:col>
      <xdr:colOff>838200</xdr:colOff>
      <xdr:row>126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85725</xdr:colOff>
      <xdr:row>130</xdr:row>
      <xdr:rowOff>104775</xdr:rowOff>
    </xdr:from>
    <xdr:to>
      <xdr:col>14</xdr:col>
      <xdr:colOff>847725</xdr:colOff>
      <xdr:row>137</xdr:row>
      <xdr:rowOff>57150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502377</xdr:colOff>
      <xdr:row>0</xdr:row>
      <xdr:rowOff>295275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5725"/>
          <a:ext cx="607152" cy="209550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53</xdr:row>
      <xdr:rowOff>142875</xdr:rowOff>
    </xdr:from>
    <xdr:to>
      <xdr:col>12</xdr:col>
      <xdr:colOff>9525</xdr:colOff>
      <xdr:row>66</xdr:row>
      <xdr:rowOff>152400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71</xdr:row>
      <xdr:rowOff>142875</xdr:rowOff>
    </xdr:from>
    <xdr:to>
      <xdr:col>12</xdr:col>
      <xdr:colOff>9525</xdr:colOff>
      <xdr:row>84</xdr:row>
      <xdr:rowOff>152400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28575</xdr:colOff>
      <xdr:row>89</xdr:row>
      <xdr:rowOff>142875</xdr:rowOff>
    </xdr:from>
    <xdr:to>
      <xdr:col>12</xdr:col>
      <xdr:colOff>9525</xdr:colOff>
      <xdr:row>102</xdr:row>
      <xdr:rowOff>152400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</xdr:colOff>
      <xdr:row>107</xdr:row>
      <xdr:rowOff>142875</xdr:rowOff>
    </xdr:from>
    <xdr:to>
      <xdr:col>12</xdr:col>
      <xdr:colOff>9525</xdr:colOff>
      <xdr:row>120</xdr:row>
      <xdr:rowOff>152400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28575</xdr:colOff>
      <xdr:row>125</xdr:row>
      <xdr:rowOff>142875</xdr:rowOff>
    </xdr:from>
    <xdr:to>
      <xdr:col>12</xdr:col>
      <xdr:colOff>9525</xdr:colOff>
      <xdr:row>138</xdr:row>
      <xdr:rowOff>152400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502377</xdr:colOff>
      <xdr:row>0</xdr:row>
      <xdr:rowOff>295275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5725"/>
          <a:ext cx="607152" cy="209550"/>
        </a:xfrm>
        <a:prstGeom prst="rect">
          <a:avLst/>
        </a:prstGeom>
      </xdr:spPr>
    </xdr:pic>
    <xdr:clientData/>
  </xdr:twoCellAnchor>
  <xdr:twoCellAnchor>
    <xdr:from>
      <xdr:col>15</xdr:col>
      <xdr:colOff>57149</xdr:colOff>
      <xdr:row>7</xdr:row>
      <xdr:rowOff>57150</xdr:rowOff>
    </xdr:from>
    <xdr:to>
      <xdr:col>23</xdr:col>
      <xdr:colOff>409574</xdr:colOff>
      <xdr:row>18</xdr:row>
      <xdr:rowOff>104775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123824</xdr:colOff>
      <xdr:row>7</xdr:row>
      <xdr:rowOff>19050</xdr:rowOff>
    </xdr:from>
    <xdr:to>
      <xdr:col>35</xdr:col>
      <xdr:colOff>476249</xdr:colOff>
      <xdr:row>18</xdr:row>
      <xdr:rowOff>66675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57149</xdr:colOff>
      <xdr:row>7</xdr:row>
      <xdr:rowOff>57150</xdr:rowOff>
    </xdr:from>
    <xdr:to>
      <xdr:col>47</xdr:col>
      <xdr:colOff>409574</xdr:colOff>
      <xdr:row>18</xdr:row>
      <xdr:rowOff>104775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57149</xdr:colOff>
      <xdr:row>7</xdr:row>
      <xdr:rowOff>57150</xdr:rowOff>
    </xdr:from>
    <xdr:to>
      <xdr:col>59</xdr:col>
      <xdr:colOff>409574</xdr:colOff>
      <xdr:row>18</xdr:row>
      <xdr:rowOff>104775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57149</xdr:colOff>
      <xdr:row>7</xdr:row>
      <xdr:rowOff>57150</xdr:rowOff>
    </xdr:from>
    <xdr:to>
      <xdr:col>71</xdr:col>
      <xdr:colOff>409574</xdr:colOff>
      <xdr:row>18</xdr:row>
      <xdr:rowOff>104775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104774</xdr:colOff>
      <xdr:row>23</xdr:row>
      <xdr:rowOff>57150</xdr:rowOff>
    </xdr:from>
    <xdr:to>
      <xdr:col>23</xdr:col>
      <xdr:colOff>419099</xdr:colOff>
      <xdr:row>29</xdr:row>
      <xdr:rowOff>152400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66675</xdr:colOff>
      <xdr:row>23</xdr:row>
      <xdr:rowOff>57150</xdr:rowOff>
    </xdr:from>
    <xdr:to>
      <xdr:col>35</xdr:col>
      <xdr:colOff>504825</xdr:colOff>
      <xdr:row>29</xdr:row>
      <xdr:rowOff>152400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104774</xdr:colOff>
      <xdr:row>23</xdr:row>
      <xdr:rowOff>57150</xdr:rowOff>
    </xdr:from>
    <xdr:to>
      <xdr:col>35</xdr:col>
      <xdr:colOff>419099</xdr:colOff>
      <xdr:row>29</xdr:row>
      <xdr:rowOff>152400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104774</xdr:colOff>
      <xdr:row>23</xdr:row>
      <xdr:rowOff>57150</xdr:rowOff>
    </xdr:from>
    <xdr:to>
      <xdr:col>47</xdr:col>
      <xdr:colOff>419099</xdr:colOff>
      <xdr:row>29</xdr:row>
      <xdr:rowOff>152400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104774</xdr:colOff>
      <xdr:row>23</xdr:row>
      <xdr:rowOff>57150</xdr:rowOff>
    </xdr:from>
    <xdr:to>
      <xdr:col>59</xdr:col>
      <xdr:colOff>419099</xdr:colOff>
      <xdr:row>29</xdr:row>
      <xdr:rowOff>152400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62</xdr:col>
      <xdr:colOff>104774</xdr:colOff>
      <xdr:row>23</xdr:row>
      <xdr:rowOff>57150</xdr:rowOff>
    </xdr:from>
    <xdr:to>
      <xdr:col>71</xdr:col>
      <xdr:colOff>419099</xdr:colOff>
      <xdr:row>29</xdr:row>
      <xdr:rowOff>152400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57149</xdr:colOff>
      <xdr:row>34</xdr:row>
      <xdr:rowOff>38099</xdr:rowOff>
    </xdr:from>
    <xdr:to>
      <xdr:col>23</xdr:col>
      <xdr:colOff>409574</xdr:colOff>
      <xdr:row>44</xdr:row>
      <xdr:rowOff>57150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57149</xdr:colOff>
      <xdr:row>34</xdr:row>
      <xdr:rowOff>38099</xdr:rowOff>
    </xdr:from>
    <xdr:to>
      <xdr:col>35</xdr:col>
      <xdr:colOff>409574</xdr:colOff>
      <xdr:row>44</xdr:row>
      <xdr:rowOff>57150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57149</xdr:colOff>
      <xdr:row>34</xdr:row>
      <xdr:rowOff>38099</xdr:rowOff>
    </xdr:from>
    <xdr:to>
      <xdr:col>47</xdr:col>
      <xdr:colOff>409574</xdr:colOff>
      <xdr:row>44</xdr:row>
      <xdr:rowOff>57150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51</xdr:col>
      <xdr:colOff>57149</xdr:colOff>
      <xdr:row>34</xdr:row>
      <xdr:rowOff>38099</xdr:rowOff>
    </xdr:from>
    <xdr:to>
      <xdr:col>59</xdr:col>
      <xdr:colOff>409574</xdr:colOff>
      <xdr:row>44</xdr:row>
      <xdr:rowOff>57150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63</xdr:col>
      <xdr:colOff>57149</xdr:colOff>
      <xdr:row>34</xdr:row>
      <xdr:rowOff>38099</xdr:rowOff>
    </xdr:from>
    <xdr:to>
      <xdr:col>71</xdr:col>
      <xdr:colOff>409574</xdr:colOff>
      <xdr:row>44</xdr:row>
      <xdr:rowOff>57150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104774</xdr:colOff>
      <xdr:row>48</xdr:row>
      <xdr:rowOff>57150</xdr:rowOff>
    </xdr:from>
    <xdr:to>
      <xdr:col>23</xdr:col>
      <xdr:colOff>419099</xdr:colOff>
      <xdr:row>54</xdr:row>
      <xdr:rowOff>152400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66675</xdr:colOff>
      <xdr:row>48</xdr:row>
      <xdr:rowOff>57150</xdr:rowOff>
    </xdr:from>
    <xdr:to>
      <xdr:col>35</xdr:col>
      <xdr:colOff>504825</xdr:colOff>
      <xdr:row>54</xdr:row>
      <xdr:rowOff>152400</xdr:rowOff>
    </xdr:to>
    <xdr:graphicFrame macro="">
      <xdr:nvGraphicFramePr>
        <xdr:cNvPr id="27" name="图表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104774</xdr:colOff>
      <xdr:row>48</xdr:row>
      <xdr:rowOff>57150</xdr:rowOff>
    </xdr:from>
    <xdr:to>
      <xdr:col>35</xdr:col>
      <xdr:colOff>419099</xdr:colOff>
      <xdr:row>54</xdr:row>
      <xdr:rowOff>152400</xdr:rowOff>
    </xdr:to>
    <xdr:graphicFrame macro="">
      <xdr:nvGraphicFramePr>
        <xdr:cNvPr id="28" name="图表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38</xdr:col>
      <xdr:colOff>104774</xdr:colOff>
      <xdr:row>48</xdr:row>
      <xdr:rowOff>57150</xdr:rowOff>
    </xdr:from>
    <xdr:to>
      <xdr:col>47</xdr:col>
      <xdr:colOff>419099</xdr:colOff>
      <xdr:row>54</xdr:row>
      <xdr:rowOff>152400</xdr:rowOff>
    </xdr:to>
    <xdr:graphicFrame macro="">
      <xdr:nvGraphicFramePr>
        <xdr:cNvPr id="29" name="图表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50</xdr:col>
      <xdr:colOff>104774</xdr:colOff>
      <xdr:row>48</xdr:row>
      <xdr:rowOff>57150</xdr:rowOff>
    </xdr:from>
    <xdr:to>
      <xdr:col>59</xdr:col>
      <xdr:colOff>419099</xdr:colOff>
      <xdr:row>54</xdr:row>
      <xdr:rowOff>152400</xdr:rowOff>
    </xdr:to>
    <xdr:graphicFrame macro="">
      <xdr:nvGraphicFramePr>
        <xdr:cNvPr id="30" name="图表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62</xdr:col>
      <xdr:colOff>104774</xdr:colOff>
      <xdr:row>48</xdr:row>
      <xdr:rowOff>57150</xdr:rowOff>
    </xdr:from>
    <xdr:to>
      <xdr:col>71</xdr:col>
      <xdr:colOff>419099</xdr:colOff>
      <xdr:row>54</xdr:row>
      <xdr:rowOff>152400</xdr:rowOff>
    </xdr:to>
    <xdr:graphicFrame macro="">
      <xdr:nvGraphicFramePr>
        <xdr:cNvPr id="31" name="图表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91110</xdr:colOff>
      <xdr:row>59</xdr:row>
      <xdr:rowOff>119270</xdr:rowOff>
    </xdr:from>
    <xdr:to>
      <xdr:col>24</xdr:col>
      <xdr:colOff>41414</xdr:colOff>
      <xdr:row>71</xdr:row>
      <xdr:rowOff>49696</xdr:rowOff>
    </xdr:to>
    <xdr:graphicFrame macro="">
      <xdr:nvGraphicFramePr>
        <xdr:cNvPr id="33" name="图表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91110</xdr:colOff>
      <xdr:row>59</xdr:row>
      <xdr:rowOff>119270</xdr:rowOff>
    </xdr:from>
    <xdr:to>
      <xdr:col>36</xdr:col>
      <xdr:colOff>41414</xdr:colOff>
      <xdr:row>71</xdr:row>
      <xdr:rowOff>49696</xdr:rowOff>
    </xdr:to>
    <xdr:graphicFrame macro="">
      <xdr:nvGraphicFramePr>
        <xdr:cNvPr id="34" name="图表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38</xdr:col>
      <xdr:colOff>91110</xdr:colOff>
      <xdr:row>59</xdr:row>
      <xdr:rowOff>119270</xdr:rowOff>
    </xdr:from>
    <xdr:to>
      <xdr:col>48</xdr:col>
      <xdr:colOff>41414</xdr:colOff>
      <xdr:row>71</xdr:row>
      <xdr:rowOff>49696</xdr:rowOff>
    </xdr:to>
    <xdr:graphicFrame macro="">
      <xdr:nvGraphicFramePr>
        <xdr:cNvPr id="35" name="图表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50</xdr:col>
      <xdr:colOff>91110</xdr:colOff>
      <xdr:row>59</xdr:row>
      <xdr:rowOff>119270</xdr:rowOff>
    </xdr:from>
    <xdr:to>
      <xdr:col>60</xdr:col>
      <xdr:colOff>41414</xdr:colOff>
      <xdr:row>71</xdr:row>
      <xdr:rowOff>49696</xdr:rowOff>
    </xdr:to>
    <xdr:graphicFrame macro="">
      <xdr:nvGraphicFramePr>
        <xdr:cNvPr id="36" name="图表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62</xdr:col>
      <xdr:colOff>91110</xdr:colOff>
      <xdr:row>59</xdr:row>
      <xdr:rowOff>119270</xdr:rowOff>
    </xdr:from>
    <xdr:to>
      <xdr:col>72</xdr:col>
      <xdr:colOff>41414</xdr:colOff>
      <xdr:row>71</xdr:row>
      <xdr:rowOff>49696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502377</xdr:colOff>
      <xdr:row>0</xdr:row>
      <xdr:rowOff>295275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5725"/>
          <a:ext cx="607152" cy="209550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42</xdr:row>
      <xdr:rowOff>142875</xdr:rowOff>
    </xdr:from>
    <xdr:to>
      <xdr:col>12</xdr:col>
      <xdr:colOff>9525</xdr:colOff>
      <xdr:row>55</xdr:row>
      <xdr:rowOff>152400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60</xdr:row>
      <xdr:rowOff>142875</xdr:rowOff>
    </xdr:from>
    <xdr:to>
      <xdr:col>12</xdr:col>
      <xdr:colOff>9525</xdr:colOff>
      <xdr:row>73</xdr:row>
      <xdr:rowOff>152400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28575</xdr:colOff>
      <xdr:row>78</xdr:row>
      <xdr:rowOff>142875</xdr:rowOff>
    </xdr:from>
    <xdr:to>
      <xdr:col>12</xdr:col>
      <xdr:colOff>9525</xdr:colOff>
      <xdr:row>91</xdr:row>
      <xdr:rowOff>152400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</xdr:colOff>
      <xdr:row>96</xdr:row>
      <xdr:rowOff>142875</xdr:rowOff>
    </xdr:from>
    <xdr:to>
      <xdr:col>12</xdr:col>
      <xdr:colOff>9525</xdr:colOff>
      <xdr:row>109</xdr:row>
      <xdr:rowOff>152400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28575</xdr:colOff>
      <xdr:row>114</xdr:row>
      <xdr:rowOff>142875</xdr:rowOff>
    </xdr:from>
    <xdr:to>
      <xdr:col>12</xdr:col>
      <xdr:colOff>9525</xdr:colOff>
      <xdr:row>127</xdr:row>
      <xdr:rowOff>152400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502377</xdr:colOff>
      <xdr:row>0</xdr:row>
      <xdr:rowOff>295275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5725"/>
          <a:ext cx="607152" cy="209550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39</xdr:row>
      <xdr:rowOff>142875</xdr:rowOff>
    </xdr:from>
    <xdr:to>
      <xdr:col>12</xdr:col>
      <xdr:colOff>9525</xdr:colOff>
      <xdr:row>52</xdr:row>
      <xdr:rowOff>152400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57</xdr:row>
      <xdr:rowOff>142875</xdr:rowOff>
    </xdr:from>
    <xdr:to>
      <xdr:col>12</xdr:col>
      <xdr:colOff>9525</xdr:colOff>
      <xdr:row>70</xdr:row>
      <xdr:rowOff>152400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28575</xdr:colOff>
      <xdr:row>75</xdr:row>
      <xdr:rowOff>142875</xdr:rowOff>
    </xdr:from>
    <xdr:to>
      <xdr:col>12</xdr:col>
      <xdr:colOff>9525</xdr:colOff>
      <xdr:row>88</xdr:row>
      <xdr:rowOff>152400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</xdr:colOff>
      <xdr:row>93</xdr:row>
      <xdr:rowOff>142875</xdr:rowOff>
    </xdr:from>
    <xdr:to>
      <xdr:col>12</xdr:col>
      <xdr:colOff>9525</xdr:colOff>
      <xdr:row>106</xdr:row>
      <xdr:rowOff>152400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28575</xdr:colOff>
      <xdr:row>111</xdr:row>
      <xdr:rowOff>142875</xdr:rowOff>
    </xdr:from>
    <xdr:to>
      <xdr:col>12</xdr:col>
      <xdr:colOff>9525</xdr:colOff>
      <xdr:row>124</xdr:row>
      <xdr:rowOff>152400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dq_close"/>
      <definedName name="i_dq_pctchange"/>
      <definedName name="i_pq_pctchange"/>
      <definedName name="s_info_name"/>
      <definedName name="to_windcod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FactSet_2012_QR">
  <a:themeElements>
    <a:clrScheme name="FactSet 2012 QR">
      <a:dk1>
        <a:sysClr val="windowText" lastClr="000000"/>
      </a:dk1>
      <a:lt1>
        <a:sysClr val="window" lastClr="FFFFFF"/>
      </a:lt1>
      <a:dk2>
        <a:srgbClr val="00B0F0"/>
      </a:dk2>
      <a:lt2>
        <a:srgbClr val="B4DFEF"/>
      </a:lt2>
      <a:accent1>
        <a:srgbClr val="00AEEF"/>
      </a:accent1>
      <a:accent2>
        <a:srgbClr val="99CC33"/>
      </a:accent2>
      <a:accent3>
        <a:srgbClr val="9A3366"/>
      </a:accent3>
      <a:accent4>
        <a:srgbClr val="FFCC00"/>
      </a:accent4>
      <a:accent5>
        <a:srgbClr val="969696"/>
      </a:accent5>
      <a:accent6>
        <a:srgbClr val="0066CC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accent5"/>
        </a:solidFill>
        <a:ln w="12700" cap="flat" cmpd="sng" algn="ctr">
          <a:solidFill>
            <a:schemeClr val="accent5">
              <a:lumMod val="75000"/>
            </a:schemeClr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1200" b="1" i="0" u="none" strike="noStrike" cap="none" normalizeH="0" baseline="0" dirty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hlink"/>
        </a:solidFill>
        <a:ln w="12700" cap="flat" cmpd="sng" algn="ctr">
          <a:solidFill>
            <a:schemeClr val="hlink"/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12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lnDef>
  </a:objectDefaults>
  <a:extraClrSchemeLst>
    <a:extraClrScheme>
      <a:clrScheme name="Custom Desig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0080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007300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4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CC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B900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B4"/>
  <sheetViews>
    <sheetView zoomScaleNormal="100" workbookViewId="0"/>
  </sheetViews>
  <sheetFormatPr defaultRowHeight="12.75"/>
  <sheetData>
    <row r="1" spans="1:2">
      <c r="A1" s="1"/>
      <c r="B1" s="2" t="s">
        <v>0</v>
      </c>
    </row>
    <row r="2" spans="1:2"/>
    <row r="3" spans="1:2"/>
    <row r="4" spans="1:2"/>
  </sheetData>
  <phoneticPr fontId="5" type="noConversion"/>
  <pageMargins left="0.7" right="0.7" top="0.75" bottom="0.75" header="0.3" footer="0.3"/>
  <pageSetup paperSize="8" orientation="landscape" horizontalDpi="300" verticalDpi="300" r:id="rId1"/>
  <headerFooter>
    <oddFooter>&amp;RPowered by FactSet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53"/>
  <sheetViews>
    <sheetView showGridLines="0" tabSelected="1" workbookViewId="0">
      <pane ySplit="1" topLeftCell="A2" activePane="bottomLeft" state="frozen"/>
      <selection pane="bottomLeft" activeCell="A37" sqref="A37"/>
    </sheetView>
  </sheetViews>
  <sheetFormatPr defaultRowHeight="12.75"/>
  <cols>
    <col min="1" max="1" width="3.7109375" customWidth="1"/>
    <col min="2" max="2" width="1.5703125" customWidth="1"/>
    <col min="3" max="3" width="24.28515625" customWidth="1"/>
    <col min="4" max="4" width="17.7109375" customWidth="1"/>
    <col min="5" max="5" width="14.28515625" customWidth="1"/>
    <col min="6" max="6" width="14.5703125" customWidth="1"/>
    <col min="7" max="7" width="1.7109375" style="2" customWidth="1"/>
    <col min="8" max="9" width="2" style="2" customWidth="1"/>
    <col min="10" max="11" width="14.28515625" customWidth="1"/>
    <col min="12" max="15" width="14.28515625" style="2" customWidth="1"/>
    <col min="16" max="16" width="2" customWidth="1"/>
    <col min="17" max="17" width="3.7109375" customWidth="1"/>
  </cols>
  <sheetData>
    <row r="1" spans="1:17" ht="29.25">
      <c r="A1" s="4"/>
      <c r="B1" s="4"/>
      <c r="C1" s="4"/>
      <c r="D1" s="48" t="s">
        <v>14</v>
      </c>
      <c r="E1" s="48"/>
      <c r="F1" s="48"/>
      <c r="G1" s="48"/>
      <c r="H1" s="48"/>
      <c r="I1" s="48"/>
      <c r="J1" s="48"/>
      <c r="K1" s="48"/>
      <c r="L1" s="4"/>
      <c r="M1" s="4"/>
      <c r="N1" s="42" t="s">
        <v>319</v>
      </c>
      <c r="O1" s="43">
        <f ca="1">TODAY()-3</f>
        <v>45396</v>
      </c>
      <c r="P1" s="4"/>
      <c r="Q1" s="4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16.5">
      <c r="A3" s="8"/>
      <c r="B3" s="38"/>
      <c r="C3" s="38" t="s">
        <v>13</v>
      </c>
      <c r="D3" s="49">
        <f ca="1">TODAY()-3</f>
        <v>45396</v>
      </c>
      <c r="E3" s="50"/>
      <c r="F3" s="49">
        <f ca="1">D3</f>
        <v>45396</v>
      </c>
      <c r="G3" s="49"/>
      <c r="H3" s="49"/>
      <c r="I3" s="49"/>
      <c r="J3" s="49">
        <f ca="1">D3-7</f>
        <v>45389</v>
      </c>
      <c r="K3" s="49">
        <f ca="1">DATE(YEAR($D3),MONTH($D3)-1,DAY($D3))</f>
        <v>45365</v>
      </c>
      <c r="L3" s="49">
        <f ca="1">DATE(YEAR($D3),MONTH($D3)-3,DAY($D3))</f>
        <v>45305</v>
      </c>
      <c r="M3" s="49">
        <f ca="1">DATE(YEAR($D3),MONTH($D3)-6,DAY($D3))</f>
        <v>45213</v>
      </c>
      <c r="N3" s="49">
        <f ca="1">DATE(YEAR($D3),MONTH($D3)-12,DAY($D3))</f>
        <v>45030</v>
      </c>
      <c r="O3" s="49">
        <f ca="1">DATE(YEAR($D$3),1,1)</f>
        <v>45292</v>
      </c>
      <c r="P3" s="8"/>
      <c r="Q3" s="8"/>
    </row>
    <row r="4" spans="1:17" s="2" customForma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2" customFormat="1" ht="7.5" customHeight="1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spans="1:17" s="2" customFormat="1" ht="22.5" customHeight="1">
      <c r="A6" s="8"/>
      <c r="B6" s="6"/>
      <c r="C6" s="14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6"/>
      <c r="Q6" s="8"/>
    </row>
    <row r="7" spans="1:17" s="2" customFormat="1" ht="8.25" customHeight="1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8"/>
    </row>
    <row r="8" spans="1:17" s="2" customFormat="1" ht="18.75" customHeight="1">
      <c r="A8" s="8"/>
      <c r="B8" s="6"/>
      <c r="C8" s="21" t="s">
        <v>4</v>
      </c>
      <c r="D8" s="21" t="s">
        <v>5</v>
      </c>
      <c r="E8" s="22" t="s">
        <v>6</v>
      </c>
      <c r="F8" s="22" t="s">
        <v>1</v>
      </c>
      <c r="G8" s="23"/>
      <c r="H8" s="23"/>
      <c r="I8" s="23"/>
      <c r="J8" s="22" t="s">
        <v>7</v>
      </c>
      <c r="K8" s="22" t="s">
        <v>8</v>
      </c>
      <c r="L8" s="22" t="s">
        <v>9</v>
      </c>
      <c r="M8" s="22" t="s">
        <v>10</v>
      </c>
      <c r="N8" s="22" t="s">
        <v>11</v>
      </c>
      <c r="O8" s="22" t="s">
        <v>12</v>
      </c>
      <c r="P8" s="6"/>
      <c r="Q8" s="8"/>
    </row>
    <row r="9" spans="1:17" s="2" customFormat="1" ht="16.5">
      <c r="A9" s="8"/>
      <c r="B9" s="6"/>
      <c r="C9" s="40" t="s">
        <v>236</v>
      </c>
      <c r="D9" s="24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6"/>
      <c r="Q9" s="8"/>
    </row>
    <row r="10" spans="1:17" s="2" customFormat="1" ht="16.5">
      <c r="A10" s="8"/>
      <c r="B10" s="6"/>
      <c r="C10" s="35" t="s">
        <v>15</v>
      </c>
      <c r="D10" s="27" t="str">
        <f>[1]!to_windcode(C10)</f>
        <v>000001.SH</v>
      </c>
      <c r="E10" s="28">
        <f ca="1">[1]!i_dq_close(D10,$D$3)</f>
        <v>3019.4735000000001</v>
      </c>
      <c r="F10" s="29">
        <f ca="1">[1]!i_dq_pctchange(D10,$F$3)</f>
        <v>0</v>
      </c>
      <c r="G10" s="29"/>
      <c r="H10" s="29"/>
      <c r="I10" s="29"/>
      <c r="J10" s="29">
        <f ca="1">[1]!i_pq_pctchange($D10,J$3,$D$3)</f>
        <v>-1.623251769241274</v>
      </c>
      <c r="K10" s="29">
        <f ca="1">[1]!i_pq_pctchange($D10,K$3,$D$3)</f>
        <v>-0.80034243647798542</v>
      </c>
      <c r="L10" s="29">
        <f ca="1">[1]!i_pq_pctchange($D10,L$3,$D$3)</f>
        <v>4.7709126329222196</v>
      </c>
      <c r="M10" s="29">
        <f ca="1">[1]!i_pq_pctchange($D10,M$3,$D$3)</f>
        <v>-2.2222602895094812</v>
      </c>
      <c r="N10" s="29">
        <f ca="1">[1]!i_pq_pctchange($D10,N$3,$D$3)</f>
        <v>-9.007158889570821</v>
      </c>
      <c r="O10" s="29">
        <f ca="1">[1]!i_pq_pctchange($D10,O$3,$D$3)</f>
        <v>1.4971319707578257</v>
      </c>
      <c r="P10" s="6"/>
      <c r="Q10" s="8"/>
    </row>
    <row r="11" spans="1:17" ht="16.5">
      <c r="A11" s="8"/>
      <c r="B11" s="6"/>
      <c r="C11" s="34" t="s">
        <v>41</v>
      </c>
      <c r="D11" s="24" t="str">
        <f>[1]!to_windcode(C11)</f>
        <v>000016.SH</v>
      </c>
      <c r="E11" s="25">
        <f ca="1">[1]!i_dq_close(D11,$D$3)</f>
        <v>2374.0470999999998</v>
      </c>
      <c r="F11" s="26">
        <f ca="1">[1]!i_dq_pctchange(D11,$F$3)</f>
        <v>0</v>
      </c>
      <c r="G11" s="26"/>
      <c r="H11" s="26"/>
      <c r="I11" s="26"/>
      <c r="J11" s="26">
        <f ca="1">[1]!i_pq_pctchange($D11,J$3,$D$3)</f>
        <v>-2.3093825984941807</v>
      </c>
      <c r="K11" s="26">
        <f ca="1">[1]!i_pq_pctchange($D11,K$3,$D$3)</f>
        <v>-2.2058769312154003</v>
      </c>
      <c r="L11" s="26">
        <f ca="1">[1]!i_pq_pctchange($D11,L$3,$D$3)</f>
        <v>6.116545391211603</v>
      </c>
      <c r="M11" s="26">
        <f ca="1">[1]!i_pq_pctchange($D11,M$3,$D$3)</f>
        <v>-4.6232308693524686</v>
      </c>
      <c r="N11" s="26">
        <f ca="1">[1]!i_pq_pctchange($D11,N$3,$D$3)</f>
        <v>-11.084841168804404</v>
      </c>
      <c r="O11" s="26">
        <f ca="1">[1]!i_pq_pctchange($D11,O$3,$D$3)</f>
        <v>2.0580539746567261</v>
      </c>
      <c r="P11" s="6"/>
      <c r="Q11" s="8"/>
    </row>
    <row r="12" spans="1:17" ht="16.5">
      <c r="A12" s="8"/>
      <c r="B12" s="6"/>
      <c r="C12" s="35" t="s">
        <v>222</v>
      </c>
      <c r="D12" s="27" t="str">
        <f>[1]!to_windcode(C12)</f>
        <v>000139.SH</v>
      </c>
      <c r="E12" s="28">
        <f ca="1">[1]!i_dq_close(D12,$D$3)</f>
        <v>347.66219999999998</v>
      </c>
      <c r="F12" s="29">
        <f ca="1">[1]!i_dq_pctchange(D12,$F$3)</f>
        <v>0</v>
      </c>
      <c r="G12" s="29"/>
      <c r="H12" s="29"/>
      <c r="I12" s="29"/>
      <c r="J12" s="29">
        <f ca="1">[1]!i_pq_pctchange($D12,J$3,$D$3)</f>
        <v>0.42882600467908372</v>
      </c>
      <c r="K12" s="29">
        <f ca="1">[1]!i_pq_pctchange($D12,K$3,$D$3)</f>
        <v>1.3358136151029765</v>
      </c>
      <c r="L12" s="29">
        <f ca="1">[1]!i_pq_pctchange($D12,L$3,$D$3)</f>
        <v>1.8780477727248224</v>
      </c>
      <c r="M12" s="29">
        <f ca="1">[1]!i_pq_pctchange($D12,M$3,$D$3)</f>
        <v>-0.9461991343175491</v>
      </c>
      <c r="N12" s="29">
        <f ca="1">[1]!i_pq_pctchange($D12,N$3,$D$3)</f>
        <v>-1.6607200338072725</v>
      </c>
      <c r="O12" s="29">
        <f ca="1">[1]!i_pq_pctchange($D12,O$3,$D$3)</f>
        <v>1.4425550080051197</v>
      </c>
      <c r="P12" s="6"/>
      <c r="Q12" s="8"/>
    </row>
    <row r="13" spans="1:17" s="2" customFormat="1" ht="16.5">
      <c r="A13" s="8"/>
      <c r="B13" s="6"/>
      <c r="C13" s="34" t="s">
        <v>16</v>
      </c>
      <c r="D13" s="24" t="str">
        <f>[1]!to_windcode(C13)</f>
        <v>399001.SZ</v>
      </c>
      <c r="E13" s="25">
        <f ca="1">[1]!i_dq_close(D13,$D$3)</f>
        <v>9228.2347000000009</v>
      </c>
      <c r="F13" s="26">
        <f ca="1">[1]!i_dq_pctchange(D13,$F$3)</f>
        <v>0</v>
      </c>
      <c r="G13" s="26"/>
      <c r="H13" s="26"/>
      <c r="I13" s="26"/>
      <c r="J13" s="26">
        <f ca="1">[1]!i_pq_pctchange($D13,J$3,$D$3)</f>
        <v>-3.3162783660577344</v>
      </c>
      <c r="K13" s="26">
        <f ca="1">[1]!i_pq_pctchange($D13,K$3,$D$3)</f>
        <v>-3.9225315048622145</v>
      </c>
      <c r="L13" s="26">
        <f ca="1">[1]!i_pq_pctchange($D13,L$3,$D$3)</f>
        <v>2.5786183754049841</v>
      </c>
      <c r="M13" s="26">
        <f ca="1">[1]!i_pq_pctchange($D13,M$3,$D$3)</f>
        <v>-8.3435064520686488</v>
      </c>
      <c r="N13" s="26">
        <f ca="1">[1]!i_pq_pctchange($D13,N$3,$D$3)</f>
        <v>-21.393873162597632</v>
      </c>
      <c r="O13" s="26">
        <f ca="1">[1]!i_pq_pctchange($D13,O$3,$D$3)</f>
        <v>-3.1124878139072054</v>
      </c>
      <c r="P13" s="6"/>
      <c r="Q13" s="8"/>
    </row>
    <row r="14" spans="1:17" s="2" customFormat="1" ht="16.5">
      <c r="A14" s="8"/>
      <c r="B14" s="6"/>
      <c r="C14" s="35" t="s">
        <v>219</v>
      </c>
      <c r="D14" s="27" t="str">
        <f>[1]!to_windcode(C14)</f>
        <v>399330.SZ</v>
      </c>
      <c r="E14" s="28">
        <f ca="1">[1]!i_dq_close(D14,$D$3)</f>
        <v>4122.1786000000002</v>
      </c>
      <c r="F14" s="29">
        <f ca="1">[1]!i_dq_pctchange(D14,$F$3)</f>
        <v>0</v>
      </c>
      <c r="G14" s="29"/>
      <c r="H14" s="29"/>
      <c r="I14" s="29"/>
      <c r="J14" s="29">
        <f ca="1">[1]!i_pq_pctchange($D14,J$3,$D$3)</f>
        <v>-3.8843093293280839</v>
      </c>
      <c r="K14" s="29">
        <f ca="1">[1]!i_pq_pctchange($D14,K$3,$D$3)</f>
        <v>-4.3590832753603976</v>
      </c>
      <c r="L14" s="29">
        <f ca="1">[1]!i_pq_pctchange($D14,L$3,$D$3)</f>
        <v>4.2775441359867994</v>
      </c>
      <c r="M14" s="29">
        <f ca="1">[1]!i_pq_pctchange($D14,M$3,$D$3)</f>
        <v>-8.4614852175589945</v>
      </c>
      <c r="N14" s="29">
        <f ca="1">[1]!i_pq_pctchange($D14,N$3,$D$3)</f>
        <v>-21.806879364870223</v>
      </c>
      <c r="O14" s="29">
        <f ca="1">[1]!i_pq_pctchange($D14,O$3,$D$3)</f>
        <v>-1.8349356184623855</v>
      </c>
      <c r="P14" s="6"/>
      <c r="Q14" s="8"/>
    </row>
    <row r="15" spans="1:17" s="2" customFormat="1" ht="16.5">
      <c r="A15" s="8"/>
      <c r="B15" s="6"/>
      <c r="C15" s="34" t="s">
        <v>223</v>
      </c>
      <c r="D15" s="24" t="str">
        <f>[1]!to_windcode(C15)</f>
        <v>399307.SZ</v>
      </c>
      <c r="E15" s="25">
        <f ca="1">[1]!i_dq_close(D15,$D$3)</f>
        <v>278.80430000000001</v>
      </c>
      <c r="F15" s="26">
        <f ca="1">[1]!i_dq_pctchange(D15,$F$3)</f>
        <v>0</v>
      </c>
      <c r="G15" s="26"/>
      <c r="H15" s="26"/>
      <c r="I15" s="26"/>
      <c r="J15" s="26">
        <f ca="1">[1]!i_pq_pctchange($D15,J$3,$D$3)</f>
        <v>0.17451223166544683</v>
      </c>
      <c r="K15" s="26">
        <f ca="1">[1]!i_pq_pctchange($D15,K$3,$D$3)</f>
        <v>1.8663021750750852</v>
      </c>
      <c r="L15" s="26">
        <f ca="1">[1]!i_pq_pctchange($D15,L$3,$D$3)</f>
        <v>-0.42429738246372306</v>
      </c>
      <c r="M15" s="26">
        <f ca="1">[1]!i_pq_pctchange($D15,M$3,$D$3)</f>
        <v>-4.6024501873704882</v>
      </c>
      <c r="N15" s="26">
        <f ca="1">[1]!i_pq_pctchange($D15,N$3,$D$3)</f>
        <v>-8.6427597063113097</v>
      </c>
      <c r="O15" s="26">
        <f ca="1">[1]!i_pq_pctchange($D15,O$3,$D$3)</f>
        <v>-1.8786706946939291</v>
      </c>
      <c r="P15" s="6"/>
      <c r="Q15" s="8"/>
    </row>
    <row r="16" spans="1:17" s="2" customFormat="1" ht="16.5">
      <c r="A16" s="8"/>
      <c r="B16" s="6"/>
      <c r="C16" s="35" t="s">
        <v>17</v>
      </c>
      <c r="D16" s="27" t="str">
        <f>[1]!to_windcode(C16)</f>
        <v>399300.SZ</v>
      </c>
      <c r="E16" s="28">
        <f ca="1">[1]!i_dq_close(D16,$D$3)</f>
        <v>3475.8389000000002</v>
      </c>
      <c r="F16" s="29">
        <f ca="1">[1]!i_dq_pctchange(D16,$F$3)</f>
        <v>0</v>
      </c>
      <c r="G16" s="29"/>
      <c r="H16" s="29"/>
      <c r="I16" s="29"/>
      <c r="J16" s="29">
        <f ca="1">[1]!i_pq_pctchange($D16,J$3,$D$3)</f>
        <v>-2.5776142186770268</v>
      </c>
      <c r="K16" s="29">
        <f ca="1">[1]!i_pq_pctchange($D16,K$3,$D$3)</f>
        <v>-2.7019133844535803</v>
      </c>
      <c r="L16" s="29">
        <f ca="1">[1]!i_pq_pctchange($D16,L$3,$D$3)</f>
        <v>5.8362506385561952</v>
      </c>
      <c r="M16" s="29">
        <f ca="1">[1]!i_pq_pctchange($D16,M$3,$D$3)</f>
        <v>-5.1201334144817645</v>
      </c>
      <c r="N16" s="29">
        <f ca="1">[1]!i_pq_pctchange($D16,N$3,$D$3)</f>
        <v>-14.577115249512484</v>
      </c>
      <c r="O16" s="29">
        <f ca="1">[1]!i_pq_pctchange($D16,O$3,$D$3)</f>
        <v>1.3036306415017629</v>
      </c>
      <c r="P16" s="6"/>
      <c r="Q16" s="8"/>
    </row>
    <row r="17" spans="1:17" s="2" customFormat="1" ht="16.5">
      <c r="A17" s="8"/>
      <c r="B17" s="6"/>
      <c r="C17" s="34" t="s">
        <v>218</v>
      </c>
      <c r="D17" s="24" t="str">
        <f>[1]!to_windcode(C17)</f>
        <v>399005.SZ</v>
      </c>
      <c r="E17" s="25">
        <f ca="1">[1]!i_dq_close(D17,$D$3)</f>
        <v>5692.3687</v>
      </c>
      <c r="F17" s="26">
        <f ca="1">[1]!i_dq_pctchange(D17,$F$3)</f>
        <v>0</v>
      </c>
      <c r="G17" s="26"/>
      <c r="H17" s="26"/>
      <c r="I17" s="26"/>
      <c r="J17" s="26">
        <f ca="1">[1]!i_pq_pctchange($D17,J$3,$D$3)</f>
        <v>-2.9007047294221544</v>
      </c>
      <c r="K17" s="26">
        <f ca="1">[1]!i_pq_pctchange($D17,K$3,$D$3)</f>
        <v>-3.8518471850110481</v>
      </c>
      <c r="L17" s="26">
        <f ca="1">[1]!i_pq_pctchange($D17,L$3,$D$3)</f>
        <v>0.80528501406020858</v>
      </c>
      <c r="M17" s="26">
        <f ca="1">[1]!i_pq_pctchange($D17,M$3,$D$3)</f>
        <v>-11.425458271987143</v>
      </c>
      <c r="N17" s="26">
        <f ca="1">[1]!i_pq_pctchange($D17,N$3,$D$3)</f>
        <v>-26.464724388920036</v>
      </c>
      <c r="O17" s="26">
        <f ca="1">[1]!i_pq_pctchange($D17,O$3,$D$3)</f>
        <v>-5.4488513410710144</v>
      </c>
      <c r="P17" s="6"/>
      <c r="Q17" s="8"/>
    </row>
    <row r="18" spans="1:17" s="2" customFormat="1" ht="16.5">
      <c r="A18" s="8"/>
      <c r="B18" s="6"/>
      <c r="C18" s="35" t="s">
        <v>18</v>
      </c>
      <c r="D18" s="27" t="str">
        <f>[1]!to_windcode(C18)</f>
        <v>399006.SZ</v>
      </c>
      <c r="E18" s="28">
        <f ca="1">[1]!i_dq_close(D18,$D$3)</f>
        <v>1762.8770999999999</v>
      </c>
      <c r="F18" s="29">
        <f ca="1">[1]!i_dq_pctchange(D18,$F$3)</f>
        <v>0</v>
      </c>
      <c r="G18" s="29"/>
      <c r="H18" s="29"/>
      <c r="I18" s="29"/>
      <c r="J18" s="29">
        <f ca="1">[1]!i_pq_pctchange($D18,J$3,$D$3)</f>
        <v>-4.2129099353840349</v>
      </c>
      <c r="K18" s="29">
        <f ca="1">[1]!i_pq_pctchange($D18,K$3,$D$3)</f>
        <v>-6.9794250843272181</v>
      </c>
      <c r="L18" s="29">
        <f ca="1">[1]!i_pq_pctchange($D18,L$3,$D$3)</f>
        <v>9.7503923408637228E-2</v>
      </c>
      <c r="M18" s="29">
        <f ca="1">[1]!i_pq_pctchange($D18,M$3,$D$3)</f>
        <v>-11.706102765734961</v>
      </c>
      <c r="N18" s="29">
        <f ca="1">[1]!i_pq_pctchange($D18,N$3,$D$3)</f>
        <v>-26.722668362041858</v>
      </c>
      <c r="O18" s="29">
        <f ca="1">[1]!i_pq_pctchange($D18,O$3,$D$3)</f>
        <v>-6.7934691663408486</v>
      </c>
      <c r="P18" s="6"/>
      <c r="Q18" s="8"/>
    </row>
    <row r="19" spans="1:17" s="2" customFormat="1" ht="16.5">
      <c r="A19" s="8"/>
      <c r="B19" s="6"/>
      <c r="C19" s="34" t="s">
        <v>42</v>
      </c>
      <c r="D19" s="24" t="str">
        <f>[1]!to_windcode(C19)</f>
        <v>000903.SH</v>
      </c>
      <c r="E19" s="25">
        <f ca="1">[1]!i_dq_close(D19,$D$3)</f>
        <v>3326.2784000000001</v>
      </c>
      <c r="F19" s="26">
        <f ca="1">[1]!i_dq_pctchange(D19,$F$3)</f>
        <v>0</v>
      </c>
      <c r="G19" s="26"/>
      <c r="H19" s="26"/>
      <c r="I19" s="26"/>
      <c r="J19" s="26">
        <f ca="1">[1]!i_pq_pctchange($D19,J$3,$D$3)</f>
        <v>-2.6499446576428554</v>
      </c>
      <c r="K19" s="26">
        <f ca="1">[1]!i_pq_pctchange($D19,K$3,$D$3)</f>
        <v>-2.027374665327486</v>
      </c>
      <c r="L19" s="26">
        <f ca="1">[1]!i_pq_pctchange($D19,L$3,$D$3)</f>
        <v>6.6323556783260296</v>
      </c>
      <c r="M19" s="26">
        <f ca="1">[1]!i_pq_pctchange($D19,M$3,$D$3)</f>
        <v>-5.1423162524324102</v>
      </c>
      <c r="N19" s="26">
        <f ca="1">[1]!i_pq_pctchange($D19,N$3,$D$3)</f>
        <v>-15.566652644695111</v>
      </c>
      <c r="O19" s="26">
        <f ca="1">[1]!i_pq_pctchange($D19,O$3,$D$3)</f>
        <v>1.9376554775396349</v>
      </c>
      <c r="P19" s="6"/>
      <c r="Q19" s="8"/>
    </row>
    <row r="20" spans="1:17" s="2" customFormat="1" ht="16.5">
      <c r="A20" s="8"/>
      <c r="B20" s="6"/>
      <c r="C20" s="35" t="s">
        <v>36</v>
      </c>
      <c r="D20" s="27" t="str">
        <f>[1]!to_windcode(C20)</f>
        <v>000905.SH</v>
      </c>
      <c r="E20" s="28">
        <f ca="1">[1]!i_dq_close(D20,$D$3)</f>
        <v>5277.2190000000001</v>
      </c>
      <c r="F20" s="29">
        <f ca="1">[1]!i_dq_pctchange(D20,$F$3)</f>
        <v>0</v>
      </c>
      <c r="G20" s="29"/>
      <c r="H20" s="29"/>
      <c r="I20" s="29"/>
      <c r="J20" s="29">
        <f ca="1">[1]!i_pq_pctchange($D20,J$3,$D$3)</f>
        <v>-1.8117903349524678</v>
      </c>
      <c r="K20" s="29">
        <f ca="1">[1]!i_pq_pctchange($D20,K$3,$D$3)</f>
        <v>-2.5464585907225668</v>
      </c>
      <c r="L20" s="29">
        <f ca="1">[1]!i_pq_pctchange($D20,L$3,$D$3)</f>
        <v>1.3645518843189874</v>
      </c>
      <c r="M20" s="29">
        <f ca="1">[1]!i_pq_pctchange($D20,M$3,$D$3)</f>
        <v>-6.3223837910118323</v>
      </c>
      <c r="N20" s="29">
        <f ca="1">[1]!i_pq_pctchange($D20,N$3,$D$3)</f>
        <v>-17.603271862179181</v>
      </c>
      <c r="O20" s="29">
        <f ca="1">[1]!i_pq_pctchange($D20,O$3,$D$3)</f>
        <v>-2.7998414802485327</v>
      </c>
      <c r="P20" s="6"/>
      <c r="Q20" s="8"/>
    </row>
    <row r="21" spans="1:17" s="2" customFormat="1" ht="16.5">
      <c r="A21" s="8"/>
      <c r="B21" s="6"/>
      <c r="C21" s="34" t="s">
        <v>35</v>
      </c>
      <c r="D21" s="24" t="str">
        <f>[1]!to_windcode(C21)</f>
        <v>399852.SZ</v>
      </c>
      <c r="E21" s="25">
        <f ca="1">[1]!i_dq_close(D21,$D$3)</f>
        <v>5338.7691999999997</v>
      </c>
      <c r="F21" s="26">
        <f ca="1">[1]!i_dq_pctchange(D21,$F$3)</f>
        <v>0</v>
      </c>
      <c r="G21" s="26"/>
      <c r="H21" s="26"/>
      <c r="I21" s="26"/>
      <c r="J21" s="26">
        <f ca="1">[1]!i_pq_pctchange($D21,J$3,$D$3)</f>
        <v>-2.947816207830023</v>
      </c>
      <c r="K21" s="26">
        <f ca="1">[1]!i_pq_pctchange($D21,K$3,$D$3)</f>
        <v>-3.3144108249946402</v>
      </c>
      <c r="L21" s="26">
        <f ca="1">[1]!i_pq_pctchange($D21,L$3,$D$3)</f>
        <v>-4.2286072816743907</v>
      </c>
      <c r="M21" s="26">
        <f ca="1">[1]!i_pq_pctchange($D21,M$3,$D$3)</f>
        <v>-12.218234082047651</v>
      </c>
      <c r="N21" s="26">
        <f ca="1">[1]!i_pq_pctchange($D21,N$3,$D$3)</f>
        <v>-23.368616106560669</v>
      </c>
      <c r="O21" s="26">
        <f ca="1">[1]!i_pq_pctchange($D21,O$3,$D$3)</f>
        <v>-9.3161866309056762</v>
      </c>
      <c r="P21" s="6"/>
      <c r="Q21" s="8"/>
    </row>
    <row r="22" spans="1:17" s="2" customFormat="1" ht="16.5">
      <c r="A22" s="8"/>
      <c r="B22" s="6"/>
      <c r="C22" s="35" t="s">
        <v>19</v>
      </c>
      <c r="D22" s="27" t="str">
        <f>[1]!to_windcode(C22)</f>
        <v>000985.CSI</v>
      </c>
      <c r="E22" s="28">
        <f ca="1">[1]!i_dq_close(D22,$D$3)</f>
        <v>4235.3771999999999</v>
      </c>
      <c r="F22" s="29">
        <f ca="1">[1]!i_dq_pctchange(D22,$F$3)</f>
        <v>0</v>
      </c>
      <c r="G22" s="29"/>
      <c r="H22" s="29"/>
      <c r="I22" s="29"/>
      <c r="J22" s="29">
        <f ca="1">[1]!i_pq_pctchange($D22,J$3,$D$3)</f>
        <v>-2.718621918278108</v>
      </c>
      <c r="K22" s="29">
        <f ca="1">[1]!i_pq_pctchange($D22,K$3,$D$3)</f>
        <v>-2.8214645811539985</v>
      </c>
      <c r="L22" s="29">
        <f ca="1">[1]!i_pq_pctchange($D22,L$3,$D$3)</f>
        <v>0.12510623013233246</v>
      </c>
      <c r="M22" s="29">
        <f ca="1">[1]!i_pq_pctchange($D22,M$3,$D$3)</f>
        <v>-7.9291906144484674</v>
      </c>
      <c r="N22" s="29">
        <f ca="1">[1]!i_pq_pctchange($D22,N$3,$D$3)</f>
        <v>-17.04684878566227</v>
      </c>
      <c r="O22" s="29">
        <f ca="1">[1]!i_pq_pctchange($D22,O$3,$D$3)</f>
        <v>-4.2193920976479893</v>
      </c>
      <c r="P22" s="6"/>
      <c r="Q22" s="8"/>
    </row>
    <row r="23" spans="1:17" s="2" customFormat="1" ht="16.5">
      <c r="A23" s="8"/>
      <c r="B23" s="6"/>
      <c r="C23" s="34" t="s">
        <v>221</v>
      </c>
      <c r="D23" s="24" t="str">
        <f>[1]!to_windcode(C23)</f>
        <v>000832.CSI</v>
      </c>
      <c r="E23" s="25">
        <f ca="1">[1]!i_dq_close(D23,$D$3)</f>
        <v>391.9092</v>
      </c>
      <c r="F23" s="26">
        <f ca="1">[1]!i_dq_pctchange(D23,$F$3)</f>
        <v>0</v>
      </c>
      <c r="G23" s="26"/>
      <c r="H23" s="26"/>
      <c r="I23" s="26"/>
      <c r="J23" s="26">
        <f ca="1">[1]!i_pq_pctchange($D23,J$3,$D$3)</f>
        <v>0.33718031235647761</v>
      </c>
      <c r="K23" s="26">
        <f ca="1">[1]!i_pq_pctchange($D23,K$3,$D$3)</f>
        <v>1.5177571604085394</v>
      </c>
      <c r="L23" s="26">
        <f ca="1">[1]!i_pq_pctchange($D23,L$3,$D$3)</f>
        <v>1.0971843843986528</v>
      </c>
      <c r="M23" s="26">
        <f ca="1">[1]!i_pq_pctchange($D23,M$3,$D$3)</f>
        <v>-2.2315822245771888</v>
      </c>
      <c r="N23" s="26">
        <f ca="1">[1]!i_pq_pctchange($D23,N$3,$D$3)</f>
        <v>-4.1029702912152359</v>
      </c>
      <c r="O23" s="26">
        <f ca="1">[1]!i_pq_pctchange($D23,O$3,$D$3)</f>
        <v>0.2853164146243703</v>
      </c>
      <c r="P23" s="6"/>
      <c r="Q23" s="8"/>
    </row>
    <row r="24" spans="1:17" s="2" customFormat="1" ht="16.5">
      <c r="A24" s="8"/>
      <c r="B24" s="6"/>
      <c r="C24" s="35" t="s">
        <v>224</v>
      </c>
      <c r="D24" s="27" t="str">
        <f>[1]!to_windcode(C24)</f>
        <v>CBA00202.CS</v>
      </c>
      <c r="E24" s="28">
        <f ca="1">[1]!i_dq_close(D24,$D$3)</f>
        <v>106.28230000000001</v>
      </c>
      <c r="F24" s="29">
        <f ca="1">[1]!i_dq_pctchange(D24,$F$3)</f>
        <v>0</v>
      </c>
      <c r="G24" s="29"/>
      <c r="H24" s="29"/>
      <c r="I24" s="29"/>
      <c r="J24" s="29">
        <f ca="1">[1]!i_pq_pctchange($D24,J$3,$D$3)</f>
        <v>0.16162351051920432</v>
      </c>
      <c r="K24" s="29">
        <f ca="1">[1]!i_pq_pctchange($D24,K$3,$D$3)</f>
        <v>0.3669717839682729</v>
      </c>
      <c r="L24" s="29">
        <f ca="1">[1]!i_pq_pctchange($D24,L$3,$D$3)</f>
        <v>1.3380180970451683</v>
      </c>
      <c r="M24" s="29">
        <f ca="1">[1]!i_pq_pctchange($D24,M$3,$D$3)</f>
        <v>2.204641421217679</v>
      </c>
      <c r="N24" s="29">
        <f ca="1">[1]!i_pq_pctchange($D24,N$3,$D$3)</f>
        <v>2.7221555335192882</v>
      </c>
      <c r="O24" s="29">
        <f ca="1">[1]!i_pq_pctchange($D24,O$3,$D$3)</f>
        <v>1.4700813900756504</v>
      </c>
      <c r="P24" s="6"/>
      <c r="Q24" s="8"/>
    </row>
    <row r="25" spans="1:17" s="2" customFormat="1" ht="16.5">
      <c r="A25" s="8"/>
      <c r="B25" s="6"/>
      <c r="C25" s="34" t="s">
        <v>225</v>
      </c>
      <c r="D25" s="24" t="str">
        <f>[1]!to_windcode(C25)</f>
        <v>h01009.CSI</v>
      </c>
      <c r="E25" s="25">
        <f ca="1">[1]!i_dq_close(D25,$D$3)</f>
        <v>102.836</v>
      </c>
      <c r="F25" s="26">
        <f ca="1">[1]!i_dq_pctchange(D25,$F$3)</f>
        <v>0</v>
      </c>
      <c r="G25" s="26"/>
      <c r="H25" s="26"/>
      <c r="I25" s="26"/>
      <c r="J25" s="26">
        <f ca="1">[1]!i_pq_pctchange($D25,J$3,$D$3)</f>
        <v>0.14646649578908821</v>
      </c>
      <c r="K25" s="26">
        <f ca="1">[1]!i_pq_pctchange($D25,K$3,$D$3)</f>
        <v>0.33984565952791534</v>
      </c>
      <c r="L25" s="26">
        <f ca="1">[1]!i_pq_pctchange($D25,L$3,$D$3)</f>
        <v>1.4313782736662617</v>
      </c>
      <c r="M25" s="26">
        <f ca="1">[1]!i_pq_pctchange($D25,M$3,$D$3)</f>
        <v>2.282345662926577</v>
      </c>
      <c r="N25" s="26">
        <f ca="1">[1]!i_pq_pctchange($D25,N$3,$D$3)</f>
        <v>2.8643905717978146</v>
      </c>
      <c r="O25" s="26">
        <f ca="1">[1]!i_pq_pctchange($D25,O$3,$D$3)</f>
        <v>1.5448571414464984</v>
      </c>
      <c r="P25" s="6"/>
      <c r="Q25" s="8"/>
    </row>
    <row r="26" spans="1:17" s="2" customFormat="1" ht="16.5">
      <c r="A26" s="8"/>
      <c r="B26" s="6"/>
      <c r="C26" s="35" t="s">
        <v>226</v>
      </c>
      <c r="D26" s="27" t="str">
        <f>[1]!to_windcode(C26)</f>
        <v>CBA00203.CS</v>
      </c>
      <c r="E26" s="28">
        <f ca="1">[1]!i_dq_close(D26,$D$3)</f>
        <v>128.00729999999999</v>
      </c>
      <c r="F26" s="29">
        <f ca="1">[1]!i_dq_pctchange(D26,$F$3)</f>
        <v>0</v>
      </c>
      <c r="G26" s="29"/>
      <c r="H26" s="29"/>
      <c r="I26" s="29"/>
      <c r="J26" s="29">
        <f ca="1">[1]!i_pq_pctchange($D26,J$3,$D$3)</f>
        <v>0.18196076221601576</v>
      </c>
      <c r="K26" s="29">
        <f ca="1">[1]!i_pq_pctchange($D26,K$3,$D$3)</f>
        <v>0.39992972405711313</v>
      </c>
      <c r="L26" s="29">
        <f ca="1">[1]!i_pq_pctchange($D26,L$3,$D$3)</f>
        <v>1.4502597137046491</v>
      </c>
      <c r="M26" s="29">
        <f ca="1">[1]!i_pq_pctchange($D26,M$3,$D$3)</f>
        <v>2.4865173864866197</v>
      </c>
      <c r="N26" s="29">
        <f ca="1">[1]!i_pq_pctchange($D26,N$3,$D$3)</f>
        <v>3.2932529951317679</v>
      </c>
      <c r="O26" s="29">
        <f ca="1">[1]!i_pq_pctchange($D26,O$3,$D$3)</f>
        <v>1.6123693303729647</v>
      </c>
      <c r="P26" s="6"/>
      <c r="Q26" s="8"/>
    </row>
    <row r="27" spans="1:17" s="2" customFormat="1" ht="16.5">
      <c r="A27" s="8"/>
      <c r="B27" s="6"/>
      <c r="C27" s="34" t="s">
        <v>227</v>
      </c>
      <c r="D27" s="24" t="str">
        <f>[1]!to_windcode(C27)</f>
        <v>h11001.CSI</v>
      </c>
      <c r="E27" s="25">
        <f ca="1">[1]!i_dq_close(D27,$D$3)</f>
        <v>243.39420000000001</v>
      </c>
      <c r="F27" s="26">
        <f ca="1">[1]!i_dq_pctchange(D27,$F$3)</f>
        <v>0</v>
      </c>
      <c r="G27" s="26"/>
      <c r="H27" s="26"/>
      <c r="I27" s="26"/>
      <c r="J27" s="26">
        <f ca="1">[1]!i_pq_pctchange($D27,J$3,$D$3)</f>
        <v>0.24059964581359949</v>
      </c>
      <c r="K27" s="26">
        <f ca="1">[1]!i_pq_pctchange($D27,K$3,$D$3)</f>
        <v>0.64240660997367804</v>
      </c>
      <c r="L27" s="26">
        <f ca="1">[1]!i_pq_pctchange($D27,L$3,$D$3)</f>
        <v>2.4314368476626491</v>
      </c>
      <c r="M27" s="26">
        <f ca="1">[1]!i_pq_pctchange($D27,M$3,$D$3)</f>
        <v>4.2678883236031417</v>
      </c>
      <c r="N27" s="26">
        <f ca="1">[1]!i_pq_pctchange($D27,N$3,$D$3)</f>
        <v>6.7497820217504501</v>
      </c>
      <c r="O27" s="26">
        <f ca="1">[1]!i_pq_pctchange($D27,O$3,$D$3)</f>
        <v>2.6914318961112738</v>
      </c>
      <c r="P27" s="6"/>
      <c r="Q27" s="8"/>
    </row>
    <row r="28" spans="1:17" s="2" customFormat="1" ht="16.5">
      <c r="A28" s="8"/>
      <c r="B28" s="6"/>
      <c r="C28" s="35" t="s">
        <v>220</v>
      </c>
      <c r="D28" s="27" t="str">
        <f>[1]!to_windcode(C28)</f>
        <v>CN2303.CNI</v>
      </c>
      <c r="E28" s="28">
        <f ca="1">[1]!i_dq_close(D28,$D$3)</f>
        <v>7479.5297</v>
      </c>
      <c r="F28" s="29">
        <f ca="1">[1]!i_dq_pctchange(D28,$F$3)</f>
        <v>0</v>
      </c>
      <c r="G28" s="29"/>
      <c r="H28" s="29"/>
      <c r="I28" s="29"/>
      <c r="J28" s="29">
        <f ca="1">[1]!i_pq_pctchange($D28,J$3,$D$3)</f>
        <v>-3.2485726326813236</v>
      </c>
      <c r="K28" s="29">
        <f ca="1">[1]!i_pq_pctchange($D28,K$3,$D$3)</f>
        <v>-3.4139354690913892</v>
      </c>
      <c r="L28" s="29">
        <f ca="1">[1]!i_pq_pctchange($D28,L$3,$D$3)</f>
        <v>-6.5794929418055208</v>
      </c>
      <c r="M28" s="29">
        <f ca="1">[1]!i_pq_pctchange($D28,M$3,$D$3)</f>
        <v>-12.438180014282141</v>
      </c>
      <c r="N28" s="29">
        <f ca="1">[1]!i_pq_pctchange($D28,N$3,$D$3)</f>
        <v>-19.926564831261707</v>
      </c>
      <c r="O28" s="29">
        <f ca="1">[1]!i_pq_pctchange($D28,O$3,$D$3)</f>
        <v>-11.197048935129272</v>
      </c>
      <c r="P28" s="6"/>
      <c r="Q28" s="8"/>
    </row>
    <row r="29" spans="1:17" s="2" customFormat="1" ht="16.5">
      <c r="A29" s="8"/>
      <c r="B29" s="6"/>
      <c r="C29" s="34" t="s">
        <v>228</v>
      </c>
      <c r="D29" s="24" t="str">
        <f>[1]!to_windcode(C29)</f>
        <v>h11021.CSI</v>
      </c>
      <c r="E29" s="25">
        <f ca="1">[1]!i_dq_close(D29,$D$3)</f>
        <v>8289.0889000000006</v>
      </c>
      <c r="F29" s="26">
        <f ca="1">[1]!i_dq_pctchange(D29,$F$3)</f>
        <v>0</v>
      </c>
      <c r="G29" s="26"/>
      <c r="H29" s="26"/>
      <c r="I29" s="26"/>
      <c r="J29" s="26">
        <f ca="1">[1]!i_pq_pctchange($D29,J$3,$D$3)</f>
        <v>-2.4584892305865913</v>
      </c>
      <c r="K29" s="26">
        <f ca="1">[1]!i_pq_pctchange($D29,K$3,$D$3)</f>
        <v>-3.3290600236828838</v>
      </c>
      <c r="L29" s="26">
        <f ca="1">[1]!i_pq_pctchange($D29,L$3,$D$3)</f>
        <v>0.95485042784047014</v>
      </c>
      <c r="M29" s="26">
        <f ca="1">[1]!i_pq_pctchange($D29,M$3,$D$3)</f>
        <v>-8.2213957869056724</v>
      </c>
      <c r="N29" s="26">
        <f ca="1">[1]!i_pq_pctchange($D29,N$3,$D$3)</f>
        <v>-18.778104799068984</v>
      </c>
      <c r="O29" s="26">
        <f ca="1">[1]!i_pq_pctchange($D29,O$3,$D$3)</f>
        <v>-4.0864407834196426</v>
      </c>
      <c r="P29" s="6"/>
      <c r="Q29" s="8"/>
    </row>
    <row r="30" spans="1:17" s="2" customFormat="1" ht="16.5">
      <c r="A30" s="8"/>
      <c r="B30" s="6"/>
      <c r="C30" s="35" t="s">
        <v>229</v>
      </c>
      <c r="D30" s="27" t="str">
        <f>[1]!to_windcode(C30)</f>
        <v>h11023.CSI</v>
      </c>
      <c r="E30" s="28">
        <f ca="1">[1]!i_dq_close(D30,$D$3)</f>
        <v>3139.3726999999999</v>
      </c>
      <c r="F30" s="29">
        <f ca="1">[1]!i_dq_pctchange(D30,$F$3)</f>
        <v>0</v>
      </c>
      <c r="G30" s="29"/>
      <c r="H30" s="29"/>
      <c r="I30" s="29"/>
      <c r="J30" s="29">
        <f ca="1">[1]!i_pq_pctchange($D30,J$3,$D$3)</f>
        <v>0.17399615650661726</v>
      </c>
      <c r="K30" s="29">
        <f ca="1">[1]!i_pq_pctchange($D30,K$3,$D$3)</f>
        <v>0.45551921546098662</v>
      </c>
      <c r="L30" s="29">
        <f ca="1">[1]!i_pq_pctchange($D30,L$3,$D$3)</f>
        <v>1.3061782397574273</v>
      </c>
      <c r="M30" s="29">
        <f ca="1">[1]!i_pq_pctchange($D30,M$3,$D$3)</f>
        <v>1.8117023636093466</v>
      </c>
      <c r="N30" s="29">
        <f ca="1">[1]!i_pq_pctchange($D30,N$3,$D$3)</f>
        <v>2.9683000899020762</v>
      </c>
      <c r="O30" s="29">
        <f ca="1">[1]!i_pq_pctchange($D30,O$3,$D$3)</f>
        <v>1.2728672003221586</v>
      </c>
      <c r="P30" s="6"/>
      <c r="Q30" s="8"/>
    </row>
    <row r="31" spans="1:17" s="2" customFormat="1" ht="16.5">
      <c r="A31" s="8"/>
      <c r="B31" s="6"/>
      <c r="C31" s="34" t="s">
        <v>230</v>
      </c>
      <c r="D31" s="24" t="str">
        <f>[1]!to_windcode(C31)</f>
        <v>h11025.CSI</v>
      </c>
      <c r="E31" s="25">
        <f ca="1">[1]!i_dq_close(D31,$D$3)</f>
        <v>1691.6386</v>
      </c>
      <c r="F31" s="26">
        <f ca="1">[1]!i_dq_pctchange(D31,$F$3)</f>
        <v>0</v>
      </c>
      <c r="G31" s="26"/>
      <c r="H31" s="26"/>
      <c r="I31" s="26"/>
      <c r="J31" s="26">
        <f ca="1">[1]!i_pq_pctchange($D31,J$3,$D$3)</f>
        <v>4.6041656550999122E-2</v>
      </c>
      <c r="K31" s="26">
        <f ca="1">[1]!i_pq_pctchange($D31,K$3,$D$3)</f>
        <v>0.15892673005262203</v>
      </c>
      <c r="L31" s="26">
        <f ca="1">[1]!i_pq_pctchange($D31,L$3,$D$3)</f>
        <v>0.49984401967388958</v>
      </c>
      <c r="M31" s="26">
        <f ca="1">[1]!i_pq_pctchange($D31,M$3,$D$3)</f>
        <v>1.0050055328773011</v>
      </c>
      <c r="N31" s="26">
        <f ca="1">[1]!i_pq_pctchange($D31,N$3,$D$3)</f>
        <v>1.9801333777592189</v>
      </c>
      <c r="O31" s="26">
        <f ca="1">[1]!i_pq_pctchange($D31,O$3,$D$3)</f>
        <v>0.58567999654177694</v>
      </c>
      <c r="P31" s="6"/>
      <c r="Q31" s="8"/>
    </row>
    <row r="32" spans="1:17" s="2" customFormat="1" ht="16.5">
      <c r="A32" s="8"/>
      <c r="B32" s="6"/>
      <c r="C32" s="35" t="s">
        <v>208</v>
      </c>
      <c r="D32" s="27" t="str">
        <f>[1]!to_windcode(C32)</f>
        <v>HSI.HI</v>
      </c>
      <c r="E32" s="28">
        <f ca="1">[1]!i_dq_close(D32,$D$3)</f>
        <v>16721.689999999999</v>
      </c>
      <c r="F32" s="29">
        <f ca="1">[1]!i_dq_pctchange(D32,$F$3)</f>
        <v>0</v>
      </c>
      <c r="G32" s="29"/>
      <c r="H32" s="29"/>
      <c r="I32" s="29"/>
      <c r="J32" s="29">
        <f ca="1">[1]!i_pq_pctchange($D32,J$3,$D$3)</f>
        <v>-1.3334194375480557E-2</v>
      </c>
      <c r="K32" s="29">
        <f ca="1">[1]!i_pq_pctchange($D32,K$3,$D$3)</f>
        <v>-2.1099267010925571</v>
      </c>
      <c r="L32" s="29">
        <f ca="1">[1]!i_pq_pctchange($D32,L$3,$D$3)</f>
        <v>2.9370411546497222</v>
      </c>
      <c r="M32" s="29">
        <f ca="1">[1]!i_pq_pctchange($D32,M$3,$D$3)</f>
        <v>-6.1288520752577513</v>
      </c>
      <c r="N32" s="29">
        <f ca="1">[1]!i_pq_pctchange($D32,N$3,$D$3)</f>
        <v>-17.807238130441284</v>
      </c>
      <c r="O32" s="29">
        <f ca="1">[1]!i_pq_pctchange($D32,O$3,$D$3)</f>
        <v>-1.9105563960230887</v>
      </c>
      <c r="P32" s="6"/>
      <c r="Q32" s="8"/>
    </row>
    <row r="33" spans="1:17" s="2" customFormat="1" ht="16.5">
      <c r="A33" s="8"/>
      <c r="B33" s="6"/>
      <c r="C33" s="34" t="s">
        <v>209</v>
      </c>
      <c r="D33" s="24" t="str">
        <f>[1]!to_windcode(C33)</f>
        <v>HSCEI.HI</v>
      </c>
      <c r="E33" s="25">
        <f ca="1">[1]!i_dq_close(D33,$D$3)</f>
        <v>5879.58</v>
      </c>
      <c r="F33" s="26">
        <f ca="1">[1]!i_dq_pctchange(D33,$F$3)</f>
        <v>0</v>
      </c>
      <c r="G33" s="26"/>
      <c r="H33" s="26"/>
      <c r="I33" s="26"/>
      <c r="J33" s="26">
        <f ca="1">[1]!i_pq_pctchange($D33,J$3,$D$3)</f>
        <v>0.27304184993102165</v>
      </c>
      <c r="K33" s="26">
        <f ca="1">[1]!i_pq_pctchange($D33,K$3,$D$3)</f>
        <v>-0.89136715628930219</v>
      </c>
      <c r="L33" s="26">
        <f ca="1">[1]!i_pq_pctchange($D33,L$3,$D$3)</f>
        <v>7.2536364863533764</v>
      </c>
      <c r="M33" s="26">
        <f ca="1">[1]!i_pq_pctchange($D33,M$3,$D$3)</f>
        <v>-3.8637121722466805</v>
      </c>
      <c r="N33" s="26">
        <f ca="1">[1]!i_pq_pctchange($D33,N$3,$D$3)</f>
        <v>-14.484433746154801</v>
      </c>
      <c r="O33" s="26">
        <f ca="1">[1]!i_pq_pctchange($D33,O$3,$D$3)</f>
        <v>1.9256305798734497</v>
      </c>
      <c r="P33" s="6"/>
      <c r="Q33" s="8"/>
    </row>
    <row r="34" spans="1:17" s="2" customFormat="1" ht="16.5">
      <c r="A34" s="8"/>
      <c r="B34" s="6"/>
      <c r="C34" s="35" t="s">
        <v>210</v>
      </c>
      <c r="D34" s="27" t="str">
        <f>[1]!to_windcode(C34)</f>
        <v>HSCCI.HI</v>
      </c>
      <c r="E34" s="28">
        <f ca="1">[1]!i_dq_close(D34,$D$3)</f>
        <v>3461.57</v>
      </c>
      <c r="F34" s="29">
        <f ca="1">[1]!i_dq_pctchange(D34,$F$3)</f>
        <v>0</v>
      </c>
      <c r="G34" s="29"/>
      <c r="H34" s="29"/>
      <c r="I34" s="29"/>
      <c r="J34" s="29">
        <f ca="1">[1]!i_pq_pctchange($D34,J$3,$D$3)</f>
        <v>0.51775104973081909</v>
      </c>
      <c r="K34" s="29">
        <f ca="1">[1]!i_pq_pctchange($D34,K$3,$D$3)</f>
        <v>-1.8801553332010501</v>
      </c>
      <c r="L34" s="29">
        <f ca="1">[1]!i_pq_pctchange($D34,L$3,$D$3)</f>
        <v>6.1359211393705371</v>
      </c>
      <c r="M34" s="29">
        <f ca="1">[1]!i_pq_pctchange($D34,M$3,$D$3)</f>
        <v>-0.75290366789665386</v>
      </c>
      <c r="N34" s="29">
        <f ca="1">[1]!i_pq_pctchange($D34,N$3,$D$3)</f>
        <v>-15.594314709919988</v>
      </c>
      <c r="O34" s="29">
        <f ca="1">[1]!i_pq_pctchange($D34,O$3,$D$3)</f>
        <v>3.3165694160486092</v>
      </c>
      <c r="P34" s="6"/>
      <c r="Q34" s="8"/>
    </row>
    <row r="35" spans="1:17" s="2" customFormat="1" ht="16.5">
      <c r="A35" s="8"/>
      <c r="B35" s="6"/>
      <c r="C35" s="34" t="s">
        <v>211</v>
      </c>
      <c r="D35" s="24" t="str">
        <f>[1]!to_windcode(C35)</f>
        <v>CES120.CSI</v>
      </c>
      <c r="E35" s="25">
        <f ca="1">[1]!i_dq_close(D35,$D$3)</f>
        <v>5025.0168000000003</v>
      </c>
      <c r="F35" s="26">
        <f ca="1">[1]!i_dq_pctchange(D35,$F$3)</f>
        <v>0</v>
      </c>
      <c r="G35" s="26"/>
      <c r="H35" s="26"/>
      <c r="I35" s="26"/>
      <c r="J35" s="26">
        <f ca="1">[1]!i_pq_pctchange($D35,J$3,$D$3)</f>
        <v>-1.5328144472922967</v>
      </c>
      <c r="K35" s="26">
        <f ca="1">[1]!i_pq_pctchange($D35,K$3,$D$3)</f>
        <v>-1.6058787206927105</v>
      </c>
      <c r="L35" s="26">
        <f ca="1">[1]!i_pq_pctchange($D35,L$3,$D$3)</f>
        <v>6.5108407325089601</v>
      </c>
      <c r="M35" s="26">
        <f ca="1">[1]!i_pq_pctchange($D35,M$3,$D$3)</f>
        <v>-6.0610129157543273</v>
      </c>
      <c r="N35" s="26">
        <f ca="1">[1]!i_pq_pctchange($D35,N$3,$D$3)</f>
        <v>-12.449541267620113</v>
      </c>
      <c r="O35" s="26">
        <f ca="1">[1]!i_pq_pctchange($D35,O$3,$D$3)</f>
        <v>2.317475955829873</v>
      </c>
      <c r="P35" s="6"/>
      <c r="Q35" s="8"/>
    </row>
    <row r="36" spans="1:17" s="2" customFormat="1" ht="16.5">
      <c r="A36" s="8"/>
      <c r="B36" s="6"/>
      <c r="C36" s="35" t="s">
        <v>212</v>
      </c>
      <c r="D36" s="27" t="str">
        <f>[1]!to_windcode(C36)</f>
        <v>TWII.TW</v>
      </c>
      <c r="E36" s="28">
        <f ca="1">[1]!i_dq_close(D36,$D$3)</f>
        <v>20736.57</v>
      </c>
      <c r="F36" s="29">
        <f ca="1">[1]!i_dq_pctchange(D36,$F$3)</f>
        <v>0</v>
      </c>
      <c r="G36" s="29"/>
      <c r="H36" s="29"/>
      <c r="I36" s="29"/>
      <c r="J36" s="29">
        <f ca="1">[1]!i_pq_pctchange($D36,J$3,$D$3)</f>
        <v>1.9617358980410726</v>
      </c>
      <c r="K36" s="29">
        <f ca="1">[1]!i_pq_pctchange($D36,K$3,$D$3)</f>
        <v>4.0547938606549261</v>
      </c>
      <c r="L36" s="29">
        <f ca="1">[1]!i_pq_pctchange($D36,L$3,$D$3)</f>
        <v>18.407875825894493</v>
      </c>
      <c r="M36" s="29">
        <f ca="1">[1]!i_pq_pctchange($D36,M$3,$D$3)</f>
        <v>23.560157949586991</v>
      </c>
      <c r="N36" s="29">
        <f ca="1">[1]!i_pq_pctchange($D36,N$3,$D$3)</f>
        <v>31.20458646635571</v>
      </c>
      <c r="O36" s="29">
        <f ca="1">[1]!i_pq_pctchange($D36,O$3,$D$3)</f>
        <v>15.647703589519924</v>
      </c>
      <c r="P36" s="6"/>
      <c r="Q36" s="8"/>
    </row>
    <row r="37" spans="1:17" s="2" customFormat="1" ht="16.5">
      <c r="A37" s="8"/>
      <c r="B37" s="6"/>
      <c r="C37" s="34" t="s">
        <v>213</v>
      </c>
      <c r="D37" s="24" t="str">
        <f>[1]!to_windcode(C37)</f>
        <v>TWOTC.TWO</v>
      </c>
      <c r="E37" s="25">
        <f ca="1">[1]!i_dq_close(D37,$D$3)</f>
        <v>256.43</v>
      </c>
      <c r="F37" s="26">
        <f ca="1">[1]!i_dq_pctchange(D37,$F$3)</f>
        <v>0</v>
      </c>
      <c r="G37" s="26"/>
      <c r="H37" s="26"/>
      <c r="I37" s="26"/>
      <c r="J37" s="26">
        <f ca="1">[1]!i_pq_pctchange($D37,J$3,$D$3)</f>
        <v>0.59234269574768295</v>
      </c>
      <c r="K37" s="26">
        <f ca="1">[1]!i_pq_pctchange($D37,K$3,$D$3)</f>
        <v>2.8971550098310761</v>
      </c>
      <c r="L37" s="26">
        <f ca="1">[1]!i_pq_pctchange($D37,L$3,$D$3)</f>
        <v>11.263938907449988</v>
      </c>
      <c r="M37" s="26">
        <f ca="1">[1]!i_pq_pctchange($D37,M$3,$D$3)</f>
        <v>18.591314803681279</v>
      </c>
      <c r="N37" s="26">
        <f ca="1">[1]!i_pq_pctchange($D37,N$3,$D$3)</f>
        <v>18.926815694276968</v>
      </c>
      <c r="O37" s="26">
        <f ca="1">[1]!i_pq_pctchange($D37,O$3,$D$3)</f>
        <v>9.5807871458484684</v>
      </c>
      <c r="P37" s="6"/>
      <c r="Q37" s="8"/>
    </row>
    <row r="38" spans="1:17" s="2" customFormat="1" ht="16.5">
      <c r="A38" s="8"/>
      <c r="B38" s="6"/>
      <c r="C38" s="35" t="s">
        <v>214</v>
      </c>
      <c r="D38" s="27" t="str">
        <f>[1]!to_windcode(C38)</f>
        <v>TWMC.TW</v>
      </c>
      <c r="E38" s="28">
        <f ca="1">[1]!i_dq_close(D38,$D$3)</f>
        <v>19778.52</v>
      </c>
      <c r="F38" s="29">
        <f ca="1">[1]!i_dq_pctchange(D38,$F$3)</f>
        <v>0</v>
      </c>
      <c r="G38" s="29"/>
      <c r="H38" s="29"/>
      <c r="I38" s="29"/>
      <c r="J38" s="29">
        <f ca="1">[1]!i_pq_pctchange($D38,J$3,$D$3)</f>
        <v>1.2320213985088424</v>
      </c>
      <c r="K38" s="29">
        <f ca="1">[1]!i_pq_pctchange($D38,K$3,$D$3)</f>
        <v>2.5989352359303775</v>
      </c>
      <c r="L38" s="29">
        <f ca="1">[1]!i_pq_pctchange($D38,L$3,$D$3)</f>
        <v>9.1869654793213851</v>
      </c>
      <c r="M38" s="29">
        <f ca="1">[1]!i_pq_pctchange($D38,M$3,$D$3)</f>
        <v>16.600619479773783</v>
      </c>
      <c r="N38" s="29">
        <f ca="1">[1]!i_pq_pctchange($D38,N$3,$D$3)</f>
        <v>37.636716262737394</v>
      </c>
      <c r="O38" s="29">
        <f ca="1">[1]!i_pq_pctchange($D38,O$3,$D$3)</f>
        <v>7.1380515882860873</v>
      </c>
      <c r="P38" s="6"/>
      <c r="Q38" s="8"/>
    </row>
    <row r="39" spans="1:17" s="2" customFormat="1" ht="16.5">
      <c r="A39" s="8"/>
      <c r="B39" s="6"/>
      <c r="C39" s="34" t="s">
        <v>215</v>
      </c>
      <c r="D39" s="24" t="str">
        <f>[1]!to_windcode(C39)</f>
        <v>TW50.TW</v>
      </c>
      <c r="E39" s="25">
        <f ca="1">[1]!i_dq_close(D39,$D$3)</f>
        <v>16280.59</v>
      </c>
      <c r="F39" s="26">
        <f ca="1">[1]!i_dq_pctchange(D39,$F$3)</f>
        <v>0</v>
      </c>
      <c r="G39" s="26"/>
      <c r="H39" s="26"/>
      <c r="I39" s="26"/>
      <c r="J39" s="26">
        <f ca="1">[1]!i_pq_pctchange($D39,J$3,$D$3)</f>
        <v>2.2454240864658415</v>
      </c>
      <c r="K39" s="26">
        <f ca="1">[1]!i_pq_pctchange($D39,K$3,$D$3)</f>
        <v>3.9719949957307987</v>
      </c>
      <c r="L39" s="26">
        <f ca="1">[1]!i_pq_pctchange($D39,L$3,$D$3)</f>
        <v>24.95924388581534</v>
      </c>
      <c r="M39" s="26">
        <f ca="1">[1]!i_pq_pctchange($D39,M$3,$D$3)</f>
        <v>29.937029115055537</v>
      </c>
      <c r="N39" s="26">
        <f ca="1">[1]!i_pq_pctchange($D39,N$3,$D$3)</f>
        <v>36.788461118364779</v>
      </c>
      <c r="O39" s="26">
        <f ca="1">[1]!i_pq_pctchange($D39,O$3,$D$3)</f>
        <v>21.661455640014715</v>
      </c>
      <c r="P39" s="6"/>
      <c r="Q39" s="8"/>
    </row>
    <row r="40" spans="1:17" s="2" customFormat="1" ht="16.5">
      <c r="A40" s="8"/>
      <c r="B40" s="6"/>
      <c r="C40" s="35" t="s">
        <v>216</v>
      </c>
      <c r="D40" s="27" t="str">
        <f>[1]!to_windcode(C40)</f>
        <v>133333.CSI</v>
      </c>
      <c r="E40" s="28">
        <f ca="1">[1]!i_dq_close(D40,$D$3)</f>
        <v>2995.27</v>
      </c>
      <c r="F40" s="29">
        <f ca="1">[1]!i_dq_pctchange(D40,$F$3)</f>
        <v>0</v>
      </c>
      <c r="G40" s="29"/>
      <c r="H40" s="29"/>
      <c r="I40" s="29"/>
      <c r="J40" s="29">
        <f ca="1">[1]!i_pq_pctchange($D40,J$3,$D$3)</f>
        <v>-2.442146405015877</v>
      </c>
      <c r="K40" s="29">
        <f ca="1">[1]!i_pq_pctchange($D40,K$3,$D$3)</f>
        <v>-2.9513731385839681</v>
      </c>
      <c r="L40" s="29">
        <f ca="1">[1]!i_pq_pctchange($D40,L$3,$D$3)</f>
        <v>4.4088274150425821</v>
      </c>
      <c r="M40" s="29">
        <f ca="1">[1]!i_pq_pctchange($D40,M$3,$D$3)</f>
        <v>-5.6483062326354911</v>
      </c>
      <c r="N40" s="29">
        <f ca="1">[1]!i_pq_pctchange($D40,N$3,$D$3)</f>
        <v>-16.259089752658074</v>
      </c>
      <c r="O40" s="29">
        <f ca="1">[1]!i_pq_pctchange($D40,O$3,$D$3)</f>
        <v>-0.25275903638531938</v>
      </c>
      <c r="P40" s="6"/>
      <c r="Q40" s="8"/>
    </row>
    <row r="41" spans="1:17" s="2" customFormat="1" ht="16.5">
      <c r="A41" s="8"/>
      <c r="B41" s="6"/>
      <c r="C41" s="34" t="s">
        <v>217</v>
      </c>
      <c r="D41" s="24" t="str">
        <f>[1]!to_windcode(C41)</f>
        <v>128715.MI</v>
      </c>
      <c r="E41" s="25">
        <f ca="1">[1]!i_dq_close(D41,$D$3)</f>
        <v>1643.776582</v>
      </c>
      <c r="F41" s="26">
        <f ca="1">[1]!i_dq_pctchange(D41,$F$3)</f>
        <v>0</v>
      </c>
      <c r="G41" s="26"/>
      <c r="H41" s="26"/>
      <c r="I41" s="26"/>
      <c r="J41" s="26">
        <f ca="1">[1]!i_pq_pctchange($D41,J$3,$D$3)</f>
        <v>0.9985847388588216</v>
      </c>
      <c r="K41" s="26">
        <f ca="1">[1]!i_pq_pctchange($D41,K$3,$D$3)</f>
        <v>-0.69635609300160983</v>
      </c>
      <c r="L41" s="26">
        <f ca="1">[1]!i_pq_pctchange($D41,L$3,$D$3)</f>
        <v>7.237554436099046</v>
      </c>
      <c r="M41" s="26">
        <f ca="1">[1]!i_pq_pctchange($D41,M$3,$D$3)</f>
        <v>-1.1476295874173084</v>
      </c>
      <c r="N41" s="26">
        <f ca="1">[1]!i_pq_pctchange($D41,N$3,$D$3)</f>
        <v>-10.756532973688881</v>
      </c>
      <c r="O41" s="26">
        <f ca="1">[1]!i_pq_pctchange($D41,O$3,$D$3)</f>
        <v>4.2201341467156759</v>
      </c>
      <c r="P41" s="6"/>
      <c r="Q41" s="8"/>
    </row>
    <row r="42" spans="1:17" s="2" customFormat="1" ht="16.5">
      <c r="A42" s="8"/>
      <c r="B42" s="6"/>
      <c r="C42" s="41" t="s">
        <v>231</v>
      </c>
      <c r="D42" s="27"/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6"/>
      <c r="Q42" s="8"/>
    </row>
    <row r="43" spans="1:17" s="2" customFormat="1" ht="16.5">
      <c r="A43" s="8"/>
      <c r="B43" s="6"/>
      <c r="C43" s="34" t="s">
        <v>139</v>
      </c>
      <c r="D43" s="24" t="str">
        <f>[1]!to_windcode(C43)</f>
        <v>DJI.GI</v>
      </c>
      <c r="E43" s="25">
        <f ca="1">[1]!i_dq_close(D43,$D$3)</f>
        <v>37983.24</v>
      </c>
      <c r="F43" s="26">
        <f ca="1">[1]!i_dq_pctchange(D43,$F$3)</f>
        <v>0</v>
      </c>
      <c r="G43" s="26"/>
      <c r="H43" s="26"/>
      <c r="I43" s="26"/>
      <c r="J43" s="26">
        <f ca="1">[1]!i_pq_pctchange($D43,J$3,$D$3)</f>
        <v>-2.3668493040825633</v>
      </c>
      <c r="K43" s="26">
        <f ca="1">[1]!i_pq_pctchange($D43,K$3,$D$3)</f>
        <v>-2.7151379544567478</v>
      </c>
      <c r="L43" s="26">
        <f ca="1">[1]!i_pq_pctchange($D43,L$3,$D$3)</f>
        <v>1.0381193510064834</v>
      </c>
      <c r="M43" s="26">
        <f ca="1">[1]!i_pq_pctchange($D43,M$3,$D$3)</f>
        <v>12.809363982311982</v>
      </c>
      <c r="N43" s="26">
        <f ca="1">[1]!i_pq_pctchange($D43,N$3,$D$3)</f>
        <v>11.617943037388812</v>
      </c>
      <c r="O43" s="26">
        <f ca="1">[1]!i_pq_pctchange($D43,O$3,$D$3)</f>
        <v>0.77926130167680352</v>
      </c>
      <c r="P43" s="6"/>
      <c r="Q43" s="8"/>
    </row>
    <row r="44" spans="1:17" s="2" customFormat="1" ht="16.5">
      <c r="A44" s="8"/>
      <c r="B44" s="6"/>
      <c r="C44" s="35" t="s">
        <v>140</v>
      </c>
      <c r="D44" s="27" t="str">
        <f>[1]!to_windcode(C44)</f>
        <v>IXIC.GI</v>
      </c>
      <c r="E44" s="28">
        <f ca="1">[1]!i_dq_close(D44,$D$3)</f>
        <v>16175.093999999999</v>
      </c>
      <c r="F44" s="29">
        <f ca="1">[1]!i_dq_pctchange(D44,$F$3)</f>
        <v>0</v>
      </c>
      <c r="G44" s="29"/>
      <c r="H44" s="29"/>
      <c r="I44" s="29"/>
      <c r="J44" s="29">
        <f ca="1">[1]!i_pq_pctchange($D44,J$3,$D$3)</f>
        <v>-0.45189346475864589</v>
      </c>
      <c r="K44" s="29">
        <f ca="1">[1]!i_pq_pctchange($D44,K$3,$D$3)</f>
        <v>-1.6541216743726217E-2</v>
      </c>
      <c r="L44" s="29">
        <f ca="1">[1]!i_pq_pctchange($D44,L$3,$D$3)</f>
        <v>8.0301427392144085</v>
      </c>
      <c r="M44" s="29">
        <f ca="1">[1]!i_pq_pctchange($D44,M$3,$D$3)</f>
        <v>20.644562672528188</v>
      </c>
      <c r="N44" s="29">
        <f ca="1">[1]!i_pq_pctchange($D44,N$3,$D$3)</f>
        <v>32.95031262663084</v>
      </c>
      <c r="O44" s="29">
        <f ca="1">[1]!i_pq_pctchange($D44,O$3,$D$3)</f>
        <v>7.7524273299869773</v>
      </c>
      <c r="P44" s="6"/>
      <c r="Q44" s="8"/>
    </row>
    <row r="45" spans="1:17" s="2" customFormat="1" ht="16.5">
      <c r="A45" s="8"/>
      <c r="B45" s="6"/>
      <c r="C45" s="34" t="s">
        <v>235</v>
      </c>
      <c r="D45" s="24" t="str">
        <f>[1]!to_windcode(C45)</f>
        <v>SPX.GI</v>
      </c>
      <c r="E45" s="25">
        <f ca="1">[1]!i_dq_close(D45,$D$3)</f>
        <v>5123.41</v>
      </c>
      <c r="F45" s="26">
        <f ca="1">[1]!i_dq_pctchange(D45,$F$3)</f>
        <v>0</v>
      </c>
      <c r="G45" s="26"/>
      <c r="H45" s="26"/>
      <c r="I45" s="26"/>
      <c r="J45" s="26">
        <f ca="1">[1]!i_pq_pctchange($D45,J$3,$D$3)</f>
        <v>-1.5550482866223292</v>
      </c>
      <c r="K45" s="26">
        <f ca="1">[1]!i_pq_pctchange($D45,K$3,$D$3)</f>
        <v>-0.81118074229814541</v>
      </c>
      <c r="L45" s="26">
        <f ca="1">[1]!i_pq_pctchange($D45,L$3,$D$3)</f>
        <v>7.0984963930574407</v>
      </c>
      <c r="M45" s="26">
        <f ca="1">[1]!i_pq_pctchange($D45,M$3,$D$3)</f>
        <v>18.384252434273463</v>
      </c>
      <c r="N45" s="26">
        <f ca="1">[1]!i_pq_pctchange($D45,N$3,$D$3)</f>
        <v>23.568213939443616</v>
      </c>
      <c r="O45" s="26">
        <f ca="1">[1]!i_pq_pctchange($D45,O$3,$D$3)</f>
        <v>7.4128428057184337</v>
      </c>
      <c r="P45" s="6"/>
      <c r="Q45" s="8"/>
    </row>
    <row r="46" spans="1:17" s="2" customFormat="1" ht="16.5">
      <c r="A46" s="8"/>
      <c r="B46" s="6"/>
      <c r="C46" s="35" t="s">
        <v>146</v>
      </c>
      <c r="D46" s="27" t="str">
        <f>[1]!to_windcode(C46)</f>
        <v>NDX.GI</v>
      </c>
      <c r="E46" s="28">
        <f ca="1">[1]!i_dq_close(D46,$D$3)</f>
        <v>18003.487000000001</v>
      </c>
      <c r="F46" s="29">
        <f ca="1">[1]!i_dq_pctchange(D46,$F$3)</f>
        <v>0</v>
      </c>
      <c r="G46" s="29"/>
      <c r="H46" s="29"/>
      <c r="I46" s="29"/>
      <c r="J46" s="29">
        <f ca="1">[1]!i_pq_pctchange($D46,J$3,$D$3)</f>
        <v>-0.57969037676312007</v>
      </c>
      <c r="K46" s="29">
        <f ca="1">[1]!i_pq_pctchange($D46,K$3,$D$3)</f>
        <v>-0.35964860334051219</v>
      </c>
      <c r="L46" s="29">
        <f ca="1">[1]!i_pq_pctchange($D46,L$3,$D$3)</f>
        <v>6.9540341188575994</v>
      </c>
      <c r="M46" s="29">
        <f ca="1">[1]!i_pq_pctchange($D46,M$3,$D$3)</f>
        <v>20.062306937190222</v>
      </c>
      <c r="N46" s="29">
        <f ca="1">[1]!i_pq_pctchange($D46,N$3,$D$3)</f>
        <v>37.332759190168275</v>
      </c>
      <c r="O46" s="29">
        <f ca="1">[1]!i_pq_pctchange($D46,O$3,$D$3)</f>
        <v>6.9984660580425517</v>
      </c>
      <c r="P46" s="6"/>
      <c r="Q46" s="8"/>
    </row>
    <row r="47" spans="1:17" s="2" customFormat="1" ht="16.5">
      <c r="A47" s="8"/>
      <c r="B47" s="6"/>
      <c r="C47" s="34" t="s">
        <v>147</v>
      </c>
      <c r="D47" s="24" t="str">
        <f>[1]!to_windcode(C47)</f>
        <v>NBI.GI</v>
      </c>
      <c r="E47" s="25">
        <f ca="1">[1]!i_dq_close(D47,$D$3)</f>
        <v>4195.1288000000004</v>
      </c>
      <c r="F47" s="26">
        <f ca="1">[1]!i_dq_pctchange(D47,$F$3)</f>
        <v>0</v>
      </c>
      <c r="G47" s="26"/>
      <c r="H47" s="26"/>
      <c r="I47" s="26"/>
      <c r="J47" s="26">
        <f ca="1">[1]!i_pq_pctchange($D47,J$3,$D$3)</f>
        <v>-1.914908242401836</v>
      </c>
      <c r="K47" s="26">
        <f ca="1">[1]!i_pq_pctchange($D47,K$3,$D$3)</f>
        <v>-5.6460226352627707</v>
      </c>
      <c r="L47" s="26">
        <f ca="1">[1]!i_pq_pctchange($D47,L$3,$D$3)</f>
        <v>-6.2061077065134977</v>
      </c>
      <c r="M47" s="26">
        <f ca="1">[1]!i_pq_pctchange($D47,M$3,$D$3)</f>
        <v>6.5651462653810055</v>
      </c>
      <c r="N47" s="26">
        <f ca="1">[1]!i_pq_pctchange($D47,N$3,$D$3)</f>
        <v>-1.3848294797416005</v>
      </c>
      <c r="O47" s="26">
        <f ca="1">[1]!i_pq_pctchange($D47,O$3,$D$3)</f>
        <v>-4.0143688023099759</v>
      </c>
      <c r="P47" s="6"/>
      <c r="Q47" s="8"/>
    </row>
    <row r="48" spans="1:17" s="2" customFormat="1" ht="16.5">
      <c r="A48" s="8"/>
      <c r="B48" s="6"/>
      <c r="C48" s="35" t="s">
        <v>148</v>
      </c>
      <c r="D48" s="27" t="str">
        <f>[1]!to_windcode(C48)</f>
        <v>SOX.GI</v>
      </c>
      <c r="E48" s="28">
        <f ca="1">[1]!i_dq_close(D48,$D$3)</f>
        <v>4745.0492999999997</v>
      </c>
      <c r="F48" s="29">
        <f ca="1">[1]!i_dq_pctchange(D48,$F$3)</f>
        <v>0</v>
      </c>
      <c r="G48" s="29"/>
      <c r="H48" s="29"/>
      <c r="I48" s="29"/>
      <c r="J48" s="29">
        <f ca="1">[1]!i_pq_pctchange($D48,J$3,$D$3)</f>
        <v>-1.5372214486847335</v>
      </c>
      <c r="K48" s="29">
        <f ca="1">[1]!i_pq_pctchange($D48,K$3,$D$3)</f>
        <v>-2.5447108719539147</v>
      </c>
      <c r="L48" s="29">
        <f ca="1">[1]!i_pq_pctchange($D48,L$3,$D$3)</f>
        <v>17.091745179423647</v>
      </c>
      <c r="M48" s="29">
        <f ca="1">[1]!i_pq_pctchange($D48,M$3,$D$3)</f>
        <v>37.419360724246076</v>
      </c>
      <c r="N48" s="29">
        <f ca="1">[1]!i_pq_pctchange($D48,N$3,$D$3)</f>
        <v>54.313557337704133</v>
      </c>
      <c r="O48" s="29">
        <f ca="1">[1]!i_pq_pctchange($D48,O$3,$D$3)</f>
        <v>13.641082321271615</v>
      </c>
      <c r="P48" s="6"/>
      <c r="Q48" s="8"/>
    </row>
    <row r="49" spans="1:17" s="2" customFormat="1" ht="16.5">
      <c r="A49" s="8"/>
      <c r="B49" s="6"/>
      <c r="C49" s="34" t="s">
        <v>149</v>
      </c>
      <c r="D49" s="24" t="str">
        <f>[1]!to_windcode(C49)</f>
        <v>BTK.GI</v>
      </c>
      <c r="E49" s="25">
        <f ca="1">[1]!i_dq_close(D49,$D$3)</f>
        <v>5065.66</v>
      </c>
      <c r="F49" s="26">
        <f ca="1">[1]!i_dq_pctchange(D49,$F$3)</f>
        <v>0</v>
      </c>
      <c r="G49" s="26"/>
      <c r="H49" s="26"/>
      <c r="I49" s="26"/>
      <c r="J49" s="26">
        <f ca="1">[1]!i_pq_pctchange($D49,J$3,$D$3)</f>
        <v>-2.3728121061212804</v>
      </c>
      <c r="K49" s="26">
        <f ca="1">[1]!i_pq_pctchange($D49,K$3,$D$3)</f>
        <v>-4.6280885930098492</v>
      </c>
      <c r="L49" s="26">
        <f ca="1">[1]!i_pq_pctchange($D49,L$3,$D$3)</f>
        <v>-4.5177123426585304</v>
      </c>
      <c r="M49" s="26">
        <f ca="1">[1]!i_pq_pctchange($D49,M$3,$D$3)</f>
        <v>1.8663341946770773</v>
      </c>
      <c r="N49" s="26">
        <f ca="1">[1]!i_pq_pctchange($D49,N$3,$D$3)</f>
        <v>-6.7398168177843276</v>
      </c>
      <c r="O49" s="26">
        <f ca="1">[1]!i_pq_pctchange($D49,O$3,$D$3)</f>
        <v>-6.5169410201520677</v>
      </c>
      <c r="P49" s="6"/>
      <c r="Q49" s="8"/>
    </row>
    <row r="50" spans="1:17" s="2" customFormat="1" ht="16.5">
      <c r="A50" s="8"/>
      <c r="B50" s="6"/>
      <c r="C50" s="35" t="s">
        <v>150</v>
      </c>
      <c r="D50" s="27" t="str">
        <f>[1]!to_windcode(C50)</f>
        <v>VIX.GI</v>
      </c>
      <c r="E50" s="28">
        <f ca="1">[1]!i_dq_close(D50,$D$3)</f>
        <v>17.309999999999999</v>
      </c>
      <c r="F50" s="29">
        <f ca="1">[1]!i_dq_pctchange(D50,$F$3)</f>
        <v>0</v>
      </c>
      <c r="G50" s="29"/>
      <c r="H50" s="29"/>
      <c r="I50" s="29"/>
      <c r="J50" s="29">
        <f ca="1">[1]!i_pq_pctchange($D50,J$3,$D$3)</f>
        <v>7.9850280723642975</v>
      </c>
      <c r="K50" s="29">
        <f ca="1">[1]!i_pq_pctchange($D50,K$3,$D$3)</f>
        <v>25.890909090909076</v>
      </c>
      <c r="L50" s="29">
        <f ca="1">[1]!i_pq_pctchange($D50,L$3,$D$3)</f>
        <v>36.299212598425193</v>
      </c>
      <c r="M50" s="29">
        <f ca="1">[1]!i_pq_pctchange($D50,M$3,$D$3)</f>
        <v>-10.403726708074545</v>
      </c>
      <c r="N50" s="29">
        <f ca="1">[1]!i_pq_pctchange($D50,N$3,$D$3)</f>
        <v>-2.752808988764055</v>
      </c>
      <c r="O50" s="29">
        <f ca="1">[1]!i_pq_pctchange($D50,O$3,$D$3)</f>
        <v>39.036144578313255</v>
      </c>
      <c r="P50" s="6"/>
      <c r="Q50" s="8"/>
    </row>
    <row r="51" spans="1:17" s="2" customFormat="1" ht="16.5">
      <c r="A51" s="8"/>
      <c r="B51" s="6"/>
      <c r="C51" s="34" t="s">
        <v>151</v>
      </c>
      <c r="D51" s="24" t="str">
        <f>[1]!to_windcode(C51)</f>
        <v>984000.MI</v>
      </c>
      <c r="E51" s="25">
        <f ca="1">[1]!i_dq_close(D51,$D$3)</f>
        <v>4882.9087460000001</v>
      </c>
      <c r="F51" s="26">
        <f ca="1">[1]!i_dq_pctchange(D51,$F$3)</f>
        <v>0</v>
      </c>
      <c r="G51" s="26"/>
      <c r="H51" s="26"/>
      <c r="I51" s="26"/>
      <c r="J51" s="26">
        <f ca="1">[1]!i_pq_pctchange($D51,J$3,$D$3)</f>
        <v>-1.5704273416812267</v>
      </c>
      <c r="K51" s="26">
        <f ca="1">[1]!i_pq_pctchange($D51,K$3,$D$3)</f>
        <v>-0.86272300009269609</v>
      </c>
      <c r="L51" s="26">
        <f ca="1">[1]!i_pq_pctchange($D51,L$3,$D$3)</f>
        <v>7.0695303631782034</v>
      </c>
      <c r="M51" s="26">
        <f ca="1">[1]!i_pq_pctchange($D51,M$3,$D$3)</f>
        <v>18.560705949052686</v>
      </c>
      <c r="N51" s="26">
        <f ca="1">[1]!i_pq_pctchange($D51,N$3,$D$3)</f>
        <v>24.098514591551378</v>
      </c>
      <c r="O51" s="26">
        <f ca="1">[1]!i_pq_pctchange($D51,O$3,$D$3)</f>
        <v>7.2693654667128254</v>
      </c>
      <c r="P51" s="6"/>
      <c r="Q51" s="8"/>
    </row>
    <row r="52" spans="1:17" s="2" customFormat="1" ht="16.5">
      <c r="A52" s="8"/>
      <c r="B52" s="6"/>
      <c r="C52" s="35" t="s">
        <v>152</v>
      </c>
      <c r="D52" s="27" t="str">
        <f>[1]!to_windcode(C52)</f>
        <v>QGREEN.GI</v>
      </c>
      <c r="E52" s="28">
        <f ca="1">[1]!i_dq_close(D52,$D$3)</f>
        <v>2879.0992000000001</v>
      </c>
      <c r="F52" s="29">
        <f ca="1">[1]!i_dq_pctchange(D52,$F$3)</f>
        <v>0</v>
      </c>
      <c r="G52" s="29"/>
      <c r="H52" s="29"/>
      <c r="I52" s="29"/>
      <c r="J52" s="29">
        <f ca="1">[1]!i_pq_pctchange($D52,J$3,$D$3)</f>
        <v>-1.133580002103618</v>
      </c>
      <c r="K52" s="29">
        <f ca="1">[1]!i_pq_pctchange($D52,K$3,$D$3)</f>
        <v>-1.1566504966029068</v>
      </c>
      <c r="L52" s="29">
        <f ca="1">[1]!i_pq_pctchange($D52,L$3,$D$3)</f>
        <v>1.1367249747746611</v>
      </c>
      <c r="M52" s="29">
        <f ca="1">[1]!i_pq_pctchange($D52,M$3,$D$3)</f>
        <v>7.6943805370079943</v>
      </c>
      <c r="N52" s="29">
        <f ca="1">[1]!i_pq_pctchange($D52,N$3,$D$3)</f>
        <v>6.0715839522870407</v>
      </c>
      <c r="O52" s="29">
        <f ca="1">[1]!i_pq_pctchange($D52,O$3,$D$3)</f>
        <v>-2.9559005211921119</v>
      </c>
      <c r="P52" s="6"/>
      <c r="Q52" s="8"/>
    </row>
    <row r="53" spans="1:17" s="2" customFormat="1" ht="16.5">
      <c r="A53" s="8"/>
      <c r="B53" s="6"/>
      <c r="C53" s="34" t="s">
        <v>153</v>
      </c>
      <c r="D53" s="24" t="str">
        <f>[1]!to_windcode(C53)</f>
        <v>CHXN9000.GI</v>
      </c>
      <c r="E53" s="25">
        <f ca="1">[1]!i_dq_close(D53,$D$3)</f>
        <v>1223.9435000000001</v>
      </c>
      <c r="F53" s="26">
        <f ca="1">[1]!i_dq_pctchange(D53,$F$3)</f>
        <v>0</v>
      </c>
      <c r="G53" s="26"/>
      <c r="H53" s="26"/>
      <c r="I53" s="26"/>
      <c r="J53" s="26">
        <f ca="1">[1]!i_pq_pctchange($D53,J$3,$D$3)</f>
        <v>-0.6521868120566654</v>
      </c>
      <c r="K53" s="26">
        <f ca="1">[1]!i_pq_pctchange($D53,K$3,$D$3)</f>
        <v>-5.9274658056685192</v>
      </c>
      <c r="L53" s="26">
        <f ca="1">[1]!i_pq_pctchange($D53,L$3,$D$3)</f>
        <v>-5.1158632203736065</v>
      </c>
      <c r="M53" s="26">
        <f ca="1">[1]!i_pq_pctchange($D53,M$3,$D$3)</f>
        <v>-9.5561046646744927</v>
      </c>
      <c r="N53" s="26">
        <f ca="1">[1]!i_pq_pctchange($D53,N$3,$D$3)</f>
        <v>-18.680091715019021</v>
      </c>
      <c r="O53" s="26">
        <f ca="1">[1]!i_pq_pctchange($D53,O$3,$D$3)</f>
        <v>-11.748898162251798</v>
      </c>
      <c r="P53" s="6"/>
      <c r="Q53" s="8"/>
    </row>
    <row r="54" spans="1:17" s="2" customFormat="1" ht="16.5">
      <c r="A54" s="8"/>
      <c r="B54" s="6"/>
      <c r="C54" s="41" t="s">
        <v>232</v>
      </c>
      <c r="D54" s="27"/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6"/>
      <c r="Q54" s="8"/>
    </row>
    <row r="55" spans="1:17" s="2" customFormat="1" ht="16.5">
      <c r="A55" s="8"/>
      <c r="B55" s="6"/>
      <c r="C55" s="34" t="s">
        <v>155</v>
      </c>
      <c r="D55" s="24" t="str">
        <f>[1]!to_windcode(C55)</f>
        <v>N225.GI</v>
      </c>
      <c r="E55" s="25">
        <f ca="1">[1]!i_dq_close(D55,$D$3)</f>
        <v>39523.550000000003</v>
      </c>
      <c r="F55" s="26">
        <f ca="1">[1]!i_dq_pctchange(D55,$F$3)</f>
        <v>0</v>
      </c>
      <c r="G55" s="26"/>
      <c r="H55" s="26"/>
      <c r="I55" s="26"/>
      <c r="J55" s="26">
        <f ca="1">[1]!i_pq_pctchange($D55,J$3,$D$3)</f>
        <v>1.3630203877300184</v>
      </c>
      <c r="K55" s="26">
        <f ca="1">[1]!i_pq_pctchange($D55,K$3,$D$3)</f>
        <v>2.1386723216913817</v>
      </c>
      <c r="L55" s="26">
        <f ca="1">[1]!i_pq_pctchange($D55,L$3,$D$3)</f>
        <v>11.092637934896921</v>
      </c>
      <c r="M55" s="26">
        <f ca="1">[1]!i_pq_pctchange($D55,M$3,$D$3)</f>
        <v>22.303386032734874</v>
      </c>
      <c r="N55" s="26">
        <f ca="1">[1]!i_pq_pctchange($D55,N$3,$D$3)</f>
        <v>40.368619208671966</v>
      </c>
      <c r="O55" s="26">
        <f ca="1">[1]!i_pq_pctchange($D55,O$3,$D$3)</f>
        <v>18.107067947598885</v>
      </c>
      <c r="P55" s="6"/>
      <c r="Q55" s="8"/>
    </row>
    <row r="56" spans="1:17" s="2" customFormat="1" ht="16.5">
      <c r="A56" s="8"/>
      <c r="B56" s="6"/>
      <c r="C56" s="35" t="s">
        <v>156</v>
      </c>
      <c r="D56" s="27" t="str">
        <f>[1]!to_windcode(C56)</f>
        <v>KS11.GI</v>
      </c>
      <c r="E56" s="28">
        <f ca="1">[1]!i_dq_close(D56,$D$3)</f>
        <v>2681.82</v>
      </c>
      <c r="F56" s="29">
        <f ca="1">[1]!i_dq_pctchange(D56,$F$3)</f>
        <v>0</v>
      </c>
      <c r="G56" s="29"/>
      <c r="H56" s="29"/>
      <c r="I56" s="29"/>
      <c r="J56" s="29">
        <f ca="1">[1]!i_pq_pctchange($D56,J$3,$D$3)</f>
        <v>-1.1933490776321554</v>
      </c>
      <c r="K56" s="29">
        <f ca="1">[1]!i_pq_pctchange($D56,K$3,$D$3)</f>
        <v>-0.43622404466934217</v>
      </c>
      <c r="L56" s="29">
        <f ca="1">[1]!i_pq_pctchange($D56,L$3,$D$3)</f>
        <v>6.2085899289122892</v>
      </c>
      <c r="M56" s="29">
        <f ca="1">[1]!i_pq_pctchange($D56,M$3,$D$3)</f>
        <v>9.1879567615984481</v>
      </c>
      <c r="N56" s="29">
        <f ca="1">[1]!i_pq_pctchange($D56,N$3,$D$3)</f>
        <v>4.6907083687921292</v>
      </c>
      <c r="O56" s="29">
        <f ca="1">[1]!i_pq_pctchange($D56,O$3,$D$3)</f>
        <v>0.99951794161068364</v>
      </c>
      <c r="P56" s="6"/>
      <c r="Q56" s="8"/>
    </row>
    <row r="57" spans="1:17" s="2" customFormat="1" ht="16.5">
      <c r="A57" s="8"/>
      <c r="B57" s="6"/>
      <c r="C57" s="34" t="s">
        <v>167</v>
      </c>
      <c r="D57" s="24" t="str">
        <f>[1]!to_windcode(C57)</f>
        <v>KOSDAQ.GI</v>
      </c>
      <c r="E57" s="25">
        <f ca="1">[1]!i_dq_close(D57,$D$3)</f>
        <v>860.47</v>
      </c>
      <c r="F57" s="26">
        <f ca="1">[1]!i_dq_pctchange(D57,$F$3)</f>
        <v>0</v>
      </c>
      <c r="G57" s="26"/>
      <c r="H57" s="26"/>
      <c r="I57" s="26"/>
      <c r="J57" s="26">
        <f ca="1">[1]!i_pq_pctchange($D57,J$3,$D$3)</f>
        <v>-1.3550539384837523</v>
      </c>
      <c r="K57" s="26">
        <f ca="1">[1]!i_pq_pctchange($D57,K$3,$D$3)</f>
        <v>-3.3103727259447324</v>
      </c>
      <c r="L57" s="26">
        <f ca="1">[1]!i_pq_pctchange($D57,L$3,$D$3)</f>
        <v>-0.87664731361164483</v>
      </c>
      <c r="M57" s="26">
        <f ca="1">[1]!i_pq_pctchange($D57,M$3,$D$3)</f>
        <v>4.5808113955127849</v>
      </c>
      <c r="N57" s="26">
        <f ca="1">[1]!i_pq_pctchange($D57,N$3,$D$3)</f>
        <v>-3.7774671512440516</v>
      </c>
      <c r="O57" s="26">
        <f ca="1">[1]!i_pq_pctchange($D57,O$3,$D$3)</f>
        <v>-0.70392466852071678</v>
      </c>
      <c r="P57" s="6"/>
      <c r="Q57" s="8"/>
    </row>
    <row r="58" spans="1:17" s="2" customFormat="1" ht="16.5">
      <c r="A58" s="8"/>
      <c r="B58" s="6"/>
      <c r="C58" s="35" t="s">
        <v>157</v>
      </c>
      <c r="D58" s="27" t="str">
        <f>[1]!to_windcode(C58)</f>
        <v>STI.GI</v>
      </c>
      <c r="E58" s="28">
        <f ca="1">[1]!i_dq_close(D58,$D$3)</f>
        <v>3216.91</v>
      </c>
      <c r="F58" s="29">
        <f ca="1">[1]!i_dq_pctchange(D58,$F$3)</f>
        <v>0</v>
      </c>
      <c r="G58" s="29"/>
      <c r="H58" s="29"/>
      <c r="I58" s="29"/>
      <c r="J58" s="29">
        <f ca="1">[1]!i_pq_pctchange($D58,J$3,$D$3)</f>
        <v>-4.1948133463431958E-2</v>
      </c>
      <c r="K58" s="29">
        <f ca="1">[1]!i_pq_pctchange($D58,K$3,$D$3)</f>
        <v>1.7777594978359401</v>
      </c>
      <c r="L58" s="29">
        <f ca="1">[1]!i_pq_pctchange($D58,L$3,$D$3)</f>
        <v>0.78922963167196158</v>
      </c>
      <c r="M58" s="29">
        <f ca="1">[1]!i_pq_pctchange($D58,M$3,$D$3)</f>
        <v>0.97683777022339324</v>
      </c>
      <c r="N58" s="29">
        <f ca="1">[1]!i_pq_pctchange($D58,N$3,$D$3)</f>
        <v>-2.3563228857442997</v>
      </c>
      <c r="O58" s="29">
        <f ca="1">[1]!i_pq_pctchange($D58,O$3,$D$3)</f>
        <v>-0.72092757702291177</v>
      </c>
      <c r="P58" s="6"/>
      <c r="Q58" s="8"/>
    </row>
    <row r="59" spans="1:17" s="2" customFormat="1" ht="16.5">
      <c r="A59" s="8"/>
      <c r="B59" s="6"/>
      <c r="C59" s="34" t="s">
        <v>158</v>
      </c>
      <c r="D59" s="24" t="str">
        <f>[1]!to_windcode(C59)</f>
        <v>SENSEX.BO</v>
      </c>
      <c r="E59" s="25">
        <f ca="1">[1]!i_dq_close(D59,$D$3)</f>
        <v>74244.899999999994</v>
      </c>
      <c r="F59" s="26">
        <f ca="1">[1]!i_dq_pctchange(D59,$F$3)</f>
        <v>0</v>
      </c>
      <c r="G59" s="26"/>
      <c r="H59" s="26"/>
      <c r="I59" s="26"/>
      <c r="J59" s="26">
        <f ca="1">[1]!i_pq_pctchange($D59,J$3,$D$3)</f>
        <v>-4.4714876666462899E-3</v>
      </c>
      <c r="K59" s="26">
        <f ca="1">[1]!i_pq_pctchange($D59,K$3,$D$3)</f>
        <v>2.0381686072200589</v>
      </c>
      <c r="L59" s="26">
        <f ca="1">[1]!i_pq_pctchange($D59,L$3,$D$3)</f>
        <v>2.3101637143965403</v>
      </c>
      <c r="M59" s="26">
        <f ca="1">[1]!i_pq_pctchange($D59,M$3,$D$3)</f>
        <v>12.012418315839057</v>
      </c>
      <c r="N59" s="26">
        <f ca="1">[1]!i_pq_pctchange($D59,N$3,$D$3)</f>
        <v>22.858963114957543</v>
      </c>
      <c r="O59" s="26">
        <f ca="1">[1]!i_pq_pctchange($D59,O$3,$D$3)</f>
        <v>2.7749623271012602</v>
      </c>
      <c r="P59" s="6"/>
      <c r="Q59" s="8"/>
    </row>
    <row r="60" spans="1:17" s="2" customFormat="1" ht="16.5">
      <c r="A60" s="8"/>
      <c r="B60" s="6"/>
      <c r="C60" s="35" t="s">
        <v>161</v>
      </c>
      <c r="D60" s="27" t="str">
        <f>[1]!to_windcode(C60)</f>
        <v>SETI.GI</v>
      </c>
      <c r="E60" s="28">
        <f ca="1">[1]!i_dq_close(D60,$D$3)</f>
        <v>1396.38</v>
      </c>
      <c r="F60" s="29">
        <f ca="1">[1]!i_dq_pctchange(D60,$F$3)</f>
        <v>0</v>
      </c>
      <c r="G60" s="29"/>
      <c r="H60" s="29"/>
      <c r="I60" s="29"/>
      <c r="J60" s="29">
        <f ca="1">[1]!i_pq_pctchange($D60,J$3,$D$3)</f>
        <v>1.5120894459064615</v>
      </c>
      <c r="K60" s="29">
        <f ca="1">[1]!i_pq_pctchange($D60,K$3,$D$3)</f>
        <v>0.85734303110849286</v>
      </c>
      <c r="L60" s="29">
        <f ca="1">[1]!i_pq_pctchange($D60,L$3,$D$3)</f>
        <v>-1.2132745679256818</v>
      </c>
      <c r="M60" s="29">
        <f ca="1">[1]!i_pq_pctchange($D60,M$3,$D$3)</f>
        <v>-3.7477166982595178</v>
      </c>
      <c r="N60" s="29">
        <f ca="1">[1]!i_pq_pctchange($D60,N$3,$D$3)</f>
        <v>-12.32458701425907</v>
      </c>
      <c r="O60" s="29">
        <f ca="1">[1]!i_pq_pctchange($D60,O$3,$D$3)</f>
        <v>-1.37514567221102</v>
      </c>
      <c r="P60" s="6"/>
      <c r="Q60" s="8"/>
    </row>
    <row r="61" spans="1:17" s="2" customFormat="1" ht="16.5">
      <c r="A61" s="8"/>
      <c r="B61" s="6"/>
      <c r="C61" s="34" t="s">
        <v>162</v>
      </c>
      <c r="D61" s="24" t="str">
        <f>[1]!to_windcode(C61)</f>
        <v>JKSE.GI</v>
      </c>
      <c r="E61" s="25">
        <f ca="1">[1]!i_dq_close(D61,$D$3)</f>
        <v>7286.8819999999996</v>
      </c>
      <c r="F61" s="26">
        <f ca="1">[1]!i_dq_pctchange(D61,$F$3)</f>
        <v>0</v>
      </c>
      <c r="G61" s="26"/>
      <c r="H61" s="26"/>
      <c r="I61" s="26"/>
      <c r="J61" s="26">
        <f ca="1">[1]!i_pq_pctchange($D61,J$3,$D$3)</f>
        <v>0</v>
      </c>
      <c r="K61" s="26">
        <f ca="1">[1]!i_pq_pctchange($D61,K$3,$D$3)</f>
        <v>-1.8100155405987306</v>
      </c>
      <c r="L61" s="26">
        <f ca="1">[1]!i_pq_pctchange($D61,L$3,$D$3)</f>
        <v>0.6317239085900539</v>
      </c>
      <c r="M61" s="26">
        <f ca="1">[1]!i_pq_pctchange($D61,M$3,$D$3)</f>
        <v>5.1986926104192754</v>
      </c>
      <c r="N61" s="26">
        <f ca="1">[1]!i_pq_pctchange($D61,N$3,$D$3)</f>
        <v>7.3874697557974933</v>
      </c>
      <c r="O61" s="26">
        <f ca="1">[1]!i_pq_pctchange($D61,O$3,$D$3)</f>
        <v>0.19362556374435957</v>
      </c>
      <c r="P61" s="6"/>
      <c r="Q61" s="8"/>
    </row>
    <row r="62" spans="1:17" s="2" customFormat="1" ht="16.5">
      <c r="A62" s="8"/>
      <c r="B62" s="6"/>
      <c r="C62" s="35" t="s">
        <v>163</v>
      </c>
      <c r="D62" s="27" t="str">
        <f>[1]!to_windcode(C62)</f>
        <v>KLSE.GI</v>
      </c>
      <c r="E62" s="28">
        <f ca="1">[1]!i_dq_close(D62,$D$3)</f>
        <v>1551.04</v>
      </c>
      <c r="F62" s="29">
        <f ca="1">[1]!i_dq_pctchange(D62,$F$3)</f>
        <v>0</v>
      </c>
      <c r="G62" s="29"/>
      <c r="H62" s="29"/>
      <c r="I62" s="29"/>
      <c r="J62" s="29">
        <f ca="1">[1]!i_pq_pctchange($D62,J$3,$D$3)</f>
        <v>-0.27069602957724426</v>
      </c>
      <c r="K62" s="29">
        <f ca="1">[1]!i_pq_pctchange($D62,K$3,$D$3)</f>
        <v>0.83933087580372323</v>
      </c>
      <c r="L62" s="29">
        <f ca="1">[1]!i_pq_pctchange($D62,L$3,$D$3)</f>
        <v>4.2828136135651507</v>
      </c>
      <c r="M62" s="29">
        <f ca="1">[1]!i_pq_pctchange($D62,M$3,$D$3)</f>
        <v>7.4023294140457274</v>
      </c>
      <c r="N62" s="29">
        <f ca="1">[1]!i_pq_pctchange($D62,N$3,$D$3)</f>
        <v>8.1451939033063248</v>
      </c>
      <c r="O62" s="29">
        <f ca="1">[1]!i_pq_pctchange($D62,O$3,$D$3)</f>
        <v>6.6256032337453252</v>
      </c>
      <c r="P62" s="6"/>
      <c r="Q62" s="8"/>
    </row>
    <row r="63" spans="1:17" s="2" customFormat="1" ht="16.5">
      <c r="A63" s="8"/>
      <c r="B63" s="6"/>
      <c r="C63" s="34" t="s">
        <v>164</v>
      </c>
      <c r="D63" s="24" t="str">
        <f>[1]!to_windcode(C63)</f>
        <v>PSI.GI</v>
      </c>
      <c r="E63" s="25">
        <f ca="1">[1]!i_dq_close(D63,$D$3)</f>
        <v>6659.39</v>
      </c>
      <c r="F63" s="26">
        <f ca="1">[1]!i_dq_pctchange(D63,$F$3)</f>
        <v>0</v>
      </c>
      <c r="G63" s="26"/>
      <c r="H63" s="26"/>
      <c r="I63" s="26"/>
      <c r="J63" s="26">
        <f ca="1">[1]!i_pq_pctchange($D63,J$3,$D$3)</f>
        <v>-1.2759693186231935</v>
      </c>
      <c r="K63" s="26">
        <f ca="1">[1]!i_pq_pctchange($D63,K$3,$D$3)</f>
        <v>-4.3947966480559213</v>
      </c>
      <c r="L63" s="26">
        <f ca="1">[1]!i_pq_pctchange($D63,L$3,$D$3)</f>
        <v>0.24400964598279007</v>
      </c>
      <c r="M63" s="26">
        <f ca="1">[1]!i_pq_pctchange($D63,M$3,$D$3)</f>
        <v>6.2724014336917655</v>
      </c>
      <c r="N63" s="26">
        <f ca="1">[1]!i_pq_pctchange($D63,N$3,$D$3)</f>
        <v>3.2644478800161858</v>
      </c>
      <c r="O63" s="26">
        <f ca="1">[1]!i_pq_pctchange($D63,O$3,$D$3)</f>
        <v>3.2457163056353266</v>
      </c>
      <c r="P63" s="6"/>
      <c r="Q63" s="8"/>
    </row>
    <row r="64" spans="1:17" s="2" customFormat="1" ht="16.5">
      <c r="A64" s="8"/>
      <c r="B64" s="6"/>
      <c r="C64" s="35" t="s">
        <v>165</v>
      </c>
      <c r="D64" s="27" t="str">
        <f>[1]!to_windcode(C64)</f>
        <v>VNINDEX.GI</v>
      </c>
      <c r="E64" s="28">
        <f ca="1">[1]!i_dq_close(D64,$D$3)</f>
        <v>1276.5999999999999</v>
      </c>
      <c r="F64" s="29">
        <f ca="1">[1]!i_dq_pctchange(D64,$F$3)</f>
        <v>0</v>
      </c>
      <c r="G64" s="29"/>
      <c r="H64" s="29"/>
      <c r="I64" s="29"/>
      <c r="J64" s="29">
        <f ca="1">[1]!i_pq_pctchange($D64,J$3,$D$3)</f>
        <v>1.7122005242568461</v>
      </c>
      <c r="K64" s="29">
        <f ca="1">[1]!i_pq_pctchange($D64,K$3,$D$3)</f>
        <v>0.47933507016866272</v>
      </c>
      <c r="L64" s="29">
        <f ca="1">[1]!i_pq_pctchange($D64,L$3,$D$3)</f>
        <v>10.556854594266895</v>
      </c>
      <c r="M64" s="29">
        <f ca="1">[1]!i_pq_pctchange($D64,M$3,$D$3)</f>
        <v>10.55398231621243</v>
      </c>
      <c r="N64" s="29">
        <f ca="1">[1]!i_pq_pctchange($D64,N$3,$D$3)</f>
        <v>19.94738325660057</v>
      </c>
      <c r="O64" s="29">
        <f ca="1">[1]!i_pq_pctchange($D64,O$3,$D$3)</f>
        <v>12.980450116378872</v>
      </c>
      <c r="P64" s="6"/>
      <c r="Q64" s="8"/>
    </row>
    <row r="65" spans="1:17" s="2" customFormat="1" ht="16.5">
      <c r="A65" s="8"/>
      <c r="B65" s="6"/>
      <c r="C65" s="34" t="s">
        <v>166</v>
      </c>
      <c r="D65" s="24" t="str">
        <f>[1]!to_windcode(C65)</f>
        <v>302000.MI</v>
      </c>
      <c r="E65" s="25">
        <f ca="1">[1]!i_dq_close(D65,$D$3)</f>
        <v>175.30805899999999</v>
      </c>
      <c r="F65" s="26">
        <f ca="1">[1]!i_dq_pctchange(D65,$F$3)</f>
        <v>0</v>
      </c>
      <c r="G65" s="26"/>
      <c r="H65" s="26"/>
      <c r="I65" s="26"/>
      <c r="J65" s="26">
        <f ca="1">[1]!i_pq_pctchange($D65,J$3,$D$3)</f>
        <v>5.45326355148118E-2</v>
      </c>
      <c r="K65" s="26">
        <f ca="1">[1]!i_pq_pctchange($D65,K$3,$D$3)</f>
        <v>-0.53657229766885928</v>
      </c>
      <c r="L65" s="26">
        <f ca="1">[1]!i_pq_pctchange($D65,L$3,$D$3)</f>
        <v>4.635896651703753</v>
      </c>
      <c r="M65" s="26">
        <f ca="1">[1]!i_pq_pctchange($D65,M$3,$D$3)</f>
        <v>11.593298390174207</v>
      </c>
      <c r="N65" s="26">
        <f ca="1">[1]!i_pq_pctchange($D65,N$3,$D$3)</f>
        <v>7.5299867749103289</v>
      </c>
      <c r="O65" s="26">
        <f ca="1">[1]!i_pq_pctchange($D65,O$3,$D$3)</f>
        <v>3.496010680816823</v>
      </c>
      <c r="P65" s="6"/>
      <c r="Q65" s="8"/>
    </row>
    <row r="66" spans="1:17" s="2" customFormat="1" ht="16.5">
      <c r="A66" s="8"/>
      <c r="B66" s="6"/>
      <c r="C66" s="35" t="s">
        <v>195</v>
      </c>
      <c r="D66" s="27" t="str">
        <f>[1]!to_windcode(C66)</f>
        <v>TA125.GI</v>
      </c>
      <c r="E66" s="28">
        <f ca="1">[1]!i_dq_close(D66,$D$3)</f>
        <v>1959.04</v>
      </c>
      <c r="F66" s="29">
        <f ca="1">[1]!i_dq_pctchange(D66,$F$3)</f>
        <v>0.3113223</v>
      </c>
      <c r="G66" s="29"/>
      <c r="H66" s="29"/>
      <c r="I66" s="29"/>
      <c r="J66" s="29">
        <f ca="1">[1]!i_pq_pctchange($D66,J$3,$D$3)</f>
        <v>-0.83923021633715011</v>
      </c>
      <c r="K66" s="29">
        <f ca="1">[1]!i_pq_pctchange($D66,K$3,$D$3)</f>
        <v>1.2701153287463685</v>
      </c>
      <c r="L66" s="29">
        <f ca="1">[1]!i_pq_pctchange($D66,L$3,$D$3)</f>
        <v>3.9504613735613647</v>
      </c>
      <c r="M66" s="29">
        <f ca="1">[1]!i_pq_pctchange($D66,M$3,$D$3)</f>
        <v>12.688241317027703</v>
      </c>
      <c r="N66" s="29">
        <f ca="1">[1]!i_pq_pctchange($D66,N$3,$D$3)</f>
        <v>13.059587361131154</v>
      </c>
      <c r="O66" s="29">
        <f ca="1">[1]!i_pq_pctchange($D66,O$3,$D$3)</f>
        <v>3.8132988532547651</v>
      </c>
      <c r="P66" s="6"/>
      <c r="Q66" s="8"/>
    </row>
    <row r="67" spans="1:17" s="2" customFormat="1" ht="16.5">
      <c r="A67" s="8"/>
      <c r="B67" s="6"/>
      <c r="C67" s="40" t="s">
        <v>233</v>
      </c>
      <c r="D67" s="24"/>
      <c r="E67" s="25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6"/>
      <c r="Q67" s="8"/>
    </row>
    <row r="68" spans="1:17" s="2" customFormat="1" ht="16.5">
      <c r="A68" s="8"/>
      <c r="B68" s="6"/>
      <c r="C68" s="35" t="s">
        <v>168</v>
      </c>
      <c r="D68" s="27" t="str">
        <f>[1]!to_windcode(C68)</f>
        <v>FTSE.GI</v>
      </c>
      <c r="E68" s="28">
        <f ca="1">[1]!i_dq_close(D68,$D$3)</f>
        <v>7995.58</v>
      </c>
      <c r="F68" s="29">
        <f ca="1">[1]!i_dq_pctchange(D68,$F$3)</f>
        <v>0</v>
      </c>
      <c r="G68" s="29"/>
      <c r="H68" s="29"/>
      <c r="I68" s="29"/>
      <c r="J68" s="29">
        <f ca="1">[1]!i_pq_pctchange($D68,J$3,$D$3)</f>
        <v>1.0671001471339148</v>
      </c>
      <c r="K68" s="29">
        <f ca="1">[1]!i_pq_pctchange($D68,K$3,$D$3)</f>
        <v>2.8744867906903782</v>
      </c>
      <c r="L68" s="29">
        <f ca="1">[1]!i_pq_pctchange($D68,L$3,$D$3)</f>
        <v>4.8610282323903187</v>
      </c>
      <c r="M68" s="29">
        <f ca="1">[1]!i_pq_pctchange($D68,M$3,$D$3)</f>
        <v>5.2105373967050728</v>
      </c>
      <c r="N68" s="29">
        <f ca="1">[1]!i_pq_pctchange($D68,N$3,$D$3)</f>
        <v>1.9404899418362875</v>
      </c>
      <c r="O68" s="29">
        <f ca="1">[1]!i_pq_pctchange($D68,O$3,$D$3)</f>
        <v>3.3923685285856875</v>
      </c>
      <c r="P68" s="6"/>
      <c r="Q68" s="8"/>
    </row>
    <row r="69" spans="1:17" s="2" customFormat="1" ht="16.5">
      <c r="A69" s="8"/>
      <c r="B69" s="6"/>
      <c r="C69" s="34" t="s">
        <v>169</v>
      </c>
      <c r="D69" s="24" t="str">
        <f>[1]!to_windcode(C69)</f>
        <v>FCHI.GI</v>
      </c>
      <c r="E69" s="25">
        <f ca="1">[1]!i_dq_close(D69,$D$3)</f>
        <v>8010.83</v>
      </c>
      <c r="F69" s="26">
        <f ca="1">[1]!i_dq_pctchange(D69,$F$3)</f>
        <v>0</v>
      </c>
      <c r="G69" s="26"/>
      <c r="H69" s="26"/>
      <c r="I69" s="26"/>
      <c r="J69" s="26">
        <f ca="1">[1]!i_pq_pctchange($D69,J$3,$D$3)</f>
        <v>-0.62620095245066176</v>
      </c>
      <c r="K69" s="26">
        <f ca="1">[1]!i_pq_pctchange($D69,K$3,$D$3)</f>
        <v>-1.5575883739391783</v>
      </c>
      <c r="L69" s="26">
        <f ca="1">[1]!i_pq_pctchange($D69,L$3,$D$3)</f>
        <v>7.3098428160757845</v>
      </c>
      <c r="M69" s="26">
        <f ca="1">[1]!i_pq_pctchange($D69,M$3,$D$3)</f>
        <v>14.382746986162687</v>
      </c>
      <c r="N69" s="26">
        <f ca="1">[1]!i_pq_pctchange($D69,N$3,$D$3)</f>
        <v>7.084775352467565</v>
      </c>
      <c r="O69" s="26">
        <f ca="1">[1]!i_pq_pctchange($D69,O$3,$D$3)</f>
        <v>6.1996399396540891</v>
      </c>
      <c r="P69" s="6"/>
      <c r="Q69" s="8"/>
    </row>
    <row r="70" spans="1:17" s="2" customFormat="1" ht="16.5">
      <c r="A70" s="8"/>
      <c r="B70" s="6"/>
      <c r="C70" s="35" t="s">
        <v>170</v>
      </c>
      <c r="D70" s="27" t="str">
        <f>[1]!to_windcode(C70)</f>
        <v>GDAXI.GI</v>
      </c>
      <c r="E70" s="28">
        <f ca="1">[1]!i_dq_close(D70,$D$3)</f>
        <v>17930.32</v>
      </c>
      <c r="F70" s="29">
        <f ca="1">[1]!i_dq_pctchange(D70,$F$3)</f>
        <v>0</v>
      </c>
      <c r="G70" s="29"/>
      <c r="H70" s="29"/>
      <c r="I70" s="29"/>
      <c r="J70" s="29">
        <f ca="1">[1]!i_pq_pctchange($D70,J$3,$D$3)</f>
        <v>-1.3464619610190742</v>
      </c>
      <c r="K70" s="29">
        <f ca="1">[1]!i_pq_pctchange($D70,K$3,$D$3)</f>
        <v>-0.17292657913813292</v>
      </c>
      <c r="L70" s="29">
        <f ca="1">[1]!i_pq_pctchange($D70,L$3,$D$3)</f>
        <v>7.3378766037536902</v>
      </c>
      <c r="M70" s="29">
        <f ca="1">[1]!i_pq_pctchange($D70,M$3,$D$3)</f>
        <v>18.066250248573425</v>
      </c>
      <c r="N70" s="29">
        <f ca="1">[1]!i_pq_pctchange($D70,N$3,$D$3)</f>
        <v>13.991961580372125</v>
      </c>
      <c r="O70" s="29">
        <f ca="1">[1]!i_pq_pctchange($D70,O$3,$D$3)</f>
        <v>7.0362066042489069</v>
      </c>
      <c r="P70" s="6"/>
      <c r="Q70" s="8"/>
    </row>
    <row r="71" spans="1:17" s="2" customFormat="1" ht="16.5">
      <c r="A71" s="8"/>
      <c r="B71" s="6"/>
      <c r="C71" s="34" t="s">
        <v>171</v>
      </c>
      <c r="D71" s="24" t="str">
        <f>[1]!to_windcode(C71)</f>
        <v>SX5P.DF</v>
      </c>
      <c r="E71" s="25">
        <f ca="1">[1]!i_dq_close(D71,$D$3)</f>
        <v>4385.26</v>
      </c>
      <c r="F71" s="26">
        <f ca="1">[1]!i_dq_pctchange(D71,$F$3)</f>
        <v>0</v>
      </c>
      <c r="G71" s="26"/>
      <c r="H71" s="26"/>
      <c r="I71" s="26"/>
      <c r="J71" s="26">
        <f ca="1">[1]!i_pq_pctchange($D71,J$3,$D$3)</f>
        <v>0.29847605673103406</v>
      </c>
      <c r="K71" s="26">
        <f ca="1">[1]!i_pq_pctchange($D71,K$3,$D$3)</f>
        <v>-0.32888381787062881</v>
      </c>
      <c r="L71" s="26">
        <f ca="1">[1]!i_pq_pctchange($D71,L$3,$D$3)</f>
        <v>7.0763896519308034</v>
      </c>
      <c r="M71" s="26">
        <f ca="1">[1]!i_pq_pctchange($D71,M$3,$D$3)</f>
        <v>11.227052061826925</v>
      </c>
      <c r="N71" s="26">
        <f ca="1">[1]!i_pq_pctchange($D71,N$3,$D$3)</f>
        <v>9.019356314295246</v>
      </c>
      <c r="O71" s="26">
        <f ca="1">[1]!i_pq_pctchange($D71,O$3,$D$3)</f>
        <v>7.1307993169442474</v>
      </c>
      <c r="P71" s="6"/>
      <c r="Q71" s="8"/>
    </row>
    <row r="72" spans="1:17" s="2" customFormat="1" ht="16.5">
      <c r="A72" s="8"/>
      <c r="B72" s="6"/>
      <c r="C72" s="35" t="s">
        <v>172</v>
      </c>
      <c r="D72" s="27" t="str">
        <f>[1]!to_windcode(C72)</f>
        <v>ITLMS.GI</v>
      </c>
      <c r="E72" s="28">
        <f ca="1">[1]!i_dq_close(D72,$D$3)</f>
        <v>35921.410000000003</v>
      </c>
      <c r="F72" s="29">
        <f ca="1">[1]!i_dq_pctchange(D72,$F$3)</f>
        <v>0</v>
      </c>
      <c r="G72" s="29"/>
      <c r="H72" s="29"/>
      <c r="I72" s="29"/>
      <c r="J72" s="29">
        <f ca="1">[1]!i_pq_pctchange($D72,J$3,$D$3)</f>
        <v>-0.80857718084852426</v>
      </c>
      <c r="K72" s="29">
        <f ca="1">[1]!i_pq_pctchange($D72,K$3,$D$3)</f>
        <v>-0.32996368235251872</v>
      </c>
      <c r="L72" s="29">
        <f ca="1">[1]!i_pq_pctchange($D72,L$3,$D$3)</f>
        <v>10.2562866943811</v>
      </c>
      <c r="M72" s="29">
        <f ca="1">[1]!i_pq_pctchange($D72,M$3,$D$3)</f>
        <v>19.57839617444046</v>
      </c>
      <c r="N72" s="29">
        <f ca="1">[1]!i_pq_pctchange($D72,N$3,$D$3)</f>
        <v>20.423443432201616</v>
      </c>
      <c r="O72" s="29">
        <f ca="1">[1]!i_pq_pctchange($D72,O$3,$D$3)</f>
        <v>10.598504700405908</v>
      </c>
      <c r="P72" s="6"/>
      <c r="Q72" s="8"/>
    </row>
    <row r="73" spans="1:17" s="2" customFormat="1" ht="16.5">
      <c r="A73" s="8"/>
      <c r="B73" s="6"/>
      <c r="C73" s="34" t="s">
        <v>173</v>
      </c>
      <c r="D73" s="24" t="str">
        <f>[1]!to_windcode(C73)</f>
        <v>IBEX.GI</v>
      </c>
      <c r="E73" s="25">
        <f ca="1">[1]!i_dq_close(D73,$D$3)</f>
        <v>10686</v>
      </c>
      <c r="F73" s="26">
        <f ca="1">[1]!i_dq_pctchange(D73,$F$3)</f>
        <v>0</v>
      </c>
      <c r="G73" s="26"/>
      <c r="H73" s="26"/>
      <c r="I73" s="26"/>
      <c r="J73" s="26">
        <f ca="1">[1]!i_pq_pctchange($D73,J$3,$D$3)</f>
        <v>-2.106998900696222</v>
      </c>
      <c r="K73" s="26">
        <f ca="1">[1]!i_pq_pctchange($D73,K$3,$D$3)</f>
        <v>1.1883907011978501</v>
      </c>
      <c r="L73" s="26">
        <f ca="1">[1]!i_pq_pctchange($D73,L$3,$D$3)</f>
        <v>5.8564805642508988</v>
      </c>
      <c r="M73" s="26">
        <f ca="1">[1]!i_pq_pctchange($D73,M$3,$D$3)</f>
        <v>15.738283746168591</v>
      </c>
      <c r="N73" s="26">
        <f ca="1">[1]!i_pq_pctchange($D73,N$3,$D$3)</f>
        <v>14.779806659505912</v>
      </c>
      <c r="O73" s="26">
        <f ca="1">[1]!i_pq_pctchange($D73,O$3,$D$3)</f>
        <v>5.7799863394739637</v>
      </c>
      <c r="P73" s="6"/>
      <c r="Q73" s="8"/>
    </row>
    <row r="74" spans="1:17" s="2" customFormat="1" ht="16.5">
      <c r="A74" s="8"/>
      <c r="B74" s="6"/>
      <c r="C74" s="35" t="s">
        <v>174</v>
      </c>
      <c r="D74" s="27" t="str">
        <f>[1]!to_windcode(C74)</f>
        <v>SSMI.GI</v>
      </c>
      <c r="E74" s="28">
        <f ca="1">[1]!i_dq_close(D74,$D$3)</f>
        <v>11379.58</v>
      </c>
      <c r="F74" s="29">
        <f ca="1">[1]!i_dq_pctchange(D74,$F$3)</f>
        <v>0</v>
      </c>
      <c r="G74" s="29"/>
      <c r="H74" s="29"/>
      <c r="I74" s="29"/>
      <c r="J74" s="29">
        <f ca="1">[1]!i_pq_pctchange($D74,J$3,$D$3)</f>
        <v>-1.0108918134377975</v>
      </c>
      <c r="K74" s="29">
        <f ca="1">[1]!i_pq_pctchange($D74,K$3,$D$3)</f>
        <v>-3.4848513119929092</v>
      </c>
      <c r="L74" s="29">
        <f ca="1">[1]!i_pq_pctchange($D74,L$3,$D$3)</f>
        <v>1.3644623387728982</v>
      </c>
      <c r="M74" s="29">
        <f ca="1">[1]!i_pq_pctchange($D74,M$3,$D$3)</f>
        <v>4.3969432033980738</v>
      </c>
      <c r="N74" s="29">
        <f ca="1">[1]!i_pq_pctchange($D74,N$3,$D$3)</f>
        <v>1.0714142970703167</v>
      </c>
      <c r="O74" s="29">
        <f ca="1">[1]!i_pq_pctchange($D74,O$3,$D$3)</f>
        <v>2.1708974581133189</v>
      </c>
      <c r="P74" s="6"/>
      <c r="Q74" s="8"/>
    </row>
    <row r="75" spans="1:17" s="2" customFormat="1" ht="16.5">
      <c r="A75" s="8"/>
      <c r="B75" s="6"/>
      <c r="C75" s="34" t="s">
        <v>175</v>
      </c>
      <c r="D75" s="24" t="str">
        <f>[1]!to_windcode(C75)</f>
        <v>BVLX.GI</v>
      </c>
      <c r="E75" s="25">
        <f ca="1">[1]!i_dq_close(D75,$D$3)</f>
        <v>4226.46</v>
      </c>
      <c r="F75" s="26">
        <f ca="1">[1]!i_dq_pctchange(D75,$F$3)</f>
        <v>0</v>
      </c>
      <c r="G75" s="26"/>
      <c r="H75" s="26"/>
      <c r="I75" s="26"/>
      <c r="J75" s="26">
        <f ca="1">[1]!i_pq_pctchange($D75,J$3,$D$3)</f>
        <v>3.1515645554544003</v>
      </c>
      <c r="K75" s="26">
        <f ca="1">[1]!i_pq_pctchange($D75,K$3,$D$3)</f>
        <v>1.8075742757899693</v>
      </c>
      <c r="L75" s="26">
        <f ca="1">[1]!i_pq_pctchange($D75,L$3,$D$3)</f>
        <v>-9.5433571043327063</v>
      </c>
      <c r="M75" s="26">
        <f ca="1">[1]!i_pq_pctchange($D75,M$3,$D$3)</f>
        <v>0.78838174273860862</v>
      </c>
      <c r="N75" s="26">
        <f ca="1">[1]!i_pq_pctchange($D75,N$3,$D$3)</f>
        <v>-8.5080820610067285</v>
      </c>
      <c r="O75" s="26">
        <f ca="1">[1]!i_pq_pctchange($D75,O$3,$D$3)</f>
        <v>-10.688716643985552</v>
      </c>
      <c r="P75" s="6"/>
      <c r="Q75" s="8"/>
    </row>
    <row r="76" spans="1:17" s="2" customFormat="1" ht="16.5">
      <c r="A76" s="8"/>
      <c r="B76" s="6"/>
      <c r="C76" s="35" t="s">
        <v>176</v>
      </c>
      <c r="D76" s="27" t="str">
        <f>[1]!to_windcode(C76)</f>
        <v>ISEQ.GI</v>
      </c>
      <c r="E76" s="28">
        <f ca="1">[1]!i_dq_close(D76,$D$3)</f>
        <v>9891.51</v>
      </c>
      <c r="F76" s="29">
        <f ca="1">[1]!i_dq_pctchange(D76,$F$3)</f>
        <v>0</v>
      </c>
      <c r="G76" s="29"/>
      <c r="H76" s="29"/>
      <c r="I76" s="29"/>
      <c r="J76" s="29">
        <f ca="1">[1]!i_pq_pctchange($D76,J$3,$D$3)</f>
        <v>-1.5823030404336524</v>
      </c>
      <c r="K76" s="29">
        <f ca="1">[1]!i_pq_pctchange($D76,K$3,$D$3)</f>
        <v>2.4077151243147465</v>
      </c>
      <c r="L76" s="29">
        <f ca="1">[1]!i_pq_pctchange($D76,L$3,$D$3)</f>
        <v>17.510558297842028</v>
      </c>
      <c r="M76" s="29">
        <f ca="1">[1]!i_pq_pctchange($D76,M$3,$D$3)</f>
        <v>20.51456371006357</v>
      </c>
      <c r="N76" s="29">
        <f ca="1">[1]!i_pq_pctchange($D76,N$3,$D$3)</f>
        <v>19.822292750586001</v>
      </c>
      <c r="O76" s="29">
        <f ca="1">[1]!i_pq_pctchange($D76,O$3,$D$3)</f>
        <v>12.912140596961773</v>
      </c>
      <c r="P76" s="6"/>
      <c r="Q76" s="8"/>
    </row>
    <row r="77" spans="1:17" s="2" customFormat="1" ht="16.5">
      <c r="A77" s="8"/>
      <c r="B77" s="6"/>
      <c r="C77" s="34" t="s">
        <v>177</v>
      </c>
      <c r="D77" s="24" t="str">
        <f>[1]!to_windcode(C77)</f>
        <v>AEX.GI</v>
      </c>
      <c r="E77" s="25">
        <f ca="1">[1]!i_dq_close(D77,$D$3)</f>
        <v>883.45</v>
      </c>
      <c r="F77" s="26">
        <f ca="1">[1]!i_dq_pctchange(D77,$F$3)</f>
        <v>0</v>
      </c>
      <c r="G77" s="26"/>
      <c r="H77" s="26"/>
      <c r="I77" s="26"/>
      <c r="J77" s="26">
        <f ca="1">[1]!i_pq_pctchange($D77,J$3,$D$3)</f>
        <v>0.32022529325597127</v>
      </c>
      <c r="K77" s="26">
        <f ca="1">[1]!i_pq_pctchange($D77,K$3,$D$3)</f>
        <v>2.6873409040717</v>
      </c>
      <c r="L77" s="26">
        <f ca="1">[1]!i_pq_pctchange($D77,L$3,$D$3)</f>
        <v>12.993374772977262</v>
      </c>
      <c r="M77" s="26">
        <f ca="1">[1]!i_pq_pctchange($D77,M$3,$D$3)</f>
        <v>20.377435617931617</v>
      </c>
      <c r="N77" s="26">
        <f ca="1">[1]!i_pq_pctchange($D77,N$3,$D$3)</f>
        <v>16.156303824763008</v>
      </c>
      <c r="O77" s="26">
        <f ca="1">[1]!i_pq_pctchange($D77,O$3,$D$3)</f>
        <v>12.281080806283518</v>
      </c>
      <c r="P77" s="6"/>
      <c r="Q77" s="8"/>
    </row>
    <row r="78" spans="1:17" s="2" customFormat="1" ht="16.5">
      <c r="A78" s="8"/>
      <c r="B78" s="6"/>
      <c r="C78" s="35" t="s">
        <v>178</v>
      </c>
      <c r="D78" s="27" t="str">
        <f>[1]!to_windcode(C78)</f>
        <v>BFX.GI</v>
      </c>
      <c r="E78" s="28">
        <f ca="1">[1]!i_dq_close(D78,$D$3)</f>
        <v>3850.04</v>
      </c>
      <c r="F78" s="29">
        <f ca="1">[1]!i_dq_pctchange(D78,$F$3)</f>
        <v>0</v>
      </c>
      <c r="G78" s="29"/>
      <c r="H78" s="29"/>
      <c r="I78" s="29"/>
      <c r="J78" s="29">
        <f ca="1">[1]!i_pq_pctchange($D78,J$3,$D$3)</f>
        <v>0.40971955987094688</v>
      </c>
      <c r="K78" s="29">
        <f ca="1">[1]!i_pq_pctchange($D78,K$3,$D$3)</f>
        <v>3.2600328819441637</v>
      </c>
      <c r="L78" s="29">
        <f ca="1">[1]!i_pq_pctchange($D78,L$3,$D$3)</f>
        <v>4.5062065184051203</v>
      </c>
      <c r="M78" s="29">
        <f ca="1">[1]!i_pq_pctchange($D78,M$3,$D$3)</f>
        <v>9.770311573377132</v>
      </c>
      <c r="N78" s="29">
        <f ca="1">[1]!i_pq_pctchange($D78,N$3,$D$3)</f>
        <v>0.97326727739559526</v>
      </c>
      <c r="O78" s="29">
        <f ca="1">[1]!i_pq_pctchange($D78,O$3,$D$3)</f>
        <v>3.8370772728621327</v>
      </c>
      <c r="P78" s="6"/>
      <c r="Q78" s="8"/>
    </row>
    <row r="79" spans="1:17" s="2" customFormat="1" ht="16.5">
      <c r="A79" s="8"/>
      <c r="B79" s="6"/>
      <c r="C79" s="34" t="s">
        <v>179</v>
      </c>
      <c r="D79" s="24" t="str">
        <f>[1]!to_windcode(C79)</f>
        <v>LUXXX.GI</v>
      </c>
      <c r="E79" s="25">
        <f ca="1">[1]!i_dq_close(D79,$D$3)</f>
        <v>1514.1081999999999</v>
      </c>
      <c r="F79" s="26">
        <f ca="1">[1]!i_dq_pctchange(D79,$F$3)</f>
        <v>0</v>
      </c>
      <c r="G79" s="26"/>
      <c r="H79" s="26"/>
      <c r="I79" s="26"/>
      <c r="J79" s="26">
        <f ca="1">[1]!i_pq_pctchange($D79,J$3,$D$3)</f>
        <v>1.9785248843495085</v>
      </c>
      <c r="K79" s="26">
        <f ca="1">[1]!i_pq_pctchange($D79,K$3,$D$3)</f>
        <v>1.4953404968907735</v>
      </c>
      <c r="L79" s="26">
        <f ca="1">[1]!i_pq_pctchange($D79,L$3,$D$3)</f>
        <v>2.0103977144297014</v>
      </c>
      <c r="M79" s="26">
        <f ca="1">[1]!i_pq_pctchange($D79,M$3,$D$3)</f>
        <v>8.9842451282161164</v>
      </c>
      <c r="N79" s="26">
        <f ca="1">[1]!i_pq_pctchange($D79,N$3,$D$3)</f>
        <v>-3.3087686613033962</v>
      </c>
      <c r="O79" s="26">
        <f ca="1">[1]!i_pq_pctchange($D79,O$3,$D$3)</f>
        <v>-0.68388753208111774</v>
      </c>
      <c r="P79" s="6"/>
      <c r="Q79" s="8"/>
    </row>
    <row r="80" spans="1:17" s="2" customFormat="1" ht="16.5">
      <c r="A80" s="8"/>
      <c r="B80" s="6"/>
      <c r="C80" s="35" t="s">
        <v>180</v>
      </c>
      <c r="D80" s="27" t="str">
        <f>[1]!to_windcode(C80)</f>
        <v>KAX.GI</v>
      </c>
      <c r="E80" s="28">
        <f ca="1">[1]!i_dq_close(D80,$D$3)</f>
        <v>2650.4297000000001</v>
      </c>
      <c r="F80" s="29">
        <f ca="1">[1]!i_dq_pctchange(D80,$F$3)</f>
        <v>0</v>
      </c>
      <c r="G80" s="29"/>
      <c r="H80" s="29"/>
      <c r="I80" s="29"/>
      <c r="J80" s="29">
        <f ca="1">[1]!i_pq_pctchange($D80,J$3,$D$3)</f>
        <v>0.83035744957902224</v>
      </c>
      <c r="K80" s="29">
        <f ca="1">[1]!i_pq_pctchange($D80,K$3,$D$3)</f>
        <v>-2.4925234927328233</v>
      </c>
      <c r="L80" s="29">
        <f ca="1">[1]!i_pq_pctchange($D80,L$3,$D$3)</f>
        <v>11.978734249734192</v>
      </c>
      <c r="M80" s="29">
        <f ca="1">[1]!i_pq_pctchange($D80,M$3,$D$3)</f>
        <v>17.691382231251573</v>
      </c>
      <c r="N80" s="29">
        <f ca="1">[1]!i_pq_pctchange($D80,N$3,$D$3)</f>
        <v>29.5548220845677</v>
      </c>
      <c r="O80" s="29">
        <f ca="1">[1]!i_pq_pctchange($D80,O$3,$D$3)</f>
        <v>16.067109369734723</v>
      </c>
      <c r="P80" s="6"/>
      <c r="Q80" s="8"/>
    </row>
    <row r="81" spans="1:17" s="2" customFormat="1" ht="16.5">
      <c r="A81" s="8"/>
      <c r="B81" s="6"/>
      <c r="C81" s="34" t="s">
        <v>181</v>
      </c>
      <c r="D81" s="24" t="str">
        <f>[1]!to_windcode(C81)</f>
        <v>HEX.GI</v>
      </c>
      <c r="E81" s="25">
        <f ca="1">[1]!i_dq_close(D81,$D$3)</f>
        <v>9903.2049999999999</v>
      </c>
      <c r="F81" s="26">
        <f ca="1">[1]!i_dq_pctchange(D81,$F$3)</f>
        <v>0</v>
      </c>
      <c r="G81" s="26"/>
      <c r="H81" s="26"/>
      <c r="I81" s="26"/>
      <c r="J81" s="26">
        <f ca="1">[1]!i_pq_pctchange($D81,J$3,$D$3)</f>
        <v>7.2807194826185473E-2</v>
      </c>
      <c r="K81" s="26">
        <f ca="1">[1]!i_pq_pctchange($D81,K$3,$D$3)</f>
        <v>0.58430726341187622</v>
      </c>
      <c r="L81" s="26">
        <f ca="1">[1]!i_pq_pctchange($D81,L$3,$D$3)</f>
        <v>-3.0027201380324109</v>
      </c>
      <c r="M81" s="26">
        <f ca="1">[1]!i_pq_pctchange($D81,M$3,$D$3)</f>
        <v>4.0757371510952378</v>
      </c>
      <c r="N81" s="26">
        <f ca="1">[1]!i_pq_pctchange($D81,N$3,$D$3)</f>
        <v>-8.0071935529268163</v>
      </c>
      <c r="O81" s="26">
        <f ca="1">[1]!i_pq_pctchange($D81,O$3,$D$3)</f>
        <v>-2.0784779812150433</v>
      </c>
      <c r="P81" s="6"/>
      <c r="Q81" s="8"/>
    </row>
    <row r="82" spans="1:17" s="2" customFormat="1" ht="16.5">
      <c r="A82" s="8"/>
      <c r="B82" s="6"/>
      <c r="C82" s="35" t="s">
        <v>182</v>
      </c>
      <c r="D82" s="27" t="str">
        <f>[1]!to_windcode(C82)</f>
        <v>OSEAX.GI</v>
      </c>
      <c r="E82" s="28">
        <f ca="1">[1]!i_dq_close(D82,$D$3)</f>
        <v>1606.79</v>
      </c>
      <c r="F82" s="29">
        <f ca="1">[1]!i_dq_pctchange(D82,$F$3)</f>
        <v>0</v>
      </c>
      <c r="G82" s="29"/>
      <c r="H82" s="29"/>
      <c r="I82" s="29"/>
      <c r="J82" s="29">
        <f ca="1">[1]!i_pq_pctchange($D82,J$3,$D$3)</f>
        <v>2.0624777681792716</v>
      </c>
      <c r="K82" s="29">
        <f ca="1">[1]!i_pq_pctchange($D82,K$3,$D$3)</f>
        <v>7.4704033175038598</v>
      </c>
      <c r="L82" s="29">
        <f ca="1">[1]!i_pq_pctchange($D82,L$3,$D$3)</f>
        <v>6.1764861364417278</v>
      </c>
      <c r="M82" s="29">
        <f ca="1">[1]!i_pq_pctchange($D82,M$3,$D$3)</f>
        <v>5.0354303943102252</v>
      </c>
      <c r="N82" s="29">
        <f ca="1">[1]!i_pq_pctchange($D82,N$3,$D$3)</f>
        <v>16.270605091393243</v>
      </c>
      <c r="O82" s="29">
        <f ca="1">[1]!i_pq_pctchange($D82,O$3,$D$3)</f>
        <v>5.7571808440618266</v>
      </c>
      <c r="P82" s="6"/>
      <c r="Q82" s="8"/>
    </row>
    <row r="83" spans="1:17" s="2" customFormat="1" ht="16.5">
      <c r="A83" s="8"/>
      <c r="B83" s="6"/>
      <c r="C83" s="34" t="s">
        <v>183</v>
      </c>
      <c r="D83" s="24" t="str">
        <f>[1]!to_windcode(C83)</f>
        <v>OMXSPI.GI</v>
      </c>
      <c r="E83" s="25">
        <f ca="1">[1]!i_dq_close(D83,$D$3)</f>
        <v>947.32</v>
      </c>
      <c r="F83" s="26">
        <f ca="1">[1]!i_dq_pctchange(D83,$F$3)</f>
        <v>0</v>
      </c>
      <c r="G83" s="26"/>
      <c r="H83" s="26"/>
      <c r="I83" s="26"/>
      <c r="J83" s="26">
        <f ca="1">[1]!i_pq_pctchange($D83,J$3,$D$3)</f>
        <v>-0.81665131083005216</v>
      </c>
      <c r="K83" s="26">
        <f ca="1">[1]!i_pq_pctchange($D83,K$3,$D$3)</f>
        <v>-0.59118297142872756</v>
      </c>
      <c r="L83" s="26">
        <f ca="1">[1]!i_pq_pctchange($D83,L$3,$D$3)</f>
        <v>6.8582773090285709</v>
      </c>
      <c r="M83" s="26">
        <f ca="1">[1]!i_pq_pctchange($D83,M$3,$D$3)</f>
        <v>18.259784033456093</v>
      </c>
      <c r="N83" s="26">
        <f ca="1">[1]!i_pq_pctchange($D83,N$3,$D$3)</f>
        <v>11.599361919115104</v>
      </c>
      <c r="O83" s="26">
        <f ca="1">[1]!i_pq_pctchange($D83,O$3,$D$3)</f>
        <v>4.9220272904483497</v>
      </c>
      <c r="P83" s="6"/>
      <c r="Q83" s="8"/>
    </row>
    <row r="84" spans="1:17" s="2" customFormat="1" ht="16.5">
      <c r="A84" s="8"/>
      <c r="B84" s="6"/>
      <c r="C84" s="35" t="s">
        <v>184</v>
      </c>
      <c r="D84" s="27" t="str">
        <f>[1]!to_windcode(C84)</f>
        <v>ATX.GI</v>
      </c>
      <c r="E84" s="28">
        <f ca="1">[1]!i_dq_close(D84,$D$3)</f>
        <v>3554.82</v>
      </c>
      <c r="F84" s="29">
        <f ca="1">[1]!i_dq_pctchange(D84,$F$3)</f>
        <v>0</v>
      </c>
      <c r="G84" s="29"/>
      <c r="H84" s="29"/>
      <c r="I84" s="29"/>
      <c r="J84" s="29">
        <f ca="1">[1]!i_pq_pctchange($D84,J$3,$D$3)</f>
        <v>-0.33056599964672584</v>
      </c>
      <c r="K84" s="29">
        <f ca="1">[1]!i_pq_pctchange($D84,K$3,$D$3)</f>
        <v>4.5022003898085305</v>
      </c>
      <c r="L84" s="29">
        <f ca="1">[1]!i_pq_pctchange($D84,L$3,$D$3)</f>
        <v>4.5962908365478894</v>
      </c>
      <c r="M84" s="29">
        <f ca="1">[1]!i_pq_pctchange($D84,M$3,$D$3)</f>
        <v>12.943935032502818</v>
      </c>
      <c r="N84" s="29">
        <f ca="1">[1]!i_pq_pctchange($D84,N$3,$D$3)</f>
        <v>10.198615550106481</v>
      </c>
      <c r="O84" s="29">
        <f ca="1">[1]!i_pq_pctchange($D84,O$3,$D$3)</f>
        <v>3.4891134420388159</v>
      </c>
      <c r="P84" s="6"/>
      <c r="Q84" s="8"/>
    </row>
    <row r="85" spans="1:17" s="2" customFormat="1" ht="16.5">
      <c r="A85" s="8"/>
      <c r="B85" s="6"/>
      <c r="C85" s="34" t="s">
        <v>185</v>
      </c>
      <c r="D85" s="24" t="str">
        <f>[1]!to_windcode(C85)</f>
        <v>ASE.GI</v>
      </c>
      <c r="E85" s="25">
        <f ca="1">[1]!i_dq_close(D85,$D$3)</f>
        <v>1400.61</v>
      </c>
      <c r="F85" s="26">
        <f ca="1">[1]!i_dq_pctchange(D85,$F$3)</f>
        <v>0</v>
      </c>
      <c r="G85" s="26"/>
      <c r="H85" s="26"/>
      <c r="I85" s="26"/>
      <c r="J85" s="26">
        <f ca="1">[1]!i_pq_pctchange($D85,J$3,$D$3)</f>
        <v>1.240377317575625</v>
      </c>
      <c r="K85" s="26">
        <f ca="1">[1]!i_pq_pctchange($D85,K$3,$D$3)</f>
        <v>5.2862051476210148E-2</v>
      </c>
      <c r="L85" s="26">
        <f ca="1">[1]!i_pq_pctchange($D85,L$3,$D$3)</f>
        <v>3.5456326470261867</v>
      </c>
      <c r="M85" s="26">
        <f ca="1">[1]!i_pq_pctchange($D85,M$3,$D$3)</f>
        <v>19.745054118290774</v>
      </c>
      <c r="N85" s="26">
        <f ca="1">[1]!i_pq_pctchange($D85,N$3,$D$3)</f>
        <v>27.00604829568638</v>
      </c>
      <c r="O85" s="26">
        <f ca="1">[1]!i_pq_pctchange($D85,O$3,$D$3)</f>
        <v>8.3107784153301001</v>
      </c>
      <c r="P85" s="6"/>
      <c r="Q85" s="8"/>
    </row>
    <row r="86" spans="1:17" s="2" customFormat="1" ht="16.5">
      <c r="A86" s="8"/>
      <c r="B86" s="6"/>
      <c r="C86" s="35" t="s">
        <v>186</v>
      </c>
      <c r="D86" s="27" t="str">
        <f>[1]!to_windcode(C86)</f>
        <v>WIG.GI</v>
      </c>
      <c r="E86" s="28">
        <f ca="1">[1]!i_dq_close(D86,$D$3)</f>
        <v>82864.67</v>
      </c>
      <c r="F86" s="29">
        <f ca="1">[1]!i_dq_pctchange(D86,$F$3)</f>
        <v>0</v>
      </c>
      <c r="G86" s="29"/>
      <c r="H86" s="29"/>
      <c r="I86" s="29"/>
      <c r="J86" s="29">
        <f ca="1">[1]!i_pq_pctchange($D86,J$3,$D$3)</f>
        <v>-0.92948396447675163</v>
      </c>
      <c r="K86" s="29">
        <f ca="1">[1]!i_pq_pctchange($D86,K$3,$D$3)</f>
        <v>1.4909858645697049</v>
      </c>
      <c r="L86" s="29">
        <f ca="1">[1]!i_pq_pctchange($D86,L$3,$D$3)</f>
        <v>8.8802716939204718</v>
      </c>
      <c r="M86" s="29">
        <f ca="1">[1]!i_pq_pctchange($D86,M$3,$D$3)</f>
        <v>23.564453139562126</v>
      </c>
      <c r="N86" s="29">
        <f ca="1">[1]!i_pq_pctchange($D86,N$3,$D$3)</f>
        <v>35.980035724336766</v>
      </c>
      <c r="O86" s="29">
        <f ca="1">[1]!i_pq_pctchange($D86,O$3,$D$3)</f>
        <v>5.6140263224874865</v>
      </c>
      <c r="P86" s="6"/>
      <c r="Q86" s="8"/>
    </row>
    <row r="87" spans="1:17" s="2" customFormat="1" ht="16.5">
      <c r="A87" s="8"/>
      <c r="B87" s="6"/>
      <c r="C87" s="34" t="s">
        <v>187</v>
      </c>
      <c r="D87" s="24" t="str">
        <f>[1]!to_windcode(C87)</f>
        <v>PX.GI</v>
      </c>
      <c r="E87" s="25">
        <f ca="1">[1]!i_dq_close(D87,$D$3)</f>
        <v>1558.96</v>
      </c>
      <c r="F87" s="26">
        <f ca="1">[1]!i_dq_pctchange(D87,$F$3)</f>
        <v>0</v>
      </c>
      <c r="G87" s="26"/>
      <c r="H87" s="26"/>
      <c r="I87" s="26"/>
      <c r="J87" s="26">
        <f ca="1">[1]!i_pq_pctchange($D87,J$3,$D$3)</f>
        <v>2.1927093234393791</v>
      </c>
      <c r="K87" s="26">
        <f ca="1">[1]!i_pq_pctchange($D87,K$3,$D$3)</f>
        <v>5.0809528303158658</v>
      </c>
      <c r="L87" s="26">
        <f ca="1">[1]!i_pq_pctchange($D87,L$3,$D$3)</f>
        <v>6.9634366402052894</v>
      </c>
      <c r="M87" s="26">
        <f ca="1">[1]!i_pq_pctchange($D87,M$3,$D$3)</f>
        <v>15.793304761834026</v>
      </c>
      <c r="N87" s="26">
        <f ca="1">[1]!i_pq_pctchange($D87,N$3,$D$3)</f>
        <v>11.009363762594804</v>
      </c>
      <c r="O87" s="26">
        <f ca="1">[1]!i_pq_pctchange($D87,O$3,$D$3)</f>
        <v>10.250208625054814</v>
      </c>
      <c r="P87" s="6"/>
      <c r="Q87" s="8"/>
    </row>
    <row r="88" spans="1:17" s="2" customFormat="1" ht="16.5">
      <c r="A88" s="8"/>
      <c r="B88" s="6"/>
      <c r="C88" s="35" t="s">
        <v>188</v>
      </c>
      <c r="D88" s="27" t="str">
        <f>[1]!to_windcode(C88)</f>
        <v>RTSI.MCX</v>
      </c>
      <c r="E88" s="28">
        <f ca="1">[1]!i_dq_close(D88,$D$3)</f>
        <v>1165.53</v>
      </c>
      <c r="F88" s="29">
        <f ca="1">[1]!i_dq_pctchange(D88,$F$3)</f>
        <v>0</v>
      </c>
      <c r="G88" s="29"/>
      <c r="H88" s="29"/>
      <c r="I88" s="29"/>
      <c r="J88" s="29">
        <f ca="1">[1]!i_pq_pctchange($D88,J$3,$D$3)</f>
        <v>0.83224472493532708</v>
      </c>
      <c r="K88" s="29">
        <f ca="1">[1]!i_pq_pctchange($D88,K$3,$D$3)</f>
        <v>2.0255779549890995</v>
      </c>
      <c r="L88" s="29">
        <f ca="1">[1]!i_pq_pctchange($D88,L$3,$D$3)</f>
        <v>2.5940531309966097</v>
      </c>
      <c r="M88" s="29">
        <f ca="1">[1]!i_pq_pctchange($D88,M$3,$D$3)</f>
        <v>12.708512634052482</v>
      </c>
      <c r="N88" s="29">
        <f ca="1">[1]!i_pq_pctchange($D88,N$3,$D$3)</f>
        <v>18.575904938246481</v>
      </c>
      <c r="O88" s="29">
        <f ca="1">[1]!i_pq_pctchange($D88,O$3,$D$3)</f>
        <v>7.5728209103998134</v>
      </c>
      <c r="P88" s="6"/>
      <c r="Q88" s="8"/>
    </row>
    <row r="89" spans="1:17" s="2" customFormat="1" ht="16.5">
      <c r="A89" s="8"/>
      <c r="B89" s="6"/>
      <c r="C89" s="34" t="s">
        <v>189</v>
      </c>
      <c r="D89" s="24" t="str">
        <f>[1]!to_windcode(C89)</f>
        <v>BUX.GI</v>
      </c>
      <c r="E89" s="25">
        <f ca="1">[1]!i_dq_close(D89,$D$3)</f>
        <v>67289.070000000007</v>
      </c>
      <c r="F89" s="26">
        <f ca="1">[1]!i_dq_pctchange(D89,$F$3)</f>
        <v>0</v>
      </c>
      <c r="G89" s="26"/>
      <c r="H89" s="26"/>
      <c r="I89" s="26"/>
      <c r="J89" s="26">
        <f ca="1">[1]!i_pq_pctchange($D89,J$3,$D$3)</f>
        <v>1.1448814856913847</v>
      </c>
      <c r="K89" s="26">
        <f ca="1">[1]!i_pq_pctchange($D89,K$3,$D$3)</f>
        <v>2.5738167453574823</v>
      </c>
      <c r="L89" s="26">
        <f ca="1">[1]!i_pq_pctchange($D89,L$3,$D$3)</f>
        <v>5.7536501544207086</v>
      </c>
      <c r="M89" s="26">
        <f ca="1">[1]!i_pq_pctchange($D89,M$3,$D$3)</f>
        <v>20.310107207817541</v>
      </c>
      <c r="N89" s="26">
        <f ca="1">[1]!i_pq_pctchange($D89,N$3,$D$3)</f>
        <v>57.632749271210805</v>
      </c>
      <c r="O89" s="26">
        <f ca="1">[1]!i_pq_pctchange($D89,O$3,$D$3)</f>
        <v>11.001416858888691</v>
      </c>
      <c r="P89" s="6"/>
      <c r="Q89" s="8"/>
    </row>
    <row r="90" spans="1:17" s="2" customFormat="1" ht="16.5">
      <c r="A90" s="8"/>
      <c r="B90" s="6"/>
      <c r="C90" s="35" t="s">
        <v>190</v>
      </c>
      <c r="D90" s="27" t="str">
        <f>[1]!to_windcode(C90)</f>
        <v>UX.GI</v>
      </c>
      <c r="E90" s="28">
        <f ca="1">[1]!i_dq_close(D90,$D$3)</f>
        <v>1327.28</v>
      </c>
      <c r="F90" s="29">
        <f ca="1">[1]!i_dq_pctchange(D90,$F$3)</f>
        <v>0</v>
      </c>
      <c r="G90" s="29"/>
      <c r="H90" s="29"/>
      <c r="I90" s="29"/>
      <c r="J90" s="29">
        <f ca="1">[1]!i_pq_pctchange($D90,J$3,$D$3)</f>
        <v>1.0152670593786661</v>
      </c>
      <c r="K90" s="29">
        <f ca="1">[1]!i_pq_pctchange($D90,K$3,$D$3)</f>
        <v>-5.9553754260165963</v>
      </c>
      <c r="L90" s="29">
        <f ca="1">[1]!i_pq_pctchange($D90,L$3,$D$3)</f>
        <v>-21.102313526880188</v>
      </c>
      <c r="M90" s="29">
        <f ca="1">[1]!i_pq_pctchange($D90,M$3,$D$3)</f>
        <v>-35.956921176561416</v>
      </c>
      <c r="N90" s="29">
        <f ca="1">[1]!i_pq_pctchange($D90,N$3,$D$3)</f>
        <v>-10.412743410617253</v>
      </c>
      <c r="O90" s="29">
        <f ca="1">[1]!i_pq_pctchange($D90,O$3,$D$3)</f>
        <v>-21.263784829124475</v>
      </c>
      <c r="P90" s="6"/>
      <c r="Q90" s="8"/>
    </row>
    <row r="91" spans="1:17" s="2" customFormat="1" ht="16.5">
      <c r="A91" s="8"/>
      <c r="B91" s="6"/>
      <c r="C91" s="34" t="s">
        <v>191</v>
      </c>
      <c r="D91" s="24" t="str">
        <f>[1]!to_windcode(C91)</f>
        <v>XU100.GI</v>
      </c>
      <c r="E91" s="25">
        <f ca="1">[1]!i_dq_close(D91,$D$3)</f>
        <v>9814.19</v>
      </c>
      <c r="F91" s="26">
        <f ca="1">[1]!i_dq_pctchange(D91,$F$3)</f>
        <v>0</v>
      </c>
      <c r="G91" s="26"/>
      <c r="H91" s="26"/>
      <c r="I91" s="26"/>
      <c r="J91" s="26">
        <f ca="1">[1]!i_pq_pctchange($D91,J$3,$D$3)</f>
        <v>2.0310162462586545</v>
      </c>
      <c r="K91" s="26">
        <f ca="1">[1]!i_pq_pctchange($D91,K$3,$D$3)</f>
        <v>10.145192660571055</v>
      </c>
      <c r="L91" s="26">
        <f ca="1">[1]!i_pq_pctchange($D91,L$3,$D$3)</f>
        <v>22.885204602283604</v>
      </c>
      <c r="M91" s="26">
        <f ca="1">[1]!i_pq_pctchange($D91,M$3,$D$3)</f>
        <v>20.964219244943493</v>
      </c>
      <c r="N91" s="26">
        <f ca="1">[1]!i_pq_pctchange($D91,N$3,$D$3)</f>
        <v>91.102997731499059</v>
      </c>
      <c r="O91" s="26">
        <f ca="1">[1]!i_pq_pctchange($D91,O$3,$D$3)</f>
        <v>31.378226495211624</v>
      </c>
      <c r="P91" s="6"/>
      <c r="Q91" s="8"/>
    </row>
    <row r="92" spans="1:17" s="2" customFormat="1" ht="16.5">
      <c r="A92" s="8"/>
      <c r="B92" s="6"/>
      <c r="C92" s="35" t="s">
        <v>192</v>
      </c>
      <c r="D92" s="27" t="str">
        <f>[1]!to_windcode(C92)</f>
        <v>SXXP.DF</v>
      </c>
      <c r="E92" s="28">
        <f ca="1">[1]!i_dq_close(D92,$D$3)</f>
        <v>505.25</v>
      </c>
      <c r="F92" s="29">
        <f ca="1">[1]!i_dq_pctchange(D92,$F$3)</f>
        <v>0</v>
      </c>
      <c r="G92" s="29"/>
      <c r="H92" s="29"/>
      <c r="I92" s="29"/>
      <c r="J92" s="29">
        <f ca="1">[1]!i_pq_pctchange($D92,J$3,$D$3)</f>
        <v>-0.25663804165433346</v>
      </c>
      <c r="K92" s="29">
        <f ca="1">[1]!i_pq_pctchange($D92,K$3,$D$3)</f>
        <v>-0.40998955315080243</v>
      </c>
      <c r="L92" s="29">
        <f ca="1">[1]!i_pq_pctchange($D92,L$3,$D$3)</f>
        <v>5.975752999412709</v>
      </c>
      <c r="M92" s="29">
        <f ca="1">[1]!i_pq_pctchange($D92,M$3,$D$3)</f>
        <v>12.482746337771044</v>
      </c>
      <c r="N92" s="29">
        <f ca="1">[1]!i_pq_pctchange($D92,N$3,$D$3)</f>
        <v>8.8408263501432494</v>
      </c>
      <c r="O92" s="29">
        <f ca="1">[1]!i_pq_pctchange($D92,O$3,$D$3)</f>
        <v>5.4757630161579973</v>
      </c>
      <c r="P92" s="6"/>
      <c r="Q92" s="8"/>
    </row>
    <row r="93" spans="1:17" s="2" customFormat="1" ht="16.5">
      <c r="A93" s="8"/>
      <c r="B93" s="6"/>
      <c r="C93" s="34" t="s">
        <v>200</v>
      </c>
      <c r="D93" s="24" t="str">
        <f>[1]!to_windcode(C93)</f>
        <v>990500.MI</v>
      </c>
      <c r="E93" s="25">
        <f ca="1">[1]!i_dq_close(D93,$D$3)</f>
        <v>2051.2920589999999</v>
      </c>
      <c r="F93" s="26">
        <f ca="1">[1]!i_dq_pctchange(D93,$F$3)</f>
        <v>0</v>
      </c>
      <c r="G93" s="26"/>
      <c r="H93" s="26"/>
      <c r="I93" s="26"/>
      <c r="J93" s="26">
        <f ca="1">[1]!i_pq_pctchange($D93,J$3,$D$3)</f>
        <v>-1.9194663295913021</v>
      </c>
      <c r="K93" s="26">
        <f ca="1">[1]!i_pq_pctchange($D93,K$3,$D$3)</f>
        <v>-3.3180522193603084</v>
      </c>
      <c r="L93" s="26">
        <f ca="1">[1]!i_pq_pctchange($D93,L$3,$D$3)</f>
        <v>2.7145321684557877</v>
      </c>
      <c r="M93" s="26">
        <f ca="1">[1]!i_pq_pctchange($D93,M$3,$D$3)</f>
        <v>13.412162542436354</v>
      </c>
      <c r="N93" s="26">
        <f ca="1">[1]!i_pq_pctchange($D93,N$3,$D$3)</f>
        <v>4.5097077406933659</v>
      </c>
      <c r="O93" s="26">
        <f ca="1">[1]!i_pq_pctchange($D93,O$3,$D$3)</f>
        <v>1.5291693918120755</v>
      </c>
      <c r="P93" s="6"/>
      <c r="Q93" s="8"/>
    </row>
    <row r="94" spans="1:17" s="2" customFormat="1" ht="16.5">
      <c r="A94" s="8"/>
      <c r="B94" s="6"/>
      <c r="C94" s="35" t="s">
        <v>201</v>
      </c>
      <c r="D94" s="27" t="str">
        <f>[1]!to_windcode(C94)</f>
        <v>N100.GI</v>
      </c>
      <c r="E94" s="28">
        <f ca="1">[1]!i_dq_close(D94,$D$3)</f>
        <v>1521.43</v>
      </c>
      <c r="F94" s="29">
        <f ca="1">[1]!i_dq_pctchange(D94,$F$3)</f>
        <v>0</v>
      </c>
      <c r="G94" s="29"/>
      <c r="H94" s="29"/>
      <c r="I94" s="29"/>
      <c r="J94" s="29">
        <f ca="1">[1]!i_pq_pctchange($D94,J$3,$D$3)</f>
        <v>8.7494243799768334E-2</v>
      </c>
      <c r="K94" s="29">
        <f ca="1">[1]!i_pq_pctchange($D94,K$3,$D$3)</f>
        <v>1.7229851704264387</v>
      </c>
      <c r="L94" s="29">
        <f ca="1">[1]!i_pq_pctchange($D94,L$3,$D$3)</f>
        <v>9.4199719515264846</v>
      </c>
      <c r="M94" s="29">
        <f ca="1">[1]!i_pq_pctchange($D94,M$3,$D$3)</f>
        <v>16.21510140167284</v>
      </c>
      <c r="N94" s="29">
        <f ca="1">[1]!i_pq_pctchange($D94,N$3,$D$3)</f>
        <v>10.544136132121395</v>
      </c>
      <c r="O94" s="29">
        <f ca="1">[1]!i_pq_pctchange($D94,O$3,$D$3)</f>
        <v>9.0224432469617089</v>
      </c>
      <c r="P94" s="6"/>
      <c r="Q94" s="8"/>
    </row>
    <row r="95" spans="1:17" s="2" customFormat="1" ht="16.5">
      <c r="A95" s="8"/>
      <c r="B95" s="6"/>
      <c r="C95" s="34" t="s">
        <v>202</v>
      </c>
      <c r="D95" s="24" t="str">
        <f>[1]!to_windcode(C95)</f>
        <v>N150.GI</v>
      </c>
      <c r="E95" s="25">
        <f ca="1">[1]!i_dq_close(D95,$D$3)</f>
        <v>3360.4</v>
      </c>
      <c r="F95" s="26">
        <f ca="1">[1]!i_dq_pctchange(D95,$F$3)</f>
        <v>0</v>
      </c>
      <c r="G95" s="26"/>
      <c r="H95" s="26"/>
      <c r="I95" s="26"/>
      <c r="J95" s="26">
        <f ca="1">[1]!i_pq_pctchange($D95,J$3,$D$3)</f>
        <v>-0.50246197485024346</v>
      </c>
      <c r="K95" s="26">
        <f ca="1">[1]!i_pq_pctchange($D95,K$3,$D$3)</f>
        <v>1.4861726448799351</v>
      </c>
      <c r="L95" s="26">
        <f ca="1">[1]!i_pq_pctchange($D95,L$3,$D$3)</f>
        <v>5.8520389841933973</v>
      </c>
      <c r="M95" s="26">
        <f ca="1">[1]!i_pq_pctchange($D95,M$3,$D$3)</f>
        <v>17.057741611860443</v>
      </c>
      <c r="N95" s="26">
        <f ca="1">[1]!i_pq_pctchange($D95,N$3,$D$3)</f>
        <v>10.681830907515909</v>
      </c>
      <c r="O95" s="26">
        <f ca="1">[1]!i_pq_pctchange($D95,O$3,$D$3)</f>
        <v>5.362831414453062</v>
      </c>
      <c r="P95" s="6"/>
      <c r="Q95" s="8"/>
    </row>
    <row r="96" spans="1:17" s="2" customFormat="1" ht="16.5">
      <c r="A96" s="8"/>
      <c r="B96" s="6"/>
      <c r="C96" s="35" t="s">
        <v>203</v>
      </c>
      <c r="D96" s="27" t="str">
        <f>[1]!to_windcode(C96)</f>
        <v>GDAXI.DF</v>
      </c>
      <c r="E96" s="28">
        <f ca="1">[1]!i_dq_close(D96,$D$3)</f>
        <v>7057.36</v>
      </c>
      <c r="F96" s="29">
        <f ca="1">[1]!i_dq_pctchange(D96,$F$3)</f>
        <v>0</v>
      </c>
      <c r="G96" s="29"/>
      <c r="H96" s="29"/>
      <c r="I96" s="29"/>
      <c r="J96" s="29">
        <f ca="1">[1]!i_pq_pctchange($D96,J$3,$D$3)</f>
        <v>-1.5421532108427893</v>
      </c>
      <c r="K96" s="29">
        <f ca="1">[1]!i_pq_pctchange($D96,K$3,$D$3)</f>
        <v>-0.3712769952256334</v>
      </c>
      <c r="L96" s="29">
        <f ca="1">[1]!i_pq_pctchange($D96,L$3,$D$3)</f>
        <v>6.7643739542708081</v>
      </c>
      <c r="M96" s="29">
        <f ca="1">[1]!i_pq_pctchange($D96,M$3,$D$3)</f>
        <v>17.435552686053548</v>
      </c>
      <c r="N96" s="29">
        <f ca="1">[1]!i_pq_pctchange($D96,N$3,$D$3)</f>
        <v>10.303651697686188</v>
      </c>
      <c r="O96" s="29">
        <f ca="1">[1]!i_pq_pctchange($D96,O$3,$D$3)</f>
        <v>6.4643188486690706</v>
      </c>
      <c r="P96" s="6"/>
      <c r="Q96" s="8"/>
    </row>
    <row r="97" spans="1:18" s="2" customFormat="1" ht="16.5">
      <c r="A97" s="8"/>
      <c r="B97" s="6"/>
      <c r="C97" s="34" t="s">
        <v>204</v>
      </c>
      <c r="D97" s="24" t="str">
        <f>[1]!to_windcode(C97)</f>
        <v>MDAX.DF</v>
      </c>
      <c r="E97" s="25">
        <f ca="1">[1]!i_dq_close(D97,$D$3)</f>
        <v>13327.95</v>
      </c>
      <c r="F97" s="26">
        <f ca="1">[1]!i_dq_pctchange(D97,$F$3)</f>
        <v>0</v>
      </c>
      <c r="G97" s="26"/>
      <c r="H97" s="26"/>
      <c r="I97" s="26"/>
      <c r="J97" s="26">
        <f ca="1">[1]!i_pq_pctchange($D97,J$3,$D$3)</f>
        <v>-1.2569632697936872</v>
      </c>
      <c r="K97" s="26">
        <f ca="1">[1]!i_pq_pctchange($D97,K$3,$D$3)</f>
        <v>0.82281956974639137</v>
      </c>
      <c r="L97" s="26">
        <f ca="1">[1]!i_pq_pctchange($D97,L$3,$D$3)</f>
        <v>0.92940518976587505</v>
      </c>
      <c r="M97" s="26">
        <f ca="1">[1]!i_pq_pctchange($D97,M$3,$D$3)</f>
        <v>6.3508313876569522</v>
      </c>
      <c r="N97" s="26">
        <f ca="1">[1]!i_pq_pctchange($D97,N$3,$D$3)</f>
        <v>-5.5029427634111787</v>
      </c>
      <c r="O97" s="26">
        <f ca="1">[1]!i_pq_pctchange($D97,O$3,$D$3)</f>
        <v>-2.1961910087376468</v>
      </c>
      <c r="P97" s="6"/>
      <c r="Q97" s="8"/>
    </row>
    <row r="98" spans="1:18" s="2" customFormat="1" ht="16.5">
      <c r="A98" s="8"/>
      <c r="B98" s="6"/>
      <c r="C98" s="35" t="s">
        <v>205</v>
      </c>
      <c r="D98" s="27" t="str">
        <f>[1]!to_windcode(C98)</f>
        <v>SDAX.DF</v>
      </c>
      <c r="E98" s="28">
        <f ca="1">[1]!i_dq_close(D98,$D$3)</f>
        <v>6319.98</v>
      </c>
      <c r="F98" s="29">
        <f ca="1">[1]!i_dq_pctchange(D98,$F$3)</f>
        <v>0</v>
      </c>
      <c r="G98" s="29"/>
      <c r="H98" s="29"/>
      <c r="I98" s="29"/>
      <c r="J98" s="29">
        <f ca="1">[1]!i_pq_pctchange($D98,J$3,$D$3)</f>
        <v>0.29915269166005398</v>
      </c>
      <c r="K98" s="29">
        <f ca="1">[1]!i_pq_pctchange($D98,K$3,$D$3)</f>
        <v>2.4590243665191247</v>
      </c>
      <c r="L98" s="29">
        <f ca="1">[1]!i_pq_pctchange($D98,L$3,$D$3)</f>
        <v>5.6185220713328432</v>
      </c>
      <c r="M98" s="29">
        <f ca="1">[1]!i_pq_pctchange($D98,M$3,$D$3)</f>
        <v>13.637842959915547</v>
      </c>
      <c r="N98" s="29">
        <f ca="1">[1]!i_pq_pctchange($D98,N$3,$D$3)</f>
        <v>4.8780042581932026</v>
      </c>
      <c r="O98" s="29">
        <f ca="1">[1]!i_pq_pctchange($D98,O$3,$D$3)</f>
        <v>2.5787602863124981</v>
      </c>
      <c r="P98" s="6"/>
      <c r="Q98" s="8"/>
    </row>
    <row r="99" spans="1:18" s="2" customFormat="1" ht="16.5">
      <c r="A99" s="8"/>
      <c r="B99" s="6"/>
      <c r="C99" s="34" t="s">
        <v>206</v>
      </c>
      <c r="D99" s="24" t="str">
        <f>[1]!to_windcode(C99)</f>
        <v>OMXS30.GI</v>
      </c>
      <c r="E99" s="25">
        <f ca="1">[1]!i_dq_close(D99,$D$3)</f>
        <v>2506.991</v>
      </c>
      <c r="F99" s="26">
        <f ca="1">[1]!i_dq_pctchange(D99,$F$3)</f>
        <v>0</v>
      </c>
      <c r="G99" s="26"/>
      <c r="H99" s="26"/>
      <c r="I99" s="26"/>
      <c r="J99" s="26">
        <f ca="1">[1]!i_pq_pctchange($D99,J$3,$D$3)</f>
        <v>8.7512011941881518E-2</v>
      </c>
      <c r="K99" s="26">
        <f ca="1">[1]!i_pq_pctchange($D99,K$3,$D$3)</f>
        <v>-0.81004889999056751</v>
      </c>
      <c r="L99" s="26">
        <f ca="1">[1]!i_pq_pctchange($D99,L$3,$D$3)</f>
        <v>6.4103849438145399</v>
      </c>
      <c r="M99" s="26">
        <f ca="1">[1]!i_pq_pctchange($D99,M$3,$D$3)</f>
        <v>14.482943487143785</v>
      </c>
      <c r="N99" s="26">
        <f ca="1">[1]!i_pq_pctchange($D99,N$3,$D$3)</f>
        <v>12.666800381261867</v>
      </c>
      <c r="O99" s="26">
        <f ca="1">[1]!i_pq_pctchange($D99,O$3,$D$3)</f>
        <v>4.629419795022427</v>
      </c>
      <c r="P99" s="6"/>
      <c r="Q99" s="8"/>
    </row>
    <row r="100" spans="1:18" s="2" customFormat="1" ht="16.5">
      <c r="A100" s="8"/>
      <c r="B100" s="6"/>
      <c r="C100" s="35" t="s">
        <v>207</v>
      </c>
      <c r="D100" s="27" t="str">
        <f>[1]!to_windcode(C100)</f>
        <v>OMXH15.FIN</v>
      </c>
      <c r="E100" s="28">
        <f ca="1">[1]!i_dq_close(D100,$D$3)</f>
        <v>1142.9100000000001</v>
      </c>
      <c r="F100" s="29">
        <f ca="1">[1]!i_dq_pctchange(D100,$F$3)</f>
        <v>0</v>
      </c>
      <c r="G100" s="29"/>
      <c r="H100" s="29"/>
      <c r="I100" s="29"/>
      <c r="J100" s="29">
        <f ca="1">[1]!i_pq_pctchange($D100,J$3,$D$3)</f>
        <v>0.10948969045074808</v>
      </c>
      <c r="K100" s="29">
        <f ca="1">[1]!i_pq_pctchange($D100,K$3,$D$3)</f>
        <v>1.7142469629498835</v>
      </c>
      <c r="L100" s="29">
        <f ca="1">[1]!i_pq_pctchange($D100,L$3,$D$3)</f>
        <v>-2.7939375382731058</v>
      </c>
      <c r="M100" s="29">
        <f ca="1">[1]!i_pq_pctchange($D100,M$3,$D$3)</f>
        <v>3.9113002209311798</v>
      </c>
      <c r="N100" s="29">
        <f ca="1">[1]!i_pq_pctchange($D100,N$3,$D$3)</f>
        <v>-7.0033686471708156</v>
      </c>
      <c r="O100" s="29">
        <f ca="1">[1]!i_pq_pctchange($D100,O$3,$D$3)</f>
        <v>-1.1212333566923416</v>
      </c>
      <c r="P100" s="6"/>
      <c r="Q100" s="8"/>
    </row>
    <row r="101" spans="1:18" s="2" customFormat="1" ht="16.5">
      <c r="A101" s="8"/>
      <c r="B101" s="6"/>
      <c r="C101" s="40" t="s">
        <v>234</v>
      </c>
      <c r="D101" s="24"/>
      <c r="E101" s="25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6"/>
      <c r="Q101" s="8"/>
    </row>
    <row r="102" spans="1:18" s="2" customFormat="1" ht="16.5">
      <c r="A102" s="8"/>
      <c r="B102" s="6"/>
      <c r="C102" s="35" t="s">
        <v>141</v>
      </c>
      <c r="D102" s="27" t="str">
        <f>[1]!to_windcode(C102)</f>
        <v>GSPTSE.GI</v>
      </c>
      <c r="E102" s="28">
        <f ca="1">[1]!i_dq_close(D102,$D$3)</f>
        <v>21899.99</v>
      </c>
      <c r="F102" s="29">
        <f ca="1">[1]!i_dq_pctchange(D102,$F$3)</f>
        <v>0</v>
      </c>
      <c r="G102" s="29"/>
      <c r="H102" s="29"/>
      <c r="I102" s="29"/>
      <c r="J102" s="29">
        <f ca="1">[1]!i_pq_pctchange($D102,J$3,$D$3)</f>
        <v>-1.6366501110742782</v>
      </c>
      <c r="K102" s="29">
        <f ca="1">[1]!i_pq_pctchange($D102,K$3,$D$3)</f>
        <v>-0.3191608963268644</v>
      </c>
      <c r="L102" s="29">
        <f ca="1">[1]!i_pq_pctchange($D102,L$3,$D$3)</f>
        <v>4.3342566204642052</v>
      </c>
      <c r="M102" s="29">
        <f ca="1">[1]!i_pq_pctchange($D102,M$3,$D$3)</f>
        <v>12.521952066654141</v>
      </c>
      <c r="N102" s="29">
        <f ca="1">[1]!i_pq_pctchange($D102,N$3,$D$3)</f>
        <v>6.4942043298909846</v>
      </c>
      <c r="O102" s="29">
        <f ca="1">[1]!i_pq_pctchange($D102,O$3,$D$3)</f>
        <v>4.4924622252419777</v>
      </c>
      <c r="P102" s="6"/>
      <c r="Q102" s="8"/>
    </row>
    <row r="103" spans="1:18" s="2" customFormat="1" ht="16.5">
      <c r="A103" s="8"/>
      <c r="B103" s="6"/>
      <c r="C103" s="34" t="s">
        <v>142</v>
      </c>
      <c r="D103" s="24" t="str">
        <f>[1]!to_windcode(C103)</f>
        <v>MXX.GI</v>
      </c>
      <c r="E103" s="25">
        <f ca="1">[1]!i_dq_close(D103,$D$3)</f>
        <v>56565.919999999998</v>
      </c>
      <c r="F103" s="26">
        <f ca="1">[1]!i_dq_pctchange(D103,$F$3)</f>
        <v>0</v>
      </c>
      <c r="G103" s="26"/>
      <c r="H103" s="26"/>
      <c r="I103" s="26"/>
      <c r="J103" s="26">
        <f ca="1">[1]!i_pq_pctchange($D103,J$3,$D$3)</f>
        <v>-2.6277429558820509</v>
      </c>
      <c r="K103" s="26">
        <f ca="1">[1]!i_pq_pctchange($D103,K$3,$D$3)</f>
        <v>1.2841834154838194</v>
      </c>
      <c r="L103" s="26">
        <f ca="1">[1]!i_pq_pctchange($D103,L$3,$D$3)</f>
        <v>1.7243310967472336</v>
      </c>
      <c r="M103" s="26">
        <f ca="1">[1]!i_pq_pctchange($D103,M$3,$D$3)</f>
        <v>14.553262704948079</v>
      </c>
      <c r="N103" s="26">
        <f ca="1">[1]!i_pq_pctchange($D103,N$3,$D$3)</f>
        <v>3.4191668900233285</v>
      </c>
      <c r="O103" s="26">
        <f ca="1">[1]!i_pq_pctchange($D103,O$3,$D$3)</f>
        <v>-1.4294887712648974</v>
      </c>
      <c r="P103" s="6"/>
      <c r="Q103" s="8"/>
    </row>
    <row r="104" spans="1:18" s="2" customFormat="1" ht="16.5">
      <c r="A104" s="8"/>
      <c r="B104" s="6"/>
      <c r="C104" s="35" t="s">
        <v>143</v>
      </c>
      <c r="D104" s="27" t="str">
        <f>[1]!to_windcode(C104)</f>
        <v>MERV.GI</v>
      </c>
      <c r="E104" s="28">
        <f ca="1">[1]!i_dq_close(D104,$D$3)</f>
        <v>1244523.75</v>
      </c>
      <c r="F104" s="29">
        <f ca="1">[1]!i_dq_pctchange(D104,$F$3)</f>
        <v>0</v>
      </c>
      <c r="G104" s="29"/>
      <c r="H104" s="29"/>
      <c r="I104" s="29"/>
      <c r="J104" s="29">
        <f ca="1">[1]!i_pq_pctchange($D104,J$3,$D$3)</f>
        <v>2.4829789066879826</v>
      </c>
      <c r="K104" s="29">
        <f ca="1">[1]!i_pq_pctchange($D104,K$3,$D$3)</f>
        <v>18.445874547055485</v>
      </c>
      <c r="L104" s="29">
        <f ca="1">[1]!i_pq_pctchange($D104,L$3,$D$3)</f>
        <v>20.462334813428562</v>
      </c>
      <c r="M104" s="29">
        <f ca="1">[1]!i_pq_pctchange($D104,M$3,$D$3)</f>
        <v>63.608084280547338</v>
      </c>
      <c r="N104" s="29">
        <f ca="1">[1]!i_pq_pctchange($D104,N$3,$D$3)</f>
        <v>360.37378234475642</v>
      </c>
      <c r="O104" s="29">
        <f ca="1">[1]!i_pq_pctchange($D104,O$3,$D$3)</f>
        <v>33.862336363139335</v>
      </c>
      <c r="P104" s="6"/>
      <c r="Q104" s="8"/>
    </row>
    <row r="105" spans="1:18" s="2" customFormat="1" ht="16.5">
      <c r="A105" s="8"/>
      <c r="B105" s="6"/>
      <c r="C105" s="34" t="s">
        <v>144</v>
      </c>
      <c r="D105" s="24" t="str">
        <f>[1]!to_windcode(C105)</f>
        <v>IBVC.GI</v>
      </c>
      <c r="E105" s="25">
        <f ca="1">[1]!i_dq_close(D105,$D$3)</f>
        <v>61239.199999999997</v>
      </c>
      <c r="F105" s="26">
        <f ca="1">[1]!i_dq_pctchange(D105,$F$3)</f>
        <v>0</v>
      </c>
      <c r="G105" s="26"/>
      <c r="H105" s="26"/>
      <c r="I105" s="26"/>
      <c r="J105" s="26">
        <f ca="1">[1]!i_pq_pctchange($D105,J$3,$D$3)</f>
        <v>3.8236913703821207</v>
      </c>
      <c r="K105" s="26">
        <f ca="1">[1]!i_pq_pctchange($D105,K$3,$D$3)</f>
        <v>14.490254646927369</v>
      </c>
      <c r="L105" s="26">
        <f ca="1">[1]!i_pq_pctchange($D105,L$3,$D$3)</f>
        <v>9.5521843906849249</v>
      </c>
      <c r="M105" s="26">
        <f ca="1">[1]!i_pq_pctchange($D105,M$3,$D$3)</f>
        <v>36.342010073499623</v>
      </c>
      <c r="N105" s="26">
        <f ca="1">[1]!i_pq_pctchange($D105,N$3,$D$3)</f>
        <v>114.00881417508901</v>
      </c>
      <c r="O105" s="26">
        <f ca="1">[1]!i_pq_pctchange($D105,O$3,$D$3)</f>
        <v>5.8907056694458504</v>
      </c>
      <c r="P105" s="6"/>
      <c r="Q105" s="8"/>
    </row>
    <row r="106" spans="1:18" s="2" customFormat="1" ht="16.5">
      <c r="A106" s="8"/>
      <c r="B106" s="6"/>
      <c r="C106" s="35" t="s">
        <v>145</v>
      </c>
      <c r="D106" s="27">
        <f>[1]!to_windcode(C106)</f>
        <v>0</v>
      </c>
      <c r="E106" s="28">
        <f ca="1">[1]!i_dq_close(D106,$D$3)</f>
        <v>0</v>
      </c>
      <c r="F106" s="29">
        <f ca="1">[1]!i_dq_pctchange(D106,$F$3)</f>
        <v>0</v>
      </c>
      <c r="G106" s="29"/>
      <c r="H106" s="29"/>
      <c r="I106" s="29"/>
      <c r="J106" s="29">
        <f ca="1">[1]!i_pq_pctchange($D106,J$3,$D$3)</f>
        <v>0</v>
      </c>
      <c r="K106" s="29">
        <f ca="1">[1]!i_pq_pctchange($D106,K$3,$D$3)</f>
        <v>0</v>
      </c>
      <c r="L106" s="29">
        <f ca="1">[1]!i_pq_pctchange($D106,L$3,$D$3)</f>
        <v>0</v>
      </c>
      <c r="M106" s="29">
        <f ca="1">[1]!i_pq_pctchange($D106,M$3,$D$3)</f>
        <v>0</v>
      </c>
      <c r="N106" s="29">
        <f ca="1">[1]!i_pq_pctchange($D106,N$3,$D$3)</f>
        <v>0</v>
      </c>
      <c r="O106" s="29">
        <f ca="1">[1]!i_pq_pctchange($D106,O$3,$D$3)</f>
        <v>0</v>
      </c>
      <c r="P106" s="6"/>
      <c r="Q106" s="8"/>
    </row>
    <row r="107" spans="1:18" s="2" customFormat="1" ht="16.5">
      <c r="A107" s="8"/>
      <c r="B107" s="6"/>
      <c r="C107" s="34" t="s">
        <v>154</v>
      </c>
      <c r="D107" s="24" t="str">
        <f>[1]!to_windcode(C107)</f>
        <v>IBOVESPA.GI</v>
      </c>
      <c r="E107" s="25">
        <f ca="1">[1]!i_dq_close(D107,$D$3)</f>
        <v>125946.09</v>
      </c>
      <c r="F107" s="26">
        <f ca="1">[1]!i_dq_pctchange(D107,$F$3)</f>
        <v>0</v>
      </c>
      <c r="G107" s="26"/>
      <c r="H107" s="26"/>
      <c r="I107" s="26"/>
      <c r="J107" s="26">
        <f ca="1">[1]!i_pq_pctchange($D107,J$3,$D$3)</f>
        <v>-0.66983497273285231</v>
      </c>
      <c r="K107" s="26">
        <f ca="1">[1]!i_pq_pctchange($D107,K$3,$D$3)</f>
        <v>-1.6092676869569833</v>
      </c>
      <c r="L107" s="26">
        <f ca="1">[1]!i_pq_pctchange($D107,L$3,$D$3)</f>
        <v>-3.8488966175213246</v>
      </c>
      <c r="M107" s="26">
        <f ca="1">[1]!i_pq_pctchange($D107,M$3,$D$3)</f>
        <v>8.804881866798997</v>
      </c>
      <c r="N107" s="26">
        <f ca="1">[1]!i_pq_pctchange($D107,N$3,$D$3)</f>
        <v>18.306061976641441</v>
      </c>
      <c r="O107" s="26">
        <f ca="1">[1]!i_pq_pctchange($D107,O$3,$D$3)</f>
        <v>-6.1401313587097883</v>
      </c>
      <c r="P107" s="6"/>
      <c r="Q107" s="8"/>
    </row>
    <row r="108" spans="1:18" s="2" customFormat="1" ht="16.5">
      <c r="A108" s="8"/>
      <c r="B108" s="6"/>
      <c r="C108" s="35" t="s">
        <v>159</v>
      </c>
      <c r="D108" s="27" t="str">
        <f>[1]!to_windcode(C108)</f>
        <v>AS51.GI</v>
      </c>
      <c r="E108" s="28">
        <f ca="1">[1]!i_dq_close(D108,$D$3)</f>
        <v>7788.1</v>
      </c>
      <c r="F108" s="29">
        <f ca="1">[1]!i_dq_pctchange(D108,$F$3)</f>
        <v>0</v>
      </c>
      <c r="G108" s="29"/>
      <c r="H108" s="29"/>
      <c r="I108" s="29"/>
      <c r="J108" s="29">
        <f ca="1">[1]!i_pq_pctchange($D108,J$3,$D$3)</f>
        <v>0.19039532759574929</v>
      </c>
      <c r="K108" s="29">
        <f ca="1">[1]!i_pq_pctchange($D108,K$3,$D$3)</f>
        <v>0.75943799001216838</v>
      </c>
      <c r="L108" s="29">
        <f ca="1">[1]!i_pq_pctchange($D108,L$3,$D$3)</f>
        <v>3.8648760385687542</v>
      </c>
      <c r="M108" s="29">
        <f ca="1">[1]!i_pq_pctchange($D108,M$3,$D$3)</f>
        <v>10.453836335271593</v>
      </c>
      <c r="N108" s="29">
        <f ca="1">[1]!i_pq_pctchange($D108,N$3,$D$3)</f>
        <v>6.3351041969604616</v>
      </c>
      <c r="O108" s="29">
        <f ca="1">[1]!i_pq_pctchange($D108,O$3,$D$3)</f>
        <v>2.5991990304052193</v>
      </c>
      <c r="P108" s="6"/>
      <c r="Q108" s="8"/>
    </row>
    <row r="109" spans="1:18" s="2" customFormat="1" ht="16.5">
      <c r="A109" s="8"/>
      <c r="B109" s="6"/>
      <c r="C109" s="34" t="s">
        <v>160</v>
      </c>
      <c r="D109" s="24" t="str">
        <f>[1]!to_windcode(C109)</f>
        <v>NZ50.GI</v>
      </c>
      <c r="E109" s="25">
        <f ca="1">[1]!i_dq_close(D109,$D$3)</f>
        <v>11931.32</v>
      </c>
      <c r="F109" s="26">
        <f ca="1">[1]!i_dq_pctchange(D109,$F$3)</f>
        <v>0</v>
      </c>
      <c r="G109" s="26"/>
      <c r="H109" s="26"/>
      <c r="I109" s="26"/>
      <c r="J109" s="26">
        <f ca="1">[1]!i_pq_pctchange($D109,J$3,$D$3)</f>
        <v>-0.67364621419485626</v>
      </c>
      <c r="K109" s="26">
        <f ca="1">[1]!i_pq_pctchange($D109,K$3,$D$3)</f>
        <v>1.0356490208332181</v>
      </c>
      <c r="L109" s="26">
        <f ca="1">[1]!i_pq_pctchange($D109,L$3,$D$3)</f>
        <v>0.61568638364151163</v>
      </c>
      <c r="M109" s="26">
        <f ca="1">[1]!i_pq_pctchange($D109,M$3,$D$3)</f>
        <v>5.9081887353848783</v>
      </c>
      <c r="N109" s="26">
        <f ca="1">[1]!i_pq_pctchange($D109,N$3,$D$3)</f>
        <v>3.8555477140711503E-3</v>
      </c>
      <c r="O109" s="26">
        <f ca="1">[1]!i_pq_pctchange($D109,O$3,$D$3)</f>
        <v>1.3663832176910251</v>
      </c>
      <c r="P109" s="6"/>
      <c r="Q109" s="8"/>
    </row>
    <row r="110" spans="1:18" s="2" customFormat="1" ht="16.5">
      <c r="A110" s="8"/>
      <c r="B110" s="6"/>
      <c r="C110" s="35" t="s">
        <v>193</v>
      </c>
      <c r="D110" s="27" t="str">
        <f>[1]!to_windcode(C110)</f>
        <v>CASE.GI</v>
      </c>
      <c r="E110" s="28">
        <f ca="1">[1]!i_dq_close(D110,$D$3)</f>
        <v>28503.75</v>
      </c>
      <c r="F110" s="29">
        <f ca="1">[1]!i_dq_pctchange(D110,$F$3)</f>
        <v>0</v>
      </c>
      <c r="G110" s="29"/>
      <c r="H110" s="29"/>
      <c r="I110" s="29"/>
      <c r="J110" s="29">
        <f ca="1">[1]!i_pq_pctchange($D110,J$3,$D$3)</f>
        <v>-8.4543130326908411E-3</v>
      </c>
      <c r="K110" s="29">
        <f ca="1">[1]!i_pq_pctchange($D110,K$3,$D$3)</f>
        <v>-8.0935697178166741</v>
      </c>
      <c r="L110" s="29">
        <f ca="1">[1]!i_pq_pctchange($D110,L$3,$D$3)</f>
        <v>11.695092920050554</v>
      </c>
      <c r="M110" s="29">
        <f ca="1">[1]!i_pq_pctchange($D110,M$3,$D$3)</f>
        <v>42.503787102354273</v>
      </c>
      <c r="N110" s="29">
        <f ca="1">[1]!i_pq_pctchange($D110,N$3,$D$3)</f>
        <v>61.299951842736824</v>
      </c>
      <c r="O110" s="29">
        <f ca="1">[1]!i_pq_pctchange($D110,O$3,$D$3)</f>
        <v>14.783082474687625</v>
      </c>
      <c r="P110" s="6"/>
      <c r="Q110" s="8"/>
      <c r="R110" s="3"/>
    </row>
    <row r="111" spans="1:18" s="2" customFormat="1" ht="16.5">
      <c r="A111" s="8"/>
      <c r="B111" s="6"/>
      <c r="C111" s="34" t="s">
        <v>194</v>
      </c>
      <c r="D111" s="24" t="str">
        <f>[1]!to_windcode(C111)</f>
        <v>NGSEINDX.GI</v>
      </c>
      <c r="E111" s="25">
        <f ca="1">[1]!i_dq_close(D111,$D$3)</f>
        <v>102314.56</v>
      </c>
      <c r="F111" s="26">
        <f ca="1">[1]!i_dq_pctchange(D111,$F$3)</f>
        <v>0</v>
      </c>
      <c r="G111" s="26"/>
      <c r="H111" s="26"/>
      <c r="I111" s="26"/>
      <c r="J111" s="26">
        <f ca="1">[1]!i_pq_pctchange($D111,J$3,$D$3)</f>
        <v>-1.0857843182275895</v>
      </c>
      <c r="K111" s="26">
        <f ca="1">[1]!i_pq_pctchange($D111,K$3,$D$3)</f>
        <v>-1.6277000819844845</v>
      </c>
      <c r="L111" s="26">
        <f ca="1">[1]!i_pq_pctchange($D111,L$3,$D$3)</f>
        <v>23.206783573225209</v>
      </c>
      <c r="M111" s="26">
        <f ca="1">[1]!i_pq_pctchange($D111,M$3,$D$3)</f>
        <v>52.252246219495646</v>
      </c>
      <c r="N111" s="26">
        <f ca="1">[1]!i_pq_pctchange($D111,N$3,$D$3)</f>
        <v>96.968692402556727</v>
      </c>
      <c r="O111" s="26">
        <f ca="1">[1]!i_pq_pctchange($D111,O$3,$D$3)</f>
        <v>36.832007446453517</v>
      </c>
      <c r="P111" s="6"/>
      <c r="Q111" s="8"/>
    </row>
    <row r="112" spans="1:18" s="2" customFormat="1" ht="16.5">
      <c r="A112" s="8"/>
      <c r="B112" s="6"/>
      <c r="C112" s="35" t="s">
        <v>196</v>
      </c>
      <c r="D112" s="27" t="str">
        <f>[1]!to_windcode(C112)</f>
        <v>BLOM.GI</v>
      </c>
      <c r="E112" s="28">
        <f ca="1">[1]!i_dq_close(D112,$D$3)</f>
        <v>1688.9816000000001</v>
      </c>
      <c r="F112" s="29">
        <f ca="1">[1]!i_dq_pctchange(D112,$F$3)</f>
        <v>0</v>
      </c>
      <c r="G112" s="29"/>
      <c r="H112" s="29"/>
      <c r="I112" s="29"/>
      <c r="J112" s="29">
        <f ca="1">[1]!i_pq_pctchange($D112,J$3,$D$3)</f>
        <v>-2.0688116439769866</v>
      </c>
      <c r="K112" s="29">
        <f ca="1">[1]!i_pq_pctchange($D112,K$3,$D$3)</f>
        <v>-2.2471987498154378</v>
      </c>
      <c r="L112" s="29">
        <f ca="1">[1]!i_pq_pctchange($D112,L$3,$D$3)</f>
        <v>-7.7700459947982576</v>
      </c>
      <c r="M112" s="29">
        <f ca="1">[1]!i_pq_pctchange($D112,M$3,$D$3)</f>
        <v>-4.9315936244597181</v>
      </c>
      <c r="N112" s="29">
        <f ca="1">[1]!i_pq_pctchange($D112,N$3,$D$3)</f>
        <v>-10.106808538722078</v>
      </c>
      <c r="O112" s="29">
        <f ca="1">[1]!i_pq_pctchange($D112,O$3,$D$3)</f>
        <v>-15.349146224941768</v>
      </c>
      <c r="P112" s="6"/>
      <c r="Q112" s="8"/>
    </row>
    <row r="113" spans="1:18" s="2" customFormat="1" ht="16.5">
      <c r="A113" s="8"/>
      <c r="B113" s="6"/>
      <c r="C113" s="34" t="s">
        <v>197</v>
      </c>
      <c r="D113" s="24" t="str">
        <f>[1]!to_windcode(C113)</f>
        <v>SASEIDX.GI</v>
      </c>
      <c r="E113" s="25">
        <f ca="1">[1]!i_dq_close(D113,$D$3)</f>
        <v>12666.9</v>
      </c>
      <c r="F113" s="26">
        <f ca="1">[1]!i_dq_pctchange(D113,$F$3)</f>
        <v>-0.30317769999999999</v>
      </c>
      <c r="G113" s="26"/>
      <c r="H113" s="26"/>
      <c r="I113" s="26"/>
      <c r="J113" s="26">
        <f ca="1">[1]!i_pq_pctchange($D113,J$3,$D$3)</f>
        <v>-0.30317769896627267</v>
      </c>
      <c r="K113" s="26">
        <f ca="1">[1]!i_pq_pctchange($D113,K$3,$D$3)</f>
        <v>-0.44210749696419471</v>
      </c>
      <c r="L113" s="26">
        <f ca="1">[1]!i_pq_pctchange($D113,L$3,$D$3)</f>
        <v>4.5461035697159646</v>
      </c>
      <c r="M113" s="26">
        <f ca="1">[1]!i_pq_pctchange($D113,M$3,$D$3)</f>
        <v>19.654607593645324</v>
      </c>
      <c r="N113" s="26">
        <f ca="1">[1]!i_pq_pctchange($D113,N$3,$D$3)</f>
        <v>15.524680633343269</v>
      </c>
      <c r="O113" s="26">
        <f ca="1">[1]!i_pq_pctchange($D113,O$3,$D$3)</f>
        <v>5.8451341520582289</v>
      </c>
      <c r="P113" s="6"/>
      <c r="Q113" s="8"/>
    </row>
    <row r="114" spans="1:18" s="2" customFormat="1" ht="16.5">
      <c r="A114" s="8"/>
      <c r="B114" s="6"/>
      <c r="C114" s="35" t="s">
        <v>198</v>
      </c>
      <c r="D114" s="27" t="str">
        <f>[1]!to_windcode(C114)</f>
        <v>DFM.GI</v>
      </c>
      <c r="E114" s="28">
        <f ca="1">[1]!i_dq_close(D114,$D$3)</f>
        <v>4244.1499999999996</v>
      </c>
      <c r="F114" s="29">
        <f ca="1">[1]!i_dq_pctchange(D114,$F$3)</f>
        <v>0</v>
      </c>
      <c r="G114" s="29"/>
      <c r="H114" s="29"/>
      <c r="I114" s="29"/>
      <c r="J114" s="29">
        <f ca="1">[1]!i_pq_pctchange($D114,J$3,$D$3)</f>
        <v>0</v>
      </c>
      <c r="K114" s="29">
        <f ca="1">[1]!i_pq_pctchange($D114,K$3,$D$3)</f>
        <v>-0.35428855852217556</v>
      </c>
      <c r="L114" s="29">
        <f ca="1">[1]!i_pq_pctchange($D114,L$3,$D$3)</f>
        <v>3.4121892444403334</v>
      </c>
      <c r="M114" s="29">
        <f ca="1">[1]!i_pq_pctchange($D114,M$3,$D$3)</f>
        <v>7.0390032912573508</v>
      </c>
      <c r="N114" s="29">
        <f ca="1">[1]!i_pq_pctchange($D114,N$3,$D$3)</f>
        <v>21.698151079301709</v>
      </c>
      <c r="O114" s="29">
        <f ca="1">[1]!i_pq_pctchange($D114,O$3,$D$3)</f>
        <v>4.5408640819744717</v>
      </c>
      <c r="P114" s="6"/>
      <c r="Q114" s="8"/>
      <c r="R114" s="3"/>
    </row>
    <row r="115" spans="1:18" s="2" customFormat="1" ht="16.5">
      <c r="A115" s="8"/>
      <c r="B115" s="6"/>
      <c r="C115" s="34" t="s">
        <v>199</v>
      </c>
      <c r="D115" s="24" t="str">
        <f>[1]!to_windcode(C115)</f>
        <v>990300.MI</v>
      </c>
      <c r="E115" s="25">
        <f ca="1">[1]!i_dq_close(D115,$D$3)</f>
        <v>2289.7646209999998</v>
      </c>
      <c r="F115" s="26">
        <f ca="1">[1]!i_dq_pctchange(D115,$F$3)</f>
        <v>0</v>
      </c>
      <c r="G115" s="26"/>
      <c r="H115" s="26"/>
      <c r="I115" s="26"/>
      <c r="J115" s="26">
        <f ca="1">[1]!i_pq_pctchange($D115,J$3,$D$3)</f>
        <v>-1.1906894039065596</v>
      </c>
      <c r="K115" s="26">
        <f ca="1">[1]!i_pq_pctchange($D115,K$3,$D$3)</f>
        <v>-2.418772701149007</v>
      </c>
      <c r="L115" s="26">
        <f ca="1">[1]!i_pq_pctchange($D115,L$3,$D$3)</f>
        <v>2.8239949043488215</v>
      </c>
      <c r="M115" s="26">
        <f ca="1">[1]!i_pq_pctchange($D115,M$3,$D$3)</f>
        <v>13.767121789087753</v>
      </c>
      <c r="N115" s="26">
        <f ca="1">[1]!i_pq_pctchange($D115,N$3,$D$3)</f>
        <v>6.7605413117605373</v>
      </c>
      <c r="O115" s="26">
        <f ca="1">[1]!i_pq_pctchange($D115,O$3,$D$3)</f>
        <v>2.397111378738273</v>
      </c>
      <c r="P115" s="6"/>
      <c r="Q115" s="8"/>
    </row>
    <row r="116" spans="1:18" s="2" customFormat="1" ht="11.25" customHeight="1">
      <c r="A116" s="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8"/>
    </row>
    <row r="117" spans="1:18" s="2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18" s="2" customFormat="1">
      <c r="A118" s="8"/>
      <c r="B118" s="6"/>
      <c r="C118" s="6"/>
      <c r="D118" s="6"/>
      <c r="E118" s="6"/>
      <c r="F118" s="6"/>
      <c r="G118" s="6"/>
      <c r="H118" s="8"/>
      <c r="I118" s="6"/>
      <c r="J118" s="6"/>
      <c r="K118" s="6"/>
      <c r="L118" s="6"/>
      <c r="M118" s="6"/>
      <c r="N118" s="6"/>
      <c r="O118" s="6"/>
      <c r="P118" s="6"/>
      <c r="Q118" s="8"/>
    </row>
    <row r="119" spans="1:18" s="2" customFormat="1" ht="22.5" customHeight="1">
      <c r="A119" s="8"/>
      <c r="B119" s="6"/>
      <c r="C119" s="14" t="s">
        <v>33</v>
      </c>
      <c r="D119" s="9"/>
      <c r="E119" s="9"/>
      <c r="F119" s="9"/>
      <c r="G119" s="6"/>
      <c r="H119" s="8"/>
      <c r="I119" s="6"/>
      <c r="J119" s="14" t="s">
        <v>33</v>
      </c>
      <c r="K119" s="14"/>
      <c r="L119" s="9"/>
      <c r="M119" s="9"/>
      <c r="N119" s="9"/>
      <c r="O119" s="9"/>
      <c r="P119" s="6"/>
      <c r="Q119" s="8"/>
    </row>
    <row r="120" spans="1:18" s="2" customFormat="1">
      <c r="A120" s="8"/>
      <c r="B120" s="6"/>
      <c r="C120" s="6"/>
      <c r="D120" s="6"/>
      <c r="E120" s="6"/>
      <c r="F120" s="6"/>
      <c r="G120" s="6"/>
      <c r="H120" s="8"/>
      <c r="I120" s="6"/>
      <c r="J120" s="6"/>
      <c r="K120" s="6"/>
      <c r="L120" s="6"/>
      <c r="M120" s="6"/>
      <c r="N120" s="6"/>
      <c r="O120" s="6"/>
      <c r="P120" s="6"/>
      <c r="Q120" s="8"/>
    </row>
    <row r="121" spans="1:18" s="2" customFormat="1" ht="16.5">
      <c r="A121" s="8"/>
      <c r="B121" s="6"/>
      <c r="C121" s="21" t="s">
        <v>30</v>
      </c>
      <c r="D121" s="23" t="s">
        <v>31</v>
      </c>
      <c r="E121" s="46" t="s">
        <v>32</v>
      </c>
      <c r="F121" s="46"/>
      <c r="G121" s="6"/>
      <c r="H121" s="8"/>
      <c r="I121" s="11"/>
      <c r="J121" s="11"/>
      <c r="K121" s="11"/>
      <c r="L121" s="11"/>
      <c r="M121" s="11"/>
      <c r="N121" s="11"/>
      <c r="O121" s="11"/>
      <c r="P121" s="6"/>
      <c r="Q121" s="8"/>
    </row>
    <row r="122" spans="1:18" s="2" customFormat="1" ht="16.5">
      <c r="A122" s="8"/>
      <c r="B122" s="6"/>
      <c r="C122" s="30">
        <v>1</v>
      </c>
      <c r="D122" s="32" t="str">
        <f ca="1">VLOOKUP(E122,IF({1,0},J:J,C:C),2,FALSE)</f>
        <v>CBOE波动率</v>
      </c>
      <c r="E122" s="45">
        <f ca="1">LARGE($J$9:$J$110,1)</f>
        <v>7.9850280723642975</v>
      </c>
      <c r="F122" s="45"/>
      <c r="G122" s="6"/>
      <c r="H122" s="8"/>
      <c r="I122" s="7"/>
      <c r="J122" s="7"/>
      <c r="K122" s="7"/>
      <c r="L122" s="7"/>
      <c r="M122" s="7"/>
      <c r="N122" s="7"/>
      <c r="O122" s="7"/>
      <c r="P122" s="6"/>
      <c r="Q122" s="8"/>
    </row>
    <row r="123" spans="1:18" s="2" customFormat="1" ht="16.5">
      <c r="A123" s="8"/>
      <c r="B123" s="6"/>
      <c r="C123" s="31">
        <v>2</v>
      </c>
      <c r="D123" s="33" t="str">
        <f ca="1">VLOOKUP(E123,IF({1,0},J:J,C:C),2,FALSE)</f>
        <v>委内瑞拉IBC</v>
      </c>
      <c r="E123" s="47">
        <f ca="1">LARGE($J$9:$J$110,2)</f>
        <v>3.8236913703821207</v>
      </c>
      <c r="F123" s="47"/>
      <c r="G123" s="6"/>
      <c r="H123" s="8"/>
      <c r="I123" s="10"/>
      <c r="J123" s="10"/>
      <c r="K123" s="10"/>
      <c r="L123" s="10"/>
      <c r="M123" s="10"/>
      <c r="N123" s="10"/>
      <c r="O123" s="10"/>
      <c r="P123" s="6"/>
      <c r="Q123" s="8"/>
    </row>
    <row r="124" spans="1:18" s="2" customFormat="1" ht="16.5">
      <c r="A124" s="8"/>
      <c r="B124" s="6"/>
      <c r="C124" s="30">
        <v>3</v>
      </c>
      <c r="D124" s="32" t="str">
        <f ca="1">VLOOKUP(E124,IF({1,0},J:J,C:C),2,FALSE)</f>
        <v>葡萄牙PSI</v>
      </c>
      <c r="E124" s="45">
        <f ca="1">LARGE($J$9:$J$110,3)</f>
        <v>3.1515645554544003</v>
      </c>
      <c r="F124" s="45"/>
      <c r="G124" s="6"/>
      <c r="H124" s="8"/>
      <c r="I124" s="7"/>
      <c r="J124" s="7"/>
      <c r="K124" s="7"/>
      <c r="L124" s="7"/>
      <c r="M124" s="7"/>
      <c r="N124" s="7"/>
      <c r="O124" s="7"/>
      <c r="P124" s="6"/>
      <c r="Q124" s="8"/>
    </row>
    <row r="125" spans="1:18" s="2" customFormat="1" ht="16.5">
      <c r="A125" s="8"/>
      <c r="B125" s="6"/>
      <c r="C125" s="31">
        <v>4</v>
      </c>
      <c r="D125" s="33" t="str">
        <f ca="1">VLOOKUP(E125,IF({1,0},J:J,C:C),2,FALSE)</f>
        <v>阿根廷MERV</v>
      </c>
      <c r="E125" s="47">
        <f ca="1">LARGE($J$9:$J$110,4)</f>
        <v>2.4829789066879826</v>
      </c>
      <c r="F125" s="47"/>
      <c r="G125" s="6"/>
      <c r="H125" s="8"/>
      <c r="I125" s="10"/>
      <c r="J125" s="10"/>
      <c r="K125" s="10"/>
      <c r="L125" s="10"/>
      <c r="M125" s="10"/>
      <c r="N125" s="10"/>
      <c r="O125" s="10"/>
      <c r="P125" s="6"/>
      <c r="Q125" s="8"/>
    </row>
    <row r="126" spans="1:18" s="2" customFormat="1" ht="16.5">
      <c r="A126" s="8"/>
      <c r="B126" s="6"/>
      <c r="C126" s="30">
        <v>5</v>
      </c>
      <c r="D126" s="32" t="str">
        <f ca="1">VLOOKUP(E126,IF({1,0},J:J,C:C),2,FALSE)</f>
        <v>台湾50</v>
      </c>
      <c r="E126" s="45">
        <f ca="1">LARGE($J$9:$J$110,5)</f>
        <v>2.2454240864658415</v>
      </c>
      <c r="F126" s="45"/>
      <c r="G126" s="6"/>
      <c r="H126" s="8"/>
      <c r="I126" s="10"/>
      <c r="J126" s="10"/>
      <c r="K126" s="10"/>
      <c r="L126" s="10"/>
      <c r="M126" s="10"/>
      <c r="N126" s="10"/>
      <c r="O126" s="10"/>
      <c r="P126" s="6"/>
      <c r="Q126" s="8"/>
    </row>
    <row r="127" spans="1:18" s="2" customFormat="1">
      <c r="A127" s="8"/>
      <c r="B127" s="6"/>
      <c r="C127" s="6"/>
      <c r="D127" s="6"/>
      <c r="E127" s="6"/>
      <c r="F127" s="6"/>
      <c r="G127" s="6"/>
      <c r="H127" s="8"/>
      <c r="I127" s="7"/>
      <c r="J127" s="7"/>
      <c r="K127" s="7"/>
      <c r="L127" s="7"/>
      <c r="M127" s="7"/>
      <c r="N127" s="7"/>
      <c r="O127" s="7"/>
      <c r="P127" s="6"/>
      <c r="Q127" s="8"/>
    </row>
    <row r="128" spans="1:18" s="2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 s="2" customFormat="1">
      <c r="A129" s="8"/>
      <c r="B129" s="6"/>
      <c r="C129" s="6"/>
      <c r="D129" s="6"/>
      <c r="E129" s="6"/>
      <c r="F129" s="6"/>
      <c r="G129" s="6"/>
      <c r="H129" s="8"/>
      <c r="I129" s="6"/>
      <c r="J129" s="6"/>
      <c r="K129" s="6"/>
      <c r="L129" s="6"/>
      <c r="M129" s="6"/>
      <c r="N129" s="6"/>
      <c r="O129" s="6"/>
      <c r="P129" s="6"/>
      <c r="Q129" s="8"/>
    </row>
    <row r="130" spans="1:17" s="2" customFormat="1" ht="17.25">
      <c r="A130" s="8"/>
      <c r="B130" s="6"/>
      <c r="C130" s="14" t="s">
        <v>34</v>
      </c>
      <c r="D130" s="9"/>
      <c r="E130" s="9"/>
      <c r="F130" s="9"/>
      <c r="G130" s="6"/>
      <c r="H130" s="8"/>
      <c r="I130" s="6"/>
      <c r="J130" s="14" t="s">
        <v>34</v>
      </c>
      <c r="K130" s="14"/>
      <c r="L130" s="9"/>
      <c r="M130" s="9"/>
      <c r="N130" s="9"/>
      <c r="O130" s="9"/>
      <c r="P130" s="6"/>
      <c r="Q130" s="8"/>
    </row>
    <row r="131" spans="1:17" s="2" customFormat="1" ht="11.25" customHeight="1">
      <c r="A131" s="8"/>
      <c r="B131" s="6"/>
      <c r="C131" s="6"/>
      <c r="D131" s="6"/>
      <c r="E131" s="6"/>
      <c r="F131" s="6"/>
      <c r="G131" s="6"/>
      <c r="H131" s="8"/>
      <c r="I131" s="6"/>
      <c r="J131" s="6"/>
      <c r="K131" s="6"/>
      <c r="L131" s="6"/>
      <c r="M131" s="6"/>
      <c r="N131" s="6"/>
      <c r="O131" s="6"/>
      <c r="P131" s="6"/>
      <c r="Q131" s="8"/>
    </row>
    <row r="132" spans="1:17" s="2" customFormat="1" ht="16.5">
      <c r="A132" s="8"/>
      <c r="B132" s="6"/>
      <c r="C132" s="21" t="s">
        <v>30</v>
      </c>
      <c r="D132" s="23" t="s">
        <v>31</v>
      </c>
      <c r="E132" s="46" t="s">
        <v>32</v>
      </c>
      <c r="F132" s="46"/>
      <c r="G132" s="6"/>
      <c r="H132" s="8"/>
      <c r="I132" s="11"/>
      <c r="J132" s="11"/>
      <c r="K132" s="11"/>
      <c r="L132" s="11"/>
      <c r="M132" s="11"/>
      <c r="N132" s="11"/>
      <c r="O132" s="11"/>
      <c r="P132" s="6"/>
      <c r="Q132" s="8"/>
    </row>
    <row r="133" spans="1:17" s="2" customFormat="1" ht="16.5">
      <c r="A133" s="8"/>
      <c r="B133" s="6"/>
      <c r="C133" s="30">
        <v>1</v>
      </c>
      <c r="D133" s="32" t="str">
        <f ca="1">VLOOKUP(E133,IF({1,0},J:J,C:C),2,FALSE)</f>
        <v>创业板指</v>
      </c>
      <c r="E133" s="45">
        <f ca="1">SMALL($J$9:$J$110,1)</f>
        <v>-4.2129099353840349</v>
      </c>
      <c r="F133" s="45"/>
      <c r="G133" s="6"/>
      <c r="H133" s="8"/>
      <c r="I133" s="7"/>
      <c r="J133" s="7"/>
      <c r="K133" s="7"/>
      <c r="L133" s="7"/>
      <c r="M133" s="7"/>
      <c r="N133" s="7"/>
      <c r="O133" s="7"/>
      <c r="P133" s="6"/>
      <c r="Q133" s="8"/>
    </row>
    <row r="134" spans="1:17" s="2" customFormat="1" ht="16.5">
      <c r="A134" s="8"/>
      <c r="B134" s="6"/>
      <c r="C134" s="31">
        <v>2</v>
      </c>
      <c r="D134" s="33" t="str">
        <f ca="1">VLOOKUP(E134,IF({1,0},J:J,C:C),2,FALSE)</f>
        <v>深证100</v>
      </c>
      <c r="E134" s="47">
        <f ca="1">SMALL($J$9:$J$110,2)</f>
        <v>-3.8843093293280839</v>
      </c>
      <c r="F134" s="47"/>
      <c r="G134" s="6"/>
      <c r="H134" s="8"/>
      <c r="I134" s="10"/>
      <c r="J134" s="10"/>
      <c r="K134" s="10"/>
      <c r="L134" s="10"/>
      <c r="M134" s="10"/>
      <c r="N134" s="10"/>
      <c r="O134" s="10"/>
      <c r="P134" s="6"/>
      <c r="Q134" s="8"/>
    </row>
    <row r="135" spans="1:17" s="2" customFormat="1" ht="16.5">
      <c r="A135" s="8"/>
      <c r="B135" s="6"/>
      <c r="C135" s="30">
        <v>3</v>
      </c>
      <c r="D135" s="32" t="str">
        <f ca="1">VLOOKUP(E135,IF({1,0},J:J,C:C),2,FALSE)</f>
        <v>深证成指</v>
      </c>
      <c r="E135" s="45">
        <f ca="1">SMALL($J$9:$J$110,3)</f>
        <v>-3.3162783660577344</v>
      </c>
      <c r="F135" s="45"/>
      <c r="G135" s="6"/>
      <c r="H135" s="8"/>
      <c r="I135" s="7"/>
      <c r="J135" s="7"/>
      <c r="K135" s="7"/>
      <c r="L135" s="7"/>
      <c r="M135" s="7"/>
      <c r="N135" s="7"/>
      <c r="O135" s="7"/>
      <c r="P135" s="6"/>
      <c r="Q135" s="8"/>
    </row>
    <row r="136" spans="1:17" s="2" customFormat="1" ht="16.5">
      <c r="A136" s="8"/>
      <c r="B136" s="6"/>
      <c r="C136" s="31">
        <v>4</v>
      </c>
      <c r="D136" s="33" t="str">
        <f ca="1">VLOOKUP(E136,IF({1,0},J:J,C:C),2,FALSE)</f>
        <v>国证2000R</v>
      </c>
      <c r="E136" s="47">
        <f ca="1">SMALL($J$9:$J$110,4)</f>
        <v>-3.2485726326813236</v>
      </c>
      <c r="F136" s="47"/>
      <c r="G136" s="6"/>
      <c r="H136" s="8"/>
      <c r="I136" s="10"/>
      <c r="J136" s="10"/>
      <c r="K136" s="10"/>
      <c r="L136" s="10"/>
      <c r="M136" s="10"/>
      <c r="N136" s="10"/>
      <c r="O136" s="10"/>
      <c r="P136" s="6"/>
      <c r="Q136" s="8"/>
    </row>
    <row r="137" spans="1:17" s="2" customFormat="1" ht="16.5">
      <c r="A137" s="8"/>
      <c r="B137" s="6"/>
      <c r="C137" s="30">
        <v>5</v>
      </c>
      <c r="D137" s="32" t="str">
        <f ca="1">VLOOKUP(E137,IF({1,0},J:J,C:C),2,FALSE)</f>
        <v>中证1000</v>
      </c>
      <c r="E137" s="45">
        <f ca="1">SMALL($J$9:$J$110,5)</f>
        <v>-2.947816207830023</v>
      </c>
      <c r="F137" s="45"/>
      <c r="G137" s="6"/>
      <c r="H137" s="8"/>
      <c r="I137" s="10"/>
      <c r="J137" s="10"/>
      <c r="K137" s="10"/>
      <c r="L137" s="10"/>
      <c r="M137" s="10"/>
      <c r="N137" s="10"/>
      <c r="O137" s="10"/>
      <c r="P137" s="6"/>
      <c r="Q137" s="8"/>
    </row>
    <row r="138" spans="1:17" s="2" customFormat="1" ht="9" customHeight="1">
      <c r="A138" s="8"/>
      <c r="B138" s="6"/>
      <c r="C138" s="6"/>
      <c r="D138" s="6"/>
      <c r="E138" s="6"/>
      <c r="F138" s="6"/>
      <c r="G138" s="6"/>
      <c r="H138" s="8"/>
      <c r="I138" s="7"/>
      <c r="J138" s="7"/>
      <c r="K138" s="7"/>
      <c r="L138" s="7"/>
      <c r="M138" s="7"/>
      <c r="N138" s="7"/>
      <c r="O138" s="7"/>
      <c r="P138" s="6"/>
      <c r="Q138" s="8"/>
    </row>
    <row r="139" spans="1:17" s="2" customFormat="1" ht="11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s="2" customFormat="1" ht="11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>
      <c r="E141" s="12"/>
      <c r="F141" s="13"/>
      <c r="G141" s="13"/>
      <c r="H141" s="13"/>
      <c r="I141" s="13"/>
      <c r="J141" s="2"/>
      <c r="K141" s="2"/>
    </row>
    <row r="142" spans="1:17">
      <c r="E142" s="12"/>
      <c r="F142" s="13"/>
      <c r="G142" s="13"/>
      <c r="H142" s="13"/>
      <c r="I142" s="13"/>
      <c r="J142" s="2"/>
      <c r="K142" s="2"/>
    </row>
    <row r="143" spans="1:17">
      <c r="E143" s="12"/>
      <c r="F143" s="13"/>
      <c r="G143" s="13"/>
      <c r="H143" s="13"/>
      <c r="I143" s="13"/>
      <c r="J143" s="2"/>
      <c r="K143" s="2"/>
    </row>
    <row r="144" spans="1:17">
      <c r="E144" s="12"/>
      <c r="F144" s="13"/>
      <c r="G144" s="13"/>
      <c r="H144" s="13"/>
      <c r="I144" s="13"/>
      <c r="J144" s="2"/>
      <c r="K144" s="2"/>
    </row>
    <row r="145" spans="5:11">
      <c r="E145" s="12"/>
      <c r="F145" s="13"/>
      <c r="G145" s="13"/>
      <c r="H145" s="13"/>
      <c r="I145" s="13"/>
      <c r="J145" s="2"/>
      <c r="K145" s="2"/>
    </row>
    <row r="146" spans="5:11">
      <c r="E146" s="12"/>
      <c r="F146" s="13"/>
      <c r="G146" s="13"/>
      <c r="H146" s="13"/>
      <c r="I146" s="13"/>
      <c r="J146" s="2"/>
      <c r="K146" s="2"/>
    </row>
    <row r="147" spans="5:11">
      <c r="E147" s="12"/>
      <c r="F147" s="13"/>
      <c r="G147" s="13"/>
      <c r="H147" s="13"/>
      <c r="I147" s="13"/>
      <c r="J147" s="2"/>
      <c r="K147" s="2"/>
    </row>
    <row r="148" spans="5:11">
      <c r="E148" s="12"/>
      <c r="F148" s="13"/>
      <c r="G148" s="13"/>
      <c r="H148" s="13"/>
      <c r="I148" s="13"/>
      <c r="J148" s="2"/>
      <c r="K148" s="2"/>
    </row>
    <row r="149" spans="5:11">
      <c r="E149" s="12"/>
      <c r="F149" s="13"/>
      <c r="G149" s="13"/>
      <c r="H149" s="13"/>
      <c r="I149" s="13"/>
      <c r="J149" s="2"/>
      <c r="K149" s="2"/>
    </row>
    <row r="150" spans="5:11">
      <c r="E150" s="12"/>
      <c r="F150" s="13"/>
      <c r="G150" s="13"/>
      <c r="H150" s="13"/>
      <c r="I150" s="13"/>
      <c r="J150" s="2"/>
      <c r="K150" s="2"/>
    </row>
    <row r="151" spans="5:11">
      <c r="E151" s="12"/>
      <c r="F151" s="13"/>
      <c r="G151" s="13"/>
      <c r="H151" s="13"/>
      <c r="I151" s="13"/>
      <c r="J151" s="2"/>
      <c r="K151" s="2"/>
    </row>
    <row r="152" spans="5:11">
      <c r="E152" s="12"/>
      <c r="F152" s="13"/>
      <c r="G152" s="13"/>
      <c r="H152" s="13"/>
      <c r="I152" s="13"/>
      <c r="J152" s="2"/>
      <c r="K152" s="2"/>
    </row>
    <row r="153" spans="5:11">
      <c r="E153" s="12"/>
      <c r="F153" s="13"/>
      <c r="G153" s="13"/>
      <c r="H153" s="13"/>
      <c r="I153" s="13"/>
      <c r="J153" s="2"/>
      <c r="K153" s="2"/>
    </row>
  </sheetData>
  <mergeCells count="12">
    <mergeCell ref="E137:F137"/>
    <mergeCell ref="E121:F121"/>
    <mergeCell ref="E122:F122"/>
    <mergeCell ref="E123:F123"/>
    <mergeCell ref="E124:F124"/>
    <mergeCell ref="E125:F125"/>
    <mergeCell ref="E126:F126"/>
    <mergeCell ref="E132:F132"/>
    <mergeCell ref="E133:F133"/>
    <mergeCell ref="E134:F134"/>
    <mergeCell ref="E135:F135"/>
    <mergeCell ref="E136:F136"/>
  </mergeCells>
  <phoneticPr fontId="11" type="noConversion"/>
  <pageMargins left="0.7" right="0.7" top="0.75" bottom="0.75" header="0.3" footer="0.3"/>
  <pageSetup paperSize="9" orientation="portrait" horizontalDpi="120" verticalDpi="12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141"/>
  <sheetViews>
    <sheetView showGridLines="0" workbookViewId="0">
      <pane ySplit="1" topLeftCell="A2" activePane="bottomLeft" state="frozen"/>
      <selection pane="bottomLeft" activeCell="A38" sqref="A38"/>
    </sheetView>
  </sheetViews>
  <sheetFormatPr defaultRowHeight="12.75"/>
  <cols>
    <col min="1" max="1" width="2.5703125" style="2" customWidth="1"/>
    <col min="2" max="2" width="1.5703125" style="2" customWidth="1"/>
    <col min="3" max="3" width="23.7109375" style="2" customWidth="1"/>
    <col min="4" max="4" width="17.7109375" style="2" customWidth="1"/>
    <col min="5" max="5" width="14.7109375" style="2" customWidth="1"/>
    <col min="6" max="6" width="13.42578125" style="2" customWidth="1"/>
    <col min="7" max="7" width="13.28515625" style="2" customWidth="1"/>
    <col min="8" max="12" width="14" style="2" customWidth="1"/>
    <col min="13" max="13" width="2" style="2" customWidth="1"/>
    <col min="14" max="14" width="3" style="2" customWidth="1"/>
    <col min="15" max="16384" width="9.140625" style="2"/>
  </cols>
  <sheetData>
    <row r="1" spans="1:14" ht="27.75" customHeight="1">
      <c r="A1" s="4"/>
      <c r="B1" s="4"/>
      <c r="C1" s="4"/>
      <c r="D1" s="48" t="s">
        <v>103</v>
      </c>
      <c r="E1" s="4"/>
      <c r="F1" s="4"/>
      <c r="G1" s="4"/>
      <c r="H1" s="4"/>
      <c r="I1" s="4"/>
      <c r="J1" s="4"/>
      <c r="K1" s="5" t="s">
        <v>3</v>
      </c>
      <c r="L1" s="4"/>
      <c r="M1" s="4"/>
      <c r="N1" s="4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6.5">
      <c r="A3" s="8"/>
      <c r="B3" s="39"/>
      <c r="C3" s="38" t="s">
        <v>13</v>
      </c>
      <c r="D3" s="49">
        <f ca="1">TODAY()-3</f>
        <v>45396</v>
      </c>
      <c r="E3" s="50"/>
      <c r="F3" s="49">
        <f ca="1">D3</f>
        <v>45396</v>
      </c>
      <c r="G3" s="49">
        <f ca="1">D3-7</f>
        <v>45389</v>
      </c>
      <c r="H3" s="49">
        <f ca="1">DATE(YEAR($D3),MONTH($D3)-1,DAY($D3))</f>
        <v>45365</v>
      </c>
      <c r="I3" s="49">
        <f ca="1">DATE(YEAR($D3),MONTH($D3)-3,DAY($D3))</f>
        <v>45305</v>
      </c>
      <c r="J3" s="49">
        <f ca="1">DATE(YEAR($D3),MONTH($D3)-6,DAY($D3))</f>
        <v>45213</v>
      </c>
      <c r="K3" s="49">
        <f ca="1">DATE(YEAR($D3),MONTH($D3)-12,DAY($D3))</f>
        <v>45030</v>
      </c>
      <c r="L3" s="49">
        <f ca="1">DATE(YEAR($D$3),1,1)</f>
        <v>45292</v>
      </c>
      <c r="M3" s="8"/>
      <c r="N3" s="8"/>
    </row>
    <row r="4" spans="1:1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7.5" customHeight="1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/>
    </row>
    <row r="6" spans="1:14" ht="22.5" customHeight="1">
      <c r="A6" s="8"/>
      <c r="B6" s="6"/>
      <c r="C6" s="14" t="s">
        <v>68</v>
      </c>
      <c r="D6" s="9"/>
      <c r="E6" s="9"/>
      <c r="F6" s="9"/>
      <c r="G6" s="9"/>
      <c r="H6" s="9"/>
      <c r="I6" s="9"/>
      <c r="J6" s="9"/>
      <c r="K6" s="9"/>
      <c r="L6" s="9"/>
      <c r="M6" s="6"/>
      <c r="N6" s="8"/>
    </row>
    <row r="7" spans="1:14" ht="8.25" customHeight="1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</row>
    <row r="8" spans="1:14" ht="18.75" customHeight="1">
      <c r="A8" s="8"/>
      <c r="B8" s="6"/>
      <c r="C8" s="21" t="s">
        <v>4</v>
      </c>
      <c r="D8" s="21" t="s">
        <v>5</v>
      </c>
      <c r="E8" s="22" t="s">
        <v>6</v>
      </c>
      <c r="F8" s="22" t="s">
        <v>1</v>
      </c>
      <c r="G8" s="22" t="s">
        <v>7</v>
      </c>
      <c r="H8" s="22" t="s">
        <v>8</v>
      </c>
      <c r="I8" s="22" t="s">
        <v>9</v>
      </c>
      <c r="J8" s="22" t="s">
        <v>10</v>
      </c>
      <c r="K8" s="22" t="s">
        <v>11</v>
      </c>
      <c r="L8" s="22" t="s">
        <v>12</v>
      </c>
      <c r="M8" s="6"/>
      <c r="N8" s="8"/>
    </row>
    <row r="9" spans="1:14" ht="16.5">
      <c r="A9" s="8"/>
      <c r="B9" s="6"/>
      <c r="C9" s="34" t="str">
        <f>[1]!s_info_name(D9)</f>
        <v>能源</v>
      </c>
      <c r="D9" s="30">
        <v>882001</v>
      </c>
      <c r="E9" s="25">
        <f ca="1">[1]!i_dq_close(D9,$D$3)</f>
        <v>4315.4727000000003</v>
      </c>
      <c r="F9" s="26">
        <f ca="1">[1]!i_dq_pctchange(D9,$F$3)</f>
        <v>0</v>
      </c>
      <c r="G9" s="26">
        <f ca="1">[1]!i_pq_pctchange($D9,G$3,$D$3)</f>
        <v>0.5603358491790944</v>
      </c>
      <c r="H9" s="26">
        <f ca="1">[1]!i_pq_pctchange($D9,H$3,$D$3)</f>
        <v>5.8641246032676841</v>
      </c>
      <c r="I9" s="26">
        <f ca="1">[1]!i_pq_pctchange($D9,I$3,$D$3)</f>
        <v>14.334675808341068</v>
      </c>
      <c r="J9" s="26">
        <f ca="1">[1]!i_pq_pctchange($D9,J$3,$D$3)</f>
        <v>18.822641485744263</v>
      </c>
      <c r="K9" s="26">
        <f ca="1">[1]!i_pq_pctchange($D9,K$3,$D$3)</f>
        <v>24.956286739530654</v>
      </c>
      <c r="L9" s="26">
        <f ca="1">[1]!i_pq_pctchange($D9,L$3,$D$3)</f>
        <v>16.800095595075291</v>
      </c>
      <c r="M9" s="6"/>
      <c r="N9" s="8"/>
    </row>
    <row r="10" spans="1:14" ht="16.5">
      <c r="A10" s="8"/>
      <c r="B10" s="6"/>
      <c r="C10" s="35" t="str">
        <f>[1]!s_info_name(D10)</f>
        <v>材料</v>
      </c>
      <c r="D10" s="31">
        <v>882002</v>
      </c>
      <c r="E10" s="28">
        <f ca="1">[1]!i_dq_close(D10,$D$3)</f>
        <v>4406.6005999999998</v>
      </c>
      <c r="F10" s="29">
        <f ca="1">[1]!i_dq_pctchange(D10,$F$3)</f>
        <v>0</v>
      </c>
      <c r="G10" s="29">
        <f ca="1">[1]!i_pq_pctchange($D10,G$3,$D$3)</f>
        <v>-0.83951113566107516</v>
      </c>
      <c r="H10" s="29">
        <f ca="1">[1]!i_pq_pctchange($D10,H$3,$D$3)</f>
        <v>5.9792123388203722</v>
      </c>
      <c r="I10" s="29">
        <f ca="1">[1]!i_pq_pctchange($D10,I$3,$D$3)</f>
        <v>4.8350017058940598</v>
      </c>
      <c r="J10" s="29">
        <f ca="1">[1]!i_pq_pctchange($D10,J$3,$D$3)</f>
        <v>-2.2712234656017571</v>
      </c>
      <c r="K10" s="29">
        <f ca="1">[1]!i_pq_pctchange($D10,K$3,$D$3)</f>
        <v>-14.946829422787921</v>
      </c>
      <c r="L10" s="29">
        <f ca="1">[1]!i_pq_pctchange($D10,L$3,$D$3)</f>
        <v>1.8111669502134831</v>
      </c>
      <c r="M10" s="6"/>
      <c r="N10" s="8"/>
    </row>
    <row r="11" spans="1:14" ht="16.5">
      <c r="A11" s="8"/>
      <c r="B11" s="6"/>
      <c r="C11" s="34" t="str">
        <f>[1]!s_info_name(D11)</f>
        <v>工业</v>
      </c>
      <c r="D11" s="30">
        <v>882003</v>
      </c>
      <c r="E11" s="25">
        <f ca="1">[1]!i_dq_close(D11,$D$3)</f>
        <v>3820.0976999999998</v>
      </c>
      <c r="F11" s="26">
        <f ca="1">[1]!i_dq_pctchange(D11,$F$3)</f>
        <v>0</v>
      </c>
      <c r="G11" s="26">
        <f ca="1">[1]!i_pq_pctchange($D11,G$3,$D$3)</f>
        <v>-2.6452073308424806</v>
      </c>
      <c r="H11" s="26">
        <f ca="1">[1]!i_pq_pctchange($D11,H$3,$D$3)</f>
        <v>-1.5937565462950443</v>
      </c>
      <c r="I11" s="26">
        <f ca="1">[1]!i_pq_pctchange($D11,I$3,$D$3)</f>
        <v>2.8224519810016169E-2</v>
      </c>
      <c r="J11" s="26">
        <f ca="1">[1]!i_pq_pctchange($D11,J$3,$D$3)</f>
        <v>-5.6892888658017338</v>
      </c>
      <c r="K11" s="26">
        <f ca="1">[1]!i_pq_pctchange($D11,K$3,$D$3)</f>
        <v>-14.962541400997276</v>
      </c>
      <c r="L11" s="26">
        <f ca="1">[1]!i_pq_pctchange($D11,L$3,$D$3)</f>
        <v>-2.9841835248500259</v>
      </c>
      <c r="M11" s="6"/>
      <c r="N11" s="8"/>
    </row>
    <row r="12" spans="1:14" ht="16.5">
      <c r="A12" s="8"/>
      <c r="B12" s="6"/>
      <c r="C12" s="35" t="str">
        <f>[1]!s_info_name(D12)</f>
        <v>可选消费</v>
      </c>
      <c r="D12" s="31">
        <v>882004</v>
      </c>
      <c r="E12" s="28">
        <f ca="1">[1]!i_dq_close(D12,$D$3)</f>
        <v>5158.2119000000002</v>
      </c>
      <c r="F12" s="29">
        <f ca="1">[1]!i_dq_pctchange(D12,$F$3)</f>
        <v>0</v>
      </c>
      <c r="G12" s="29">
        <f ca="1">[1]!i_pq_pctchange($D12,G$3,$D$3)</f>
        <v>-1.7314088721423704</v>
      </c>
      <c r="H12" s="29">
        <f ca="1">[1]!i_pq_pctchange($D12,H$3,$D$3)</f>
        <v>-0.9238614443124793</v>
      </c>
      <c r="I12" s="29">
        <f ca="1">[1]!i_pq_pctchange($D12,I$3,$D$3)</f>
        <v>3.4040775536410273</v>
      </c>
      <c r="J12" s="29">
        <f ca="1">[1]!i_pq_pctchange($D12,J$3,$D$3)</f>
        <v>-1.7418110602363979</v>
      </c>
      <c r="K12" s="29">
        <f ca="1">[1]!i_pq_pctchange($D12,K$3,$D$3)</f>
        <v>-4.9951386141894432</v>
      </c>
      <c r="L12" s="29">
        <f ca="1">[1]!i_pq_pctchange($D12,L$3,$D$3)</f>
        <v>0.67346375248413803</v>
      </c>
      <c r="M12" s="6"/>
      <c r="N12" s="8"/>
    </row>
    <row r="13" spans="1:14" ht="16.5">
      <c r="A13" s="8"/>
      <c r="B13" s="6"/>
      <c r="C13" s="34" t="str">
        <f>[1]!s_info_name(D13)</f>
        <v>日常消费</v>
      </c>
      <c r="D13" s="30">
        <v>882005</v>
      </c>
      <c r="E13" s="25">
        <f ca="1">[1]!i_dq_close(D13,$D$3)</f>
        <v>10950.766600000001</v>
      </c>
      <c r="F13" s="26">
        <f ca="1">[1]!i_dq_pctchange(D13,$F$3)</f>
        <v>0</v>
      </c>
      <c r="G13" s="26">
        <f ca="1">[1]!i_pq_pctchange($D13,G$3,$D$3)</f>
        <v>-5.3852018489599534</v>
      </c>
      <c r="H13" s="26">
        <f ca="1">[1]!i_pq_pctchange($D13,H$3,$D$3)</f>
        <v>-4.114424689477902</v>
      </c>
      <c r="I13" s="26">
        <f ca="1">[1]!i_pq_pctchange($D13,I$3,$D$3)</f>
        <v>-1.2820775518241123</v>
      </c>
      <c r="J13" s="26">
        <f ca="1">[1]!i_pq_pctchange($D13,J$3,$D$3)</f>
        <v>-8.31391489616834</v>
      </c>
      <c r="K13" s="26">
        <f ca="1">[1]!i_pq_pctchange($D13,K$3,$D$3)</f>
        <v>-16.723113416449408</v>
      </c>
      <c r="L13" s="26">
        <f ca="1">[1]!i_pq_pctchange($D13,L$3,$D$3)</f>
        <v>-5.9290940402418446</v>
      </c>
      <c r="M13" s="6"/>
      <c r="N13" s="8"/>
    </row>
    <row r="14" spans="1:14" ht="16.5">
      <c r="A14" s="8"/>
      <c r="B14" s="6"/>
      <c r="C14" s="35" t="str">
        <f>[1]!s_info_name(D14)</f>
        <v>医疗保健</v>
      </c>
      <c r="D14" s="31">
        <v>882006</v>
      </c>
      <c r="E14" s="28">
        <f ca="1">[1]!i_dq_close(D14,$D$3)</f>
        <v>8354.1767999999993</v>
      </c>
      <c r="F14" s="29">
        <f ca="1">[1]!i_dq_pctchange(D14,$F$3)</f>
        <v>0</v>
      </c>
      <c r="G14" s="29">
        <f ca="1">[1]!i_pq_pctchange($D14,G$3,$D$3)</f>
        <v>-3.2134572293806118</v>
      </c>
      <c r="H14" s="29">
        <f ca="1">[1]!i_pq_pctchange($D14,H$3,$D$3)</f>
        <v>-6.4134217116670111</v>
      </c>
      <c r="I14" s="29">
        <f ca="1">[1]!i_pq_pctchange($D14,I$3,$D$3)</f>
        <v>-8.9737695064571632</v>
      </c>
      <c r="J14" s="29">
        <f ca="1">[1]!i_pq_pctchange($D14,J$3,$D$3)</f>
        <v>-15.970277282258682</v>
      </c>
      <c r="K14" s="29">
        <f ca="1">[1]!i_pq_pctchange($D14,K$3,$D$3)</f>
        <v>-24.629578094617965</v>
      </c>
      <c r="L14" s="29">
        <f ca="1">[1]!i_pq_pctchange($D14,L$3,$D$3)</f>
        <v>-14.29436527436293</v>
      </c>
      <c r="M14" s="6"/>
      <c r="N14" s="8"/>
    </row>
    <row r="15" spans="1:14" ht="16.5">
      <c r="A15" s="8"/>
      <c r="B15" s="6"/>
      <c r="C15" s="34" t="str">
        <f>[1]!s_info_name(D15)</f>
        <v>金融</v>
      </c>
      <c r="D15" s="30">
        <v>882007</v>
      </c>
      <c r="E15" s="25">
        <f ca="1">[1]!i_dq_close(D15,$D$3)</f>
        <v>4263.2969000000003</v>
      </c>
      <c r="F15" s="26">
        <f ca="1">[1]!i_dq_pctchange(D15,$F$3)</f>
        <v>0</v>
      </c>
      <c r="G15" s="26">
        <f ca="1">[1]!i_pq_pctchange($D15,G$3,$D$3)</f>
        <v>-2.9643167533971226</v>
      </c>
      <c r="H15" s="26">
        <f ca="1">[1]!i_pq_pctchange($D15,H$3,$D$3)</f>
        <v>-3.8376460337257501</v>
      </c>
      <c r="I15" s="26">
        <f ca="1">[1]!i_pq_pctchange($D15,I$3,$D$3)</f>
        <v>3.4341707852661774</v>
      </c>
      <c r="J15" s="26">
        <f ca="1">[1]!i_pq_pctchange($D15,J$3,$D$3)</f>
        <v>-6.2125966827881847</v>
      </c>
      <c r="K15" s="26">
        <f ca="1">[1]!i_pq_pctchange($D15,K$3,$D$3)</f>
        <v>-2.1194159147016278</v>
      </c>
      <c r="L15" s="26">
        <f ca="1">[1]!i_pq_pctchange($D15,L$3,$D$3)</f>
        <v>0.77651608808790851</v>
      </c>
      <c r="M15" s="6"/>
      <c r="N15" s="8"/>
    </row>
    <row r="16" spans="1:14" ht="16.5">
      <c r="A16" s="8"/>
      <c r="B16" s="6"/>
      <c r="C16" s="35" t="str">
        <f>[1]!s_info_name(D16)</f>
        <v>信息技术</v>
      </c>
      <c r="D16" s="31">
        <v>882008</v>
      </c>
      <c r="E16" s="28">
        <f ca="1">[1]!i_dq_close(D16,$D$3)</f>
        <v>3384.1399000000001</v>
      </c>
      <c r="F16" s="29">
        <f ca="1">[1]!i_dq_pctchange(D16,$F$3)</f>
        <v>0</v>
      </c>
      <c r="G16" s="29">
        <f ca="1">[1]!i_pq_pctchange($D16,G$3,$D$3)</f>
        <v>-4.1573215185871089</v>
      </c>
      <c r="H16" s="29">
        <f ca="1">[1]!i_pq_pctchange($D16,H$3,$D$3)</f>
        <v>-9.5609958472735457</v>
      </c>
      <c r="I16" s="29">
        <f ca="1">[1]!i_pq_pctchange($D16,I$3,$D$3)</f>
        <v>-4.8876775247715383</v>
      </c>
      <c r="J16" s="29">
        <f ca="1">[1]!i_pq_pctchange($D16,J$3,$D$3)</f>
        <v>-16.784231539188809</v>
      </c>
      <c r="K16" s="29">
        <f ca="1">[1]!i_pq_pctchange($D16,K$3,$D$3)</f>
        <v>-28.730567825835152</v>
      </c>
      <c r="L16" s="29">
        <f ca="1">[1]!i_pq_pctchange($D16,L$3,$D$3)</f>
        <v>-13.711039652549317</v>
      </c>
      <c r="M16" s="6"/>
      <c r="N16" s="8"/>
    </row>
    <row r="17" spans="1:14" ht="16.5">
      <c r="A17" s="8"/>
      <c r="B17" s="6"/>
      <c r="C17" s="34" t="str">
        <f>[1]!s_info_name(D17)</f>
        <v>电信服务</v>
      </c>
      <c r="D17" s="30">
        <v>882009</v>
      </c>
      <c r="E17" s="25">
        <f ca="1">[1]!i_dq_close(D17,$D$3)</f>
        <v>3266.5221999999999</v>
      </c>
      <c r="F17" s="26">
        <f ca="1">[1]!i_dq_pctchange(D17,$F$3)</f>
        <v>0</v>
      </c>
      <c r="G17" s="26">
        <f ca="1">[1]!i_pq_pctchange($D17,G$3,$D$3)</f>
        <v>-2.6744109480636769</v>
      </c>
      <c r="H17" s="26">
        <f ca="1">[1]!i_pq_pctchange($D17,H$3,$D$3)</f>
        <v>5.8444775641763869E-3</v>
      </c>
      <c r="I17" s="26">
        <f ca="1">[1]!i_pq_pctchange($D17,I$3,$D$3)</f>
        <v>8.9447882638327592</v>
      </c>
      <c r="J17" s="26">
        <f ca="1">[1]!i_pq_pctchange($D17,J$3,$D$3)</f>
        <v>-3.6108490865991327</v>
      </c>
      <c r="K17" s="26">
        <f ca="1">[1]!i_pq_pctchange($D17,K$3,$D$3)</f>
        <v>-9.6819840354003261</v>
      </c>
      <c r="L17" s="26">
        <f ca="1">[1]!i_pq_pctchange($D17,L$3,$D$3)</f>
        <v>2.153106404347982</v>
      </c>
      <c r="M17" s="6"/>
      <c r="N17" s="8"/>
    </row>
    <row r="18" spans="1:14" ht="16.5">
      <c r="A18" s="8"/>
      <c r="B18" s="6"/>
      <c r="C18" s="35" t="str">
        <f>[1]!s_info_name(D18)</f>
        <v>公用事业</v>
      </c>
      <c r="D18" s="31">
        <v>882010</v>
      </c>
      <c r="E18" s="28">
        <f ca="1">[1]!i_dq_close(D18,$D$3)</f>
        <v>4148.1880000000001</v>
      </c>
      <c r="F18" s="29">
        <f ca="1">[1]!i_dq_pctchange(D18,$F$3)</f>
        <v>0</v>
      </c>
      <c r="G18" s="29">
        <f ca="1">[1]!i_pq_pctchange($D18,G$3,$D$3)</f>
        <v>2.6723068533208272</v>
      </c>
      <c r="H18" s="29">
        <f ca="1">[1]!i_pq_pctchange($D18,H$3,$D$3)</f>
        <v>4.2190601439579867</v>
      </c>
      <c r="I18" s="29">
        <f ca="1">[1]!i_pq_pctchange($D18,I$3,$D$3)</f>
        <v>7.3926800811166427</v>
      </c>
      <c r="J18" s="29">
        <f ca="1">[1]!i_pq_pctchange($D18,J$3,$D$3)</f>
        <v>9.9994837047048701</v>
      </c>
      <c r="K18" s="29">
        <f ca="1">[1]!i_pq_pctchange($D18,K$3,$D$3)</f>
        <v>8.4156726726871902</v>
      </c>
      <c r="L18" s="29">
        <f ca="1">[1]!i_pq_pctchange($D18,L$3,$D$3)</f>
        <v>9.2759311913165767</v>
      </c>
      <c r="M18" s="6"/>
      <c r="N18" s="8"/>
    </row>
    <row r="19" spans="1:14" ht="16.5">
      <c r="A19" s="8"/>
      <c r="B19" s="6"/>
      <c r="C19" s="34" t="str">
        <f>[1]!s_info_name(D19)</f>
        <v>房地产</v>
      </c>
      <c r="D19" s="30">
        <v>882011</v>
      </c>
      <c r="E19" s="25">
        <f ca="1">[1]!i_dq_close(D19,$D$3)</f>
        <v>1804.8589999999999</v>
      </c>
      <c r="F19" s="26">
        <f ca="1">[1]!i_dq_pctchange(D19,$F$3)</f>
        <v>0</v>
      </c>
      <c r="G19" s="26">
        <f ca="1">[1]!i_pq_pctchange($D19,G$3,$D$3)</f>
        <v>-7.02658345969005</v>
      </c>
      <c r="H19" s="26">
        <f ca="1">[1]!i_pq_pctchange($D19,H$3,$D$3)</f>
        <v>-10.918903562451199</v>
      </c>
      <c r="I19" s="26">
        <f ca="1">[1]!i_pq_pctchange($D19,I$3,$D$3)</f>
        <v>-13.368325984025509</v>
      </c>
      <c r="J19" s="26">
        <f ca="1">[1]!i_pq_pctchange($D19,J$3,$D$3)</f>
        <v>-25.995923594436977</v>
      </c>
      <c r="K19" s="26">
        <f ca="1">[1]!i_pq_pctchange($D19,K$3,$D$3)</f>
        <v>-36.836588002185735</v>
      </c>
      <c r="L19" s="26">
        <f ca="1">[1]!i_pq_pctchange($D19,L$3,$D$3)</f>
        <v>-16.855828675168492</v>
      </c>
      <c r="M19" s="6"/>
      <c r="N19" s="8"/>
    </row>
    <row r="20" spans="1:14" ht="16.5">
      <c r="A20" s="8"/>
      <c r="B20" s="6"/>
      <c r="C20" s="35" t="str">
        <f>[1]!s_info_name(D20)</f>
        <v>中证1000</v>
      </c>
      <c r="D20" s="27" t="s">
        <v>23</v>
      </c>
      <c r="E20" s="28">
        <f ca="1">[1]!i_dq_close(D20,$D$3)</f>
        <v>5338.7691999999997</v>
      </c>
      <c r="F20" s="29">
        <f ca="1">[1]!i_dq_pctchange(D20,$F$3)</f>
        <v>0</v>
      </c>
      <c r="G20" s="29">
        <f ca="1">[1]!i_pq_pctchange($D20,G$3,$D$3)</f>
        <v>-2.947816207830023</v>
      </c>
      <c r="H20" s="29">
        <f ca="1">[1]!i_pq_pctchange($D20,H$3,$D$3)</f>
        <v>-3.3144108249946402</v>
      </c>
      <c r="I20" s="29">
        <f ca="1">[1]!i_pq_pctchange($D20,I$3,$D$3)</f>
        <v>-4.2286072816743907</v>
      </c>
      <c r="J20" s="29">
        <f ca="1">[1]!i_pq_pctchange($D20,J$3,$D$3)</f>
        <v>-12.218234082047651</v>
      </c>
      <c r="K20" s="29">
        <f ca="1">[1]!i_pq_pctchange($D20,K$3,$D$3)</f>
        <v>-23.368616106560669</v>
      </c>
      <c r="L20" s="29">
        <f ca="1">[1]!i_pq_pctchange($D20,L$3,$D$3)</f>
        <v>-9.3161866309056762</v>
      </c>
      <c r="M20" s="6"/>
      <c r="N20" s="8"/>
    </row>
    <row r="21" spans="1:14" ht="16.5">
      <c r="A21" s="8"/>
      <c r="B21" s="6"/>
      <c r="C21" s="34" t="str">
        <f>[1]!s_info_name(D21)</f>
        <v>国证2000R</v>
      </c>
      <c r="D21" s="24" t="s">
        <v>24</v>
      </c>
      <c r="E21" s="25">
        <f ca="1">[1]!i_dq_close(D21,$D$3)</f>
        <v>7479.5297</v>
      </c>
      <c r="F21" s="26">
        <f ca="1">[1]!i_dq_pctchange(D21,$F$3)</f>
        <v>0</v>
      </c>
      <c r="G21" s="26">
        <f ca="1">[1]!i_pq_pctchange($D21,G$3,$D$3)</f>
        <v>-3.2485726326813236</v>
      </c>
      <c r="H21" s="26">
        <f ca="1">[1]!i_pq_pctchange($D21,H$3,$D$3)</f>
        <v>-3.4139354690913892</v>
      </c>
      <c r="I21" s="26">
        <f ca="1">[1]!i_pq_pctchange($D21,I$3,$D$3)</f>
        <v>-6.5794929418055208</v>
      </c>
      <c r="J21" s="26">
        <f ca="1">[1]!i_pq_pctchange($D21,J$3,$D$3)</f>
        <v>-12.438180014282141</v>
      </c>
      <c r="K21" s="26">
        <f ca="1">[1]!i_pq_pctchange($D21,K$3,$D$3)</f>
        <v>-19.926564831261707</v>
      </c>
      <c r="L21" s="26">
        <f ca="1">[1]!i_pq_pctchange($D21,L$3,$D$3)</f>
        <v>-11.197048935129272</v>
      </c>
      <c r="M21" s="6"/>
      <c r="N21" s="8"/>
    </row>
    <row r="22" spans="1:14" ht="16.5">
      <c r="A22" s="8"/>
      <c r="B22" s="6"/>
      <c r="C22" s="35" t="str">
        <f>[1]!s_info_name(D22)</f>
        <v>创业板指</v>
      </c>
      <c r="D22" s="27" t="s">
        <v>29</v>
      </c>
      <c r="E22" s="28">
        <f ca="1">[1]!i_dq_close(D22,$D$3)</f>
        <v>1762.8770999999999</v>
      </c>
      <c r="F22" s="29">
        <f ca="1">[1]!i_dq_pctchange(D22,$F$3)</f>
        <v>0</v>
      </c>
      <c r="G22" s="29">
        <f ca="1">[1]!i_pq_pctchange($D22,G$3,$D$3)</f>
        <v>-4.2129099353840349</v>
      </c>
      <c r="H22" s="29">
        <f ca="1">[1]!i_pq_pctchange($D22,H$3,$D$3)</f>
        <v>-6.9794250843272181</v>
      </c>
      <c r="I22" s="29">
        <f ca="1">[1]!i_pq_pctchange($D22,I$3,$D$3)</f>
        <v>9.7503923408637228E-2</v>
      </c>
      <c r="J22" s="29">
        <f ca="1">[1]!i_pq_pctchange($D22,J$3,$D$3)</f>
        <v>-11.706102765734961</v>
      </c>
      <c r="K22" s="29">
        <f ca="1">[1]!i_pq_pctchange($D22,K$3,$D$3)</f>
        <v>-26.722668362041858</v>
      </c>
      <c r="L22" s="29">
        <f ca="1">[1]!i_pq_pctchange($D22,L$3,$D$3)</f>
        <v>-6.7934691663408486</v>
      </c>
      <c r="M22" s="6"/>
      <c r="N22" s="8"/>
    </row>
    <row r="23" spans="1:14" ht="16.5">
      <c r="A23" s="8"/>
      <c r="B23" s="6"/>
      <c r="C23" s="34" t="str">
        <f>[1]!s_info_name(D23)</f>
        <v>中证500</v>
      </c>
      <c r="D23" s="24" t="s">
        <v>22</v>
      </c>
      <c r="E23" s="25">
        <f ca="1">[1]!i_dq_close(D23,$D$3)</f>
        <v>5277.2190000000001</v>
      </c>
      <c r="F23" s="26">
        <f ca="1">[1]!i_dq_pctchange(D23,$F$3)</f>
        <v>0</v>
      </c>
      <c r="G23" s="26">
        <f ca="1">[1]!i_pq_pctchange($D23,G$3,$D$3)</f>
        <v>-1.8117903349524678</v>
      </c>
      <c r="H23" s="26">
        <f ca="1">[1]!i_pq_pctchange($D23,H$3,$D$3)</f>
        <v>-2.5464585907225668</v>
      </c>
      <c r="I23" s="26">
        <f ca="1">[1]!i_pq_pctchange($D23,I$3,$D$3)</f>
        <v>1.3645518843189874</v>
      </c>
      <c r="J23" s="26">
        <f ca="1">[1]!i_pq_pctchange($D23,J$3,$D$3)</f>
        <v>-6.3223837910118323</v>
      </c>
      <c r="K23" s="26">
        <f ca="1">[1]!i_pq_pctchange($D23,K$3,$D$3)</f>
        <v>-17.603271862179181</v>
      </c>
      <c r="L23" s="26">
        <f ca="1">[1]!i_pq_pctchange($D23,L$3,$D$3)</f>
        <v>-2.7998414802485327</v>
      </c>
      <c r="M23" s="6"/>
      <c r="N23" s="8"/>
    </row>
    <row r="24" spans="1:14" ht="16.5">
      <c r="A24" s="8"/>
      <c r="B24" s="6"/>
      <c r="C24" s="35" t="str">
        <f>[1]!s_info_name(D24)</f>
        <v>中证全指</v>
      </c>
      <c r="D24" s="27" t="s">
        <v>25</v>
      </c>
      <c r="E24" s="28">
        <f ca="1">[1]!i_dq_close(D24,$D$3)</f>
        <v>4235.3771999999999</v>
      </c>
      <c r="F24" s="29">
        <f ca="1">[1]!i_dq_pctchange(D24,$F$3)</f>
        <v>0</v>
      </c>
      <c r="G24" s="29">
        <f ca="1">[1]!i_pq_pctchange($D24,G$3,$D$3)</f>
        <v>-2.718621918278108</v>
      </c>
      <c r="H24" s="29">
        <f ca="1">[1]!i_pq_pctchange($D24,H$3,$D$3)</f>
        <v>-2.8214645811539985</v>
      </c>
      <c r="I24" s="29">
        <f ca="1">[1]!i_pq_pctchange($D24,I$3,$D$3)</f>
        <v>0.12510623013233246</v>
      </c>
      <c r="J24" s="29">
        <f ca="1">[1]!i_pq_pctchange($D24,J$3,$D$3)</f>
        <v>-7.9291906144484674</v>
      </c>
      <c r="K24" s="29">
        <f ca="1">[1]!i_pq_pctchange($D24,K$3,$D$3)</f>
        <v>-17.04684878566227</v>
      </c>
      <c r="L24" s="29">
        <f ca="1">[1]!i_pq_pctchange($D24,L$3,$D$3)</f>
        <v>-4.2193920976479893</v>
      </c>
      <c r="M24" s="6"/>
      <c r="N24" s="8"/>
    </row>
    <row r="25" spans="1:14" ht="16.5">
      <c r="A25" s="8"/>
      <c r="B25" s="6"/>
      <c r="C25" s="34" t="str">
        <f>[1]!s_info_name(D25)</f>
        <v>深证成指</v>
      </c>
      <c r="D25" s="24" t="s">
        <v>27</v>
      </c>
      <c r="E25" s="25">
        <f ca="1">[1]!i_dq_close(D25,$D$3)</f>
        <v>9228.2347000000009</v>
      </c>
      <c r="F25" s="26">
        <f ca="1">[1]!i_dq_pctchange(D25,$F$3)</f>
        <v>0</v>
      </c>
      <c r="G25" s="26">
        <f ca="1">[1]!i_pq_pctchange($D25,G$3,$D$3)</f>
        <v>-3.3162783660577344</v>
      </c>
      <c r="H25" s="26">
        <f ca="1">[1]!i_pq_pctchange($D25,H$3,$D$3)</f>
        <v>-3.9225315048622145</v>
      </c>
      <c r="I25" s="26">
        <f ca="1">[1]!i_pq_pctchange($D25,I$3,$D$3)</f>
        <v>2.5786183754049841</v>
      </c>
      <c r="J25" s="26">
        <f ca="1">[1]!i_pq_pctchange($D25,J$3,$D$3)</f>
        <v>-8.3435064520686488</v>
      </c>
      <c r="K25" s="26">
        <f ca="1">[1]!i_pq_pctchange($D25,K$3,$D$3)</f>
        <v>-21.393873162597632</v>
      </c>
      <c r="L25" s="26">
        <f ca="1">[1]!i_pq_pctchange($D25,L$3,$D$3)</f>
        <v>-3.1124878139072054</v>
      </c>
      <c r="M25" s="6"/>
      <c r="N25" s="8"/>
    </row>
    <row r="26" spans="1:14" ht="16.5">
      <c r="A26" s="8"/>
      <c r="B26" s="6"/>
      <c r="C26" s="35" t="str">
        <f>[1]!s_info_name(D26)</f>
        <v>上证指数</v>
      </c>
      <c r="D26" s="27" t="s">
        <v>26</v>
      </c>
      <c r="E26" s="28">
        <f ca="1">[1]!i_dq_close(D26,$D$3)</f>
        <v>3019.4735000000001</v>
      </c>
      <c r="F26" s="29">
        <f ca="1">[1]!i_dq_pctchange(D26,$F$3)</f>
        <v>0</v>
      </c>
      <c r="G26" s="29">
        <f ca="1">[1]!i_pq_pctchange($D26,G$3,$D$3)</f>
        <v>-1.623251769241274</v>
      </c>
      <c r="H26" s="29">
        <f ca="1">[1]!i_pq_pctchange($D26,H$3,$D$3)</f>
        <v>-0.80034243647798542</v>
      </c>
      <c r="I26" s="29">
        <f ca="1">[1]!i_pq_pctchange($D26,I$3,$D$3)</f>
        <v>4.7709126329222196</v>
      </c>
      <c r="J26" s="29">
        <f ca="1">[1]!i_pq_pctchange($D26,J$3,$D$3)</f>
        <v>-2.2222602895094812</v>
      </c>
      <c r="K26" s="29">
        <f ca="1">[1]!i_pq_pctchange($D26,K$3,$D$3)</f>
        <v>-9.007158889570821</v>
      </c>
      <c r="L26" s="29">
        <f ca="1">[1]!i_pq_pctchange($D26,L$3,$D$3)</f>
        <v>1.4971319707578257</v>
      </c>
      <c r="M26" s="6"/>
      <c r="N26" s="8"/>
    </row>
    <row r="27" spans="1:14" ht="16.5">
      <c r="A27" s="8"/>
      <c r="B27" s="6"/>
      <c r="C27" s="34" t="str">
        <f>[1]!s_info_name(D27)</f>
        <v>中证800</v>
      </c>
      <c r="D27" s="24" t="s">
        <v>37</v>
      </c>
      <c r="E27" s="25">
        <f ca="1">[1]!i_dq_close(D27,$D$3)</f>
        <v>3774.27</v>
      </c>
      <c r="F27" s="26">
        <f ca="1">[1]!i_dq_pctchange(D27,$F$3)</f>
        <v>0</v>
      </c>
      <c r="G27" s="26">
        <f ca="1">[1]!i_pq_pctchange($D27,G$3,$D$3)</f>
        <v>-2.3789812927900389</v>
      </c>
      <c r="H27" s="26">
        <f ca="1">[1]!i_pq_pctchange($D27,H$3,$D$3)</f>
        <v>-2.6610046280169053</v>
      </c>
      <c r="I27" s="26">
        <f ca="1">[1]!i_pq_pctchange($D27,I$3,$D$3)</f>
        <v>4.6322315410509907</v>
      </c>
      <c r="J27" s="26">
        <f ca="1">[1]!i_pq_pctchange($D27,J$3,$D$3)</f>
        <v>-5.4480261758459321</v>
      </c>
      <c r="K27" s="26">
        <f ca="1">[1]!i_pq_pctchange($D27,K$3,$D$3)</f>
        <v>-15.391853517773669</v>
      </c>
      <c r="L27" s="26">
        <f ca="1">[1]!i_pq_pctchange($D27,L$3,$D$3)</f>
        <v>0.20021884774645837</v>
      </c>
      <c r="M27" s="6"/>
      <c r="N27" s="8"/>
    </row>
    <row r="28" spans="1:14" ht="16.5">
      <c r="A28" s="8"/>
      <c r="B28" s="6"/>
      <c r="C28" s="35" t="str">
        <f>[1]!s_info_name(D28)</f>
        <v>深证100R</v>
      </c>
      <c r="D28" s="27" t="s">
        <v>38</v>
      </c>
      <c r="E28" s="28">
        <f ca="1">[1]!i_dq_close(D28,$D$3)</f>
        <v>5585.0235000000002</v>
      </c>
      <c r="F28" s="29">
        <f ca="1">[1]!i_dq_pctchange(D28,$F$3)</f>
        <v>0</v>
      </c>
      <c r="G28" s="29">
        <f ca="1">[1]!i_pq_pctchange($D28,G$3,$D$3)</f>
        <v>-3.8843070684009162</v>
      </c>
      <c r="H28" s="29">
        <f ca="1">[1]!i_pq_pctchange($D28,H$3,$D$3)</f>
        <v>-4.3516739696753408</v>
      </c>
      <c r="I28" s="29">
        <f ca="1">[1]!i_pq_pctchange($D28,I$3,$D$3)</f>
        <v>4.2856147086426377</v>
      </c>
      <c r="J28" s="29">
        <f ca="1">[1]!i_pq_pctchange($D28,J$3,$D$3)</f>
        <v>-8.3827796308200693</v>
      </c>
      <c r="K28" s="29">
        <f ca="1">[1]!i_pq_pctchange($D28,K$3,$D$3)</f>
        <v>-20.632368217991569</v>
      </c>
      <c r="L28" s="29">
        <f ca="1">[1]!i_pq_pctchange($D28,L$3,$D$3)</f>
        <v>-1.8273345370405703</v>
      </c>
      <c r="M28" s="6"/>
      <c r="N28" s="8"/>
    </row>
    <row r="29" spans="1:14" ht="16.5">
      <c r="A29" s="8"/>
      <c r="B29" s="6"/>
      <c r="C29" s="34" t="str">
        <f>[1]!s_info_name(D29)</f>
        <v>上证180</v>
      </c>
      <c r="D29" s="24" t="s">
        <v>39</v>
      </c>
      <c r="E29" s="25">
        <f ca="1">[1]!i_dq_close(D29,$D$3)</f>
        <v>7619.1464999999998</v>
      </c>
      <c r="F29" s="26">
        <f ca="1">[1]!i_dq_pctchange(D29,$F$3)</f>
        <v>0</v>
      </c>
      <c r="G29" s="26">
        <f ca="1">[1]!i_pq_pctchange($D29,G$3,$D$3)</f>
        <v>-1.9283206475247727</v>
      </c>
      <c r="H29" s="26">
        <f ca="1">[1]!i_pq_pctchange($D29,H$3,$D$3)</f>
        <v>-1.8970965008851759</v>
      </c>
      <c r="I29" s="26">
        <f ca="1">[1]!i_pq_pctchange($D29,I$3,$D$3)</f>
        <v>6.5790251140061651</v>
      </c>
      <c r="J29" s="26">
        <f ca="1">[1]!i_pq_pctchange($D29,J$3,$D$3)</f>
        <v>-3.9037060243990895</v>
      </c>
      <c r="K29" s="26">
        <f ca="1">[1]!i_pq_pctchange($D29,K$3,$D$3)</f>
        <v>-11.333201582830766</v>
      </c>
      <c r="L29" s="26">
        <f ca="1">[1]!i_pq_pctchange($D29,L$3,$D$3)</f>
        <v>2.682153444995472</v>
      </c>
      <c r="M29" s="6"/>
      <c r="N29" s="8"/>
    </row>
    <row r="30" spans="1:14" ht="16.5">
      <c r="A30" s="8"/>
      <c r="B30" s="6"/>
      <c r="C30" s="35" t="str">
        <f>[1]!s_info_name(D30)</f>
        <v>沪深300</v>
      </c>
      <c r="D30" s="27" t="s">
        <v>40</v>
      </c>
      <c r="E30" s="28">
        <f ca="1">[1]!i_dq_close(D30,$D$3)</f>
        <v>3475.8389000000002</v>
      </c>
      <c r="F30" s="29">
        <f ca="1">[1]!i_dq_pctchange(D30,$F$3)</f>
        <v>0</v>
      </c>
      <c r="G30" s="29">
        <f ca="1">[1]!i_pq_pctchange($D30,G$3,$D$3)</f>
        <v>-2.5776142186770268</v>
      </c>
      <c r="H30" s="29">
        <f ca="1">[1]!i_pq_pctchange($D30,H$3,$D$3)</f>
        <v>-2.7019133844535803</v>
      </c>
      <c r="I30" s="29">
        <f ca="1">[1]!i_pq_pctchange($D30,I$3,$D$3)</f>
        <v>5.8362506385561952</v>
      </c>
      <c r="J30" s="29">
        <f ca="1">[1]!i_pq_pctchange($D30,J$3,$D$3)</f>
        <v>-5.1201334144817645</v>
      </c>
      <c r="K30" s="29">
        <f ca="1">[1]!i_pq_pctchange($D30,K$3,$D$3)</f>
        <v>-14.577115249512484</v>
      </c>
      <c r="L30" s="29">
        <f ca="1">[1]!i_pq_pctchange($D30,L$3,$D$3)</f>
        <v>1.3036306415017629</v>
      </c>
      <c r="M30" s="6"/>
      <c r="N30" s="8"/>
    </row>
    <row r="31" spans="1:14" ht="16.5">
      <c r="A31" s="8"/>
      <c r="B31" s="6"/>
      <c r="C31" s="34" t="str">
        <f>[1]!s_info_name(D31)</f>
        <v>上证50</v>
      </c>
      <c r="D31" s="24" t="s">
        <v>20</v>
      </c>
      <c r="E31" s="25">
        <f ca="1">[1]!i_dq_close(D31,$D$3)</f>
        <v>2374.0470999999998</v>
      </c>
      <c r="F31" s="26">
        <f ca="1">[1]!i_dq_pctchange(D31,$F$3)</f>
        <v>0</v>
      </c>
      <c r="G31" s="26">
        <f ca="1">[1]!i_pq_pctchange($D31,G$3,$D$3)</f>
        <v>-2.3093825984941807</v>
      </c>
      <c r="H31" s="26">
        <f ca="1">[1]!i_pq_pctchange($D31,H$3,$D$3)</f>
        <v>-2.2058769312154003</v>
      </c>
      <c r="I31" s="26">
        <f ca="1">[1]!i_pq_pctchange($D31,I$3,$D$3)</f>
        <v>6.116545391211603</v>
      </c>
      <c r="J31" s="26">
        <f ca="1">[1]!i_pq_pctchange($D31,J$3,$D$3)</f>
        <v>-4.6232308693524686</v>
      </c>
      <c r="K31" s="26">
        <f ca="1">[1]!i_pq_pctchange($D31,K$3,$D$3)</f>
        <v>-11.084841168804404</v>
      </c>
      <c r="L31" s="26">
        <f ca="1">[1]!i_pq_pctchange($D31,L$3,$D$3)</f>
        <v>2.0580539746567261</v>
      </c>
      <c r="M31" s="6"/>
      <c r="N31" s="8"/>
    </row>
    <row r="32" spans="1:14" ht="16.5">
      <c r="A32" s="8"/>
      <c r="B32" s="6"/>
      <c r="C32" s="35" t="str">
        <f>[1]!s_info_name(D32)</f>
        <v>中证100</v>
      </c>
      <c r="D32" s="27" t="s">
        <v>21</v>
      </c>
      <c r="E32" s="28">
        <f ca="1">[1]!i_dq_close(D32,$D$3)</f>
        <v>3326.2784000000001</v>
      </c>
      <c r="F32" s="29">
        <f ca="1">[1]!i_dq_pctchange(D32,$F$3)</f>
        <v>0</v>
      </c>
      <c r="G32" s="29">
        <f ca="1">[1]!i_pq_pctchange($D32,G$3,$D$3)</f>
        <v>-2.6499446576428554</v>
      </c>
      <c r="H32" s="29">
        <f ca="1">[1]!i_pq_pctchange($D32,H$3,$D$3)</f>
        <v>-2.027374665327486</v>
      </c>
      <c r="I32" s="29">
        <f ca="1">[1]!i_pq_pctchange($D32,I$3,$D$3)</f>
        <v>6.6323556783260296</v>
      </c>
      <c r="J32" s="29">
        <f ca="1">[1]!i_pq_pctchange($D32,J$3,$D$3)</f>
        <v>-5.1423162524324102</v>
      </c>
      <c r="K32" s="29">
        <f ca="1">[1]!i_pq_pctchange($D32,K$3,$D$3)</f>
        <v>-15.566652644695111</v>
      </c>
      <c r="L32" s="29">
        <f ca="1">[1]!i_pq_pctchange($D32,L$3,$D$3)</f>
        <v>1.9376554775396349</v>
      </c>
      <c r="M32" s="6"/>
      <c r="N32" s="8"/>
    </row>
    <row r="33" spans="1:14" ht="16.5">
      <c r="A33" s="8"/>
      <c r="B33" s="6"/>
      <c r="C33" s="34" t="str">
        <f>[1]!s_info_name(D33)</f>
        <v>中小100</v>
      </c>
      <c r="D33" s="24" t="s">
        <v>28</v>
      </c>
      <c r="E33" s="25">
        <f ca="1">[1]!i_dq_close(D33,$D$3)</f>
        <v>5692.3687</v>
      </c>
      <c r="F33" s="26">
        <f ca="1">[1]!i_dq_pctchange(D33,$F$3)</f>
        <v>0</v>
      </c>
      <c r="G33" s="26">
        <f ca="1">[1]!i_pq_pctchange($D33,G$3,$D$3)</f>
        <v>-2.9007047294221544</v>
      </c>
      <c r="H33" s="26">
        <f ca="1">[1]!i_pq_pctchange($D33,H$3,$D$3)</f>
        <v>-3.8518471850110481</v>
      </c>
      <c r="I33" s="26">
        <f ca="1">[1]!i_pq_pctchange($D33,I$3,$D$3)</f>
        <v>0.80528501406020858</v>
      </c>
      <c r="J33" s="26">
        <f ca="1">[1]!i_pq_pctchange($D33,J$3,$D$3)</f>
        <v>-11.425458271987143</v>
      </c>
      <c r="K33" s="26">
        <f ca="1">[1]!i_pq_pctchange($D33,K$3,$D$3)</f>
        <v>-26.464724388920036</v>
      </c>
      <c r="L33" s="26">
        <f ca="1">[1]!i_pq_pctchange($D33,L$3,$D$3)</f>
        <v>-5.4488513410710144</v>
      </c>
      <c r="M33" s="6"/>
      <c r="N33" s="8"/>
    </row>
    <row r="34" spans="1:14" ht="16.5">
      <c r="A34" s="8"/>
      <c r="B34" s="6"/>
      <c r="C34" s="35" t="str">
        <f>[1]!s_info_name(D34)</f>
        <v>恒生公用事业类</v>
      </c>
      <c r="D34" s="27" t="s">
        <v>301</v>
      </c>
      <c r="E34" s="28">
        <f ca="1">[1]!i_dq_close(D34,$D$3)</f>
        <v>33556.5</v>
      </c>
      <c r="F34" s="29">
        <f ca="1">[1]!i_dq_pctchange(D34,$F$3)</f>
        <v>0</v>
      </c>
      <c r="G34" s="29">
        <f ca="1">[1]!i_pq_pctchange($D34,G$3,$D$3)</f>
        <v>1.6310517064046293</v>
      </c>
      <c r="H34" s="29">
        <f ca="1">[1]!i_pq_pctchange($D34,H$3,$D$3)</f>
        <v>-2.5184017160409966</v>
      </c>
      <c r="I34" s="29">
        <f ca="1">[1]!i_pq_pctchange($D34,I$3,$D$3)</f>
        <v>3.0430661150401273</v>
      </c>
      <c r="J34" s="29">
        <f ca="1">[1]!i_pq_pctchange($D34,J$3,$D$3)</f>
        <v>12.09024005045254</v>
      </c>
      <c r="K34" s="29">
        <f ca="1">[1]!i_pq_pctchange($D34,K$3,$D$3)</f>
        <v>-7.0066285472316299</v>
      </c>
      <c r="L34" s="29">
        <f ca="1">[1]!i_pq_pctchange($D34,L$3,$D$3)</f>
        <v>2.0771955654452778</v>
      </c>
      <c r="M34" s="6"/>
      <c r="N34" s="8"/>
    </row>
    <row r="35" spans="1:14" ht="16.5">
      <c r="A35" s="8"/>
      <c r="B35" s="6"/>
      <c r="C35" s="34" t="str">
        <f>[1]!s_info_name(D35)</f>
        <v>恒生科技</v>
      </c>
      <c r="D35" s="24" t="s">
        <v>300</v>
      </c>
      <c r="E35" s="25">
        <f ca="1">[1]!i_dq_close(D35,$D$3)</f>
        <v>3474.47</v>
      </c>
      <c r="F35" s="26">
        <f ca="1">[1]!i_dq_pctchange(D35,$F$3)</f>
        <v>0</v>
      </c>
      <c r="G35" s="26">
        <f ca="1">[1]!i_pq_pctchange($D35,G$3,$D$3)</f>
        <v>0.68330198876231929</v>
      </c>
      <c r="H35" s="26">
        <f ca="1">[1]!i_pq_pctchange($D35,H$3,$D$3)</f>
        <v>-4.9730601974673938</v>
      </c>
      <c r="I35" s="26">
        <f ca="1">[1]!i_pq_pctchange($D35,I$3,$D$3)</f>
        <v>0.1103542862411544</v>
      </c>
      <c r="J35" s="26">
        <f ca="1">[1]!i_pq_pctchange($D35,J$3,$D$3)</f>
        <v>-10.448111262320104</v>
      </c>
      <c r="K35" s="26">
        <f ca="1">[1]!i_pq_pctchange($D35,K$3,$D$3)</f>
        <v>-16.476074858468472</v>
      </c>
      <c r="L35" s="26">
        <f ca="1">[1]!i_pq_pctchange($D35,L$3,$D$3)</f>
        <v>-7.6991942703670606</v>
      </c>
      <c r="M35" s="6"/>
      <c r="N35" s="8"/>
    </row>
    <row r="36" spans="1:14" ht="16.5">
      <c r="A36" s="8"/>
      <c r="B36" s="6"/>
      <c r="C36" s="35" t="str">
        <f>[1]!s_info_name(D36)</f>
        <v>恒生港股通中国科技</v>
      </c>
      <c r="D36" s="27" t="s">
        <v>302</v>
      </c>
      <c r="E36" s="28">
        <f ca="1">[1]!i_dq_close(D36,$D$3)</f>
        <v>3901.41</v>
      </c>
      <c r="F36" s="29">
        <f ca="1">[1]!i_dq_pctchange(D36,$F$3)</f>
        <v>0</v>
      </c>
      <c r="G36" s="29">
        <f ca="1">[1]!i_pq_pctchange($D36,G$3,$D$3)</f>
        <v>0.69012328791870914</v>
      </c>
      <c r="H36" s="29">
        <f ca="1">[1]!i_pq_pctchange($D36,H$3,$D$3)</f>
        <v>-5.3935298011799748</v>
      </c>
      <c r="I36" s="29">
        <f ca="1">[1]!i_pq_pctchange($D36,I$3,$D$3)</f>
        <v>-2.7916132006129413</v>
      </c>
      <c r="J36" s="29">
        <f ca="1">[1]!i_pq_pctchange($D36,J$3,$D$3)</f>
        <v>-10.843051356409795</v>
      </c>
      <c r="K36" s="29">
        <f ca="1">[1]!i_pq_pctchange($D36,K$3,$D$3)</f>
        <v>-22.480483070094049</v>
      </c>
      <c r="L36" s="29">
        <f ca="1">[1]!i_pq_pctchange($D36,L$3,$D$3)</f>
        <v>-10.150685026150519</v>
      </c>
      <c r="M36" s="6"/>
      <c r="N36" s="8"/>
    </row>
    <row r="37" spans="1:14" ht="16.5">
      <c r="A37" s="8"/>
      <c r="B37" s="6"/>
      <c r="C37" s="34" t="str">
        <f>[1]!s_info_name(D37)</f>
        <v>恒生港股通新经济</v>
      </c>
      <c r="D37" s="24" t="s">
        <v>303</v>
      </c>
      <c r="E37" s="25">
        <f ca="1">[1]!i_dq_close(D37,$D$3)</f>
        <v>2663.91</v>
      </c>
      <c r="F37" s="26">
        <f ca="1">[1]!i_dq_pctchange(D37,$F$3)</f>
        <v>0</v>
      </c>
      <c r="G37" s="26">
        <f ca="1">[1]!i_pq_pctchange($D37,G$3,$D$3)</f>
        <v>1.6895386788311262</v>
      </c>
      <c r="H37" s="26">
        <f ca="1">[1]!i_pq_pctchange($D37,H$3,$D$3)</f>
        <v>-3.7569998916145875</v>
      </c>
      <c r="I37" s="26">
        <f ca="1">[1]!i_pq_pctchange($D37,I$3,$D$3)</f>
        <v>-0.24228761449682779</v>
      </c>
      <c r="J37" s="26">
        <f ca="1">[1]!i_pq_pctchange($D37,J$3,$D$3)</f>
        <v>-11.425616949400508</v>
      </c>
      <c r="K37" s="26">
        <f ca="1">[1]!i_pq_pctchange($D37,K$3,$D$3)</f>
        <v>-20.237917013491757</v>
      </c>
      <c r="L37" s="26">
        <f ca="1">[1]!i_pq_pctchange($D37,L$3,$D$3)</f>
        <v>-7.1115744841101165</v>
      </c>
      <c r="M37" s="6"/>
      <c r="N37" s="8"/>
    </row>
    <row r="38" spans="1:14" ht="16.5">
      <c r="A38" s="8"/>
      <c r="B38" s="6"/>
      <c r="C38" s="35" t="str">
        <f>[1]!s_info_name(D38)</f>
        <v>恒生港股通医疗保健指数</v>
      </c>
      <c r="D38" s="27" t="s">
        <v>304</v>
      </c>
      <c r="E38" s="28">
        <f ca="1">[1]!i_dq_close(D38,$D$3)</f>
        <v>1689.55</v>
      </c>
      <c r="F38" s="29">
        <f ca="1">[1]!i_dq_pctchange(D38,$F$3)</f>
        <v>0</v>
      </c>
      <c r="G38" s="29">
        <f ca="1">[1]!i_pq_pctchange($D38,G$3,$D$3)</f>
        <v>9.3603559304966666E-2</v>
      </c>
      <c r="H38" s="29">
        <f ca="1">[1]!i_pq_pctchange($D38,H$3,$D$3)</f>
        <v>-13.383505672584473</v>
      </c>
      <c r="I38" s="29">
        <f ca="1">[1]!i_pq_pctchange($D38,I$3,$D$3)</f>
        <v>-18.220408716444503</v>
      </c>
      <c r="J38" s="29">
        <f ca="1">[1]!i_pq_pctchange($D38,J$3,$D$3)</f>
        <v>-26.350134915410884</v>
      </c>
      <c r="K38" s="29">
        <f ca="1">[1]!i_pq_pctchange($D38,K$3,$D$3)</f>
        <v>-42.398693568072879</v>
      </c>
      <c r="L38" s="29">
        <f ca="1">[1]!i_pq_pctchange($D38,L$3,$D$3)</f>
        <v>-24.610009459724779</v>
      </c>
      <c r="M38" s="6"/>
      <c r="N38" s="8"/>
    </row>
    <row r="39" spans="1:14" ht="16.5">
      <c r="A39" s="8"/>
      <c r="B39" s="6"/>
      <c r="C39" s="34" t="str">
        <f>[1]!s_info_name(D39)</f>
        <v>恒生REIT</v>
      </c>
      <c r="D39" s="24" t="s">
        <v>305</v>
      </c>
      <c r="E39" s="25">
        <f ca="1">[1]!i_dq_close(D39,$D$3)</f>
        <v>2555.44</v>
      </c>
      <c r="F39" s="26">
        <f ca="1">[1]!i_dq_pctchange(D39,$F$3)</f>
        <v>0</v>
      </c>
      <c r="G39" s="26">
        <f ca="1">[1]!i_pq_pctchange($D39,G$3,$D$3)</f>
        <v>-4.2623098220072597</v>
      </c>
      <c r="H39" s="26">
        <f ca="1">[1]!i_pq_pctchange($D39,H$3,$D$3)</f>
        <v>-13.886052616503408</v>
      </c>
      <c r="I39" s="26">
        <f ca="1">[1]!i_pq_pctchange($D39,I$3,$D$3)</f>
        <v>-22.61799858889222</v>
      </c>
      <c r="J39" s="26">
        <f ca="1">[1]!i_pq_pctchange($D39,J$3,$D$3)</f>
        <v>-19.610168585099451</v>
      </c>
      <c r="K39" s="26">
        <f ca="1">[1]!i_pq_pctchange($D39,K$3,$D$3)</f>
        <v>-45.81156273325643</v>
      </c>
      <c r="L39" s="26">
        <f ca="1">[1]!i_pq_pctchange($D39,L$3,$D$3)</f>
        <v>-26.329445274076456</v>
      </c>
      <c r="M39" s="6"/>
      <c r="N39" s="8"/>
    </row>
    <row r="40" spans="1:14" ht="16.5">
      <c r="A40" s="8"/>
      <c r="B40" s="6"/>
      <c r="C40" s="35" t="str">
        <f>[1]!s_info_name(D40)</f>
        <v>恒生物业服务及管理</v>
      </c>
      <c r="D40" s="27" t="s">
        <v>306</v>
      </c>
      <c r="E40" s="28">
        <f ca="1">[1]!i_dq_close(D40,$D$3)</f>
        <v>1534.9</v>
      </c>
      <c r="F40" s="29">
        <f ca="1">[1]!i_dq_pctchange(D40,$F$3)</f>
        <v>0</v>
      </c>
      <c r="G40" s="29">
        <f ca="1">[1]!i_pq_pctchange($D40,G$3,$D$3)</f>
        <v>-1.3978646589492882</v>
      </c>
      <c r="H40" s="29">
        <f ca="1">[1]!i_pq_pctchange($D40,H$3,$D$3)</f>
        <v>-8.7232916465963655</v>
      </c>
      <c r="I40" s="29">
        <f ca="1">[1]!i_pq_pctchange($D40,I$3,$D$3)</f>
        <v>-9.103829731794411</v>
      </c>
      <c r="J40" s="29">
        <f ca="1">[1]!i_pq_pctchange($D40,J$3,$D$3)</f>
        <v>-22.682463643278471</v>
      </c>
      <c r="K40" s="29">
        <f ca="1">[1]!i_pq_pctchange($D40,K$3,$D$3)</f>
        <v>-50.99313220583587</v>
      </c>
      <c r="L40" s="29">
        <f ca="1">[1]!i_pq_pctchange($D40,L$3,$D$3)</f>
        <v>-16.877420053613491</v>
      </c>
      <c r="M40" s="6"/>
      <c r="N40" s="8"/>
    </row>
    <row r="41" spans="1:14" ht="16.5">
      <c r="A41" s="8"/>
      <c r="B41" s="6"/>
      <c r="C41" s="35" t="s">
        <v>316</v>
      </c>
      <c r="D41" s="24" t="s">
        <v>307</v>
      </c>
      <c r="E41" s="25">
        <f ca="1">[1]!i_dq_close(D41,$D$3)</f>
        <v>15084.26</v>
      </c>
      <c r="F41" s="26">
        <f ca="1">[1]!i_dq_pctchange(D41,$F$3)</f>
        <v>0</v>
      </c>
      <c r="G41" s="26">
        <f ca="1">[1]!i_pq_pctchange($D41,G$3,$D$3)</f>
        <v>-2.6022016791855562</v>
      </c>
      <c r="H41" s="26">
        <f ca="1">[1]!i_pq_pctchange($D41,H$3,$D$3)</f>
        <v>-8.9119134690170636</v>
      </c>
      <c r="I41" s="26">
        <f ca="1">[1]!i_pq_pctchange($D41,I$3,$D$3)</f>
        <v>-11.745322594422813</v>
      </c>
      <c r="J41" s="26">
        <f ca="1">[1]!i_pq_pctchange($D41,J$3,$D$3)</f>
        <v>-18.572264520057523</v>
      </c>
      <c r="K41" s="26">
        <f ca="1">[1]!i_pq_pctchange($D41,K$3,$D$3)</f>
        <v>-41.953967257122102</v>
      </c>
      <c r="L41" s="26">
        <f ca="1">[1]!i_pq_pctchange($D41,L$3,$D$3)</f>
        <v>-17.695446755317313</v>
      </c>
      <c r="M41" s="6"/>
      <c r="N41" s="8"/>
    </row>
    <row r="42" spans="1:14" ht="16.5">
      <c r="A42" s="8"/>
      <c r="B42" s="6"/>
      <c r="C42" s="35" t="str">
        <f>[1]!s_info_name(D42)</f>
        <v>恒生新消费</v>
      </c>
      <c r="D42" s="27" t="s">
        <v>308</v>
      </c>
      <c r="E42" s="28">
        <f ca="1">[1]!i_dq_close(D42,$D$3)</f>
        <v>3478.43</v>
      </c>
      <c r="F42" s="29">
        <f ca="1">[1]!i_dq_pctchange(D42,$F$3)</f>
        <v>0</v>
      </c>
      <c r="G42" s="29">
        <f ca="1">[1]!i_pq_pctchange($D42,G$3,$D$3)</f>
        <v>1.1518485992287886</v>
      </c>
      <c r="H42" s="29">
        <f ca="1">[1]!i_pq_pctchange($D42,H$3,$D$3)</f>
        <v>-1.9141022640434713</v>
      </c>
      <c r="I42" s="29">
        <f ca="1">[1]!i_pq_pctchange($D42,I$3,$D$3)</f>
        <v>6.1296158997781847</v>
      </c>
      <c r="J42" s="29">
        <f ca="1">[1]!i_pq_pctchange($D42,J$3,$D$3)</f>
        <v>-8.7636883450708964</v>
      </c>
      <c r="K42" s="29">
        <f ca="1">[1]!i_pq_pctchange($D42,K$3,$D$3)</f>
        <v>-18.848481455040901</v>
      </c>
      <c r="L42" s="29">
        <f ca="1">[1]!i_pq_pctchange($D42,L$3,$D$3)</f>
        <v>-1.1848960552705345</v>
      </c>
      <c r="M42" s="6"/>
      <c r="N42" s="8"/>
    </row>
    <row r="43" spans="1:14" ht="16.5">
      <c r="A43" s="8"/>
      <c r="B43" s="6"/>
      <c r="C43" s="34" t="str">
        <f>[1]!s_info_name(D43)</f>
        <v>恒生互联网科技业</v>
      </c>
      <c r="D43" s="24" t="s">
        <v>309</v>
      </c>
      <c r="E43" s="25">
        <f ca="1">[1]!i_dq_close(D43,$D$3)</f>
        <v>1924.03</v>
      </c>
      <c r="F43" s="26">
        <f ca="1">[1]!i_dq_pctchange(D43,$F$3)</f>
        <v>0</v>
      </c>
      <c r="G43" s="26">
        <f ca="1">[1]!i_pq_pctchange($D43,G$3,$D$3)</f>
        <v>-5.7658144342753737E-2</v>
      </c>
      <c r="H43" s="26">
        <f ca="1">[1]!i_pq_pctchange($D43,H$3,$D$3)</f>
        <v>-3.5467570358636014</v>
      </c>
      <c r="I43" s="26">
        <f ca="1">[1]!i_pq_pctchange($D43,I$3,$D$3)</f>
        <v>3.0182153068545547</v>
      </c>
      <c r="J43" s="26">
        <f ca="1">[1]!i_pq_pctchange($D43,J$3,$D$3)</f>
        <v>-12.938637176070255</v>
      </c>
      <c r="K43" s="26">
        <f ca="1">[1]!i_pq_pctchange($D43,K$3,$D$3)</f>
        <v>-24.886296647654294</v>
      </c>
      <c r="L43" s="26">
        <f ca="1">[1]!i_pq_pctchange($D43,L$3,$D$3)</f>
        <v>-3.9512175640731284</v>
      </c>
      <c r="M43" s="6"/>
      <c r="N43" s="8"/>
    </row>
    <row r="44" spans="1:14" ht="16.5">
      <c r="A44" s="8"/>
      <c r="B44" s="6"/>
      <c r="C44" s="35" t="str">
        <f>[1]!s_info_name(D44)</f>
        <v>恒生香港上市生物科技</v>
      </c>
      <c r="D44" s="27" t="s">
        <v>310</v>
      </c>
      <c r="E44" s="28">
        <f ca="1">[1]!i_dq_close(D44,$D$3)</f>
        <v>775.53</v>
      </c>
      <c r="F44" s="29">
        <f ca="1">[1]!i_dq_pctchange(D44,$F$3)</f>
        <v>0</v>
      </c>
      <c r="G44" s="29">
        <f ca="1">[1]!i_pq_pctchange($D44,G$3,$D$3)</f>
        <v>0.531480497258352</v>
      </c>
      <c r="H44" s="29">
        <f ca="1">[1]!i_pq_pctchange($D44,H$3,$D$3)</f>
        <v>-13.186616367971526</v>
      </c>
      <c r="I44" s="29">
        <f ca="1">[1]!i_pq_pctchange($D44,I$3,$D$3)</f>
        <v>-18.005349798589609</v>
      </c>
      <c r="J44" s="29">
        <f ca="1">[1]!i_pq_pctchange($D44,J$3,$D$3)</f>
        <v>-25.774527913631886</v>
      </c>
      <c r="K44" s="29">
        <f ca="1">[1]!i_pq_pctchange($D44,K$3,$D$3)</f>
        <v>-42.397165649093097</v>
      </c>
      <c r="L44" s="29">
        <f ca="1">[1]!i_pq_pctchange($D44,L$3,$D$3)</f>
        <v>-24.211359549683376</v>
      </c>
      <c r="M44" s="6"/>
      <c r="N44" s="8"/>
    </row>
    <row r="45" spans="1:14" ht="16.5">
      <c r="A45" s="8"/>
      <c r="B45" s="6"/>
      <c r="C45" s="34" t="str">
        <f>[1]!s_info_name(D45)</f>
        <v>恒生医疗保健</v>
      </c>
      <c r="D45" s="24" t="s">
        <v>311</v>
      </c>
      <c r="E45" s="25">
        <f ca="1">[1]!i_dq_close(D45,$D$3)</f>
        <v>2189.3200000000002</v>
      </c>
      <c r="F45" s="26">
        <f ca="1">[1]!i_dq_pctchange(D45,$F$3)</f>
        <v>0</v>
      </c>
      <c r="G45" s="26">
        <f ca="1">[1]!i_pq_pctchange($D45,G$3,$D$3)</f>
        <v>0.48421815978740845</v>
      </c>
      <c r="H45" s="26">
        <f ca="1">[1]!i_pq_pctchange($D45,H$3,$D$3)</f>
        <v>-12.546137253335466</v>
      </c>
      <c r="I45" s="26">
        <f ca="1">[1]!i_pq_pctchange($D45,I$3,$D$3)</f>
        <v>-17.560540277971281</v>
      </c>
      <c r="J45" s="26">
        <f ca="1">[1]!i_pq_pctchange($D45,J$3,$D$3)</f>
        <v>-26.513651224145907</v>
      </c>
      <c r="K45" s="26">
        <f ca="1">[1]!i_pq_pctchange($D45,K$3,$D$3)</f>
        <v>-43.275105323432314</v>
      </c>
      <c r="L45" s="26">
        <f ca="1">[1]!i_pq_pctchange($D45,L$3,$D$3)</f>
        <v>-23.921451431867691</v>
      </c>
      <c r="M45" s="6"/>
      <c r="N45" s="8"/>
    </row>
    <row r="46" spans="1:14" ht="16.5">
      <c r="A46" s="8"/>
      <c r="B46" s="6"/>
      <c r="C46" s="35" t="s">
        <v>317</v>
      </c>
      <c r="D46" s="27" t="s">
        <v>312</v>
      </c>
      <c r="E46" s="28">
        <f ca="1">[1]!i_dq_close(D46,$D$3)</f>
        <v>28022.81</v>
      </c>
      <c r="F46" s="29">
        <f ca="1">[1]!i_dq_pctchange(D46,$F$3)</f>
        <v>0</v>
      </c>
      <c r="G46" s="29">
        <f ca="1">[1]!i_pq_pctchange($D46,G$3,$D$3)</f>
        <v>-1.3168755872148719</v>
      </c>
      <c r="H46" s="29">
        <f ca="1">[1]!i_pq_pctchange($D46,H$3,$D$3)</f>
        <v>-5.3026227394197489</v>
      </c>
      <c r="I46" s="29">
        <f ca="1">[1]!i_pq_pctchange($D46,I$3,$D$3)</f>
        <v>-1.6849068135140532</v>
      </c>
      <c r="J46" s="29">
        <f ca="1">[1]!i_pq_pctchange($D46,J$3,$D$3)</f>
        <v>-8.9126325055030371</v>
      </c>
      <c r="K46" s="29">
        <f ca="1">[1]!i_pq_pctchange($D46,K$3,$D$3)</f>
        <v>-16.788333955923019</v>
      </c>
      <c r="L46" s="29">
        <f ca="1">[1]!i_pq_pctchange($D46,L$3,$D$3)</f>
        <v>-6.0361841774363212</v>
      </c>
      <c r="M46" s="6"/>
      <c r="N46" s="8"/>
    </row>
    <row r="47" spans="1:14" ht="16.5">
      <c r="A47" s="8"/>
      <c r="B47" s="6"/>
      <c r="C47" s="34" t="str">
        <f>[1]!s_info_name(D47)</f>
        <v>恒生防御行业</v>
      </c>
      <c r="D47" s="24" t="s">
        <v>313</v>
      </c>
      <c r="E47" s="25">
        <f ca="1">[1]!i_dq_close(D47,$D$3)</f>
        <v>3303.79</v>
      </c>
      <c r="F47" s="26">
        <f ca="1">[1]!i_dq_pctchange(D47,$F$3)</f>
        <v>0</v>
      </c>
      <c r="G47" s="26">
        <f ca="1">[1]!i_pq_pctchange($D47,G$3,$D$3)</f>
        <v>0.7093387633667847</v>
      </c>
      <c r="H47" s="26">
        <f ca="1">[1]!i_pq_pctchange($D47,H$3,$D$3)</f>
        <v>-2.7255650166648993</v>
      </c>
      <c r="I47" s="26">
        <f ca="1">[1]!i_pq_pctchange($D47,I$3,$D$3)</f>
        <v>1.0512567978418152</v>
      </c>
      <c r="J47" s="26">
        <f ca="1">[1]!i_pq_pctchange($D47,J$3,$D$3)</f>
        <v>-7.3049675238135325</v>
      </c>
      <c r="K47" s="26">
        <f ca="1">[1]!i_pq_pctchange($D47,K$3,$D$3)</f>
        <v>-19.206737764691784</v>
      </c>
      <c r="L47" s="26">
        <f ca="1">[1]!i_pq_pctchange($D47,L$3,$D$3)</f>
        <v>-4.2099281238855424</v>
      </c>
      <c r="M47" s="6"/>
      <c r="N47" s="8"/>
    </row>
    <row r="48" spans="1:14" ht="16.5">
      <c r="A48" s="8"/>
      <c r="B48" s="6"/>
      <c r="C48" s="35" t="str">
        <f>[1]!s_info_name(D48)</f>
        <v>恒生消费</v>
      </c>
      <c r="D48" s="27" t="s">
        <v>314</v>
      </c>
      <c r="E48" s="28">
        <f ca="1">[1]!i_dq_close(D48,$D$3)</f>
        <v>2362.92</v>
      </c>
      <c r="F48" s="29">
        <f ca="1">[1]!i_dq_pctchange(D48,$F$3)</f>
        <v>0</v>
      </c>
      <c r="G48" s="29">
        <f ca="1">[1]!i_pq_pctchange($D48,G$3,$D$3)</f>
        <v>-0.67382668824480518</v>
      </c>
      <c r="H48" s="29">
        <f ca="1">[1]!i_pq_pctchange($D48,H$3,$D$3)</f>
        <v>1.1427845851064156E-2</v>
      </c>
      <c r="I48" s="29">
        <f ca="1">[1]!i_pq_pctchange($D48,I$3,$D$3)</f>
        <v>9.7577629653714979</v>
      </c>
      <c r="J48" s="29">
        <f ca="1">[1]!i_pq_pctchange($D48,J$3,$D$3)</f>
        <v>-4.6248234106962656</v>
      </c>
      <c r="K48" s="29">
        <f ca="1">[1]!i_pq_pctchange($D48,K$3,$D$3)</f>
        <v>-21.687861041788871</v>
      </c>
      <c r="L48" s="29">
        <f ca="1">[1]!i_pq_pctchange($D48,L$3,$D$3)</f>
        <v>3.6354784805463058</v>
      </c>
      <c r="M48" s="6"/>
      <c r="N48" s="8"/>
    </row>
    <row r="49" spans="1:14" ht="16.5">
      <c r="A49" s="8"/>
      <c r="B49" s="6"/>
      <c r="C49" s="34" t="s">
        <v>318</v>
      </c>
      <c r="D49" s="24" t="s">
        <v>315</v>
      </c>
      <c r="E49" s="25">
        <f ca="1">[1]!i_dq_close(D49,$D$3)</f>
        <v>9403.6</v>
      </c>
      <c r="F49" s="26">
        <f ca="1">[1]!i_dq_pctchange(D49,$F$3)</f>
        <v>0</v>
      </c>
      <c r="G49" s="26">
        <f ca="1">[1]!i_pq_pctchange($D49,G$3,$D$3)</f>
        <v>0.82278494584457906</v>
      </c>
      <c r="H49" s="26">
        <f ca="1">[1]!i_pq_pctchange($D49,H$3,$D$3)</f>
        <v>0.33503339664111564</v>
      </c>
      <c r="I49" s="26">
        <f ca="1">[1]!i_pq_pctchange($D49,I$3,$D$3)</f>
        <v>7.0760415705913182</v>
      </c>
      <c r="J49" s="26">
        <f ca="1">[1]!i_pq_pctchange($D49,J$3,$D$3)</f>
        <v>-4.2991886863884226</v>
      </c>
      <c r="K49" s="26">
        <f ca="1">[1]!i_pq_pctchange($D49,K$3,$D$3)</f>
        <v>-16.249111600757381</v>
      </c>
      <c r="L49" s="26">
        <f ca="1">[1]!i_pq_pctchange($D49,L$3,$D$3)</f>
        <v>1.8409917681166954</v>
      </c>
      <c r="M49" s="6"/>
      <c r="N49" s="8"/>
    </row>
    <row r="50" spans="1:14" ht="11.25" customHeight="1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8"/>
    </row>
    <row r="53" spans="1:14" ht="17.25">
      <c r="A53" s="8"/>
      <c r="B53" s="6"/>
      <c r="C53" s="14" t="s">
        <v>43</v>
      </c>
      <c r="D53" s="9"/>
      <c r="E53" s="9"/>
      <c r="F53" s="9"/>
      <c r="G53" s="9"/>
      <c r="H53" s="9"/>
      <c r="I53" s="9"/>
      <c r="J53" s="9"/>
      <c r="K53" s="9"/>
      <c r="L53" s="9"/>
      <c r="M53" s="6"/>
      <c r="N53" s="8"/>
    </row>
    <row r="54" spans="1:14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8"/>
    </row>
    <row r="55" spans="1:14">
      <c r="A55" s="8"/>
      <c r="B55" s="6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6"/>
      <c r="N55" s="8"/>
    </row>
    <row r="56" spans="1:14">
      <c r="A56" s="8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6"/>
      <c r="N56" s="8"/>
    </row>
    <row r="57" spans="1:14">
      <c r="A57" s="8"/>
      <c r="B57" s="6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6"/>
      <c r="N57" s="8"/>
    </row>
    <row r="58" spans="1:14">
      <c r="A58" s="8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6"/>
      <c r="N58" s="8"/>
    </row>
    <row r="59" spans="1:14">
      <c r="A59" s="8"/>
      <c r="B59" s="6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6"/>
      <c r="N59" s="8"/>
    </row>
    <row r="60" spans="1:14">
      <c r="A60" s="8"/>
      <c r="B60" s="6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6"/>
      <c r="N60" s="8"/>
    </row>
    <row r="61" spans="1:14">
      <c r="A61" s="8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6"/>
      <c r="N61" s="8"/>
    </row>
    <row r="62" spans="1:14">
      <c r="A62" s="8"/>
      <c r="B62" s="6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6"/>
      <c r="N62" s="8"/>
    </row>
    <row r="63" spans="1:14">
      <c r="A63" s="8"/>
      <c r="B63" s="6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6"/>
      <c r="N63" s="8"/>
    </row>
    <row r="64" spans="1:14">
      <c r="A64" s="8"/>
      <c r="B64" s="6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6"/>
      <c r="N64" s="8"/>
    </row>
    <row r="65" spans="1:14">
      <c r="A65" s="8"/>
      <c r="B65" s="6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6"/>
      <c r="N65" s="8"/>
    </row>
    <row r="66" spans="1:14">
      <c r="A66" s="8"/>
      <c r="B66" s="6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6"/>
      <c r="N66" s="8"/>
    </row>
    <row r="67" spans="1:14">
      <c r="A67" s="8"/>
      <c r="B67" s="6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6"/>
      <c r="N67" s="8"/>
    </row>
    <row r="68" spans="1:14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8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8"/>
    </row>
    <row r="71" spans="1:14" ht="17.25">
      <c r="A71" s="8"/>
      <c r="B71" s="6"/>
      <c r="C71" s="14" t="s">
        <v>44</v>
      </c>
      <c r="D71" s="9"/>
      <c r="E71" s="9"/>
      <c r="F71" s="9"/>
      <c r="G71" s="9"/>
      <c r="H71" s="9"/>
      <c r="I71" s="9"/>
      <c r="J71" s="9"/>
      <c r="K71" s="9"/>
      <c r="L71" s="9"/>
      <c r="M71" s="6"/>
      <c r="N71" s="8"/>
    </row>
    <row r="72" spans="1:14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8"/>
    </row>
    <row r="73" spans="1:14">
      <c r="A73" s="8"/>
      <c r="B73" s="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6"/>
      <c r="N73" s="8"/>
    </row>
    <row r="74" spans="1:14">
      <c r="A74" s="8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6"/>
      <c r="N74" s="8"/>
    </row>
    <row r="75" spans="1:14">
      <c r="A75" s="8"/>
      <c r="B75" s="6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6"/>
      <c r="N75" s="8"/>
    </row>
    <row r="76" spans="1:14">
      <c r="A76" s="8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6"/>
      <c r="N76" s="8"/>
    </row>
    <row r="77" spans="1:14">
      <c r="A77" s="8"/>
      <c r="B77" s="6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6"/>
      <c r="N77" s="8"/>
    </row>
    <row r="78" spans="1:14">
      <c r="A78" s="8"/>
      <c r="B78" s="6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6"/>
      <c r="N78" s="8"/>
    </row>
    <row r="79" spans="1:14">
      <c r="A79" s="8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6"/>
      <c r="N79" s="8"/>
    </row>
    <row r="80" spans="1:14">
      <c r="A80" s="8"/>
      <c r="B80" s="6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6"/>
      <c r="N80" s="8"/>
    </row>
    <row r="81" spans="1:14">
      <c r="A81" s="8"/>
      <c r="B81" s="6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6"/>
      <c r="N81" s="8"/>
    </row>
    <row r="82" spans="1:14">
      <c r="A82" s="8"/>
      <c r="B82" s="6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6"/>
      <c r="N82" s="8"/>
    </row>
    <row r="83" spans="1:14">
      <c r="A83" s="8"/>
      <c r="B83" s="6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6"/>
      <c r="N83" s="8"/>
    </row>
    <row r="84" spans="1:14">
      <c r="A84" s="8"/>
      <c r="B84" s="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6"/>
      <c r="N84" s="8"/>
    </row>
    <row r="85" spans="1:14">
      <c r="A85" s="8"/>
      <c r="B85" s="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6"/>
      <c r="N85" s="8"/>
    </row>
    <row r="86" spans="1:14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8"/>
    </row>
    <row r="87" spans="1:1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8"/>
    </row>
    <row r="89" spans="1:14" ht="17.25">
      <c r="A89" s="8"/>
      <c r="B89" s="6"/>
      <c r="C89" s="14" t="s">
        <v>72</v>
      </c>
      <c r="D89" s="9"/>
      <c r="E89" s="9"/>
      <c r="F89" s="9"/>
      <c r="G89" s="9"/>
      <c r="H89" s="9"/>
      <c r="I89" s="9"/>
      <c r="J89" s="9"/>
      <c r="K89" s="9"/>
      <c r="L89" s="9"/>
      <c r="M89" s="6"/>
      <c r="N89" s="8"/>
    </row>
    <row r="90" spans="1:14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8"/>
    </row>
    <row r="91" spans="1:14">
      <c r="A91" s="8"/>
      <c r="B91" s="6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6"/>
      <c r="N91" s="8"/>
    </row>
    <row r="92" spans="1:14">
      <c r="A92" s="8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6"/>
      <c r="N92" s="8"/>
    </row>
    <row r="93" spans="1:14">
      <c r="A93" s="8"/>
      <c r="B93" s="6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6"/>
      <c r="N93" s="8"/>
    </row>
    <row r="94" spans="1:14">
      <c r="A94" s="8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6"/>
      <c r="N94" s="8"/>
    </row>
    <row r="95" spans="1:14">
      <c r="A95" s="8"/>
      <c r="B95" s="6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6"/>
      <c r="N95" s="8"/>
    </row>
    <row r="96" spans="1:14">
      <c r="A96" s="8"/>
      <c r="B96" s="6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6"/>
      <c r="N96" s="8"/>
    </row>
    <row r="97" spans="1:14">
      <c r="A97" s="8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6"/>
      <c r="N97" s="8"/>
    </row>
    <row r="98" spans="1:14">
      <c r="A98" s="8"/>
      <c r="B98" s="6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6"/>
      <c r="N98" s="8"/>
    </row>
    <row r="99" spans="1:14">
      <c r="A99" s="8"/>
      <c r="B99" s="6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6"/>
      <c r="N99" s="8"/>
    </row>
    <row r="100" spans="1:14">
      <c r="A100" s="8"/>
      <c r="B100" s="6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6"/>
      <c r="N100" s="8"/>
    </row>
    <row r="101" spans="1:14">
      <c r="A101" s="8"/>
      <c r="B101" s="6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6"/>
      <c r="N101" s="8"/>
    </row>
    <row r="102" spans="1:14">
      <c r="A102" s="8"/>
      <c r="B102" s="6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6"/>
      <c r="N102" s="8"/>
    </row>
    <row r="103" spans="1:14">
      <c r="A103" s="8"/>
      <c r="B103" s="6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6"/>
      <c r="N103" s="8"/>
    </row>
    <row r="104" spans="1:14">
      <c r="A104" s="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8"/>
    </row>
    <row r="105" spans="1:1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>
      <c r="A106" s="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8"/>
    </row>
    <row r="107" spans="1:14" ht="17.25">
      <c r="A107" s="8"/>
      <c r="B107" s="6"/>
      <c r="C107" s="14" t="s">
        <v>45</v>
      </c>
      <c r="D107" s="9"/>
      <c r="E107" s="9"/>
      <c r="F107" s="9"/>
      <c r="G107" s="9"/>
      <c r="H107" s="9"/>
      <c r="I107" s="9"/>
      <c r="J107" s="9"/>
      <c r="K107" s="9"/>
      <c r="L107" s="9"/>
      <c r="M107" s="6"/>
      <c r="N107" s="8"/>
    </row>
    <row r="108" spans="1:14">
      <c r="A108" s="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8"/>
    </row>
    <row r="109" spans="1:14">
      <c r="A109" s="8"/>
      <c r="B109" s="6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"/>
      <c r="N109" s="8"/>
    </row>
    <row r="110" spans="1:14">
      <c r="A110" s="8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6"/>
      <c r="N110" s="8"/>
    </row>
    <row r="111" spans="1:14">
      <c r="A111" s="8"/>
      <c r="B111" s="6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6"/>
      <c r="N111" s="8"/>
    </row>
    <row r="112" spans="1:14">
      <c r="A112" s="8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6"/>
      <c r="N112" s="8"/>
    </row>
    <row r="113" spans="1:14">
      <c r="A113" s="8"/>
      <c r="B113" s="6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6"/>
      <c r="N113" s="8"/>
    </row>
    <row r="114" spans="1:14">
      <c r="A114" s="8"/>
      <c r="B114" s="6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6"/>
      <c r="N114" s="8"/>
    </row>
    <row r="115" spans="1:14">
      <c r="A115" s="8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6"/>
      <c r="N115" s="8"/>
    </row>
    <row r="116" spans="1:14">
      <c r="A116" s="8"/>
      <c r="B116" s="6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6"/>
      <c r="N116" s="8"/>
    </row>
    <row r="117" spans="1:14">
      <c r="A117" s="8"/>
      <c r="B117" s="6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6"/>
      <c r="N117" s="8"/>
    </row>
    <row r="118" spans="1:14">
      <c r="A118" s="8"/>
      <c r="B118" s="6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6"/>
      <c r="N118" s="8"/>
    </row>
    <row r="119" spans="1:14">
      <c r="A119" s="8"/>
      <c r="B119" s="6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6"/>
      <c r="N119" s="8"/>
    </row>
    <row r="120" spans="1:14">
      <c r="A120" s="8"/>
      <c r="B120" s="6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6"/>
      <c r="N120" s="8"/>
    </row>
    <row r="121" spans="1:14">
      <c r="A121" s="8"/>
      <c r="B121" s="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6"/>
      <c r="N121" s="8"/>
    </row>
    <row r="122" spans="1:14">
      <c r="A122" s="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8"/>
    </row>
    <row r="123" spans="1:1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>
      <c r="A124" s="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8"/>
    </row>
    <row r="125" spans="1:14" ht="17.25">
      <c r="A125" s="8"/>
      <c r="B125" s="6"/>
      <c r="C125" s="14" t="s">
        <v>71</v>
      </c>
      <c r="D125" s="9"/>
      <c r="E125" s="9"/>
      <c r="F125" s="9"/>
      <c r="G125" s="9"/>
      <c r="H125" s="9"/>
      <c r="I125" s="9"/>
      <c r="J125" s="9"/>
      <c r="K125" s="9"/>
      <c r="L125" s="9"/>
      <c r="M125" s="6"/>
      <c r="N125" s="8"/>
    </row>
    <row r="126" spans="1:14">
      <c r="A126" s="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8"/>
    </row>
    <row r="127" spans="1:14">
      <c r="A127" s="8"/>
      <c r="B127" s="6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6"/>
      <c r="N127" s="8"/>
    </row>
    <row r="128" spans="1:14">
      <c r="A128" s="8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6"/>
      <c r="N128" s="8"/>
    </row>
    <row r="129" spans="1:14">
      <c r="A129" s="8"/>
      <c r="B129" s="6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6"/>
      <c r="N129" s="8"/>
    </row>
    <row r="130" spans="1:14">
      <c r="A130" s="8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6"/>
      <c r="N130" s="8"/>
    </row>
    <row r="131" spans="1:14">
      <c r="A131" s="8"/>
      <c r="B131" s="6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6"/>
      <c r="N131" s="8"/>
    </row>
    <row r="132" spans="1:14">
      <c r="A132" s="8"/>
      <c r="B132" s="6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6"/>
      <c r="N132" s="8"/>
    </row>
    <row r="133" spans="1:14">
      <c r="A133" s="8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6"/>
      <c r="N133" s="8"/>
    </row>
    <row r="134" spans="1:14">
      <c r="A134" s="8"/>
      <c r="B134" s="6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6"/>
      <c r="N134" s="8"/>
    </row>
    <row r="135" spans="1:14">
      <c r="A135" s="8"/>
      <c r="B135" s="6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6"/>
      <c r="N135" s="8"/>
    </row>
    <row r="136" spans="1:14">
      <c r="A136" s="8"/>
      <c r="B136" s="6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6"/>
      <c r="N136" s="8"/>
    </row>
    <row r="137" spans="1:14">
      <c r="A137" s="8"/>
      <c r="B137" s="6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6"/>
      <c r="N137" s="8"/>
    </row>
    <row r="138" spans="1:14">
      <c r="A138" s="8"/>
      <c r="B138" s="6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6"/>
      <c r="N138" s="8"/>
    </row>
    <row r="139" spans="1:14">
      <c r="A139" s="8"/>
      <c r="B139" s="6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6"/>
      <c r="N139" s="8"/>
    </row>
    <row r="140" spans="1:1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</sheetData>
  <phoneticPr fontId="11" type="noConversion"/>
  <pageMargins left="0.7" right="0.7" top="0.75" bottom="0.75" header="0.3" footer="0.3"/>
  <pageSetup paperSize="9" orientation="portrait" horizontalDpi="120" verticalDpi="12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V87"/>
  <sheetViews>
    <sheetView showGridLines="0" zoomScaleNormal="100" workbookViewId="0">
      <pane ySplit="1" topLeftCell="A2" activePane="bottomLeft" state="frozen"/>
      <selection pane="bottomLeft" activeCell="A41" sqref="A41"/>
    </sheetView>
  </sheetViews>
  <sheetFormatPr defaultRowHeight="12.75"/>
  <cols>
    <col min="1" max="1" width="2.5703125" style="2" customWidth="1"/>
    <col min="2" max="2" width="1.5703125" style="2" customWidth="1"/>
    <col min="3" max="3" width="23.7109375" style="2" customWidth="1"/>
    <col min="4" max="5" width="13.85546875" style="2" customWidth="1"/>
    <col min="6" max="6" width="13.42578125" style="2" customWidth="1"/>
    <col min="7" max="7" width="13.28515625" style="2" customWidth="1"/>
    <col min="8" max="12" width="14" style="2" customWidth="1"/>
    <col min="13" max="13" width="2" style="2" customWidth="1"/>
    <col min="14" max="14" width="2.5703125" style="2" customWidth="1"/>
    <col min="15" max="15" width="1.85546875" style="2" customWidth="1"/>
    <col min="16" max="23" width="9.42578125" style="2" customWidth="1"/>
    <col min="24" max="24" width="6.28515625" style="2" customWidth="1"/>
    <col min="25" max="25" width="2.5703125" style="2" customWidth="1"/>
    <col min="26" max="26" width="2" style="2" customWidth="1"/>
    <col min="27" max="27" width="2.28515625" style="2" customWidth="1"/>
    <col min="28" max="36" width="9.42578125" style="2" customWidth="1"/>
    <col min="37" max="37" width="2.28515625" style="2" customWidth="1"/>
    <col min="38" max="38" width="1.85546875" style="2" customWidth="1"/>
    <col min="39" max="39" width="1.7109375" style="2" customWidth="1"/>
    <col min="40" max="48" width="9.42578125" style="2" customWidth="1"/>
    <col min="49" max="49" width="2.28515625" style="2" customWidth="1"/>
    <col min="50" max="50" width="1.85546875" style="2" customWidth="1"/>
    <col min="51" max="51" width="1.7109375" style="2" customWidth="1"/>
    <col min="52" max="60" width="9.42578125" style="2" customWidth="1"/>
    <col min="61" max="61" width="2.5703125" style="2" customWidth="1"/>
    <col min="62" max="62" width="2" style="2" customWidth="1"/>
    <col min="63" max="63" width="2.140625" style="2" customWidth="1"/>
    <col min="64" max="72" width="9.42578125" style="2" customWidth="1"/>
    <col min="73" max="73" width="2.140625" style="2" customWidth="1"/>
    <col min="74" max="74" width="4.140625" style="2" customWidth="1"/>
    <col min="75" max="16384" width="9.140625" style="2"/>
  </cols>
  <sheetData>
    <row r="1" spans="1:74" ht="27.75" customHeight="1">
      <c r="A1" s="4"/>
      <c r="B1" s="4"/>
      <c r="C1" s="4"/>
      <c r="D1" s="48" t="s">
        <v>104</v>
      </c>
      <c r="E1" s="4"/>
      <c r="F1" s="4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5" t="s">
        <v>3</v>
      </c>
      <c r="BS1" s="4"/>
      <c r="BT1" s="4"/>
      <c r="BU1" s="4"/>
      <c r="BV1" s="4"/>
    </row>
    <row r="2" spans="1:7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</row>
    <row r="3" spans="1:74" ht="16.5">
      <c r="A3" s="8"/>
      <c r="B3" s="39"/>
      <c r="C3" s="38" t="s">
        <v>13</v>
      </c>
      <c r="D3" s="49">
        <f ca="1">TODAY()-3</f>
        <v>45396</v>
      </c>
      <c r="E3" s="50"/>
      <c r="F3" s="49">
        <f ca="1">D3</f>
        <v>45396</v>
      </c>
      <c r="G3" s="49">
        <f ca="1">D3-7</f>
        <v>45389</v>
      </c>
      <c r="H3" s="49">
        <f ca="1">DATE(YEAR($D3),MONTH($D3)-1,DAY($D3))</f>
        <v>45365</v>
      </c>
      <c r="I3" s="49">
        <f ca="1">DATE(YEAR($D3),MONTH($D3)-3,DAY($D3))</f>
        <v>45305</v>
      </c>
      <c r="J3" s="49">
        <f ca="1">DATE(YEAR($D3),MONTH($D3)-6,DAY($D3))</f>
        <v>45213</v>
      </c>
      <c r="K3" s="49">
        <f ca="1">DATE(YEAR($D3),MONTH($D3)-12,DAY($D3))</f>
        <v>45030</v>
      </c>
      <c r="L3" s="49">
        <f ca="1">DATE(YEAR($D$3),1,1)</f>
        <v>45292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</row>
    <row r="4" spans="1:7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</row>
    <row r="5" spans="1:74" ht="7.5" customHeight="1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8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8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8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8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8"/>
    </row>
    <row r="6" spans="1:74" ht="22.5" customHeight="1">
      <c r="A6" s="8"/>
      <c r="B6" s="6"/>
      <c r="C6" s="14" t="s">
        <v>73</v>
      </c>
      <c r="D6" s="9"/>
      <c r="E6" s="9"/>
      <c r="F6" s="9"/>
      <c r="G6" s="9"/>
      <c r="H6" s="9"/>
      <c r="I6" s="9"/>
      <c r="J6" s="9"/>
      <c r="K6" s="9"/>
      <c r="L6" s="9"/>
      <c r="M6" s="6"/>
      <c r="N6" s="8"/>
      <c r="O6" s="6"/>
      <c r="P6" s="14" t="s">
        <v>69</v>
      </c>
      <c r="Q6" s="9"/>
      <c r="R6" s="9"/>
      <c r="S6" s="9"/>
      <c r="T6" s="9"/>
      <c r="U6" s="9"/>
      <c r="V6" s="9"/>
      <c r="W6" s="9"/>
      <c r="X6" s="9"/>
      <c r="Y6" s="18"/>
      <c r="Z6" s="8"/>
      <c r="AA6" s="6"/>
      <c r="AB6" s="14" t="s">
        <v>44</v>
      </c>
      <c r="AC6" s="9"/>
      <c r="AD6" s="9"/>
      <c r="AE6" s="9"/>
      <c r="AF6" s="9"/>
      <c r="AG6" s="9"/>
      <c r="AH6" s="9"/>
      <c r="AI6" s="9"/>
      <c r="AJ6" s="9"/>
      <c r="AK6" s="18"/>
      <c r="AL6" s="8"/>
      <c r="AM6" s="6"/>
      <c r="AN6" s="14" t="s">
        <v>85</v>
      </c>
      <c r="AO6" s="9"/>
      <c r="AP6" s="9"/>
      <c r="AQ6" s="9"/>
      <c r="AR6" s="9"/>
      <c r="AS6" s="9"/>
      <c r="AT6" s="9"/>
      <c r="AU6" s="9"/>
      <c r="AV6" s="9"/>
      <c r="AW6" s="18"/>
      <c r="AX6" s="8"/>
      <c r="AY6" s="6"/>
      <c r="AZ6" s="14" t="s">
        <v>70</v>
      </c>
      <c r="BA6" s="9"/>
      <c r="BB6" s="9"/>
      <c r="BC6" s="9"/>
      <c r="BD6" s="9"/>
      <c r="BE6" s="9"/>
      <c r="BF6" s="9"/>
      <c r="BG6" s="9"/>
      <c r="BH6" s="9"/>
      <c r="BI6" s="18"/>
      <c r="BJ6" s="8"/>
      <c r="BK6" s="6"/>
      <c r="BL6" s="14" t="s">
        <v>71</v>
      </c>
      <c r="BM6" s="9"/>
      <c r="BN6" s="9"/>
      <c r="BO6" s="9"/>
      <c r="BP6" s="9"/>
      <c r="BQ6" s="9"/>
      <c r="BR6" s="9"/>
      <c r="BS6" s="9"/>
      <c r="BT6" s="9"/>
      <c r="BU6" s="18"/>
      <c r="BV6" s="8"/>
    </row>
    <row r="7" spans="1:74" ht="8.25" customHeight="1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8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8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8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8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8"/>
    </row>
    <row r="8" spans="1:74" ht="18.75" customHeight="1">
      <c r="A8" s="8"/>
      <c r="B8" s="6"/>
      <c r="C8" s="21" t="s">
        <v>4</v>
      </c>
      <c r="D8" s="21" t="s">
        <v>5</v>
      </c>
      <c r="E8" s="22" t="s">
        <v>6</v>
      </c>
      <c r="F8" s="22" t="s">
        <v>1</v>
      </c>
      <c r="G8" s="22" t="s">
        <v>7</v>
      </c>
      <c r="H8" s="22" t="s">
        <v>8</v>
      </c>
      <c r="I8" s="22" t="s">
        <v>9</v>
      </c>
      <c r="J8" s="22" t="s">
        <v>10</v>
      </c>
      <c r="K8" s="22" t="s">
        <v>11</v>
      </c>
      <c r="L8" s="22" t="s">
        <v>12</v>
      </c>
      <c r="M8" s="6"/>
      <c r="N8" s="8"/>
      <c r="O8" s="6"/>
      <c r="P8" s="11"/>
      <c r="Q8" s="11"/>
      <c r="R8" s="11"/>
      <c r="S8" s="11"/>
      <c r="T8" s="11"/>
      <c r="U8" s="11"/>
      <c r="V8" s="11"/>
      <c r="W8" s="11"/>
      <c r="X8" s="6"/>
      <c r="Y8" s="6"/>
      <c r="Z8" s="8"/>
      <c r="AA8" s="6"/>
      <c r="AB8" s="11"/>
      <c r="AC8" s="11"/>
      <c r="AD8" s="11"/>
      <c r="AE8" s="11"/>
      <c r="AF8" s="11"/>
      <c r="AG8" s="11"/>
      <c r="AH8" s="11"/>
      <c r="AI8" s="11"/>
      <c r="AJ8" s="6"/>
      <c r="AK8" s="6"/>
      <c r="AL8" s="8"/>
      <c r="AM8" s="6"/>
      <c r="AN8" s="11"/>
      <c r="AO8" s="11"/>
      <c r="AP8" s="11"/>
      <c r="AQ8" s="11"/>
      <c r="AR8" s="11"/>
      <c r="AS8" s="11"/>
      <c r="AT8" s="11"/>
      <c r="AU8" s="11"/>
      <c r="AV8" s="6"/>
      <c r="AW8" s="6"/>
      <c r="AX8" s="8"/>
      <c r="AY8" s="6"/>
      <c r="AZ8" s="11"/>
      <c r="BA8" s="11"/>
      <c r="BB8" s="11"/>
      <c r="BC8" s="11"/>
      <c r="BD8" s="11"/>
      <c r="BE8" s="11"/>
      <c r="BF8" s="11"/>
      <c r="BG8" s="11"/>
      <c r="BH8" s="6"/>
      <c r="BI8" s="6"/>
      <c r="BJ8" s="8"/>
      <c r="BK8" s="6"/>
      <c r="BL8" s="11"/>
      <c r="BM8" s="11"/>
      <c r="BN8" s="11"/>
      <c r="BO8" s="11"/>
      <c r="BP8" s="11"/>
      <c r="BQ8" s="11"/>
      <c r="BR8" s="11"/>
      <c r="BS8" s="11"/>
      <c r="BT8" s="6"/>
      <c r="BU8" s="6"/>
      <c r="BV8" s="8"/>
    </row>
    <row r="9" spans="1:74" ht="16.5">
      <c r="A9" s="8"/>
      <c r="B9" s="6"/>
      <c r="C9" s="34" t="s">
        <v>46</v>
      </c>
      <c r="D9" s="24" t="s">
        <v>47</v>
      </c>
      <c r="E9" s="36">
        <f ca="1">[1]!i_dq_close(D9,$D$3)</f>
        <v>4698.2811000000002</v>
      </c>
      <c r="F9" s="26">
        <f ca="1">[1]!i_dq_pctchange(D9,$F$3)</f>
        <v>0</v>
      </c>
      <c r="G9" s="26">
        <f ca="1">[1]!i_pq_pctchange($D9,G$3,$D$3)</f>
        <v>-2.0081557373920589</v>
      </c>
      <c r="H9" s="26">
        <f ca="1">[1]!i_pq_pctchange($D9,H$3,$D$3)</f>
        <v>-3.3103601134028771</v>
      </c>
      <c r="I9" s="26">
        <f ca="1">[1]!i_pq_pctchange($D9,I$3,$D$3)</f>
        <v>-3.032640917463536</v>
      </c>
      <c r="J9" s="26">
        <f ca="1">[1]!i_pq_pctchange($D9,J$3,$D$3)</f>
        <v>-10.649139097578342</v>
      </c>
      <c r="K9" s="26">
        <f ca="1">[1]!i_pq_pctchange($D9,K$3,$D$3)</f>
        <v>-23.960314190519384</v>
      </c>
      <c r="L9" s="26">
        <f ca="1">[1]!i_pq_pctchange($D9,L$3,$D$3)</f>
        <v>-7.6571248849689466</v>
      </c>
      <c r="M9" s="6"/>
      <c r="N9" s="8"/>
      <c r="O9" s="6"/>
      <c r="P9" s="7"/>
      <c r="Q9" s="7"/>
      <c r="R9" s="7"/>
      <c r="S9" s="7"/>
      <c r="T9" s="7"/>
      <c r="U9" s="7"/>
      <c r="V9" s="7"/>
      <c r="W9" s="7"/>
      <c r="X9" s="6"/>
      <c r="Y9" s="6"/>
      <c r="Z9" s="8"/>
      <c r="AA9" s="6"/>
      <c r="AB9" s="7"/>
      <c r="AC9" s="7"/>
      <c r="AD9" s="7"/>
      <c r="AE9" s="7"/>
      <c r="AF9" s="7"/>
      <c r="AG9" s="7"/>
      <c r="AH9" s="7"/>
      <c r="AI9" s="7"/>
      <c r="AJ9" s="6"/>
      <c r="AK9" s="6"/>
      <c r="AL9" s="8"/>
      <c r="AM9" s="6"/>
      <c r="AN9" s="7"/>
      <c r="AO9" s="7"/>
      <c r="AP9" s="7"/>
      <c r="AQ9" s="7"/>
      <c r="AR9" s="7"/>
      <c r="AS9" s="7"/>
      <c r="AT9" s="7"/>
      <c r="AU9" s="7"/>
      <c r="AV9" s="6"/>
      <c r="AW9" s="6"/>
      <c r="AX9" s="8"/>
      <c r="AY9" s="6"/>
      <c r="AZ9" s="7"/>
      <c r="BA9" s="7"/>
      <c r="BB9" s="7"/>
      <c r="BC9" s="7"/>
      <c r="BD9" s="7"/>
      <c r="BE9" s="7"/>
      <c r="BF9" s="7"/>
      <c r="BG9" s="7"/>
      <c r="BH9" s="6"/>
      <c r="BI9" s="6"/>
      <c r="BJ9" s="8"/>
      <c r="BK9" s="6"/>
      <c r="BL9" s="7"/>
      <c r="BM9" s="7"/>
      <c r="BN9" s="7"/>
      <c r="BO9" s="7"/>
      <c r="BP9" s="7"/>
      <c r="BQ9" s="7"/>
      <c r="BR9" s="7"/>
      <c r="BS9" s="7"/>
      <c r="BT9" s="6"/>
      <c r="BU9" s="6"/>
      <c r="BV9" s="8"/>
    </row>
    <row r="10" spans="1:74" ht="16.5">
      <c r="A10" s="8"/>
      <c r="B10" s="6"/>
      <c r="C10" s="35" t="s">
        <v>48</v>
      </c>
      <c r="D10" s="27" t="s">
        <v>49</v>
      </c>
      <c r="E10" s="37">
        <f ca="1">[1]!i_dq_close(D10,$D$3)</f>
        <v>4740.7287999999999</v>
      </c>
      <c r="F10" s="29">
        <f ca="1">[1]!i_dq_pctchange(D10,$F$3)</f>
        <v>0</v>
      </c>
      <c r="G10" s="29">
        <f ca="1">[1]!i_pq_pctchange($D10,G$3,$D$3)</f>
        <v>-2.0657318039867256</v>
      </c>
      <c r="H10" s="29">
        <f ca="1">[1]!i_pq_pctchange($D10,H$3,$D$3)</f>
        <v>-2.8785685665929095</v>
      </c>
      <c r="I10" s="29">
        <f ca="1">[1]!i_pq_pctchange($D10,I$3,$D$3)</f>
        <v>-0.505530496411144</v>
      </c>
      <c r="J10" s="29">
        <f ca="1">[1]!i_pq_pctchange($D10,J$3,$D$3)</f>
        <v>-7.341204992876726</v>
      </c>
      <c r="K10" s="29">
        <f ca="1">[1]!i_pq_pctchange($D10,K$3,$D$3)</f>
        <v>-16.770256844194577</v>
      </c>
      <c r="L10" s="29">
        <f ca="1">[1]!i_pq_pctchange($D10,L$3,$D$3)</f>
        <v>-4.9674878405148952</v>
      </c>
      <c r="M10" s="6"/>
      <c r="N10" s="8"/>
      <c r="O10" s="6"/>
      <c r="P10" s="10"/>
      <c r="Q10" s="10"/>
      <c r="R10" s="10"/>
      <c r="S10" s="10"/>
      <c r="T10" s="10"/>
      <c r="U10" s="10"/>
      <c r="V10" s="10"/>
      <c r="W10" s="10"/>
      <c r="X10" s="6"/>
      <c r="Y10" s="6"/>
      <c r="Z10" s="8"/>
      <c r="AA10" s="6"/>
      <c r="AB10" s="10"/>
      <c r="AC10" s="10"/>
      <c r="AD10" s="10"/>
      <c r="AE10" s="10"/>
      <c r="AF10" s="10"/>
      <c r="AG10" s="10"/>
      <c r="AH10" s="10"/>
      <c r="AI10" s="10"/>
      <c r="AJ10" s="6"/>
      <c r="AK10" s="6"/>
      <c r="AL10" s="8"/>
      <c r="AM10" s="6"/>
      <c r="AN10" s="10"/>
      <c r="AO10" s="10"/>
      <c r="AP10" s="10"/>
      <c r="AQ10" s="10"/>
      <c r="AR10" s="10"/>
      <c r="AS10" s="10"/>
      <c r="AT10" s="10"/>
      <c r="AU10" s="10"/>
      <c r="AV10" s="6"/>
      <c r="AW10" s="6"/>
      <c r="AX10" s="8"/>
      <c r="AY10" s="6"/>
      <c r="AZ10" s="10"/>
      <c r="BA10" s="10"/>
      <c r="BB10" s="10"/>
      <c r="BC10" s="10"/>
      <c r="BD10" s="10"/>
      <c r="BE10" s="10"/>
      <c r="BF10" s="10"/>
      <c r="BG10" s="10"/>
      <c r="BH10" s="6"/>
      <c r="BI10" s="6"/>
      <c r="BJ10" s="8"/>
      <c r="BK10" s="6"/>
      <c r="BL10" s="10"/>
      <c r="BM10" s="10"/>
      <c r="BN10" s="10"/>
      <c r="BO10" s="10"/>
      <c r="BP10" s="10"/>
      <c r="BQ10" s="10"/>
      <c r="BR10" s="10"/>
      <c r="BS10" s="10"/>
      <c r="BT10" s="6"/>
      <c r="BU10" s="6"/>
      <c r="BV10" s="8"/>
    </row>
    <row r="11" spans="1:74" ht="16.5">
      <c r="A11" s="8"/>
      <c r="B11" s="6"/>
      <c r="C11" s="34" t="s">
        <v>50</v>
      </c>
      <c r="D11" s="24" t="s">
        <v>51</v>
      </c>
      <c r="E11" s="36">
        <f ca="1">[1]!i_dq_close(D11,$D$3)</f>
        <v>7833.3245999999999</v>
      </c>
      <c r="F11" s="26">
        <f ca="1">[1]!i_dq_pctchange(D11,$F$3)</f>
        <v>0</v>
      </c>
      <c r="G11" s="26">
        <f ca="1">[1]!i_pq_pctchange($D11,G$3,$D$3)</f>
        <v>-0.35228897386714308</v>
      </c>
      <c r="H11" s="26">
        <f ca="1">[1]!i_pq_pctchange($D11,H$3,$D$3)</f>
        <v>2.194050436655659</v>
      </c>
      <c r="I11" s="26">
        <f ca="1">[1]!i_pq_pctchange($D11,I$3,$D$3)</f>
        <v>6.4063403216794157</v>
      </c>
      <c r="J11" s="26">
        <f ca="1">[1]!i_pq_pctchange($D11,J$3,$D$3)</f>
        <v>2.2798544455944869</v>
      </c>
      <c r="K11" s="26">
        <f ca="1">[1]!i_pq_pctchange($D11,K$3,$D$3)</f>
        <v>-3.3117709701974696</v>
      </c>
      <c r="L11" s="26">
        <f ca="1">[1]!i_pq_pctchange($D11,L$3,$D$3)</f>
        <v>6.0126881900993912</v>
      </c>
      <c r="M11" s="6"/>
      <c r="N11" s="8"/>
      <c r="O11" s="6"/>
      <c r="P11" s="7"/>
      <c r="Q11" s="7"/>
      <c r="R11" s="7"/>
      <c r="S11" s="7"/>
      <c r="T11" s="7"/>
      <c r="U11" s="7"/>
      <c r="V11" s="7"/>
      <c r="W11" s="7"/>
      <c r="X11" s="6"/>
      <c r="Y11" s="6"/>
      <c r="Z11" s="8"/>
      <c r="AA11" s="6"/>
      <c r="AB11" s="7"/>
      <c r="AC11" s="7"/>
      <c r="AD11" s="7"/>
      <c r="AE11" s="7"/>
      <c r="AF11" s="7"/>
      <c r="AG11" s="7"/>
      <c r="AH11" s="7"/>
      <c r="AI11" s="7"/>
      <c r="AJ11" s="6"/>
      <c r="AK11" s="6"/>
      <c r="AL11" s="8"/>
      <c r="AM11" s="6"/>
      <c r="AN11" s="7"/>
      <c r="AO11" s="7"/>
      <c r="AP11" s="7"/>
      <c r="AQ11" s="7"/>
      <c r="AR11" s="7"/>
      <c r="AS11" s="7"/>
      <c r="AT11" s="7"/>
      <c r="AU11" s="7"/>
      <c r="AV11" s="6"/>
      <c r="AW11" s="6"/>
      <c r="AX11" s="8"/>
      <c r="AY11" s="6"/>
      <c r="AZ11" s="7"/>
      <c r="BA11" s="7"/>
      <c r="BB11" s="7"/>
      <c r="BC11" s="7"/>
      <c r="BD11" s="7"/>
      <c r="BE11" s="7"/>
      <c r="BF11" s="7"/>
      <c r="BG11" s="7"/>
      <c r="BH11" s="6"/>
      <c r="BI11" s="6"/>
      <c r="BJ11" s="8"/>
      <c r="BK11" s="6"/>
      <c r="BL11" s="7"/>
      <c r="BM11" s="7"/>
      <c r="BN11" s="7"/>
      <c r="BO11" s="7"/>
      <c r="BP11" s="7"/>
      <c r="BQ11" s="7"/>
      <c r="BR11" s="7"/>
      <c r="BS11" s="7"/>
      <c r="BT11" s="6"/>
      <c r="BU11" s="6"/>
      <c r="BV11" s="8"/>
    </row>
    <row r="12" spans="1:74" ht="16.5">
      <c r="A12" s="8"/>
      <c r="B12" s="6"/>
      <c r="C12" s="35" t="s">
        <v>52</v>
      </c>
      <c r="D12" s="27" t="s">
        <v>53</v>
      </c>
      <c r="E12" s="37">
        <f ca="1">[1]!i_dq_close(D12,$D$3)</f>
        <v>4187.8669</v>
      </c>
      <c r="F12" s="29">
        <f ca="1">[1]!i_dq_pctchange(D12,$F$3)</f>
        <v>0</v>
      </c>
      <c r="G12" s="29">
        <f ca="1">[1]!i_pq_pctchange($D12,G$3,$D$3)</f>
        <v>-3.2852200500914419</v>
      </c>
      <c r="H12" s="29">
        <f ca="1">[1]!i_pq_pctchange($D12,H$3,$D$3)</f>
        <v>-3.6716682931981715</v>
      </c>
      <c r="I12" s="29">
        <f ca="1">[1]!i_pq_pctchange($D12,I$3,$D$3)</f>
        <v>1.7109081081228217</v>
      </c>
      <c r="J12" s="29">
        <f ca="1">[1]!i_pq_pctchange($D12,J$3,$D$3)</f>
        <v>-9.6956177672661745</v>
      </c>
      <c r="K12" s="29">
        <f ca="1">[1]!i_pq_pctchange($D12,K$3,$D$3)</f>
        <v>-24.230347282098876</v>
      </c>
      <c r="L12" s="29">
        <f ca="1">[1]!i_pq_pctchange($D12,L$3,$D$3)</f>
        <v>-3.8051310246535408</v>
      </c>
      <c r="M12" s="6"/>
      <c r="N12" s="8"/>
      <c r="O12" s="6"/>
      <c r="P12" s="10"/>
      <c r="Q12" s="10"/>
      <c r="R12" s="10"/>
      <c r="S12" s="10"/>
      <c r="T12" s="10"/>
      <c r="U12" s="10"/>
      <c r="V12" s="10"/>
      <c r="W12" s="10"/>
      <c r="X12" s="6"/>
      <c r="Y12" s="6"/>
      <c r="Z12" s="8"/>
      <c r="AA12" s="6"/>
      <c r="AB12" s="10"/>
      <c r="AC12" s="10"/>
      <c r="AD12" s="10"/>
      <c r="AE12" s="10"/>
      <c r="AF12" s="10"/>
      <c r="AG12" s="10"/>
      <c r="AH12" s="10"/>
      <c r="AI12" s="10"/>
      <c r="AJ12" s="6"/>
      <c r="AK12" s="6"/>
      <c r="AL12" s="8"/>
      <c r="AM12" s="6"/>
      <c r="AN12" s="10"/>
      <c r="AO12" s="10"/>
      <c r="AP12" s="10"/>
      <c r="AQ12" s="10"/>
      <c r="AR12" s="10"/>
      <c r="AS12" s="10"/>
      <c r="AT12" s="10"/>
      <c r="AU12" s="10"/>
      <c r="AV12" s="6"/>
      <c r="AW12" s="6"/>
      <c r="AX12" s="8"/>
      <c r="AY12" s="6"/>
      <c r="AZ12" s="10"/>
      <c r="BA12" s="10"/>
      <c r="BB12" s="10"/>
      <c r="BC12" s="10"/>
      <c r="BD12" s="10"/>
      <c r="BE12" s="10"/>
      <c r="BF12" s="10"/>
      <c r="BG12" s="10"/>
      <c r="BH12" s="6"/>
      <c r="BI12" s="6"/>
      <c r="BJ12" s="8"/>
      <c r="BK12" s="6"/>
      <c r="BL12" s="10"/>
      <c r="BM12" s="10"/>
      <c r="BN12" s="10"/>
      <c r="BO12" s="10"/>
      <c r="BP12" s="10"/>
      <c r="BQ12" s="10"/>
      <c r="BR12" s="10"/>
      <c r="BS12" s="10"/>
      <c r="BT12" s="6"/>
      <c r="BU12" s="6"/>
      <c r="BV12" s="8"/>
    </row>
    <row r="13" spans="1:74" ht="16.5">
      <c r="A13" s="8"/>
      <c r="B13" s="6"/>
      <c r="C13" s="34" t="s">
        <v>54</v>
      </c>
      <c r="D13" s="24" t="s">
        <v>55</v>
      </c>
      <c r="E13" s="36">
        <f ca="1">[1]!i_dq_close(D13,$D$3)</f>
        <v>6523.3860000000004</v>
      </c>
      <c r="F13" s="26">
        <f ca="1">[1]!i_dq_pctchange(D13,$F$3)</f>
        <v>0</v>
      </c>
      <c r="G13" s="26">
        <f ca="1">[1]!i_pq_pctchange($D13,G$3,$D$3)</f>
        <v>-3.8909425440536438E-2</v>
      </c>
      <c r="H13" s="26">
        <f ca="1">[1]!i_pq_pctchange($D13,H$3,$D$3)</f>
        <v>3.8738563525017033</v>
      </c>
      <c r="I13" s="26">
        <f ca="1">[1]!i_pq_pctchange($D13,I$3,$D$3)</f>
        <v>11.539261873663232</v>
      </c>
      <c r="J13" s="26">
        <f ca="1">[1]!i_pq_pctchange($D13,J$3,$D$3)</f>
        <v>5.280579463074031</v>
      </c>
      <c r="K13" s="26">
        <f ca="1">[1]!i_pq_pctchange($D13,K$3,$D$3)</f>
        <v>-0.19410737915565024</v>
      </c>
      <c r="L13" s="26">
        <f ca="1">[1]!i_pq_pctchange($D13,L$3,$D$3)</f>
        <v>10.901097748798438</v>
      </c>
      <c r="M13" s="6"/>
      <c r="N13" s="8"/>
      <c r="O13" s="6"/>
      <c r="P13" s="10"/>
      <c r="Q13" s="10"/>
      <c r="R13" s="10"/>
      <c r="S13" s="10"/>
      <c r="T13" s="10"/>
      <c r="U13" s="10"/>
      <c r="V13" s="10"/>
      <c r="W13" s="10"/>
      <c r="X13" s="6"/>
      <c r="Y13" s="6"/>
      <c r="Z13" s="8"/>
      <c r="AA13" s="6"/>
      <c r="AB13" s="10"/>
      <c r="AC13" s="10"/>
      <c r="AD13" s="10"/>
      <c r="AE13" s="10"/>
      <c r="AF13" s="10"/>
      <c r="AG13" s="10"/>
      <c r="AH13" s="10"/>
      <c r="AI13" s="10"/>
      <c r="AJ13" s="6"/>
      <c r="AK13" s="6"/>
      <c r="AL13" s="8"/>
      <c r="AM13" s="6"/>
      <c r="AN13" s="10"/>
      <c r="AO13" s="10"/>
      <c r="AP13" s="10"/>
      <c r="AQ13" s="10"/>
      <c r="AR13" s="10"/>
      <c r="AS13" s="10"/>
      <c r="AT13" s="10"/>
      <c r="AU13" s="10"/>
      <c r="AV13" s="6"/>
      <c r="AW13" s="6"/>
      <c r="AX13" s="8"/>
      <c r="AY13" s="6"/>
      <c r="AZ13" s="10"/>
      <c r="BA13" s="10"/>
      <c r="BB13" s="10"/>
      <c r="BC13" s="10"/>
      <c r="BD13" s="10"/>
      <c r="BE13" s="10"/>
      <c r="BF13" s="10"/>
      <c r="BG13" s="10"/>
      <c r="BH13" s="6"/>
      <c r="BI13" s="6"/>
      <c r="BJ13" s="8"/>
      <c r="BK13" s="6"/>
      <c r="BL13" s="10"/>
      <c r="BM13" s="10"/>
      <c r="BN13" s="10"/>
      <c r="BO13" s="10"/>
      <c r="BP13" s="10"/>
      <c r="BQ13" s="10"/>
      <c r="BR13" s="10"/>
      <c r="BS13" s="10"/>
      <c r="BT13" s="6"/>
      <c r="BU13" s="6"/>
      <c r="BV13" s="8"/>
    </row>
    <row r="14" spans="1:74" ht="16.5">
      <c r="A14" s="8"/>
      <c r="B14" s="6"/>
      <c r="C14" s="35" t="s">
        <v>56</v>
      </c>
      <c r="D14" s="27" t="s">
        <v>57</v>
      </c>
      <c r="E14" s="37">
        <f ca="1">[1]!i_dq_close(D14,$D$3)</f>
        <v>4495.9092000000001</v>
      </c>
      <c r="F14" s="29">
        <f ca="1">[1]!i_dq_pctchange(D14,$F$3)</f>
        <v>0</v>
      </c>
      <c r="G14" s="29">
        <f ca="1">[1]!i_pq_pctchange($D14,G$3,$D$3)</f>
        <v>-3.7720677246859013</v>
      </c>
      <c r="H14" s="29">
        <f ca="1">[1]!i_pq_pctchange($D14,H$3,$D$3)</f>
        <v>-3.5135594515270263</v>
      </c>
      <c r="I14" s="29">
        <f ca="1">[1]!i_pq_pctchange($D14,I$3,$D$3)</f>
        <v>4.381744378618424</v>
      </c>
      <c r="J14" s="29">
        <f ca="1">[1]!i_pq_pctchange($D14,J$3,$D$3)</f>
        <v>-8.8342824411525189</v>
      </c>
      <c r="K14" s="29">
        <f ca="1">[1]!i_pq_pctchange($D14,K$3,$D$3)</f>
        <v>-23.35582392090544</v>
      </c>
      <c r="L14" s="29">
        <f ca="1">[1]!i_pq_pctchange($D14,L$3,$D$3)</f>
        <v>-1.8327728561436274</v>
      </c>
      <c r="M14" s="6"/>
      <c r="N14" s="8"/>
      <c r="O14" s="6"/>
      <c r="P14" s="7"/>
      <c r="Q14" s="7"/>
      <c r="R14" s="7"/>
      <c r="S14" s="7"/>
      <c r="T14" s="7"/>
      <c r="U14" s="7"/>
      <c r="V14" s="7"/>
      <c r="W14" s="7"/>
      <c r="X14" s="6"/>
      <c r="Y14" s="6"/>
      <c r="Z14" s="8"/>
      <c r="AA14" s="6"/>
      <c r="AB14" s="7"/>
      <c r="AC14" s="7"/>
      <c r="AD14" s="7"/>
      <c r="AE14" s="7"/>
      <c r="AF14" s="7"/>
      <c r="AG14" s="7"/>
      <c r="AH14" s="7"/>
      <c r="AI14" s="7"/>
      <c r="AJ14" s="6"/>
      <c r="AK14" s="6"/>
      <c r="AL14" s="8"/>
      <c r="AM14" s="6"/>
      <c r="AN14" s="7"/>
      <c r="AO14" s="7"/>
      <c r="AP14" s="7"/>
      <c r="AQ14" s="7"/>
      <c r="AR14" s="7"/>
      <c r="AS14" s="7"/>
      <c r="AT14" s="7"/>
      <c r="AU14" s="7"/>
      <c r="AV14" s="6"/>
      <c r="AW14" s="6"/>
      <c r="AX14" s="8"/>
      <c r="AY14" s="6"/>
      <c r="AZ14" s="7"/>
      <c r="BA14" s="7"/>
      <c r="BB14" s="7"/>
      <c r="BC14" s="7"/>
      <c r="BD14" s="7"/>
      <c r="BE14" s="7"/>
      <c r="BF14" s="7"/>
      <c r="BG14" s="7"/>
      <c r="BH14" s="6"/>
      <c r="BI14" s="6"/>
      <c r="BJ14" s="8"/>
      <c r="BK14" s="6"/>
      <c r="BL14" s="7"/>
      <c r="BM14" s="7"/>
      <c r="BN14" s="7"/>
      <c r="BO14" s="7"/>
      <c r="BP14" s="7"/>
      <c r="BQ14" s="7"/>
      <c r="BR14" s="7"/>
      <c r="BS14" s="7"/>
      <c r="BT14" s="6"/>
      <c r="BU14" s="6"/>
      <c r="BV14" s="8"/>
    </row>
    <row r="15" spans="1:74" ht="16.5">
      <c r="A15" s="8"/>
      <c r="B15" s="6"/>
      <c r="C15" s="34" t="s">
        <v>58</v>
      </c>
      <c r="D15" s="24" t="s">
        <v>59</v>
      </c>
      <c r="E15" s="36">
        <f ca="1">[1]!i_dq_close(D15,$D$3)</f>
        <v>3848.6977000000002</v>
      </c>
      <c r="F15" s="26">
        <f ca="1">[1]!i_dq_pctchange(D15,$F$3)</f>
        <v>0</v>
      </c>
      <c r="G15" s="26">
        <f ca="1">[1]!i_pq_pctchange($D15,G$3,$D$3)</f>
        <v>-1.6695517044043928</v>
      </c>
      <c r="H15" s="26">
        <f ca="1">[1]!i_pq_pctchange($D15,H$3,$D$3)</f>
        <v>-2.5068449420940331</v>
      </c>
      <c r="I15" s="26">
        <f ca="1">[1]!i_pq_pctchange($D15,I$3,$D$3)</f>
        <v>3.5413102418523801</v>
      </c>
      <c r="J15" s="26">
        <f ca="1">[1]!i_pq_pctchange($D15,J$3,$D$3)</f>
        <v>-6.9297332245259806</v>
      </c>
      <c r="K15" s="26">
        <f ca="1">[1]!i_pq_pctchange($D15,K$3,$D$3)</f>
        <v>-19.336695190129795</v>
      </c>
      <c r="L15" s="26">
        <f ca="1">[1]!i_pq_pctchange($D15,L$3,$D$3)</f>
        <v>-1.10310434732378</v>
      </c>
      <c r="M15" s="6"/>
      <c r="N15" s="8"/>
      <c r="O15" s="6"/>
      <c r="P15" s="10"/>
      <c r="Q15" s="10"/>
      <c r="R15" s="10"/>
      <c r="S15" s="10"/>
      <c r="T15" s="10"/>
      <c r="U15" s="10"/>
      <c r="V15" s="10"/>
      <c r="W15" s="10"/>
      <c r="X15" s="6"/>
      <c r="Y15" s="6"/>
      <c r="Z15" s="8"/>
      <c r="AA15" s="6"/>
      <c r="AB15" s="10"/>
      <c r="AC15" s="10"/>
      <c r="AD15" s="10"/>
      <c r="AE15" s="10"/>
      <c r="AF15" s="10"/>
      <c r="AG15" s="10"/>
      <c r="AH15" s="10"/>
      <c r="AI15" s="10"/>
      <c r="AJ15" s="6"/>
      <c r="AK15" s="6"/>
      <c r="AL15" s="8"/>
      <c r="AM15" s="6"/>
      <c r="AN15" s="10"/>
      <c r="AO15" s="10"/>
      <c r="AP15" s="10"/>
      <c r="AQ15" s="10"/>
      <c r="AR15" s="10"/>
      <c r="AS15" s="10"/>
      <c r="AT15" s="10"/>
      <c r="AU15" s="10"/>
      <c r="AV15" s="6"/>
      <c r="AW15" s="6"/>
      <c r="AX15" s="8"/>
      <c r="AY15" s="6"/>
      <c r="AZ15" s="10"/>
      <c r="BA15" s="10"/>
      <c r="BB15" s="10"/>
      <c r="BC15" s="10"/>
      <c r="BD15" s="10"/>
      <c r="BE15" s="10"/>
      <c r="BF15" s="10"/>
      <c r="BG15" s="10"/>
      <c r="BH15" s="6"/>
      <c r="BI15" s="6"/>
      <c r="BJ15" s="8"/>
      <c r="BK15" s="6"/>
      <c r="BL15" s="10"/>
      <c r="BM15" s="10"/>
      <c r="BN15" s="10"/>
      <c r="BO15" s="10"/>
      <c r="BP15" s="10"/>
      <c r="BQ15" s="10"/>
      <c r="BR15" s="10"/>
      <c r="BS15" s="10"/>
      <c r="BT15" s="6"/>
      <c r="BU15" s="6"/>
      <c r="BV15" s="8"/>
    </row>
    <row r="16" spans="1:74" ht="16.5">
      <c r="A16" s="8"/>
      <c r="B16" s="6"/>
      <c r="C16" s="35" t="s">
        <v>60</v>
      </c>
      <c r="D16" s="27" t="s">
        <v>61</v>
      </c>
      <c r="E16" s="37">
        <f ca="1">[1]!i_dq_close(D16,$D$3)</f>
        <v>4801.3482000000004</v>
      </c>
      <c r="F16" s="29">
        <f ca="1">[1]!i_dq_pctchange(D16,$F$3)</f>
        <v>0</v>
      </c>
      <c r="G16" s="29">
        <f ca="1">[1]!i_pq_pctchange($D16,G$3,$D$3)</f>
        <v>-2.7596475443740998</v>
      </c>
      <c r="H16" s="29">
        <f ca="1">[1]!i_pq_pctchange($D16,H$3,$D$3)</f>
        <v>-2.7377076245392651</v>
      </c>
      <c r="I16" s="29">
        <f ca="1">[1]!i_pq_pctchange($D16,I$3,$D$3)</f>
        <v>5.916432105585967</v>
      </c>
      <c r="J16" s="29">
        <f ca="1">[1]!i_pq_pctchange($D16,J$3,$D$3)</f>
        <v>-4.5731734039261784</v>
      </c>
      <c r="K16" s="29">
        <f ca="1">[1]!i_pq_pctchange($D16,K$3,$D$3)</f>
        <v>-11.063426090731399</v>
      </c>
      <c r="L16" s="29">
        <f ca="1">[1]!i_pq_pctchange($D16,L$3,$D$3)</f>
        <v>1.4875632322491228</v>
      </c>
      <c r="M16" s="6"/>
      <c r="N16" s="8"/>
      <c r="O16" s="6"/>
      <c r="P16" s="10"/>
      <c r="Q16" s="10"/>
      <c r="R16" s="10"/>
      <c r="S16" s="10"/>
      <c r="T16" s="10"/>
      <c r="U16" s="10"/>
      <c r="V16" s="10"/>
      <c r="W16" s="10"/>
      <c r="X16" s="6"/>
      <c r="Y16" s="6"/>
      <c r="Z16" s="8"/>
      <c r="AA16" s="6"/>
      <c r="AB16" s="10"/>
      <c r="AC16" s="10"/>
      <c r="AD16" s="10"/>
      <c r="AE16" s="10"/>
      <c r="AF16" s="10"/>
      <c r="AG16" s="10"/>
      <c r="AH16" s="10"/>
      <c r="AI16" s="10"/>
      <c r="AJ16" s="6"/>
      <c r="AK16" s="6"/>
      <c r="AL16" s="8"/>
      <c r="AM16" s="6"/>
      <c r="AN16" s="10"/>
      <c r="AO16" s="10"/>
      <c r="AP16" s="10"/>
      <c r="AQ16" s="10"/>
      <c r="AR16" s="10"/>
      <c r="AS16" s="10"/>
      <c r="AT16" s="10"/>
      <c r="AU16" s="10"/>
      <c r="AV16" s="6"/>
      <c r="AW16" s="6"/>
      <c r="AX16" s="8"/>
      <c r="AY16" s="6"/>
      <c r="AZ16" s="10"/>
      <c r="BA16" s="10"/>
      <c r="BB16" s="10"/>
      <c r="BC16" s="10"/>
      <c r="BD16" s="10"/>
      <c r="BE16" s="10"/>
      <c r="BF16" s="10"/>
      <c r="BG16" s="10"/>
      <c r="BH16" s="6"/>
      <c r="BI16" s="6"/>
      <c r="BJ16" s="8"/>
      <c r="BK16" s="6"/>
      <c r="BL16" s="10"/>
      <c r="BM16" s="10"/>
      <c r="BN16" s="10"/>
      <c r="BO16" s="10"/>
      <c r="BP16" s="10"/>
      <c r="BQ16" s="10"/>
      <c r="BR16" s="10"/>
      <c r="BS16" s="10"/>
      <c r="BT16" s="6"/>
      <c r="BU16" s="6"/>
      <c r="BV16" s="8"/>
    </row>
    <row r="17" spans="1:74" ht="16.5">
      <c r="A17" s="8"/>
      <c r="B17" s="6"/>
      <c r="C17" s="34" t="s">
        <v>62</v>
      </c>
      <c r="D17" s="24" t="s">
        <v>63</v>
      </c>
      <c r="E17" s="36">
        <f ca="1">[1]!i_dq_close(D17,$D$3)</f>
        <v>8193.8413</v>
      </c>
      <c r="F17" s="26">
        <f ca="1">[1]!i_dq_pctchange(D17,$F$3)</f>
        <v>0</v>
      </c>
      <c r="G17" s="26">
        <f ca="1">[1]!i_pq_pctchange($D17,G$3,$D$3)</f>
        <v>-1.2090062334176976</v>
      </c>
      <c r="H17" s="26">
        <f ca="1">[1]!i_pq_pctchange($D17,H$3,$D$3)</f>
        <v>0.55075490916909331</v>
      </c>
      <c r="I17" s="26">
        <f ca="1">[1]!i_pq_pctchange($D17,I$3,$D$3)</f>
        <v>9.1424343414090217</v>
      </c>
      <c r="J17" s="26">
        <f ca="1">[1]!i_pq_pctchange($D17,J$3,$D$3)</f>
        <v>2.1827947178976848</v>
      </c>
      <c r="K17" s="26">
        <f ca="1">[1]!i_pq_pctchange($D17,K$3,$D$3)</f>
        <v>1.7965981586559376</v>
      </c>
      <c r="L17" s="26">
        <f ca="1">[1]!i_pq_pctchange($D17,L$3,$D$3)</f>
        <v>8.3916785485551806</v>
      </c>
      <c r="M17" s="6"/>
      <c r="N17" s="8"/>
      <c r="O17" s="6"/>
      <c r="P17" s="10"/>
      <c r="Q17" s="10"/>
      <c r="R17" s="10"/>
      <c r="S17" s="10"/>
      <c r="T17" s="10"/>
      <c r="U17" s="10"/>
      <c r="V17" s="10"/>
      <c r="W17" s="10"/>
      <c r="X17" s="6"/>
      <c r="Y17" s="6"/>
      <c r="Z17" s="8"/>
      <c r="AA17" s="6"/>
      <c r="AB17" s="10"/>
      <c r="AC17" s="10"/>
      <c r="AD17" s="10"/>
      <c r="AE17" s="10"/>
      <c r="AF17" s="10"/>
      <c r="AG17" s="10"/>
      <c r="AH17" s="10"/>
      <c r="AI17" s="10"/>
      <c r="AJ17" s="6"/>
      <c r="AK17" s="6"/>
      <c r="AL17" s="8"/>
      <c r="AM17" s="6"/>
      <c r="AN17" s="10"/>
      <c r="AO17" s="10"/>
      <c r="AP17" s="10"/>
      <c r="AQ17" s="10"/>
      <c r="AR17" s="10"/>
      <c r="AS17" s="10"/>
      <c r="AT17" s="10"/>
      <c r="AU17" s="10"/>
      <c r="AV17" s="6"/>
      <c r="AW17" s="6"/>
      <c r="AX17" s="8"/>
      <c r="AY17" s="6"/>
      <c r="AZ17" s="10"/>
      <c r="BA17" s="10"/>
      <c r="BB17" s="10"/>
      <c r="BC17" s="10"/>
      <c r="BD17" s="10"/>
      <c r="BE17" s="10"/>
      <c r="BF17" s="10"/>
      <c r="BG17" s="10"/>
      <c r="BH17" s="6"/>
      <c r="BI17" s="6"/>
      <c r="BJ17" s="8"/>
      <c r="BK17" s="6"/>
      <c r="BL17" s="10"/>
      <c r="BM17" s="10"/>
      <c r="BN17" s="10"/>
      <c r="BO17" s="10"/>
      <c r="BP17" s="10"/>
      <c r="BQ17" s="10"/>
      <c r="BR17" s="10"/>
      <c r="BS17" s="10"/>
      <c r="BT17" s="6"/>
      <c r="BU17" s="6"/>
      <c r="BV17" s="8"/>
    </row>
    <row r="18" spans="1:74" ht="16.5">
      <c r="A18" s="8"/>
      <c r="B18" s="6"/>
      <c r="C18" s="35" t="s">
        <v>64</v>
      </c>
      <c r="D18" s="27" t="s">
        <v>65</v>
      </c>
      <c r="E18" s="37">
        <f ca="1">[1]!i_dq_close(D18,$D$3)</f>
        <v>3860.0981000000002</v>
      </c>
      <c r="F18" s="29">
        <f ca="1">[1]!i_dq_pctchange(D18,$F$3)</f>
        <v>0</v>
      </c>
      <c r="G18" s="29">
        <f ca="1">[1]!i_pq_pctchange($D18,G$3,$D$3)</f>
        <v>-2.9992766091037293</v>
      </c>
      <c r="H18" s="29">
        <f ca="1">[1]!i_pq_pctchange($D18,H$3,$D$3)</f>
        <v>-4.4113984281770158</v>
      </c>
      <c r="I18" s="29">
        <f ca="1">[1]!i_pq_pctchange($D18,I$3,$D$3)</f>
        <v>-1.1979621804113605</v>
      </c>
      <c r="J18" s="29">
        <f ca="1">[1]!i_pq_pctchange($D18,J$3,$D$3)</f>
        <v>-11.128591013003552</v>
      </c>
      <c r="K18" s="29">
        <f ca="1">[1]!i_pq_pctchange($D18,K$3,$D$3)</f>
        <v>-26.634925738185935</v>
      </c>
      <c r="L18" s="29">
        <f ca="1">[1]!i_pq_pctchange($D18,L$3,$D$3)</f>
        <v>-5.7203896579849811</v>
      </c>
      <c r="M18" s="6"/>
      <c r="N18" s="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8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8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8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8"/>
    </row>
    <row r="19" spans="1:74" ht="16.5">
      <c r="A19" s="8"/>
      <c r="B19" s="6"/>
      <c r="C19" s="34" t="s">
        <v>66</v>
      </c>
      <c r="D19" s="24" t="s">
        <v>67</v>
      </c>
      <c r="E19" s="36">
        <f ca="1">[1]!i_dq_close(D19,$D$3)</f>
        <v>10097.638300000001</v>
      </c>
      <c r="F19" s="26">
        <f ca="1">[1]!i_dq_pctchange(D19,$F$3)</f>
        <v>0</v>
      </c>
      <c r="G19" s="26">
        <f ca="1">[1]!i_pq_pctchange($D19,G$3,$D$3)</f>
        <v>-1.8784593017538431</v>
      </c>
      <c r="H19" s="26">
        <f ca="1">[1]!i_pq_pctchange($D19,H$3,$D$3)</f>
        <v>-1.0798048206621336</v>
      </c>
      <c r="I19" s="26">
        <f ca="1">[1]!i_pq_pctchange($D19,I$3,$D$3)</f>
        <v>9.0803658883993332</v>
      </c>
      <c r="J19" s="26">
        <f ca="1">[1]!i_pq_pctchange($D19,J$3,$D$3)</f>
        <v>1.0465224226092085</v>
      </c>
      <c r="K19" s="26">
        <f ca="1">[1]!i_pq_pctchange($D19,K$3,$D$3)</f>
        <v>4.1110501145736889</v>
      </c>
      <c r="L19" s="26">
        <f ca="1">[1]!i_pq_pctchange($D19,L$3,$D$3)</f>
        <v>8.1830382868643969</v>
      </c>
      <c r="M19" s="6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8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8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8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8"/>
    </row>
    <row r="20" spans="1:74" ht="9.75" customHeight="1">
      <c r="A20" s="8"/>
      <c r="B20" s="6"/>
      <c r="C20" s="15"/>
      <c r="D20" s="15"/>
      <c r="E20" s="16"/>
      <c r="F20" s="17"/>
      <c r="G20" s="17"/>
      <c r="H20" s="17"/>
      <c r="I20" s="17"/>
      <c r="J20" s="17"/>
      <c r="K20" s="17"/>
      <c r="L20" s="17"/>
      <c r="M20" s="6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8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8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8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8"/>
    </row>
    <row r="21" spans="1:7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8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8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8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8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8"/>
    </row>
    <row r="23" spans="1:74" ht="17.25">
      <c r="A23" s="8"/>
      <c r="B23" s="6"/>
      <c r="C23" s="14" t="s">
        <v>74</v>
      </c>
      <c r="D23" s="9"/>
      <c r="E23" s="9"/>
      <c r="F23" s="9"/>
      <c r="G23" s="9"/>
      <c r="H23" s="9"/>
      <c r="I23" s="9"/>
      <c r="J23" s="9"/>
      <c r="K23" s="9"/>
      <c r="L23" s="9"/>
      <c r="M23" s="6"/>
      <c r="N23" s="8"/>
      <c r="O23" s="6"/>
      <c r="P23" s="14" t="s">
        <v>69</v>
      </c>
      <c r="Q23" s="9"/>
      <c r="R23" s="9"/>
      <c r="S23" s="9"/>
      <c r="T23" s="9"/>
      <c r="U23" s="9"/>
      <c r="V23" s="9"/>
      <c r="W23" s="9"/>
      <c r="X23" s="9"/>
      <c r="Y23" s="6"/>
      <c r="Z23" s="8"/>
      <c r="AA23" s="6"/>
      <c r="AB23" s="14" t="s">
        <v>44</v>
      </c>
      <c r="AC23" s="9"/>
      <c r="AD23" s="9"/>
      <c r="AE23" s="9"/>
      <c r="AF23" s="9"/>
      <c r="AG23" s="9"/>
      <c r="AH23" s="9"/>
      <c r="AI23" s="9"/>
      <c r="AJ23" s="9"/>
      <c r="AK23" s="6"/>
      <c r="AL23" s="8"/>
      <c r="AM23" s="6"/>
      <c r="AN23" s="14" t="s">
        <v>85</v>
      </c>
      <c r="AO23" s="9"/>
      <c r="AP23" s="9"/>
      <c r="AQ23" s="9"/>
      <c r="AR23" s="9"/>
      <c r="AS23" s="9"/>
      <c r="AT23" s="9"/>
      <c r="AU23" s="9"/>
      <c r="AV23" s="9"/>
      <c r="AW23" s="6"/>
      <c r="AX23" s="8"/>
      <c r="AY23" s="6"/>
      <c r="AZ23" s="14" t="s">
        <v>70</v>
      </c>
      <c r="BA23" s="9"/>
      <c r="BB23" s="9"/>
      <c r="BC23" s="9"/>
      <c r="BD23" s="9"/>
      <c r="BE23" s="9"/>
      <c r="BF23" s="9"/>
      <c r="BG23" s="9"/>
      <c r="BH23" s="9"/>
      <c r="BI23" s="6"/>
      <c r="BJ23" s="8"/>
      <c r="BK23" s="6"/>
      <c r="BL23" s="14" t="s">
        <v>71</v>
      </c>
      <c r="BM23" s="9"/>
      <c r="BN23" s="9"/>
      <c r="BO23" s="9"/>
      <c r="BP23" s="9"/>
      <c r="BQ23" s="9"/>
      <c r="BR23" s="9"/>
      <c r="BS23" s="9"/>
      <c r="BT23" s="9"/>
      <c r="BU23" s="6"/>
      <c r="BV23" s="8"/>
    </row>
    <row r="24" spans="1:74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8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8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8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8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8"/>
    </row>
    <row r="25" spans="1:74" ht="16.5">
      <c r="A25" s="8"/>
      <c r="B25" s="6"/>
      <c r="C25" s="21" t="s">
        <v>4</v>
      </c>
      <c r="D25" s="21" t="s">
        <v>5</v>
      </c>
      <c r="E25" s="22" t="s">
        <v>6</v>
      </c>
      <c r="F25" s="22" t="s">
        <v>1</v>
      </c>
      <c r="G25" s="22" t="s">
        <v>7</v>
      </c>
      <c r="H25" s="22" t="s">
        <v>8</v>
      </c>
      <c r="I25" s="22" t="s">
        <v>9</v>
      </c>
      <c r="J25" s="22" t="s">
        <v>10</v>
      </c>
      <c r="K25" s="22" t="s">
        <v>11</v>
      </c>
      <c r="L25" s="22" t="s">
        <v>12</v>
      </c>
      <c r="M25" s="6"/>
      <c r="N25" s="8"/>
      <c r="O25" s="6"/>
      <c r="P25" s="11"/>
      <c r="Q25" s="11"/>
      <c r="R25" s="11"/>
      <c r="S25" s="11"/>
      <c r="T25" s="11"/>
      <c r="U25" s="11"/>
      <c r="V25" s="11"/>
      <c r="W25" s="11"/>
      <c r="X25" s="6"/>
      <c r="Y25" s="6"/>
      <c r="Z25" s="8"/>
      <c r="AA25" s="6"/>
      <c r="AB25" s="11"/>
      <c r="AC25" s="11"/>
      <c r="AD25" s="11"/>
      <c r="AE25" s="11"/>
      <c r="AF25" s="11"/>
      <c r="AG25" s="11"/>
      <c r="AH25" s="11"/>
      <c r="AI25" s="11"/>
      <c r="AJ25" s="6"/>
      <c r="AK25" s="6"/>
      <c r="AL25" s="8"/>
      <c r="AM25" s="6"/>
      <c r="AN25" s="11"/>
      <c r="AO25" s="11"/>
      <c r="AP25" s="11"/>
      <c r="AQ25" s="11"/>
      <c r="AR25" s="11"/>
      <c r="AS25" s="11"/>
      <c r="AT25" s="11"/>
      <c r="AU25" s="11"/>
      <c r="AV25" s="6"/>
      <c r="AW25" s="6"/>
      <c r="AX25" s="8"/>
      <c r="AY25" s="6"/>
      <c r="AZ25" s="11"/>
      <c r="BA25" s="11"/>
      <c r="BB25" s="11"/>
      <c r="BC25" s="11"/>
      <c r="BD25" s="11"/>
      <c r="BE25" s="11"/>
      <c r="BF25" s="11"/>
      <c r="BG25" s="11"/>
      <c r="BH25" s="6"/>
      <c r="BI25" s="6"/>
      <c r="BJ25" s="8"/>
      <c r="BK25" s="6"/>
      <c r="BL25" s="11"/>
      <c r="BM25" s="11"/>
      <c r="BN25" s="11"/>
      <c r="BO25" s="11"/>
      <c r="BP25" s="11"/>
      <c r="BQ25" s="11"/>
      <c r="BR25" s="11"/>
      <c r="BS25" s="11"/>
      <c r="BT25" s="6"/>
      <c r="BU25" s="6"/>
      <c r="BV25" s="8"/>
    </row>
    <row r="26" spans="1:74" ht="16.5">
      <c r="A26" s="8"/>
      <c r="B26" s="6"/>
      <c r="C26" s="34" t="s">
        <v>75</v>
      </c>
      <c r="D26" s="24" t="s">
        <v>76</v>
      </c>
      <c r="E26" s="36">
        <f ca="1">[1]!i_dq_close(D26,$D$3)</f>
        <v>4315.3257000000003</v>
      </c>
      <c r="F26" s="26">
        <f ca="1">[1]!i_dq_pctchange(D26,$F$3)</f>
        <v>0</v>
      </c>
      <c r="G26" s="26">
        <f ca="1">[1]!i_pq_pctchange($D26,G$3,$D$3)</f>
        <v>-0.29449834912625983</v>
      </c>
      <c r="H26" s="26">
        <f ca="1">[1]!i_pq_pctchange($D26,H$3,$D$3)</f>
        <v>3.8850509957659929</v>
      </c>
      <c r="I26" s="26">
        <f ca="1">[1]!i_pq_pctchange($D26,I$3,$D$3)</f>
        <v>5.929687830238195</v>
      </c>
      <c r="J26" s="26">
        <f ca="1">[1]!i_pq_pctchange($D26,J$3,$D$3)</f>
        <v>1.2501561750836387</v>
      </c>
      <c r="K26" s="26">
        <f ca="1">[1]!i_pq_pctchange($D26,K$3,$D$3)</f>
        <v>-2.7585201725463082</v>
      </c>
      <c r="L26" s="26">
        <f ca="1">[1]!i_pq_pctchange($D26,L$3,$D$3)</f>
        <v>3.6439270959993886</v>
      </c>
      <c r="M26" s="6"/>
      <c r="N26" s="8"/>
      <c r="O26" s="6"/>
      <c r="P26" s="7"/>
      <c r="Q26" s="7"/>
      <c r="R26" s="7"/>
      <c r="S26" s="7"/>
      <c r="T26" s="7"/>
      <c r="U26" s="7"/>
      <c r="V26" s="7"/>
      <c r="W26" s="7"/>
      <c r="X26" s="6"/>
      <c r="Y26" s="6"/>
      <c r="Z26" s="8"/>
      <c r="AA26" s="6"/>
      <c r="AB26" s="7"/>
      <c r="AC26" s="7"/>
      <c r="AD26" s="7"/>
      <c r="AE26" s="7"/>
      <c r="AF26" s="7"/>
      <c r="AG26" s="7"/>
      <c r="AH26" s="7"/>
      <c r="AI26" s="7"/>
      <c r="AJ26" s="6"/>
      <c r="AK26" s="6"/>
      <c r="AL26" s="8"/>
      <c r="AM26" s="6"/>
      <c r="AN26" s="7"/>
      <c r="AO26" s="7"/>
      <c r="AP26" s="7"/>
      <c r="AQ26" s="7"/>
      <c r="AR26" s="7"/>
      <c r="AS26" s="7"/>
      <c r="AT26" s="7"/>
      <c r="AU26" s="7"/>
      <c r="AV26" s="6"/>
      <c r="AW26" s="6"/>
      <c r="AX26" s="8"/>
      <c r="AY26" s="6"/>
      <c r="AZ26" s="7"/>
      <c r="BA26" s="7"/>
      <c r="BB26" s="7"/>
      <c r="BC26" s="7"/>
      <c r="BD26" s="7"/>
      <c r="BE26" s="7"/>
      <c r="BF26" s="7"/>
      <c r="BG26" s="7"/>
      <c r="BH26" s="6"/>
      <c r="BI26" s="6"/>
      <c r="BJ26" s="8"/>
      <c r="BK26" s="6"/>
      <c r="BL26" s="7"/>
      <c r="BM26" s="7"/>
      <c r="BN26" s="7"/>
      <c r="BO26" s="7"/>
      <c r="BP26" s="7"/>
      <c r="BQ26" s="7"/>
      <c r="BR26" s="7"/>
      <c r="BS26" s="7"/>
      <c r="BT26" s="6"/>
      <c r="BU26" s="6"/>
      <c r="BV26" s="8"/>
    </row>
    <row r="27" spans="1:74" ht="16.5">
      <c r="A27" s="8"/>
      <c r="B27" s="6"/>
      <c r="C27" s="35" t="s">
        <v>77</v>
      </c>
      <c r="D27" s="27" t="s">
        <v>78</v>
      </c>
      <c r="E27" s="37">
        <f ca="1">[1]!i_dq_close(D27,$D$3)</f>
        <v>5051.9399000000003</v>
      </c>
      <c r="F27" s="29">
        <f ca="1">[1]!i_dq_pctchange(D27,$F$3)</f>
        <v>0</v>
      </c>
      <c r="G27" s="29">
        <f ca="1">[1]!i_pq_pctchange($D27,G$3,$D$3)</f>
        <v>-3.8413295301098827</v>
      </c>
      <c r="H27" s="29">
        <f ca="1">[1]!i_pq_pctchange($D27,H$3,$D$3)</f>
        <v>-6.5239699483200191</v>
      </c>
      <c r="I27" s="29">
        <f ca="1">[1]!i_pq_pctchange($D27,I$3,$D$3)</f>
        <v>-3.887547625646981</v>
      </c>
      <c r="J27" s="29">
        <f ca="1">[1]!i_pq_pctchange($D27,J$3,$D$3)</f>
        <v>-13.771222226561397</v>
      </c>
      <c r="K27" s="29">
        <f ca="1">[1]!i_pq_pctchange($D27,K$3,$D$3)</f>
        <v>-26.145110153130258</v>
      </c>
      <c r="L27" s="29">
        <f ca="1">[1]!i_pq_pctchange($D27,L$3,$D$3)</f>
        <v>-10.691768541635627</v>
      </c>
      <c r="M27" s="6"/>
      <c r="N27" s="8"/>
      <c r="O27" s="6"/>
      <c r="P27" s="10"/>
      <c r="Q27" s="10"/>
      <c r="R27" s="10"/>
      <c r="S27" s="10"/>
      <c r="T27" s="10"/>
      <c r="U27" s="10"/>
      <c r="V27" s="10"/>
      <c r="W27" s="10"/>
      <c r="X27" s="6"/>
      <c r="Y27" s="6"/>
      <c r="Z27" s="8"/>
      <c r="AA27" s="6"/>
      <c r="AB27" s="10"/>
      <c r="AC27" s="10"/>
      <c r="AD27" s="10"/>
      <c r="AE27" s="10"/>
      <c r="AF27" s="10"/>
      <c r="AG27" s="10"/>
      <c r="AH27" s="10"/>
      <c r="AI27" s="10"/>
      <c r="AJ27" s="6"/>
      <c r="AK27" s="6"/>
      <c r="AL27" s="8"/>
      <c r="AM27" s="6"/>
      <c r="AN27" s="10"/>
      <c r="AO27" s="10"/>
      <c r="AP27" s="10"/>
      <c r="AQ27" s="10"/>
      <c r="AR27" s="10"/>
      <c r="AS27" s="10"/>
      <c r="AT27" s="10"/>
      <c r="AU27" s="10"/>
      <c r="AV27" s="6"/>
      <c r="AW27" s="6"/>
      <c r="AX27" s="8"/>
      <c r="AY27" s="6"/>
      <c r="AZ27" s="10"/>
      <c r="BA27" s="10"/>
      <c r="BB27" s="10"/>
      <c r="BC27" s="10"/>
      <c r="BD27" s="10"/>
      <c r="BE27" s="10"/>
      <c r="BF27" s="10"/>
      <c r="BG27" s="10"/>
      <c r="BH27" s="6"/>
      <c r="BI27" s="6"/>
      <c r="BJ27" s="8"/>
      <c r="BK27" s="6"/>
      <c r="BL27" s="10"/>
      <c r="BM27" s="10"/>
      <c r="BN27" s="10"/>
      <c r="BO27" s="10"/>
      <c r="BP27" s="10"/>
      <c r="BQ27" s="10"/>
      <c r="BR27" s="10"/>
      <c r="BS27" s="10"/>
      <c r="BT27" s="6"/>
      <c r="BU27" s="6"/>
      <c r="BV27" s="8"/>
    </row>
    <row r="28" spans="1:74" ht="16.5">
      <c r="A28" s="8"/>
      <c r="B28" s="6"/>
      <c r="C28" s="34" t="s">
        <v>79</v>
      </c>
      <c r="D28" s="24" t="s">
        <v>80</v>
      </c>
      <c r="E28" s="36">
        <f ca="1">[1]!i_dq_close(D28,$D$3)</f>
        <v>9574.3662000000004</v>
      </c>
      <c r="F28" s="26">
        <f ca="1">[1]!i_dq_pctchange(D28,$F$3)</f>
        <v>0</v>
      </c>
      <c r="G28" s="26">
        <f ca="1">[1]!i_pq_pctchange($D28,G$3,$D$3)</f>
        <v>-3.979359741730204</v>
      </c>
      <c r="H28" s="26">
        <f ca="1">[1]!i_pq_pctchange($D28,H$3,$D$3)</f>
        <v>-3.9208305009008293</v>
      </c>
      <c r="I28" s="26">
        <f ca="1">[1]!i_pq_pctchange($D28,I$3,$D$3)</f>
        <v>-2.5165240848029735</v>
      </c>
      <c r="J28" s="26">
        <f ca="1">[1]!i_pq_pctchange($D28,J$3,$D$3)</f>
        <v>-8.7218790912227178</v>
      </c>
      <c r="K28" s="26">
        <f ca="1">[1]!i_pq_pctchange($D28,K$3,$D$3)</f>
        <v>-16.66707617827128</v>
      </c>
      <c r="L28" s="26">
        <f ca="1">[1]!i_pq_pctchange($D28,L$3,$D$3)</f>
        <v>-6.3208650071306387</v>
      </c>
      <c r="M28" s="6"/>
      <c r="N28" s="8"/>
      <c r="O28" s="6"/>
      <c r="P28" s="7"/>
      <c r="Q28" s="7"/>
      <c r="R28" s="7"/>
      <c r="S28" s="7"/>
      <c r="T28" s="7"/>
      <c r="U28" s="7"/>
      <c r="V28" s="7"/>
      <c r="W28" s="7"/>
      <c r="X28" s="6"/>
      <c r="Y28" s="6"/>
      <c r="Z28" s="8"/>
      <c r="AA28" s="6"/>
      <c r="AB28" s="7"/>
      <c r="AC28" s="7"/>
      <c r="AD28" s="7"/>
      <c r="AE28" s="7"/>
      <c r="AF28" s="7"/>
      <c r="AG28" s="7"/>
      <c r="AH28" s="7"/>
      <c r="AI28" s="7"/>
      <c r="AJ28" s="6"/>
      <c r="AK28" s="6"/>
      <c r="AL28" s="8"/>
      <c r="AM28" s="6"/>
      <c r="AN28" s="7"/>
      <c r="AO28" s="7"/>
      <c r="AP28" s="7"/>
      <c r="AQ28" s="7"/>
      <c r="AR28" s="7"/>
      <c r="AS28" s="7"/>
      <c r="AT28" s="7"/>
      <c r="AU28" s="7"/>
      <c r="AV28" s="6"/>
      <c r="AW28" s="6"/>
      <c r="AX28" s="8"/>
      <c r="AY28" s="6"/>
      <c r="AZ28" s="7"/>
      <c r="BA28" s="7"/>
      <c r="BB28" s="7"/>
      <c r="BC28" s="7"/>
      <c r="BD28" s="7"/>
      <c r="BE28" s="7"/>
      <c r="BF28" s="7"/>
      <c r="BG28" s="7"/>
      <c r="BH28" s="6"/>
      <c r="BI28" s="6"/>
      <c r="BJ28" s="8"/>
      <c r="BK28" s="6"/>
      <c r="BL28" s="7"/>
      <c r="BM28" s="7"/>
      <c r="BN28" s="7"/>
      <c r="BO28" s="7"/>
      <c r="BP28" s="7"/>
      <c r="BQ28" s="7"/>
      <c r="BR28" s="7"/>
      <c r="BS28" s="7"/>
      <c r="BT28" s="6"/>
      <c r="BU28" s="6"/>
      <c r="BV28" s="8"/>
    </row>
    <row r="29" spans="1:74" ht="16.5">
      <c r="A29" s="8"/>
      <c r="B29" s="6"/>
      <c r="C29" s="35" t="s">
        <v>81</v>
      </c>
      <c r="D29" s="27" t="s">
        <v>82</v>
      </c>
      <c r="E29" s="37">
        <f ca="1">[1]!i_dq_close(D29,$D$3)</f>
        <v>6109.3579</v>
      </c>
      <c r="F29" s="29">
        <f ca="1">[1]!i_dq_pctchange(D29,$F$3)</f>
        <v>0</v>
      </c>
      <c r="G29" s="29">
        <f ca="1">[1]!i_pq_pctchange($D29,G$3,$D$3)</f>
        <v>-3.3800254546850872</v>
      </c>
      <c r="H29" s="29">
        <f ca="1">[1]!i_pq_pctchange($D29,H$3,$D$3)</f>
        <v>-4.5496138415168978</v>
      </c>
      <c r="I29" s="29">
        <f ca="1">[1]!i_pq_pctchange($D29,I$3,$D$3)</f>
        <v>1.6929832822800917</v>
      </c>
      <c r="J29" s="29">
        <f ca="1">[1]!i_pq_pctchange($D29,J$3,$D$3)</f>
        <v>-8.5042907910448218</v>
      </c>
      <c r="K29" s="29">
        <f ca="1">[1]!i_pq_pctchange($D29,K$3,$D$3)</f>
        <v>-6.4594243942990071</v>
      </c>
      <c r="L29" s="29">
        <f ca="1">[1]!i_pq_pctchange($D29,L$3,$D$3)</f>
        <v>-1.0302312980288719</v>
      </c>
      <c r="M29" s="6"/>
      <c r="N29" s="8"/>
      <c r="O29" s="6"/>
      <c r="P29" s="10"/>
      <c r="Q29" s="10"/>
      <c r="R29" s="10"/>
      <c r="S29" s="10"/>
      <c r="T29" s="10"/>
      <c r="U29" s="10"/>
      <c r="V29" s="10"/>
      <c r="W29" s="10"/>
      <c r="X29" s="6"/>
      <c r="Y29" s="6"/>
      <c r="Z29" s="8"/>
      <c r="AA29" s="6"/>
      <c r="AB29" s="10"/>
      <c r="AC29" s="10"/>
      <c r="AD29" s="10"/>
      <c r="AE29" s="10"/>
      <c r="AF29" s="10"/>
      <c r="AG29" s="10"/>
      <c r="AH29" s="10"/>
      <c r="AI29" s="10"/>
      <c r="AJ29" s="6"/>
      <c r="AK29" s="6"/>
      <c r="AL29" s="8"/>
      <c r="AM29" s="6"/>
      <c r="AN29" s="10"/>
      <c r="AO29" s="10"/>
      <c r="AP29" s="10"/>
      <c r="AQ29" s="10"/>
      <c r="AR29" s="10"/>
      <c r="AS29" s="10"/>
      <c r="AT29" s="10"/>
      <c r="AU29" s="10"/>
      <c r="AV29" s="6"/>
      <c r="AW29" s="6"/>
      <c r="AX29" s="8"/>
      <c r="AY29" s="6"/>
      <c r="AZ29" s="10"/>
      <c r="BA29" s="10"/>
      <c r="BB29" s="10"/>
      <c r="BC29" s="10"/>
      <c r="BD29" s="10"/>
      <c r="BE29" s="10"/>
      <c r="BF29" s="10"/>
      <c r="BG29" s="10"/>
      <c r="BH29" s="6"/>
      <c r="BI29" s="6"/>
      <c r="BJ29" s="8"/>
      <c r="BK29" s="6"/>
      <c r="BL29" s="10"/>
      <c r="BM29" s="10"/>
      <c r="BN29" s="10"/>
      <c r="BO29" s="10"/>
      <c r="BP29" s="10"/>
      <c r="BQ29" s="10"/>
      <c r="BR29" s="10"/>
      <c r="BS29" s="10"/>
      <c r="BT29" s="6"/>
      <c r="BU29" s="6"/>
      <c r="BV29" s="8"/>
    </row>
    <row r="30" spans="1:74" ht="16.5">
      <c r="A30" s="8"/>
      <c r="B30" s="6"/>
      <c r="C30" s="34" t="s">
        <v>83</v>
      </c>
      <c r="D30" s="24" t="s">
        <v>84</v>
      </c>
      <c r="E30" s="36">
        <f ca="1">[1]!i_dq_close(D30,$D$3)</f>
        <v>2686.6077</v>
      </c>
      <c r="F30" s="26">
        <f ca="1">[1]!i_dq_pctchange(D30,$F$3)</f>
        <v>0</v>
      </c>
      <c r="G30" s="26">
        <f ca="1">[1]!i_pq_pctchange($D30,G$3,$D$3)</f>
        <v>5.7540555756863121E-2</v>
      </c>
      <c r="H30" s="26">
        <f ca="1">[1]!i_pq_pctchange($D30,H$3,$D$3)</f>
        <v>2.2084471124731664</v>
      </c>
      <c r="I30" s="26">
        <f ca="1">[1]!i_pq_pctchange($D30,I$3,$D$3)</f>
        <v>6.0565012752916259</v>
      </c>
      <c r="J30" s="26">
        <f ca="1">[1]!i_pq_pctchange($D30,J$3,$D$3)</f>
        <v>3.6254413499271276</v>
      </c>
      <c r="K30" s="26">
        <f ca="1">[1]!i_pq_pctchange($D30,K$3,$D$3)</f>
        <v>-2.71063064558551</v>
      </c>
      <c r="L30" s="26">
        <f ca="1">[1]!i_pq_pctchange($D30,L$3,$D$3)</f>
        <v>5.8533095454975426</v>
      </c>
      <c r="M30" s="6"/>
      <c r="N30" s="8"/>
      <c r="O30" s="6"/>
      <c r="P30" s="10"/>
      <c r="Q30" s="10"/>
      <c r="R30" s="10"/>
      <c r="S30" s="10"/>
      <c r="T30" s="10"/>
      <c r="U30" s="10"/>
      <c r="V30" s="10"/>
      <c r="W30" s="10"/>
      <c r="X30" s="6"/>
      <c r="Y30" s="6"/>
      <c r="Z30" s="8"/>
      <c r="AA30" s="6"/>
      <c r="AB30" s="10"/>
      <c r="AC30" s="10"/>
      <c r="AD30" s="10"/>
      <c r="AE30" s="10"/>
      <c r="AF30" s="10"/>
      <c r="AG30" s="10"/>
      <c r="AH30" s="10"/>
      <c r="AI30" s="10"/>
      <c r="AJ30" s="6"/>
      <c r="AK30" s="6"/>
      <c r="AL30" s="8"/>
      <c r="AM30" s="6"/>
      <c r="AN30" s="10"/>
      <c r="AO30" s="10"/>
      <c r="AP30" s="10"/>
      <c r="AQ30" s="10"/>
      <c r="AR30" s="10"/>
      <c r="AS30" s="10"/>
      <c r="AT30" s="10"/>
      <c r="AU30" s="10"/>
      <c r="AV30" s="6"/>
      <c r="AW30" s="6"/>
      <c r="AX30" s="8"/>
      <c r="AY30" s="6"/>
      <c r="AZ30" s="10"/>
      <c r="BA30" s="10"/>
      <c r="BB30" s="10"/>
      <c r="BC30" s="10"/>
      <c r="BD30" s="10"/>
      <c r="BE30" s="10"/>
      <c r="BF30" s="10"/>
      <c r="BG30" s="10"/>
      <c r="BH30" s="6"/>
      <c r="BI30" s="6"/>
      <c r="BJ30" s="8"/>
      <c r="BK30" s="6"/>
      <c r="BL30" s="10"/>
      <c r="BM30" s="10"/>
      <c r="BN30" s="10"/>
      <c r="BO30" s="10"/>
      <c r="BP30" s="10"/>
      <c r="BQ30" s="10"/>
      <c r="BR30" s="10"/>
      <c r="BS30" s="10"/>
      <c r="BT30" s="6"/>
      <c r="BU30" s="6"/>
      <c r="BV30" s="8"/>
    </row>
    <row r="31" spans="1:74">
      <c r="A31" s="8"/>
      <c r="B31" s="6"/>
      <c r="C31" s="15"/>
      <c r="D31" s="15"/>
      <c r="E31" s="16"/>
      <c r="F31" s="17"/>
      <c r="G31" s="17"/>
      <c r="H31" s="17"/>
      <c r="I31" s="17"/>
      <c r="J31" s="17"/>
      <c r="K31" s="17"/>
      <c r="L31" s="17"/>
      <c r="M31" s="6"/>
      <c r="N31" s="8"/>
      <c r="O31" s="6"/>
      <c r="P31" s="7"/>
      <c r="Q31" s="7"/>
      <c r="R31" s="7"/>
      <c r="S31" s="7"/>
      <c r="T31" s="7"/>
      <c r="U31" s="7"/>
      <c r="V31" s="7"/>
      <c r="W31" s="7"/>
      <c r="X31" s="6"/>
      <c r="Y31" s="6"/>
      <c r="Z31" s="8"/>
      <c r="AA31" s="6"/>
      <c r="AB31" s="7"/>
      <c r="AC31" s="7"/>
      <c r="AD31" s="7"/>
      <c r="AE31" s="7"/>
      <c r="AF31" s="7"/>
      <c r="AG31" s="7"/>
      <c r="AH31" s="7"/>
      <c r="AI31" s="7"/>
      <c r="AJ31" s="6"/>
      <c r="AK31" s="6"/>
      <c r="AL31" s="8"/>
      <c r="AM31" s="6"/>
      <c r="AN31" s="7"/>
      <c r="AO31" s="7"/>
      <c r="AP31" s="7"/>
      <c r="AQ31" s="7"/>
      <c r="AR31" s="7"/>
      <c r="AS31" s="7"/>
      <c r="AT31" s="7"/>
      <c r="AU31" s="7"/>
      <c r="AV31" s="6"/>
      <c r="AW31" s="6"/>
      <c r="AX31" s="8"/>
      <c r="AY31" s="6"/>
      <c r="AZ31" s="7"/>
      <c r="BA31" s="7"/>
      <c r="BB31" s="7"/>
      <c r="BC31" s="7"/>
      <c r="BD31" s="7"/>
      <c r="BE31" s="7"/>
      <c r="BF31" s="7"/>
      <c r="BG31" s="7"/>
      <c r="BH31" s="6"/>
      <c r="BI31" s="6"/>
      <c r="BJ31" s="8"/>
      <c r="BK31" s="6"/>
      <c r="BL31" s="7"/>
      <c r="BM31" s="7"/>
      <c r="BN31" s="7"/>
      <c r="BO31" s="7"/>
      <c r="BP31" s="7"/>
      <c r="BQ31" s="7"/>
      <c r="BR31" s="7"/>
      <c r="BS31" s="7"/>
      <c r="BT31" s="6"/>
      <c r="BU31" s="6"/>
      <c r="BV31" s="8"/>
    </row>
    <row r="32" spans="1:7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8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8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8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8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8"/>
    </row>
    <row r="34" spans="1:74" ht="17.25">
      <c r="A34" s="8"/>
      <c r="B34" s="6"/>
      <c r="C34" s="14" t="s">
        <v>86</v>
      </c>
      <c r="D34" s="9"/>
      <c r="E34" s="9"/>
      <c r="F34" s="9"/>
      <c r="G34" s="9"/>
      <c r="H34" s="9"/>
      <c r="I34" s="9"/>
      <c r="J34" s="9"/>
      <c r="K34" s="9"/>
      <c r="L34" s="9"/>
      <c r="M34" s="6"/>
      <c r="N34" s="8"/>
      <c r="O34" s="6"/>
      <c r="P34" s="14" t="s">
        <v>69</v>
      </c>
      <c r="Q34" s="9"/>
      <c r="R34" s="9"/>
      <c r="S34" s="9"/>
      <c r="T34" s="9"/>
      <c r="U34" s="9"/>
      <c r="V34" s="9"/>
      <c r="W34" s="9"/>
      <c r="X34" s="9"/>
      <c r="Y34" s="18"/>
      <c r="Z34" s="8"/>
      <c r="AA34" s="6"/>
      <c r="AB34" s="14" t="s">
        <v>44</v>
      </c>
      <c r="AC34" s="9"/>
      <c r="AD34" s="9"/>
      <c r="AE34" s="9"/>
      <c r="AF34" s="9"/>
      <c r="AG34" s="9"/>
      <c r="AH34" s="9"/>
      <c r="AI34" s="9"/>
      <c r="AJ34" s="9"/>
      <c r="AK34" s="18"/>
      <c r="AL34" s="8"/>
      <c r="AM34" s="6"/>
      <c r="AN34" s="14" t="s">
        <v>85</v>
      </c>
      <c r="AO34" s="9"/>
      <c r="AP34" s="9"/>
      <c r="AQ34" s="9"/>
      <c r="AR34" s="9"/>
      <c r="AS34" s="9"/>
      <c r="AT34" s="9"/>
      <c r="AU34" s="9"/>
      <c r="AV34" s="9"/>
      <c r="AW34" s="18"/>
      <c r="AX34" s="8"/>
      <c r="AY34" s="6"/>
      <c r="AZ34" s="14" t="s">
        <v>70</v>
      </c>
      <c r="BA34" s="9"/>
      <c r="BB34" s="9"/>
      <c r="BC34" s="9"/>
      <c r="BD34" s="9"/>
      <c r="BE34" s="9"/>
      <c r="BF34" s="9"/>
      <c r="BG34" s="9"/>
      <c r="BH34" s="9"/>
      <c r="BI34" s="18"/>
      <c r="BJ34" s="8"/>
      <c r="BK34" s="6"/>
      <c r="BL34" s="14" t="s">
        <v>71</v>
      </c>
      <c r="BM34" s="9"/>
      <c r="BN34" s="9"/>
      <c r="BO34" s="9"/>
      <c r="BP34" s="9"/>
      <c r="BQ34" s="9"/>
      <c r="BR34" s="9"/>
      <c r="BS34" s="9"/>
      <c r="BT34" s="9"/>
      <c r="BU34" s="18"/>
      <c r="BV34" s="8"/>
    </row>
    <row r="35" spans="1:74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8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8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8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8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8"/>
    </row>
    <row r="36" spans="1:74" ht="16.5">
      <c r="A36" s="8"/>
      <c r="B36" s="6"/>
      <c r="C36" s="21" t="s">
        <v>4</v>
      </c>
      <c r="D36" s="21" t="s">
        <v>5</v>
      </c>
      <c r="E36" s="22" t="s">
        <v>6</v>
      </c>
      <c r="F36" s="22" t="s">
        <v>1</v>
      </c>
      <c r="G36" s="22" t="s">
        <v>7</v>
      </c>
      <c r="H36" s="22" t="s">
        <v>8</v>
      </c>
      <c r="I36" s="22" t="s">
        <v>9</v>
      </c>
      <c r="J36" s="22" t="s">
        <v>10</v>
      </c>
      <c r="K36" s="22" t="s">
        <v>11</v>
      </c>
      <c r="L36" s="22" t="s">
        <v>12</v>
      </c>
      <c r="M36" s="6"/>
      <c r="N36" s="8"/>
      <c r="O36" s="6"/>
      <c r="P36" s="11"/>
      <c r="Q36" s="11"/>
      <c r="R36" s="11"/>
      <c r="S36" s="11"/>
      <c r="T36" s="11"/>
      <c r="U36" s="11"/>
      <c r="V36" s="11"/>
      <c r="W36" s="11"/>
      <c r="X36" s="6"/>
      <c r="Y36" s="6"/>
      <c r="Z36" s="8"/>
      <c r="AA36" s="6"/>
      <c r="AB36" s="11"/>
      <c r="AC36" s="11"/>
      <c r="AD36" s="11"/>
      <c r="AE36" s="11"/>
      <c r="AF36" s="11"/>
      <c r="AG36" s="11"/>
      <c r="AH36" s="11"/>
      <c r="AI36" s="11"/>
      <c r="AJ36" s="6"/>
      <c r="AK36" s="6"/>
      <c r="AL36" s="8"/>
      <c r="AM36" s="6"/>
      <c r="AN36" s="11"/>
      <c r="AO36" s="11"/>
      <c r="AP36" s="11"/>
      <c r="AQ36" s="11"/>
      <c r="AR36" s="11"/>
      <c r="AS36" s="11"/>
      <c r="AT36" s="11"/>
      <c r="AU36" s="11"/>
      <c r="AV36" s="6"/>
      <c r="AW36" s="6"/>
      <c r="AX36" s="8"/>
      <c r="AY36" s="6"/>
      <c r="AZ36" s="11"/>
      <c r="BA36" s="11"/>
      <c r="BB36" s="11"/>
      <c r="BC36" s="11"/>
      <c r="BD36" s="11"/>
      <c r="BE36" s="11"/>
      <c r="BF36" s="11"/>
      <c r="BG36" s="11"/>
      <c r="BH36" s="6"/>
      <c r="BI36" s="6"/>
      <c r="BJ36" s="8"/>
      <c r="BK36" s="6"/>
      <c r="BL36" s="11"/>
      <c r="BM36" s="11"/>
      <c r="BN36" s="11"/>
      <c r="BO36" s="11"/>
      <c r="BP36" s="11"/>
      <c r="BQ36" s="11"/>
      <c r="BR36" s="11"/>
      <c r="BS36" s="11"/>
      <c r="BT36" s="6"/>
      <c r="BU36" s="6"/>
      <c r="BV36" s="8"/>
    </row>
    <row r="37" spans="1:74" ht="16.5">
      <c r="A37" s="8"/>
      <c r="B37" s="6"/>
      <c r="C37" s="34" t="s">
        <v>87</v>
      </c>
      <c r="D37" s="24" t="s">
        <v>88</v>
      </c>
      <c r="E37" s="36">
        <f ca="1">[1]!i_dq_close(D37,$D$3)</f>
        <v>8639.0234</v>
      </c>
      <c r="F37" s="26">
        <f ca="1">[1]!i_dq_pctchange(D37,$F$3)</f>
        <v>0</v>
      </c>
      <c r="G37" s="26">
        <f ca="1">[1]!i_pq_pctchange($D37,G$3,$D$3)</f>
        <v>-4.2621841527802573</v>
      </c>
      <c r="H37" s="26">
        <f ca="1">[1]!i_pq_pctchange($D37,H$3,$D$3)</f>
        <v>-5.3451697532103548</v>
      </c>
      <c r="I37" s="26">
        <f ca="1">[1]!i_pq_pctchange($D37,I$3,$D$3)</f>
        <v>-4.9276862505491454</v>
      </c>
      <c r="J37" s="26">
        <f ca="1">[1]!i_pq_pctchange($D37,J$3,$D$3)</f>
        <v>-11.434381861023201</v>
      </c>
      <c r="K37" s="26">
        <f ca="1">[1]!i_pq_pctchange($D37,K$3,$D$3)</f>
        <v>-20.104202186667809</v>
      </c>
      <c r="L37" s="26">
        <f ca="1">[1]!i_pq_pctchange($D37,L$3,$D$3)</f>
        <v>-9.96145549878098</v>
      </c>
      <c r="M37" s="6"/>
      <c r="N37" s="8"/>
      <c r="O37" s="6"/>
      <c r="P37" s="7"/>
      <c r="Q37" s="7"/>
      <c r="R37" s="7"/>
      <c r="S37" s="7"/>
      <c r="T37" s="7"/>
      <c r="U37" s="7"/>
      <c r="V37" s="7"/>
      <c r="W37" s="7"/>
      <c r="X37" s="6"/>
      <c r="Y37" s="6"/>
      <c r="Z37" s="8"/>
      <c r="AA37" s="6"/>
      <c r="AB37" s="7"/>
      <c r="AC37" s="7"/>
      <c r="AD37" s="7"/>
      <c r="AE37" s="7"/>
      <c r="AF37" s="7"/>
      <c r="AG37" s="7"/>
      <c r="AH37" s="7"/>
      <c r="AI37" s="7"/>
      <c r="AJ37" s="6"/>
      <c r="AK37" s="6"/>
      <c r="AL37" s="8"/>
      <c r="AM37" s="6"/>
      <c r="AN37" s="7"/>
      <c r="AO37" s="7"/>
      <c r="AP37" s="7"/>
      <c r="AQ37" s="7"/>
      <c r="AR37" s="7"/>
      <c r="AS37" s="7"/>
      <c r="AT37" s="7"/>
      <c r="AU37" s="7"/>
      <c r="AV37" s="6"/>
      <c r="AW37" s="6"/>
      <c r="AX37" s="8"/>
      <c r="AY37" s="6"/>
      <c r="AZ37" s="7"/>
      <c r="BA37" s="7"/>
      <c r="BB37" s="7"/>
      <c r="BC37" s="7"/>
      <c r="BD37" s="7"/>
      <c r="BE37" s="7"/>
      <c r="BF37" s="7"/>
      <c r="BG37" s="7"/>
      <c r="BH37" s="6"/>
      <c r="BI37" s="6"/>
      <c r="BJ37" s="8"/>
      <c r="BK37" s="6"/>
      <c r="BL37" s="7"/>
      <c r="BM37" s="7"/>
      <c r="BN37" s="7"/>
      <c r="BO37" s="7"/>
      <c r="BP37" s="7"/>
      <c r="BQ37" s="7"/>
      <c r="BR37" s="7"/>
      <c r="BS37" s="7"/>
      <c r="BT37" s="6"/>
      <c r="BU37" s="6"/>
      <c r="BV37" s="8"/>
    </row>
    <row r="38" spans="1:74" ht="16.5">
      <c r="A38" s="8"/>
      <c r="B38" s="6"/>
      <c r="C38" s="35" t="s">
        <v>89</v>
      </c>
      <c r="D38" s="27" t="s">
        <v>90</v>
      </c>
      <c r="E38" s="37">
        <f ca="1">[1]!i_dq_close(D38,$D$3)</f>
        <v>1858.6042</v>
      </c>
      <c r="F38" s="29">
        <f ca="1">[1]!i_dq_pctchange(D38,$F$3)</f>
        <v>0</v>
      </c>
      <c r="G38" s="29">
        <f ca="1">[1]!i_pq_pctchange($D38,G$3,$D$3)</f>
        <v>-0.84722985839207343</v>
      </c>
      <c r="H38" s="29">
        <f ca="1">[1]!i_pq_pctchange($D38,H$3,$D$3)</f>
        <v>2.973224639742722</v>
      </c>
      <c r="I38" s="29">
        <f ca="1">[1]!i_pq_pctchange($D38,I$3,$D$3)</f>
        <v>4.9376775152647934</v>
      </c>
      <c r="J38" s="29">
        <f ca="1">[1]!i_pq_pctchange($D38,J$3,$D$3)</f>
        <v>3.8025573259860446</v>
      </c>
      <c r="K38" s="29">
        <f ca="1">[1]!i_pq_pctchange($D38,K$3,$D$3)</f>
        <v>-7.3908151089655316</v>
      </c>
      <c r="L38" s="29">
        <f ca="1">[1]!i_pq_pctchange($D38,L$3,$D$3)</f>
        <v>5.347797150004463</v>
      </c>
      <c r="M38" s="6"/>
      <c r="N38" s="8"/>
      <c r="O38" s="6"/>
      <c r="P38" s="10"/>
      <c r="Q38" s="10"/>
      <c r="R38" s="10"/>
      <c r="S38" s="10"/>
      <c r="T38" s="10"/>
      <c r="U38" s="10"/>
      <c r="V38" s="10"/>
      <c r="W38" s="10"/>
      <c r="X38" s="6"/>
      <c r="Y38" s="6"/>
      <c r="Z38" s="8"/>
      <c r="AA38" s="6"/>
      <c r="AB38" s="10"/>
      <c r="AC38" s="10"/>
      <c r="AD38" s="10"/>
      <c r="AE38" s="10"/>
      <c r="AF38" s="10"/>
      <c r="AG38" s="10"/>
      <c r="AH38" s="10"/>
      <c r="AI38" s="10"/>
      <c r="AJ38" s="6"/>
      <c r="AK38" s="6"/>
      <c r="AL38" s="8"/>
      <c r="AM38" s="6"/>
      <c r="AN38" s="10"/>
      <c r="AO38" s="10"/>
      <c r="AP38" s="10"/>
      <c r="AQ38" s="10"/>
      <c r="AR38" s="10"/>
      <c r="AS38" s="10"/>
      <c r="AT38" s="10"/>
      <c r="AU38" s="10"/>
      <c r="AV38" s="6"/>
      <c r="AW38" s="6"/>
      <c r="AX38" s="8"/>
      <c r="AY38" s="6"/>
      <c r="AZ38" s="10"/>
      <c r="BA38" s="10"/>
      <c r="BB38" s="10"/>
      <c r="BC38" s="10"/>
      <c r="BD38" s="10"/>
      <c r="BE38" s="10"/>
      <c r="BF38" s="10"/>
      <c r="BG38" s="10"/>
      <c r="BH38" s="6"/>
      <c r="BI38" s="6"/>
      <c r="BJ38" s="8"/>
      <c r="BK38" s="6"/>
      <c r="BL38" s="10"/>
      <c r="BM38" s="10"/>
      <c r="BN38" s="10"/>
      <c r="BO38" s="10"/>
      <c r="BP38" s="10"/>
      <c r="BQ38" s="10"/>
      <c r="BR38" s="10"/>
      <c r="BS38" s="10"/>
      <c r="BT38" s="6"/>
      <c r="BU38" s="6"/>
      <c r="BV38" s="8"/>
    </row>
    <row r="39" spans="1:74" ht="16.5">
      <c r="A39" s="8"/>
      <c r="B39" s="6"/>
      <c r="C39" s="34" t="s">
        <v>91</v>
      </c>
      <c r="D39" s="24" t="s">
        <v>92</v>
      </c>
      <c r="E39" s="36">
        <f ca="1">[1]!i_dq_close(D39,$D$3)</f>
        <v>6041.3413</v>
      </c>
      <c r="F39" s="26">
        <f ca="1">[1]!i_dq_pctchange(D39,$F$3)</f>
        <v>0</v>
      </c>
      <c r="G39" s="26">
        <f ca="1">[1]!i_pq_pctchange($D39,G$3,$D$3)</f>
        <v>-3.2581908708786633</v>
      </c>
      <c r="H39" s="26">
        <f ca="1">[1]!i_pq_pctchange($D39,H$3,$D$3)</f>
        <v>-4.8488048505373467</v>
      </c>
      <c r="I39" s="26">
        <f ca="1">[1]!i_pq_pctchange($D39,I$3,$D$3)</f>
        <v>0.36182538892786109</v>
      </c>
      <c r="J39" s="26">
        <f ca="1">[1]!i_pq_pctchange($D39,J$3,$D$3)</f>
        <v>-9.0841640152425356</v>
      </c>
      <c r="K39" s="26">
        <f ca="1">[1]!i_pq_pctchange($D39,K$3,$D$3)</f>
        <v>-7.5019900647040778</v>
      </c>
      <c r="L39" s="26">
        <f ca="1">[1]!i_pq_pctchange($D39,L$3,$D$3)</f>
        <v>-2.6945436660102295</v>
      </c>
      <c r="M39" s="6"/>
      <c r="N39" s="8"/>
      <c r="O39" s="6"/>
      <c r="P39" s="7"/>
      <c r="Q39" s="7"/>
      <c r="R39" s="7"/>
      <c r="S39" s="7"/>
      <c r="T39" s="7"/>
      <c r="U39" s="7"/>
      <c r="V39" s="7"/>
      <c r="W39" s="7"/>
      <c r="X39" s="6"/>
      <c r="Y39" s="6"/>
      <c r="Z39" s="8"/>
      <c r="AA39" s="6"/>
      <c r="AB39" s="7"/>
      <c r="AC39" s="7"/>
      <c r="AD39" s="7"/>
      <c r="AE39" s="7"/>
      <c r="AF39" s="7"/>
      <c r="AG39" s="7"/>
      <c r="AH39" s="7"/>
      <c r="AI39" s="7"/>
      <c r="AJ39" s="6"/>
      <c r="AK39" s="6"/>
      <c r="AL39" s="8"/>
      <c r="AM39" s="6"/>
      <c r="AN39" s="7"/>
      <c r="AO39" s="7"/>
      <c r="AP39" s="7"/>
      <c r="AQ39" s="7"/>
      <c r="AR39" s="7"/>
      <c r="AS39" s="7"/>
      <c r="AT39" s="7"/>
      <c r="AU39" s="7"/>
      <c r="AV39" s="6"/>
      <c r="AW39" s="6"/>
      <c r="AX39" s="8"/>
      <c r="AY39" s="6"/>
      <c r="AZ39" s="7"/>
      <c r="BA39" s="7"/>
      <c r="BB39" s="7"/>
      <c r="BC39" s="7"/>
      <c r="BD39" s="7"/>
      <c r="BE39" s="7"/>
      <c r="BF39" s="7"/>
      <c r="BG39" s="7"/>
      <c r="BH39" s="6"/>
      <c r="BI39" s="6"/>
      <c r="BJ39" s="8"/>
      <c r="BK39" s="6"/>
      <c r="BL39" s="7"/>
      <c r="BM39" s="7"/>
      <c r="BN39" s="7"/>
      <c r="BO39" s="7"/>
      <c r="BP39" s="7"/>
      <c r="BQ39" s="7"/>
      <c r="BR39" s="7"/>
      <c r="BS39" s="7"/>
      <c r="BT39" s="6"/>
      <c r="BU39" s="6"/>
      <c r="BV39" s="8"/>
    </row>
    <row r="40" spans="1:74" ht="16.5">
      <c r="A40" s="8"/>
      <c r="B40" s="6"/>
      <c r="C40" s="35" t="s">
        <v>93</v>
      </c>
      <c r="D40" s="27" t="s">
        <v>94</v>
      </c>
      <c r="E40" s="37">
        <f ca="1">[1]!i_dq_close(D40,$D$3)</f>
        <v>3231.5990999999999</v>
      </c>
      <c r="F40" s="29">
        <f ca="1">[1]!i_dq_pctchange(D40,$F$3)</f>
        <v>0</v>
      </c>
      <c r="G40" s="29">
        <f ca="1">[1]!i_pq_pctchange($D40,G$3,$D$3)</f>
        <v>2.0968821203401378</v>
      </c>
      <c r="H40" s="29">
        <f ca="1">[1]!i_pq_pctchange($D40,H$3,$D$3)</f>
        <v>4.0119441896393493</v>
      </c>
      <c r="I40" s="29">
        <f ca="1">[1]!i_pq_pctchange($D40,I$3,$D$3)</f>
        <v>6.2838135127033734</v>
      </c>
      <c r="J40" s="29">
        <f ca="1">[1]!i_pq_pctchange($D40,J$3,$D$3)</f>
        <v>8.093194180867691</v>
      </c>
      <c r="K40" s="29">
        <f ca="1">[1]!i_pq_pctchange($D40,K$3,$D$3)</f>
        <v>6.8599504329208028</v>
      </c>
      <c r="L40" s="29">
        <f ca="1">[1]!i_pq_pctchange($D40,L$3,$D$3)</f>
        <v>7.6856003458896094</v>
      </c>
      <c r="M40" s="6"/>
      <c r="N40" s="8"/>
      <c r="O40" s="6"/>
      <c r="P40" s="10"/>
      <c r="Q40" s="10"/>
      <c r="R40" s="10"/>
      <c r="S40" s="10"/>
      <c r="T40" s="10"/>
      <c r="U40" s="10"/>
      <c r="V40" s="10"/>
      <c r="W40" s="10"/>
      <c r="X40" s="6"/>
      <c r="Y40" s="6"/>
      <c r="Z40" s="8"/>
      <c r="AA40" s="6"/>
      <c r="AB40" s="10"/>
      <c r="AC40" s="10"/>
      <c r="AD40" s="10"/>
      <c r="AE40" s="10"/>
      <c r="AF40" s="10"/>
      <c r="AG40" s="10"/>
      <c r="AH40" s="10"/>
      <c r="AI40" s="10"/>
      <c r="AJ40" s="6"/>
      <c r="AK40" s="6"/>
      <c r="AL40" s="8"/>
      <c r="AM40" s="6"/>
      <c r="AN40" s="10"/>
      <c r="AO40" s="10"/>
      <c r="AP40" s="10"/>
      <c r="AQ40" s="10"/>
      <c r="AR40" s="10"/>
      <c r="AS40" s="10"/>
      <c r="AT40" s="10"/>
      <c r="AU40" s="10"/>
      <c r="AV40" s="6"/>
      <c r="AW40" s="6"/>
      <c r="AX40" s="8"/>
      <c r="AY40" s="6"/>
      <c r="AZ40" s="10"/>
      <c r="BA40" s="10"/>
      <c r="BB40" s="10"/>
      <c r="BC40" s="10"/>
      <c r="BD40" s="10"/>
      <c r="BE40" s="10"/>
      <c r="BF40" s="10"/>
      <c r="BG40" s="10"/>
      <c r="BH40" s="6"/>
      <c r="BI40" s="6"/>
      <c r="BJ40" s="8"/>
      <c r="BK40" s="6"/>
      <c r="BL40" s="10"/>
      <c r="BM40" s="10"/>
      <c r="BN40" s="10"/>
      <c r="BO40" s="10"/>
      <c r="BP40" s="10"/>
      <c r="BQ40" s="10"/>
      <c r="BR40" s="10"/>
      <c r="BS40" s="10"/>
      <c r="BT40" s="6"/>
      <c r="BU40" s="6"/>
      <c r="BV40" s="8"/>
    </row>
    <row r="41" spans="1:74" ht="16.5">
      <c r="A41" s="8"/>
      <c r="B41" s="6"/>
      <c r="C41" s="34" t="s">
        <v>95</v>
      </c>
      <c r="D41" s="24" t="s">
        <v>96</v>
      </c>
      <c r="E41" s="36">
        <f ca="1">[1]!i_dq_close(D41,$D$3)</f>
        <v>3271.4479999999999</v>
      </c>
      <c r="F41" s="26">
        <f ca="1">[1]!i_dq_pctchange(D41,$F$3)</f>
        <v>0</v>
      </c>
      <c r="G41" s="26">
        <f ca="1">[1]!i_pq_pctchange($D41,G$3,$D$3)</f>
        <v>0</v>
      </c>
      <c r="H41" s="26">
        <f ca="1">[1]!i_pq_pctchange($D41,H$3,$D$3)</f>
        <v>0</v>
      </c>
      <c r="I41" s="26">
        <f ca="1">[1]!i_pq_pctchange($D41,I$3,$D$3)</f>
        <v>0</v>
      </c>
      <c r="J41" s="26">
        <f ca="1">[1]!i_pq_pctchange($D41,J$3,$D$3)</f>
        <v>0</v>
      </c>
      <c r="K41" s="26">
        <f ca="1">[1]!i_pq_pctchange($D41,K$3,$D$3)</f>
        <v>0</v>
      </c>
      <c r="L41" s="26">
        <f ca="1">[1]!i_pq_pctchange($D41,L$3,$D$3)</f>
        <v>0</v>
      </c>
      <c r="M41" s="6"/>
      <c r="N41" s="8"/>
      <c r="O41" s="6"/>
      <c r="P41" s="10"/>
      <c r="Q41" s="10"/>
      <c r="R41" s="10"/>
      <c r="S41" s="10"/>
      <c r="T41" s="10"/>
      <c r="U41" s="10"/>
      <c r="V41" s="10"/>
      <c r="W41" s="10"/>
      <c r="X41" s="6"/>
      <c r="Y41" s="6"/>
      <c r="Z41" s="8"/>
      <c r="AA41" s="6"/>
      <c r="AB41" s="10"/>
      <c r="AC41" s="10"/>
      <c r="AD41" s="10"/>
      <c r="AE41" s="10"/>
      <c r="AF41" s="10"/>
      <c r="AG41" s="10"/>
      <c r="AH41" s="10"/>
      <c r="AI41" s="10"/>
      <c r="AJ41" s="6"/>
      <c r="AK41" s="6"/>
      <c r="AL41" s="8"/>
      <c r="AM41" s="6"/>
      <c r="AN41" s="10"/>
      <c r="AO41" s="10"/>
      <c r="AP41" s="10"/>
      <c r="AQ41" s="10"/>
      <c r="AR41" s="10"/>
      <c r="AS41" s="10"/>
      <c r="AT41" s="10"/>
      <c r="AU41" s="10"/>
      <c r="AV41" s="6"/>
      <c r="AW41" s="6"/>
      <c r="AX41" s="8"/>
      <c r="AY41" s="6"/>
      <c r="AZ41" s="10"/>
      <c r="BA41" s="10"/>
      <c r="BB41" s="10"/>
      <c r="BC41" s="10"/>
      <c r="BD41" s="10"/>
      <c r="BE41" s="10"/>
      <c r="BF41" s="10"/>
      <c r="BG41" s="10"/>
      <c r="BH41" s="6"/>
      <c r="BI41" s="6"/>
      <c r="BJ41" s="8"/>
      <c r="BK41" s="6"/>
      <c r="BL41" s="10"/>
      <c r="BM41" s="10"/>
      <c r="BN41" s="10"/>
      <c r="BO41" s="10"/>
      <c r="BP41" s="10"/>
      <c r="BQ41" s="10"/>
      <c r="BR41" s="10"/>
      <c r="BS41" s="10"/>
      <c r="BT41" s="6"/>
      <c r="BU41" s="6"/>
      <c r="BV41" s="8"/>
    </row>
    <row r="42" spans="1:74" ht="16.5">
      <c r="A42" s="8"/>
      <c r="B42" s="6"/>
      <c r="C42" s="35" t="s">
        <v>97</v>
      </c>
      <c r="D42" s="27" t="s">
        <v>98</v>
      </c>
      <c r="E42" s="37">
        <f ca="1">[1]!i_dq_close(D42,$D$3)</f>
        <v>8797.9629000000004</v>
      </c>
      <c r="F42" s="29">
        <f ca="1">[1]!i_dq_pctchange(D42,$F$3)</f>
        <v>0</v>
      </c>
      <c r="G42" s="29">
        <f ca="1">[1]!i_pq_pctchange($D42,G$3,$D$3)</f>
        <v>-2.0575373538575747</v>
      </c>
      <c r="H42" s="29">
        <f ca="1">[1]!i_pq_pctchange($D42,H$3,$D$3)</f>
        <v>-2.2406247719345629</v>
      </c>
      <c r="I42" s="29">
        <f ca="1">[1]!i_pq_pctchange($D42,I$3,$D$3)</f>
        <v>1.4734812044323142</v>
      </c>
      <c r="J42" s="29">
        <f ca="1">[1]!i_pq_pctchange($D42,J$3,$D$3)</f>
        <v>-4.2923526971998305</v>
      </c>
      <c r="K42" s="29">
        <f ca="1">[1]!i_pq_pctchange($D42,K$3,$D$3)</f>
        <v>-9.0626058845507238</v>
      </c>
      <c r="L42" s="29">
        <f ca="1">[1]!i_pq_pctchange($D42,L$3,$D$3)</f>
        <v>-0.7928218263477893</v>
      </c>
      <c r="M42" s="6"/>
      <c r="N42" s="8"/>
      <c r="O42" s="6"/>
      <c r="P42" s="7"/>
      <c r="Q42" s="7"/>
      <c r="R42" s="7"/>
      <c r="S42" s="7"/>
      <c r="T42" s="7"/>
      <c r="U42" s="7"/>
      <c r="V42" s="7"/>
      <c r="W42" s="7"/>
      <c r="X42" s="6"/>
      <c r="Y42" s="6"/>
      <c r="Z42" s="8"/>
      <c r="AA42" s="6"/>
      <c r="AB42" s="7"/>
      <c r="AC42" s="7"/>
      <c r="AD42" s="7"/>
      <c r="AE42" s="7"/>
      <c r="AF42" s="7"/>
      <c r="AG42" s="7"/>
      <c r="AH42" s="7"/>
      <c r="AI42" s="7"/>
      <c r="AJ42" s="6"/>
      <c r="AK42" s="6"/>
      <c r="AL42" s="8"/>
      <c r="AM42" s="6"/>
      <c r="AN42" s="7"/>
      <c r="AO42" s="7"/>
      <c r="AP42" s="7"/>
      <c r="AQ42" s="7"/>
      <c r="AR42" s="7"/>
      <c r="AS42" s="7"/>
      <c r="AT42" s="7"/>
      <c r="AU42" s="7"/>
      <c r="AV42" s="6"/>
      <c r="AW42" s="6"/>
      <c r="AX42" s="8"/>
      <c r="AY42" s="6"/>
      <c r="AZ42" s="7"/>
      <c r="BA42" s="7"/>
      <c r="BB42" s="7"/>
      <c r="BC42" s="7"/>
      <c r="BD42" s="7"/>
      <c r="BE42" s="7"/>
      <c r="BF42" s="7"/>
      <c r="BG42" s="7"/>
      <c r="BH42" s="6"/>
      <c r="BI42" s="6"/>
      <c r="BJ42" s="8"/>
      <c r="BK42" s="6"/>
      <c r="BL42" s="7"/>
      <c r="BM42" s="7"/>
      <c r="BN42" s="7"/>
      <c r="BO42" s="7"/>
      <c r="BP42" s="7"/>
      <c r="BQ42" s="7"/>
      <c r="BR42" s="7"/>
      <c r="BS42" s="7"/>
      <c r="BT42" s="6"/>
      <c r="BU42" s="6"/>
      <c r="BV42" s="8"/>
    </row>
    <row r="43" spans="1:74" ht="16.5">
      <c r="A43" s="8"/>
      <c r="B43" s="6"/>
      <c r="C43" s="34" t="s">
        <v>99</v>
      </c>
      <c r="D43" s="24" t="s">
        <v>100</v>
      </c>
      <c r="E43" s="36">
        <f ca="1">[1]!i_dq_close(D43,$D$3)</f>
        <v>4031.7341000000001</v>
      </c>
      <c r="F43" s="26">
        <f ca="1">[1]!i_dq_pctchange(D43,$F$3)</f>
        <v>0</v>
      </c>
      <c r="G43" s="26">
        <f ca="1">[1]!i_pq_pctchange($D43,G$3,$D$3)</f>
        <v>-0.97233551468920432</v>
      </c>
      <c r="H43" s="26">
        <f ca="1">[1]!i_pq_pctchange($D43,H$3,$D$3)</f>
        <v>4.465118605008489</v>
      </c>
      <c r="I43" s="26">
        <f ca="1">[1]!i_pq_pctchange($D43,I$3,$D$3)</f>
        <v>1.3281523553161367</v>
      </c>
      <c r="J43" s="26">
        <f ca="1">[1]!i_pq_pctchange($D43,J$3,$D$3)</f>
        <v>-4.9982196594974715</v>
      </c>
      <c r="K43" s="26">
        <f ca="1">[1]!i_pq_pctchange($D43,K$3,$D$3)</f>
        <v>-13.523492671587123</v>
      </c>
      <c r="L43" s="26">
        <f ca="1">[1]!i_pq_pctchange($D43,L$3,$D$3)</f>
        <v>-1.4654775268061138</v>
      </c>
      <c r="M43" s="6"/>
      <c r="N43" s="8"/>
      <c r="O43" s="6"/>
      <c r="P43" s="10"/>
      <c r="Q43" s="10"/>
      <c r="R43" s="10"/>
      <c r="S43" s="10"/>
      <c r="T43" s="10"/>
      <c r="U43" s="10"/>
      <c r="V43" s="10"/>
      <c r="W43" s="10"/>
      <c r="X43" s="6"/>
      <c r="Y43" s="6"/>
      <c r="Z43" s="8"/>
      <c r="AA43" s="6"/>
      <c r="AB43" s="10"/>
      <c r="AC43" s="10"/>
      <c r="AD43" s="10"/>
      <c r="AE43" s="10"/>
      <c r="AF43" s="10"/>
      <c r="AG43" s="10"/>
      <c r="AH43" s="10"/>
      <c r="AI43" s="10"/>
      <c r="AJ43" s="6"/>
      <c r="AK43" s="6"/>
      <c r="AL43" s="8"/>
      <c r="AM43" s="6"/>
      <c r="AN43" s="10"/>
      <c r="AO43" s="10"/>
      <c r="AP43" s="10"/>
      <c r="AQ43" s="10"/>
      <c r="AR43" s="10"/>
      <c r="AS43" s="10"/>
      <c r="AT43" s="10"/>
      <c r="AU43" s="10"/>
      <c r="AV43" s="6"/>
      <c r="AW43" s="6"/>
      <c r="AX43" s="8"/>
      <c r="AY43" s="6"/>
      <c r="AZ43" s="10"/>
      <c r="BA43" s="10"/>
      <c r="BB43" s="10"/>
      <c r="BC43" s="10"/>
      <c r="BD43" s="10"/>
      <c r="BE43" s="10"/>
      <c r="BF43" s="10"/>
      <c r="BG43" s="10"/>
      <c r="BH43" s="6"/>
      <c r="BI43" s="6"/>
      <c r="BJ43" s="8"/>
      <c r="BK43" s="6"/>
      <c r="BL43" s="10"/>
      <c r="BM43" s="10"/>
      <c r="BN43" s="10"/>
      <c r="BO43" s="10"/>
      <c r="BP43" s="10"/>
      <c r="BQ43" s="10"/>
      <c r="BR43" s="10"/>
      <c r="BS43" s="10"/>
      <c r="BT43" s="6"/>
      <c r="BU43" s="6"/>
      <c r="BV43" s="8"/>
    </row>
    <row r="44" spans="1:74" ht="16.5">
      <c r="A44" s="8"/>
      <c r="B44" s="6"/>
      <c r="C44" s="35" t="s">
        <v>101</v>
      </c>
      <c r="D44" s="27" t="s">
        <v>102</v>
      </c>
      <c r="E44" s="37">
        <f ca="1">[1]!i_dq_close(D44,$D$3)</f>
        <v>4887.3418000000001</v>
      </c>
      <c r="F44" s="29">
        <f ca="1">[1]!i_dq_pctchange(D44,$F$3)</f>
        <v>0</v>
      </c>
      <c r="G44" s="29">
        <f ca="1">[1]!i_pq_pctchange($D44,G$3,$D$3)</f>
        <v>-3.7516127911640051</v>
      </c>
      <c r="H44" s="29">
        <f ca="1">[1]!i_pq_pctchange($D44,H$3,$D$3)</f>
        <v>-8.2664246235864205</v>
      </c>
      <c r="I44" s="29">
        <f ca="1">[1]!i_pq_pctchange($D44,I$3,$D$3)</f>
        <v>-1.2382806712401107</v>
      </c>
      <c r="J44" s="29">
        <f ca="1">[1]!i_pq_pctchange($D44,J$3,$D$3)</f>
        <v>-14.392140966927702</v>
      </c>
      <c r="K44" s="29">
        <f ca="1">[1]!i_pq_pctchange($D44,K$3,$D$3)</f>
        <v>-23.672973229687432</v>
      </c>
      <c r="L44" s="29">
        <f ca="1">[1]!i_pq_pctchange($D44,L$3,$D$3)</f>
        <v>-10.247740598520672</v>
      </c>
      <c r="M44" s="6"/>
      <c r="N44" s="8"/>
      <c r="O44" s="6"/>
      <c r="P44" s="10"/>
      <c r="Q44" s="10"/>
      <c r="R44" s="10"/>
      <c r="S44" s="10"/>
      <c r="T44" s="10"/>
      <c r="U44" s="10"/>
      <c r="V44" s="10"/>
      <c r="W44" s="10"/>
      <c r="X44" s="6"/>
      <c r="Y44" s="6"/>
      <c r="Z44" s="8"/>
      <c r="AA44" s="6"/>
      <c r="AB44" s="10"/>
      <c r="AC44" s="10"/>
      <c r="AD44" s="10"/>
      <c r="AE44" s="10"/>
      <c r="AF44" s="10"/>
      <c r="AG44" s="10"/>
      <c r="AH44" s="10"/>
      <c r="AI44" s="10"/>
      <c r="AJ44" s="6"/>
      <c r="AK44" s="6"/>
      <c r="AL44" s="8"/>
      <c r="AM44" s="6"/>
      <c r="AN44" s="10"/>
      <c r="AO44" s="10"/>
      <c r="AP44" s="10"/>
      <c r="AQ44" s="10"/>
      <c r="AR44" s="10"/>
      <c r="AS44" s="10"/>
      <c r="AT44" s="10"/>
      <c r="AU44" s="10"/>
      <c r="AV44" s="6"/>
      <c r="AW44" s="6"/>
      <c r="AX44" s="8"/>
      <c r="AY44" s="6"/>
      <c r="AZ44" s="10"/>
      <c r="BA44" s="10"/>
      <c r="BB44" s="10"/>
      <c r="BC44" s="10"/>
      <c r="BD44" s="10"/>
      <c r="BE44" s="10"/>
      <c r="BF44" s="10"/>
      <c r="BG44" s="10"/>
      <c r="BH44" s="6"/>
      <c r="BI44" s="6"/>
      <c r="BJ44" s="8"/>
      <c r="BK44" s="6"/>
      <c r="BL44" s="10"/>
      <c r="BM44" s="10"/>
      <c r="BN44" s="10"/>
      <c r="BO44" s="10"/>
      <c r="BP44" s="10"/>
      <c r="BQ44" s="10"/>
      <c r="BR44" s="10"/>
      <c r="BS44" s="10"/>
      <c r="BT44" s="6"/>
      <c r="BU44" s="6"/>
      <c r="BV44" s="8"/>
    </row>
    <row r="45" spans="1:74">
      <c r="A45" s="8"/>
      <c r="B45" s="6"/>
      <c r="C45" s="15"/>
      <c r="D45" s="15"/>
      <c r="E45" s="16"/>
      <c r="F45" s="17"/>
      <c r="G45" s="17"/>
      <c r="H45" s="17"/>
      <c r="I45" s="17"/>
      <c r="J45" s="17"/>
      <c r="K45" s="17"/>
      <c r="L45" s="17"/>
      <c r="M45" s="6"/>
      <c r="N45" s="8"/>
      <c r="O45" s="6"/>
      <c r="P45" s="10"/>
      <c r="Q45" s="10"/>
      <c r="R45" s="10"/>
      <c r="S45" s="10"/>
      <c r="T45" s="10"/>
      <c r="U45" s="10"/>
      <c r="V45" s="10"/>
      <c r="W45" s="10"/>
      <c r="X45" s="6"/>
      <c r="Y45" s="6"/>
      <c r="Z45" s="8"/>
      <c r="AA45" s="6"/>
      <c r="AB45" s="10"/>
      <c r="AC45" s="10"/>
      <c r="AD45" s="10"/>
      <c r="AE45" s="10"/>
      <c r="AF45" s="10"/>
      <c r="AG45" s="10"/>
      <c r="AH45" s="10"/>
      <c r="AI45" s="10"/>
      <c r="AJ45" s="6"/>
      <c r="AK45" s="6"/>
      <c r="AL45" s="8"/>
      <c r="AM45" s="6"/>
      <c r="AN45" s="10"/>
      <c r="AO45" s="10"/>
      <c r="AP45" s="10"/>
      <c r="AQ45" s="10"/>
      <c r="AR45" s="10"/>
      <c r="AS45" s="10"/>
      <c r="AT45" s="10"/>
      <c r="AU45" s="10"/>
      <c r="AV45" s="6"/>
      <c r="AW45" s="6"/>
      <c r="AX45" s="8"/>
      <c r="AY45" s="6"/>
      <c r="AZ45" s="10"/>
      <c r="BA45" s="10"/>
      <c r="BB45" s="10"/>
      <c r="BC45" s="10"/>
      <c r="BD45" s="10"/>
      <c r="BE45" s="10"/>
      <c r="BF45" s="10"/>
      <c r="BG45" s="10"/>
      <c r="BH45" s="6"/>
      <c r="BI45" s="6"/>
      <c r="BJ45" s="8"/>
      <c r="BK45" s="6"/>
      <c r="BL45" s="10"/>
      <c r="BM45" s="10"/>
      <c r="BN45" s="10"/>
      <c r="BO45" s="10"/>
      <c r="BP45" s="10"/>
      <c r="BQ45" s="10"/>
      <c r="BR45" s="10"/>
      <c r="BS45" s="10"/>
      <c r="BT45" s="6"/>
      <c r="BU45" s="6"/>
      <c r="BV45" s="8"/>
    </row>
    <row r="46" spans="1:7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8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8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8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8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8"/>
    </row>
    <row r="48" spans="1:74" ht="17.25">
      <c r="A48" s="8"/>
      <c r="B48" s="6"/>
      <c r="C48" s="14" t="s">
        <v>115</v>
      </c>
      <c r="D48" s="9"/>
      <c r="E48" s="9"/>
      <c r="F48" s="9"/>
      <c r="G48" s="9"/>
      <c r="H48" s="9"/>
      <c r="I48" s="9"/>
      <c r="J48" s="9"/>
      <c r="K48" s="9"/>
      <c r="L48" s="9"/>
      <c r="M48" s="6"/>
      <c r="N48" s="8"/>
      <c r="O48" s="6"/>
      <c r="P48" s="14" t="s">
        <v>69</v>
      </c>
      <c r="Q48" s="9"/>
      <c r="R48" s="9"/>
      <c r="S48" s="9"/>
      <c r="T48" s="9"/>
      <c r="U48" s="9"/>
      <c r="V48" s="9"/>
      <c r="W48" s="9"/>
      <c r="X48" s="9"/>
      <c r="Y48" s="6"/>
      <c r="Z48" s="8"/>
      <c r="AA48" s="6"/>
      <c r="AB48" s="14" t="s">
        <v>44</v>
      </c>
      <c r="AC48" s="9"/>
      <c r="AD48" s="9"/>
      <c r="AE48" s="9"/>
      <c r="AF48" s="9"/>
      <c r="AG48" s="9"/>
      <c r="AH48" s="9"/>
      <c r="AI48" s="9"/>
      <c r="AJ48" s="9"/>
      <c r="AK48" s="6"/>
      <c r="AL48" s="8"/>
      <c r="AM48" s="6"/>
      <c r="AN48" s="14" t="s">
        <v>85</v>
      </c>
      <c r="AO48" s="9"/>
      <c r="AP48" s="9"/>
      <c r="AQ48" s="9"/>
      <c r="AR48" s="9"/>
      <c r="AS48" s="9"/>
      <c r="AT48" s="9"/>
      <c r="AU48" s="9"/>
      <c r="AV48" s="9"/>
      <c r="AW48" s="6"/>
      <c r="AX48" s="8"/>
      <c r="AY48" s="6"/>
      <c r="AZ48" s="14" t="s">
        <v>70</v>
      </c>
      <c r="BA48" s="9"/>
      <c r="BB48" s="9"/>
      <c r="BC48" s="9"/>
      <c r="BD48" s="9"/>
      <c r="BE48" s="9"/>
      <c r="BF48" s="9"/>
      <c r="BG48" s="9"/>
      <c r="BH48" s="9"/>
      <c r="BI48" s="6"/>
      <c r="BJ48" s="8"/>
      <c r="BK48" s="6"/>
      <c r="BL48" s="14" t="s">
        <v>71</v>
      </c>
      <c r="BM48" s="9"/>
      <c r="BN48" s="9"/>
      <c r="BO48" s="9"/>
      <c r="BP48" s="9"/>
      <c r="BQ48" s="9"/>
      <c r="BR48" s="9"/>
      <c r="BS48" s="9"/>
      <c r="BT48" s="9"/>
      <c r="BU48" s="6"/>
      <c r="BV48" s="8"/>
    </row>
    <row r="49" spans="1:74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8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8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8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8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8"/>
    </row>
    <row r="50" spans="1:74" ht="16.5">
      <c r="A50" s="8"/>
      <c r="B50" s="6"/>
      <c r="C50" s="21" t="s">
        <v>4</v>
      </c>
      <c r="D50" s="21" t="s">
        <v>5</v>
      </c>
      <c r="E50" s="22" t="s">
        <v>6</v>
      </c>
      <c r="F50" s="22" t="s">
        <v>1</v>
      </c>
      <c r="G50" s="22" t="s">
        <v>7</v>
      </c>
      <c r="H50" s="22" t="s">
        <v>8</v>
      </c>
      <c r="I50" s="22" t="s">
        <v>9</v>
      </c>
      <c r="J50" s="22" t="s">
        <v>10</v>
      </c>
      <c r="K50" s="22" t="s">
        <v>11</v>
      </c>
      <c r="L50" s="22" t="s">
        <v>12</v>
      </c>
      <c r="M50" s="6"/>
      <c r="N50" s="8"/>
      <c r="O50" s="6"/>
      <c r="P50" s="11"/>
      <c r="Q50" s="11"/>
      <c r="R50" s="11"/>
      <c r="S50" s="11"/>
      <c r="T50" s="11"/>
      <c r="U50" s="11"/>
      <c r="V50" s="11"/>
      <c r="W50" s="11"/>
      <c r="X50" s="6"/>
      <c r="Y50" s="6"/>
      <c r="Z50" s="8"/>
      <c r="AA50" s="6"/>
      <c r="AB50" s="11"/>
      <c r="AC50" s="11"/>
      <c r="AD50" s="11"/>
      <c r="AE50" s="11"/>
      <c r="AF50" s="11"/>
      <c r="AG50" s="11"/>
      <c r="AH50" s="11"/>
      <c r="AI50" s="11"/>
      <c r="AJ50" s="6"/>
      <c r="AK50" s="6"/>
      <c r="AL50" s="8"/>
      <c r="AM50" s="6"/>
      <c r="AN50" s="11"/>
      <c r="AO50" s="11"/>
      <c r="AP50" s="11"/>
      <c r="AQ50" s="11"/>
      <c r="AR50" s="11"/>
      <c r="AS50" s="11"/>
      <c r="AT50" s="11"/>
      <c r="AU50" s="11"/>
      <c r="AV50" s="6"/>
      <c r="AW50" s="6"/>
      <c r="AX50" s="8"/>
      <c r="AY50" s="6"/>
      <c r="AZ50" s="11"/>
      <c r="BA50" s="11"/>
      <c r="BB50" s="11"/>
      <c r="BC50" s="11"/>
      <c r="BD50" s="11"/>
      <c r="BE50" s="11"/>
      <c r="BF50" s="11"/>
      <c r="BG50" s="11"/>
      <c r="BH50" s="6"/>
      <c r="BI50" s="6"/>
      <c r="BJ50" s="8"/>
      <c r="BK50" s="6"/>
      <c r="BL50" s="11"/>
      <c r="BM50" s="11"/>
      <c r="BN50" s="11"/>
      <c r="BO50" s="11"/>
      <c r="BP50" s="11"/>
      <c r="BQ50" s="11"/>
      <c r="BR50" s="11"/>
      <c r="BS50" s="11"/>
      <c r="BT50" s="6"/>
      <c r="BU50" s="6"/>
      <c r="BV50" s="8"/>
    </row>
    <row r="51" spans="1:74" ht="16.5">
      <c r="A51" s="8"/>
      <c r="B51" s="6"/>
      <c r="C51" s="34" t="s">
        <v>105</v>
      </c>
      <c r="D51" s="24" t="s">
        <v>106</v>
      </c>
      <c r="E51" s="36">
        <f ca="1">[1]!i_dq_close(D51,$D$3)</f>
        <v>7367.5303000000004</v>
      </c>
      <c r="F51" s="26">
        <f ca="1">[1]!i_dq_pctchange(D51,$F$3)</f>
        <v>0</v>
      </c>
      <c r="G51" s="26">
        <f ca="1">[1]!i_pq_pctchange($D51,G$3,$D$3)</f>
        <v>-3.7787958645282504</v>
      </c>
      <c r="H51" s="26">
        <f ca="1">[1]!i_pq_pctchange($D51,H$3,$D$3)</f>
        <v>-8.1722692361790088</v>
      </c>
      <c r="I51" s="26">
        <f ca="1">[1]!i_pq_pctchange($D51,I$3,$D$3)</f>
        <v>-2.450783726445227</v>
      </c>
      <c r="J51" s="26">
        <f ca="1">[1]!i_pq_pctchange($D51,J$3,$D$3)</f>
        <v>-13.952602567141559</v>
      </c>
      <c r="K51" s="26">
        <f ca="1">[1]!i_pq_pctchange($D51,K$3,$D$3)</f>
        <v>-24.889940895482543</v>
      </c>
      <c r="L51" s="26">
        <f ca="1">[1]!i_pq_pctchange($D51,L$3,$D$3)</f>
        <v>-11.721193009329777</v>
      </c>
      <c r="M51" s="6"/>
      <c r="N51" s="8"/>
      <c r="O51" s="6"/>
      <c r="P51" s="7"/>
      <c r="Q51" s="7"/>
      <c r="R51" s="7"/>
      <c r="S51" s="7"/>
      <c r="T51" s="7"/>
      <c r="U51" s="7"/>
      <c r="V51" s="7"/>
      <c r="W51" s="7"/>
      <c r="X51" s="6"/>
      <c r="Y51" s="6"/>
      <c r="Z51" s="8"/>
      <c r="AA51" s="6"/>
      <c r="AB51" s="7"/>
      <c r="AC51" s="7"/>
      <c r="AD51" s="7"/>
      <c r="AE51" s="7"/>
      <c r="AF51" s="7"/>
      <c r="AG51" s="7"/>
      <c r="AH51" s="7"/>
      <c r="AI51" s="7"/>
      <c r="AJ51" s="6"/>
      <c r="AK51" s="6"/>
      <c r="AL51" s="8"/>
      <c r="AM51" s="6"/>
      <c r="AN51" s="7"/>
      <c r="AO51" s="7"/>
      <c r="AP51" s="7"/>
      <c r="AQ51" s="7"/>
      <c r="AR51" s="7"/>
      <c r="AS51" s="7"/>
      <c r="AT51" s="7"/>
      <c r="AU51" s="7"/>
      <c r="AV51" s="6"/>
      <c r="AW51" s="6"/>
      <c r="AX51" s="8"/>
      <c r="AY51" s="6"/>
      <c r="AZ51" s="7"/>
      <c r="BA51" s="7"/>
      <c r="BB51" s="7"/>
      <c r="BC51" s="7"/>
      <c r="BD51" s="7"/>
      <c r="BE51" s="7"/>
      <c r="BF51" s="7"/>
      <c r="BG51" s="7"/>
      <c r="BH51" s="6"/>
      <c r="BI51" s="6"/>
      <c r="BJ51" s="8"/>
      <c r="BK51" s="6"/>
      <c r="BL51" s="7"/>
      <c r="BM51" s="7"/>
      <c r="BN51" s="7"/>
      <c r="BO51" s="7"/>
      <c r="BP51" s="7"/>
      <c r="BQ51" s="7"/>
      <c r="BR51" s="7"/>
      <c r="BS51" s="7"/>
      <c r="BT51" s="6"/>
      <c r="BU51" s="6"/>
      <c r="BV51" s="8"/>
    </row>
    <row r="52" spans="1:74" ht="16.5">
      <c r="A52" s="8"/>
      <c r="B52" s="6"/>
      <c r="C52" s="35" t="s">
        <v>107</v>
      </c>
      <c r="D52" s="27" t="s">
        <v>108</v>
      </c>
      <c r="E52" s="37">
        <f ca="1">[1]!i_dq_close(D52,$D$3)</f>
        <v>8168.0576000000001</v>
      </c>
      <c r="F52" s="29">
        <f ca="1">[1]!i_dq_pctchange(D52,$F$3)</f>
        <v>0</v>
      </c>
      <c r="G52" s="29">
        <f ca="1">[1]!i_pq_pctchange($D52,G$3,$D$3)</f>
        <v>-2.8616254346430003</v>
      </c>
      <c r="H52" s="29">
        <f ca="1">[1]!i_pq_pctchange($D52,H$3,$D$3)</f>
        <v>-2.3624206795890945</v>
      </c>
      <c r="I52" s="29">
        <f ca="1">[1]!i_pq_pctchange($D52,I$3,$D$3)</f>
        <v>-2.4258077618002361</v>
      </c>
      <c r="J52" s="29">
        <f ca="1">[1]!i_pq_pctchange($D52,J$3,$D$3)</f>
        <v>-9.8004270115734986</v>
      </c>
      <c r="K52" s="29">
        <f ca="1">[1]!i_pq_pctchange($D52,K$3,$D$3)</f>
        <v>-20.768730346675678</v>
      </c>
      <c r="L52" s="29">
        <f ca="1">[1]!i_pq_pctchange($D52,L$3,$D$3)</f>
        <v>-5.86086331410689</v>
      </c>
      <c r="M52" s="6"/>
      <c r="N52" s="8"/>
      <c r="O52" s="6"/>
      <c r="P52" s="10"/>
      <c r="Q52" s="10"/>
      <c r="R52" s="10"/>
      <c r="S52" s="10"/>
      <c r="T52" s="10"/>
      <c r="U52" s="10"/>
      <c r="V52" s="10"/>
      <c r="W52" s="10"/>
      <c r="X52" s="6"/>
      <c r="Y52" s="6"/>
      <c r="Z52" s="8"/>
      <c r="AA52" s="6"/>
      <c r="AB52" s="10"/>
      <c r="AC52" s="10"/>
      <c r="AD52" s="10"/>
      <c r="AE52" s="10"/>
      <c r="AF52" s="10"/>
      <c r="AG52" s="10"/>
      <c r="AH52" s="10"/>
      <c r="AI52" s="10"/>
      <c r="AJ52" s="6"/>
      <c r="AK52" s="6"/>
      <c r="AL52" s="8"/>
      <c r="AM52" s="6"/>
      <c r="AN52" s="10"/>
      <c r="AO52" s="10"/>
      <c r="AP52" s="10"/>
      <c r="AQ52" s="10"/>
      <c r="AR52" s="10"/>
      <c r="AS52" s="10"/>
      <c r="AT52" s="10"/>
      <c r="AU52" s="10"/>
      <c r="AV52" s="6"/>
      <c r="AW52" s="6"/>
      <c r="AX52" s="8"/>
      <c r="AY52" s="6"/>
      <c r="AZ52" s="10"/>
      <c r="BA52" s="10"/>
      <c r="BB52" s="10"/>
      <c r="BC52" s="10"/>
      <c r="BD52" s="10"/>
      <c r="BE52" s="10"/>
      <c r="BF52" s="10"/>
      <c r="BG52" s="10"/>
      <c r="BH52" s="6"/>
      <c r="BI52" s="6"/>
      <c r="BJ52" s="8"/>
      <c r="BK52" s="6"/>
      <c r="BL52" s="10"/>
      <c r="BM52" s="10"/>
      <c r="BN52" s="10"/>
      <c r="BO52" s="10"/>
      <c r="BP52" s="10"/>
      <c r="BQ52" s="10"/>
      <c r="BR52" s="10"/>
      <c r="BS52" s="10"/>
      <c r="BT52" s="6"/>
      <c r="BU52" s="6"/>
      <c r="BV52" s="8"/>
    </row>
    <row r="53" spans="1:74" ht="16.5">
      <c r="A53" s="8"/>
      <c r="B53" s="6"/>
      <c r="C53" s="34" t="s">
        <v>109</v>
      </c>
      <c r="D53" s="24" t="s">
        <v>110</v>
      </c>
      <c r="E53" s="36">
        <f ca="1">[1]!i_dq_close(D53,$D$3)</f>
        <v>10720.7822</v>
      </c>
      <c r="F53" s="26">
        <f ca="1">[1]!i_dq_pctchange(D53,$F$3)</f>
        <v>0</v>
      </c>
      <c r="G53" s="26">
        <f ca="1">[1]!i_pq_pctchange($D53,G$3,$D$3)</f>
        <v>1.2526064150765182</v>
      </c>
      <c r="H53" s="26">
        <f ca="1">[1]!i_pq_pctchange($D53,H$3,$D$3)</f>
        <v>11.415859753047929</v>
      </c>
      <c r="I53" s="26">
        <f ca="1">[1]!i_pq_pctchange($D53,I$3,$D$3)</f>
        <v>17.724366903519506</v>
      </c>
      <c r="J53" s="26">
        <f ca="1">[1]!i_pq_pctchange($D53,J$3,$D$3)</f>
        <v>15.571119099357889</v>
      </c>
      <c r="K53" s="26">
        <f ca="1">[1]!i_pq_pctchange($D53,K$3,$D$3)</f>
        <v>7.527169090023822</v>
      </c>
      <c r="L53" s="26">
        <f ca="1">[1]!i_pq_pctchange($D53,L$3,$D$3)</f>
        <v>17.20229326725995</v>
      </c>
      <c r="M53" s="6"/>
      <c r="N53" s="8"/>
      <c r="O53" s="6"/>
      <c r="P53" s="7"/>
      <c r="Q53" s="7"/>
      <c r="R53" s="7"/>
      <c r="S53" s="7"/>
      <c r="T53" s="7"/>
      <c r="U53" s="7"/>
      <c r="V53" s="7"/>
      <c r="W53" s="7"/>
      <c r="X53" s="6"/>
      <c r="Y53" s="6"/>
      <c r="Z53" s="8"/>
      <c r="AA53" s="6"/>
      <c r="AB53" s="7"/>
      <c r="AC53" s="7"/>
      <c r="AD53" s="7"/>
      <c r="AE53" s="7"/>
      <c r="AF53" s="7"/>
      <c r="AG53" s="7"/>
      <c r="AH53" s="7"/>
      <c r="AI53" s="7"/>
      <c r="AJ53" s="6"/>
      <c r="AK53" s="6"/>
      <c r="AL53" s="8"/>
      <c r="AM53" s="6"/>
      <c r="AN53" s="7"/>
      <c r="AO53" s="7"/>
      <c r="AP53" s="7"/>
      <c r="AQ53" s="7"/>
      <c r="AR53" s="7"/>
      <c r="AS53" s="7"/>
      <c r="AT53" s="7"/>
      <c r="AU53" s="7"/>
      <c r="AV53" s="6"/>
      <c r="AW53" s="6"/>
      <c r="AX53" s="8"/>
      <c r="AY53" s="6"/>
      <c r="AZ53" s="7"/>
      <c r="BA53" s="7"/>
      <c r="BB53" s="7"/>
      <c r="BC53" s="7"/>
      <c r="BD53" s="7"/>
      <c r="BE53" s="7"/>
      <c r="BF53" s="7"/>
      <c r="BG53" s="7"/>
      <c r="BH53" s="6"/>
      <c r="BI53" s="6"/>
      <c r="BJ53" s="8"/>
      <c r="BK53" s="6"/>
      <c r="BL53" s="7"/>
      <c r="BM53" s="7"/>
      <c r="BN53" s="7"/>
      <c r="BO53" s="7"/>
      <c r="BP53" s="7"/>
      <c r="BQ53" s="7"/>
      <c r="BR53" s="7"/>
      <c r="BS53" s="7"/>
      <c r="BT53" s="6"/>
      <c r="BU53" s="6"/>
      <c r="BV53" s="8"/>
    </row>
    <row r="54" spans="1:74" ht="16.5">
      <c r="A54" s="8"/>
      <c r="B54" s="6"/>
      <c r="C54" s="35" t="s">
        <v>111</v>
      </c>
      <c r="D54" s="27" t="s">
        <v>112</v>
      </c>
      <c r="E54" s="37">
        <f ca="1">[1]!i_dq_close(D54,$D$3)</f>
        <v>5335.9926999999998</v>
      </c>
      <c r="F54" s="29">
        <f ca="1">[1]!i_dq_pctchange(D54,$F$3)</f>
        <v>0</v>
      </c>
      <c r="G54" s="29">
        <f ca="1">[1]!i_pq_pctchange($D54,G$3,$D$3)</f>
        <v>-0.49573183727142922</v>
      </c>
      <c r="H54" s="29">
        <f ca="1">[1]!i_pq_pctchange($D54,H$3,$D$3)</f>
        <v>1.8989105662440053</v>
      </c>
      <c r="I54" s="29">
        <f ca="1">[1]!i_pq_pctchange($D54,I$3,$D$3)</f>
        <v>3.0608416532318161</v>
      </c>
      <c r="J54" s="29">
        <f ca="1">[1]!i_pq_pctchange($D54,J$3,$D$3)</f>
        <v>1.3945513275464672</v>
      </c>
      <c r="K54" s="29">
        <f ca="1">[1]!i_pq_pctchange($D54,K$3,$D$3)</f>
        <v>-7.3485529633449564</v>
      </c>
      <c r="L54" s="29">
        <f ca="1">[1]!i_pq_pctchange($D54,L$3,$D$3)</f>
        <v>3.3406458818570517</v>
      </c>
      <c r="M54" s="6"/>
      <c r="N54" s="8"/>
      <c r="O54" s="6"/>
      <c r="P54" s="10"/>
      <c r="Q54" s="10"/>
      <c r="R54" s="10"/>
      <c r="S54" s="10"/>
      <c r="T54" s="10"/>
      <c r="U54" s="10"/>
      <c r="V54" s="10"/>
      <c r="W54" s="10"/>
      <c r="X54" s="6"/>
      <c r="Y54" s="6"/>
      <c r="Z54" s="8"/>
      <c r="AA54" s="6"/>
      <c r="AB54" s="10"/>
      <c r="AC54" s="10"/>
      <c r="AD54" s="10"/>
      <c r="AE54" s="10"/>
      <c r="AF54" s="10"/>
      <c r="AG54" s="10"/>
      <c r="AH54" s="10"/>
      <c r="AI54" s="10"/>
      <c r="AJ54" s="6"/>
      <c r="AK54" s="6"/>
      <c r="AL54" s="8"/>
      <c r="AM54" s="6"/>
      <c r="AN54" s="10"/>
      <c r="AO54" s="10"/>
      <c r="AP54" s="10"/>
      <c r="AQ54" s="10"/>
      <c r="AR54" s="10"/>
      <c r="AS54" s="10"/>
      <c r="AT54" s="10"/>
      <c r="AU54" s="10"/>
      <c r="AV54" s="6"/>
      <c r="AW54" s="6"/>
      <c r="AX54" s="8"/>
      <c r="AY54" s="6"/>
      <c r="AZ54" s="10"/>
      <c r="BA54" s="10"/>
      <c r="BB54" s="10"/>
      <c r="BC54" s="10"/>
      <c r="BD54" s="10"/>
      <c r="BE54" s="10"/>
      <c r="BF54" s="10"/>
      <c r="BG54" s="10"/>
      <c r="BH54" s="6"/>
      <c r="BI54" s="6"/>
      <c r="BJ54" s="8"/>
      <c r="BK54" s="6"/>
      <c r="BL54" s="10"/>
      <c r="BM54" s="10"/>
      <c r="BN54" s="10"/>
      <c r="BO54" s="10"/>
      <c r="BP54" s="10"/>
      <c r="BQ54" s="10"/>
      <c r="BR54" s="10"/>
      <c r="BS54" s="10"/>
      <c r="BT54" s="6"/>
      <c r="BU54" s="6"/>
      <c r="BV54" s="8"/>
    </row>
    <row r="55" spans="1:74" ht="16.5">
      <c r="A55" s="8"/>
      <c r="B55" s="6"/>
      <c r="C55" s="34" t="s">
        <v>113</v>
      </c>
      <c r="D55" s="24" t="s">
        <v>114</v>
      </c>
      <c r="E55" s="36">
        <f ca="1">[1]!i_dq_close(D55,$D$3)</f>
        <v>12649.6875</v>
      </c>
      <c r="F55" s="26">
        <f ca="1">[1]!i_dq_pctchange(D55,$F$3)</f>
        <v>0</v>
      </c>
      <c r="G55" s="26">
        <f ca="1">[1]!i_pq_pctchange($D55,G$3,$D$3)</f>
        <v>-3.4143946587772311</v>
      </c>
      <c r="H55" s="26">
        <f ca="1">[1]!i_pq_pctchange($D55,H$3,$D$3)</f>
        <v>-3.7103459227719182</v>
      </c>
      <c r="I55" s="26">
        <f ca="1">[1]!i_pq_pctchange($D55,I$3,$D$3)</f>
        <v>-2.3892085324742296</v>
      </c>
      <c r="J55" s="26">
        <f ca="1">[1]!i_pq_pctchange($D55,J$3,$D$3)</f>
        <v>-9.0970078752968142</v>
      </c>
      <c r="K55" s="26">
        <f ca="1">[1]!i_pq_pctchange($D55,K$3,$D$3)</f>
        <v>-15.335360971017231</v>
      </c>
      <c r="L55" s="26">
        <f ca="1">[1]!i_pq_pctchange($D55,L$3,$D$3)</f>
        <v>-6.6804890662205079</v>
      </c>
      <c r="M55" s="6"/>
      <c r="N55" s="8"/>
      <c r="O55" s="6"/>
      <c r="P55" s="10"/>
      <c r="Q55" s="10"/>
      <c r="R55" s="10"/>
      <c r="S55" s="10"/>
      <c r="T55" s="10"/>
      <c r="U55" s="10"/>
      <c r="V55" s="10"/>
      <c r="W55" s="10"/>
      <c r="X55" s="6"/>
      <c r="Y55" s="6"/>
      <c r="Z55" s="8"/>
      <c r="AA55" s="6"/>
      <c r="AB55" s="10"/>
      <c r="AC55" s="10"/>
      <c r="AD55" s="10"/>
      <c r="AE55" s="10"/>
      <c r="AF55" s="10"/>
      <c r="AG55" s="10"/>
      <c r="AH55" s="10"/>
      <c r="AI55" s="10"/>
      <c r="AJ55" s="6"/>
      <c r="AK55" s="6"/>
      <c r="AL55" s="8"/>
      <c r="AM55" s="6"/>
      <c r="AN55" s="10"/>
      <c r="AO55" s="10"/>
      <c r="AP55" s="10"/>
      <c r="AQ55" s="10"/>
      <c r="AR55" s="10"/>
      <c r="AS55" s="10"/>
      <c r="AT55" s="10"/>
      <c r="AU55" s="10"/>
      <c r="AV55" s="6"/>
      <c r="AW55" s="6"/>
      <c r="AX55" s="8"/>
      <c r="AY55" s="6"/>
      <c r="AZ55" s="10"/>
      <c r="BA55" s="10"/>
      <c r="BB55" s="10"/>
      <c r="BC55" s="10"/>
      <c r="BD55" s="10"/>
      <c r="BE55" s="10"/>
      <c r="BF55" s="10"/>
      <c r="BG55" s="10"/>
      <c r="BH55" s="6"/>
      <c r="BI55" s="6"/>
      <c r="BJ55" s="8"/>
      <c r="BK55" s="6"/>
      <c r="BL55" s="10"/>
      <c r="BM55" s="10"/>
      <c r="BN55" s="10"/>
      <c r="BO55" s="10"/>
      <c r="BP55" s="10"/>
      <c r="BQ55" s="10"/>
      <c r="BR55" s="10"/>
      <c r="BS55" s="10"/>
      <c r="BT55" s="6"/>
      <c r="BU55" s="6"/>
      <c r="BV55" s="8"/>
    </row>
    <row r="56" spans="1:74">
      <c r="A56" s="8"/>
      <c r="B56" s="6"/>
      <c r="C56" s="15"/>
      <c r="D56" s="15"/>
      <c r="E56" s="16"/>
      <c r="F56" s="17"/>
      <c r="G56" s="17"/>
      <c r="H56" s="17"/>
      <c r="I56" s="17"/>
      <c r="J56" s="17"/>
      <c r="K56" s="17"/>
      <c r="L56" s="17"/>
      <c r="M56" s="6"/>
      <c r="N56" s="8"/>
      <c r="O56" s="6"/>
      <c r="P56" s="7"/>
      <c r="Q56" s="7"/>
      <c r="R56" s="7"/>
      <c r="S56" s="7"/>
      <c r="T56" s="7"/>
      <c r="U56" s="7"/>
      <c r="V56" s="7"/>
      <c r="W56" s="7"/>
      <c r="X56" s="6"/>
      <c r="Y56" s="6"/>
      <c r="Z56" s="8"/>
      <c r="AA56" s="6"/>
      <c r="AB56" s="7"/>
      <c r="AC56" s="7"/>
      <c r="AD56" s="7"/>
      <c r="AE56" s="7"/>
      <c r="AF56" s="7"/>
      <c r="AG56" s="7"/>
      <c r="AH56" s="7"/>
      <c r="AI56" s="7"/>
      <c r="AJ56" s="6"/>
      <c r="AK56" s="6"/>
      <c r="AL56" s="8"/>
      <c r="AM56" s="6"/>
      <c r="AN56" s="7"/>
      <c r="AO56" s="7"/>
      <c r="AP56" s="7"/>
      <c r="AQ56" s="7"/>
      <c r="AR56" s="7"/>
      <c r="AS56" s="7"/>
      <c r="AT56" s="7"/>
      <c r="AU56" s="7"/>
      <c r="AV56" s="6"/>
      <c r="AW56" s="6"/>
      <c r="AX56" s="8"/>
      <c r="AY56" s="6"/>
      <c r="AZ56" s="7"/>
      <c r="BA56" s="7"/>
      <c r="BB56" s="7"/>
      <c r="BC56" s="7"/>
      <c r="BD56" s="7"/>
      <c r="BE56" s="7"/>
      <c r="BF56" s="7"/>
      <c r="BG56" s="7"/>
      <c r="BH56" s="6"/>
      <c r="BI56" s="6"/>
      <c r="BJ56" s="8"/>
      <c r="BK56" s="6"/>
      <c r="BL56" s="7"/>
      <c r="BM56" s="7"/>
      <c r="BN56" s="7"/>
      <c r="BO56" s="7"/>
      <c r="BP56" s="7"/>
      <c r="BQ56" s="7"/>
      <c r="BR56" s="7"/>
      <c r="BS56" s="7"/>
      <c r="BT56" s="6"/>
      <c r="BU56" s="6"/>
      <c r="BV56" s="8"/>
    </row>
    <row r="57" spans="1:7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8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8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8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8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8"/>
    </row>
    <row r="59" spans="1:74" ht="17.25">
      <c r="A59" s="8"/>
      <c r="B59" s="6"/>
      <c r="C59" s="14" t="s">
        <v>116</v>
      </c>
      <c r="D59" s="9"/>
      <c r="E59" s="9"/>
      <c r="F59" s="9"/>
      <c r="G59" s="9"/>
      <c r="H59" s="9"/>
      <c r="I59" s="9"/>
      <c r="J59" s="9"/>
      <c r="K59" s="9"/>
      <c r="L59" s="9"/>
      <c r="M59" s="6"/>
      <c r="N59" s="8"/>
      <c r="O59" s="6"/>
      <c r="P59" s="14" t="s">
        <v>69</v>
      </c>
      <c r="Q59" s="9"/>
      <c r="R59" s="9"/>
      <c r="S59" s="9"/>
      <c r="T59" s="9"/>
      <c r="U59" s="9"/>
      <c r="V59" s="9"/>
      <c r="W59" s="9"/>
      <c r="X59" s="9"/>
      <c r="Y59" s="18"/>
      <c r="Z59" s="8"/>
      <c r="AA59" s="6"/>
      <c r="AB59" s="14" t="s">
        <v>44</v>
      </c>
      <c r="AC59" s="9"/>
      <c r="AD59" s="9"/>
      <c r="AE59" s="9"/>
      <c r="AF59" s="9"/>
      <c r="AG59" s="9"/>
      <c r="AH59" s="9"/>
      <c r="AI59" s="9"/>
      <c r="AJ59" s="9"/>
      <c r="AK59" s="18"/>
      <c r="AL59" s="8"/>
      <c r="AM59" s="6"/>
      <c r="AN59" s="14" t="s">
        <v>85</v>
      </c>
      <c r="AO59" s="9"/>
      <c r="AP59" s="9"/>
      <c r="AQ59" s="9"/>
      <c r="AR59" s="9"/>
      <c r="AS59" s="9"/>
      <c r="AT59" s="9"/>
      <c r="AU59" s="9"/>
      <c r="AV59" s="9"/>
      <c r="AW59" s="18"/>
      <c r="AX59" s="8"/>
      <c r="AY59" s="6"/>
      <c r="AZ59" s="14" t="s">
        <v>70</v>
      </c>
      <c r="BA59" s="9"/>
      <c r="BB59" s="9"/>
      <c r="BC59" s="9"/>
      <c r="BD59" s="9"/>
      <c r="BE59" s="9"/>
      <c r="BF59" s="9"/>
      <c r="BG59" s="9"/>
      <c r="BH59" s="9"/>
      <c r="BI59" s="18"/>
      <c r="BJ59" s="8"/>
      <c r="BK59" s="6"/>
      <c r="BL59" s="14" t="s">
        <v>71</v>
      </c>
      <c r="BM59" s="9"/>
      <c r="BN59" s="9"/>
      <c r="BO59" s="9"/>
      <c r="BP59" s="9"/>
      <c r="BQ59" s="9"/>
      <c r="BR59" s="9"/>
      <c r="BS59" s="9"/>
      <c r="BT59" s="9"/>
      <c r="BU59" s="18"/>
      <c r="BV59" s="8"/>
    </row>
    <row r="60" spans="1:74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8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8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8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8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8"/>
    </row>
    <row r="61" spans="1:74" ht="16.5">
      <c r="A61" s="8"/>
      <c r="B61" s="6"/>
      <c r="C61" s="21" t="s">
        <v>4</v>
      </c>
      <c r="D61" s="21" t="s">
        <v>5</v>
      </c>
      <c r="E61" s="22" t="s">
        <v>6</v>
      </c>
      <c r="F61" s="22" t="s">
        <v>1</v>
      </c>
      <c r="G61" s="22" t="s">
        <v>7</v>
      </c>
      <c r="H61" s="22" t="s">
        <v>8</v>
      </c>
      <c r="I61" s="22" t="s">
        <v>9</v>
      </c>
      <c r="J61" s="22" t="s">
        <v>10</v>
      </c>
      <c r="K61" s="22" t="s">
        <v>11</v>
      </c>
      <c r="L61" s="22" t="s">
        <v>12</v>
      </c>
      <c r="M61" s="6"/>
      <c r="N61" s="8"/>
      <c r="O61" s="6"/>
      <c r="P61" s="11"/>
      <c r="Q61" s="11"/>
      <c r="R61" s="11"/>
      <c r="S61" s="11"/>
      <c r="T61" s="11"/>
      <c r="U61" s="11"/>
      <c r="V61" s="11"/>
      <c r="W61" s="11"/>
      <c r="X61" s="6"/>
      <c r="Y61" s="6"/>
      <c r="Z61" s="8"/>
      <c r="AA61" s="6"/>
      <c r="AB61" s="11"/>
      <c r="AC61" s="11"/>
      <c r="AD61" s="11"/>
      <c r="AE61" s="11"/>
      <c r="AF61" s="11"/>
      <c r="AG61" s="11"/>
      <c r="AH61" s="11"/>
      <c r="AI61" s="11"/>
      <c r="AJ61" s="6"/>
      <c r="AK61" s="6"/>
      <c r="AL61" s="8"/>
      <c r="AM61" s="6"/>
      <c r="AN61" s="11"/>
      <c r="AO61" s="11"/>
      <c r="AP61" s="11"/>
      <c r="AQ61" s="11"/>
      <c r="AR61" s="11"/>
      <c r="AS61" s="11"/>
      <c r="AT61" s="11"/>
      <c r="AU61" s="11"/>
      <c r="AV61" s="6"/>
      <c r="AW61" s="6"/>
      <c r="AX61" s="8"/>
      <c r="AY61" s="6"/>
      <c r="AZ61" s="11"/>
      <c r="BA61" s="11"/>
      <c r="BB61" s="11"/>
      <c r="BC61" s="11"/>
      <c r="BD61" s="11"/>
      <c r="BE61" s="11"/>
      <c r="BF61" s="11"/>
      <c r="BG61" s="11"/>
      <c r="BH61" s="6"/>
      <c r="BI61" s="6"/>
      <c r="BJ61" s="8"/>
      <c r="BK61" s="6"/>
      <c r="BL61" s="11"/>
      <c r="BM61" s="11"/>
      <c r="BN61" s="11"/>
      <c r="BO61" s="11"/>
      <c r="BP61" s="11"/>
      <c r="BQ61" s="11"/>
      <c r="BR61" s="11"/>
      <c r="BS61" s="11"/>
      <c r="BT61" s="6"/>
      <c r="BU61" s="6"/>
      <c r="BV61" s="8"/>
    </row>
    <row r="62" spans="1:74" ht="16.5">
      <c r="A62" s="8"/>
      <c r="B62" s="6"/>
      <c r="C62" s="34" t="s">
        <v>117</v>
      </c>
      <c r="D62" s="24" t="s">
        <v>118</v>
      </c>
      <c r="E62" s="36">
        <f ca="1">[1]!i_dq_close(D62,$D$3)</f>
        <v>7768.0591999999997</v>
      </c>
      <c r="F62" s="26">
        <f ca="1">[1]!i_dq_pctchange(D62,$F$3)</f>
        <v>0</v>
      </c>
      <c r="G62" s="26">
        <f ca="1">[1]!i_pq_pctchange($D62,G$3,$D$3)</f>
        <v>-2.9106861986180066</v>
      </c>
      <c r="H62" s="26">
        <f ca="1">[1]!i_pq_pctchange($D62,H$3,$D$3)</f>
        <v>-7.7678975458279069</v>
      </c>
      <c r="I62" s="26">
        <f ca="1">[1]!i_pq_pctchange($D62,I$3,$D$3)</f>
        <v>-8.1462754213414534</v>
      </c>
      <c r="J62" s="26">
        <f ca="1">[1]!i_pq_pctchange($D62,J$3,$D$3)</f>
        <v>-17.055218753928393</v>
      </c>
      <c r="K62" s="26">
        <f ca="1">[1]!i_pq_pctchange($D62,K$3,$D$3)</f>
        <v>-27.523787816832247</v>
      </c>
      <c r="L62" s="26">
        <f ca="1">[1]!i_pq_pctchange($D62,L$3,$D$3)</f>
        <v>-13.685806641324326</v>
      </c>
      <c r="M62" s="6"/>
      <c r="N62" s="8"/>
      <c r="O62" s="6"/>
      <c r="P62" s="7"/>
      <c r="Q62" s="7"/>
      <c r="R62" s="7"/>
      <c r="S62" s="7"/>
      <c r="T62" s="7"/>
      <c r="U62" s="7"/>
      <c r="V62" s="7"/>
      <c r="W62" s="7"/>
      <c r="X62" s="6"/>
      <c r="Y62" s="6"/>
      <c r="Z62" s="8"/>
      <c r="AA62" s="6"/>
      <c r="AB62" s="7"/>
      <c r="AC62" s="7"/>
      <c r="AD62" s="7"/>
      <c r="AE62" s="7"/>
      <c r="AF62" s="7"/>
      <c r="AG62" s="7"/>
      <c r="AH62" s="7"/>
      <c r="AI62" s="7"/>
      <c r="AJ62" s="6"/>
      <c r="AK62" s="6"/>
      <c r="AL62" s="8"/>
      <c r="AM62" s="6"/>
      <c r="AN62" s="7"/>
      <c r="AO62" s="7"/>
      <c r="AP62" s="7"/>
      <c r="AQ62" s="7"/>
      <c r="AR62" s="7"/>
      <c r="AS62" s="7"/>
      <c r="AT62" s="7"/>
      <c r="AU62" s="7"/>
      <c r="AV62" s="6"/>
      <c r="AW62" s="6"/>
      <c r="AX62" s="8"/>
      <c r="AY62" s="6"/>
      <c r="AZ62" s="7"/>
      <c r="BA62" s="7"/>
      <c r="BB62" s="7"/>
      <c r="BC62" s="7"/>
      <c r="BD62" s="7"/>
      <c r="BE62" s="7"/>
      <c r="BF62" s="7"/>
      <c r="BG62" s="7"/>
      <c r="BH62" s="6"/>
      <c r="BI62" s="6"/>
      <c r="BJ62" s="8"/>
      <c r="BK62" s="6"/>
      <c r="BL62" s="7"/>
      <c r="BM62" s="7"/>
      <c r="BN62" s="7"/>
      <c r="BO62" s="7"/>
      <c r="BP62" s="7"/>
      <c r="BQ62" s="7"/>
      <c r="BR62" s="7"/>
      <c r="BS62" s="7"/>
      <c r="BT62" s="6"/>
      <c r="BU62" s="6"/>
      <c r="BV62" s="8"/>
    </row>
    <row r="63" spans="1:74" ht="16.5">
      <c r="A63" s="8"/>
      <c r="B63" s="6"/>
      <c r="C63" s="35" t="s">
        <v>119</v>
      </c>
      <c r="D63" s="27" t="s">
        <v>120</v>
      </c>
      <c r="E63" s="37">
        <f ca="1">[1]!i_dq_close(D63,$D$3)</f>
        <v>4924.4017000000003</v>
      </c>
      <c r="F63" s="29">
        <f ca="1">[1]!i_dq_pctchange(D63,$F$3)</f>
        <v>0</v>
      </c>
      <c r="G63" s="29">
        <f ca="1">[1]!i_pq_pctchange($D63,G$3,$D$3)</f>
        <v>-0.89382891822241683</v>
      </c>
      <c r="H63" s="29">
        <f ca="1">[1]!i_pq_pctchange($D63,H$3,$D$3)</f>
        <v>-2.8063329416824434</v>
      </c>
      <c r="I63" s="29">
        <f ca="1">[1]!i_pq_pctchange($D63,I$3,$D$3)</f>
        <v>16.213124753297347</v>
      </c>
      <c r="J63" s="29">
        <f ca="1">[1]!i_pq_pctchange($D63,J$3,$D$3)</f>
        <v>-1.8323741303105656E-2</v>
      </c>
      <c r="K63" s="29">
        <f ca="1">[1]!i_pq_pctchange($D63,K$3,$D$3)</f>
        <v>-10.701966010399</v>
      </c>
      <c r="L63" s="29">
        <f ca="1">[1]!i_pq_pctchange($D63,L$3,$D$3)</f>
        <v>7.6602125582302172</v>
      </c>
      <c r="M63" s="6"/>
      <c r="N63" s="8"/>
      <c r="O63" s="6"/>
      <c r="P63" s="10"/>
      <c r="Q63" s="10"/>
      <c r="R63" s="10"/>
      <c r="S63" s="10"/>
      <c r="T63" s="10"/>
      <c r="U63" s="10"/>
      <c r="V63" s="10"/>
      <c r="W63" s="10"/>
      <c r="X63" s="6"/>
      <c r="Y63" s="6"/>
      <c r="Z63" s="8"/>
      <c r="AA63" s="6"/>
      <c r="AB63" s="10"/>
      <c r="AC63" s="10"/>
      <c r="AD63" s="10"/>
      <c r="AE63" s="10"/>
      <c r="AF63" s="10"/>
      <c r="AG63" s="10"/>
      <c r="AH63" s="10"/>
      <c r="AI63" s="10"/>
      <c r="AJ63" s="6"/>
      <c r="AK63" s="6"/>
      <c r="AL63" s="8"/>
      <c r="AM63" s="6"/>
      <c r="AN63" s="10"/>
      <c r="AO63" s="10"/>
      <c r="AP63" s="10"/>
      <c r="AQ63" s="10"/>
      <c r="AR63" s="10"/>
      <c r="AS63" s="10"/>
      <c r="AT63" s="10"/>
      <c r="AU63" s="10"/>
      <c r="AV63" s="6"/>
      <c r="AW63" s="6"/>
      <c r="AX63" s="8"/>
      <c r="AY63" s="6"/>
      <c r="AZ63" s="10"/>
      <c r="BA63" s="10"/>
      <c r="BB63" s="10"/>
      <c r="BC63" s="10"/>
      <c r="BD63" s="10"/>
      <c r="BE63" s="10"/>
      <c r="BF63" s="10"/>
      <c r="BG63" s="10"/>
      <c r="BH63" s="6"/>
      <c r="BI63" s="6"/>
      <c r="BJ63" s="8"/>
      <c r="BK63" s="6"/>
      <c r="BL63" s="10"/>
      <c r="BM63" s="10"/>
      <c r="BN63" s="10"/>
      <c r="BO63" s="10"/>
      <c r="BP63" s="10"/>
      <c r="BQ63" s="10"/>
      <c r="BR63" s="10"/>
      <c r="BS63" s="10"/>
      <c r="BT63" s="6"/>
      <c r="BU63" s="6"/>
      <c r="BV63" s="8"/>
    </row>
    <row r="64" spans="1:74" ht="16.5">
      <c r="A64" s="8"/>
      <c r="B64" s="6"/>
      <c r="C64" s="34" t="s">
        <v>121</v>
      </c>
      <c r="D64" s="24" t="s">
        <v>122</v>
      </c>
      <c r="E64" s="36">
        <f ca="1">[1]!i_dq_close(D64,$D$3)</f>
        <v>16877.7821</v>
      </c>
      <c r="F64" s="26">
        <f ca="1">[1]!i_dq_pctchange(D64,$F$3)</f>
        <v>0</v>
      </c>
      <c r="G64" s="26">
        <f ca="1">[1]!i_pq_pctchange($D64,G$3,$D$3)</f>
        <v>-5.9848731395481973</v>
      </c>
      <c r="H64" s="26">
        <f ca="1">[1]!i_pq_pctchange($D64,H$3,$D$3)</f>
        <v>-4.5473261377481418</v>
      </c>
      <c r="I64" s="26">
        <f ca="1">[1]!i_pq_pctchange($D64,I$3,$D$3)</f>
        <v>2.3831971317339162</v>
      </c>
      <c r="J64" s="26">
        <f ca="1">[1]!i_pq_pctchange($D64,J$3,$D$3)</f>
        <v>-6.9517987114394275</v>
      </c>
      <c r="K64" s="26">
        <f ca="1">[1]!i_pq_pctchange($D64,K$3,$D$3)</f>
        <v>-19.603351502219667</v>
      </c>
      <c r="L64" s="26">
        <f ca="1">[1]!i_pq_pctchange($D64,L$3,$D$3)</f>
        <v>-3.1502561863156475</v>
      </c>
      <c r="M64" s="6"/>
      <c r="N64" s="8"/>
      <c r="O64" s="6"/>
      <c r="P64" s="7"/>
      <c r="Q64" s="7"/>
      <c r="R64" s="7"/>
      <c r="S64" s="7"/>
      <c r="T64" s="7"/>
      <c r="U64" s="7"/>
      <c r="V64" s="7"/>
      <c r="W64" s="7"/>
      <c r="X64" s="6"/>
      <c r="Y64" s="6"/>
      <c r="Z64" s="8"/>
      <c r="AA64" s="6"/>
      <c r="AB64" s="7"/>
      <c r="AC64" s="7"/>
      <c r="AD64" s="7"/>
      <c r="AE64" s="7"/>
      <c r="AF64" s="7"/>
      <c r="AG64" s="7"/>
      <c r="AH64" s="7"/>
      <c r="AI64" s="7"/>
      <c r="AJ64" s="6"/>
      <c r="AK64" s="6"/>
      <c r="AL64" s="8"/>
      <c r="AM64" s="6"/>
      <c r="AN64" s="7"/>
      <c r="AO64" s="7"/>
      <c r="AP64" s="7"/>
      <c r="AQ64" s="7"/>
      <c r="AR64" s="7"/>
      <c r="AS64" s="7"/>
      <c r="AT64" s="7"/>
      <c r="AU64" s="7"/>
      <c r="AV64" s="6"/>
      <c r="AW64" s="6"/>
      <c r="AX64" s="8"/>
      <c r="AY64" s="6"/>
      <c r="AZ64" s="7"/>
      <c r="BA64" s="7"/>
      <c r="BB64" s="7"/>
      <c r="BC64" s="7"/>
      <c r="BD64" s="7"/>
      <c r="BE64" s="7"/>
      <c r="BF64" s="7"/>
      <c r="BG64" s="7"/>
      <c r="BH64" s="6"/>
      <c r="BI64" s="6"/>
      <c r="BJ64" s="8"/>
      <c r="BK64" s="6"/>
      <c r="BL64" s="7"/>
      <c r="BM64" s="7"/>
      <c r="BN64" s="7"/>
      <c r="BO64" s="7"/>
      <c r="BP64" s="7"/>
      <c r="BQ64" s="7"/>
      <c r="BR64" s="7"/>
      <c r="BS64" s="7"/>
      <c r="BT64" s="6"/>
      <c r="BU64" s="6"/>
      <c r="BV64" s="8"/>
    </row>
    <row r="65" spans="1:74" ht="16.5">
      <c r="A65" s="8"/>
      <c r="B65" s="6"/>
      <c r="C65" s="35" t="s">
        <v>123</v>
      </c>
      <c r="D65" s="27" t="s">
        <v>124</v>
      </c>
      <c r="E65" s="37">
        <f ca="1">[1]!i_dq_close(D65,$D$3)</f>
        <v>3189.4816999999998</v>
      </c>
      <c r="F65" s="29">
        <f ca="1">[1]!i_dq_pctchange(D65,$F$3)</f>
        <v>0</v>
      </c>
      <c r="G65" s="29">
        <f ca="1">[1]!i_pq_pctchange($D65,G$3,$D$3)</f>
        <v>0.17312351767186929</v>
      </c>
      <c r="H65" s="29">
        <f ca="1">[1]!i_pq_pctchange($D65,H$3,$D$3)</f>
        <v>4.9167677463314741</v>
      </c>
      <c r="I65" s="29">
        <f ca="1">[1]!i_pq_pctchange($D65,I$3,$D$3)</f>
        <v>17.023521661014861</v>
      </c>
      <c r="J65" s="29">
        <f ca="1">[1]!i_pq_pctchange($D65,J$3,$D$3)</f>
        <v>21.849569797301061</v>
      </c>
      <c r="K65" s="29">
        <f ca="1">[1]!i_pq_pctchange($D65,K$3,$D$3)</f>
        <v>21.323964536149333</v>
      </c>
      <c r="L65" s="29">
        <f ca="1">[1]!i_pq_pctchange($D65,L$3,$D$3)</f>
        <v>20.013804206561602</v>
      </c>
      <c r="M65" s="6"/>
      <c r="N65" s="8"/>
      <c r="O65" s="6"/>
      <c r="P65" s="10"/>
      <c r="Q65" s="10"/>
      <c r="R65" s="10"/>
      <c r="S65" s="10"/>
      <c r="T65" s="10"/>
      <c r="U65" s="10"/>
      <c r="V65" s="10"/>
      <c r="W65" s="10"/>
      <c r="X65" s="6"/>
      <c r="Y65" s="6"/>
      <c r="Z65" s="8"/>
      <c r="AA65" s="6"/>
      <c r="AB65" s="10"/>
      <c r="AC65" s="10"/>
      <c r="AD65" s="10"/>
      <c r="AE65" s="10"/>
      <c r="AF65" s="10"/>
      <c r="AG65" s="10"/>
      <c r="AH65" s="10"/>
      <c r="AI65" s="10"/>
      <c r="AJ65" s="6"/>
      <c r="AK65" s="6"/>
      <c r="AL65" s="8"/>
      <c r="AM65" s="6"/>
      <c r="AN65" s="10"/>
      <c r="AO65" s="10"/>
      <c r="AP65" s="10"/>
      <c r="AQ65" s="10"/>
      <c r="AR65" s="10"/>
      <c r="AS65" s="10"/>
      <c r="AT65" s="10"/>
      <c r="AU65" s="10"/>
      <c r="AV65" s="6"/>
      <c r="AW65" s="6"/>
      <c r="AX65" s="8"/>
      <c r="AY65" s="6"/>
      <c r="AZ65" s="10"/>
      <c r="BA65" s="10"/>
      <c r="BB65" s="10"/>
      <c r="BC65" s="10"/>
      <c r="BD65" s="10"/>
      <c r="BE65" s="10"/>
      <c r="BF65" s="10"/>
      <c r="BG65" s="10"/>
      <c r="BH65" s="6"/>
      <c r="BI65" s="6"/>
      <c r="BJ65" s="8"/>
      <c r="BK65" s="6"/>
      <c r="BL65" s="10"/>
      <c r="BM65" s="10"/>
      <c r="BN65" s="10"/>
      <c r="BO65" s="10"/>
      <c r="BP65" s="10"/>
      <c r="BQ65" s="10"/>
      <c r="BR65" s="10"/>
      <c r="BS65" s="10"/>
      <c r="BT65" s="6"/>
      <c r="BU65" s="6"/>
      <c r="BV65" s="8"/>
    </row>
    <row r="66" spans="1:74" ht="16.5">
      <c r="A66" s="8"/>
      <c r="B66" s="6"/>
      <c r="C66" s="34" t="s">
        <v>125</v>
      </c>
      <c r="D66" s="24" t="s">
        <v>126</v>
      </c>
      <c r="E66" s="36">
        <f ca="1">[1]!i_dq_close(D66,$D$3)</f>
        <v>2589.2853</v>
      </c>
      <c r="F66" s="26">
        <f ca="1">[1]!i_dq_pctchange(D66,$F$3)</f>
        <v>0</v>
      </c>
      <c r="G66" s="26">
        <f ca="1">[1]!i_pq_pctchange($D66,G$3,$D$3)</f>
        <v>3.1677660519663586</v>
      </c>
      <c r="H66" s="26">
        <f ca="1">[1]!i_pq_pctchange($D66,H$3,$D$3)</f>
        <v>5.2003938099741909</v>
      </c>
      <c r="I66" s="26">
        <f ca="1">[1]!i_pq_pctchange($D66,I$3,$D$3)</f>
        <v>13.166486009220414</v>
      </c>
      <c r="J66" s="26">
        <f ca="1">[1]!i_pq_pctchange($D66,J$3,$D$3)</f>
        <v>17.193920853892443</v>
      </c>
      <c r="K66" s="26">
        <f ca="1">[1]!i_pq_pctchange($D66,K$3,$D$3)</f>
        <v>13.942378968264002</v>
      </c>
      <c r="L66" s="26">
        <f ca="1">[1]!i_pq_pctchange($D66,L$3,$D$3)</f>
        <v>16.25944722815753</v>
      </c>
      <c r="M66" s="6"/>
      <c r="N66" s="8"/>
      <c r="O66" s="6"/>
      <c r="P66" s="10"/>
      <c r="Q66" s="10"/>
      <c r="R66" s="10"/>
      <c r="S66" s="10"/>
      <c r="T66" s="10"/>
      <c r="U66" s="10"/>
      <c r="V66" s="10"/>
      <c r="W66" s="10"/>
      <c r="X66" s="6"/>
      <c r="Y66" s="6"/>
      <c r="Z66" s="8"/>
      <c r="AA66" s="6"/>
      <c r="AB66" s="10"/>
      <c r="AC66" s="10"/>
      <c r="AD66" s="10"/>
      <c r="AE66" s="10"/>
      <c r="AF66" s="10"/>
      <c r="AG66" s="10"/>
      <c r="AH66" s="10"/>
      <c r="AI66" s="10"/>
      <c r="AJ66" s="6"/>
      <c r="AK66" s="6"/>
      <c r="AL66" s="8"/>
      <c r="AM66" s="6"/>
      <c r="AN66" s="10"/>
      <c r="AO66" s="10"/>
      <c r="AP66" s="10"/>
      <c r="AQ66" s="10"/>
      <c r="AR66" s="10"/>
      <c r="AS66" s="10"/>
      <c r="AT66" s="10"/>
      <c r="AU66" s="10"/>
      <c r="AV66" s="6"/>
      <c r="AW66" s="6"/>
      <c r="AX66" s="8"/>
      <c r="AY66" s="6"/>
      <c r="AZ66" s="10"/>
      <c r="BA66" s="10"/>
      <c r="BB66" s="10"/>
      <c r="BC66" s="10"/>
      <c r="BD66" s="10"/>
      <c r="BE66" s="10"/>
      <c r="BF66" s="10"/>
      <c r="BG66" s="10"/>
      <c r="BH66" s="6"/>
      <c r="BI66" s="6"/>
      <c r="BJ66" s="8"/>
      <c r="BK66" s="6"/>
      <c r="BL66" s="10"/>
      <c r="BM66" s="10"/>
      <c r="BN66" s="10"/>
      <c r="BO66" s="10"/>
      <c r="BP66" s="10"/>
      <c r="BQ66" s="10"/>
      <c r="BR66" s="10"/>
      <c r="BS66" s="10"/>
      <c r="BT66" s="6"/>
      <c r="BU66" s="6"/>
      <c r="BV66" s="8"/>
    </row>
    <row r="67" spans="1:74" ht="16.5">
      <c r="A67" s="8"/>
      <c r="B67" s="6"/>
      <c r="C67" s="35" t="s">
        <v>127</v>
      </c>
      <c r="D67" s="27" t="s">
        <v>128</v>
      </c>
      <c r="E67" s="37">
        <f ca="1">[1]!i_dq_close(D67,$D$3)</f>
        <v>2601.9765000000002</v>
      </c>
      <c r="F67" s="29">
        <f ca="1">[1]!i_dq_pctchange(D67,$F$3)</f>
        <v>0</v>
      </c>
      <c r="G67" s="29">
        <f ca="1">[1]!i_pq_pctchange($D67,G$3,$D$3)</f>
        <v>-2.5694597656163887</v>
      </c>
      <c r="H67" s="29">
        <f ca="1">[1]!i_pq_pctchange($D67,H$3,$D$3)</f>
        <v>-2.4454616652755057</v>
      </c>
      <c r="I67" s="29">
        <f ca="1">[1]!i_pq_pctchange($D67,I$3,$D$3)</f>
        <v>3.6642371884666458</v>
      </c>
      <c r="J67" s="29">
        <f ca="1">[1]!i_pq_pctchange($D67,J$3,$D$3)</f>
        <v>-6.1332280226663149</v>
      </c>
      <c r="K67" s="29">
        <f ca="1">[1]!i_pq_pctchange($D67,K$3,$D$3)</f>
        <v>-22.255069735322429</v>
      </c>
      <c r="L67" s="29">
        <f ca="1">[1]!i_pq_pctchange($D67,L$3,$D$3)</f>
        <v>0.94726008931780292</v>
      </c>
      <c r="M67" s="6"/>
      <c r="N67" s="8"/>
      <c r="O67" s="6"/>
      <c r="P67" s="7"/>
      <c r="Q67" s="7"/>
      <c r="R67" s="7"/>
      <c r="S67" s="7"/>
      <c r="T67" s="7"/>
      <c r="U67" s="7"/>
      <c r="V67" s="7"/>
      <c r="W67" s="7"/>
      <c r="X67" s="6"/>
      <c r="Y67" s="6"/>
      <c r="Z67" s="8"/>
      <c r="AA67" s="6"/>
      <c r="AB67" s="7"/>
      <c r="AC67" s="7"/>
      <c r="AD67" s="7"/>
      <c r="AE67" s="7"/>
      <c r="AF67" s="7"/>
      <c r="AG67" s="7"/>
      <c r="AH67" s="7"/>
      <c r="AI67" s="7"/>
      <c r="AJ67" s="6"/>
      <c r="AK67" s="6"/>
      <c r="AL67" s="8"/>
      <c r="AM67" s="6"/>
      <c r="AN67" s="7"/>
      <c r="AO67" s="7"/>
      <c r="AP67" s="7"/>
      <c r="AQ67" s="7"/>
      <c r="AR67" s="7"/>
      <c r="AS67" s="7"/>
      <c r="AT67" s="7"/>
      <c r="AU67" s="7"/>
      <c r="AV67" s="6"/>
      <c r="AW67" s="6"/>
      <c r="AX67" s="8"/>
      <c r="AY67" s="6"/>
      <c r="AZ67" s="7"/>
      <c r="BA67" s="7"/>
      <c r="BB67" s="7"/>
      <c r="BC67" s="7"/>
      <c r="BD67" s="7"/>
      <c r="BE67" s="7"/>
      <c r="BF67" s="7"/>
      <c r="BG67" s="7"/>
      <c r="BH67" s="6"/>
      <c r="BI67" s="6"/>
      <c r="BJ67" s="8"/>
      <c r="BK67" s="6"/>
      <c r="BL67" s="7"/>
      <c r="BM67" s="7"/>
      <c r="BN67" s="7"/>
      <c r="BO67" s="7"/>
      <c r="BP67" s="7"/>
      <c r="BQ67" s="7"/>
      <c r="BR67" s="7"/>
      <c r="BS67" s="7"/>
      <c r="BT67" s="6"/>
      <c r="BU67" s="6"/>
      <c r="BV67" s="8"/>
    </row>
    <row r="68" spans="1:74" ht="16.5">
      <c r="A68" s="8"/>
      <c r="B68" s="6"/>
      <c r="C68" s="34" t="s">
        <v>129</v>
      </c>
      <c r="D68" s="24" t="s">
        <v>130</v>
      </c>
      <c r="E68" s="36">
        <f ca="1">[1]!i_dq_close(D68,$D$3)</f>
        <v>2970.9422</v>
      </c>
      <c r="F68" s="26">
        <f ca="1">[1]!i_dq_pctchange(D68,$F$3)</f>
        <v>0</v>
      </c>
      <c r="G68" s="26">
        <f ca="1">[1]!i_pq_pctchange($D68,G$3,$D$3)</f>
        <v>0.47754650093918549</v>
      </c>
      <c r="H68" s="26">
        <f ca="1">[1]!i_pq_pctchange($D68,H$3,$D$3)</f>
        <v>8.580373717453881</v>
      </c>
      <c r="I68" s="26">
        <f ca="1">[1]!i_pq_pctchange($D68,I$3,$D$3)</f>
        <v>15.293290921444935</v>
      </c>
      <c r="J68" s="26">
        <f ca="1">[1]!i_pq_pctchange($D68,J$3,$D$3)</f>
        <v>5.7752825734305846</v>
      </c>
      <c r="K68" s="26">
        <f ca="1">[1]!i_pq_pctchange($D68,K$3,$D$3)</f>
        <v>-8.3246791401631821</v>
      </c>
      <c r="L68" s="26">
        <f ca="1">[1]!i_pq_pctchange($D68,L$3,$D$3)</f>
        <v>12.245102130673358</v>
      </c>
      <c r="M68" s="6"/>
      <c r="N68" s="8"/>
      <c r="O68" s="6"/>
      <c r="P68" s="10"/>
      <c r="Q68" s="10"/>
      <c r="R68" s="10"/>
      <c r="S68" s="10"/>
      <c r="T68" s="10"/>
      <c r="U68" s="10"/>
      <c r="V68" s="10"/>
      <c r="W68" s="10"/>
      <c r="X68" s="6"/>
      <c r="Y68" s="6"/>
      <c r="Z68" s="8"/>
      <c r="AA68" s="6"/>
      <c r="AB68" s="10"/>
      <c r="AC68" s="10"/>
      <c r="AD68" s="10"/>
      <c r="AE68" s="10"/>
      <c r="AF68" s="10"/>
      <c r="AG68" s="10"/>
      <c r="AH68" s="10"/>
      <c r="AI68" s="10"/>
      <c r="AJ68" s="6"/>
      <c r="AK68" s="6"/>
      <c r="AL68" s="8"/>
      <c r="AM68" s="6"/>
      <c r="AN68" s="10"/>
      <c r="AO68" s="10"/>
      <c r="AP68" s="10"/>
      <c r="AQ68" s="10"/>
      <c r="AR68" s="10"/>
      <c r="AS68" s="10"/>
      <c r="AT68" s="10"/>
      <c r="AU68" s="10"/>
      <c r="AV68" s="6"/>
      <c r="AW68" s="6"/>
      <c r="AX68" s="8"/>
      <c r="AY68" s="6"/>
      <c r="AZ68" s="10"/>
      <c r="BA68" s="10"/>
      <c r="BB68" s="10"/>
      <c r="BC68" s="10"/>
      <c r="BD68" s="10"/>
      <c r="BE68" s="10"/>
      <c r="BF68" s="10"/>
      <c r="BG68" s="10"/>
      <c r="BH68" s="6"/>
      <c r="BI68" s="6"/>
      <c r="BJ68" s="8"/>
      <c r="BK68" s="6"/>
      <c r="BL68" s="10"/>
      <c r="BM68" s="10"/>
      <c r="BN68" s="10"/>
      <c r="BO68" s="10"/>
      <c r="BP68" s="10"/>
      <c r="BQ68" s="10"/>
      <c r="BR68" s="10"/>
      <c r="BS68" s="10"/>
      <c r="BT68" s="6"/>
      <c r="BU68" s="6"/>
      <c r="BV68" s="8"/>
    </row>
    <row r="69" spans="1:74" ht="16.5">
      <c r="A69" s="8"/>
      <c r="B69" s="6"/>
      <c r="C69" s="35" t="s">
        <v>131</v>
      </c>
      <c r="D69" s="27" t="s">
        <v>132</v>
      </c>
      <c r="E69" s="37">
        <f ca="1">[1]!i_dq_close(D69,$D$3)</f>
        <v>3439.1952999999999</v>
      </c>
      <c r="F69" s="29">
        <f ca="1">[1]!i_dq_pctchange(D69,$F$3)</f>
        <v>0</v>
      </c>
      <c r="G69" s="29">
        <f ca="1">[1]!i_pq_pctchange($D69,G$3,$D$3)</f>
        <v>-3.1947929355971572</v>
      </c>
      <c r="H69" s="29">
        <f ca="1">[1]!i_pq_pctchange($D69,H$3,$D$3)</f>
        <v>-8.619194337018099</v>
      </c>
      <c r="I69" s="29">
        <f ca="1">[1]!i_pq_pctchange($D69,I$3,$D$3)</f>
        <v>0.51636877048719665</v>
      </c>
      <c r="J69" s="29">
        <f ca="1">[1]!i_pq_pctchange($D69,J$3,$D$3)</f>
        <v>-14.017432694335884</v>
      </c>
      <c r="K69" s="29">
        <f ca="1">[1]!i_pq_pctchange($D69,K$3,$D$3)</f>
        <v>-28.203652813249736</v>
      </c>
      <c r="L69" s="29">
        <f ca="1">[1]!i_pq_pctchange($D69,L$3,$D$3)</f>
        <v>-10.567006783987566</v>
      </c>
      <c r="M69" s="6"/>
      <c r="N69" s="8"/>
      <c r="O69" s="6"/>
      <c r="P69" s="10"/>
      <c r="Q69" s="10"/>
      <c r="R69" s="10"/>
      <c r="S69" s="10"/>
      <c r="T69" s="10"/>
      <c r="U69" s="10"/>
      <c r="V69" s="10"/>
      <c r="W69" s="10"/>
      <c r="X69" s="6"/>
      <c r="Y69" s="6"/>
      <c r="Z69" s="8"/>
      <c r="AA69" s="6"/>
      <c r="AB69" s="10"/>
      <c r="AC69" s="10"/>
      <c r="AD69" s="10"/>
      <c r="AE69" s="10"/>
      <c r="AF69" s="10"/>
      <c r="AG69" s="10"/>
      <c r="AH69" s="10"/>
      <c r="AI69" s="10"/>
      <c r="AJ69" s="6"/>
      <c r="AK69" s="6"/>
      <c r="AL69" s="8"/>
      <c r="AM69" s="6"/>
      <c r="AN69" s="10"/>
      <c r="AO69" s="10"/>
      <c r="AP69" s="10"/>
      <c r="AQ69" s="10"/>
      <c r="AR69" s="10"/>
      <c r="AS69" s="10"/>
      <c r="AT69" s="10"/>
      <c r="AU69" s="10"/>
      <c r="AV69" s="6"/>
      <c r="AW69" s="6"/>
      <c r="AX69" s="8"/>
      <c r="AY69" s="6"/>
      <c r="AZ69" s="10"/>
      <c r="BA69" s="10"/>
      <c r="BB69" s="10"/>
      <c r="BC69" s="10"/>
      <c r="BD69" s="10"/>
      <c r="BE69" s="10"/>
      <c r="BF69" s="10"/>
      <c r="BG69" s="10"/>
      <c r="BH69" s="6"/>
      <c r="BI69" s="6"/>
      <c r="BJ69" s="8"/>
      <c r="BK69" s="6"/>
      <c r="BL69" s="10"/>
      <c r="BM69" s="10"/>
      <c r="BN69" s="10"/>
      <c r="BO69" s="10"/>
      <c r="BP69" s="10"/>
      <c r="BQ69" s="10"/>
      <c r="BR69" s="10"/>
      <c r="BS69" s="10"/>
      <c r="BT69" s="6"/>
      <c r="BU69" s="6"/>
      <c r="BV69" s="8"/>
    </row>
    <row r="70" spans="1:74" ht="16.5">
      <c r="A70" s="8"/>
      <c r="B70" s="6"/>
      <c r="C70" s="34" t="s">
        <v>133</v>
      </c>
      <c r="D70" s="24" t="s">
        <v>134</v>
      </c>
      <c r="E70" s="36">
        <f ca="1">[1]!i_dq_close(D70,$D$3)</f>
        <v>5140.5429000000004</v>
      </c>
      <c r="F70" s="26">
        <f ca="1">[1]!i_dq_pctchange(D70,$F$3)</f>
        <v>0</v>
      </c>
      <c r="G70" s="26">
        <f ca="1">[1]!i_pq_pctchange($D70,G$3,$D$3)</f>
        <v>-1.5817511861544675</v>
      </c>
      <c r="H70" s="26">
        <f ca="1">[1]!i_pq_pctchange($D70,H$3,$D$3)</f>
        <v>-1.0894139041089934</v>
      </c>
      <c r="I70" s="26">
        <f ca="1">[1]!i_pq_pctchange($D70,I$3,$D$3)</f>
        <v>8.2183150975257746</v>
      </c>
      <c r="J70" s="26">
        <f ca="1">[1]!i_pq_pctchange($D70,J$3,$D$3)</f>
        <v>-1.0033083164557532</v>
      </c>
      <c r="K70" s="26">
        <f ca="1">[1]!i_pq_pctchange($D70,K$3,$D$3)</f>
        <v>-5.1334718742791718</v>
      </c>
      <c r="L70" s="26">
        <f ca="1">[1]!i_pq_pctchange($D70,L$3,$D$3)</f>
        <v>5.9010724750360621</v>
      </c>
      <c r="M70" s="6"/>
      <c r="N70" s="8"/>
      <c r="O70" s="6"/>
      <c r="P70" s="10"/>
      <c r="Q70" s="10"/>
      <c r="R70" s="10"/>
      <c r="S70" s="10"/>
      <c r="T70" s="10"/>
      <c r="U70" s="10"/>
      <c r="V70" s="10"/>
      <c r="W70" s="10"/>
      <c r="X70" s="6"/>
      <c r="Y70" s="6"/>
      <c r="Z70" s="8"/>
      <c r="AA70" s="6"/>
      <c r="AB70" s="10"/>
      <c r="AC70" s="10"/>
      <c r="AD70" s="10"/>
      <c r="AE70" s="10"/>
      <c r="AF70" s="10"/>
      <c r="AG70" s="10"/>
      <c r="AH70" s="10"/>
      <c r="AI70" s="10"/>
      <c r="AJ70" s="6"/>
      <c r="AK70" s="6"/>
      <c r="AL70" s="8"/>
      <c r="AM70" s="6"/>
      <c r="AN70" s="10"/>
      <c r="AO70" s="10"/>
      <c r="AP70" s="10"/>
      <c r="AQ70" s="10"/>
      <c r="AR70" s="10"/>
      <c r="AS70" s="10"/>
      <c r="AT70" s="10"/>
      <c r="AU70" s="10"/>
      <c r="AV70" s="6"/>
      <c r="AW70" s="6"/>
      <c r="AX70" s="8"/>
      <c r="AY70" s="6"/>
      <c r="AZ70" s="10"/>
      <c r="BA70" s="10"/>
      <c r="BB70" s="10"/>
      <c r="BC70" s="10"/>
      <c r="BD70" s="10"/>
      <c r="BE70" s="10"/>
      <c r="BF70" s="10"/>
      <c r="BG70" s="10"/>
      <c r="BH70" s="6"/>
      <c r="BI70" s="6"/>
      <c r="BJ70" s="8"/>
      <c r="BK70" s="6"/>
      <c r="BL70" s="10"/>
      <c r="BM70" s="10"/>
      <c r="BN70" s="10"/>
      <c r="BO70" s="10"/>
      <c r="BP70" s="10"/>
      <c r="BQ70" s="10"/>
      <c r="BR70" s="10"/>
      <c r="BS70" s="10"/>
      <c r="BT70" s="6"/>
      <c r="BU70" s="6"/>
      <c r="BV70" s="8"/>
    </row>
    <row r="71" spans="1:74" ht="16.5">
      <c r="A71" s="8"/>
      <c r="B71" s="6"/>
      <c r="C71" s="35" t="s">
        <v>135</v>
      </c>
      <c r="D71" s="27" t="s">
        <v>136</v>
      </c>
      <c r="E71" s="37">
        <f ca="1">[1]!i_dq_close(D71,$D$3)</f>
        <v>4494.7817999999997</v>
      </c>
      <c r="F71" s="29">
        <f ca="1">[1]!i_dq_pctchange(D71,$F$3)</f>
        <v>0</v>
      </c>
      <c r="G71" s="29">
        <f ca="1">[1]!i_pq_pctchange($D71,G$3,$D$3)</f>
        <v>-3.2995369425749099</v>
      </c>
      <c r="H71" s="29">
        <f ca="1">[1]!i_pq_pctchange($D71,H$3,$D$3)</f>
        <v>-4.5741598270404911</v>
      </c>
      <c r="I71" s="29">
        <f ca="1">[1]!i_pq_pctchange($D71,I$3,$D$3)</f>
        <v>2.7736607884748299</v>
      </c>
      <c r="J71" s="29">
        <f ca="1">[1]!i_pq_pctchange($D71,J$3,$D$3)</f>
        <v>-8.5343822822477549</v>
      </c>
      <c r="K71" s="29">
        <f ca="1">[1]!i_pq_pctchange($D71,K$3,$D$3)</f>
        <v>-9.8487997715443587</v>
      </c>
      <c r="L71" s="29">
        <f ca="1">[1]!i_pq_pctchange($D71,L$3,$D$3)</f>
        <v>-0.10833271624918206</v>
      </c>
      <c r="M71" s="6"/>
      <c r="N71" s="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8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8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8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8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</row>
    <row r="72" spans="1:74">
      <c r="A72" s="8"/>
      <c r="B72" s="6"/>
      <c r="C72" s="15"/>
      <c r="D72" s="15"/>
      <c r="E72" s="16"/>
      <c r="F72" s="17"/>
      <c r="G72" s="17"/>
      <c r="H72" s="17"/>
      <c r="I72" s="17"/>
      <c r="J72" s="17"/>
      <c r="K72" s="17"/>
      <c r="L72" s="17"/>
      <c r="M72" s="6"/>
      <c r="N72" s="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8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8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8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8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</row>
    <row r="73" spans="1:7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>
      <c r="E75" s="12"/>
      <c r="F75" s="13"/>
    </row>
    <row r="76" spans="1:74">
      <c r="E76" s="12"/>
      <c r="F76" s="13"/>
    </row>
    <row r="77" spans="1:74">
      <c r="E77" s="12"/>
      <c r="F77" s="13"/>
    </row>
    <row r="78" spans="1:74">
      <c r="E78" s="12"/>
      <c r="F78" s="13"/>
    </row>
    <row r="79" spans="1:74">
      <c r="E79" s="12"/>
      <c r="F79" s="13"/>
    </row>
    <row r="80" spans="1:74">
      <c r="E80" s="12"/>
      <c r="F80" s="13"/>
    </row>
    <row r="81" spans="5:6">
      <c r="E81" s="12"/>
      <c r="F81" s="13"/>
    </row>
    <row r="82" spans="5:6">
      <c r="E82" s="12"/>
      <c r="F82" s="13"/>
    </row>
    <row r="83" spans="5:6">
      <c r="E83" s="12"/>
      <c r="F83" s="13"/>
    </row>
    <row r="84" spans="5:6">
      <c r="E84" s="12"/>
      <c r="F84" s="13"/>
    </row>
    <row r="85" spans="5:6">
      <c r="E85" s="12"/>
      <c r="F85" s="13"/>
    </row>
    <row r="86" spans="5:6">
      <c r="E86" s="12"/>
      <c r="F86" s="13"/>
    </row>
    <row r="87" spans="5:6">
      <c r="E87" s="12"/>
      <c r="F87" s="13"/>
    </row>
  </sheetData>
  <phoneticPr fontId="11" type="noConversion"/>
  <pageMargins left="0.7" right="0.7" top="0.75" bottom="0.75" header="0.3" footer="0.3"/>
  <pageSetup paperSize="9" orientation="portrait" horizontalDpi="120" verticalDpi="12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30"/>
  <sheetViews>
    <sheetView showGridLines="0" workbookViewId="0">
      <pane ySplit="1" topLeftCell="A2" activePane="bottomLeft" state="frozen"/>
      <selection pane="bottomLeft" activeCell="A37" sqref="A37"/>
    </sheetView>
  </sheetViews>
  <sheetFormatPr defaultRowHeight="12.75"/>
  <cols>
    <col min="1" max="1" width="2.5703125" style="2" customWidth="1"/>
    <col min="2" max="2" width="1.5703125" style="2" customWidth="1"/>
    <col min="3" max="3" width="23.7109375" style="2" customWidth="1"/>
    <col min="4" max="4" width="17.7109375" style="2" customWidth="1"/>
    <col min="5" max="5" width="14.7109375" style="2" customWidth="1"/>
    <col min="6" max="6" width="13.42578125" style="2" customWidth="1"/>
    <col min="7" max="7" width="13.28515625" style="2" customWidth="1"/>
    <col min="8" max="12" width="14" style="2" customWidth="1"/>
    <col min="13" max="13" width="2" style="2" customWidth="1"/>
    <col min="14" max="14" width="3" style="2" customWidth="1"/>
    <col min="15" max="16384" width="9.140625" style="2"/>
  </cols>
  <sheetData>
    <row r="1" spans="1:14" ht="27.75" customHeight="1">
      <c r="A1" s="4"/>
      <c r="B1" s="4"/>
      <c r="C1" s="4"/>
      <c r="D1" s="48" t="s">
        <v>137</v>
      </c>
      <c r="E1" s="4"/>
      <c r="F1" s="4"/>
      <c r="G1" s="4"/>
      <c r="H1" s="4"/>
      <c r="I1" s="4"/>
      <c r="J1" s="4"/>
      <c r="K1" s="5" t="s">
        <v>3</v>
      </c>
      <c r="L1" s="4"/>
      <c r="M1" s="4"/>
      <c r="N1" s="4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6.5">
      <c r="A3" s="8"/>
      <c r="B3" s="39"/>
      <c r="C3" s="38" t="s">
        <v>13</v>
      </c>
      <c r="D3" s="49">
        <f ca="1">TODAY()-3</f>
        <v>45396</v>
      </c>
      <c r="E3" s="50"/>
      <c r="F3" s="49">
        <f ca="1">D3</f>
        <v>45396</v>
      </c>
      <c r="G3" s="49">
        <f ca="1">D3-7</f>
        <v>45389</v>
      </c>
      <c r="H3" s="49">
        <f ca="1">DATE(YEAR($D3),MONTH($D3)-1,DAY($D3))</f>
        <v>45365</v>
      </c>
      <c r="I3" s="49">
        <f ca="1">DATE(YEAR($D3),MONTH($D3)-3,DAY($D3))</f>
        <v>45305</v>
      </c>
      <c r="J3" s="49">
        <f ca="1">DATE(YEAR($D3),MONTH($D3)-6,DAY($D3))</f>
        <v>45213</v>
      </c>
      <c r="K3" s="49">
        <f ca="1">DATE(YEAR($D3),MONTH($D3)-12,DAY($D3))</f>
        <v>45030</v>
      </c>
      <c r="L3" s="49">
        <f ca="1">DATE(YEAR($D$3),1,1)</f>
        <v>45292</v>
      </c>
      <c r="M3" s="8"/>
      <c r="N3" s="8"/>
    </row>
    <row r="4" spans="1:1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7.5" customHeight="1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/>
    </row>
    <row r="6" spans="1:14" ht="22.5" customHeight="1">
      <c r="A6" s="8"/>
      <c r="B6" s="6"/>
      <c r="C6" s="14" t="s">
        <v>138</v>
      </c>
      <c r="D6" s="9"/>
      <c r="E6" s="9"/>
      <c r="F6" s="9"/>
      <c r="G6" s="9"/>
      <c r="H6" s="9"/>
      <c r="I6" s="9"/>
      <c r="J6" s="9"/>
      <c r="K6" s="9"/>
      <c r="L6" s="9"/>
      <c r="M6" s="6"/>
      <c r="N6" s="8"/>
    </row>
    <row r="7" spans="1:14" ht="8.25" customHeight="1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</row>
    <row r="8" spans="1:14" ht="18.75" customHeight="1">
      <c r="A8" s="8"/>
      <c r="B8" s="6"/>
      <c r="C8" s="19" t="s">
        <v>4</v>
      </c>
      <c r="D8" s="19" t="s">
        <v>5</v>
      </c>
      <c r="E8" s="20" t="s">
        <v>6</v>
      </c>
      <c r="F8" s="20" t="s">
        <v>1</v>
      </c>
      <c r="G8" s="20" t="s">
        <v>7</v>
      </c>
      <c r="H8" s="20" t="s">
        <v>8</v>
      </c>
      <c r="I8" s="20" t="s">
        <v>9</v>
      </c>
      <c r="J8" s="20" t="s">
        <v>10</v>
      </c>
      <c r="K8" s="20" t="s">
        <v>11</v>
      </c>
      <c r="L8" s="20" t="s">
        <v>12</v>
      </c>
      <c r="M8" s="6"/>
      <c r="N8" s="8"/>
    </row>
    <row r="9" spans="1:14" ht="16.5">
      <c r="A9" s="8"/>
      <c r="B9" s="6"/>
      <c r="C9" s="34" t="s">
        <v>237</v>
      </c>
      <c r="D9" s="24" t="str">
        <f>[1]!to_windcode(C9)</f>
        <v>SPTAUUSDOZ.IDC</v>
      </c>
      <c r="E9" s="25">
        <f ca="1">[1]!i_dq_close(D9,$D$3)</f>
        <v>2343.2849999999999</v>
      </c>
      <c r="F9" s="26">
        <f ca="1">[1]!i_dq_pctchange(D9,$F$3)</f>
        <v>0</v>
      </c>
      <c r="G9" s="26">
        <f ca="1">[1]!i_pq_pctchange($D9,G$3,$D$3)</f>
        <v>0.5887352601553042</v>
      </c>
      <c r="H9" s="26">
        <f ca="1">[1]!i_pq_pctchange($D9,H$3,$D$3)</f>
        <v>7.7804526688400877</v>
      </c>
      <c r="I9" s="26">
        <f ca="1">[1]!i_pq_pctchange($D9,I$3,$D$3)</f>
        <v>14.380514234810281</v>
      </c>
      <c r="J9" s="26">
        <f ca="1">[1]!i_pq_pctchange($D9,J$3,$D$3)</f>
        <v>21.262937280066229</v>
      </c>
      <c r="K9" s="26">
        <f ca="1">[1]!i_pq_pctchange($D9,K$3,$D$3)</f>
        <v>14.908594294008616</v>
      </c>
      <c r="L9" s="26">
        <f ca="1">[1]!i_pq_pctchange($D9,L$3,$D$3)</f>
        <v>13.608364980299115</v>
      </c>
      <c r="M9" s="6"/>
      <c r="N9" s="8"/>
    </row>
    <row r="10" spans="1:14" ht="16.5">
      <c r="A10" s="8"/>
      <c r="B10" s="6"/>
      <c r="C10" s="35" t="s">
        <v>238</v>
      </c>
      <c r="D10" s="27" t="str">
        <f>[1]!to_windcode(C10)</f>
        <v>SPTAGUSDOZ.IDC</v>
      </c>
      <c r="E10" s="28">
        <f ca="1">[1]!i_dq_close(D10,$D$3)</f>
        <v>27.844999999999999</v>
      </c>
      <c r="F10" s="29">
        <f ca="1">[1]!i_dq_pctchange(D10,$F$3)</f>
        <v>0</v>
      </c>
      <c r="G10" s="29">
        <f ca="1">[1]!i_pq_pctchange($D10,G$3,$D$3)</f>
        <v>1.3946544315781795</v>
      </c>
      <c r="H10" s="29">
        <f ca="1">[1]!i_pq_pctchange($D10,H$3,$D$3)</f>
        <v>11.406737617028085</v>
      </c>
      <c r="I10" s="29">
        <f ca="1">[1]!i_pq_pctchange($D10,I$3,$D$3)</f>
        <v>20.151024811218974</v>
      </c>
      <c r="J10" s="29">
        <f ca="1">[1]!i_pq_pctchange($D10,J$3,$D$3)</f>
        <v>22.665198237885463</v>
      </c>
      <c r="K10" s="29">
        <f ca="1">[1]!i_pq_pctchange($D10,K$3,$D$3)</f>
        <v>7.8845408756295976</v>
      </c>
      <c r="L10" s="29">
        <f ca="1">[1]!i_pq_pctchange($D10,L$3,$D$3)</f>
        <v>17.100598434733595</v>
      </c>
      <c r="M10" s="6"/>
      <c r="N10" s="8"/>
    </row>
    <row r="11" spans="1:14" ht="16.5">
      <c r="A11" s="8"/>
      <c r="B11" s="6"/>
      <c r="C11" s="34" t="s">
        <v>239</v>
      </c>
      <c r="D11" s="24" t="str">
        <f>[1]!to_windcode(C11)</f>
        <v>GC.CMX</v>
      </c>
      <c r="E11" s="25">
        <f ca="1">[1]!i_dq_close(D11,$D$3)</f>
        <v>2360.1999999999998</v>
      </c>
      <c r="F11" s="26">
        <f ca="1">[1]!i_dq_pctchange(D11,$F$3)</f>
        <v>0</v>
      </c>
      <c r="G11" s="26">
        <f ca="1">[1]!i_pq_pctchange($D11,G$3,$D$3)</f>
        <v>0.63102242687813281</v>
      </c>
      <c r="H11" s="26">
        <f ca="1">[1]!i_pq_pctchange($D11,H$3,$D$3)</f>
        <v>8.2263389581804667</v>
      </c>
      <c r="I11" s="26">
        <f ca="1">[1]!i_pq_pctchange($D11,I$3,$D$3)</f>
        <v>15.041918502632088</v>
      </c>
      <c r="J11" s="26">
        <f ca="1">[1]!i_pq_pctchange($D11,J$3,$D$3)</f>
        <v>21.565799639454021</v>
      </c>
      <c r="K11" s="26">
        <f ca="1">[1]!i_pq_pctchange($D11,K$3,$D$3)</f>
        <v>14.834817301610451</v>
      </c>
      <c r="L11" s="26">
        <f ca="1">[1]!i_pq_pctchange($D11,L$3,$D$3)</f>
        <v>13.920262573607472</v>
      </c>
      <c r="M11" s="6"/>
      <c r="N11" s="8"/>
    </row>
    <row r="12" spans="1:14" ht="16.5">
      <c r="A12" s="8"/>
      <c r="B12" s="6"/>
      <c r="C12" s="35" t="s">
        <v>240</v>
      </c>
      <c r="D12" s="27" t="str">
        <f>[1]!to_windcode(C12)</f>
        <v>SI.CMX</v>
      </c>
      <c r="E12" s="28">
        <f ca="1">[1]!i_dq_close(D12,$D$3)</f>
        <v>27.97</v>
      </c>
      <c r="F12" s="29">
        <f ca="1">[1]!i_dq_pctchange(D12,$F$3)</f>
        <v>0</v>
      </c>
      <c r="G12" s="29">
        <f ca="1">[1]!i_pq_pctchange($D12,G$3,$D$3)</f>
        <v>1.6979965821910292</v>
      </c>
      <c r="H12" s="29">
        <f ca="1">[1]!i_pq_pctchange($D12,H$3,$D$3)</f>
        <v>11.186198123708062</v>
      </c>
      <c r="I12" s="29">
        <f ca="1">[1]!i_pq_pctchange($D12,I$3,$D$3)</f>
        <v>19.893694543272314</v>
      </c>
      <c r="J12" s="29">
        <f ca="1">[1]!i_pq_pctchange($D12,J$3,$D$3)</f>
        <v>22.16641188032321</v>
      </c>
      <c r="K12" s="29">
        <f ca="1">[1]!i_pq_pctchange($D12,K$3,$D$3)</f>
        <v>7.8881388621022106</v>
      </c>
      <c r="L12" s="29">
        <f ca="1">[1]!i_pq_pctchange($D12,L$3,$D$3)</f>
        <v>16.125550112098317</v>
      </c>
      <c r="M12" s="6"/>
      <c r="N12" s="8"/>
    </row>
    <row r="13" spans="1:14" ht="16.5">
      <c r="A13" s="8"/>
      <c r="B13" s="6"/>
      <c r="C13" s="34" t="s">
        <v>241</v>
      </c>
      <c r="D13" s="24" t="str">
        <f>[1]!to_windcode(C13)</f>
        <v>AU.SHF</v>
      </c>
      <c r="E13" s="25">
        <f ca="1">[1]!i_dq_close(D13,$D$3)</f>
        <v>570.5</v>
      </c>
      <c r="F13" s="26">
        <f ca="1">[1]!i_dq_pctchange(D13,$F$3)</f>
        <v>0</v>
      </c>
      <c r="G13" s="26">
        <f ca="1">[1]!i_pq_pctchange($D13,G$3,$D$3)</f>
        <v>6.1237397224599048</v>
      </c>
      <c r="H13" s="26">
        <f ca="1">[1]!i_pq_pctchange($D13,H$3,$D$3)</f>
        <v>12.974771278070415</v>
      </c>
      <c r="I13" s="26">
        <f ca="1">[1]!i_pq_pctchange($D13,I$3,$D$3)</f>
        <v>18.869025294828521</v>
      </c>
      <c r="J13" s="26">
        <f ca="1">[1]!i_pq_pctchange($D13,J$3,$D$3)</f>
        <v>25.727256699576873</v>
      </c>
      <c r="K13" s="26">
        <f ca="1">[1]!i_pq_pctchange($D13,K$3,$D$3)</f>
        <v>27.480336074365397</v>
      </c>
      <c r="L13" s="26">
        <f ca="1">[1]!i_pq_pctchange($D13,L$3,$D$3)</f>
        <v>18.50359353578995</v>
      </c>
      <c r="M13" s="6"/>
      <c r="N13" s="8"/>
    </row>
    <row r="14" spans="1:14" ht="16.5">
      <c r="A14" s="8"/>
      <c r="B14" s="6"/>
      <c r="C14" s="35" t="s">
        <v>242</v>
      </c>
      <c r="D14" s="27" t="str">
        <f>[1]!to_windcode(C14)</f>
        <v>AG.SHF</v>
      </c>
      <c r="E14" s="28">
        <f ca="1">[1]!i_dq_close(D14,$D$3)</f>
        <v>7472</v>
      </c>
      <c r="F14" s="29">
        <f ca="1">[1]!i_dq_pctchange(D14,$F$3)</f>
        <v>0</v>
      </c>
      <c r="G14" s="29">
        <f ca="1">[1]!i_pq_pctchange($D14,G$3,$D$3)</f>
        <v>12.158510957670369</v>
      </c>
      <c r="H14" s="29">
        <f ca="1">[1]!i_pq_pctchange($D14,H$3,$D$3)</f>
        <v>21.97192295135488</v>
      </c>
      <c r="I14" s="29">
        <f ca="1">[1]!i_pq_pctchange($D14,I$3,$D$3)</f>
        <v>27.03162189731384</v>
      </c>
      <c r="J14" s="29">
        <f ca="1">[1]!i_pq_pctchange($D14,J$3,$D$3)</f>
        <v>31.711616428697337</v>
      </c>
      <c r="K14" s="29">
        <f ca="1">[1]!i_pq_pctchange($D14,K$3,$D$3)</f>
        <v>31.758067360253921</v>
      </c>
      <c r="L14" s="29">
        <f ca="1">[1]!i_pq_pctchange($D14,L$3,$D$3)</f>
        <v>24.284763805721891</v>
      </c>
      <c r="M14" s="6"/>
      <c r="N14" s="8"/>
    </row>
    <row r="15" spans="1:14" ht="16.5">
      <c r="A15" s="8"/>
      <c r="B15" s="6"/>
      <c r="C15" s="34" t="s">
        <v>243</v>
      </c>
      <c r="D15" s="24" t="str">
        <f>[1]!to_windcode(C15)</f>
        <v>B.IPE</v>
      </c>
      <c r="E15" s="25">
        <f ca="1">[1]!i_dq_close(D15,$D$3)</f>
        <v>90.15</v>
      </c>
      <c r="F15" s="26">
        <f ca="1">[1]!i_dq_pctchange(D15,$F$3)</f>
        <v>0</v>
      </c>
      <c r="G15" s="26">
        <f ca="1">[1]!i_pq_pctchange($D15,G$3,$D$3)</f>
        <v>-1.1187890753537304</v>
      </c>
      <c r="H15" s="26">
        <f ca="1">[1]!i_pq_pctchange($D15,H$3,$D$3)</f>
        <v>7.2831131738664814</v>
      </c>
      <c r="I15" s="26">
        <f ca="1">[1]!i_pq_pctchange($D15,I$3,$D$3)</f>
        <v>15.148805722314471</v>
      </c>
      <c r="J15" s="26">
        <f ca="1">[1]!i_pq_pctchange($D15,J$3,$D$3)</f>
        <v>-0.81417097590493448</v>
      </c>
      <c r="K15" s="26">
        <f ca="1">[1]!i_pq_pctchange($D15,K$3,$D$3)</f>
        <v>4.7159948890695809</v>
      </c>
      <c r="L15" s="26">
        <f ca="1">[1]!i_pq_pctchange($D15,L$3,$D$3)</f>
        <v>17.017133956386292</v>
      </c>
      <c r="M15" s="6"/>
      <c r="N15" s="8"/>
    </row>
    <row r="16" spans="1:14" ht="16.5">
      <c r="A16" s="8"/>
      <c r="B16" s="6"/>
      <c r="C16" s="35" t="s">
        <v>244</v>
      </c>
      <c r="D16" s="27">
        <f>[1]!to_windcode(C16)</f>
        <v>0</v>
      </c>
      <c r="E16" s="28">
        <f ca="1">[1]!i_dq_close(D16,$D$3)</f>
        <v>0</v>
      </c>
      <c r="F16" s="29">
        <f ca="1">[1]!i_dq_pctchange(D16,$F$3)</f>
        <v>0</v>
      </c>
      <c r="G16" s="29">
        <f ca="1">[1]!i_pq_pctchange($D16,G$3,$D$3)</f>
        <v>0</v>
      </c>
      <c r="H16" s="29">
        <f ca="1">[1]!i_pq_pctchange($D16,H$3,$D$3)</f>
        <v>0</v>
      </c>
      <c r="I16" s="29">
        <f ca="1">[1]!i_pq_pctchange($D16,I$3,$D$3)</f>
        <v>0</v>
      </c>
      <c r="J16" s="29">
        <f ca="1">[1]!i_pq_pctchange($D16,J$3,$D$3)</f>
        <v>0</v>
      </c>
      <c r="K16" s="29">
        <f ca="1">[1]!i_pq_pctchange($D16,K$3,$D$3)</f>
        <v>0</v>
      </c>
      <c r="L16" s="29">
        <f ca="1">[1]!i_pq_pctchange($D16,L$3,$D$3)</f>
        <v>0</v>
      </c>
      <c r="M16" s="6"/>
      <c r="N16" s="8"/>
    </row>
    <row r="17" spans="1:14" ht="16.5">
      <c r="A17" s="8"/>
      <c r="B17" s="6"/>
      <c r="C17" s="34" t="s">
        <v>245</v>
      </c>
      <c r="D17" s="24" t="s">
        <v>267</v>
      </c>
      <c r="E17" s="25">
        <f ca="1">[1]!i_dq_close(D17,$D$3)</f>
        <v>9407</v>
      </c>
      <c r="F17" s="26">
        <f ca="1">[1]!i_dq_pctchange(D17,$F$3)</f>
        <v>0</v>
      </c>
      <c r="G17" s="26">
        <f ca="1">[1]!i_pq_pctchange($D17,G$3,$D$3)</f>
        <v>0.83069832252532294</v>
      </c>
      <c r="H17" s="26">
        <f ca="1">[1]!i_pq_pctchange($D17,H$3,$D$3)</f>
        <v>5.3769463425562902</v>
      </c>
      <c r="I17" s="26">
        <f ca="1">[1]!i_pq_pctchange($D17,I$3,$D$3)</f>
        <v>12.807291042091379</v>
      </c>
      <c r="J17" s="26">
        <f ca="1">[1]!i_pq_pctchange($D17,J$3,$D$3)</f>
        <v>18.341929802490881</v>
      </c>
      <c r="K17" s="26">
        <f ca="1">[1]!i_pq_pctchange($D17,K$3,$D$3)</f>
        <v>3.8472153226251589</v>
      </c>
      <c r="L17" s="26">
        <f ca="1">[1]!i_pq_pctchange($D17,L$3,$D$3)</f>
        <v>9.9076994976048596</v>
      </c>
      <c r="M17" s="6"/>
      <c r="N17" s="8"/>
    </row>
    <row r="18" spans="1:14" ht="16.5">
      <c r="A18" s="8"/>
      <c r="B18" s="6"/>
      <c r="C18" s="35" t="s">
        <v>246</v>
      </c>
      <c r="D18" s="27" t="str">
        <f>[1]!to_windcode(C18)</f>
        <v>AH.LME</v>
      </c>
      <c r="E18" s="28">
        <f ca="1">[1]!i_dq_close(D18,$D$3)</f>
        <v>2478.5</v>
      </c>
      <c r="F18" s="29">
        <f ca="1">[1]!i_dq_pctchange(D18,$F$3)</f>
        <v>0</v>
      </c>
      <c r="G18" s="29">
        <f ca="1">[1]!i_pq_pctchange($D18,G$3,$D$3)</f>
        <v>1.1426239542950418</v>
      </c>
      <c r="H18" s="29">
        <f ca="1">[1]!i_pq_pctchange($D18,H$3,$D$3)</f>
        <v>9.4743816254416959</v>
      </c>
      <c r="I18" s="29">
        <f ca="1">[1]!i_pq_pctchange($D18,I$3,$D$3)</f>
        <v>11.669294886235638</v>
      </c>
      <c r="J18" s="29">
        <f ca="1">[1]!i_pq_pctchange($D18,J$3,$D$3)</f>
        <v>12.684701068424642</v>
      </c>
      <c r="K18" s="29">
        <f ca="1">[1]!i_pq_pctchange($D18,K$3,$D$3)</f>
        <v>4.7106041402619345</v>
      </c>
      <c r="L18" s="29">
        <f ca="1">[1]!i_pq_pctchange($D18,L$3,$D$3)</f>
        <v>3.9639261744966445</v>
      </c>
      <c r="M18" s="6"/>
      <c r="N18" s="8"/>
    </row>
    <row r="19" spans="1:14" ht="16.5">
      <c r="A19" s="8"/>
      <c r="B19" s="6"/>
      <c r="C19" s="34" t="s">
        <v>247</v>
      </c>
      <c r="D19" s="24" t="str">
        <f>[1]!to_windcode(C19)</f>
        <v>CU.SHF</v>
      </c>
      <c r="E19" s="25">
        <f ca="1">[1]!i_dq_close(D19,$D$3)</f>
        <v>76910</v>
      </c>
      <c r="F19" s="26">
        <f ca="1">[1]!i_dq_pctchange(D19,$F$3)</f>
        <v>0</v>
      </c>
      <c r="G19" s="26">
        <f ca="1">[1]!i_pq_pctchange($D19,G$3,$D$3)</f>
        <v>4.4688943221950561</v>
      </c>
      <c r="H19" s="26">
        <f ca="1">[1]!i_pq_pctchange($D19,H$3,$D$3)</f>
        <v>9.8243609881479372</v>
      </c>
      <c r="I19" s="26">
        <f ca="1">[1]!i_pq_pctchange($D19,I$3,$D$3)</f>
        <v>12.953443971214568</v>
      </c>
      <c r="J19" s="26">
        <f ca="1">[1]!i_pq_pctchange($D19,J$3,$D$3)</f>
        <v>15.776004817100709</v>
      </c>
      <c r="K19" s="26">
        <f ca="1">[1]!i_pq_pctchange($D19,K$3,$D$3)</f>
        <v>11.221981200289227</v>
      </c>
      <c r="L19" s="26">
        <f ca="1">[1]!i_pq_pctchange($D19,L$3,$D$3)</f>
        <v>11.512251703639263</v>
      </c>
      <c r="M19" s="6"/>
      <c r="N19" s="8"/>
    </row>
    <row r="20" spans="1:14" ht="16.5">
      <c r="A20" s="8"/>
      <c r="B20" s="6"/>
      <c r="C20" s="35" t="s">
        <v>248</v>
      </c>
      <c r="D20" s="27" t="str">
        <f>[1]!to_windcode(C20)</f>
        <v>AL.SHF</v>
      </c>
      <c r="E20" s="28">
        <f ca="1">[1]!i_dq_close(D20,$D$3)</f>
        <v>20735</v>
      </c>
      <c r="F20" s="29">
        <f ca="1">[1]!i_dq_pctchange(D20,$F$3)</f>
        <v>0</v>
      </c>
      <c r="G20" s="29">
        <f ca="1">[1]!i_pq_pctchange($D20,G$3,$D$3)</f>
        <v>4.2745788282625092</v>
      </c>
      <c r="H20" s="29">
        <f ca="1">[1]!i_pq_pctchange($D20,H$3,$D$3)</f>
        <v>7.9666753449622503</v>
      </c>
      <c r="I20" s="29">
        <f ca="1">[1]!i_pq_pctchange($D20,I$3,$D$3)</f>
        <v>9.1028676664035775</v>
      </c>
      <c r="J20" s="29">
        <f ca="1">[1]!i_pq_pctchange($D20,J$3,$D$3)</f>
        <v>9.3329818085947807</v>
      </c>
      <c r="K20" s="29">
        <f ca="1">[1]!i_pq_pctchange($D20,K$3,$D$3)</f>
        <v>12.141698215251488</v>
      </c>
      <c r="L20" s="29">
        <f ca="1">[1]!i_pq_pctchange($D20,L$3,$D$3)</f>
        <v>6.3878912262698817</v>
      </c>
      <c r="M20" s="6"/>
      <c r="N20" s="8"/>
    </row>
    <row r="21" spans="1:14" ht="16.5">
      <c r="A21" s="8"/>
      <c r="B21" s="6"/>
      <c r="C21" s="34" t="s">
        <v>249</v>
      </c>
      <c r="D21" s="24" t="str">
        <f>[1]!to_windcode(C21)</f>
        <v>RB.SHF</v>
      </c>
      <c r="E21" s="25">
        <f ca="1">[1]!i_dq_close(D21,$D$3)</f>
        <v>3628</v>
      </c>
      <c r="F21" s="26">
        <f ca="1">[1]!i_dq_pctchange(D21,$F$3)</f>
        <v>0</v>
      </c>
      <c r="G21" s="26">
        <f ca="1">[1]!i_pq_pctchange($D21,G$3,$D$3)</f>
        <v>3.3912795668281563</v>
      </c>
      <c r="H21" s="26">
        <f ca="1">[1]!i_pq_pctchange($D21,H$3,$D$3)</f>
        <v>0.41516745087185164</v>
      </c>
      <c r="I21" s="26">
        <f ca="1">[1]!i_pq_pctchange($D21,I$3,$D$3)</f>
        <v>-7.3307790549169862</v>
      </c>
      <c r="J21" s="26">
        <f ca="1">[1]!i_pq_pctchange($D21,J$3,$D$3)</f>
        <v>0.24868748273003594</v>
      </c>
      <c r="K21" s="26">
        <f ca="1">[1]!i_pq_pctchange($D21,K$3,$D$3)</f>
        <v>-6.5189384179335219</v>
      </c>
      <c r="L21" s="26">
        <f ca="1">[1]!i_pq_pctchange($D21,L$3,$D$3)</f>
        <v>-9.3000000000000007</v>
      </c>
      <c r="M21" s="6"/>
      <c r="N21" s="8"/>
    </row>
    <row r="22" spans="1:14" ht="16.5">
      <c r="A22" s="8"/>
      <c r="B22" s="6"/>
      <c r="C22" s="35" t="s">
        <v>250</v>
      </c>
      <c r="D22" s="27" t="str">
        <f>[1]!to_windcode(C22)</f>
        <v>I.DCE</v>
      </c>
      <c r="E22" s="28">
        <f ca="1">[1]!i_dq_close(D22,$D$3)</f>
        <v>843.5</v>
      </c>
      <c r="F22" s="29">
        <f ca="1">[1]!i_dq_pctchange(D22,$F$3)</f>
        <v>0</v>
      </c>
      <c r="G22" s="29">
        <f ca="1">[1]!i_pq_pctchange($D22,G$3,$D$3)</f>
        <v>9.973924380704041</v>
      </c>
      <c r="H22" s="29">
        <f ca="1">[1]!i_pq_pctchange($D22,H$3,$D$3)</f>
        <v>2.9286150091519221</v>
      </c>
      <c r="I22" s="29">
        <f ca="1">[1]!i_pq_pctchange($D22,I$3,$D$3)</f>
        <v>-12.454592631032693</v>
      </c>
      <c r="J22" s="29">
        <f ca="1">[1]!i_pq_pctchange($D22,J$3,$D$3)</f>
        <v>0.65632458233890212</v>
      </c>
      <c r="K22" s="29">
        <f ca="1">[1]!i_pq_pctchange($D22,K$3,$D$3)</f>
        <v>8.8387096774193559</v>
      </c>
      <c r="L22" s="29">
        <f ca="1">[1]!i_pq_pctchange($D22,L$3,$D$3)</f>
        <v>-13.35387776065742</v>
      </c>
      <c r="M22" s="6"/>
      <c r="N22" s="8"/>
    </row>
    <row r="23" spans="1:14" ht="16.5">
      <c r="A23" s="8"/>
      <c r="B23" s="6"/>
      <c r="C23" s="34" t="s">
        <v>251</v>
      </c>
      <c r="D23" s="24" t="str">
        <f>[1]!to_windcode(C23)</f>
        <v>ZC.CZC</v>
      </c>
      <c r="E23" s="25">
        <f ca="1">[1]!i_dq_close(D23,$D$3)</f>
        <v>0</v>
      </c>
      <c r="F23" s="26">
        <f ca="1">[1]!i_dq_pctchange(D23,$F$3)</f>
        <v>0</v>
      </c>
      <c r="G23" s="26">
        <f ca="1">[1]!i_pq_pctchange($D23,G$3,$D$3)</f>
        <v>0</v>
      </c>
      <c r="H23" s="26">
        <f ca="1">[1]!i_pq_pctchange($D23,H$3,$D$3)</f>
        <v>0</v>
      </c>
      <c r="I23" s="26">
        <f ca="1">[1]!i_pq_pctchange($D23,I$3,$D$3)</f>
        <v>0</v>
      </c>
      <c r="J23" s="26">
        <f ca="1">[1]!i_pq_pctchange($D23,J$3,$D$3)</f>
        <v>0</v>
      </c>
      <c r="K23" s="26">
        <f ca="1">[1]!i_pq_pctchange($D23,K$3,$D$3)</f>
        <v>0</v>
      </c>
      <c r="L23" s="26">
        <f ca="1">[1]!i_pq_pctchange($D23,L$3,$D$3)</f>
        <v>0</v>
      </c>
      <c r="M23" s="6"/>
      <c r="N23" s="8"/>
    </row>
    <row r="24" spans="1:14" ht="16.5">
      <c r="A24" s="8"/>
      <c r="B24" s="6"/>
      <c r="C24" s="35" t="s">
        <v>252</v>
      </c>
      <c r="D24" s="27" t="str">
        <f>[1]!to_windcode(C24)</f>
        <v>S.CBT</v>
      </c>
      <c r="E24" s="28">
        <f ca="1">[1]!i_dq_close(D24,$D$3)</f>
        <v>1172</v>
      </c>
      <c r="F24" s="29">
        <f ca="1">[1]!i_dq_pctchange(D24,$F$3)</f>
        <v>0</v>
      </c>
      <c r="G24" s="29">
        <f ca="1">[1]!i_pq_pctchange($D24,G$3,$D$3)</f>
        <v>-1.0970464135021099</v>
      </c>
      <c r="H24" s="29">
        <f ca="1">[1]!i_pq_pctchange($D24,H$3,$D$3)</f>
        <v>-2.0681011071652393</v>
      </c>
      <c r="I24" s="29">
        <f ca="1">[1]!i_pq_pctchange($D24,I$3,$D$3)</f>
        <v>-4.2679191341637734</v>
      </c>
      <c r="J24" s="29">
        <f ca="1">[1]!i_pq_pctchange($D24,J$3,$D$3)</f>
        <v>-8.4553798086311271</v>
      </c>
      <c r="K24" s="29">
        <f ca="1">[1]!i_pq_pctchange($D24,K$3,$D$3)</f>
        <v>-21.918720852764821</v>
      </c>
      <c r="L24" s="29">
        <f ca="1">[1]!i_pq_pctchange($D24,L$3,$D$3)</f>
        <v>-9.7072419106317405</v>
      </c>
      <c r="M24" s="6"/>
      <c r="N24" s="8"/>
    </row>
    <row r="25" spans="1:14" ht="16.5">
      <c r="A25" s="8"/>
      <c r="B25" s="6"/>
      <c r="C25" s="34" t="s">
        <v>253</v>
      </c>
      <c r="D25" s="24" t="str">
        <f>[1]!to_windcode(C25)</f>
        <v>W.CBT</v>
      </c>
      <c r="E25" s="25">
        <f ca="1">[1]!i_dq_close(D25,$D$3)</f>
        <v>555.25</v>
      </c>
      <c r="F25" s="26">
        <f ca="1">[1]!i_dq_pctchange(D25,$F$3)</f>
        <v>0</v>
      </c>
      <c r="G25" s="26">
        <f ca="1">[1]!i_pq_pctchange($D25,G$3,$D$3)</f>
        <v>-2.1154693697664166</v>
      </c>
      <c r="H25" s="26">
        <f ca="1">[1]!i_pq_pctchange($D25,H$3,$D$3)</f>
        <v>2.0211299954065227</v>
      </c>
      <c r="I25" s="26">
        <f ca="1">[1]!i_pq_pctchange($D25,I$3,$D$3)</f>
        <v>-6.8372483221476514</v>
      </c>
      <c r="J25" s="26">
        <f ca="1">[1]!i_pq_pctchange($D25,J$3,$D$3)</f>
        <v>-4.2259594652867616</v>
      </c>
      <c r="K25" s="26">
        <f ca="1">[1]!i_pq_pctchange($D25,K$3,$D$3)</f>
        <v>-16.754122938530735</v>
      </c>
      <c r="L25" s="26">
        <f ca="1">[1]!i_pq_pctchange($D25,L$3,$D$3)</f>
        <v>-11.584394904458598</v>
      </c>
      <c r="M25" s="6"/>
      <c r="N25" s="8"/>
    </row>
    <row r="26" spans="1:14" ht="16.5">
      <c r="A26" s="8"/>
      <c r="B26" s="6"/>
      <c r="C26" s="35" t="s">
        <v>254</v>
      </c>
      <c r="D26" s="27" t="str">
        <f>[1]!to_windcode(C26)</f>
        <v>C.CBT</v>
      </c>
      <c r="E26" s="28">
        <f ca="1">[1]!i_dq_close(D26,$D$3)</f>
        <v>434.75</v>
      </c>
      <c r="F26" s="29">
        <f ca="1">[1]!i_dq_pctchange(D26,$F$3)</f>
        <v>0</v>
      </c>
      <c r="G26" s="29">
        <f ca="1">[1]!i_pq_pctchange($D26,G$3,$D$3)</f>
        <v>0.11514104778353484</v>
      </c>
      <c r="H26" s="29">
        <f ca="1">[1]!i_pq_pctchange($D26,H$3,$D$3)</f>
        <v>-1.4730878186968839</v>
      </c>
      <c r="I26" s="29">
        <f ca="1">[1]!i_pq_pctchange($D26,I$3,$D$3)</f>
        <v>-2.7404921700223714</v>
      </c>
      <c r="J26" s="29">
        <f ca="1">[1]!i_pq_pctchange($D26,J$3,$D$3)</f>
        <v>-11.860111505321845</v>
      </c>
      <c r="K26" s="29">
        <f ca="1">[1]!i_pq_pctchange($D26,K$3,$D$3)</f>
        <v>-33.346109620544269</v>
      </c>
      <c r="L26" s="29">
        <f ca="1">[1]!i_pq_pctchange($D26,L$3,$D$3)</f>
        <v>-7.7453580901856762</v>
      </c>
      <c r="M26" s="6"/>
      <c r="N26" s="8"/>
    </row>
    <row r="27" spans="1:14" ht="16.5">
      <c r="A27" s="8"/>
      <c r="B27" s="6"/>
      <c r="C27" s="34" t="s">
        <v>255</v>
      </c>
      <c r="D27" s="24" t="str">
        <f>[1]!to_windcode(C27)</f>
        <v>A.DCE</v>
      </c>
      <c r="E27" s="25">
        <f ca="1">[1]!i_dq_close(D27,$D$3)</f>
        <v>4753</v>
      </c>
      <c r="F27" s="26">
        <f ca="1">[1]!i_dq_pctchange(D27,$F$3)</f>
        <v>0</v>
      </c>
      <c r="G27" s="26">
        <f ca="1">[1]!i_pq_pctchange($D27,G$3,$D$3)</f>
        <v>-0.71025694589513266</v>
      </c>
      <c r="H27" s="26">
        <f ca="1">[1]!i_pq_pctchange($D27,H$3,$D$3)</f>
        <v>0.7631969472122111</v>
      </c>
      <c r="I27" s="26">
        <f ca="1">[1]!i_pq_pctchange($D27,I$3,$D$3)</f>
        <v>-0.62722140915743263</v>
      </c>
      <c r="J27" s="26">
        <f ca="1">[1]!i_pq_pctchange($D27,J$3,$D$3)</f>
        <v>-5.8811881188118811</v>
      </c>
      <c r="K27" s="26">
        <f ca="1">[1]!i_pq_pctchange($D27,K$3,$D$3)</f>
        <v>-6.8769592476489034</v>
      </c>
      <c r="L27" s="26">
        <f ca="1">[1]!i_pq_pctchange($D27,L$3,$D$3)</f>
        <v>-4.8448448448448449</v>
      </c>
      <c r="M27" s="6"/>
      <c r="N27" s="8"/>
    </row>
    <row r="28" spans="1:14" ht="16.5">
      <c r="A28" s="8"/>
      <c r="B28" s="6"/>
      <c r="C28" s="35" t="s">
        <v>256</v>
      </c>
      <c r="D28" s="27" t="str">
        <f>[1]!to_windcode(C28)</f>
        <v>C.DCE</v>
      </c>
      <c r="E28" s="28">
        <f ca="1">[1]!i_dq_close(D28,$D$3)</f>
        <v>2393</v>
      </c>
      <c r="F28" s="29">
        <f ca="1">[1]!i_dq_pctchange(D28,$F$3)</f>
        <v>0</v>
      </c>
      <c r="G28" s="29">
        <f ca="1">[1]!i_pq_pctchange($D28,G$3,$D$3)</f>
        <v>-1.7248459958932241</v>
      </c>
      <c r="H28" s="29">
        <f ca="1">[1]!i_pq_pctchange($D28,H$3,$D$3)</f>
        <v>-1.9262295081967213</v>
      </c>
      <c r="I28" s="29">
        <f ca="1">[1]!i_pq_pctchange($D28,I$3,$D$3)</f>
        <v>0.1674340728338217</v>
      </c>
      <c r="J28" s="29">
        <f ca="1">[1]!i_pq_pctchange($D28,J$3,$D$3)</f>
        <v>-5.6759952700039413</v>
      </c>
      <c r="K28" s="29">
        <f ca="1">[1]!i_pq_pctchange($D28,K$3,$D$3)</f>
        <v>-13.108206245461149</v>
      </c>
      <c r="L28" s="29">
        <f ca="1">[1]!i_pq_pctchange($D28,L$3,$D$3)</f>
        <v>-1.2381345439537763</v>
      </c>
      <c r="M28" s="6"/>
      <c r="N28" s="8"/>
    </row>
    <row r="29" spans="1:14" ht="16.5">
      <c r="A29" s="8"/>
      <c r="B29" s="6"/>
      <c r="C29" s="34" t="s">
        <v>257</v>
      </c>
      <c r="D29" s="24" t="str">
        <f>[1]!to_windcode(C29)</f>
        <v>SB.NYB</v>
      </c>
      <c r="E29" s="25">
        <f ca="1">[1]!i_dq_close(D29,$D$3)</f>
        <v>20.47</v>
      </c>
      <c r="F29" s="26">
        <f ca="1">[1]!i_dq_pctchange(D29,$F$3)</f>
        <v>0</v>
      </c>
      <c r="G29" s="26">
        <f ca="1">[1]!i_pq_pctchange($D29,G$3,$D$3)</f>
        <v>-6.9122328331059553</v>
      </c>
      <c r="H29" s="26">
        <f ca="1">[1]!i_pq_pctchange($D29,H$3,$D$3)</f>
        <v>-6.6575467396260875</v>
      </c>
      <c r="I29" s="26">
        <f ca="1">[1]!i_pq_pctchange($D29,I$3,$D$3)</f>
        <v>-5.2753354928273977</v>
      </c>
      <c r="J29" s="26">
        <f ca="1">[1]!i_pq_pctchange($D29,J$3,$D$3)</f>
        <v>-24.269330373658903</v>
      </c>
      <c r="K29" s="26">
        <f ca="1">[1]!i_pq_pctchange($D29,K$3,$D$3)</f>
        <v>-12.483967507481838</v>
      </c>
      <c r="L29" s="26">
        <f ca="1">[1]!i_pq_pctchange($D29,L$3,$D$3)</f>
        <v>-0.5344995140913481</v>
      </c>
      <c r="M29" s="6"/>
      <c r="N29" s="8"/>
    </row>
    <row r="30" spans="1:14" ht="16.5">
      <c r="A30" s="8"/>
      <c r="B30" s="6"/>
      <c r="C30" s="35" t="s">
        <v>258</v>
      </c>
      <c r="D30" s="27" t="str">
        <f>[1]!to_windcode(C30)</f>
        <v>CT.NYB</v>
      </c>
      <c r="E30" s="28">
        <f ca="1">[1]!i_dq_close(D30,$D$3)</f>
        <v>84.57</v>
      </c>
      <c r="F30" s="29">
        <f ca="1">[1]!i_dq_pctchange(D30,$F$3)</f>
        <v>0</v>
      </c>
      <c r="G30" s="29">
        <f ca="1">[1]!i_pq_pctchange($D30,G$3,$D$3)</f>
        <v>-1.9478260869565296</v>
      </c>
      <c r="H30" s="29">
        <f ca="1">[1]!i_pq_pctchange($D30,H$3,$D$3)</f>
        <v>-10.885142255005281</v>
      </c>
      <c r="I30" s="29">
        <f ca="1">[1]!i_pq_pctchange($D30,I$3,$D$3)</f>
        <v>4.0093469437953395</v>
      </c>
      <c r="J30" s="29">
        <f ca="1">[1]!i_pq_pctchange($D30,J$3,$D$3)</f>
        <v>-1.7313502207762133</v>
      </c>
      <c r="K30" s="29">
        <f ca="1">[1]!i_pq_pctchange($D30,K$3,$D$3)</f>
        <v>1.4637072585482891</v>
      </c>
      <c r="L30" s="29">
        <f ca="1">[1]!i_pq_pctchange($D30,L$3,$D$3)</f>
        <v>4.4074074074073986</v>
      </c>
      <c r="M30" s="6"/>
      <c r="N30" s="8"/>
    </row>
    <row r="31" spans="1:14" ht="16.5">
      <c r="A31" s="8"/>
      <c r="B31" s="6"/>
      <c r="C31" s="34" t="s">
        <v>259</v>
      </c>
      <c r="D31" s="24" t="s">
        <v>268</v>
      </c>
      <c r="E31" s="25">
        <f ca="1">[1]!i_dq_close(D31,$D$3)</f>
        <v>6394</v>
      </c>
      <c r="F31" s="26">
        <f ca="1">[1]!i_dq_pctchange(D31,$F$3)</f>
        <v>0</v>
      </c>
      <c r="G31" s="26">
        <f ca="1">[1]!i_pq_pctchange($D31,G$3,$D$3)</f>
        <v>-3.2238534887240808</v>
      </c>
      <c r="H31" s="26">
        <f ca="1">[1]!i_pq_pctchange($D31,H$3,$D$3)</f>
        <v>-0.92965602726991015</v>
      </c>
      <c r="I31" s="26">
        <f ca="1">[1]!i_pq_pctchange($D31,I$3,$D$3)</f>
        <v>1.8315018315018317</v>
      </c>
      <c r="J31" s="26">
        <f ca="1">[1]!i_pq_pctchange($D31,J$3,$D$3)</f>
        <v>-5.665388020064916</v>
      </c>
      <c r="K31" s="26">
        <f ca="1">[1]!i_pq_pctchange($D31,K$3,$D$3)</f>
        <v>-4.5244139166791095</v>
      </c>
      <c r="L31" s="26">
        <f ca="1">[1]!i_pq_pctchange($D31,L$3,$D$3)</f>
        <v>1.1068943706514864</v>
      </c>
      <c r="M31" s="6"/>
      <c r="N31" s="8"/>
    </row>
    <row r="32" spans="1:14" ht="16.5">
      <c r="A32" s="8"/>
      <c r="B32" s="6"/>
      <c r="C32" s="35" t="s">
        <v>260</v>
      </c>
      <c r="D32" s="27" t="str">
        <f>[1]!to_windcode(C32)</f>
        <v>CF.CZC</v>
      </c>
      <c r="E32" s="28">
        <f ca="1">[1]!i_dq_close(D32,$D$3)</f>
        <v>16355</v>
      </c>
      <c r="F32" s="29">
        <f ca="1">[1]!i_dq_pctchange(D32,$F$3)</f>
        <v>0</v>
      </c>
      <c r="G32" s="29">
        <f ca="1">[1]!i_pq_pctchange($D32,G$3,$D$3)</f>
        <v>0.77017868145409729</v>
      </c>
      <c r="H32" s="29">
        <f ca="1">[1]!i_pq_pctchange($D32,H$3,$D$3)</f>
        <v>2.5713389777359672</v>
      </c>
      <c r="I32" s="29">
        <f ca="1">[1]!i_pq_pctchange($D32,I$3,$D$3)</f>
        <v>4.9406480590311199</v>
      </c>
      <c r="J32" s="29">
        <f ca="1">[1]!i_pq_pctchange($D32,J$3,$D$3)</f>
        <v>-3.4818530539982295</v>
      </c>
      <c r="K32" s="29">
        <f ca="1">[1]!i_pq_pctchange($D32,K$3,$D$3)</f>
        <v>10.768709786657636</v>
      </c>
      <c r="L32" s="29">
        <f ca="1">[1]!i_pq_pctchange($D32,L$3,$D$3)</f>
        <v>5.176848874598071</v>
      </c>
      <c r="M32" s="6"/>
      <c r="N32" s="8"/>
    </row>
    <row r="33" spans="1:14" ht="16.5">
      <c r="A33" s="8"/>
      <c r="B33" s="6"/>
      <c r="C33" s="34" t="s">
        <v>261</v>
      </c>
      <c r="D33" s="24" t="str">
        <f>[1]!to_windcode(C33)</f>
        <v>HC.SHF</v>
      </c>
      <c r="E33" s="25">
        <f ca="1">[1]!i_dq_close(D33,$D$3)</f>
        <v>3779</v>
      </c>
      <c r="F33" s="26">
        <f ca="1">[1]!i_dq_pctchange(D33,$F$3)</f>
        <v>0</v>
      </c>
      <c r="G33" s="26">
        <f ca="1">[1]!i_pq_pctchange($D33,G$3,$D$3)</f>
        <v>2.3564463705308776</v>
      </c>
      <c r="H33" s="26">
        <f ca="1">[1]!i_pq_pctchange($D33,H$3,$D$3)</f>
        <v>-0.50026329647182732</v>
      </c>
      <c r="I33" s="26">
        <f ca="1">[1]!i_pq_pctchange($D33,I$3,$D$3)</f>
        <v>-6.4603960396039604</v>
      </c>
      <c r="J33" s="26">
        <f ca="1">[1]!i_pq_pctchange($D33,J$3,$D$3)</f>
        <v>1.5041633091592801</v>
      </c>
      <c r="K33" s="26">
        <f ca="1">[1]!i_pq_pctchange($D33,K$3,$D$3)</f>
        <v>-4.7150781643973776</v>
      </c>
      <c r="L33" s="26">
        <f ca="1">[1]!i_pq_pctchange($D33,L$3,$D$3)</f>
        <v>-8.0535279805352804</v>
      </c>
      <c r="M33" s="6"/>
      <c r="N33" s="8"/>
    </row>
    <row r="34" spans="1:14" ht="16.5">
      <c r="A34" s="8"/>
      <c r="B34" s="6"/>
      <c r="C34" s="35" t="s">
        <v>262</v>
      </c>
      <c r="D34" s="27" t="str">
        <f>[1]!to_windcode(C34)</f>
        <v>PP.DCE</v>
      </c>
      <c r="E34" s="28">
        <f ca="1">[1]!i_dq_close(D34,$D$3)</f>
        <v>7575</v>
      </c>
      <c r="F34" s="29">
        <f ca="1">[1]!i_dq_pctchange(D34,$F$3)</f>
        <v>0</v>
      </c>
      <c r="G34" s="29">
        <f ca="1">[1]!i_pq_pctchange($D34,G$3,$D$3)</f>
        <v>-3.9588281868566902E-2</v>
      </c>
      <c r="H34" s="29">
        <f ca="1">[1]!i_pq_pctchange($D34,H$3,$D$3)</f>
        <v>1.8966908797417272</v>
      </c>
      <c r="I34" s="29">
        <f ca="1">[1]!i_pq_pctchange($D34,I$3,$D$3)</f>
        <v>4.3532166965146715</v>
      </c>
      <c r="J34" s="29">
        <f ca="1">[1]!i_pq_pctchange($D34,J$3,$D$3)</f>
        <v>1.527945315641335</v>
      </c>
      <c r="K34" s="29">
        <f ca="1">[1]!i_pq_pctchange($D34,K$3,$D$3)</f>
        <v>-0.17132314180284661</v>
      </c>
      <c r="L34" s="29">
        <f ca="1">[1]!i_pq_pctchange($D34,L$3,$D$3)</f>
        <v>-6.5963060686015831E-2</v>
      </c>
      <c r="M34" s="6"/>
      <c r="N34" s="8"/>
    </row>
    <row r="35" spans="1:14" ht="16.5">
      <c r="A35" s="8"/>
      <c r="B35" s="6"/>
      <c r="C35" s="34" t="s">
        <v>263</v>
      </c>
      <c r="D35" s="24" t="s">
        <v>269</v>
      </c>
      <c r="E35" s="25">
        <f ca="1">[1]!i_dq_close(D35,$D$3)</f>
        <v>2539</v>
      </c>
      <c r="F35" s="26">
        <f ca="1">[1]!i_dq_pctchange(D35,$F$3)</f>
        <v>0</v>
      </c>
      <c r="G35" s="26">
        <f ca="1">[1]!i_pq_pctchange($D35,G$3,$D$3)</f>
        <v>-7.8709169618262909E-2</v>
      </c>
      <c r="H35" s="26">
        <f ca="1">[1]!i_pq_pctchange($D35,H$3,$D$3)</f>
        <v>-7.8709169618262909E-2</v>
      </c>
      <c r="I35" s="26">
        <f ca="1">[1]!i_pq_pctchange($D35,I$3,$D$3)</f>
        <v>-7.8709169618262909E-2</v>
      </c>
      <c r="J35" s="26">
        <f ca="1">[1]!i_pq_pctchange($D35,J$3,$D$3)</f>
        <v>-7.8709169618262909E-2</v>
      </c>
      <c r="K35" s="26">
        <f ca="1">[1]!i_pq_pctchange($D35,K$3,$D$3)</f>
        <v>-7.8709169618262909E-2</v>
      </c>
      <c r="L35" s="26">
        <f ca="1">[1]!i_pq_pctchange($D35,L$3,$D$3)</f>
        <v>-7.8709169618262909E-2</v>
      </c>
      <c r="M35" s="6"/>
      <c r="N35" s="8"/>
    </row>
    <row r="36" spans="1:14" ht="16.5">
      <c r="A36" s="8"/>
      <c r="B36" s="6"/>
      <c r="C36" s="35" t="s">
        <v>264</v>
      </c>
      <c r="D36" s="27" t="str">
        <f>[1]!to_windcode(C36)</f>
        <v>T.CFE</v>
      </c>
      <c r="E36" s="28">
        <f ca="1">[1]!i_dq_close(D36,$D$3)</f>
        <v>104.395</v>
      </c>
      <c r="F36" s="29">
        <f ca="1">[1]!i_dq_pctchange(D36,$F$3)</f>
        <v>0</v>
      </c>
      <c r="G36" s="29">
        <f ca="1">[1]!i_pq_pctchange($D36,G$3,$D$3)</f>
        <v>0.3171094988708964</v>
      </c>
      <c r="H36" s="29">
        <f ca="1">[1]!i_pq_pctchange($D36,H$3,$D$3)</f>
        <v>0.55868612435582365</v>
      </c>
      <c r="I36" s="29">
        <f ca="1">[1]!i_pq_pctchange($D36,I$3,$D$3)</f>
        <v>1.5318031511379138</v>
      </c>
      <c r="J36" s="29">
        <f ca="1">[1]!i_pq_pctchange($D36,J$3,$D$3)</f>
        <v>2.6600452355197155</v>
      </c>
      <c r="K36" s="29">
        <f ca="1">[1]!i_pq_pctchange($D36,K$3,$D$3)</f>
        <v>3.6024413238723718</v>
      </c>
      <c r="L36" s="29">
        <f ca="1">[1]!i_pq_pctchange($D36,L$3,$D$3)</f>
        <v>1.5021876519202739</v>
      </c>
      <c r="M36" s="6"/>
      <c r="N36" s="8"/>
    </row>
    <row r="37" spans="1:14" ht="16.5">
      <c r="A37" s="8"/>
      <c r="B37" s="6"/>
      <c r="C37" s="34" t="s">
        <v>265</v>
      </c>
      <c r="D37" s="24" t="str">
        <f>[1]!to_windcode(C37)</f>
        <v>TF.CFE</v>
      </c>
      <c r="E37" s="25">
        <f ca="1">[1]!i_dq_close(D37,$D$3)</f>
        <v>103.41</v>
      </c>
      <c r="F37" s="26">
        <f ca="1">[1]!i_dq_pctchange(D37,$F$3)</f>
        <v>0</v>
      </c>
      <c r="G37" s="26">
        <f ca="1">[1]!i_pq_pctchange($D37,G$3,$D$3)</f>
        <v>0.26178010471203805</v>
      </c>
      <c r="H37" s="26">
        <f ca="1">[1]!i_pq_pctchange($D37,H$3,$D$3)</f>
        <v>0.52982063870121199</v>
      </c>
      <c r="I37" s="26">
        <f ca="1">[1]!i_pq_pctchange($D37,I$3,$D$3)</f>
        <v>0.91241766284459858</v>
      </c>
      <c r="J37" s="26">
        <f ca="1">[1]!i_pq_pctchange($D37,J$3,$D$3)</f>
        <v>1.5965024315960115</v>
      </c>
      <c r="K37" s="26">
        <f ca="1">[1]!i_pq_pctchange($D37,K$3,$D$3)</f>
        <v>2.2241992882562278</v>
      </c>
      <c r="L37" s="26">
        <f ca="1">[1]!i_pq_pctchange($D37,L$3,$D$3)</f>
        <v>0.84353210785508304</v>
      </c>
      <c r="M37" s="6"/>
      <c r="N37" s="8"/>
    </row>
    <row r="38" spans="1:14" ht="16.5">
      <c r="A38" s="8"/>
      <c r="B38" s="6"/>
      <c r="C38" s="35" t="s">
        <v>266</v>
      </c>
      <c r="D38" s="27" t="str">
        <f>[1]!to_windcode(C38)</f>
        <v>TS.CFE</v>
      </c>
      <c r="E38" s="28">
        <f ca="1">[1]!i_dq_close(D38,$D$3)</f>
        <v>101.708</v>
      </c>
      <c r="F38" s="29">
        <f ca="1">[1]!i_dq_pctchange(D38,$F$3)</f>
        <v>0</v>
      </c>
      <c r="G38" s="29">
        <f ca="1">[1]!i_pq_pctchange($D38,G$3,$D$3)</f>
        <v>8.8566986163871958E-2</v>
      </c>
      <c r="H38" s="29">
        <f ca="1">[1]!i_pq_pctchange($D38,H$3,$D$3)</f>
        <v>0.27605789328390695</v>
      </c>
      <c r="I38" s="29">
        <f ca="1">[1]!i_pq_pctchange($D38,I$3,$D$3)</f>
        <v>0.47417710514877703</v>
      </c>
      <c r="J38" s="29">
        <f ca="1">[1]!i_pq_pctchange($D38,J$3,$D$3)</f>
        <v>0.59640967311210569</v>
      </c>
      <c r="K38" s="29">
        <f ca="1">[1]!i_pq_pctchange($D38,K$3,$D$3)</f>
        <v>0.79080368645327703</v>
      </c>
      <c r="L38" s="29">
        <f ca="1">[1]!i_pq_pctchange($D38,L$3,$D$3)</f>
        <v>0.38096366040938362</v>
      </c>
      <c r="M38" s="6"/>
      <c r="N38" s="8"/>
    </row>
    <row r="39" spans="1:14" ht="11.25" customHeight="1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/>
    </row>
    <row r="42" spans="1:14" ht="17.25">
      <c r="A42" s="8"/>
      <c r="B42" s="6"/>
      <c r="C42" s="14" t="s">
        <v>43</v>
      </c>
      <c r="D42" s="9"/>
      <c r="E42" s="9"/>
      <c r="F42" s="9"/>
      <c r="G42" s="9"/>
      <c r="H42" s="9"/>
      <c r="I42" s="9"/>
      <c r="J42" s="9"/>
      <c r="K42" s="9"/>
      <c r="L42" s="9"/>
      <c r="M42" s="6"/>
      <c r="N42" s="8"/>
    </row>
    <row r="43" spans="1:14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/>
    </row>
    <row r="44" spans="1:14">
      <c r="A44" s="8"/>
      <c r="B44" s="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6"/>
      <c r="N44" s="8"/>
    </row>
    <row r="45" spans="1:14">
      <c r="A45" s="8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6"/>
      <c r="N45" s="8"/>
    </row>
    <row r="46" spans="1:14">
      <c r="A46" s="8"/>
      <c r="B46" s="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6"/>
      <c r="N46" s="8"/>
    </row>
    <row r="47" spans="1:14">
      <c r="A47" s="8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6"/>
      <c r="N47" s="8"/>
    </row>
    <row r="48" spans="1:14">
      <c r="A48" s="8"/>
      <c r="B48" s="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6"/>
      <c r="N48" s="8"/>
    </row>
    <row r="49" spans="1:14">
      <c r="A49" s="8"/>
      <c r="B49" s="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6"/>
      <c r="N49" s="8"/>
    </row>
    <row r="50" spans="1:14">
      <c r="A50" s="8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6"/>
      <c r="N50" s="8"/>
    </row>
    <row r="51" spans="1:14">
      <c r="A51" s="8"/>
      <c r="B51" s="6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6"/>
      <c r="N51" s="8"/>
    </row>
    <row r="52" spans="1:14">
      <c r="A52" s="8"/>
      <c r="B52" s="6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6"/>
      <c r="N52" s="8"/>
    </row>
    <row r="53" spans="1:14">
      <c r="A53" s="8"/>
      <c r="B53" s="6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"/>
      <c r="N53" s="8"/>
    </row>
    <row r="54" spans="1:14">
      <c r="A54" s="8"/>
      <c r="B54" s="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6"/>
      <c r="N54" s="8"/>
    </row>
    <row r="55" spans="1:14">
      <c r="A55" s="8"/>
      <c r="B55" s="6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6"/>
      <c r="N55" s="8"/>
    </row>
    <row r="56" spans="1:14">
      <c r="A56" s="8"/>
      <c r="B56" s="6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6"/>
      <c r="N56" s="8"/>
    </row>
    <row r="57" spans="1:14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8"/>
    </row>
    <row r="60" spans="1:14" ht="17.25">
      <c r="A60" s="8"/>
      <c r="B60" s="6"/>
      <c r="C60" s="14" t="s">
        <v>44</v>
      </c>
      <c r="D60" s="9"/>
      <c r="E60" s="9"/>
      <c r="F60" s="9"/>
      <c r="G60" s="9"/>
      <c r="H60" s="9"/>
      <c r="I60" s="9"/>
      <c r="J60" s="9"/>
      <c r="K60" s="9"/>
      <c r="L60" s="9"/>
      <c r="M60" s="6"/>
      <c r="N60" s="8"/>
    </row>
    <row r="61" spans="1:14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8"/>
    </row>
    <row r="62" spans="1:14">
      <c r="A62" s="8"/>
      <c r="B62" s="6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6"/>
      <c r="N62" s="8"/>
    </row>
    <row r="63" spans="1:14">
      <c r="A63" s="8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6"/>
      <c r="N63" s="8"/>
    </row>
    <row r="64" spans="1:14">
      <c r="A64" s="8"/>
      <c r="B64" s="6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6"/>
      <c r="N64" s="8"/>
    </row>
    <row r="65" spans="1:14">
      <c r="A65" s="8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6"/>
      <c r="N65" s="8"/>
    </row>
    <row r="66" spans="1:14">
      <c r="A66" s="8"/>
      <c r="B66" s="6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6"/>
      <c r="N66" s="8"/>
    </row>
    <row r="67" spans="1:14">
      <c r="A67" s="8"/>
      <c r="B67" s="6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6"/>
      <c r="N67" s="8"/>
    </row>
    <row r="68" spans="1:14">
      <c r="A68" s="8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6"/>
      <c r="N68" s="8"/>
    </row>
    <row r="69" spans="1:14">
      <c r="A69" s="8"/>
      <c r="B69" s="6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6"/>
      <c r="N69" s="8"/>
    </row>
    <row r="70" spans="1:14">
      <c r="A70" s="8"/>
      <c r="B70" s="6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6"/>
      <c r="N70" s="8"/>
    </row>
    <row r="71" spans="1:14">
      <c r="A71" s="8"/>
      <c r="B71" s="6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6"/>
      <c r="N71" s="8"/>
    </row>
    <row r="72" spans="1:14">
      <c r="A72" s="8"/>
      <c r="B72" s="6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6"/>
      <c r="N72" s="8"/>
    </row>
    <row r="73" spans="1:14">
      <c r="A73" s="8"/>
      <c r="B73" s="6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6"/>
      <c r="N73" s="8"/>
    </row>
    <row r="74" spans="1:14">
      <c r="A74" s="8"/>
      <c r="B74" s="6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6"/>
      <c r="N74" s="8"/>
    </row>
    <row r="75" spans="1:14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8"/>
    </row>
    <row r="76" spans="1:1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8"/>
    </row>
    <row r="78" spans="1:14" ht="17.25">
      <c r="A78" s="8"/>
      <c r="B78" s="6"/>
      <c r="C78" s="14" t="s">
        <v>72</v>
      </c>
      <c r="D78" s="9"/>
      <c r="E78" s="9"/>
      <c r="F78" s="9"/>
      <c r="G78" s="9"/>
      <c r="H78" s="9"/>
      <c r="I78" s="9"/>
      <c r="J78" s="9"/>
      <c r="K78" s="9"/>
      <c r="L78" s="9"/>
      <c r="M78" s="6"/>
      <c r="N78" s="8"/>
    </row>
    <row r="79" spans="1:14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8"/>
    </row>
    <row r="80" spans="1:14">
      <c r="A80" s="8"/>
      <c r="B80" s="6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6"/>
      <c r="N80" s="8"/>
    </row>
    <row r="81" spans="1:14">
      <c r="A81" s="8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6"/>
      <c r="N81" s="8"/>
    </row>
    <row r="82" spans="1:14">
      <c r="A82" s="8"/>
      <c r="B82" s="6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6"/>
      <c r="N82" s="8"/>
    </row>
    <row r="83" spans="1:14">
      <c r="A83" s="8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6"/>
      <c r="N83" s="8"/>
    </row>
    <row r="84" spans="1:14">
      <c r="A84" s="8"/>
      <c r="B84" s="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6"/>
      <c r="N84" s="8"/>
    </row>
    <row r="85" spans="1:14">
      <c r="A85" s="8"/>
      <c r="B85" s="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6"/>
      <c r="N85" s="8"/>
    </row>
    <row r="86" spans="1:14">
      <c r="A86" s="8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6"/>
      <c r="N86" s="8"/>
    </row>
    <row r="87" spans="1:14">
      <c r="A87" s="8"/>
      <c r="B87" s="6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6"/>
      <c r="N87" s="8"/>
    </row>
    <row r="88" spans="1:14">
      <c r="A88" s="8"/>
      <c r="B88" s="6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6"/>
      <c r="N88" s="8"/>
    </row>
    <row r="89" spans="1:14">
      <c r="A89" s="8"/>
      <c r="B89" s="6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6"/>
      <c r="N89" s="8"/>
    </row>
    <row r="90" spans="1:14">
      <c r="A90" s="8"/>
      <c r="B90" s="6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6"/>
      <c r="N90" s="8"/>
    </row>
    <row r="91" spans="1:14">
      <c r="A91" s="8"/>
      <c r="B91" s="6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6"/>
      <c r="N91" s="8"/>
    </row>
    <row r="92" spans="1:14">
      <c r="A92" s="8"/>
      <c r="B92" s="6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6"/>
      <c r="N92" s="8"/>
    </row>
    <row r="93" spans="1:14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8"/>
    </row>
    <row r="94" spans="1:1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8"/>
    </row>
    <row r="96" spans="1:14" ht="17.25">
      <c r="A96" s="8"/>
      <c r="B96" s="6"/>
      <c r="C96" s="14" t="s">
        <v>45</v>
      </c>
      <c r="D96" s="9"/>
      <c r="E96" s="9"/>
      <c r="F96" s="9"/>
      <c r="G96" s="9"/>
      <c r="H96" s="9"/>
      <c r="I96" s="9"/>
      <c r="J96" s="9"/>
      <c r="K96" s="9"/>
      <c r="L96" s="9"/>
      <c r="M96" s="6"/>
      <c r="N96" s="8"/>
    </row>
    <row r="97" spans="1:14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/>
    </row>
    <row r="98" spans="1:14">
      <c r="A98" s="8"/>
      <c r="B98" s="6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6"/>
      <c r="N98" s="8"/>
    </row>
    <row r="99" spans="1:14">
      <c r="A99" s="8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6"/>
      <c r="N99" s="8"/>
    </row>
    <row r="100" spans="1:14">
      <c r="A100" s="8"/>
      <c r="B100" s="6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6"/>
      <c r="N100" s="8"/>
    </row>
    <row r="101" spans="1:14">
      <c r="A101" s="8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6"/>
      <c r="N101" s="8"/>
    </row>
    <row r="102" spans="1:14">
      <c r="A102" s="8"/>
      <c r="B102" s="6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6"/>
      <c r="N102" s="8"/>
    </row>
    <row r="103" spans="1:14">
      <c r="A103" s="8"/>
      <c r="B103" s="6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6"/>
      <c r="N103" s="8"/>
    </row>
    <row r="104" spans="1:14">
      <c r="A104" s="8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6"/>
      <c r="N104" s="8"/>
    </row>
    <row r="105" spans="1:14">
      <c r="A105" s="8"/>
      <c r="B105" s="6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6"/>
      <c r="N105" s="8"/>
    </row>
    <row r="106" spans="1:14">
      <c r="A106" s="8"/>
      <c r="B106" s="6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6"/>
      <c r="N106" s="8"/>
    </row>
    <row r="107" spans="1:14">
      <c r="A107" s="8"/>
      <c r="B107" s="6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6"/>
      <c r="N107" s="8"/>
    </row>
    <row r="108" spans="1:14">
      <c r="A108" s="8"/>
      <c r="B108" s="6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6"/>
      <c r="N108" s="8"/>
    </row>
    <row r="109" spans="1:14">
      <c r="A109" s="8"/>
      <c r="B109" s="6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6"/>
      <c r="N109" s="8"/>
    </row>
    <row r="110" spans="1:14">
      <c r="A110" s="8"/>
      <c r="B110" s="6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6"/>
      <c r="N110" s="8"/>
    </row>
    <row r="111" spans="1:14">
      <c r="A111" s="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8"/>
    </row>
    <row r="112" spans="1:1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>
      <c r="A113" s="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8"/>
    </row>
    <row r="114" spans="1:14" ht="17.25">
      <c r="A114" s="8"/>
      <c r="B114" s="6"/>
      <c r="C114" s="14" t="s">
        <v>71</v>
      </c>
      <c r="D114" s="9"/>
      <c r="E114" s="9"/>
      <c r="F114" s="9"/>
      <c r="G114" s="9"/>
      <c r="H114" s="9"/>
      <c r="I114" s="9"/>
      <c r="J114" s="9"/>
      <c r="K114" s="9"/>
      <c r="L114" s="9"/>
      <c r="M114" s="6"/>
      <c r="N114" s="8"/>
    </row>
    <row r="115" spans="1:14">
      <c r="A115" s="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8"/>
    </row>
    <row r="116" spans="1:14">
      <c r="A116" s="8"/>
      <c r="B116" s="6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"/>
      <c r="N116" s="8"/>
    </row>
    <row r="117" spans="1:14">
      <c r="A117" s="8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6"/>
      <c r="N117" s="8"/>
    </row>
    <row r="118" spans="1:14">
      <c r="A118" s="8"/>
      <c r="B118" s="6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6"/>
      <c r="N118" s="8"/>
    </row>
    <row r="119" spans="1:14">
      <c r="A119" s="8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6"/>
      <c r="N119" s="8"/>
    </row>
    <row r="120" spans="1:14">
      <c r="A120" s="8"/>
      <c r="B120" s="6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6"/>
      <c r="N120" s="8"/>
    </row>
    <row r="121" spans="1:14">
      <c r="A121" s="8"/>
      <c r="B121" s="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6"/>
      <c r="N121" s="8"/>
    </row>
    <row r="122" spans="1:14">
      <c r="A122" s="8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6"/>
      <c r="N122" s="8"/>
    </row>
    <row r="123" spans="1:14">
      <c r="A123" s="8"/>
      <c r="B123" s="6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6"/>
      <c r="N123" s="8"/>
    </row>
    <row r="124" spans="1:14">
      <c r="A124" s="8"/>
      <c r="B124" s="6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6"/>
      <c r="N124" s="8"/>
    </row>
    <row r="125" spans="1:14">
      <c r="A125" s="8"/>
      <c r="B125" s="6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6"/>
      <c r="N125" s="8"/>
    </row>
    <row r="126" spans="1:14">
      <c r="A126" s="8"/>
      <c r="B126" s="6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6"/>
      <c r="N126" s="8"/>
    </row>
    <row r="127" spans="1:14">
      <c r="A127" s="8"/>
      <c r="B127" s="6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6"/>
      <c r="N127" s="8"/>
    </row>
    <row r="128" spans="1:14">
      <c r="A128" s="8"/>
      <c r="B128" s="6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6"/>
      <c r="N128" s="8"/>
    </row>
    <row r="129" spans="1:1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</sheetData>
  <phoneticPr fontId="11" type="noConversion"/>
  <pageMargins left="0.7" right="0.7" top="0.75" bottom="0.75" header="0.3" footer="0.3"/>
  <pageSetup paperSize="9" orientation="portrait" horizontalDpi="120" verticalDpi="12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127"/>
  <sheetViews>
    <sheetView showGridLines="0" workbookViewId="0">
      <pane ySplit="1" topLeftCell="A2" activePane="bottomLeft" state="frozen"/>
      <selection pane="bottomLeft" activeCell="A38" sqref="A38"/>
    </sheetView>
  </sheetViews>
  <sheetFormatPr defaultRowHeight="12.75"/>
  <cols>
    <col min="1" max="1" width="2.5703125" style="2" customWidth="1"/>
    <col min="2" max="2" width="1.5703125" style="2" customWidth="1"/>
    <col min="3" max="3" width="23.7109375" style="2" customWidth="1"/>
    <col min="4" max="4" width="17.7109375" style="2" customWidth="1"/>
    <col min="5" max="5" width="14.7109375" style="2" customWidth="1"/>
    <col min="6" max="6" width="13.42578125" style="2" customWidth="1"/>
    <col min="7" max="7" width="13.28515625" style="2" customWidth="1"/>
    <col min="8" max="12" width="14" style="2" customWidth="1"/>
    <col min="13" max="13" width="2" style="2" customWidth="1"/>
    <col min="14" max="14" width="3" style="2" customWidth="1"/>
    <col min="15" max="16384" width="9.140625" style="2"/>
  </cols>
  <sheetData>
    <row r="1" spans="1:14" ht="27.75" customHeight="1">
      <c r="A1" s="4"/>
      <c r="B1" s="4"/>
      <c r="C1" s="4"/>
      <c r="D1" s="48" t="s">
        <v>321</v>
      </c>
      <c r="E1" s="4"/>
      <c r="F1" s="4"/>
      <c r="G1" s="4"/>
      <c r="H1" s="4"/>
      <c r="I1" s="4"/>
      <c r="J1" s="4"/>
      <c r="K1" s="5" t="s">
        <v>3</v>
      </c>
      <c r="L1" s="4"/>
      <c r="M1" s="4"/>
      <c r="N1" s="4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6.5">
      <c r="A3" s="8"/>
      <c r="B3" s="39"/>
      <c r="C3" s="38" t="s">
        <v>13</v>
      </c>
      <c r="D3" s="49">
        <f ca="1">TODAY()-3</f>
        <v>45396</v>
      </c>
      <c r="E3" s="50"/>
      <c r="F3" s="49">
        <f ca="1">D3</f>
        <v>45396</v>
      </c>
      <c r="G3" s="49">
        <f ca="1">D3-7</f>
        <v>45389</v>
      </c>
      <c r="H3" s="49">
        <f ca="1">DATE(YEAR($D3),MONTH($D3)-1,DAY($D3))</f>
        <v>45365</v>
      </c>
      <c r="I3" s="49">
        <f ca="1">DATE(YEAR($D3),MONTH($D3)-3,DAY($D3))</f>
        <v>45305</v>
      </c>
      <c r="J3" s="49">
        <f ca="1">DATE(YEAR($D3),MONTH($D3)-6,DAY($D3))</f>
        <v>45213</v>
      </c>
      <c r="K3" s="49">
        <f ca="1">DATE(YEAR($D3),MONTH($D3)-12,DAY($D3))</f>
        <v>45030</v>
      </c>
      <c r="L3" s="49">
        <f ca="1">DATE(YEAR($D$3),1,1)</f>
        <v>45292</v>
      </c>
      <c r="M3" s="8"/>
      <c r="N3" s="8"/>
    </row>
    <row r="4" spans="1:1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7.5" customHeight="1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/>
    </row>
    <row r="6" spans="1:14" ht="22.5" customHeight="1">
      <c r="A6" s="8"/>
      <c r="B6" s="6"/>
      <c r="C6" s="14" t="s">
        <v>138</v>
      </c>
      <c r="D6" s="9"/>
      <c r="E6" s="9"/>
      <c r="F6" s="9"/>
      <c r="G6" s="9"/>
      <c r="H6" s="9"/>
      <c r="I6" s="9"/>
      <c r="J6" s="9"/>
      <c r="K6" s="9"/>
      <c r="L6" s="9"/>
      <c r="M6" s="6"/>
      <c r="N6" s="8"/>
    </row>
    <row r="7" spans="1:14" ht="8.25" customHeight="1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</row>
    <row r="8" spans="1:14" ht="18.75" customHeight="1">
      <c r="A8" s="8"/>
      <c r="B8" s="6"/>
      <c r="C8" s="21" t="s">
        <v>4</v>
      </c>
      <c r="D8" s="21" t="s">
        <v>5</v>
      </c>
      <c r="E8" s="22" t="s">
        <v>6</v>
      </c>
      <c r="F8" s="22" t="s">
        <v>1</v>
      </c>
      <c r="G8" s="22" t="s">
        <v>7</v>
      </c>
      <c r="H8" s="22" t="s">
        <v>8</v>
      </c>
      <c r="I8" s="22" t="s">
        <v>9</v>
      </c>
      <c r="J8" s="22" t="s">
        <v>10</v>
      </c>
      <c r="K8" s="22" t="s">
        <v>11</v>
      </c>
      <c r="L8" s="22" t="s">
        <v>12</v>
      </c>
      <c r="M8" s="6"/>
      <c r="N8" s="8"/>
    </row>
    <row r="9" spans="1:14" ht="16.5">
      <c r="A9" s="8"/>
      <c r="B9" s="6"/>
      <c r="C9" s="34" t="s">
        <v>270</v>
      </c>
      <c r="D9" s="24" t="str">
        <f>[1]!to_windcode(C9)</f>
        <v>USDCNY.IB</v>
      </c>
      <c r="E9" s="25">
        <f ca="1">[1]!i_dq_close(D9,$D$3)</f>
        <v>7.2374999999999998</v>
      </c>
      <c r="F9" s="26">
        <f ca="1">[1]!i_dq_pctchange(D9,$F$3)</f>
        <v>0</v>
      </c>
      <c r="G9" s="26">
        <f ca="1">[1]!i_pq_pctchange($D9,G$3,$D$3)</f>
        <v>2.6259052462829224E-2</v>
      </c>
      <c r="H9" s="26">
        <f ca="1">[1]!i_pq_pctchange($D9,H$3,$D$3)</f>
        <v>0.59767878240322148</v>
      </c>
      <c r="I9" s="26">
        <f ca="1">[1]!i_pq_pctchange($D9,I$3,$D$3)</f>
        <v>1.0513529362486285</v>
      </c>
      <c r="J9" s="26">
        <f ca="1">[1]!i_pq_pctchange($D9,J$3,$D$3)</f>
        <v>-0.91046002190581232</v>
      </c>
      <c r="K9" s="26">
        <f ca="1">[1]!i_pq_pctchange($D9,K$3,$D$3)</f>
        <v>5.3171519622822849</v>
      </c>
      <c r="L9" s="26">
        <f ca="1">[1]!i_pq_pctchange($D9,L$3,$D$3)</f>
        <v>2.051607445008452</v>
      </c>
      <c r="M9" s="6"/>
      <c r="N9" s="8"/>
    </row>
    <row r="10" spans="1:14" ht="16.5">
      <c r="A10" s="8"/>
      <c r="B10" s="6"/>
      <c r="C10" s="35" t="s">
        <v>271</v>
      </c>
      <c r="D10" s="27" t="str">
        <f>[1]!to_windcode(C10)</f>
        <v>USDCNH.FX</v>
      </c>
      <c r="E10" s="28">
        <f ca="1">[1]!i_dq_close(D10,$D$3)</f>
        <v>7.2672999999999996</v>
      </c>
      <c r="F10" s="29">
        <f ca="1">[1]!i_dq_pctchange(D10,$F$3)</f>
        <v>0</v>
      </c>
      <c r="G10" s="29">
        <f ca="1">[1]!i_pq_pctchange($D10,G$3,$D$3)</f>
        <v>0.27734849321117139</v>
      </c>
      <c r="H10" s="29">
        <f ca="1">[1]!i_pq_pctchange($D10,H$3,$D$3)</f>
        <v>1.0245217971530218</v>
      </c>
      <c r="I10" s="29">
        <f ca="1">[1]!i_pq_pctchange($D10,I$3,$D$3)</f>
        <v>1.0793218075858535</v>
      </c>
      <c r="J10" s="29">
        <f ca="1">[1]!i_pq_pctchange($D10,J$3,$D$3)</f>
        <v>-0.62355563456358842</v>
      </c>
      <c r="K10" s="29">
        <f ca="1">[1]!i_pq_pctchange($D10,K$3,$D$3)</f>
        <v>5.7492506038822944</v>
      </c>
      <c r="L10" s="29">
        <f ca="1">[1]!i_pq_pctchange($D10,L$3,$D$3)</f>
        <v>2.0000561419267981</v>
      </c>
      <c r="M10" s="6"/>
      <c r="N10" s="8"/>
    </row>
    <row r="11" spans="1:14" ht="16.5">
      <c r="A11" s="8"/>
      <c r="B11" s="6"/>
      <c r="C11" s="34" t="s">
        <v>272</v>
      </c>
      <c r="D11" s="24" t="str">
        <f>[1]!to_windcode(C11)</f>
        <v>USDX.FX</v>
      </c>
      <c r="E11" s="25">
        <f ca="1">[1]!i_dq_close(D11,$D$3)</f>
        <v>106.0228</v>
      </c>
      <c r="F11" s="26">
        <f ca="1">[1]!i_dq_pctchange(D11,$F$3)</f>
        <v>0</v>
      </c>
      <c r="G11" s="26">
        <f ca="1">[1]!i_pq_pctchange($D11,G$3,$D$3)</f>
        <v>1.654892575802891</v>
      </c>
      <c r="H11" s="26">
        <f ca="1">[1]!i_pq_pctchange($D11,H$3,$D$3)</f>
        <v>3.1230820556764405</v>
      </c>
      <c r="I11" s="26">
        <f ca="1">[1]!i_pq_pctchange($D11,I$3,$D$3)</f>
        <v>3.4971588329983483</v>
      </c>
      <c r="J11" s="26">
        <f ca="1">[1]!i_pq_pctchange($D11,J$3,$D$3)</f>
        <v>-0.61297359217148406</v>
      </c>
      <c r="K11" s="26">
        <f ca="1">[1]!i_pq_pctchange($D11,K$3,$D$3)</f>
        <v>4.9576893682905965</v>
      </c>
      <c r="L11" s="26">
        <f ca="1">[1]!i_pq_pctchange($D11,L$3,$D$3)</f>
        <v>4.5818709816153103</v>
      </c>
      <c r="M11" s="6"/>
      <c r="N11" s="8"/>
    </row>
    <row r="12" spans="1:14" ht="16.5">
      <c r="A12" s="8"/>
      <c r="B12" s="6"/>
      <c r="C12" s="35" t="s">
        <v>273</v>
      </c>
      <c r="D12" s="27" t="str">
        <f>[1]!to_windcode(C12)</f>
        <v>EURUSD.FX</v>
      </c>
      <c r="E12" s="28">
        <f ca="1">[1]!i_dq_close(D12,$D$3)</f>
        <v>1.0641</v>
      </c>
      <c r="F12" s="29">
        <f ca="1">[1]!i_dq_pctchange(D12,$F$3)</f>
        <v>0</v>
      </c>
      <c r="G12" s="29">
        <f ca="1">[1]!i_pq_pctchange($D12,G$3,$D$3)</f>
        <v>-1.8086186213896904</v>
      </c>
      <c r="H12" s="29">
        <f ca="1">[1]!i_pq_pctchange($D12,H$3,$D$3)</f>
        <v>-2.7952863798300864</v>
      </c>
      <c r="I12" s="29">
        <f ca="1">[1]!i_pq_pctchange($D12,I$3,$D$3)</f>
        <v>-2.8307917085197642</v>
      </c>
      <c r="J12" s="29">
        <f ca="1">[1]!i_pq_pctchange($D12,J$3,$D$3)</f>
        <v>1.2560662289466284</v>
      </c>
      <c r="K12" s="29">
        <f ca="1">[1]!i_pq_pctchange($D12,K$3,$D$3)</f>
        <v>-3.6752059382637814</v>
      </c>
      <c r="L12" s="29">
        <f ca="1">[1]!i_pq_pctchange($D12,L$3,$D$3)</f>
        <v>-3.5879315031258407</v>
      </c>
      <c r="M12" s="6"/>
      <c r="N12" s="8"/>
    </row>
    <row r="13" spans="1:14" ht="16.5">
      <c r="A13" s="8"/>
      <c r="B13" s="6"/>
      <c r="C13" s="34" t="s">
        <v>274</v>
      </c>
      <c r="D13" s="24" t="s">
        <v>297</v>
      </c>
      <c r="E13" s="25">
        <f ca="1">[1]!i_dq_close(D13,$D$3)</f>
        <v>153.19800000000001</v>
      </c>
      <c r="F13" s="26">
        <f ca="1">[1]!i_dq_pctchange(D13,$F$3)</f>
        <v>0</v>
      </c>
      <c r="G13" s="26">
        <f ca="1">[1]!i_pq_pctchange($D13,G$3,$D$3)</f>
        <v>1.0370946839417083</v>
      </c>
      <c r="H13" s="26">
        <f ca="1">[1]!i_pq_pctchange($D13,H$3,$D$3)</f>
        <v>3.6841517517232969</v>
      </c>
      <c r="I13" s="26">
        <f ca="1">[1]!i_pq_pctchange($D13,I$3,$D$3)</f>
        <v>5.7216007508263944</v>
      </c>
      <c r="J13" s="26">
        <f ca="1">[1]!i_pq_pctchange($D13,J$3,$D$3)</f>
        <v>2.4372630438707521</v>
      </c>
      <c r="K13" s="26">
        <f ca="1">[1]!i_pq_pctchange($D13,K$3,$D$3)</f>
        <v>15.562696598701041</v>
      </c>
      <c r="L13" s="26">
        <f ca="1">[1]!i_pq_pctchange($D13,L$3,$D$3)</f>
        <v>8.6275663774857403</v>
      </c>
      <c r="M13" s="6"/>
      <c r="N13" s="8"/>
    </row>
    <row r="14" spans="1:14" ht="16.5">
      <c r="A14" s="8"/>
      <c r="B14" s="6"/>
      <c r="C14" s="35" t="s">
        <v>275</v>
      </c>
      <c r="D14" s="27" t="s">
        <v>298</v>
      </c>
      <c r="E14" s="28">
        <f ca="1">[1]!i_dq_close(D14,$D$3)</f>
        <v>1.2450000000000001</v>
      </c>
      <c r="F14" s="29">
        <f ca="1">[1]!i_dq_pctchange(D14,$F$3)</f>
        <v>0</v>
      </c>
      <c r="G14" s="29">
        <f ca="1">[1]!i_pq_pctchange($D14,G$3,$D$3)</f>
        <v>-1.4641867827463351</v>
      </c>
      <c r="H14" s="29">
        <f ca="1">[1]!i_pq_pctchange($D14,H$3,$D$3)</f>
        <v>-2.7039699906220682</v>
      </c>
      <c r="I14" s="29">
        <f ca="1">[1]!i_pq_pctchange($D14,I$3,$D$3)</f>
        <v>-2.3529411764705688</v>
      </c>
      <c r="J14" s="29">
        <f ca="1">[1]!i_pq_pctchange($D14,J$3,$D$3)</f>
        <v>2.5704399406821565</v>
      </c>
      <c r="K14" s="29">
        <f ca="1">[1]!i_pq_pctchange($D14,K$3,$D$3)</f>
        <v>-0.53527203003913559</v>
      </c>
      <c r="L14" s="29">
        <f ca="1">[1]!i_pq_pctchange($D14,L$3,$D$3)</f>
        <v>-2.2379269729092988</v>
      </c>
      <c r="M14" s="6"/>
      <c r="N14" s="8"/>
    </row>
    <row r="15" spans="1:14" ht="16.5">
      <c r="A15" s="8"/>
      <c r="B15" s="6"/>
      <c r="C15" s="34" t="s">
        <v>276</v>
      </c>
      <c r="D15" s="24" t="str">
        <f>[1]!to_windcode(C15)</f>
        <v>USDCAD.FX</v>
      </c>
      <c r="E15" s="25">
        <f ca="1">[1]!i_dq_close(D15,$D$3)</f>
        <v>1.3774999999999999</v>
      </c>
      <c r="F15" s="26">
        <f ca="1">[1]!i_dq_pctchange(D15,$F$3)</f>
        <v>0</v>
      </c>
      <c r="G15" s="26">
        <f ca="1">[1]!i_pq_pctchange($D15,G$3,$D$3)</f>
        <v>1.3612950699043447</v>
      </c>
      <c r="H15" s="26">
        <f ca="1">[1]!i_pq_pctchange($D15,H$3,$D$3)</f>
        <v>2.2566995768688258</v>
      </c>
      <c r="I15" s="26">
        <f ca="1">[1]!i_pq_pctchange($D15,I$3,$D$3)</f>
        <v>2.7218493661446574</v>
      </c>
      <c r="J15" s="26">
        <f ca="1">[1]!i_pq_pctchange($D15,J$3,$D$3)</f>
        <v>0.84187408491946947</v>
      </c>
      <c r="K15" s="26">
        <f ca="1">[1]!i_pq_pctchange($D15,K$3,$D$3)</f>
        <v>3.2686108403928271</v>
      </c>
      <c r="L15" s="26">
        <f ca="1">[1]!i_pq_pctchange($D15,L$3,$D$3)</f>
        <v>3.9230479064503943</v>
      </c>
      <c r="M15" s="6"/>
      <c r="N15" s="8"/>
    </row>
    <row r="16" spans="1:14" ht="16.5">
      <c r="A16" s="8"/>
      <c r="B16" s="6"/>
      <c r="C16" s="35" t="s">
        <v>277</v>
      </c>
      <c r="D16" s="27" t="s">
        <v>299</v>
      </c>
      <c r="E16" s="28">
        <f ca="1">[1]!i_dq_close(D16,$D$3)</f>
        <v>0.64600000000000002</v>
      </c>
      <c r="F16" s="29">
        <f ca="1">[1]!i_dq_pctchange(D16,$F$3)</f>
        <v>0</v>
      </c>
      <c r="G16" s="29">
        <f ca="1">[1]!i_pq_pctchange($D16,G$3,$D$3)</f>
        <v>-1.8237082066869359</v>
      </c>
      <c r="H16" s="29">
        <f ca="1">[1]!i_pq_pctchange($D16,H$3,$D$3)</f>
        <v>-2.4316568494185176</v>
      </c>
      <c r="I16" s="29">
        <f ca="1">[1]!i_pq_pctchange($D16,I$3,$D$3)</f>
        <v>-3.3657442034405349</v>
      </c>
      <c r="J16" s="29">
        <f ca="1">[1]!i_pq_pctchange($D16,J$3,$D$3)</f>
        <v>2.5885342226457109</v>
      </c>
      <c r="K16" s="29">
        <f ca="1">[1]!i_pq_pctchange($D16,K$3,$D$3)</f>
        <v>-4.7619047619047556</v>
      </c>
      <c r="L16" s="29">
        <f ca="1">[1]!i_pq_pctchange($D16,L$3,$D$3)</f>
        <v>-5.1951863809803323</v>
      </c>
      <c r="M16" s="6"/>
      <c r="N16" s="8"/>
    </row>
    <row r="17" spans="1:14" ht="16.5">
      <c r="A17" s="8"/>
      <c r="B17" s="6"/>
      <c r="C17" s="34" t="s">
        <v>278</v>
      </c>
      <c r="D17" s="24" t="str">
        <f>[1]!to_windcode(C17)</f>
        <v>NZDUSD.FX</v>
      </c>
      <c r="E17" s="25">
        <f ca="1">[1]!i_dq_close(D17,$D$3)</f>
        <v>0.59350000000000003</v>
      </c>
      <c r="F17" s="26">
        <f ca="1">[1]!i_dq_pctchange(D17,$F$3)</f>
        <v>0</v>
      </c>
      <c r="G17" s="26">
        <f ca="1">[1]!i_pq_pctchange($D17,G$3,$D$3)</f>
        <v>-1.297189422917</v>
      </c>
      <c r="H17" s="26">
        <f ca="1">[1]!i_pq_pctchange($D17,H$3,$D$3)</f>
        <v>-3.7463509568602005</v>
      </c>
      <c r="I17" s="26">
        <f ca="1">[1]!i_pq_pctchange($D17,I$3,$D$3)</f>
        <v>-4.9487508007687309</v>
      </c>
      <c r="J17" s="26">
        <f ca="1">[1]!i_pq_pctchange($D17,J$3,$D$3)</f>
        <v>0.6785411365564098</v>
      </c>
      <c r="K17" s="26">
        <f ca="1">[1]!i_pq_pctchange($D17,K$3,$D$3)</f>
        <v>-5.8982083399397478</v>
      </c>
      <c r="L17" s="26">
        <f ca="1">[1]!i_pq_pctchange($D17,L$3,$D$3)</f>
        <v>-6.4322875610909547</v>
      </c>
      <c r="M17" s="6"/>
      <c r="N17" s="8"/>
    </row>
    <row r="18" spans="1:14" ht="16.5">
      <c r="A18" s="8"/>
      <c r="B18" s="6"/>
      <c r="C18" s="35" t="s">
        <v>279</v>
      </c>
      <c r="D18" s="27" t="str">
        <f>[1]!to_windcode(C18)</f>
        <v>USDCHF.FX</v>
      </c>
      <c r="E18" s="28">
        <f ca="1">[1]!i_dq_close(D18,$D$3)</f>
        <v>0.91439999999999999</v>
      </c>
      <c r="F18" s="29">
        <f ca="1">[1]!i_dq_pctchange(D18,$F$3)</f>
        <v>0</v>
      </c>
      <c r="G18" s="29">
        <f ca="1">[1]!i_pq_pctchange($D18,G$3,$D$3)</f>
        <v>1.3747228381374654</v>
      </c>
      <c r="H18" s="29">
        <f ca="1">[1]!i_pq_pctchange($D18,H$3,$D$3)</f>
        <v>4.0509786071916132</v>
      </c>
      <c r="I18" s="29">
        <f ca="1">[1]!i_pq_pctchange($D18,I$3,$D$3)</f>
        <v>7.2484166080225121</v>
      </c>
      <c r="J18" s="29">
        <f ca="1">[1]!i_pq_pctchange($D18,J$3,$D$3)</f>
        <v>1.3522500554200789</v>
      </c>
      <c r="K18" s="29">
        <f ca="1">[1]!i_pq_pctchange($D18,K$3,$D$3)</f>
        <v>2.7993254637436848</v>
      </c>
      <c r="L18" s="29">
        <f ca="1">[1]!i_pq_pctchange($D18,L$3,$D$3)</f>
        <v>8.6631016042780793</v>
      </c>
      <c r="M18" s="6"/>
      <c r="N18" s="8"/>
    </row>
    <row r="19" spans="1:14" ht="16.5">
      <c r="A19" s="8"/>
      <c r="B19" s="6"/>
      <c r="C19" s="34" t="s">
        <v>280</v>
      </c>
      <c r="D19" s="24">
        <f>[1]!to_windcode(C19)</f>
        <v>0</v>
      </c>
      <c r="E19" s="25">
        <f ca="1">[1]!i_dq_close(D19,$D$3)</f>
        <v>0</v>
      </c>
      <c r="F19" s="26">
        <f ca="1">[1]!i_dq_pctchange(D19,$F$3)</f>
        <v>0</v>
      </c>
      <c r="G19" s="26">
        <f ca="1">[1]!i_pq_pctchange($D19,G$3,$D$3)</f>
        <v>0</v>
      </c>
      <c r="H19" s="26">
        <f ca="1">[1]!i_pq_pctchange($D19,H$3,$D$3)</f>
        <v>0</v>
      </c>
      <c r="I19" s="26">
        <f ca="1">[1]!i_pq_pctchange($D19,I$3,$D$3)</f>
        <v>0</v>
      </c>
      <c r="J19" s="26">
        <f ca="1">[1]!i_pq_pctchange($D19,J$3,$D$3)</f>
        <v>0</v>
      </c>
      <c r="K19" s="26">
        <f ca="1">[1]!i_pq_pctchange($D19,K$3,$D$3)</f>
        <v>0</v>
      </c>
      <c r="L19" s="26">
        <f ca="1">[1]!i_pq_pctchange($D19,L$3,$D$3)</f>
        <v>0</v>
      </c>
      <c r="M19" s="6"/>
      <c r="N19" s="8"/>
    </row>
    <row r="20" spans="1:14" ht="16.5">
      <c r="A20" s="8"/>
      <c r="B20" s="6"/>
      <c r="C20" s="35" t="s">
        <v>281</v>
      </c>
      <c r="D20" s="27" t="str">
        <f>[1]!to_windcode(C20)</f>
        <v>USDTWD.FX</v>
      </c>
      <c r="E20" s="28">
        <f ca="1">[1]!i_dq_close(D20,$D$3)</f>
        <v>32.301499999999997</v>
      </c>
      <c r="F20" s="29">
        <f ca="1">[1]!i_dq_pctchange(D20,$F$3)</f>
        <v>0</v>
      </c>
      <c r="G20" s="29">
        <f ca="1">[1]!i_pq_pctchange($D20,G$3,$D$3)</f>
        <v>0.54785139530899585</v>
      </c>
      <c r="H20" s="29">
        <f ca="1">[1]!i_pq_pctchange($D20,H$3,$D$3)</f>
        <v>2.6585094549499422</v>
      </c>
      <c r="I20" s="29">
        <f ca="1">[1]!i_pq_pctchange($D20,I$3,$D$3)</f>
        <v>3.881715415909559</v>
      </c>
      <c r="J20" s="29">
        <f ca="1">[1]!i_pq_pctchange($D20,J$3,$D$3)</f>
        <v>0.30120014283716579</v>
      </c>
      <c r="K20" s="29">
        <f ca="1">[1]!i_pq_pctchange($D20,K$3,$D$3)</f>
        <v>6.0421522602672306</v>
      </c>
      <c r="L20" s="29">
        <f ca="1">[1]!i_pq_pctchange($D20,L$3,$D$3)</f>
        <v>5.2320372693065664</v>
      </c>
      <c r="M20" s="6"/>
      <c r="N20" s="8"/>
    </row>
    <row r="21" spans="1:14" ht="16.5">
      <c r="A21" s="8"/>
      <c r="B21" s="6"/>
      <c r="C21" s="34" t="s">
        <v>282</v>
      </c>
      <c r="D21" s="24" t="str">
        <f>[1]!to_windcode(C21)</f>
        <v>CNYX.CNI</v>
      </c>
      <c r="E21" s="25">
        <f ca="1">[1]!i_dq_close(D21,$D$3)</f>
        <v>117.718</v>
      </c>
      <c r="F21" s="26">
        <f ca="1">[1]!i_dq_pctchange(D21,$F$3)</f>
        <v>0</v>
      </c>
      <c r="G21" s="26">
        <f ca="1">[1]!i_pq_pctchange($D21,G$3,$D$3)</f>
        <v>0</v>
      </c>
      <c r="H21" s="26">
        <f ca="1">[1]!i_pq_pctchange($D21,H$3,$D$3)</f>
        <v>0.24567932248711344</v>
      </c>
      <c r="I21" s="26">
        <f ca="1">[1]!i_pq_pctchange($D21,I$3,$D$3)</f>
        <v>-0.34218800530299021</v>
      </c>
      <c r="J21" s="26">
        <f ca="1">[1]!i_pq_pctchange($D21,J$3,$D$3)</f>
        <v>-0.54896686429923847</v>
      </c>
      <c r="K21" s="26">
        <f ca="1">[1]!i_pq_pctchange($D21,K$3,$D$3)</f>
        <v>-2.7900040133248871</v>
      </c>
      <c r="L21" s="26">
        <f ca="1">[1]!i_pq_pctchange($D21,L$3,$D$3)</f>
        <v>-0.26822643529947898</v>
      </c>
      <c r="M21" s="6"/>
      <c r="N21" s="8"/>
    </row>
    <row r="22" spans="1:14" ht="16.5">
      <c r="A22" s="8"/>
      <c r="B22" s="6"/>
      <c r="C22" s="35" t="s">
        <v>283</v>
      </c>
      <c r="D22" s="27" t="str">
        <f>[1]!to_windcode(C22)</f>
        <v>USDCNY.EX</v>
      </c>
      <c r="E22" s="28">
        <f ca="1">[1]!i_dq_close(D22,$D$3)</f>
        <v>7.0967000000000002</v>
      </c>
      <c r="F22" s="29">
        <f ca="1">[1]!i_dq_pctchange(D22,$F$3)</f>
        <v>0</v>
      </c>
      <c r="G22" s="29">
        <f ca="1">[1]!i_pq_pctchange($D22,G$3,$D$3)</f>
        <v>2.5370336438856889E-2</v>
      </c>
      <c r="H22" s="29">
        <f ca="1">[1]!i_pq_pctchange($D22,H$3,$D$3)</f>
        <v>5.2164105456076193E-2</v>
      </c>
      <c r="I22" s="29">
        <f ca="1">[1]!i_pq_pctchange($D22,I$3,$D$3)</f>
        <v>-0.11681914144968664</v>
      </c>
      <c r="J22" s="29">
        <f ca="1">[1]!i_pq_pctchange($D22,J$3,$D$3)</f>
        <v>-1.1257401602229211</v>
      </c>
      <c r="K22" s="29">
        <f ca="1">[1]!i_pq_pctchange($D22,K$3,$D$3)</f>
        <v>3.3630458213172565</v>
      </c>
      <c r="L22" s="29">
        <f ca="1">[1]!i_pq_pctchange($D22,L$3,$D$3)</f>
        <v>0.1976647323760794</v>
      </c>
      <c r="M22" s="6"/>
      <c r="N22" s="8"/>
    </row>
    <row r="23" spans="1:14" ht="16.5">
      <c r="A23" s="8"/>
      <c r="B23" s="6"/>
      <c r="C23" s="34" t="s">
        <v>284</v>
      </c>
      <c r="D23" s="24" t="str">
        <f>[1]!to_windcode(C23)</f>
        <v>EURCNY.EX</v>
      </c>
      <c r="E23" s="25">
        <f ca="1">[1]!i_dq_close(D23,$D$3)</f>
        <v>7.6528999999999998</v>
      </c>
      <c r="F23" s="26">
        <f ca="1">[1]!i_dq_pctchange(D23,$F$3)</f>
        <v>0</v>
      </c>
      <c r="G23" s="26">
        <f ca="1">[1]!i_pq_pctchange($D23,G$3,$D$3)</f>
        <v>-0.31782006695062481</v>
      </c>
      <c r="H23" s="26">
        <f ca="1">[1]!i_pq_pctchange($D23,H$3,$D$3)</f>
        <v>-1.6286184379659674</v>
      </c>
      <c r="I23" s="26">
        <f ca="1">[1]!i_pq_pctchange($D23,I$3,$D$3)</f>
        <v>-2.0641908320749414</v>
      </c>
      <c r="J23" s="26">
        <f ca="1">[1]!i_pq_pctchange($D23,J$3,$D$3)</f>
        <v>0.63646525083831396</v>
      </c>
      <c r="K23" s="26">
        <f ca="1">[1]!i_pq_pctchange($D23,K$3,$D$3)</f>
        <v>1.3575439711803305</v>
      </c>
      <c r="L23" s="26">
        <f ca="1">[1]!i_pq_pctchange($D23,L$3,$D$3)</f>
        <v>-2.6249491042345308</v>
      </c>
      <c r="M23" s="6"/>
      <c r="N23" s="8"/>
    </row>
    <row r="24" spans="1:14" ht="16.5">
      <c r="A24" s="8"/>
      <c r="B24" s="6"/>
      <c r="C24" s="35" t="s">
        <v>285</v>
      </c>
      <c r="D24" s="27" t="str">
        <f>[1]!to_windcode(C24)</f>
        <v>GBPCNY.EX</v>
      </c>
      <c r="E24" s="28">
        <f ca="1">[1]!i_dq_close(D24,$D$3)</f>
        <v>8.9548000000000005</v>
      </c>
      <c r="F24" s="29">
        <f ca="1">[1]!i_dq_pctchange(D24,$F$3)</f>
        <v>0</v>
      </c>
      <c r="G24" s="29">
        <f ca="1">[1]!i_pq_pctchange($D24,G$3,$D$3)</f>
        <v>-3.4606325143171635E-2</v>
      </c>
      <c r="H24" s="29">
        <f ca="1">[1]!i_pq_pctchange($D24,H$3,$D$3)</f>
        <v>-1.691752022746984</v>
      </c>
      <c r="I24" s="29">
        <f ca="1">[1]!i_pq_pctchange($D24,I$3,$D$3)</f>
        <v>-1.5057689980971567</v>
      </c>
      <c r="J24" s="29">
        <f ca="1">[1]!i_pq_pctchange($D24,J$3,$D$3)</f>
        <v>1.7706557563359704</v>
      </c>
      <c r="K24" s="29">
        <f ca="1">[1]!i_pq_pctchange($D24,K$3,$D$3)</f>
        <v>4.402369071491874</v>
      </c>
      <c r="L24" s="29">
        <f ca="1">[1]!i_pq_pctchange($D24,L$3,$D$3)</f>
        <v>-0.9545298691530868</v>
      </c>
      <c r="M24" s="6"/>
      <c r="N24" s="8"/>
    </row>
    <row r="25" spans="1:14" ht="16.5">
      <c r="A25" s="8"/>
      <c r="B25" s="6"/>
      <c r="C25" s="34" t="s">
        <v>286</v>
      </c>
      <c r="D25" s="24" t="str">
        <f>[1]!to_windcode(C25)</f>
        <v>JPYCNY.EX</v>
      </c>
      <c r="E25" s="25">
        <f ca="1">[1]!i_dq_close(D25,$D$3)</f>
        <v>4.6654</v>
      </c>
      <c r="F25" s="26">
        <f ca="1">[1]!i_dq_pctchange(D25,$F$3)</f>
        <v>0</v>
      </c>
      <c r="G25" s="26">
        <f ca="1">[1]!i_pq_pctchange($D25,G$3,$D$3)</f>
        <v>-0.95953806309175826</v>
      </c>
      <c r="H25" s="26">
        <f ca="1">[1]!i_pq_pctchange($D25,H$3,$D$3)</f>
        <v>-3.3197944297082116</v>
      </c>
      <c r="I25" s="26">
        <f ca="1">[1]!i_pq_pctchange($D25,I$3,$D$3)</f>
        <v>-4.9990836710175346</v>
      </c>
      <c r="J25" s="26">
        <f ca="1">[1]!i_pq_pctchange($D25,J$3,$D$3)</f>
        <v>-3.3238012350283896</v>
      </c>
      <c r="K25" s="26">
        <f ca="1">[1]!i_pq_pctchange($D25,K$3,$D$3)</f>
        <v>-9.6395576301059442</v>
      </c>
      <c r="L25" s="26">
        <f ca="1">[1]!i_pq_pctchange($D25,L$3,$D$3)</f>
        <v>-7.0878059466672028</v>
      </c>
      <c r="M25" s="6"/>
      <c r="N25" s="8"/>
    </row>
    <row r="26" spans="1:14" ht="16.5">
      <c r="A26" s="8"/>
      <c r="B26" s="6"/>
      <c r="C26" s="35" t="s">
        <v>287</v>
      </c>
      <c r="D26" s="27">
        <f>[1]!to_windcode(C26)</f>
        <v>0</v>
      </c>
      <c r="E26" s="28">
        <f ca="1">[1]!i_dq_close(D26,$D$3)</f>
        <v>0</v>
      </c>
      <c r="F26" s="29">
        <f ca="1">[1]!i_dq_pctchange(D26,$F$3)</f>
        <v>0</v>
      </c>
      <c r="G26" s="29">
        <f ca="1">[1]!i_pq_pctchange($D26,G$3,$D$3)</f>
        <v>0</v>
      </c>
      <c r="H26" s="29">
        <f ca="1">[1]!i_pq_pctchange($D26,H$3,$D$3)</f>
        <v>0</v>
      </c>
      <c r="I26" s="29">
        <f ca="1">[1]!i_pq_pctchange($D26,I$3,$D$3)</f>
        <v>0</v>
      </c>
      <c r="J26" s="29">
        <f ca="1">[1]!i_pq_pctchange($D26,J$3,$D$3)</f>
        <v>0</v>
      </c>
      <c r="K26" s="29">
        <f ca="1">[1]!i_pq_pctchange($D26,K$3,$D$3)</f>
        <v>0</v>
      </c>
      <c r="L26" s="29">
        <f ca="1">[1]!i_pq_pctchange($D26,L$3,$D$3)</f>
        <v>0</v>
      </c>
      <c r="M26" s="6"/>
      <c r="N26" s="8"/>
    </row>
    <row r="27" spans="1:14" ht="16.5">
      <c r="A27" s="8"/>
      <c r="B27" s="6"/>
      <c r="C27" s="34" t="s">
        <v>288</v>
      </c>
      <c r="D27" s="24" t="str">
        <f>[1]!to_windcode(C27)</f>
        <v>AUDCNY.EX</v>
      </c>
      <c r="E27" s="25">
        <f ca="1">[1]!i_dq_close(D27,$D$3)</f>
        <v>4.6707999999999998</v>
      </c>
      <c r="F27" s="26">
        <f ca="1">[1]!i_dq_pctchange(D27,$F$3)</f>
        <v>0</v>
      </c>
      <c r="G27" s="26">
        <f ca="1">[1]!i_pq_pctchange($D27,G$3,$D$3)</f>
        <v>0.4883715926937704</v>
      </c>
      <c r="H27" s="26">
        <f ca="1">[1]!i_pq_pctchange($D27,H$3,$D$3)</f>
        <v>-0.78382224865646277</v>
      </c>
      <c r="I27" s="26">
        <f ca="1">[1]!i_pq_pctchange($D27,I$3,$D$3)</f>
        <v>-2.0488623256789462</v>
      </c>
      <c r="J27" s="26">
        <f ca="1">[1]!i_pq_pctchange($D27,J$3,$D$3)</f>
        <v>2.2191097299426588</v>
      </c>
      <c r="K27" s="26">
        <f ca="1">[1]!i_pq_pctchange($D27,K$3,$D$3)</f>
        <v>1.5987644922019539</v>
      </c>
      <c r="L27" s="26">
        <f ca="1">[1]!i_pq_pctchange($D27,L$3,$D$3)</f>
        <v>-3.6630641036218159</v>
      </c>
      <c r="M27" s="6"/>
      <c r="N27" s="8"/>
    </row>
    <row r="28" spans="1:14" ht="16.5">
      <c r="A28" s="8"/>
      <c r="B28" s="6"/>
      <c r="C28" s="35" t="s">
        <v>289</v>
      </c>
      <c r="D28" s="27" t="str">
        <f>[1]!to_windcode(C28)</f>
        <v>CADCNY.EX</v>
      </c>
      <c r="E28" s="28">
        <f ca="1">[1]!i_dq_close(D28,$D$3)</f>
        <v>5.2194000000000003</v>
      </c>
      <c r="F28" s="29">
        <f ca="1">[1]!i_dq_pctchange(D28,$F$3)</f>
        <v>0</v>
      </c>
      <c r="G28" s="29">
        <f ca="1">[1]!i_pq_pctchange($D28,G$3,$D$3)</f>
        <v>-0.75299486594410103</v>
      </c>
      <c r="H28" s="29">
        <f ca="1">[1]!i_pq_pctchange($D28,H$3,$D$3)</f>
        <v>-1.1664457489111824</v>
      </c>
      <c r="I28" s="29">
        <f ca="1">[1]!i_pq_pctchange($D28,I$3,$D$3)</f>
        <v>-1.8762219882689113</v>
      </c>
      <c r="J28" s="29">
        <f ca="1">[1]!i_pq_pctchange($D28,J$3,$D$3)</f>
        <v>-1.1645742203033493</v>
      </c>
      <c r="K28" s="29">
        <f ca="1">[1]!i_pq_pctchange($D28,K$3,$D$3)</f>
        <v>2.164891951143133</v>
      </c>
      <c r="L28" s="29">
        <f ca="1">[1]!i_pq_pctchange($D28,L$3,$D$3)</f>
        <v>-2.7555754289866452</v>
      </c>
      <c r="M28" s="6"/>
      <c r="N28" s="8"/>
    </row>
    <row r="29" spans="1:14" ht="16.5">
      <c r="A29" s="8"/>
      <c r="B29" s="6"/>
      <c r="C29" s="34" t="s">
        <v>290</v>
      </c>
      <c r="D29" s="24" t="str">
        <f>[1]!to_windcode(C29)</f>
        <v>CNYRUB.EX</v>
      </c>
      <c r="E29" s="25">
        <f ca="1">[1]!i_dq_close(D29,$D$3)</f>
        <v>13.028</v>
      </c>
      <c r="F29" s="26">
        <f ca="1">[1]!i_dq_pctchange(D29,$F$3)</f>
        <v>0</v>
      </c>
      <c r="G29" s="26">
        <f ca="1">[1]!i_pq_pctchange($D29,G$3,$D$3)</f>
        <v>0.89291937394968546</v>
      </c>
      <c r="H29" s="26">
        <f ca="1">[1]!i_pq_pctchange($D29,H$3,$D$3)</f>
        <v>1.4049425958357675</v>
      </c>
      <c r="I29" s="26">
        <f ca="1">[1]!i_pq_pctchange($D29,I$3,$D$3)</f>
        <v>4.6980728739733468</v>
      </c>
      <c r="J29" s="26">
        <f ca="1">[1]!i_pq_pctchange($D29,J$3,$D$3)</f>
        <v>-3.4948665906161525</v>
      </c>
      <c r="K29" s="26">
        <f ca="1">[1]!i_pq_pctchange($D29,K$3,$D$3)</f>
        <v>9.0346068544168823</v>
      </c>
      <c r="L29" s="26">
        <f ca="1">[1]!i_pq_pctchange($D29,L$3,$D$3)</f>
        <v>4.573694434187936</v>
      </c>
      <c r="M29" s="6"/>
      <c r="N29" s="8"/>
    </row>
    <row r="30" spans="1:14" ht="16.5">
      <c r="A30" s="8"/>
      <c r="B30" s="6"/>
      <c r="C30" s="35" t="s">
        <v>291</v>
      </c>
      <c r="D30" s="27" t="str">
        <f>[1]!to_windcode(C30)</f>
        <v>CNYMYR.EX</v>
      </c>
      <c r="E30" s="28">
        <f ca="1">[1]!i_dq_close(D30,$D$3)</f>
        <v>0.66884999999999994</v>
      </c>
      <c r="F30" s="29">
        <f ca="1">[1]!i_dq_pctchange(D30,$F$3)</f>
        <v>0</v>
      </c>
      <c r="G30" s="29">
        <f ca="1">[1]!i_pq_pctchange($D30,G$3,$D$3)</f>
        <v>-5.2301255230136068E-2</v>
      </c>
      <c r="H30" s="29">
        <f ca="1">[1]!i_pq_pctchange($D30,H$3,$D$3)</f>
        <v>1.4762107051826456</v>
      </c>
      <c r="I30" s="29">
        <f ca="1">[1]!i_pq_pctchange($D30,I$3,$D$3)</f>
        <v>2.3958971218615899</v>
      </c>
      <c r="J30" s="29">
        <f ca="1">[1]!i_pq_pctchange($D30,J$3,$D$3)</f>
        <v>1.6520258974436874</v>
      </c>
      <c r="K30" s="29">
        <f ca="1">[1]!i_pq_pctchange($D30,K$3,$D$3)</f>
        <v>4.2228282041293141</v>
      </c>
      <c r="L30" s="29">
        <f ca="1">[1]!i_pq_pctchange($D30,L$3,$D$3)</f>
        <v>3.1062124248496747</v>
      </c>
      <c r="M30" s="6"/>
      <c r="N30" s="8"/>
    </row>
    <row r="31" spans="1:14" ht="16.5">
      <c r="A31" s="8"/>
      <c r="B31" s="6"/>
      <c r="C31" s="34" t="s">
        <v>292</v>
      </c>
      <c r="D31" s="24" t="str">
        <f>[1]!to_windcode(C31)</f>
        <v>NZDCNY.EX</v>
      </c>
      <c r="E31" s="25">
        <f ca="1">[1]!i_dq_close(D31,$D$3)</f>
        <v>4.2950999999999997</v>
      </c>
      <c r="F31" s="26">
        <f ca="1">[1]!i_dq_pctchange(D31,$F$3)</f>
        <v>0</v>
      </c>
      <c r="G31" s="26">
        <f ca="1">[1]!i_pq_pctchange($D31,G$3,$D$3)</f>
        <v>0.69866128994442445</v>
      </c>
      <c r="H31" s="26">
        <f ca="1">[1]!i_pq_pctchange($D31,H$3,$D$3)</f>
        <v>-2.0591052127513998</v>
      </c>
      <c r="I31" s="26">
        <f ca="1">[1]!i_pq_pctchange($D31,I$3,$D$3)</f>
        <v>-3.3940620782726083</v>
      </c>
      <c r="J31" s="26">
        <f ca="1">[1]!i_pq_pctchange($D31,J$3,$D$3)</f>
        <v>2.3287766936008758E-2</v>
      </c>
      <c r="K31" s="26">
        <f ca="1">[1]!i_pq_pctchange($D31,K$3,$D$3)</f>
        <v>0.64203200787309456</v>
      </c>
      <c r="L31" s="26">
        <f ca="1">[1]!i_pq_pctchange($D31,L$3,$D$3)</f>
        <v>-4.5342401813696203</v>
      </c>
      <c r="M31" s="6"/>
      <c r="N31" s="8"/>
    </row>
    <row r="32" spans="1:14" ht="16.5">
      <c r="A32" s="8"/>
      <c r="B32" s="6"/>
      <c r="C32" s="35" t="s">
        <v>293</v>
      </c>
      <c r="D32" s="27" t="str">
        <f>[1]!to_windcode(C32)</f>
        <v>SGDCNY.EX</v>
      </c>
      <c r="E32" s="28">
        <f ca="1">[1]!i_dq_close(D32,$D$3)</f>
        <v>5.2698999999999998</v>
      </c>
      <c r="F32" s="29">
        <f ca="1">[1]!i_dq_pctchange(D32,$F$3)</f>
        <v>0</v>
      </c>
      <c r="G32" s="29">
        <f ca="1">[1]!i_pq_pctchange($D32,G$3,$D$3)</f>
        <v>1.7081040045541229E-2</v>
      </c>
      <c r="H32" s="29">
        <f ca="1">[1]!i_pq_pctchange($D32,H$3,$D$3)</f>
        <v>-1.3201258332709132</v>
      </c>
      <c r="I32" s="29">
        <f ca="1">[1]!i_pq_pctchange($D32,I$3,$D$3)</f>
        <v>-1.508242066310328</v>
      </c>
      <c r="J32" s="29">
        <f ca="1">[1]!i_pq_pctchange($D32,J$3,$D$3)</f>
        <v>3.2269086215408471E-2</v>
      </c>
      <c r="K32" s="29">
        <f ca="1">[1]!i_pq_pctchange($D32,K$3,$D$3)</f>
        <v>1.8633420315067095</v>
      </c>
      <c r="L32" s="29">
        <f ca="1">[1]!i_pq_pctchange($D32,L$3,$D$3)</f>
        <v>-1.9954623223982781</v>
      </c>
      <c r="M32" s="6"/>
      <c r="N32" s="8"/>
    </row>
    <row r="33" spans="1:14" ht="16.5">
      <c r="A33" s="8"/>
      <c r="B33" s="6"/>
      <c r="C33" s="34" t="s">
        <v>294</v>
      </c>
      <c r="D33" s="24" t="str">
        <f>[1]!to_windcode(C33)</f>
        <v>CHFCNY.EX</v>
      </c>
      <c r="E33" s="25">
        <f ca="1">[1]!i_dq_close(D33,$D$3)</f>
        <v>7.8375000000000004</v>
      </c>
      <c r="F33" s="26">
        <f ca="1">[1]!i_dq_pctchange(D33,$F$3)</f>
        <v>0</v>
      </c>
      <c r="G33" s="26">
        <f ca="1">[1]!i_pq_pctchange($D33,G$3,$D$3)</f>
        <v>-0.11979252953394637</v>
      </c>
      <c r="H33" s="26">
        <f ca="1">[1]!i_pq_pctchange($D33,H$3,$D$3)</f>
        <v>-3.4219735804416285</v>
      </c>
      <c r="I33" s="26">
        <f ca="1">[1]!i_pq_pctchange($D33,I$3,$D$3)</f>
        <v>-6.2522427693117439</v>
      </c>
      <c r="J33" s="26">
        <f ca="1">[1]!i_pq_pctchange($D33,J$3,$D$3)</f>
        <v>-1.5080113100848114</v>
      </c>
      <c r="K33" s="26">
        <f ca="1">[1]!i_pq_pctchange($D33,K$3,$D$3)</f>
        <v>2.2331502811004045</v>
      </c>
      <c r="L33" s="26">
        <f ca="1">[1]!i_pq_pctchange($D33,L$3,$D$3)</f>
        <v>-6.9003611137508303</v>
      </c>
      <c r="M33" s="6"/>
      <c r="N33" s="8"/>
    </row>
    <row r="34" spans="1:14" ht="16.5">
      <c r="A34" s="8"/>
      <c r="B34" s="6"/>
      <c r="C34" s="35" t="s">
        <v>295</v>
      </c>
      <c r="D34" s="27" t="str">
        <f>[1]!to_windcode(C34)</f>
        <v>CNYZAR.EX</v>
      </c>
      <c r="E34" s="28">
        <f ca="1">[1]!i_dq_close(D34,$D$3)</f>
        <v>2.6305999999999998</v>
      </c>
      <c r="F34" s="29">
        <f ca="1">[1]!i_dq_pctchange(D34,$F$3)</f>
        <v>0</v>
      </c>
      <c r="G34" s="29">
        <f ca="1">[1]!i_pq_pctchange($D34,G$3,$D$3)</f>
        <v>-0.3711558854719077</v>
      </c>
      <c r="H34" s="29">
        <f ca="1">[1]!i_pq_pctchange($D34,H$3,$D$3)</f>
        <v>0.17135676478428064</v>
      </c>
      <c r="I34" s="29">
        <f ca="1">[1]!i_pq_pctchange($D34,I$3,$D$3)</f>
        <v>0.32799389778794819</v>
      </c>
      <c r="J34" s="29">
        <f ca="1">[1]!i_pq_pctchange($D34,J$3,$D$3)</f>
        <v>-0.39001855428073551</v>
      </c>
      <c r="K34" s="29">
        <f ca="1">[1]!i_pq_pctchange($D34,K$3,$D$3)</f>
        <v>-1.9713061300540402</v>
      </c>
      <c r="L34" s="29">
        <f ca="1">[1]!i_pq_pctchange($D34,L$3,$D$3)</f>
        <v>0.46977046174998538</v>
      </c>
      <c r="M34" s="6"/>
      <c r="N34" s="8"/>
    </row>
    <row r="35" spans="1:14" ht="16.5">
      <c r="A35" s="8"/>
      <c r="B35" s="6"/>
      <c r="C35" s="34" t="s">
        <v>296</v>
      </c>
      <c r="D35" s="24" t="str">
        <f>[1]!to_windcode(C35)</f>
        <v>CNYKRW.EX</v>
      </c>
      <c r="E35" s="25">
        <f ca="1">[1]!i_dq_close(D35,$D$3)</f>
        <v>190.36</v>
      </c>
      <c r="F35" s="26">
        <f ca="1">[1]!i_dq_pctchange(D35,$F$3)</f>
        <v>0</v>
      </c>
      <c r="G35" s="26">
        <f ca="1">[1]!i_pq_pctchange($D35,G$3,$D$3)</f>
        <v>1.0939989378651038</v>
      </c>
      <c r="H35" s="26">
        <f ca="1">[1]!i_pq_pctchange($D35,H$3,$D$3)</f>
        <v>3.6254763200871176</v>
      </c>
      <c r="I35" s="26">
        <f ca="1">[1]!i_pq_pctchange($D35,I$3,$D$3)</f>
        <v>3.3441910966341082</v>
      </c>
      <c r="J35" s="26">
        <f ca="1">[1]!i_pq_pctchange($D35,J$3,$D$3)</f>
        <v>2.6088831392841794</v>
      </c>
      <c r="K35" s="26">
        <f ca="1">[1]!i_pq_pctchange($D35,K$3,$D$3)</f>
        <v>-1.2450715916165089</v>
      </c>
      <c r="L35" s="26">
        <f ca="1">[1]!i_pq_pctchange($D35,L$3,$D$3)</f>
        <v>4.9625055138950103</v>
      </c>
      <c r="M35" s="6"/>
      <c r="N35" s="8"/>
    </row>
    <row r="36" spans="1:14" ht="11.25" customHeight="1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/>
    </row>
    <row r="39" spans="1:14" ht="17.25">
      <c r="A39" s="8"/>
      <c r="B39" s="6"/>
      <c r="C39" s="14" t="s">
        <v>43</v>
      </c>
      <c r="D39" s="9"/>
      <c r="E39" s="9"/>
      <c r="F39" s="9"/>
      <c r="G39" s="9"/>
      <c r="H39" s="9"/>
      <c r="I39" s="9"/>
      <c r="J39" s="9"/>
      <c r="K39" s="9"/>
      <c r="L39" s="9"/>
      <c r="M39" s="6"/>
      <c r="N39" s="8"/>
    </row>
    <row r="40" spans="1:14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8"/>
    </row>
    <row r="41" spans="1:14">
      <c r="A41" s="8"/>
      <c r="B41" s="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6"/>
      <c r="N41" s="8"/>
    </row>
    <row r="42" spans="1:14">
      <c r="A42" s="8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8"/>
    </row>
    <row r="43" spans="1:14">
      <c r="A43" s="8"/>
      <c r="B43" s="6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6"/>
      <c r="N43" s="8"/>
    </row>
    <row r="44" spans="1:14">
      <c r="A44" s="8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6"/>
      <c r="N44" s="8"/>
    </row>
    <row r="45" spans="1:14">
      <c r="A45" s="8"/>
      <c r="B45" s="6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6"/>
      <c r="N45" s="8"/>
    </row>
    <row r="46" spans="1:14">
      <c r="A46" s="8"/>
      <c r="B46" s="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6"/>
      <c r="N46" s="8"/>
    </row>
    <row r="47" spans="1:14">
      <c r="A47" s="8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6"/>
      <c r="N47" s="8"/>
    </row>
    <row r="48" spans="1:14">
      <c r="A48" s="8"/>
      <c r="B48" s="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6"/>
      <c r="N48" s="8"/>
    </row>
    <row r="49" spans="1:14">
      <c r="A49" s="8"/>
      <c r="B49" s="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6"/>
      <c r="N49" s="8"/>
    </row>
    <row r="50" spans="1:14">
      <c r="A50" s="8"/>
      <c r="B50" s="6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6"/>
      <c r="N50" s="8"/>
    </row>
    <row r="51" spans="1:14">
      <c r="A51" s="8"/>
      <c r="B51" s="6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6"/>
      <c r="N51" s="8"/>
    </row>
    <row r="52" spans="1:14">
      <c r="A52" s="8"/>
      <c r="B52" s="6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6"/>
      <c r="N52" s="8"/>
    </row>
    <row r="53" spans="1:14">
      <c r="A53" s="8"/>
      <c r="B53" s="6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"/>
      <c r="N53" s="8"/>
    </row>
    <row r="54" spans="1:14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/>
    </row>
    <row r="57" spans="1:14" ht="17.25">
      <c r="A57" s="8"/>
      <c r="B57" s="6"/>
      <c r="C57" s="14" t="s">
        <v>44</v>
      </c>
      <c r="D57" s="9"/>
      <c r="E57" s="9"/>
      <c r="F57" s="9"/>
      <c r="G57" s="9"/>
      <c r="H57" s="9"/>
      <c r="I57" s="9"/>
      <c r="J57" s="9"/>
      <c r="K57" s="9"/>
      <c r="L57" s="9"/>
      <c r="M57" s="6"/>
      <c r="N57" s="8"/>
    </row>
    <row r="58" spans="1:14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8"/>
    </row>
    <row r="59" spans="1:14">
      <c r="A59" s="8"/>
      <c r="B59" s="6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6"/>
      <c r="N59" s="8"/>
    </row>
    <row r="60" spans="1:14">
      <c r="A60" s="8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6"/>
      <c r="N60" s="8"/>
    </row>
    <row r="61" spans="1:14">
      <c r="A61" s="8"/>
      <c r="B61" s="6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6"/>
      <c r="N61" s="8"/>
    </row>
    <row r="62" spans="1:14">
      <c r="A62" s="8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6"/>
      <c r="N62" s="8"/>
    </row>
    <row r="63" spans="1:14">
      <c r="A63" s="8"/>
      <c r="B63" s="6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6"/>
      <c r="N63" s="8"/>
    </row>
    <row r="64" spans="1:14">
      <c r="A64" s="8"/>
      <c r="B64" s="6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6"/>
      <c r="N64" s="8"/>
    </row>
    <row r="65" spans="1:14">
      <c r="A65" s="8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6"/>
      <c r="N65" s="8"/>
    </row>
    <row r="66" spans="1:14">
      <c r="A66" s="8"/>
      <c r="B66" s="6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6"/>
      <c r="N66" s="8"/>
    </row>
    <row r="67" spans="1:14">
      <c r="A67" s="8"/>
      <c r="B67" s="6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6"/>
      <c r="N67" s="8"/>
    </row>
    <row r="68" spans="1:14">
      <c r="A68" s="8"/>
      <c r="B68" s="6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6"/>
      <c r="N68" s="8"/>
    </row>
    <row r="69" spans="1:14">
      <c r="A69" s="8"/>
      <c r="B69" s="6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6"/>
      <c r="N69" s="8"/>
    </row>
    <row r="70" spans="1:14">
      <c r="A70" s="8"/>
      <c r="B70" s="6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6"/>
      <c r="N70" s="8"/>
    </row>
    <row r="71" spans="1:14">
      <c r="A71" s="8"/>
      <c r="B71" s="6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6"/>
      <c r="N71" s="8"/>
    </row>
    <row r="72" spans="1:14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8"/>
    </row>
    <row r="75" spans="1:14" ht="17.25">
      <c r="A75" s="8"/>
      <c r="B75" s="6"/>
      <c r="C75" s="14" t="s">
        <v>72</v>
      </c>
      <c r="D75" s="9"/>
      <c r="E75" s="9"/>
      <c r="F75" s="9"/>
      <c r="G75" s="9"/>
      <c r="H75" s="9"/>
      <c r="I75" s="9"/>
      <c r="J75" s="9"/>
      <c r="K75" s="9"/>
      <c r="L75" s="9"/>
      <c r="M75" s="6"/>
      <c r="N75" s="8"/>
    </row>
    <row r="76" spans="1:14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8"/>
    </row>
    <row r="77" spans="1:14">
      <c r="A77" s="8"/>
      <c r="B77" s="6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6"/>
      <c r="N77" s="8"/>
    </row>
    <row r="78" spans="1:14">
      <c r="A78" s="8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6"/>
      <c r="N78" s="8"/>
    </row>
    <row r="79" spans="1:14">
      <c r="A79" s="8"/>
      <c r="B79" s="6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6"/>
      <c r="N79" s="8"/>
    </row>
    <row r="80" spans="1:14">
      <c r="A80" s="8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6"/>
      <c r="N80" s="8"/>
    </row>
    <row r="81" spans="1:14">
      <c r="A81" s="8"/>
      <c r="B81" s="6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6"/>
      <c r="N81" s="8"/>
    </row>
    <row r="82" spans="1:14">
      <c r="A82" s="8"/>
      <c r="B82" s="6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6"/>
      <c r="N82" s="8"/>
    </row>
    <row r="83" spans="1:14">
      <c r="A83" s="8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6"/>
      <c r="N83" s="8"/>
    </row>
    <row r="84" spans="1:14">
      <c r="A84" s="8"/>
      <c r="B84" s="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6"/>
      <c r="N84" s="8"/>
    </row>
    <row r="85" spans="1:14">
      <c r="A85" s="8"/>
      <c r="B85" s="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6"/>
      <c r="N85" s="8"/>
    </row>
    <row r="86" spans="1:14">
      <c r="A86" s="8"/>
      <c r="B86" s="6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6"/>
      <c r="N86" s="8"/>
    </row>
    <row r="87" spans="1:14">
      <c r="A87" s="8"/>
      <c r="B87" s="6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6"/>
      <c r="N87" s="8"/>
    </row>
    <row r="88" spans="1:14">
      <c r="A88" s="8"/>
      <c r="B88" s="6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6"/>
      <c r="N88" s="8"/>
    </row>
    <row r="89" spans="1:14">
      <c r="A89" s="8"/>
      <c r="B89" s="6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6"/>
      <c r="N89" s="8"/>
    </row>
    <row r="90" spans="1:14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8"/>
    </row>
    <row r="91" spans="1:1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8"/>
    </row>
    <row r="93" spans="1:14" ht="17.25">
      <c r="A93" s="8"/>
      <c r="B93" s="6"/>
      <c r="C93" s="14" t="s">
        <v>45</v>
      </c>
      <c r="D93" s="9"/>
      <c r="E93" s="9"/>
      <c r="F93" s="9"/>
      <c r="G93" s="9"/>
      <c r="H93" s="9"/>
      <c r="I93" s="9"/>
      <c r="J93" s="9"/>
      <c r="K93" s="9"/>
      <c r="L93" s="9"/>
      <c r="M93" s="6"/>
      <c r="N93" s="8"/>
    </row>
    <row r="94" spans="1:14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8"/>
    </row>
    <row r="95" spans="1:14">
      <c r="A95" s="8"/>
      <c r="B95" s="6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6"/>
      <c r="N95" s="8"/>
    </row>
    <row r="96" spans="1:14">
      <c r="A96" s="8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6"/>
      <c r="N96" s="8"/>
    </row>
    <row r="97" spans="1:14">
      <c r="A97" s="8"/>
      <c r="B97" s="6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6"/>
      <c r="N97" s="8"/>
    </row>
    <row r="98" spans="1:14">
      <c r="A98" s="8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6"/>
      <c r="N98" s="8"/>
    </row>
    <row r="99" spans="1:14">
      <c r="A99" s="8"/>
      <c r="B99" s="6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6"/>
      <c r="N99" s="8"/>
    </row>
    <row r="100" spans="1:14">
      <c r="A100" s="8"/>
      <c r="B100" s="6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6"/>
      <c r="N100" s="8"/>
    </row>
    <row r="101" spans="1:14">
      <c r="A101" s="8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6"/>
      <c r="N101" s="8"/>
    </row>
    <row r="102" spans="1:14">
      <c r="A102" s="8"/>
      <c r="B102" s="6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6"/>
      <c r="N102" s="8"/>
    </row>
    <row r="103" spans="1:14">
      <c r="A103" s="8"/>
      <c r="B103" s="6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6"/>
      <c r="N103" s="8"/>
    </row>
    <row r="104" spans="1:14">
      <c r="A104" s="8"/>
      <c r="B104" s="6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6"/>
      <c r="N104" s="8"/>
    </row>
    <row r="105" spans="1:14">
      <c r="A105" s="8"/>
      <c r="B105" s="6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6"/>
      <c r="N105" s="8"/>
    </row>
    <row r="106" spans="1:14">
      <c r="A106" s="8"/>
      <c r="B106" s="6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6"/>
      <c r="N106" s="8"/>
    </row>
    <row r="107" spans="1:14">
      <c r="A107" s="8"/>
      <c r="B107" s="6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6"/>
      <c r="N107" s="8"/>
    </row>
    <row r="108" spans="1:14">
      <c r="A108" s="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8"/>
    </row>
    <row r="109" spans="1:1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>
      <c r="A110" s="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8"/>
    </row>
    <row r="111" spans="1:14" ht="17.25">
      <c r="A111" s="8"/>
      <c r="B111" s="6"/>
      <c r="C111" s="14" t="s">
        <v>71</v>
      </c>
      <c r="D111" s="9"/>
      <c r="E111" s="9"/>
      <c r="F111" s="9"/>
      <c r="G111" s="9"/>
      <c r="H111" s="9"/>
      <c r="I111" s="9"/>
      <c r="J111" s="9"/>
      <c r="K111" s="9"/>
      <c r="L111" s="9"/>
      <c r="M111" s="6"/>
      <c r="N111" s="8"/>
    </row>
    <row r="112" spans="1:14">
      <c r="A112" s="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8"/>
    </row>
    <row r="113" spans="1:14">
      <c r="A113" s="8"/>
      <c r="B113" s="6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"/>
      <c r="N113" s="8"/>
    </row>
    <row r="114" spans="1:14">
      <c r="A114" s="8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6"/>
      <c r="N114" s="8"/>
    </row>
    <row r="115" spans="1:14">
      <c r="A115" s="8"/>
      <c r="B115" s="6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6"/>
      <c r="N115" s="8"/>
    </row>
    <row r="116" spans="1:14">
      <c r="A116" s="8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6"/>
      <c r="N116" s="8"/>
    </row>
    <row r="117" spans="1:14">
      <c r="A117" s="8"/>
      <c r="B117" s="6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6"/>
      <c r="N117" s="8"/>
    </row>
    <row r="118" spans="1:14">
      <c r="A118" s="8"/>
      <c r="B118" s="6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6"/>
      <c r="N118" s="8"/>
    </row>
    <row r="119" spans="1:14">
      <c r="A119" s="8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6"/>
      <c r="N119" s="8"/>
    </row>
    <row r="120" spans="1:14">
      <c r="A120" s="8"/>
      <c r="B120" s="6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6"/>
      <c r="N120" s="8"/>
    </row>
    <row r="121" spans="1:14">
      <c r="A121" s="8"/>
      <c r="B121" s="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6"/>
      <c r="N121" s="8"/>
    </row>
    <row r="122" spans="1:14">
      <c r="A122" s="8"/>
      <c r="B122" s="6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6"/>
      <c r="N122" s="8"/>
    </row>
    <row r="123" spans="1:14">
      <c r="A123" s="8"/>
      <c r="B123" s="6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6"/>
      <c r="N123" s="8"/>
    </row>
    <row r="124" spans="1:14">
      <c r="A124" s="8"/>
      <c r="B124" s="6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6"/>
      <c r="N124" s="8"/>
    </row>
    <row r="125" spans="1:14">
      <c r="A125" s="8"/>
      <c r="B125" s="6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6"/>
      <c r="N125" s="8"/>
    </row>
    <row r="126" spans="1:1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</sheetData>
  <phoneticPr fontId="11" type="noConversion"/>
  <pageMargins left="0.7" right="0.7" top="0.75" bottom="0.75" header="0.3" footer="0.3"/>
  <pageSetup paperSize="9" orientation="portrait" horizontalDpi="120" verticalDpi="12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2.75"/>
  <sheetData>
    <row r="1" spans="1:1" ht="17.25">
      <c r="A1" s="44" t="s">
        <v>320</v>
      </c>
    </row>
  </sheetData>
  <phoneticPr fontId="1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48707636"><![CDATA[{"FDS^FG_COMPANY_NAME":"FactSet Research Systems Inc.","FDS^FG_BUS_DESC_BRIEF(\"ARRAY\")[0]":"FactSet Research Systems Inc. (the \"Company\" or \"FactSet\") is a global","FDS^FG_BUS_DESC_BRIEF(\"ARRAY\")[1]":"provider of integrated financial information, analytical applications and","FDS^FG_BUS_DESC_BRIEF(\"ARRAY\")[2]":"services for the investment and corporate communities. Since inception,","FDS^FG_BUS_DESC_BRIEF(\"ARRAY\")[3]":"global financial professionals have utilized the Company's content and","FDS^FG_BUS_DESC_BRIEF(\"ARRAY\")[4]":"multi-asset class solutions across each stage of the investment process.","FDS^FG_BUS_DESC_BRIEF(\"ARRAY\")[5]":"FactSet's goal is to provide a seamless user experience spanning idea","FDS^FG_BUS_DESC_BRIEF(\"ARRAY\")[6]":"generation, research, portfolio construction, trade execution,","FDS^FG_BUS_DESC_BRIEF(\"ARRAY\")[7]":"performance measurement, risk management, reporting, and portfolio","FDS^FG_BUS_DESC_BRIEF(\"ARRAY\")[8]":"analysis, in which the Company serves the front, middle, and back offices","FDS^FG_BUS_DESC_BRIEF(\"ARRAY\")[9]":"to drive productivity and improved performance. FactSet's flexible, open","FDS^FG_BUS_DESC_BRIEF(\"ARRAY\")[10]":"data and technology solutions can be implemented both across the","FDS^FG_BUS_DESC_BRIEF(\"ARRAY\")[11]":"investment portfolio lifecycle or as standalone components serving","FDS^FG_BUS_DESC_BRIEF(\"ARRAY\")[12]":"different workflows in the organization. FactSet is focused on growing","FDS^FG_BUS_DESC_BRIEF(\"ARRAY\")[13]":"the business throughout each of its three segments, the Americas, EMEA","FDS^FG_BUS_DESC_BRIEF(\"ARRAY\")[14]":"(formerly known as Europe), and Asia Pacific. The Company primarily","FDS^FG_ADDRESS_L1":"45 Glover Avenue","FDS^FG_ADDRESS_L2":"Norwalk, Connecticut 06850 US","FDS^PROPER(FG_COUNTRY)":"United States","JD^FG_BUS_DESC_BRIEF(\"ARRAY\")[0]":"JD.com, Inc. is a technology driven E-commerce company. It engages in the","FDS^FG_PRICE_ICS(0/0/-1,NOW,D,LOCAL,SPLIT,0,,,5)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FDS^FF_SALES(ANN,-4FY,0FY,,RP)":[1221.179,1350.145,1435.351,1494.111,1591.445],"FDS^FF_SALES(ANN,-5FY,,,RP)":1127.092,"FDS^FF_SGA(ANN,-4FY,0FY,,RP)":[502.781,535.951,546.776,564.949,331.004],"FDS^FF_SGA(ANN,-5FY,,,RP)":282.856,"FDS^FF_EBITDA_OPER(ANN,-4FY,0FY,,RP)":[421.412,437.783,500.292,558.515,581.363],"FDS^FF_EBITDA_OPER(ANN,-5FY,,,RP)":398.079,"FDS^FF_EBIT_OPER(ANN,-4FY,0FY,,RP)":[373.118,380.498,439.829,457.716,474.041],"FDS^FF_EBIT_OPER(ANN,-5FY,,,RP)":360.027,"FDS^FF_NET_INC(ANN,-4FY,0FY,,RP)":[258.259,267.085,352.79,372.938,399.59],"FDS^FF_NET_INC(ANN,-5FY,,,RP)":338.815,"FDS^FF_EPS_DIL(ANN,-4FY,0FY,,RP)":[6.51,6.78,9.0754,9.6501,10.3601],"FDS^FF_EPS_DIL(ANN,-5FY,,,RP)":8.19,"FDS^FF_ASSETS(ANN,-4FY,0FY,,RP)":[1413.315,1419.447,1560.13,2083.388,2222.847],"FDS^FF_ASSETS(ANN,-5FY,,,RP)":1019.161,"FDS^FF_SHLDRS_EQ(ANN,-4FY,0FY,,RP)":[559.691,525.9,672.256,896.375,1016.353],"FDS^FF_SHLDRS_EQ(ANN,-5FY,,,RP)":517.381,"FDS^FF_RECEIV_TOT(ANN,-4FY,0FY,,RP)":[148.331,156.639,146.309,155.011,151.187],"FDS^FF_RECEIV_TOT(ANN,-5FY,,,RP)":97.797,"FDS^FF_INVEN(ANN,-4FY,,,RP)":0.0,"FDS^FF_COGS(ANN,-4FY,0FY,,RP)":[345.28,433.696,448.746,471.446,786.4],"FDS^FF_INVEN(ANN,-5FY,,,RP)":0.0,"FDS^FF_PAY_ACCT(ANN,-4FY,0FY,,RP)":[59.214,70.328,76.045,80.14,85.777],"FDS^FF_PAY_ACCT(ANN,-6FY,,,RP)":33.88,"FDS^P_LOCAL_INDEX":"SP50","FDS^HOMEPAGE":"http://www.factset.com","FDS^FG_VOLUME(0/0/-1,NOW,D,SPLIT)":[0.12934,0.158712,0.141846,0.236154,0.179764,0.211497,0.220667,0.297559,0.42996,0.271764,0.204442,0.161936,0.151505,0.332956,0.224719,0.25225,0.177923,0.125519,0.156616,0.157401,0.17356,0.149292,0.187407,0.166135,0.186743,0.144828,0.08984,0.462463,0.378547,0.188139,0.297559,0.19535,0.174521,0.206993,0.216904,0.214282,0.205386,0.187981,0.21492,0.204984,0.215464,0.467208,0.358306,0.239017,0.213106,0.070314,0.166759,0.155975,0.148339,0.159939,0.295401,0.149374,0.250937,0.204853,0.165875,0.139227,0.18390599999999999,0.143995,0.194715,0.173916,0.206086,0.240578,0.224053,0.193212,0.256185,0.235838,0.348027,0.239568,0.52536,0.199688,0.23206,0.142545,0.198207,0.160618,0.124046,0.208062,0.165536,0.225372,0.115579,0.139678,0.17895,0.134708,0.188753,0.195387,0.210747,0.272831,0.208687,0.390831,0.23735,0.243974,0.252055,0.231114,0.246381,0.235918,0.30067,0.218165,0.246458,0.342246,0.240415,0.197748,0.188778,0.271164,0.603312,0.255322,0.26212,0.25761,0.194698,0.170289,0.301945,0.408824,0.367464,0.279309,0.253615,0.215969,0.247906,0.339612,0.212079,0.213007,0.237656,0.308168,0.388408,0.184512,0.223824,0.198951,0.224392,0.263725,1.450496,0.435253,0.291552,0.224687,0.144686,0.280648,0.181907,0.203959,0.347394,0.150044,0.220408,0.197322,0.162824,0.219635,0.211034,0.150355,0.159141,0.096694,0.131933,0.172348,0.125497,0.118802,0.07989,0.160788,0.265722,0.124551,0.167325,0.143405,0.159925,0.114704,0.14605,0.119425,0.105441,0.106305,0.07979,0.144345,0.151768,0.131817,0.15809,0.403927,0.182222,0.174091,0.104039,0.136946,0.326694,0.206976,0.246452,0.267319,0.218536,0.112576,0.163257,0.150439,0.146138,0.117319,0.193908,0.162576,0.123514,0.120619,0.125321,0.184437,0.253964,0.110077,0.145089,0.10369,0.125017,0.093072,0.106967,0.107177,0.280373,0.188527,0.146389,0.112973,0.153904,0.123477,0.129464,0.12281,0.162144,0.132773,0.115815,0.126182,0.155616,0.205873,0.141336,0.089977,0.157303,0.113627,0.195053,0.124169,0.148418,0.109032,0.277554,0.162729,0.175929,0.095151,0.109316,0.211341,0.098996,0.090673,0.134426,0.144606,0.139114,0.170936,0.514067,0.150352,0.131776,0.122114,0.140657,0.271185,0.29635,0.404796,0.276048,0.216048,0.199382,0.222374,0.207358,0.254844,0.2777,0.186818,0.131207,0.221446,0.135862,0.145306,0.158147,0.16586,0.133584,0.149975,0.200584,2E-06],"FDS^P_PRICE(NOW)":426.99,"FDS^P_PRICE_HIGH(-52AW,0,,,,\"PRICE\",\"INTRA\")":430.23,"FDS^P_PRICE_LOW(-52AW,0,,,,\"PRICE\",\"INTRA\")":294.21,"FDS^P_PRICE_CHANGE(0CY,NOW,RANGE)/100":0.2841804,"FDS^P_PRICE_CHANGE(-1AY,NOW,RANGE)/100":0.28302288,"FDS^BETA(\"SP50\",-60AM,0,AM)":1.0063407,"FDS^FF_FISCAL_DATE(ANN,-4FY,,,RP,\"DATEM\")":"08/2017","FDS^FF_FISCAL_DATE(ANN,-3FY,,,RP,\"DATEM\")":"08/2018","FDS^FF_FISCAL_DATE(ANN,-2FY,,,RP,\"DATEM\")":"08/2019","FDS^FF_FISCAL_DATE(ANN,-1FY,,,RP,\"DATEM\")":"08/2020","FDS^FF_FISCAL_DATE(ANN,0FY,,,RP,\"DATEM\")":"08/2021","FDS^FF_FISCAL_DATE(QTR,0,,,RP,\"DATEM\")@FF_FISCAL_DATE(SEMI,0,,,RP,\"DATEM\")":"08/2021","FDS^FF_SALES(LTM,0)@FF_SALES(LTM_SEMI,0)":1591.446,"FDS^FF_COGS(LTM,0)@FF_COGS(LTM_SEMI,0)":780.498,"FDS^FF_SGA(LTM,0)@FF_SGA(LTM_SEMI,0)":334.601,"FDS^FF_EBITDA_OPER(LTM,0)@FF_EBITDA_OPER(LTM_SEMI,0)":577.767,"FDS^FF_EBIT_OPER(LTM,0)@FF_EBIT_OPER(LTM_SEMI,0)":470.445,"FDS^FF_INT_EXP_NET(ANN,-4FY,,,RP)":8.2,"FDS^FF_INT_EXP_NET(ANN,-3FY,,,RP)":15.9,"FDS^FF_INT_EXP_NET(ANN,-2FY,,,RP)":19.8,"FDS^FF_INT_EXP_NET(ANN,-1FY,,,RP)":12.442,"FDS^FF_INT_EXP_NET(ANN,0FY,,,RP)":6.394,"FDS^FF_INT_EXP_NET(LTM,0)":6.268,"FDS^FF_PTX_INC(ANN,-4FY,0FY,,RP)":[344.312,351.838,421.965,427.134,467.617],"FDS^FF_PTX_INC(LTM,0)@FF_PTX_INC(LTM_SEMI,0)":467.617,"FDS^FF_NET_INC(LTM,0)@FF_NET_INC(LTM_SEMI,0)":399.59,"FDS^FF_EPS_DIL(LTM,0)@FF_EPS_DIL(LTM_SEMI,0)":10.3602,"FDS^FF_COM_SHS_OUT(ANN,-4FY,,,RP)":39.023032,"FDS^FF_COM_SHS_OUT(ANN,-3FY,,,RP)":38.192586,"FDS^FF_COM_SHS_OUT(ANN,-2FY,,,RP)":38.11784,"FDS^FF_COM_SHS_OUT(ANN,-1FY,,,RP)":38.030252,"FDS^FF_COM_SHS_OUT(ANN,0FY,,,RP)":null,"FDS^FF_COM_SHS_OUT(LTM,0)":null,"FDS^FF_CAPEX(ANN,-4FY,0FY,,RP)":[36.862,33.52,59.37,77.642,61.325],"FDS^FF_CAPEX(LTM,0)@FF_CAPEX(LTM_SEMI,0)":61.325,"FDS^FF_FISCAL_DATE(LTM,0,,,RP,\"DATEM\")":"08/2021","FDS^FF_CASH_ST(ANN,-4FY,0FY,,RP)":[227.175,237.882,385.612,605.177,717.849],"FDS^FF_CASH_ST(QTR,0)@FF_CASH_ST(SEMI,0)":717.849,"FDS^FF_RECEIV_TOT(QTR,0,,,RP)@FF_RECEIV_TOT(SEMI,0,,,RP)":151.187,"FDS^FF_INVEN(ANN,-3FY,,,RP)":0.0,"FDS^FF_INVEN(ANN,-2FY,,,RP)":0.0,"FDS^FF_INVEN(ANN,-1FY,,,RP)":0.0,"FDS^FF_INVEN(ANN,0FY,,,RP)":null,"FDS^FF_INVEN(QTR,0)@FF_INVEN(SEMI,0)":null,"FDS^FF_ASSETS_CURR(ANN,-4FY,0FY,,RP)":[409.376,430.916,583.812,841.93,933.578],"FDS^FF_ASSETS_CURR(QTR,0)@FF_ASSETS_CURR(SEMI,0)":933.578,"FDS^FF_PPE_NET(ANN,-4FY,0FY,,RP)":[100.454,100.545,132.524,382.031,370.441],"FDS^FF_PPE_NET(QTR,0)@FF_PPE_NET(SEMI,0)":370.441,"FDS^FF_ASSETS(QTR,0)":2222.847,"FDS^FF_DEBT_ST(ANN,-4FY,0FY,,RP)":[0.0,0.0,0.0,29.056,31.576],"FDS^FF_DEBT_ST(QTR,0)@FF_DEBT_ST(SEMI,0)":31.576,"FDS^FF_PAY_ACCT(QTR,0)@FF_PAY_ACCT(SEMI,0)":85.777,"FDS^FF_LIABS_CURR(ANN,-4FY,0FY,,RP)":[201.139,221.134,218.923,276.293,315.705],"FDS^FF_LIABS_CURR(QTR,0)@FF_LIABS_CURR(SEMI,0)":315.705,"FDS^FF_DEBT_LT(ANN,-4FY,0FY,,RP)":[575.0,574.775,574.174,846.623,834.672],"FDS^FF_DEBT_LT(QTR,0)":834.672,"FDS^FF_LIABS(ANN,-4FY,0FY,,RP)":[853.624,893.547,887.874,1187.013,1206.494],"FDS^FF_LIABS(QTR,0)@FF_LIABS(SEMI,0)":1206.494,"FDS^FF_PFD_STK(ANN,-4FY,0FY,,RP)":[0.0,0.0,0.0,0.0,0.0],"FDS^FF_PFD_STK(QTR,0)@FF_PFD_STK(SEMI,0)":0.0,"FDS^FF_SHLDRS_EQ(QTR,0)@FF_SHLDRS_EQ(SEMI,0)":1016.353,"FDS^FF_LIABS_SHLDRS_EQ(ANN,-4FY,0FY,,RP)":[1413.315,1419.447,1560.13,2083.388,2222.847],"FDS^FF_LIABS_SHLDRS_EQ(QTR,0,,,RP)@FF_LIABS_SHLDRS_EQ(SEMI,0,,,RP)":2222.847,"FDS^FG_PRICE(-4FY,,)":157.18,"FDS^FG_PRICE(-3FY,,)":229.39,"FDS^FG_PRICE(-2FY,,)":272.09,"FDS^FG_PRICE(-1FY,,)":350.4,"FDS^FG_PRICE(-0FY,,)":380.22,"FDS^FG_PRICE(0M,,)":394.78,"FDS^FG_FACTSET_SECTOR":"Technology Services","FDS^FE_ESTIMATE(EPS,MEAN,ANNUAL,+1,NOW)":12.212925,"FDS^FE_ESTIMATE(EPS,MEAN,NTMA,,NOW)":12.379853,"FDS^FE_ESTIMATE(EPS_LTG,MEAN,,,NOW,,,'')/100":0.085,"FDS^CS_EVENT_DATEJ_N(\"ER\",1)":44551,"FDS^FG_FACTSET_IND":"Data Processing Services","FDS^FF_COM_SHS_OUT(CURR,0)":37.4565,"FDS^FF_DPS(LTM,0)":3.18,"JD^FG_COMPANY_NAME":"JD.com, Inc. Sponsored ADR Class A","FDS^P(NOW)":426.99,"FDS^P_CURRENCY(\"ISO\")":"USD","FDS^P_EXCHANGE('NAME','FS')":"NYSE","FDS^FF_COGS(ANN,-5FY,,,RP)":484.209,"SP50^FG_PRICE_ICS(0/0/-1,NOW,D,LOCAL,SPLIT,0,,,5)":[3435.56,3453.49,3465.39,3400.97,3390.68,3271.03,3310.11,3269.96,3310.24,3369.1567,3443.44,3510.45,3509.44,3550.5,3545.53,3572.66,3537.01,3585.15,3626.91,3609.53,3567.79,3581.87,3557.54,3577.59,3635.41,3629.65,3638.35,3621.63,3662.45,3669.01,3666.72,3699.12,3691.96,3702.25,3672.82,3668.1,3663.46,3647.49,3694.62,3701.17,3722.48,3709.41,3694.92,3687.26,3690.01,3703.06,3735.36,3727.04,3732.04,3756.07,3700.65,3726.86,3748.14,3803.79,3824.68,3799.61,3801.19,3809.84,3795.54,3768.25,3798.91,3851.85,3853.07,3841.47,3855.36,3849.62,3750.77,3787.38,3714.24,3773.86,3826.31,3830.17,3871.74,3886.83,3915.59,3911.23,3909.88,3916.38,3934.83,3932.59,3931.33,3913.97,3906.71,3876.5,3881.37,3925.43,3829.34,3811.15,3901.82,3870.29,3819.72,3768.47,3841.94,3821.35,3875.44,3898.81,3939.34,3943.34,3968.94,3962.71,3974.12,3915.46,3913.1,3940.59,3910.52,3889.14,3909.52,3974.54,3971.09,3958.55,3972.89,4019.87,4077.91,4073.94,4079.95,4097.17,4128.8,4127.99,4141.59,4124.66,4170.42,4185.47,4163.26,4134.94,4173.42,4134.98,4180.17,4187.62,4186.72,4183.18,4211.47,4181.17,4192.66,4164.66,4167.59,4201.62,4232.6,4188.43,4152.1,4063.04,4112.5,4173.85,4163.29,4127.83,4115.68,4159.12,4155.86,4197.05,4188.13,4195.99,4200.88,4204.11,4202.04,4208.12,4192.85,4229.89,4226.52,4227.26,4219.55,4239.18,4247.44,4255.15,4246.59,4223.7,4221.86,4166.45,4224.79,4246.44,4241.84,4266.49,4280.7,4290.61,4291.8,4297.5,4319.94,4352.34,4343.54,4358.13,4320.82,4369.55,4384.63,4369.21,4374.3,4360.03,4327.16,4258.49,4323.06,4358.69,4367.48,4411.79,4422.3,4401.46,4400.64,4419.15,4395.26,4387.16,4423.15,4402.66,4429.1,4436.52,4432.35,4436.75,4447.7,4460.83,4468.0,4479.71,4448.08,4400.27,4405.8,4441.67,4479.53,4486.23,4496.19,4470.0,4509.37,4528.79,4522.68,4524.09,4536.95,4535.43,4520.03,4514.07,4493.28,4458.58,4468.73,4443.05,4480.7,4473.75,4432.99,4357.73,4354.19,4395.64,4448.98,4455.48,4443.11,4352.63,4359.461,4307.54,4357.04,4300.46,4345.72,4363.55,4399.76,4391.34,4361.19,4350.65,4363.8,4438.26,4471.37,4486.46,4519.63,4536.19,4549.78,4549.78],"FDS^REBASE(FG_PRICE_ICS(,,,LOCAL,SPLIT,0,,,5), 332.8, 0/0/-1) : 0/0/-1,NOW,D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SP50^REBASE(FG_PRICE_ICS(,,,LOCAL,SPLIT,0,,,5), 332.8, 0/0/-1) : 0/0/-1,NOW,D":[332.8,334.536865023461,335.689608680972,329.449293856023,328.452509634528,316.862108069718,320.647756988671,316.758458009757,320.660349986611,326.367564461107,333.563329413545,340.054535505129,339.956697598063,343.934147562552,343.452707564415,346.080769365111,342.627381853322,347.290665859423,351.335924274354,349.652337319098,345.609016288465,346.972934834496,344.616106835567,346.558334594651,352.159312601148,351.601345923227,352.444108093004,350.824454819593,354.778656172502,355.414118222357,355.192287720197,358.330850283505,357.6372667047,358.634050926195,355.78318993119,355.325967236782,354.876494079568,353.329492717344,357.894938816379,358.529432174085,360.593715143965,359.327634505001,357.923999580854,357.181981394591,357.448371735612,358.712514990278,361.841390632095,361.035438763986,361.519784838571,363.847552073024,358.479060182328,361.018002305301,363.079379198733,368.47015100886,370.493748908475,368.065237690508,368.218291050076,369.056209759108,367.670979985796,365.027419110713,367.997429240066,373.125685477768,373.243865919966,372.12018302693,373.465696422126,372.909667128503,363.334145233965,366.880527192074,359.795512813049,365.570855406397,370.65164572879,371.025560898369,375.052414162466,376.514170615562,379.300129236573,378.877779459535,378.747006019397,379.376655916357,381.163892931574,380.946905890161,380.824850679365,379.143201108407,378.43993060811,375.51351162547,375.985264702116,380.253322311355,370.945159449988,369.183108430649,377.966240147167,374.911953800836,370.013277602487,365.048730337994,372.165711557941,370.171174422802,375.410830257658,377.674663810267,381.60077309085,381.988249950518,384.468101852391,383.864606643458,384.969884385661,379.287536238634,379.05892489143,381.721859609496,378.809002316944,376.73793850202,378.712133102027,385.010569455926,384.676370664462,383.461630709404,384.850735251313,389.40165096811,395.023940201888,394.639369418668,395.221553400319,396.889641281189,399.953614549011,399.875150484928,401.192571807798,399.552575999255,403.985311273854,405.443192958353,403.291727695048,400.548391528601,404.275918918604,400.552266297198,404.929786119294,405.651461770425,405.564279476999,405.221362456194,407.961792546193,405.02665533421,406.139682613606,403.427344595932,403.711171395639,407.007630779262,410.008639057388,405.729925834507,402.210667256575,393.583494976074,398.374646345865,404.317572681019,403.294633771496,399.859651410542,398.682690449301,402.890689145292,402.574895504663,406.564938467091,405.700865070032,406.462257099279,406.935947560223,407.248835124405,407.048315849527,407.637280676222,406.15808776444,409.746123484963,409.419674230693,409.491357449732,408.744495802722,410.646038491541,411.446178206755,412.193039853765,411.363839374076,409.146503044627,408.96826368918,403.600740490633,409.252090488887,411.349308991838,410.90371060322,413.291536750923,414.668048294892,415.628022214719,415.74329658047,416.295451105497,418.469196288232,421.607758851541,420.755309760272,422.16863160591,418.554441197359,423.274878040261,424.735665801209,423.24194250719,423.735006811117,422.352683114252,419.168592019933,412.516583031587,418.771428238773,422.222878366263,423.074358765383,427.366633678352,428.384729127129,426.36597468826,426.286541932029,428.079591100141,425.765385555776,424.980744914948,428.467067959809,426.482217746161,429.043439788564,429.762209363248,429.358264737044,429.784489282679,430.845207186019,432.117099977878,432.811652248833,433.94599075551,430.882017487688,426.250700322509,426.786387081,430.26108582007,433.928554296825,434.577578036768,435.542395417341,433.005390678667,436.819131669946,438.700331823633,438.10846092049,438.245046513523,439.490784617355,439.343543410681,437.851757500961,437.274416980056,435.260506001933,431.899144244315,432.882366775722,430.394765336655,434.041891278278,433.368650234605,429.420261034591,422.129883919943,421.786966899137,425.802195857444,430.969199781113,431.598849678073,430.40057748955,421.635850923867,422.297564530964,417.268018023263,422.063044161651,416.582183981651,420.966484648791,422.69366275076,426.201297022902,425.385658233301,422.465051403556,421.444049878331,422.717880054489,429.930761797203,433.138101503103,434.599857956199,437.813009814994,439.417164014018,440.733616644739,440.733616644739],"JD^FG_BUS_DESC_BRIEF(\"ARRAY\")[1]":"sale of electronics products and general merchandise products, including","JD^FG_BUS_DESC_BRIEF(\"ARRAY\")[2]":"audio, video products, and books. The company operates through the JD","JD^FG_BUS_DESC_BRIEF(\"ARRAY\")[3]":"Retail and New Businesses segments. The JD Retail segment offers online","JD^FG_BUS_DESC_BRIEF(\"ARRAY\")[4]":"retail, online marketplace, and marketing services. The New Businesses","JD^FG_BUS_DESC_BRIEF(\"ARRAY\")[5]":"segment consists of logistic services provided to third parties, the","JD^FG_BUS_DESC_BRIEF(\"ARRAY\")[6]":"overseas business, and technology initiatives, asset management services","JD^FG_BUS_DESC_BRIEF(\"ARRAY\")[7]":"to logistics property investors, and the sale of development properties","JD^FG_BUS_DESC_BRIEF(\"ARRAY\")[8]":"by JD Property. The company was founded on June 18, 1998 by Qiang Dong","JD^FG_BUS_DESC_BRIEF(\"ARRAY\")[9]":"Liu and is headquartered in Beijing, China.","JD^FG_BUS_DESC_BRIEF(\"ARRAY\")[10]":null,"JD^FG_BUS_DESC_BRIEF(\"ARRAY\")[11]":null,"JD^FG_BUS_DESC_BRIEF(\"ARRAY\")[12]":null,"JD^FG_BUS_DESC_BRIEF(\"ARRAY\")[13]":null,"JD^FG_BUS_DESC_BRIEF(\"ARRAY\")[14]":null,"JD^FG_ADDRESS_L1":"No. 18 Kechuang 11 Street","JD^FG_ADDRESS_L2":"Beijing, Beijing 101111 China","JD^PROPER(FG_COUNTRY)":"Hong Kong","JD^FF_SALES(ANN,-4FY,0FY,,RP)":[53613.4779423297,69823.0235914103,83487.7885460179,108052.240301348,147548.346605138],"JD^FF_SALES(ANN,-5FY,,,RP)":39153.963036177,"JD^FF_SGA(ANN,-4FY,0FY,,RP)":[7379.51541425642,10086.7960876033,11302.9761033912,14070.9887397552,19258.6115083257],"JD^FF_SGA(ANN,-5FY,,,RP)":6256.85990877324,"JD^FF_EBITDA_OPER(ANN,-4FY,0FY,,RP)":[484.27461,420.44947,1590.84866,2466.47986,1489.51501],"JD^FF_EBITDA_OPER(ANN,-5FY,,,RP)":216.73942,"JD^FF_EBIT_OPER(ANN,-4FY,0FY,,RP)":[-123.62365,-392.44513,739.54826,1549.36394,523.14631],"JD^FF_EBIT_OPER(ANN,-5FY,,,RP)":-322.85363,"JD^FF_NET_INC(ANN,-4FY,0FY,,RP)":[17.285465076144,-376.549587655485,1763.30120025746,7157.85938323261,-551.923747105321],"JD^FF_NET_INC(ANN,-5FY,,,RP)":-573.004660748199,"JD^FF_EPS_DIL(ANN,-4FY,0FY,,RP)":[-0.0146,-0.2447,1.1458,4.5899,-0.3552],"JD^FF_EPS_DIL(ANN,-5FY,,,RP)":-0.3723,"JD^FF_ASSETS(ANN,-4FY,0FY,,RP)":[28263.9689803446,30465.1902937799,37286.0881174907,64571.9737606665,77903.5698651439],"JD^FF_ASSETS(ANN,-5FY,,,RP)":23076.9865457942,"JD^FF_SHLDRS_EQ(ANN,-4FY,0FY,,RP)":[7991.52549140068,8705.73619587242,11751.291327505,28677.221780483,32778.9393333186],"JD^FF_SHLDRS_EQ(ANN,-5FY,,,RP)":4877.02712425345,"JD^FF_RECEIV_TOT(ANN,-4FY,0FY,,RP)":[4958.29330466842,2470.64800384525,1719.29798871617,2211.45402000065,2730.06095695365],"JD^FF_RECEIV_TOT(ANN,-5FY,,,RP)":4543.11432477148,"JD^FF_INVEN(ANN,-4FY,,,RP)":6464.21268427534,"JD^FF_COGS(ANN,-4FY,0FY,,RP)":[46357.5861785065,60128.672635541,71445.2641803285,92431.8876255565,127766.588786365],"JD^FF_INVEN(ANN,-5FY,,,RP)":4364.79948197704,"JD^FF_PAY_ACCT(ANN,-4FY,0FY,,RP)":[11415.495700246,11649.9436328418,12981.9518497784,16333.592005872,22042.4274518117],"JD^FF_PAY_ACCT(ANN,-6FY,,,RP)":4592.11238758171,"JD^HOMEPAGE":"http://www.jd.com","^JULIAN(DATE_YYYYMMDD(0/0/-1, NOW, D))":[44285,44286,44287,44288,44292,44293,44294,44295,44298,44299,44300,44301,44302,44305,44306,44307,44308,44309,44312,44313,44314,44315,44316,44322,44323,44326,44327,44328,44329,44330,44333,44334,44335,44336,44337,44340,44341,44342,44343,44344,44347,44348,44349,44350,44351,44354,44355,44356,44357,44358,44362,44363,44364,44365,44368,44369,44370,44371,44372,44375,44376,44377,44378,44379,44382,44383,44384,44385,44386,44389,44390,44391,44392,44393,44396,44397,44398,44399,44400,44403,44404,44405,44406,44407,44410,44411,44412,44413,44414,44417,44418,44419,44420,44421,44424,44425,44426,44427,44428,44431,44432,44433,44434,44435,44438,44439,44440,44441,44442,44445,44446,44447,44448,44449,44452,44453,44454,44455,44456,44461,44462,44463,44466,44467,44468,44469,44477,44480,44481,44482,44483,44484,44487,44488,44489,44490,44491,44494,44495,44496,44497,44498,44501,44502,44503,44504,44505,44508,44509,44510,44511,44512,44515,44516,44517,44518,44519,44522,44523,44524,44525,44526,44529,44530,44531,44532,44533,44536,44537,44538,44539,44540,44543,44544,44545,44546,44547,44550,44551,44552,44553,44554,44557,44558,44559,44560,44561,44565,44566,44567,44568,44571,44572,44573,44574,44575,44578,44579,44580,44581,44582,44585,44586,44587,44588,44589,44599,44600,44601,44602,44603,44606,44607,44608,44609,44610,44613,44614,44615,44616,44617,44620,44621,44622,44623,44624,44627,44628,44629,44630,44631,44634,44635,44636,44637,44638,44641,44642,44643,44644,44645,44648,44649,44650,44651],"JD^FG_PRICE_ICS(0/0/-1,NOW,D,LOCAL,SPLIT,0,,,5)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JD^P_LOCAL_INDEX":"SP50","JD^FG_VOLUME(0/0/-1,NOW,D,SPLIT)":[7.102211,10.1406,11.9091,null,8.909481,9.445156,6.65182,8.313427,14.30254,12.51154,8.603738,8.614366,13.89161,9.509046,15.55075,10.83353,9.508967,9.587386,12.23862,11.83405,7.035546,7.32734,6.386928,8.142913,7.808512,16.60201,10.50722,8.704053,34.600006,19.3667,11.87467,12.59403,15.6178,18.38454,10.65772,8.579512,9.398954,6.598702,9.926226,7.876436,null,21.29213,9.419916,12.02768,8.264643,8.419478,8.902747,7.421482,9.47661,11.38708,8.45556,12.30648,12.894,27.66653,8.410114,10.25039,7.976604,9.80007,16.60447,8.378976,11.87644,11.26397,11.11665,8.016401,null,15.59127,10.45951,11.91878,11.20542,5.664117,15.41283,9.620573,9.169867,6.527675,9.476921,6.612382,6.17602,4.531898,20.29002,39.96756,44.22916,33.62872,17.06503,9.947957,8.422528,8.509517,8.074923,7.485547,6.977587,6.342002,5.195324,5.674238,5.78382,5.630593,12.50281,13.38599,9.352488,16.72476,14.98685,19.78276,35.95469,11.31188,11.58111,12.96955,7.979903,13.04441,12.06146,9.906151,8.507041,null,19.34413,7.158622,9.719349,8.229947,7.567679,11.32503,10.90163,7.989437,9.779545,7.788362,4.93146,6.085782,7.938996,11.18538,12.04524,7.134269,11.56328,10.27027,8.772753,9.579548,7.895681,8.360972,6.106603,11.38385,9.831278,6.718708,5.852466,5.129227,6.447767,5.779849,4.468662,8.080133,6.063625,6.083705,5.520253,6.799745,5.704234,6.595199,5.2502,8.36711,15.63726,9.315097,7.317918,9.06469,7.427147,19.31872,15.1839,12.30157,11.90336,6.977328,null,8.311022,9.475248,14.60836,8.963097,10.69533,20.65693,22.19176,14.54843,11.27031,7.49832,10.62483,6.05947,5.595971,14.82151,7.849844,13.13054,10.71484,9.822844,9.264729,26.52902,null,7.691903,9.263487,6.469254,13.90263,5.446238,19.98982,19.18811,12.96537,13.00826,15.80419,27.3756,12.93959,12.50423,12.7831,null,10.21382,6.318328,26.21826,14.4405,15.5034,7.291178,9.546074,13.13708,9.026547,6.135832,7.903249,7.061571,6.432184,6.673354,5.244967,6.766205,6.20116,5.944452,8.913822,null,8.539445,9.412824,10.30709,6.711319,6.469842,8.89576,4.990926,16.44839,15.96782,15.69678,11.86944,9.487275,55.34814,32.96304,47.47733,39.19454,60.08131,25.85408,46.3441,19.69858,19.03855,23.6264,20.64091,16.01403,18.14596,13.14416,10.68729,null],"JD^P_PRICE(NOW)":61.49,"JD^P_PRICE_HIGH(-52AW,0,,,,\"PRICE\",\"INTRA\")":92.69,"JD^P_PRICE_LOW(-52AW,0,,,,\"PRICE\",\"INTRA\")":41.56,"JD^P_PRICE_CHANGE(0CY,NOW,RANGE)/100":-0.12244898,"JD^P_PRICE_CHANGE(-1AY,NOW,RANGE)/100":-0.25915658,"JD^BETA(\"SP50\",-60AM,0,AM)":0.70359516,"JD^FF_FISCAL_DATE(ANN,-4FY,,,RP,\"DATEM\")":"12/2017","JD^FF_FISCAL_DATE(ANN,-3FY,,,RP,\"DATEM\")":"12/2018","JD^FF_FISCAL_DATE(ANN,-2FY,,,RP,\"DATEM\")":"12/2019","JD^FF_FISCAL_DATE(ANN,-1FY,,,RP,\"DATEM\")":"12/2020","JD^FF_FISCAL_DATE(ANN,0FY,,,RP,\"DATEM\")":"12/2021","JD^FF_FISCAL_DATE(QTR,0,,,RP,\"DATEM\")@FF_FISCAL_DATE(SEMI,0,,,RP,\"DATEM\")":"12/2021","JD^FF_SALES(LTM,0)@FF_SALES(LTM_SEMI,0)":147625.578788965,"JD^FF_COGS(LTM,0)@FF_COGS(LTM_SEMI,0)":127835.032106131,"JD^FF_SGA(LTM,0)@FF_SGA(LTM_SEMI,0)":19270.0649917947,"JD^FF_EBITDA_OPER(LTM,0)@FF_EBITDA_OPER(LTM_SEMI,0)":1451.19569,"JD^FF_EBIT_OPER(LTM,0)@FF_EBIT_OPER(LTM_SEMI,0)":520.48169,"JD^FF_INT_EXP_NET(ANN,-4FY,,,RP)":142.602904351289,"JD^FF_INT_EXP_NET(ANN,-3FY,,,RP)":129.142587024631,"JD^FF_INT_EXP_NET(ANN,-2FY,,,RP)":104.924059419686,"JD^FF_INT_EXP_NET(ANN,-1FY,,,RP)":163.016921888705,"JD^FF_INT_EXP_NET(ANN,0FY,,,RP)":188.151276970004,"JD^FF_INT_EXP_NET(LTM,0)":188.398800021067,"JD^FF_PTX_INC(ANN,-4FY,0FY,,RP)":[302.990961462764,-190.504879073137,2233.15131489824,6740.92410565728,362.403961891882],"JD^FF_PTX_INC(LTM,0)@FF_PTX_INC(LTM_SEMI,0)":359.031037243975,"JD^FF_NET_INC(LTM,0)@FF_NET_INC(LTM_SEMI,0)":-560.353792169055,"JD^FF_EPS_DIL(LTM,0)@FF_EPS_DIL(LTM_SEMI,0)":-0.3732,"JD^FF_COM_SHS_OUT(ANN,-4FY,,,RP)":1329.5005,"JD^FF_COM_SHS_OUT(ANN,-3FY,,,RP)":1329.5005,"JD^FF_COM_SHS_OUT(ANN,-2FY,,,RP)":1329.5005,"JD^FF_COM_SHS_OUT(ANN,-1FY,,,RP)":1339.4565,"JD^FF_COM_SHS_OUT(ANN,0FY,,,RP)":null,"JD^FF_COM_SHS_OUT(LTM,0)":null,"JD^FF_CAPEX(ANN,-4FY,0FY,,RP)":[1680.3052647391,3229.47807887693,1302.42855375916,1804.76253702638,null],"JD^FF_CAPEX(LTM,0)@FF_CAPEX(LTM_SEMI,0)":null,"JD^FF_FISCAL_DATE(LTM,0,,,RP,\"DATEM\")":"12/2021","JD^FF_CASH_ST(ANN,-4FY,0FY,,RP)":[5894.71575552839,5758.71841181538,9261.81948691462,23104.1339184688,30008.7577176847],"JD^FF_CASH_ST(QTR,0)@FF_CASH_ST(SEMI,0)":30008.7577176847,"JD^FF_RECEIV_TOT(QTR,0,,,RP)@FF_RECEIV_TOT(SEMI,0,,,RP)":2730.06095695365,"JD^FF_INVEN(ANN,-3FY,,,RP)":6482.54263949793,"JD^FF_INVEN(ANN,-2FY,,,RP)":8401.9245732663,"JD^FF_INVEN(ANN,-1FY,,,RP)":9587.5182727302,"JD^FF_INVEN(ANN,0FY,,,RP)":12483.2394266755,"JD^FF_INVEN(QTR,0)@FF_INVEN(SEMI,0)":12483.2394266755,"JD^FF_ASSETS_CURR(ANN,-4FY,0FY,,RP)":[17664.1050368554,15272.4090770063,19968.4967770651,35903.430991774,47019.4822189287],"JD^FF_ASSETS_CURR(QTR,0)@FF_ASSETS_CURR(SEMI,0)":47019.4822189287,"JD^FF_PPE_NET(ANN,-4FY,0FY,,RP)":[2421.78961916468,4025.30696068872,5039.54749702121,7031.87528670612,9217.8785097322],"JD^FF_PPE_NET(QTR,0)@FF_PPE_NET(SEMI,0)":9217.8785097322,"JD^FF_ASSETS(QTR,0)":77903.5698651439,"JD^FF_DEBT_ST(ANN,-4FY,0FY,,RP)":[2002.00522113027,668.236742065645,516.369926927669,1382.7010000306,1731.03846485762],"JD^FF_DEBT_ST(QTR,0)@FF_DEBT_ST(SEMI,0)":1731.03846485762,"JD^FF_PAY_ACCT(QTR,0)@FF_PAY_ACCT(SEMI,0)":22042.4274518117,"JD^FF_LIABS_CURR(ANN,-4FY,0FY,,RP)":[18158.8791461921,17603.7425171508,20100.9261093648,26608.866020368,34775.361466106],"JD^FF_LIABS_CURR(QTR,0)@FF_LIABS_CURR(SEMI,0)":34775.361466106,"JD^FF_DEBT_LT(ANN,-4FY,0FY,,RP)":[1677.30267199021,1438.24853984302,2235.94843303621,3483.39673996152,3625.52754830673],"JD^FF_DEBT_LT(QTR,0)":3625.52754830673,"JD^FF_LIABS(ANN,-4FY,0FY,,RP)":[20219.0207309587,19275.0503226186,22840.4141723018,30684.2224532865,39182.3125985561],"JD^FF_LIABS(QTR,0)@FF_LIABS(SEMI,0)":39182.3125985561,"JD^FF_PFD_STK(ANN,-4FY,0FY,,RP)":[0.0,0.0,0.0,0.0,0.0],"JD^FF_PFD_STK(QTR,0)@FF_PFD_STK(SEMI,0)":0.0,"JD^FF_SHLDRS_EQ(QTR,0)@FF_SHLDRS_EQ(SEMI,0)":32778.9393333186,"JD^FF_LIABS_SHLDRS_EQ(ANN,-4FY,0FY,,RP)":[28263.9689803446,30465.1902937799,37286.0881174907,64571.9737606665,77903.5698651439],"JD^FF_LIABS_SHLDRS_EQ(QTR,0,,,RP)@FF_LIABS_SHLDRS_EQ(SEMI,0,,,RP)":77903.5698651439,"JD^FG_PRICE(-4FY,,)":41.42,"JD^FG_PRICE(-3FY,,)":21.71,"JD^FG_PRICE(-2FY,,)":35.23,"JD^FG_PRICE(-1FY,,)":87.9,"JD^FG_PRICE(-0FY,,)":70.07,"JD^FG_PRICE(0M,,)":71.63,"JD^FG_FACTSET_SECTOR":"Retail Trade","JD^FE_ESTIMATE(EPS,MEAN,ANNUAL,+1,NOW)":1.9583534,"JD^FE_ESTIMATE(EPS,MEAN,NTMA,,NOW)":2.2140288,"JD^FE_ESTIMATE(EPS_LTG,MEAN,,,NOW,,,'')/100":-0.06498662,"JD^CS_EVENT_DATEJ_N(\"ER\",1)":44692,"JD^FG_FACTSET_IND":"Internet Retail","JD^FF_COM_SHS_OUT(CURR,0)":1317.449284,"JD^FF_DPS(LTM,0)":null,"DUMMY^JULIAN(TODAY)":44651,"JD^P(NOW)":61.49,"JD^P_CURRENCY(\"ISO\")":"USD","JD^P_EXCHANGE('NAME','FS')":"NASDAQ","JD^FF_COGS(ANN,-5FY,,,RP)":33219.9567594205,"JD^REBASE(FG_PRICE_ICS(,,,LOCAL,SPLIT,0,,,5), 83, 0/0/-1) : 0/0/-1,NOW,D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SP50^REBASE(FG_PRICE_ICS(,,,LOCAL,SPLIT,0,,,5), 83, 0/0/-1) : 0/0/-1,NOW,D":[83.0,83.3006707001301,84.2857132030668,84.2857132030668,85.4194136741989,85.5454269871544,85.9064834345909,86.5696782912935,86.5526947998636,86.8378497176997,86.4828737795405,87.4423362089654,87.7578936731884,87.2922105316341,86.6984173497871,87.5052380290763,86.699256040722,87.6467671243258,87.8029733109346,87.7841027649013,87.7098786171704,88.3030427808162,87.6677343976961,88.0965151381187,88.7460812671306,87.8199568023645,87.0582157608215,85.1908703944626,86.2279117353576,87.5142539566255,87.2928395498352,86.5493400361243,86.2945876646752,87.205406019881,87.1370527086938,88.0006946988165,87.8136666203534,87.978469389044,88.0809993558247,88.1487236488108,88.1487236488108,88.1053213929343,88.2328024150257,87.9126321506612,88.6892599562971,88.6186002450392,88.6341160273332,88.4724583496482,88.8840459259072,89.0572356039459,89.0394134215811,88.559472534135,88.5208927511336,87.3590961336853,88.5823268621086,89.0362683305756,88.9398188730722,89.4566621616501,89.7546071162421,89.9623927953417,89.9873438506524,90.1068573088631,90.5773629232926,91.2567025804903,91.2567025804903,91.0721905748317,91.3781030933044,90.5958141238585,91.6175493551932,91.9337358376173,91.6104204822473,91.7171439037021,91.4179409127079,90.7287466370262,89.2889239746877,90.642780816208,91.3898447663917,91.5741470993167,92.5032069823547,92.7235730254765,92.2866150484395,92.2694218842758,92.65752611436,92.1566179535436,91.9867830392442,92.7413952078413,92.3117757764838,92.8661504843946,93.0217276528022,92.934294122848,93.0265501256773,93.2561417690821,93.5314420684341,93.6817774184992,93.9273041896654,93.2641093329628,92.2616639931288,92.3776130148666,93.1297091106592,93.9235300804587,94.0640108120398,94.2728448548079,93.7237119652398,94.5491935178285,94.9563779666797,94.8282679263872,94.8578317818393,95.1274709173814,95.0956006618585,95.0956006618585,94.7727046519559,94.6477397026689,94.2118300893004,93.484265703351,93.6970835280595,93.1586439479102,93.948061790302,93.8023392403784,92.947713177805,92.1645855174243,93.2829798789961,93.419267155903,93.1599019843124,91.2627830897677,91.4060105341602,90.3173687335009,92.074426241932,91.4422629498175,91.2212678884945,91.496987533314,93.0582107084665,93.7524371297571,94.0688332849149,94.7643177426078,95.1115357896199,95.3964810347223,95.2941607406752,95.7466345000063,95.9208725417135,95.4363188541259,96.3743946647131,96.562261434111,96.7360801303508,97.0921044321784,97.7194452514178,98.128097409405,98.4943956751841,98.5818292051382,98.2369175581968,97.4288388425055,97.4825150623334,98.1865961021081,98.1855477384396,98.565055386442,98.3086256331232,98.6413762615099,98.5034116027333,98.1884831567114,98.3511891980649,98.5767970595294,98.5767970595294,96.3366535726465,97.6083187025552,95.7575374821589,94.6261434110975,95.9693069431989,95.1585024819694,96.2748001162042,98.2683684682523,98.5715552411868,97.8637000922055,98.7982114663197,97.8955703477283,97.1642318525723,98.7527124831062,97.8892801657172,96.8822220257418,95.7789241009966,97.4816763713986,98.4740574200149,99.0869308206288,99.0869308206288,100.458190499046,100.356708895934,100.497399300249,100.196938272852,99.9337989920552,100.507463591467,98.5583458589635,98.463364110596,98.0645665710929,97.9232471485771,98.8202271033585,99.0986724937161,97.6871556504275,97.7672506347021,97.7672506347021,95.9695166159326,95.0396180419598,93.9906253552437,92.212810246176,92.46840130856,91.3428780740423,91.2061714516679,90.7151179093355,92.9238104861629,94.0145280468858,94.804365234745,96.1806570587715,94.4382766416996,92.6468328049412,92.2910181758472,93.746146947746,93.828758004825,91.8421088529891,91.1839461418954,91.1839461418954,90.2590797135315,88.5972136262015,89.9223453032044,91.9341551830847,91.7095956852888,90.2905306235869,91.9737833297546,91.4904876785692,90.7646006744894,88.0854024832325,87.4482070455091,89.6954794053378,89.3105202662591,88.1529171034849,87.4987381743315,89.3719543772341,91.3724419294944,92.5006909095502,93.5794571244521,93.5387806141138,94.596160210178,93.4352022836645,94.775430397494,95.2555809576739,95.9361786512738,97.1120233418802,96.500827323136,96.500827323136]}]]></FdsFormulaCache>
</file>

<file path=customXml/itemProps1.xml><?xml version="1.0" encoding="utf-8"?>
<ds:datastoreItem xmlns:ds="http://schemas.openxmlformats.org/officeDocument/2006/customXml" ds:itemID="{527AE2B3-EEBD-447A-BD19-AB0BE27B1D9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全球股指</vt:lpstr>
      <vt:lpstr>行业表现</vt:lpstr>
      <vt:lpstr>风格表现</vt:lpstr>
      <vt:lpstr>全球重要商品</vt:lpstr>
      <vt:lpstr>重要外汇</vt:lpstr>
    </vt:vector>
  </TitlesOfParts>
  <Company>FactSet Research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at a Glance</dc:title>
  <dc:creator>Wind</dc:creator>
  <cp:lastModifiedBy>Cui YongQiang</cp:lastModifiedBy>
  <cp:lastPrinted>2012-08-17T09:22:51Z</cp:lastPrinted>
  <dcterms:created xsi:type="dcterms:W3CDTF">2002-04-02T21:37:13Z</dcterms:created>
  <dcterms:modified xsi:type="dcterms:W3CDTF">2024-04-17T07:56:52Z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SMenuDocLevelBtnStates">
    <vt:lpwstr>&lt;btnStates&gt;&lt;btn tag="1001" state="UP"/&gt;&lt;/btnStates&gt;_x000d_
</vt:lpwstr>
  </property>
  <property fmtid="{D5CDD505-2E9C-101B-9397-08002B2CF9AE}" pid="3" name="FactSetAutoResize">
    <vt:i4>1</vt:i4>
  </property>
  <property fmtid="{D5CDD505-2E9C-101B-9397-08002B2CF9AE}" pid="4" name="=fdsSearchOrder">
    <vt:i4>0</vt:i4>
  </property>
</Properties>
</file>