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yu.Lucine\Desktop\"/>
    </mc:Choice>
  </mc:AlternateContent>
  <bookViews>
    <workbookView xWindow="240" yWindow="30" windowWidth="14895" windowHeight="5685"/>
  </bookViews>
  <sheets>
    <sheet name="情景分析" sheetId="2" r:id="rId1"/>
    <sheet name="持仓数据" sheetId="1" r:id="rId2"/>
    <sheet name="持仓数据_备份" sheetId="8" r:id="rId3"/>
    <sheet name="使用说明" sheetId="4" r:id="rId4"/>
    <sheet name="算法说明" sheetId="5" r:id="rId5"/>
    <sheet name="Wind模板" sheetId="7" state="veryHidden" r:id="rId6"/>
  </sheets>
  <externalReferences>
    <externalReference r:id="rId7"/>
    <externalReference r:id="rId8"/>
    <externalReference r:id="rId9"/>
  </externalReferences>
  <definedNames>
    <definedName name="A股列表">[1]证券列表!$A$1:$A$1898</definedName>
    <definedName name="Index">[1]证券列表!$B$1:$B$7</definedName>
  </definedNames>
  <calcPr calcId="162913"/>
</workbook>
</file>

<file path=xl/calcChain.xml><?xml version="1.0" encoding="utf-8"?>
<calcChain xmlns="http://schemas.openxmlformats.org/spreadsheetml/2006/main">
  <c r="AW64" i="8" l="1"/>
  <c r="AV64" i="8"/>
  <c r="AU64" i="8"/>
  <c r="AT64" i="8"/>
  <c r="AS64" i="8"/>
  <c r="AR64" i="8"/>
  <c r="AQ64" i="8"/>
  <c r="AP64" i="8"/>
  <c r="AO64" i="8"/>
  <c r="AN64" i="8"/>
  <c r="AM64" i="8"/>
  <c r="AL64" i="8"/>
  <c r="AK64" i="8"/>
  <c r="AJ64" i="8"/>
  <c r="AI64" i="8"/>
  <c r="AH64" i="8"/>
  <c r="AG64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L64" i="8"/>
  <c r="K64" i="8"/>
  <c r="J64" i="8"/>
  <c r="I64" i="8"/>
  <c r="F64" i="8"/>
  <c r="E64" i="8"/>
  <c r="D64" i="8"/>
  <c r="B64" i="8"/>
  <c r="AW63" i="8"/>
  <c r="AV63" i="8"/>
  <c r="AU63" i="8"/>
  <c r="AT63" i="8"/>
  <c r="AS63" i="8"/>
  <c r="AR63" i="8"/>
  <c r="AQ63" i="8"/>
  <c r="AP63" i="8"/>
  <c r="AO63" i="8"/>
  <c r="AN63" i="8"/>
  <c r="AM63" i="8"/>
  <c r="AL63" i="8"/>
  <c r="AK63" i="8"/>
  <c r="AJ63" i="8"/>
  <c r="AI63" i="8"/>
  <c r="AH63" i="8"/>
  <c r="AG63" i="8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L63" i="8"/>
  <c r="K63" i="8"/>
  <c r="J63" i="8"/>
  <c r="I63" i="8"/>
  <c r="F63" i="8"/>
  <c r="E63" i="8"/>
  <c r="D63" i="8"/>
  <c r="B63" i="8"/>
  <c r="AW62" i="8"/>
  <c r="AV62" i="8"/>
  <c r="AU62" i="8"/>
  <c r="AT62" i="8"/>
  <c r="AS62" i="8"/>
  <c r="AR62" i="8"/>
  <c r="AQ62" i="8"/>
  <c r="AP62" i="8"/>
  <c r="AO62" i="8"/>
  <c r="AN62" i="8"/>
  <c r="AM62" i="8"/>
  <c r="AL62" i="8"/>
  <c r="AK62" i="8"/>
  <c r="AJ62" i="8"/>
  <c r="AI62" i="8"/>
  <c r="AH62" i="8"/>
  <c r="AG62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L62" i="8"/>
  <c r="K62" i="8"/>
  <c r="J62" i="8"/>
  <c r="I62" i="8"/>
  <c r="F62" i="8"/>
  <c r="E62" i="8"/>
  <c r="D62" i="8"/>
  <c r="B62" i="8"/>
  <c r="AW61" i="8"/>
  <c r="AV61" i="8"/>
  <c r="AU61" i="8"/>
  <c r="AT61" i="8"/>
  <c r="AS61" i="8"/>
  <c r="AR61" i="8"/>
  <c r="AQ61" i="8"/>
  <c r="AP61" i="8"/>
  <c r="AO61" i="8"/>
  <c r="AN61" i="8"/>
  <c r="AM61" i="8"/>
  <c r="AL61" i="8"/>
  <c r="AK61" i="8"/>
  <c r="AJ61" i="8"/>
  <c r="AI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L61" i="8"/>
  <c r="K61" i="8"/>
  <c r="J61" i="8"/>
  <c r="I61" i="8"/>
  <c r="F61" i="8"/>
  <c r="E61" i="8"/>
  <c r="D61" i="8"/>
  <c r="B61" i="8"/>
  <c r="AW60" i="8"/>
  <c r="AV60" i="8"/>
  <c r="AU60" i="8"/>
  <c r="AT60" i="8"/>
  <c r="AS60" i="8"/>
  <c r="AR60" i="8"/>
  <c r="AQ60" i="8"/>
  <c r="AP60" i="8"/>
  <c r="AO60" i="8"/>
  <c r="AN60" i="8"/>
  <c r="AM60" i="8"/>
  <c r="AL60" i="8"/>
  <c r="AK60" i="8"/>
  <c r="AJ60" i="8"/>
  <c r="AI60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L60" i="8"/>
  <c r="K60" i="8"/>
  <c r="J60" i="8"/>
  <c r="I60" i="8"/>
  <c r="F60" i="8"/>
  <c r="E60" i="8"/>
  <c r="D60" i="8"/>
  <c r="B60" i="8"/>
  <c r="AW59" i="8"/>
  <c r="AV59" i="8"/>
  <c r="AU59" i="8"/>
  <c r="AT59" i="8"/>
  <c r="AS59" i="8"/>
  <c r="AR59" i="8"/>
  <c r="AQ59" i="8"/>
  <c r="AP59" i="8"/>
  <c r="AO59" i="8"/>
  <c r="AN59" i="8"/>
  <c r="AM59" i="8"/>
  <c r="AL59" i="8"/>
  <c r="AK59" i="8"/>
  <c r="AJ59" i="8"/>
  <c r="AI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L59" i="8"/>
  <c r="K59" i="8"/>
  <c r="J59" i="8"/>
  <c r="I59" i="8"/>
  <c r="F59" i="8"/>
  <c r="E59" i="8"/>
  <c r="D59" i="8"/>
  <c r="B59" i="8"/>
  <c r="AW58" i="8"/>
  <c r="AV58" i="8"/>
  <c r="AU58" i="8"/>
  <c r="AT58" i="8"/>
  <c r="AS58" i="8"/>
  <c r="AR58" i="8"/>
  <c r="AQ58" i="8"/>
  <c r="AP58" i="8"/>
  <c r="AO58" i="8"/>
  <c r="AN58" i="8"/>
  <c r="AM58" i="8"/>
  <c r="AL58" i="8"/>
  <c r="AK58" i="8"/>
  <c r="AJ58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L58" i="8"/>
  <c r="K58" i="8"/>
  <c r="J58" i="8"/>
  <c r="I58" i="8"/>
  <c r="F58" i="8"/>
  <c r="E58" i="8"/>
  <c r="D58" i="8"/>
  <c r="B58" i="8"/>
  <c r="AW57" i="8"/>
  <c r="AV57" i="8"/>
  <c r="AU57" i="8"/>
  <c r="AT57" i="8"/>
  <c r="AS57" i="8"/>
  <c r="AR57" i="8"/>
  <c r="AQ57" i="8"/>
  <c r="AP57" i="8"/>
  <c r="AO57" i="8"/>
  <c r="AN57" i="8"/>
  <c r="AM57" i="8"/>
  <c r="AL57" i="8"/>
  <c r="AK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L57" i="8"/>
  <c r="K57" i="8"/>
  <c r="J57" i="8"/>
  <c r="I57" i="8"/>
  <c r="F57" i="8"/>
  <c r="E57" i="8"/>
  <c r="D57" i="8"/>
  <c r="B57" i="8"/>
  <c r="AW56" i="8"/>
  <c r="AV56" i="8"/>
  <c r="AU56" i="8"/>
  <c r="AT56" i="8"/>
  <c r="AS56" i="8"/>
  <c r="AR56" i="8"/>
  <c r="AQ56" i="8"/>
  <c r="AP56" i="8"/>
  <c r="AO56" i="8"/>
  <c r="AN56" i="8"/>
  <c r="AM56" i="8"/>
  <c r="AL56" i="8"/>
  <c r="AK56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L56" i="8"/>
  <c r="K56" i="8"/>
  <c r="J56" i="8"/>
  <c r="I56" i="8"/>
  <c r="F56" i="8"/>
  <c r="E56" i="8"/>
  <c r="D56" i="8"/>
  <c r="B56" i="8"/>
  <c r="AW55" i="8"/>
  <c r="AV55" i="8"/>
  <c r="AU55" i="8"/>
  <c r="AT55" i="8"/>
  <c r="AS55" i="8"/>
  <c r="AR55" i="8"/>
  <c r="AQ55" i="8"/>
  <c r="AP55" i="8"/>
  <c r="AO55" i="8"/>
  <c r="AN55" i="8"/>
  <c r="AM55" i="8"/>
  <c r="AL55" i="8"/>
  <c r="AK55" i="8"/>
  <c r="AJ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L55" i="8"/>
  <c r="K55" i="8"/>
  <c r="J55" i="8"/>
  <c r="I55" i="8"/>
  <c r="F55" i="8"/>
  <c r="E55" i="8"/>
  <c r="D55" i="8"/>
  <c r="B55" i="8"/>
  <c r="AW54" i="8"/>
  <c r="AV54" i="8"/>
  <c r="AU54" i="8"/>
  <c r="AT54" i="8"/>
  <c r="AS54" i="8"/>
  <c r="AR54" i="8"/>
  <c r="AQ54" i="8"/>
  <c r="AP54" i="8"/>
  <c r="AO54" i="8"/>
  <c r="AN54" i="8"/>
  <c r="AM54" i="8"/>
  <c r="AL54" i="8"/>
  <c r="AK54" i="8"/>
  <c r="AJ54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L54" i="8"/>
  <c r="K54" i="8"/>
  <c r="J54" i="8"/>
  <c r="I54" i="8"/>
  <c r="F54" i="8"/>
  <c r="E54" i="8"/>
  <c r="D54" i="8"/>
  <c r="B54" i="8"/>
  <c r="AW53" i="8"/>
  <c r="AV53" i="8"/>
  <c r="AU53" i="8"/>
  <c r="AT53" i="8"/>
  <c r="AS53" i="8"/>
  <c r="AR53" i="8"/>
  <c r="AQ53" i="8"/>
  <c r="AP53" i="8"/>
  <c r="AO53" i="8"/>
  <c r="AN53" i="8"/>
  <c r="AM53" i="8"/>
  <c r="AL53" i="8"/>
  <c r="AK53" i="8"/>
  <c r="AJ53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L53" i="8"/>
  <c r="K53" i="8"/>
  <c r="J53" i="8"/>
  <c r="I53" i="8"/>
  <c r="F53" i="8"/>
  <c r="E53" i="8"/>
  <c r="D53" i="8"/>
  <c r="B53" i="8"/>
  <c r="AW52" i="8"/>
  <c r="AV52" i="8"/>
  <c r="AU52" i="8"/>
  <c r="AT52" i="8"/>
  <c r="AS52" i="8"/>
  <c r="AR52" i="8"/>
  <c r="AQ52" i="8"/>
  <c r="AP52" i="8"/>
  <c r="AO52" i="8"/>
  <c r="AN52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L52" i="8"/>
  <c r="K52" i="8"/>
  <c r="J52" i="8"/>
  <c r="I52" i="8"/>
  <c r="F52" i="8"/>
  <c r="E52" i="8"/>
  <c r="D52" i="8"/>
  <c r="B52" i="8"/>
  <c r="AW51" i="8"/>
  <c r="AV51" i="8"/>
  <c r="AU51" i="8"/>
  <c r="AT51" i="8"/>
  <c r="AS51" i="8"/>
  <c r="AR51" i="8"/>
  <c r="AQ51" i="8"/>
  <c r="AP51" i="8"/>
  <c r="AO51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L51" i="8"/>
  <c r="K51" i="8"/>
  <c r="J51" i="8"/>
  <c r="I51" i="8"/>
  <c r="F51" i="8"/>
  <c r="E51" i="8"/>
  <c r="D51" i="8"/>
  <c r="B51" i="8"/>
  <c r="AW50" i="8"/>
  <c r="AV50" i="8"/>
  <c r="AU50" i="8"/>
  <c r="AT50" i="8"/>
  <c r="AS50" i="8"/>
  <c r="AR50" i="8"/>
  <c r="AQ50" i="8"/>
  <c r="AP50" i="8"/>
  <c r="AO50" i="8"/>
  <c r="AN50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L50" i="8"/>
  <c r="K50" i="8"/>
  <c r="J50" i="8"/>
  <c r="I50" i="8"/>
  <c r="F50" i="8"/>
  <c r="E50" i="8"/>
  <c r="D50" i="8"/>
  <c r="B50" i="8"/>
  <c r="AW49" i="8"/>
  <c r="AV49" i="8"/>
  <c r="AU49" i="8"/>
  <c r="AT49" i="8"/>
  <c r="AS49" i="8"/>
  <c r="AR49" i="8"/>
  <c r="AQ49" i="8"/>
  <c r="AP49" i="8"/>
  <c r="AO49" i="8"/>
  <c r="AN49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L49" i="8"/>
  <c r="K49" i="8"/>
  <c r="J49" i="8"/>
  <c r="I49" i="8"/>
  <c r="F49" i="8"/>
  <c r="E49" i="8"/>
  <c r="D49" i="8"/>
  <c r="B49" i="8"/>
  <c r="AW48" i="8"/>
  <c r="AV48" i="8"/>
  <c r="AU48" i="8"/>
  <c r="AT48" i="8"/>
  <c r="AS48" i="8"/>
  <c r="AR48" i="8"/>
  <c r="AQ48" i="8"/>
  <c r="AP48" i="8"/>
  <c r="AO48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L48" i="8"/>
  <c r="K48" i="8"/>
  <c r="J48" i="8"/>
  <c r="I48" i="8"/>
  <c r="F48" i="8"/>
  <c r="E48" i="8"/>
  <c r="D48" i="8"/>
  <c r="B48" i="8"/>
  <c r="AW47" i="8"/>
  <c r="AV47" i="8"/>
  <c r="AU47" i="8"/>
  <c r="AT47" i="8"/>
  <c r="AS47" i="8"/>
  <c r="AR47" i="8"/>
  <c r="AQ47" i="8"/>
  <c r="AP47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L47" i="8"/>
  <c r="K47" i="8"/>
  <c r="J47" i="8"/>
  <c r="I47" i="8"/>
  <c r="F47" i="8"/>
  <c r="E47" i="8"/>
  <c r="D47" i="8"/>
  <c r="B47" i="8"/>
  <c r="AW46" i="8"/>
  <c r="AV46" i="8"/>
  <c r="AU46" i="8"/>
  <c r="AT46" i="8"/>
  <c r="AS46" i="8"/>
  <c r="AR46" i="8"/>
  <c r="AQ46" i="8"/>
  <c r="AP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L46" i="8"/>
  <c r="K46" i="8"/>
  <c r="J46" i="8"/>
  <c r="I46" i="8"/>
  <c r="F46" i="8"/>
  <c r="E46" i="8"/>
  <c r="D46" i="8"/>
  <c r="B46" i="8"/>
  <c r="AW45" i="8"/>
  <c r="AV45" i="8"/>
  <c r="AU45" i="8"/>
  <c r="AT45" i="8"/>
  <c r="AS45" i="8"/>
  <c r="AR45" i="8"/>
  <c r="AQ45" i="8"/>
  <c r="AP45" i="8"/>
  <c r="AO45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L45" i="8"/>
  <c r="K45" i="8"/>
  <c r="J45" i="8"/>
  <c r="I45" i="8"/>
  <c r="F45" i="8"/>
  <c r="E45" i="8"/>
  <c r="D45" i="8"/>
  <c r="B45" i="8"/>
  <c r="AW44" i="8"/>
  <c r="AV44" i="8"/>
  <c r="AU44" i="8"/>
  <c r="AT44" i="8"/>
  <c r="AS44" i="8"/>
  <c r="AR44" i="8"/>
  <c r="AQ44" i="8"/>
  <c r="AP44" i="8"/>
  <c r="AO44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L44" i="8"/>
  <c r="K44" i="8"/>
  <c r="J44" i="8"/>
  <c r="I44" i="8"/>
  <c r="F44" i="8"/>
  <c r="E44" i="8"/>
  <c r="D44" i="8"/>
  <c r="B44" i="8"/>
  <c r="AW43" i="8"/>
  <c r="AV43" i="8"/>
  <c r="AU43" i="8"/>
  <c r="AT43" i="8"/>
  <c r="AS43" i="8"/>
  <c r="AR43" i="8"/>
  <c r="AQ43" i="8"/>
  <c r="AP43" i="8"/>
  <c r="AO43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L43" i="8"/>
  <c r="K43" i="8"/>
  <c r="J43" i="8"/>
  <c r="I43" i="8"/>
  <c r="F43" i="8"/>
  <c r="E43" i="8"/>
  <c r="D43" i="8"/>
  <c r="B43" i="8"/>
  <c r="AW42" i="8"/>
  <c r="AV42" i="8"/>
  <c r="AU42" i="8"/>
  <c r="AT42" i="8"/>
  <c r="AS42" i="8"/>
  <c r="AR42" i="8"/>
  <c r="AQ42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L42" i="8"/>
  <c r="K42" i="8"/>
  <c r="J42" i="8"/>
  <c r="I42" i="8"/>
  <c r="F42" i="8"/>
  <c r="E42" i="8"/>
  <c r="D42" i="8"/>
  <c r="B42" i="8"/>
  <c r="AW41" i="8"/>
  <c r="AV41" i="8"/>
  <c r="AU41" i="8"/>
  <c r="AT41" i="8"/>
  <c r="AS41" i="8"/>
  <c r="AR41" i="8"/>
  <c r="AQ41" i="8"/>
  <c r="AP41" i="8"/>
  <c r="AO41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L41" i="8"/>
  <c r="K41" i="8"/>
  <c r="J41" i="8"/>
  <c r="I41" i="8"/>
  <c r="F41" i="8"/>
  <c r="E41" i="8"/>
  <c r="D41" i="8"/>
  <c r="B41" i="8"/>
  <c r="AW40" i="8"/>
  <c r="AV40" i="8"/>
  <c r="AU40" i="8"/>
  <c r="AT40" i="8"/>
  <c r="AS40" i="8"/>
  <c r="AR40" i="8"/>
  <c r="AQ40" i="8"/>
  <c r="AP40" i="8"/>
  <c r="AO40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L40" i="8"/>
  <c r="K40" i="8"/>
  <c r="J40" i="8"/>
  <c r="I40" i="8"/>
  <c r="F40" i="8"/>
  <c r="E40" i="8"/>
  <c r="D40" i="8"/>
  <c r="B40" i="8"/>
  <c r="B3" i="8"/>
  <c r="U2" i="8"/>
  <c r="AW2" i="8" s="1"/>
  <c r="T2" i="8"/>
  <c r="AV2" i="8" s="1"/>
  <c r="S2" i="8"/>
  <c r="AG2" i="8" s="1"/>
  <c r="R2" i="8"/>
  <c r="AM2" i="8" s="1"/>
  <c r="Q2" i="8"/>
  <c r="AS2" i="8" s="1"/>
  <c r="P2" i="8"/>
  <c r="AK2" i="8" s="1"/>
  <c r="O2" i="8"/>
  <c r="V2" i="8" s="1"/>
  <c r="O8" i="1"/>
  <c r="O9" i="1"/>
  <c r="O10" i="1"/>
  <c r="B39" i="8"/>
  <c r="B33" i="8"/>
  <c r="B35" i="8"/>
  <c r="B34" i="8"/>
  <c r="B36" i="8"/>
  <c r="B27" i="8"/>
  <c r="B21" i="8"/>
  <c r="B37" i="8"/>
  <c r="B32" i="8"/>
  <c r="B26" i="8"/>
  <c r="B38" i="8"/>
  <c r="B31" i="8"/>
  <c r="B30" i="8"/>
  <c r="B29" i="8"/>
  <c r="B23" i="8"/>
  <c r="B28" i="8"/>
  <c r="B22" i="8"/>
  <c r="B16" i="8"/>
  <c r="B15" i="8"/>
  <c r="B24" i="8"/>
  <c r="B19" i="8"/>
  <c r="B13" i="8"/>
  <c r="B25" i="8"/>
  <c r="B17" i="8"/>
  <c r="B11" i="8"/>
  <c r="B20" i="8"/>
  <c r="B14" i="8"/>
  <c r="B10" i="8"/>
  <c r="B9" i="8"/>
  <c r="B8" i="8"/>
  <c r="B18" i="8"/>
  <c r="B12" i="8"/>
  <c r="B7" i="8"/>
  <c r="C63" i="8"/>
  <c r="C60" i="8"/>
  <c r="C57" i="8"/>
  <c r="C54" i="8"/>
  <c r="C51" i="8"/>
  <c r="C48" i="8"/>
  <c r="C45" i="8"/>
  <c r="C42" i="8"/>
  <c r="C39" i="8"/>
  <c r="C36" i="8"/>
  <c r="C33" i="8"/>
  <c r="C30" i="8"/>
  <c r="C27" i="8"/>
  <c r="C24" i="8"/>
  <c r="C21" i="8"/>
  <c r="C18" i="8"/>
  <c r="C15" i="8"/>
  <c r="C12" i="8"/>
  <c r="C9" i="8"/>
  <c r="C6" i="8"/>
  <c r="C64" i="8"/>
  <c r="C61" i="8"/>
  <c r="C58" i="8"/>
  <c r="C55" i="8"/>
  <c r="C52" i="8"/>
  <c r="C49" i="8"/>
  <c r="C46" i="8"/>
  <c r="C43" i="8"/>
  <c r="C40" i="8"/>
  <c r="C37" i="8"/>
  <c r="C34" i="8"/>
  <c r="C31" i="8"/>
  <c r="C28" i="8"/>
  <c r="C25" i="8"/>
  <c r="C22" i="8"/>
  <c r="C19" i="8"/>
  <c r="C16" i="8"/>
  <c r="C13" i="8"/>
  <c r="C10" i="8"/>
  <c r="B5" i="8"/>
  <c r="C53" i="8"/>
  <c r="C35" i="8"/>
  <c r="C7" i="8"/>
  <c r="B6" i="8"/>
  <c r="C56" i="8"/>
  <c r="C38" i="8"/>
  <c r="C8" i="8"/>
  <c r="B4" i="8"/>
  <c r="C59" i="8"/>
  <c r="C41" i="8"/>
  <c r="C5" i="8"/>
  <c r="C62" i="8"/>
  <c r="C44" i="8"/>
  <c r="C4" i="8"/>
  <c r="C47" i="8"/>
  <c r="C29" i="8"/>
  <c r="C26" i="8"/>
  <c r="C23" i="8"/>
  <c r="C20" i="8"/>
  <c r="C14" i="8"/>
  <c r="C11" i="8"/>
  <c r="C50" i="8"/>
  <c r="C32" i="8"/>
  <c r="C17" i="8"/>
  <c r="AA2" i="8" l="1"/>
  <c r="AD2" i="8"/>
  <c r="AR2" i="8"/>
  <c r="Z2" i="8"/>
  <c r="AO2" i="8"/>
  <c r="AU2" i="8"/>
  <c r="AH2" i="8"/>
  <c r="W2" i="8"/>
  <c r="X2" i="8"/>
  <c r="AN2" i="8"/>
  <c r="N50" i="8"/>
  <c r="M50" i="8"/>
  <c r="N47" i="8"/>
  <c r="M47" i="8"/>
  <c r="N44" i="8"/>
  <c r="M44" i="8"/>
  <c r="N62" i="8"/>
  <c r="M62" i="8"/>
  <c r="N41" i="8"/>
  <c r="M41" i="8"/>
  <c r="N59" i="8"/>
  <c r="M59" i="8"/>
  <c r="N56" i="8"/>
  <c r="M56" i="8"/>
  <c r="N53" i="8"/>
  <c r="M53" i="8"/>
  <c r="M40" i="8"/>
  <c r="N40" i="8"/>
  <c r="M43" i="8"/>
  <c r="N43" i="8"/>
  <c r="M46" i="8"/>
  <c r="N46" i="8"/>
  <c r="M49" i="8"/>
  <c r="N49" i="8"/>
  <c r="M52" i="8"/>
  <c r="N52" i="8"/>
  <c r="M55" i="8"/>
  <c r="N55" i="8"/>
  <c r="M58" i="8"/>
  <c r="N58" i="8"/>
  <c r="M61" i="8"/>
  <c r="N61" i="8"/>
  <c r="M64" i="8"/>
  <c r="N64" i="8"/>
  <c r="N42" i="8"/>
  <c r="M42" i="8"/>
  <c r="N45" i="8"/>
  <c r="M45" i="8"/>
  <c r="N48" i="8"/>
  <c r="M48" i="8"/>
  <c r="N51" i="8"/>
  <c r="M51" i="8"/>
  <c r="N54" i="8"/>
  <c r="M54" i="8"/>
  <c r="N57" i="8"/>
  <c r="M57" i="8"/>
  <c r="N60" i="8"/>
  <c r="M60" i="8"/>
  <c r="N63" i="8"/>
  <c r="M63" i="8"/>
  <c r="AC2" i="8"/>
  <c r="AJ2" i="8"/>
  <c r="AQ2" i="8"/>
  <c r="Y2" i="8"/>
  <c r="AE2" i="8"/>
  <c r="AL2" i="8"/>
  <c r="AT2" i="8"/>
  <c r="AF2" i="8"/>
  <c r="H3" i="8"/>
  <c r="AB2" i="8"/>
  <c r="AI2" i="8"/>
  <c r="AP2" i="8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I82" i="1"/>
  <c r="J82" i="1"/>
  <c r="K82" i="1"/>
  <c r="L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F83" i="1"/>
  <c r="I83" i="1"/>
  <c r="J83" i="1"/>
  <c r="K83" i="1"/>
  <c r="L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F84" i="1"/>
  <c r="I84" i="1"/>
  <c r="J84" i="1"/>
  <c r="K84" i="1"/>
  <c r="L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F85" i="1"/>
  <c r="I85" i="1"/>
  <c r="J85" i="1"/>
  <c r="K85" i="1"/>
  <c r="L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F86" i="1"/>
  <c r="I86" i="1"/>
  <c r="J86" i="1"/>
  <c r="K86" i="1"/>
  <c r="L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F87" i="1"/>
  <c r="I87" i="1"/>
  <c r="J87" i="1"/>
  <c r="K87" i="1"/>
  <c r="L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F88" i="1"/>
  <c r="I88" i="1"/>
  <c r="J88" i="1"/>
  <c r="K88" i="1"/>
  <c r="L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F89" i="1"/>
  <c r="I89" i="1"/>
  <c r="J89" i="1"/>
  <c r="K89" i="1"/>
  <c r="L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F90" i="1"/>
  <c r="I90" i="1"/>
  <c r="J90" i="1"/>
  <c r="K90" i="1"/>
  <c r="L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F91" i="1"/>
  <c r="I91" i="1"/>
  <c r="J91" i="1"/>
  <c r="K91" i="1"/>
  <c r="L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F92" i="1"/>
  <c r="I92" i="1"/>
  <c r="J92" i="1"/>
  <c r="K92" i="1"/>
  <c r="L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F93" i="1"/>
  <c r="I93" i="1"/>
  <c r="J93" i="1"/>
  <c r="K93" i="1"/>
  <c r="L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F94" i="1"/>
  <c r="I94" i="1"/>
  <c r="J94" i="1"/>
  <c r="K94" i="1"/>
  <c r="L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F95" i="1"/>
  <c r="I95" i="1"/>
  <c r="J95" i="1"/>
  <c r="K95" i="1"/>
  <c r="L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F96" i="1"/>
  <c r="I96" i="1"/>
  <c r="J96" i="1"/>
  <c r="K96" i="1"/>
  <c r="L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F97" i="1"/>
  <c r="I97" i="1"/>
  <c r="J97" i="1"/>
  <c r="K97" i="1"/>
  <c r="L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F98" i="1"/>
  <c r="I98" i="1"/>
  <c r="J98" i="1"/>
  <c r="K98" i="1"/>
  <c r="L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F99" i="1"/>
  <c r="I99" i="1"/>
  <c r="J99" i="1"/>
  <c r="K99" i="1"/>
  <c r="L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F100" i="1"/>
  <c r="I100" i="1"/>
  <c r="J100" i="1"/>
  <c r="K100" i="1"/>
  <c r="L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F4" i="1"/>
  <c r="U2" i="1"/>
  <c r="AP2" i="1" s="1"/>
  <c r="T2" i="1"/>
  <c r="AA2" i="1" s="1"/>
  <c r="S2" i="1"/>
  <c r="AG2" i="1" s="1"/>
  <c r="R2" i="1"/>
  <c r="AM2" i="1" s="1"/>
  <c r="Q2" i="1"/>
  <c r="P2" i="1"/>
  <c r="O2" i="1"/>
  <c r="AC2" i="1" s="1"/>
  <c r="C35" i="1"/>
  <c r="C71" i="1"/>
  <c r="C19" i="1"/>
  <c r="C91" i="1"/>
  <c r="C62" i="1"/>
  <c r="C63" i="1"/>
  <c r="C24" i="1"/>
  <c r="C60" i="1"/>
  <c r="C96" i="1"/>
  <c r="C73" i="1"/>
  <c r="C68" i="1"/>
  <c r="C93" i="1"/>
  <c r="C40" i="1"/>
  <c r="C76" i="1"/>
  <c r="C74" i="1"/>
  <c r="C99" i="1"/>
  <c r="C23" i="1"/>
  <c r="C38" i="1"/>
  <c r="C84" i="1"/>
  <c r="C28" i="1"/>
  <c r="C29" i="1"/>
  <c r="C39" i="1"/>
  <c r="C90" i="1"/>
  <c r="C69" i="1"/>
  <c r="C81" i="1"/>
  <c r="C5" i="1"/>
  <c r="C41" i="1"/>
  <c r="C77" i="1"/>
  <c r="C31" i="1"/>
  <c r="C97" i="1"/>
  <c r="C80" i="1"/>
  <c r="C75" i="1"/>
  <c r="C30" i="1"/>
  <c r="C66" i="1"/>
  <c r="C7" i="1"/>
  <c r="C85" i="1"/>
  <c r="C86" i="1"/>
  <c r="C10" i="1"/>
  <c r="C46" i="1"/>
  <c r="C82" i="1"/>
  <c r="C92" i="1"/>
  <c r="C4" i="1"/>
  <c r="C67" i="1"/>
  <c r="C48" i="1"/>
  <c r="C51" i="1"/>
  <c r="C100" i="1"/>
  <c r="C65" i="1"/>
  <c r="C50" i="1"/>
  <c r="C18" i="1"/>
  <c r="C56" i="1"/>
  <c r="C70" i="1"/>
  <c r="C11" i="1"/>
  <c r="C47" i="1"/>
  <c r="C83" i="1"/>
  <c r="C43" i="1"/>
  <c r="C8" i="1"/>
  <c r="C98" i="1"/>
  <c r="C87" i="1"/>
  <c r="C36" i="1"/>
  <c r="C72" i="1"/>
  <c r="C25" i="1"/>
  <c r="C14" i="1"/>
  <c r="C15" i="1"/>
  <c r="C16" i="1"/>
  <c r="C52" i="1"/>
  <c r="C88" i="1"/>
  <c r="C21" i="1"/>
  <c r="C95" i="1"/>
  <c r="C12" i="1"/>
  <c r="C44" i="1"/>
  <c r="C13" i="1"/>
  <c r="C54" i="1"/>
  <c r="C34" i="1"/>
  <c r="C17" i="1"/>
  <c r="C53" i="1"/>
  <c r="C89" i="1"/>
  <c r="C49" i="1"/>
  <c r="C26" i="1"/>
  <c r="C9" i="1"/>
  <c r="C6" i="1"/>
  <c r="C42" i="1"/>
  <c r="C78" i="1"/>
  <c r="C37" i="1"/>
  <c r="C32" i="1"/>
  <c r="C33" i="1"/>
  <c r="C22" i="1"/>
  <c r="C58" i="1"/>
  <c r="C94" i="1"/>
  <c r="C45" i="1"/>
  <c r="C59" i="1"/>
  <c r="C27" i="1"/>
  <c r="C55" i="1"/>
  <c r="C64" i="1"/>
  <c r="C57" i="1"/>
  <c r="C79" i="1"/>
  <c r="C61" i="1"/>
  <c r="C20" i="1"/>
  <c r="M99" i="1" l="1"/>
  <c r="N99" i="1"/>
  <c r="N92" i="1"/>
  <c r="M88" i="1"/>
  <c r="M93" i="1"/>
  <c r="N93" i="1"/>
  <c r="M85" i="1"/>
  <c r="N96" i="1"/>
  <c r="N90" i="1"/>
  <c r="M84" i="1"/>
  <c r="N84" i="1"/>
  <c r="N87" i="1"/>
  <c r="M98" i="1"/>
  <c r="N98" i="1"/>
  <c r="M91" i="1"/>
  <c r="N95" i="1"/>
  <c r="M95" i="1"/>
  <c r="N89" i="1"/>
  <c r="N100" i="1"/>
  <c r="M96" i="1"/>
  <c r="N83" i="1"/>
  <c r="N82" i="1"/>
  <c r="M100" i="1"/>
  <c r="N94" i="1"/>
  <c r="M90" i="1"/>
  <c r="M83" i="1"/>
  <c r="M82" i="1"/>
  <c r="M94" i="1"/>
  <c r="M89" i="1"/>
  <c r="N88" i="1"/>
  <c r="N86" i="1"/>
  <c r="N97" i="1"/>
  <c r="M87" i="1"/>
  <c r="M86" i="1"/>
  <c r="N85" i="1"/>
  <c r="M97" i="1"/>
  <c r="M92" i="1"/>
  <c r="N91" i="1"/>
  <c r="AI2" i="1"/>
  <c r="AT2" i="1"/>
  <c r="AU2" i="1"/>
  <c r="AJ2" i="1"/>
  <c r="AH2" i="1"/>
  <c r="AQ2" i="1"/>
  <c r="V2" i="1"/>
  <c r="AN2" i="1"/>
  <c r="AV2" i="1"/>
  <c r="AB2" i="1"/>
  <c r="AO2" i="1"/>
  <c r="AW2" i="1"/>
  <c r="W2" i="1"/>
  <c r="X2" i="1"/>
  <c r="AD2" i="1"/>
  <c r="Y2" i="1"/>
  <c r="AE2" i="1"/>
  <c r="AK2" i="1"/>
  <c r="Z2" i="1"/>
  <c r="AF2" i="1"/>
  <c r="AL2" i="1"/>
  <c r="AR2" i="1"/>
  <c r="AS2" i="1"/>
  <c r="B3" i="1"/>
  <c r="H3" i="1" s="1"/>
  <c r="D19" i="2" s="1"/>
  <c r="B100" i="1" l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44" i="1"/>
  <c r="B29" i="1"/>
  <c r="B60" i="1"/>
  <c r="B38" i="1"/>
  <c r="B24" i="1"/>
  <c r="B46" i="1"/>
  <c r="B64" i="1"/>
  <c r="B62" i="1"/>
  <c r="B19" i="1"/>
  <c r="B66" i="1"/>
  <c r="B25" i="1"/>
  <c r="B28" i="1"/>
  <c r="B74" i="1"/>
  <c r="B58" i="1"/>
  <c r="B63" i="1"/>
  <c r="B41" i="1"/>
  <c r="B40" i="1"/>
  <c r="B20" i="1"/>
  <c r="B55" i="1"/>
  <c r="B9" i="1"/>
  <c r="B69" i="1"/>
  <c r="B10" i="1"/>
  <c r="B23" i="1"/>
  <c r="B11" i="1"/>
  <c r="B70" i="1"/>
  <c r="B51" i="1"/>
  <c r="B57" i="1"/>
  <c r="B52" i="1"/>
  <c r="B68" i="1"/>
  <c r="B43" i="1"/>
  <c r="B67" i="1"/>
  <c r="B36" i="1"/>
  <c r="B21" i="1"/>
  <c r="B12" i="1"/>
  <c r="B16" i="1"/>
  <c r="B71" i="1"/>
  <c r="B59" i="1"/>
  <c r="B13" i="1"/>
  <c r="B72" i="1"/>
  <c r="B26" i="1"/>
  <c r="B22" i="1"/>
  <c r="B31" i="1"/>
  <c r="B14" i="1"/>
  <c r="B34" i="1"/>
  <c r="B47" i="1"/>
  <c r="B73" i="1"/>
  <c r="B48" i="1"/>
  <c r="B18" i="1"/>
  <c r="B39" i="1"/>
  <c r="B27" i="1"/>
  <c r="B8" i="1"/>
  <c r="B17" i="1"/>
  <c r="B7" i="1"/>
  <c r="B75" i="1"/>
  <c r="B53" i="1"/>
  <c r="B30" i="1"/>
  <c r="B65" i="1"/>
  <c r="B49" i="1"/>
  <c r="B32" i="1"/>
  <c r="B61" i="1"/>
  <c r="B35" i="1"/>
  <c r="B45" i="1"/>
  <c r="B42" i="1"/>
  <c r="B33" i="1"/>
  <c r="B54" i="1"/>
  <c r="B56" i="1"/>
  <c r="B37" i="1"/>
  <c r="B15" i="1"/>
  <c r="B50" i="1"/>
  <c r="B79" i="1"/>
  <c r="B81" i="1"/>
  <c r="B80" i="1"/>
  <c r="B77" i="1"/>
  <c r="B78" i="1"/>
  <c r="B76" i="1"/>
  <c r="L76" i="1"/>
  <c r="I81" i="1"/>
  <c r="K80" i="1"/>
  <c r="I78" i="1"/>
  <c r="K77" i="1"/>
  <c r="I75" i="1"/>
  <c r="K74" i="1"/>
  <c r="I72" i="1"/>
  <c r="K71" i="1"/>
  <c r="L79" i="1"/>
  <c r="J74" i="1"/>
  <c r="J71" i="1"/>
  <c r="I80" i="1"/>
  <c r="K79" i="1"/>
  <c r="I77" i="1"/>
  <c r="K76" i="1"/>
  <c r="I74" i="1"/>
  <c r="K73" i="1"/>
  <c r="I71" i="1"/>
  <c r="I70" i="1"/>
  <c r="J80" i="1"/>
  <c r="L73" i="1"/>
  <c r="L81" i="1"/>
  <c r="J79" i="1"/>
  <c r="L78" i="1"/>
  <c r="J76" i="1"/>
  <c r="L75" i="1"/>
  <c r="J73" i="1"/>
  <c r="L72" i="1"/>
  <c r="I67" i="1"/>
  <c r="J77" i="1"/>
  <c r="K81" i="1"/>
  <c r="I79" i="1"/>
  <c r="K78" i="1"/>
  <c r="I76" i="1"/>
  <c r="K75" i="1"/>
  <c r="I73" i="1"/>
  <c r="K72" i="1"/>
  <c r="K69" i="1"/>
  <c r="J81" i="1"/>
  <c r="L80" i="1"/>
  <c r="J78" i="1"/>
  <c r="L77" i="1"/>
  <c r="J75" i="1"/>
  <c r="L74" i="1"/>
  <c r="J72" i="1"/>
  <c r="L71" i="1"/>
  <c r="K66" i="1"/>
  <c r="I64" i="1"/>
  <c r="K63" i="1"/>
  <c r="I61" i="1"/>
  <c r="K60" i="1"/>
  <c r="I58" i="1"/>
  <c r="J69" i="1"/>
  <c r="L68" i="1"/>
  <c r="J66" i="1"/>
  <c r="L65" i="1"/>
  <c r="J63" i="1"/>
  <c r="L62" i="1"/>
  <c r="J60" i="1"/>
  <c r="L59" i="1"/>
  <c r="I69" i="1"/>
  <c r="K68" i="1"/>
  <c r="I66" i="1"/>
  <c r="K65" i="1"/>
  <c r="I63" i="1"/>
  <c r="K62" i="1"/>
  <c r="I60" i="1"/>
  <c r="K59" i="1"/>
  <c r="L70" i="1"/>
  <c r="J68" i="1"/>
  <c r="L67" i="1"/>
  <c r="J65" i="1"/>
  <c r="L64" i="1"/>
  <c r="J62" i="1"/>
  <c r="L61" i="1"/>
  <c r="J59" i="1"/>
  <c r="L58" i="1"/>
  <c r="K70" i="1"/>
  <c r="I68" i="1"/>
  <c r="K67" i="1"/>
  <c r="I65" i="1"/>
  <c r="K64" i="1"/>
  <c r="I62" i="1"/>
  <c r="K61" i="1"/>
  <c r="I59" i="1"/>
  <c r="K58" i="1"/>
  <c r="J70" i="1"/>
  <c r="L69" i="1"/>
  <c r="J67" i="1"/>
  <c r="L66" i="1"/>
  <c r="J64" i="1"/>
  <c r="L63" i="1"/>
  <c r="J61" i="1"/>
  <c r="L60" i="1"/>
  <c r="J58" i="1"/>
  <c r="J57" i="1"/>
  <c r="L56" i="1"/>
  <c r="J54" i="1"/>
  <c r="L53" i="1"/>
  <c r="J51" i="1"/>
  <c r="L50" i="1"/>
  <c r="J48" i="1"/>
  <c r="L47" i="1"/>
  <c r="I57" i="1"/>
  <c r="K56" i="1"/>
  <c r="I54" i="1"/>
  <c r="K53" i="1"/>
  <c r="I51" i="1"/>
  <c r="K50" i="1"/>
  <c r="I48" i="1"/>
  <c r="K47" i="1"/>
  <c r="J56" i="1"/>
  <c r="L55" i="1"/>
  <c r="J53" i="1"/>
  <c r="L52" i="1"/>
  <c r="J50" i="1"/>
  <c r="L49" i="1"/>
  <c r="J47" i="1"/>
  <c r="L46" i="1"/>
  <c r="I56" i="1"/>
  <c r="K55" i="1"/>
  <c r="I53" i="1"/>
  <c r="K52" i="1"/>
  <c r="I50" i="1"/>
  <c r="K49" i="1"/>
  <c r="I47" i="1"/>
  <c r="K46" i="1"/>
  <c r="L57" i="1"/>
  <c r="J55" i="1"/>
  <c r="L54" i="1"/>
  <c r="J52" i="1"/>
  <c r="L51" i="1"/>
  <c r="J49" i="1"/>
  <c r="L48" i="1"/>
  <c r="J46" i="1"/>
  <c r="K57" i="1"/>
  <c r="I55" i="1"/>
  <c r="K54" i="1"/>
  <c r="I52" i="1"/>
  <c r="K51" i="1"/>
  <c r="I49" i="1"/>
  <c r="K48" i="1"/>
  <c r="I46" i="1"/>
  <c r="K45" i="1"/>
  <c r="I43" i="1"/>
  <c r="K42" i="1"/>
  <c r="I40" i="1"/>
  <c r="K39" i="1"/>
  <c r="I37" i="1"/>
  <c r="K36" i="1"/>
  <c r="I34" i="1"/>
  <c r="I33" i="1"/>
  <c r="J45" i="1"/>
  <c r="L44" i="1"/>
  <c r="J42" i="1"/>
  <c r="L41" i="1"/>
  <c r="J39" i="1"/>
  <c r="L38" i="1"/>
  <c r="J36" i="1"/>
  <c r="L35" i="1"/>
  <c r="I45" i="1"/>
  <c r="K44" i="1"/>
  <c r="I42" i="1"/>
  <c r="K41" i="1"/>
  <c r="I39" i="1"/>
  <c r="K38" i="1"/>
  <c r="I36" i="1"/>
  <c r="K35" i="1"/>
  <c r="J44" i="1"/>
  <c r="L43" i="1"/>
  <c r="J41" i="1"/>
  <c r="L40" i="1"/>
  <c r="J38" i="1"/>
  <c r="L37" i="1"/>
  <c r="J35" i="1"/>
  <c r="L34" i="1"/>
  <c r="I44" i="1"/>
  <c r="K43" i="1"/>
  <c r="I41" i="1"/>
  <c r="K40" i="1"/>
  <c r="I38" i="1"/>
  <c r="K37" i="1"/>
  <c r="I35" i="1"/>
  <c r="K34" i="1"/>
  <c r="L45" i="1"/>
  <c r="J43" i="1"/>
  <c r="L42" i="1"/>
  <c r="J40" i="1"/>
  <c r="L39" i="1"/>
  <c r="J37" i="1"/>
  <c r="L36" i="1"/>
  <c r="J34" i="1"/>
  <c r="J33" i="1"/>
  <c r="L32" i="1"/>
  <c r="J30" i="1"/>
  <c r="L29" i="1"/>
  <c r="J27" i="1"/>
  <c r="L26" i="1"/>
  <c r="J24" i="1"/>
  <c r="L22" i="1"/>
  <c r="I21" i="1"/>
  <c r="L19" i="1"/>
  <c r="K32" i="1"/>
  <c r="I30" i="1"/>
  <c r="K29" i="1"/>
  <c r="I27" i="1"/>
  <c r="K26" i="1"/>
  <c r="I24" i="1"/>
  <c r="J22" i="1"/>
  <c r="J32" i="1"/>
  <c r="L31" i="1"/>
  <c r="J29" i="1"/>
  <c r="L28" i="1"/>
  <c r="J26" i="1"/>
  <c r="L25" i="1"/>
  <c r="K23" i="1"/>
  <c r="I18" i="1"/>
  <c r="I32" i="1"/>
  <c r="K31" i="1"/>
  <c r="I29" i="1"/>
  <c r="K28" i="1"/>
  <c r="I26" i="1"/>
  <c r="K25" i="1"/>
  <c r="J23" i="1"/>
  <c r="K20" i="1"/>
  <c r="L33" i="1"/>
  <c r="J31" i="1"/>
  <c r="L30" i="1"/>
  <c r="J28" i="1"/>
  <c r="L27" i="1"/>
  <c r="J25" i="1"/>
  <c r="L24" i="1"/>
  <c r="J20" i="1"/>
  <c r="J17" i="1"/>
  <c r="J16" i="1"/>
  <c r="K33" i="1"/>
  <c r="I31" i="1"/>
  <c r="K30" i="1"/>
  <c r="I28" i="1"/>
  <c r="K27" i="1"/>
  <c r="I25" i="1"/>
  <c r="K24" i="1"/>
  <c r="L21" i="1"/>
  <c r="I14" i="1"/>
  <c r="J11" i="1"/>
  <c r="I8" i="1"/>
  <c r="I17" i="1"/>
  <c r="I11" i="1"/>
  <c r="I23" i="1"/>
  <c r="K22" i="1"/>
  <c r="I20" i="1"/>
  <c r="K19" i="1"/>
  <c r="L13" i="1"/>
  <c r="L12" i="1"/>
  <c r="L7" i="1"/>
  <c r="J19" i="1"/>
  <c r="L18" i="1"/>
  <c r="K13" i="1"/>
  <c r="L10" i="1"/>
  <c r="K7" i="1"/>
  <c r="I22" i="1"/>
  <c r="K21" i="1"/>
  <c r="I19" i="1"/>
  <c r="K18" i="1"/>
  <c r="L16" i="1"/>
  <c r="L15" i="1"/>
  <c r="J13" i="1"/>
  <c r="K10" i="1"/>
  <c r="L23" i="1"/>
  <c r="J21" i="1"/>
  <c r="L20" i="1"/>
  <c r="J18" i="1"/>
  <c r="L17" i="1"/>
  <c r="K16" i="1"/>
  <c r="J15" i="1"/>
  <c r="J14" i="1"/>
  <c r="J10" i="1"/>
  <c r="J8" i="1"/>
  <c r="K17" i="1"/>
  <c r="I15" i="1"/>
  <c r="K14" i="1"/>
  <c r="I12" i="1"/>
  <c r="K11" i="1"/>
  <c r="I9" i="1"/>
  <c r="K8" i="1"/>
  <c r="L9" i="1"/>
  <c r="J7" i="1"/>
  <c r="I16" i="1"/>
  <c r="K15" i="1"/>
  <c r="I13" i="1"/>
  <c r="K12" i="1"/>
  <c r="I10" i="1"/>
  <c r="K9" i="1"/>
  <c r="I7" i="1"/>
  <c r="L14" i="1"/>
  <c r="J12" i="1"/>
  <c r="L11" i="1"/>
  <c r="J9" i="1"/>
  <c r="L8" i="1"/>
  <c r="B4" i="1"/>
  <c r="B5" i="1"/>
  <c r="D5" i="2"/>
  <c r="L4" i="1"/>
  <c r="L6" i="1"/>
  <c r="D5" i="1"/>
  <c r="B6" i="1"/>
  <c r="I5" i="1"/>
  <c r="I6" i="1"/>
  <c r="K6" i="1"/>
  <c r="J6" i="1"/>
  <c r="D4" i="1"/>
  <c r="E4" i="1"/>
  <c r="D6" i="1"/>
  <c r="J5" i="1"/>
  <c r="I4" i="1"/>
  <c r="E6" i="1"/>
  <c r="J4" i="1"/>
  <c r="K4" i="1"/>
  <c r="E5" i="1"/>
  <c r="L5" i="1"/>
  <c r="K5" i="1"/>
  <c r="K5" i="8"/>
  <c r="J4" i="8"/>
  <c r="I6" i="8"/>
  <c r="L4" i="8"/>
  <c r="L5" i="8"/>
  <c r="J6" i="8"/>
  <c r="D4" i="8"/>
  <c r="D5" i="8"/>
  <c r="K4" i="8"/>
  <c r="I4" i="8"/>
  <c r="E5" i="8"/>
  <c r="E6" i="8"/>
  <c r="J5" i="8"/>
  <c r="D6" i="8"/>
  <c r="L6" i="8"/>
  <c r="E4" i="8"/>
  <c r="I5" i="8"/>
  <c r="K6" i="8"/>
  <c r="D7" i="8"/>
  <c r="E7" i="8"/>
  <c r="L11" i="8"/>
  <c r="J15" i="8"/>
  <c r="I7" i="8"/>
  <c r="E9" i="8"/>
  <c r="D10" i="8"/>
  <c r="L10" i="8"/>
  <c r="D11" i="8"/>
  <c r="L7" i="8"/>
  <c r="L8" i="8"/>
  <c r="K9" i="8"/>
  <c r="J13" i="8"/>
  <c r="J7" i="8"/>
  <c r="I8" i="8"/>
  <c r="E10" i="8"/>
  <c r="K12" i="8"/>
  <c r="I14" i="8"/>
  <c r="I16" i="8"/>
  <c r="K18" i="8"/>
  <c r="K20" i="8"/>
  <c r="D13" i="8"/>
  <c r="K14" i="8"/>
  <c r="D17" i="8"/>
  <c r="D19" i="8"/>
  <c r="K7" i="8"/>
  <c r="J8" i="8"/>
  <c r="I21" i="8"/>
  <c r="K8" i="8"/>
  <c r="J9" i="8"/>
  <c r="J10" i="8"/>
  <c r="L17" i="8"/>
  <c r="I9" i="8"/>
  <c r="I10" i="8"/>
  <c r="D8" i="8"/>
  <c r="J19" i="8"/>
  <c r="E8" i="8"/>
  <c r="D9" i="8"/>
  <c r="L9" i="8"/>
  <c r="K10" i="8"/>
  <c r="E12" i="8"/>
  <c r="L13" i="8"/>
  <c r="E16" i="8"/>
  <c r="E18" i="8"/>
  <c r="L19" i="8"/>
  <c r="I22" i="8"/>
  <c r="K11" i="8"/>
  <c r="J12" i="8"/>
  <c r="I13" i="8"/>
  <c r="E15" i="8"/>
  <c r="D16" i="8"/>
  <c r="L16" i="8"/>
  <c r="K17" i="8"/>
  <c r="J18" i="8"/>
  <c r="I19" i="8"/>
  <c r="J20" i="8"/>
  <c r="L24" i="8"/>
  <c r="J26" i="8"/>
  <c r="E11" i="8"/>
  <c r="D12" i="8"/>
  <c r="L12" i="8"/>
  <c r="K13" i="8"/>
  <c r="J14" i="8"/>
  <c r="I15" i="8"/>
  <c r="E17" i="8"/>
  <c r="D18" i="8"/>
  <c r="L18" i="8"/>
  <c r="K19" i="8"/>
  <c r="D23" i="8"/>
  <c r="J25" i="8"/>
  <c r="I27" i="8"/>
  <c r="E23" i="8"/>
  <c r="D24" i="8"/>
  <c r="K25" i="8"/>
  <c r="E28" i="8"/>
  <c r="I11" i="8"/>
  <c r="E13" i="8"/>
  <c r="D14" i="8"/>
  <c r="L14" i="8"/>
  <c r="K15" i="8"/>
  <c r="J16" i="8"/>
  <c r="I17" i="8"/>
  <c r="E19" i="8"/>
  <c r="J21" i="8"/>
  <c r="J11" i="8"/>
  <c r="I12" i="8"/>
  <c r="E14" i="8"/>
  <c r="D15" i="8"/>
  <c r="L15" i="8"/>
  <c r="K16" i="8"/>
  <c r="J17" i="8"/>
  <c r="I18" i="8"/>
  <c r="I20" i="8"/>
  <c r="E22" i="8"/>
  <c r="L23" i="8"/>
  <c r="K24" i="8"/>
  <c r="I26" i="8"/>
  <c r="E20" i="8"/>
  <c r="D21" i="8"/>
  <c r="L21" i="8"/>
  <c r="K22" i="8"/>
  <c r="J23" i="8"/>
  <c r="I24" i="8"/>
  <c r="E26" i="8"/>
  <c r="D27" i="8"/>
  <c r="L27" i="8"/>
  <c r="K28" i="8"/>
  <c r="J29" i="8"/>
  <c r="I30" i="8"/>
  <c r="E32" i="8"/>
  <c r="D36" i="8"/>
  <c r="J38" i="8"/>
  <c r="E21" i="8"/>
  <c r="D22" i="8"/>
  <c r="L22" i="8"/>
  <c r="K23" i="8"/>
  <c r="J24" i="8"/>
  <c r="I25" i="8"/>
  <c r="E27" i="8"/>
  <c r="D28" i="8"/>
  <c r="L28" i="8"/>
  <c r="K29" i="8"/>
  <c r="J30" i="8"/>
  <c r="I31" i="8"/>
  <c r="I34" i="8"/>
  <c r="E36" i="8"/>
  <c r="J37" i="8"/>
  <c r="K38" i="8"/>
  <c r="D29" i="8"/>
  <c r="L29" i="8"/>
  <c r="K30" i="8"/>
  <c r="J31" i="8"/>
  <c r="I32" i="8"/>
  <c r="D35" i="8"/>
  <c r="K37" i="8"/>
  <c r="E29" i="8"/>
  <c r="D30" i="8"/>
  <c r="L30" i="8"/>
  <c r="K31" i="8"/>
  <c r="J32" i="8"/>
  <c r="I33" i="8"/>
  <c r="E35" i="8"/>
  <c r="K36" i="8"/>
  <c r="L37" i="8"/>
  <c r="I39" i="8"/>
  <c r="E24" i="8"/>
  <c r="D25" i="8"/>
  <c r="L25" i="8"/>
  <c r="K26" i="8"/>
  <c r="J27" i="8"/>
  <c r="I28" i="8"/>
  <c r="E30" i="8"/>
  <c r="D31" i="8"/>
  <c r="L31" i="8"/>
  <c r="K32" i="8"/>
  <c r="J33" i="8"/>
  <c r="L36" i="8"/>
  <c r="J39" i="8"/>
  <c r="D20" i="8"/>
  <c r="L20" i="8"/>
  <c r="K21" i="8"/>
  <c r="J22" i="8"/>
  <c r="I23" i="8"/>
  <c r="E25" i="8"/>
  <c r="D26" i="8"/>
  <c r="L26" i="8"/>
  <c r="K27" i="8"/>
  <c r="J28" i="8"/>
  <c r="I29" i="8"/>
  <c r="E31" i="8"/>
  <c r="D32" i="8"/>
  <c r="L32" i="8"/>
  <c r="E34" i="8"/>
  <c r="L35" i="8"/>
  <c r="D37" i="8"/>
  <c r="I38" i="8"/>
  <c r="D33" i="8"/>
  <c r="L33" i="8"/>
  <c r="K34" i="8"/>
  <c r="J35" i="8"/>
  <c r="I36" i="8"/>
  <c r="E38" i="8"/>
  <c r="D39" i="8"/>
  <c r="L39" i="8"/>
  <c r="E33" i="8"/>
  <c r="D34" i="8"/>
  <c r="L34" i="8"/>
  <c r="K35" i="8"/>
  <c r="J36" i="8"/>
  <c r="I37" i="8"/>
  <c r="E39" i="8"/>
  <c r="K33" i="8"/>
  <c r="J34" i="8"/>
  <c r="I35" i="8"/>
  <c r="E37" i="8"/>
  <c r="D38" i="8"/>
  <c r="L38" i="8"/>
  <c r="K39" i="8"/>
  <c r="F6" i="8"/>
  <c r="F8" i="8"/>
  <c r="F20" i="8"/>
  <c r="F38" i="8"/>
  <c r="F5" i="8"/>
  <c r="F11" i="8"/>
  <c r="F17" i="8"/>
  <c r="F23" i="8"/>
  <c r="F29" i="8"/>
  <c r="F35" i="8"/>
  <c r="F18" i="8"/>
  <c r="F7" i="8"/>
  <c r="F13" i="8"/>
  <c r="F19" i="8"/>
  <c r="F25" i="8"/>
  <c r="F31" i="8"/>
  <c r="F37" i="8"/>
  <c r="F30" i="8"/>
  <c r="F36" i="8"/>
  <c r="F12" i="8"/>
  <c r="F14" i="8"/>
  <c r="F32" i="8"/>
  <c r="F9" i="8"/>
  <c r="F15" i="8"/>
  <c r="F21" i="8"/>
  <c r="F27" i="8"/>
  <c r="F33" i="8"/>
  <c r="F39" i="8"/>
  <c r="F24" i="8"/>
  <c r="F26" i="8"/>
  <c r="F10" i="8"/>
  <c r="F16" i="8"/>
  <c r="F22" i="8"/>
  <c r="F28" i="8"/>
  <c r="F34" i="8"/>
  <c r="F4" i="8"/>
  <c r="F3" i="8" l="1"/>
  <c r="M39" i="8"/>
  <c r="N38" i="8"/>
  <c r="M33" i="8"/>
  <c r="M35" i="8"/>
  <c r="N34" i="8"/>
  <c r="N39" i="8"/>
  <c r="M34" i="8"/>
  <c r="N33" i="8"/>
  <c r="N35" i="8"/>
  <c r="N32" i="8"/>
  <c r="M27" i="8"/>
  <c r="N26" i="8"/>
  <c r="M21" i="8"/>
  <c r="N20" i="8"/>
  <c r="N36" i="8"/>
  <c r="M32" i="8"/>
  <c r="N31" i="8"/>
  <c r="M26" i="8"/>
  <c r="N25" i="8"/>
  <c r="N37" i="8"/>
  <c r="M36" i="8"/>
  <c r="M31" i="8"/>
  <c r="N30" i="8"/>
  <c r="M37" i="8"/>
  <c r="M30" i="8"/>
  <c r="N29" i="8"/>
  <c r="M38" i="8"/>
  <c r="M29" i="8"/>
  <c r="N28" i="8"/>
  <c r="M23" i="8"/>
  <c r="N22" i="8"/>
  <c r="M28" i="8"/>
  <c r="N27" i="8"/>
  <c r="M22" i="8"/>
  <c r="N21" i="8"/>
  <c r="M24" i="8"/>
  <c r="N23" i="8"/>
  <c r="M16" i="8"/>
  <c r="N15" i="8"/>
  <c r="M15" i="8"/>
  <c r="N14" i="8"/>
  <c r="M25" i="8"/>
  <c r="M19" i="8"/>
  <c r="N18" i="8"/>
  <c r="M13" i="8"/>
  <c r="N12" i="8"/>
  <c r="N24" i="8"/>
  <c r="M17" i="8"/>
  <c r="N16" i="8"/>
  <c r="M11" i="8"/>
  <c r="N19" i="8"/>
  <c r="N13" i="8"/>
  <c r="M10" i="8"/>
  <c r="N9" i="8"/>
  <c r="N17" i="8"/>
  <c r="M8" i="8"/>
  <c r="M7" i="8"/>
  <c r="M14" i="8"/>
  <c r="M20" i="8"/>
  <c r="M18" i="8"/>
  <c r="M12" i="8"/>
  <c r="M9" i="8"/>
  <c r="N8" i="8"/>
  <c r="N7" i="8"/>
  <c r="N10" i="8"/>
  <c r="N11" i="8"/>
  <c r="M6" i="8"/>
  <c r="M5" i="8"/>
  <c r="E3" i="8"/>
  <c r="N6" i="8"/>
  <c r="N5" i="8"/>
  <c r="I3" i="8"/>
  <c r="M4" i="8"/>
  <c r="K3" i="8"/>
  <c r="D3" i="8"/>
  <c r="L3" i="8"/>
  <c r="J3" i="8"/>
  <c r="N4" i="8"/>
  <c r="N6" i="1"/>
  <c r="N8" i="1"/>
  <c r="N11" i="1"/>
  <c r="N12" i="1"/>
  <c r="N14" i="1"/>
  <c r="M7" i="1"/>
  <c r="M9" i="1"/>
  <c r="M10" i="1"/>
  <c r="M13" i="1"/>
  <c r="N7" i="1"/>
  <c r="N9" i="1"/>
  <c r="M6" i="1"/>
  <c r="M8" i="1"/>
  <c r="M11" i="1"/>
  <c r="M12" i="1"/>
  <c r="M14" i="1"/>
  <c r="M15" i="1"/>
  <c r="N10" i="1"/>
  <c r="N15" i="1"/>
  <c r="M16" i="1"/>
  <c r="N18" i="1"/>
  <c r="N23" i="1"/>
  <c r="M5" i="1"/>
  <c r="N13" i="1"/>
  <c r="N16" i="1"/>
  <c r="M21" i="1"/>
  <c r="N5" i="1"/>
  <c r="M19" i="1"/>
  <c r="M20" i="1"/>
  <c r="M22" i="1"/>
  <c r="M17" i="1"/>
  <c r="N21" i="1"/>
  <c r="M25" i="1"/>
  <c r="M28" i="1"/>
  <c r="N17" i="1"/>
  <c r="N20" i="1"/>
  <c r="N25" i="1"/>
  <c r="N28" i="1"/>
  <c r="M26" i="1"/>
  <c r="M31" i="1"/>
  <c r="M32" i="1"/>
  <c r="M18" i="1"/>
  <c r="M23" i="1"/>
  <c r="N26" i="1"/>
  <c r="N31" i="1"/>
  <c r="N32" i="1"/>
  <c r="M24" i="1"/>
  <c r="M27" i="1"/>
  <c r="M29" i="1"/>
  <c r="M30" i="1"/>
  <c r="N19" i="1"/>
  <c r="N22" i="1"/>
  <c r="N24" i="1"/>
  <c r="N27" i="1"/>
  <c r="N29" i="1"/>
  <c r="N30" i="1"/>
  <c r="N33" i="1"/>
  <c r="N34" i="1"/>
  <c r="N37" i="1"/>
  <c r="N43" i="1"/>
  <c r="M35" i="1"/>
  <c r="M38" i="1"/>
  <c r="M40" i="1"/>
  <c r="N35" i="1"/>
  <c r="N38" i="1"/>
  <c r="N40" i="1"/>
  <c r="M36" i="1"/>
  <c r="M39" i="1"/>
  <c r="M41" i="1"/>
  <c r="M42" i="1"/>
  <c r="M44" i="1"/>
  <c r="M45" i="1"/>
  <c r="N36" i="1"/>
  <c r="N39" i="1"/>
  <c r="N41" i="1"/>
  <c r="N42" i="1"/>
  <c r="N44" i="1"/>
  <c r="N45" i="1"/>
  <c r="M33" i="1"/>
  <c r="M34" i="1"/>
  <c r="M37" i="1"/>
  <c r="M43" i="1"/>
  <c r="M46" i="1"/>
  <c r="M49" i="1"/>
  <c r="M54" i="1"/>
  <c r="M55" i="1"/>
  <c r="M57" i="1"/>
  <c r="N46" i="1"/>
  <c r="N49" i="1"/>
  <c r="N54" i="1"/>
  <c r="N55" i="1"/>
  <c r="N57" i="1"/>
  <c r="M47" i="1"/>
  <c r="M50" i="1"/>
  <c r="M52" i="1"/>
  <c r="M53" i="1"/>
  <c r="M56" i="1"/>
  <c r="N47" i="1"/>
  <c r="N50" i="1"/>
  <c r="N52" i="1"/>
  <c r="N53" i="1"/>
  <c r="N56" i="1"/>
  <c r="M48" i="1"/>
  <c r="M51" i="1"/>
  <c r="N48" i="1"/>
  <c r="N51" i="1"/>
  <c r="N58" i="1"/>
  <c r="N64" i="1"/>
  <c r="N67" i="1"/>
  <c r="N70" i="1"/>
  <c r="M61" i="1"/>
  <c r="M68" i="1"/>
  <c r="N61" i="1"/>
  <c r="N68" i="1"/>
  <c r="M59" i="1"/>
  <c r="M60" i="1"/>
  <c r="M62" i="1"/>
  <c r="M63" i="1"/>
  <c r="M65" i="1"/>
  <c r="M66" i="1"/>
  <c r="M69" i="1"/>
  <c r="N59" i="1"/>
  <c r="N60" i="1"/>
  <c r="N62" i="1"/>
  <c r="N63" i="1"/>
  <c r="N65" i="1"/>
  <c r="N66" i="1"/>
  <c r="N69" i="1"/>
  <c r="M58" i="1"/>
  <c r="M64" i="1"/>
  <c r="N71" i="1"/>
  <c r="N72" i="1"/>
  <c r="N77" i="1"/>
  <c r="N78" i="1"/>
  <c r="N80" i="1"/>
  <c r="M73" i="1"/>
  <c r="M75" i="1"/>
  <c r="M76" i="1"/>
  <c r="M81" i="1"/>
  <c r="M67" i="1"/>
  <c r="N73" i="1"/>
  <c r="N75" i="1"/>
  <c r="N76" i="1"/>
  <c r="N81" i="1"/>
  <c r="M70" i="1"/>
  <c r="M74" i="1"/>
  <c r="M79" i="1"/>
  <c r="N74" i="1"/>
  <c r="N79" i="1"/>
  <c r="M71" i="1"/>
  <c r="M72" i="1"/>
  <c r="M77" i="1"/>
  <c r="M78" i="1"/>
  <c r="M80" i="1"/>
  <c r="C12" i="2"/>
  <c r="O1" i="8" s="1"/>
  <c r="T36" i="8"/>
  <c r="R28" i="8"/>
  <c r="Q28" i="8"/>
  <c r="O28" i="8"/>
  <c r="T22" i="8"/>
  <c r="S22" i="8"/>
  <c r="Q22" i="8"/>
  <c r="O22" i="8"/>
  <c r="O36" i="8"/>
  <c r="R22" i="8"/>
  <c r="U39" i="8"/>
  <c r="T39" i="8"/>
  <c r="Q39" i="8"/>
  <c r="U33" i="8"/>
  <c r="T33" i="8"/>
  <c r="Q33" i="8"/>
  <c r="T34" i="8"/>
  <c r="S34" i="8"/>
  <c r="Q34" i="8"/>
  <c r="O34" i="8"/>
  <c r="T35" i="8"/>
  <c r="O35" i="8"/>
  <c r="R34" i="8"/>
  <c r="U36" i="8"/>
  <c r="S36" i="8"/>
  <c r="Q35" i="8"/>
  <c r="S35" i="8"/>
  <c r="R35" i="8"/>
  <c r="U22" i="8"/>
  <c r="P22" i="8"/>
  <c r="S27" i="8"/>
  <c r="P36" i="8"/>
  <c r="R36" i="8"/>
  <c r="Q36" i="8"/>
  <c r="U34" i="8"/>
  <c r="P34" i="8"/>
  <c r="U35" i="8"/>
  <c r="P35" i="8"/>
  <c r="P28" i="8"/>
  <c r="S32" i="8"/>
  <c r="O32" i="8"/>
  <c r="Q23" i="8"/>
  <c r="P11" i="8"/>
  <c r="Q12" i="8"/>
  <c r="P12" i="8"/>
  <c r="O12" i="8"/>
  <c r="P10" i="8"/>
  <c r="Q10" i="8"/>
  <c r="R8" i="8"/>
  <c r="P13" i="8"/>
  <c r="O13" i="8"/>
  <c r="S13" i="8"/>
  <c r="Q13" i="8"/>
  <c r="O39" i="8"/>
  <c r="O33" i="8"/>
  <c r="Q27" i="8"/>
  <c r="P32" i="8"/>
  <c r="T24" i="8"/>
  <c r="R21" i="8"/>
  <c r="T16" i="8"/>
  <c r="O16" i="8"/>
  <c r="U16" i="8"/>
  <c r="R25" i="8"/>
  <c r="Q14" i="8"/>
  <c r="S14" i="8"/>
  <c r="R26" i="8"/>
  <c r="S19" i="8"/>
  <c r="S9" i="8"/>
  <c r="P7" i="8"/>
  <c r="T13" i="8"/>
  <c r="U15" i="8"/>
  <c r="T28" i="8"/>
  <c r="R39" i="8"/>
  <c r="R33" i="8"/>
  <c r="T32" i="8"/>
  <c r="Q32" i="8"/>
  <c r="U31" i="8"/>
  <c r="T31" i="8"/>
  <c r="S31" i="8"/>
  <c r="R31" i="8"/>
  <c r="Q31" i="8"/>
  <c r="P31" i="8"/>
  <c r="S37" i="8"/>
  <c r="R38" i="8"/>
  <c r="P23" i="8"/>
  <c r="U17" i="8"/>
  <c r="T17" i="8"/>
  <c r="T11" i="8"/>
  <c r="U21" i="8"/>
  <c r="T21" i="8"/>
  <c r="Q21" i="8"/>
  <c r="S16" i="8"/>
  <c r="R16" i="8"/>
  <c r="P16" i="8"/>
  <c r="Q20" i="8"/>
  <c r="U18" i="8"/>
  <c r="U12" i="8"/>
  <c r="T10" i="8"/>
  <c r="T9" i="8"/>
  <c r="U9" i="8"/>
  <c r="Q9" i="8"/>
  <c r="U8" i="8"/>
  <c r="S8" i="8"/>
  <c r="U7" i="8"/>
  <c r="T7" i="8"/>
  <c r="S7" i="8"/>
  <c r="Q7" i="8"/>
  <c r="T15" i="8"/>
  <c r="S15" i="8"/>
  <c r="Q15" i="8"/>
  <c r="O15" i="8"/>
  <c r="R15" i="8"/>
  <c r="S28" i="8"/>
  <c r="U27" i="8"/>
  <c r="T27" i="8"/>
  <c r="P27" i="8"/>
  <c r="O31" i="8"/>
  <c r="U30" i="8"/>
  <c r="T30" i="8"/>
  <c r="S30" i="8"/>
  <c r="R30" i="8"/>
  <c r="Q30" i="8"/>
  <c r="S24" i="8"/>
  <c r="S23" i="8"/>
  <c r="R23" i="8"/>
  <c r="U23" i="8"/>
  <c r="R17" i="8"/>
  <c r="Q17" i="8"/>
  <c r="O17" i="8"/>
  <c r="S17" i="8"/>
  <c r="U11" i="8"/>
  <c r="S21" i="8"/>
  <c r="O21" i="8"/>
  <c r="U25" i="8"/>
  <c r="T25" i="8"/>
  <c r="Q25" i="8"/>
  <c r="P25" i="8"/>
  <c r="Q26" i="8"/>
  <c r="R20" i="8"/>
  <c r="S18" i="8"/>
  <c r="S12" i="8"/>
  <c r="U19" i="8"/>
  <c r="O9" i="8"/>
  <c r="O8" i="8"/>
  <c r="P8" i="8"/>
  <c r="R7" i="8"/>
  <c r="P39" i="8"/>
  <c r="P33" i="8"/>
  <c r="R27" i="8"/>
  <c r="O27" i="8"/>
  <c r="R32" i="8"/>
  <c r="U37" i="8"/>
  <c r="T37" i="8"/>
  <c r="P30" i="8"/>
  <c r="O30" i="8"/>
  <c r="U24" i="8"/>
  <c r="U38" i="8"/>
  <c r="U29" i="8"/>
  <c r="T29" i="8"/>
  <c r="S29" i="8"/>
  <c r="R29" i="8"/>
  <c r="R11" i="8"/>
  <c r="Q11" i="8"/>
  <c r="O11" i="8"/>
  <c r="S11" i="8"/>
  <c r="O25" i="8"/>
  <c r="U14" i="8"/>
  <c r="T14" i="8"/>
  <c r="R14" i="8"/>
  <c r="P14" i="8"/>
  <c r="U26" i="8"/>
  <c r="U20" i="8"/>
  <c r="T18" i="8"/>
  <c r="R18" i="8"/>
  <c r="O19" i="8"/>
  <c r="Q19" i="8"/>
  <c r="P19" i="8"/>
  <c r="R19" i="8"/>
  <c r="T19" i="8"/>
  <c r="S10" i="8"/>
  <c r="R10" i="8"/>
  <c r="O10" i="8"/>
  <c r="R13" i="8"/>
  <c r="P15" i="8"/>
  <c r="U28" i="8"/>
  <c r="S39" i="8"/>
  <c r="S33" i="8"/>
  <c r="U32" i="8"/>
  <c r="O37" i="8"/>
  <c r="Q37" i="8"/>
  <c r="P37" i="8"/>
  <c r="R37" i="8"/>
  <c r="P24" i="8"/>
  <c r="O24" i="8"/>
  <c r="R24" i="8"/>
  <c r="Q24" i="8"/>
  <c r="T38" i="8"/>
  <c r="P38" i="8"/>
  <c r="O38" i="8"/>
  <c r="S38" i="8"/>
  <c r="Q38" i="8"/>
  <c r="Q29" i="8"/>
  <c r="P29" i="8"/>
  <c r="O29" i="8"/>
  <c r="T23" i="8"/>
  <c r="O23" i="8"/>
  <c r="P17" i="8"/>
  <c r="P21" i="8"/>
  <c r="Q16" i="8"/>
  <c r="S25" i="8"/>
  <c r="O14" i="8"/>
  <c r="T26" i="8"/>
  <c r="S26" i="8"/>
  <c r="P26" i="8"/>
  <c r="O26" i="8"/>
  <c r="T20" i="8"/>
  <c r="P20" i="8"/>
  <c r="O20" i="8"/>
  <c r="S20" i="8"/>
  <c r="Q18" i="8"/>
  <c r="P18" i="8"/>
  <c r="O18" i="8"/>
  <c r="T12" i="8"/>
  <c r="R12" i="8"/>
  <c r="U10" i="8"/>
  <c r="R9" i="8"/>
  <c r="P9" i="8"/>
  <c r="Q8" i="8"/>
  <c r="T8" i="8"/>
  <c r="O7" i="8"/>
  <c r="U13" i="8"/>
  <c r="T6" i="8"/>
  <c r="T4" i="8"/>
  <c r="Q5" i="8"/>
  <c r="T5" i="8"/>
  <c r="Q6" i="8"/>
  <c r="R6" i="8"/>
  <c r="S6" i="8"/>
  <c r="U6" i="8"/>
  <c r="S4" i="8"/>
  <c r="P4" i="8"/>
  <c r="O4" i="8"/>
  <c r="U5" i="8"/>
  <c r="U4" i="8"/>
  <c r="O5" i="8"/>
  <c r="P5" i="8"/>
  <c r="S5" i="8"/>
  <c r="P6" i="8"/>
  <c r="Q4" i="8"/>
  <c r="R5" i="8"/>
  <c r="O6" i="8"/>
  <c r="R4" i="8"/>
  <c r="M3" i="8" l="1"/>
  <c r="N3" i="8"/>
  <c r="R3" i="8"/>
  <c r="Q3" i="8"/>
  <c r="U3" i="8"/>
  <c r="O3" i="8"/>
  <c r="P3" i="8"/>
  <c r="S3" i="8"/>
  <c r="T3" i="8"/>
  <c r="O1" i="1"/>
  <c r="E6" i="2"/>
  <c r="B23" i="2"/>
  <c r="B24" i="2"/>
  <c r="B25" i="2"/>
  <c r="B26" i="2"/>
  <c r="B22" i="2"/>
  <c r="E20" i="2"/>
  <c r="F20" i="2"/>
  <c r="G20" i="2"/>
  <c r="H20" i="2"/>
  <c r="I20" i="2"/>
  <c r="J20" i="2"/>
  <c r="D20" i="2"/>
  <c r="C16" i="2"/>
  <c r="AQ1" i="8" s="1"/>
  <c r="C15" i="2"/>
  <c r="C14" i="2"/>
  <c r="AJ1" i="8" s="1"/>
  <c r="C13" i="2"/>
  <c r="V1" i="8" s="1"/>
  <c r="AR20" i="8"/>
  <c r="AV23" i="8"/>
  <c r="AQ30" i="8"/>
  <c r="AQ33" i="8"/>
  <c r="AS34" i="8"/>
  <c r="AR21" i="8"/>
  <c r="AW32" i="8"/>
  <c r="AV19" i="8"/>
  <c r="AS20" i="8"/>
  <c r="AU26" i="8"/>
  <c r="AR25" i="8"/>
  <c r="AV21" i="8"/>
  <c r="AU21" i="8"/>
  <c r="AW23" i="8"/>
  <c r="AQ29" i="8"/>
  <c r="AW24" i="8"/>
  <c r="AW30" i="8"/>
  <c r="AR31" i="8"/>
  <c r="AS32" i="8"/>
  <c r="AV32" i="8"/>
  <c r="AW27" i="8"/>
  <c r="AR33" i="8"/>
  <c r="AS22" i="8"/>
  <c r="AS28" i="8"/>
  <c r="AU34" i="8"/>
  <c r="AT21" i="8"/>
  <c r="AS27" i="8"/>
  <c r="AQ20" i="8"/>
  <c r="AU23" i="8"/>
  <c r="AT24" i="8"/>
  <c r="AV30" i="8"/>
  <c r="AW33" i="8"/>
  <c r="AV33" i="8"/>
  <c r="AV22" i="8"/>
  <c r="AR28" i="8"/>
  <c r="AR34" i="8"/>
  <c r="AQ23" i="8"/>
  <c r="AQ19" i="8"/>
  <c r="AW20" i="8"/>
  <c r="AV20" i="8"/>
  <c r="AR26" i="8"/>
  <c r="AU25" i="8"/>
  <c r="AQ21" i="8"/>
  <c r="AT23" i="8"/>
  <c r="AT29" i="8"/>
  <c r="AV24" i="8"/>
  <c r="AR24" i="8"/>
  <c r="AS30" i="8"/>
  <c r="AT31" i="8"/>
  <c r="AU32" i="8"/>
  <c r="AQ27" i="8"/>
  <c r="AU33" i="8"/>
  <c r="AW22" i="8"/>
  <c r="AT22" i="8"/>
  <c r="AU28" i="8"/>
  <c r="AQ34" i="8"/>
  <c r="AT26" i="8"/>
  <c r="AQ24" i="8"/>
  <c r="AR32" i="8"/>
  <c r="AR22" i="8"/>
  <c r="AU19" i="8"/>
  <c r="AT25" i="8"/>
  <c r="AU29" i="8"/>
  <c r="AV31" i="8"/>
  <c r="AT19" i="8"/>
  <c r="AS19" i="8"/>
  <c r="AU20" i="8"/>
  <c r="AW26" i="8"/>
  <c r="AV26" i="8"/>
  <c r="AW25" i="8"/>
  <c r="AS21" i="8"/>
  <c r="AS23" i="8"/>
  <c r="AS29" i="8"/>
  <c r="AU24" i="8"/>
  <c r="AU30" i="8"/>
  <c r="AR30" i="8"/>
  <c r="AS31" i="8"/>
  <c r="AT32" i="8"/>
  <c r="AV27" i="8"/>
  <c r="AT33" i="8"/>
  <c r="AQ22" i="8"/>
  <c r="AQ28" i="8"/>
  <c r="AT28" i="8"/>
  <c r="AV34" i="8"/>
  <c r="AW19" i="8"/>
  <c r="AV25" i="8"/>
  <c r="AV29" i="8"/>
  <c r="AW31" i="8"/>
  <c r="AU27" i="8"/>
  <c r="AW28" i="8"/>
  <c r="AS26" i="8"/>
  <c r="AW29" i="8"/>
  <c r="AR27" i="8"/>
  <c r="AR19" i="8"/>
  <c r="AT20" i="8"/>
  <c r="AQ26" i="8"/>
  <c r="AS25" i="8"/>
  <c r="AQ25" i="8"/>
  <c r="AW21" i="8"/>
  <c r="AR23" i="8"/>
  <c r="AR29" i="8"/>
  <c r="AS24" i="8"/>
  <c r="AT30" i="8"/>
  <c r="AU31" i="8"/>
  <c r="AQ31" i="8"/>
  <c r="AQ32" i="8"/>
  <c r="AT27" i="8"/>
  <c r="AS33" i="8"/>
  <c r="AU22" i="8"/>
  <c r="AV28" i="8"/>
  <c r="AW34" i="8"/>
  <c r="AT34" i="8"/>
  <c r="AV15" i="8"/>
  <c r="AR7" i="8"/>
  <c r="AT10" i="8"/>
  <c r="AV10" i="8"/>
  <c r="AW10" i="8"/>
  <c r="AQ18" i="8"/>
  <c r="AV18" i="8"/>
  <c r="AU14" i="8"/>
  <c r="AT14" i="8"/>
  <c r="AV14" i="8"/>
  <c r="AS16" i="8"/>
  <c r="AW11" i="8"/>
  <c r="AS11" i="8"/>
  <c r="AU11" i="8"/>
  <c r="AV11" i="8"/>
  <c r="AQ17" i="8"/>
  <c r="AV37" i="8"/>
  <c r="AU39" i="8"/>
  <c r="AQ15" i="8"/>
  <c r="AR15" i="8"/>
  <c r="AV7" i="8"/>
  <c r="AR8" i="8"/>
  <c r="AT8" i="8"/>
  <c r="AV8" i="8"/>
  <c r="AS8" i="8"/>
  <c r="AW9" i="8"/>
  <c r="AS9" i="8"/>
  <c r="AU9" i="8"/>
  <c r="AR9" i="8"/>
  <c r="AR10" i="8"/>
  <c r="AS12" i="8"/>
  <c r="AQ16" i="8"/>
  <c r="AW17" i="8"/>
  <c r="AS17" i="8"/>
  <c r="AU17" i="8"/>
  <c r="AV17" i="8"/>
  <c r="AQ39" i="8"/>
  <c r="AS15" i="8"/>
  <c r="AU15" i="8"/>
  <c r="AW15" i="8"/>
  <c r="AS7" i="8"/>
  <c r="AU7" i="8"/>
  <c r="AQ9" i="8"/>
  <c r="AS18" i="8"/>
  <c r="AW14" i="8"/>
  <c r="AR16" i="8"/>
  <c r="AT16" i="8"/>
  <c r="AV16" i="8"/>
  <c r="AW16" i="8"/>
  <c r="AT11" i="8"/>
  <c r="AR11" i="8"/>
  <c r="AR17" i="8"/>
  <c r="AV38" i="8"/>
  <c r="AQ38" i="8"/>
  <c r="AR13" i="8"/>
  <c r="AV13" i="8"/>
  <c r="AQ13" i="8"/>
  <c r="AT7" i="8"/>
  <c r="AU10" i="8"/>
  <c r="AQ14" i="8"/>
  <c r="AU16" i="8"/>
  <c r="AR37" i="8"/>
  <c r="AW37" i="8"/>
  <c r="AU13" i="8"/>
  <c r="AW13" i="8"/>
  <c r="AS13" i="8"/>
  <c r="AT13" i="8"/>
  <c r="AW7" i="8"/>
  <c r="AQ8" i="8"/>
  <c r="AS10" i="8"/>
  <c r="AW12" i="8"/>
  <c r="AR12" i="8"/>
  <c r="AT12" i="8"/>
  <c r="AU12" i="8"/>
  <c r="AT17" i="8"/>
  <c r="AR38" i="8"/>
  <c r="AT15" i="8"/>
  <c r="AQ7" i="8"/>
  <c r="AW8" i="8"/>
  <c r="AU8" i="8"/>
  <c r="AV9" i="8"/>
  <c r="AT9" i="8"/>
  <c r="AQ10" i="8"/>
  <c r="AQ12" i="8"/>
  <c r="AV12" i="8"/>
  <c r="AW18" i="8"/>
  <c r="AR18" i="8"/>
  <c r="AT18" i="8"/>
  <c r="AU18" i="8"/>
  <c r="AR14" i="8"/>
  <c r="AS14" i="8"/>
  <c r="AQ11" i="8"/>
  <c r="AW38" i="8"/>
  <c r="AU38" i="8"/>
  <c r="AS38" i="8"/>
  <c r="AT38" i="8"/>
  <c r="AQ37" i="8"/>
  <c r="AT37" i="8"/>
  <c r="AU37" i="8"/>
  <c r="AS37" i="8"/>
  <c r="AT39" i="8"/>
  <c r="AV39" i="8"/>
  <c r="AQ35" i="8"/>
  <c r="AU36" i="8"/>
  <c r="AV36" i="8"/>
  <c r="AT36" i="8"/>
  <c r="AV35" i="8"/>
  <c r="AW35" i="8"/>
  <c r="AU35" i="8"/>
  <c r="AR36" i="8"/>
  <c r="AW36" i="8"/>
  <c r="AR39" i="8"/>
  <c r="AS39" i="8"/>
  <c r="AW39" i="8"/>
  <c r="AS35" i="8"/>
  <c r="AQ36" i="8"/>
  <c r="AS36" i="8"/>
  <c r="AR35" i="8"/>
  <c r="AT35" i="8"/>
  <c r="AK15" i="8"/>
  <c r="AL15" i="8"/>
  <c r="AP7" i="8"/>
  <c r="AM7" i="8"/>
  <c r="AN8" i="8"/>
  <c r="AJ8" i="8"/>
  <c r="AM8" i="8"/>
  <c r="AM9" i="8"/>
  <c r="AL9" i="8"/>
  <c r="AM10" i="8"/>
  <c r="AL10" i="8"/>
  <c r="AL19" i="8"/>
  <c r="AP20" i="8"/>
  <c r="AO14" i="8"/>
  <c r="AN25" i="8"/>
  <c r="AO25" i="8"/>
  <c r="AJ16" i="8"/>
  <c r="AK16" i="8"/>
  <c r="AP21" i="8"/>
  <c r="AL21" i="8"/>
  <c r="AM21" i="8"/>
  <c r="AN17" i="8"/>
  <c r="AM17" i="8"/>
  <c r="AO17" i="8"/>
  <c r="AP17" i="8"/>
  <c r="AP23" i="8"/>
  <c r="AO30" i="8"/>
  <c r="AP30" i="8"/>
  <c r="AJ31" i="8"/>
  <c r="AK31" i="8"/>
  <c r="AL31" i="8"/>
  <c r="AM31" i="8"/>
  <c r="AO32" i="8"/>
  <c r="AM22" i="8"/>
  <c r="AN15" i="8"/>
  <c r="AM15" i="8"/>
  <c r="AO15" i="8"/>
  <c r="AP13" i="8"/>
  <c r="AO7" i="8"/>
  <c r="AM12" i="8"/>
  <c r="AJ20" i="8"/>
  <c r="AO26" i="8"/>
  <c r="AK25" i="8"/>
  <c r="AM16" i="8"/>
  <c r="AL16" i="8"/>
  <c r="AN16" i="8"/>
  <c r="AP16" i="8"/>
  <c r="AN11" i="8"/>
  <c r="AM23" i="8"/>
  <c r="AJ38" i="8"/>
  <c r="AN31" i="8"/>
  <c r="AO31" i="8"/>
  <c r="AP31" i="8"/>
  <c r="AK32" i="8"/>
  <c r="AN27" i="8"/>
  <c r="AJ13" i="8"/>
  <c r="AK13" i="8"/>
  <c r="AN7" i="8"/>
  <c r="AP8" i="8"/>
  <c r="AK8" i="8"/>
  <c r="AP9" i="8"/>
  <c r="AO10" i="8"/>
  <c r="AK12" i="8"/>
  <c r="AN21" i="8"/>
  <c r="AO38" i="8"/>
  <c r="AK37" i="8"/>
  <c r="AP37" i="8"/>
  <c r="AJ32" i="8"/>
  <c r="AM32" i="8"/>
  <c r="AL32" i="8"/>
  <c r="AN33" i="8"/>
  <c r="AN39" i="8"/>
  <c r="AO22" i="8"/>
  <c r="AJ22" i="8"/>
  <c r="AP15" i="8"/>
  <c r="AO13" i="8"/>
  <c r="AM13" i="8"/>
  <c r="AN13" i="8"/>
  <c r="AP19" i="8"/>
  <c r="AJ12" i="8"/>
  <c r="AL12" i="8"/>
  <c r="AN12" i="8"/>
  <c r="AO12" i="8"/>
  <c r="AK18" i="8"/>
  <c r="AL20" i="8"/>
  <c r="AP26" i="8"/>
  <c r="AK26" i="8"/>
  <c r="AL26" i="8"/>
  <c r="AK14" i="8"/>
  <c r="AP25" i="8"/>
  <c r="AO16" i="8"/>
  <c r="AN23" i="8"/>
  <c r="AO23" i="8"/>
  <c r="AL38" i="8"/>
  <c r="AK24" i="8"/>
  <c r="AJ24" i="8"/>
  <c r="AO27" i="8"/>
  <c r="AL33" i="8"/>
  <c r="AL39" i="8"/>
  <c r="AJ15" i="8"/>
  <c r="AL7" i="8"/>
  <c r="AO8" i="8"/>
  <c r="AL8" i="8"/>
  <c r="AJ9" i="8"/>
  <c r="AN9" i="8"/>
  <c r="AJ10" i="8"/>
  <c r="AK10" i="8"/>
  <c r="AP12" i="8"/>
  <c r="AM18" i="8"/>
  <c r="AJ18" i="8"/>
  <c r="AL18" i="8"/>
  <c r="AN18" i="8"/>
  <c r="AO18" i="8"/>
  <c r="AM20" i="8"/>
  <c r="AN20" i="8"/>
  <c r="AM26" i="8"/>
  <c r="AN26" i="8"/>
  <c r="AJ14" i="8"/>
  <c r="AL14" i="8"/>
  <c r="AM14" i="8"/>
  <c r="AJ21" i="8"/>
  <c r="AL11" i="8"/>
  <c r="AK11" i="8"/>
  <c r="AJ11" i="8"/>
  <c r="AL17" i="8"/>
  <c r="AJ29" i="8"/>
  <c r="AK29" i="8"/>
  <c r="AL29" i="8"/>
  <c r="AM29" i="8"/>
  <c r="AN29" i="8"/>
  <c r="AO29" i="8"/>
  <c r="AK38" i="8"/>
  <c r="AM38" i="8"/>
  <c r="AN38" i="8"/>
  <c r="AO24" i="8"/>
  <c r="AP24" i="8"/>
  <c r="AM24" i="8"/>
  <c r="AN24" i="8"/>
  <c r="AN37" i="8"/>
  <c r="AO37" i="8"/>
  <c r="AM37" i="8"/>
  <c r="AP32" i="8"/>
  <c r="AP33" i="8"/>
  <c r="AP39" i="8"/>
  <c r="AL13" i="8"/>
  <c r="AJ7" i="8"/>
  <c r="AK7" i="8"/>
  <c r="AK9" i="8"/>
  <c r="AO9" i="8"/>
  <c r="AN10" i="8"/>
  <c r="AP10" i="8"/>
  <c r="AJ19" i="8"/>
  <c r="AK19" i="8"/>
  <c r="AN19" i="8"/>
  <c r="AO19" i="8"/>
  <c r="AM19" i="8"/>
  <c r="AP18" i="8"/>
  <c r="AK20" i="8"/>
  <c r="AO20" i="8"/>
  <c r="AJ26" i="8"/>
  <c r="AN14" i="8"/>
  <c r="AP14" i="8"/>
  <c r="AJ25" i="8"/>
  <c r="AL25" i="8"/>
  <c r="AM25" i="8"/>
  <c r="AO21" i="8"/>
  <c r="AK21" i="8"/>
  <c r="AM11" i="8"/>
  <c r="AO11" i="8"/>
  <c r="AP11" i="8"/>
  <c r="AK17" i="8"/>
  <c r="AJ17" i="8"/>
  <c r="AL23" i="8"/>
  <c r="AJ23" i="8"/>
  <c r="AK23" i="8"/>
  <c r="AP29" i="8"/>
  <c r="AP38" i="8"/>
  <c r="AL24" i="8"/>
  <c r="AJ30" i="8"/>
  <c r="AK30" i="8"/>
  <c r="AL30" i="8"/>
  <c r="AM30" i="8"/>
  <c r="AN30" i="8"/>
  <c r="AJ37" i="8"/>
  <c r="AL37" i="8"/>
  <c r="AN32" i="8"/>
  <c r="AL27" i="8"/>
  <c r="AM27" i="8"/>
  <c r="AM33" i="8"/>
  <c r="AM39" i="8"/>
  <c r="AP27" i="8"/>
  <c r="AO33" i="8"/>
  <c r="AK33" i="8"/>
  <c r="AO39" i="8"/>
  <c r="AK39" i="8"/>
  <c r="AP35" i="8"/>
  <c r="AO35" i="8"/>
  <c r="AK36" i="8"/>
  <c r="AM36" i="8"/>
  <c r="AK34" i="8"/>
  <c r="AL34" i="8"/>
  <c r="AP34" i="8"/>
  <c r="AL35" i="8"/>
  <c r="AK22" i="8"/>
  <c r="AL22" i="8"/>
  <c r="AP22" i="8"/>
  <c r="AJ28" i="8"/>
  <c r="AN35" i="8"/>
  <c r="AN34" i="8"/>
  <c r="AN28" i="8"/>
  <c r="AO28" i="8"/>
  <c r="AP28" i="8"/>
  <c r="AL36" i="8"/>
  <c r="AN22" i="8"/>
  <c r="AM28" i="8"/>
  <c r="AK28" i="8"/>
  <c r="AL28" i="8"/>
  <c r="AJ36" i="8"/>
  <c r="AJ27" i="8"/>
  <c r="AK27" i="8"/>
  <c r="AJ33" i="8"/>
  <c r="AJ39" i="8"/>
  <c r="AM35" i="8"/>
  <c r="AJ35" i="8"/>
  <c r="AK35" i="8"/>
  <c r="AO36" i="8"/>
  <c r="AP36" i="8"/>
  <c r="AN36" i="8"/>
  <c r="AM34" i="8"/>
  <c r="AO34" i="8"/>
  <c r="AJ34" i="8"/>
  <c r="V15" i="8"/>
  <c r="X13" i="8"/>
  <c r="W13" i="8"/>
  <c r="Y13" i="8"/>
  <c r="V13" i="8"/>
  <c r="AB7" i="8"/>
  <c r="Y9" i="8"/>
  <c r="AA12" i="8"/>
  <c r="V12" i="8"/>
  <c r="W12" i="8"/>
  <c r="X20" i="8"/>
  <c r="W26" i="8"/>
  <c r="V21" i="8"/>
  <c r="V11" i="8"/>
  <c r="Z23" i="8"/>
  <c r="W23" i="8"/>
  <c r="X38" i="8"/>
  <c r="Y24" i="8"/>
  <c r="AB32" i="8"/>
  <c r="Y32" i="8"/>
  <c r="V27" i="8"/>
  <c r="AA13" i="8"/>
  <c r="AB13" i="8"/>
  <c r="AA7" i="8"/>
  <c r="Y7" i="8"/>
  <c r="W8" i="8"/>
  <c r="Z8" i="8"/>
  <c r="V9" i="8"/>
  <c r="W10" i="8"/>
  <c r="X12" i="8"/>
  <c r="Z12" i="8"/>
  <c r="AB12" i="8"/>
  <c r="AA18" i="8"/>
  <c r="V18" i="8"/>
  <c r="W18" i="8"/>
  <c r="V20" i="8"/>
  <c r="Z20" i="8"/>
  <c r="V26" i="8"/>
  <c r="Y26" i="8"/>
  <c r="Z26" i="8"/>
  <c r="AB21" i="8"/>
  <c r="Z17" i="8"/>
  <c r="AA23" i="8"/>
  <c r="V29" i="8"/>
  <c r="W29" i="8"/>
  <c r="V38" i="8"/>
  <c r="Z38" i="8"/>
  <c r="W24" i="8"/>
  <c r="X24" i="8"/>
  <c r="V24" i="8"/>
  <c r="Y37" i="8"/>
  <c r="V37" i="8"/>
  <c r="W37" i="8"/>
  <c r="AA32" i="8"/>
  <c r="AB22" i="8"/>
  <c r="X15" i="8"/>
  <c r="Z13" i="8"/>
  <c r="Z7" i="8"/>
  <c r="AB9" i="8"/>
  <c r="V10" i="8"/>
  <c r="X10" i="8"/>
  <c r="Y10" i="8"/>
  <c r="V19" i="8"/>
  <c r="W19" i="8"/>
  <c r="X18" i="8"/>
  <c r="Z18" i="8"/>
  <c r="AB18" i="8"/>
  <c r="AA20" i="8"/>
  <c r="AB20" i="8"/>
  <c r="X26" i="8"/>
  <c r="AA26" i="8"/>
  <c r="AB26" i="8"/>
  <c r="Y14" i="8"/>
  <c r="V14" i="8"/>
  <c r="X14" i="8"/>
  <c r="Z14" i="8"/>
  <c r="AA14" i="8"/>
  <c r="X25" i="8"/>
  <c r="W16" i="8"/>
  <c r="W21" i="8"/>
  <c r="Y11" i="8"/>
  <c r="W11" i="8"/>
  <c r="X11" i="8"/>
  <c r="X29" i="8"/>
  <c r="Y29" i="8"/>
  <c r="Z29" i="8"/>
  <c r="AA29" i="8"/>
  <c r="AB29" i="8"/>
  <c r="AA38" i="8"/>
  <c r="AB38" i="8"/>
  <c r="Z24" i="8"/>
  <c r="AA24" i="8"/>
  <c r="AB24" i="8"/>
  <c r="V30" i="8"/>
  <c r="AB37" i="8"/>
  <c r="AA37" i="8"/>
  <c r="X32" i="8"/>
  <c r="W27" i="8"/>
  <c r="X27" i="8"/>
  <c r="X7" i="8"/>
  <c r="V8" i="8"/>
  <c r="X8" i="8"/>
  <c r="X9" i="8"/>
  <c r="W9" i="8"/>
  <c r="AA10" i="8"/>
  <c r="AB10" i="8"/>
  <c r="X19" i="8"/>
  <c r="AB19" i="8"/>
  <c r="AA19" i="8"/>
  <c r="Y20" i="8"/>
  <c r="W20" i="8"/>
  <c r="AB14" i="8"/>
  <c r="V25" i="8"/>
  <c r="W25" i="8"/>
  <c r="Z25" i="8"/>
  <c r="AA25" i="8"/>
  <c r="X21" i="8"/>
  <c r="Y21" i="8"/>
  <c r="AB11" i="8"/>
  <c r="AA11" i="8"/>
  <c r="AB17" i="8"/>
  <c r="Y17" i="8"/>
  <c r="W17" i="8"/>
  <c r="X17" i="8"/>
  <c r="X23" i="8"/>
  <c r="Y23" i="8"/>
  <c r="Y38" i="8"/>
  <c r="W38" i="8"/>
  <c r="W30" i="8"/>
  <c r="X30" i="8"/>
  <c r="Y30" i="8"/>
  <c r="Z30" i="8"/>
  <c r="AA30" i="8"/>
  <c r="AB30" i="8"/>
  <c r="Z27" i="8"/>
  <c r="AA27" i="8"/>
  <c r="AB15" i="8"/>
  <c r="W15" i="8"/>
  <c r="Y15" i="8"/>
  <c r="Z15" i="8"/>
  <c r="W7" i="8"/>
  <c r="Y8" i="8"/>
  <c r="AB8" i="8"/>
  <c r="AA8" i="8"/>
  <c r="AA9" i="8"/>
  <c r="Z9" i="8"/>
  <c r="Z10" i="8"/>
  <c r="Z19" i="8"/>
  <c r="Y19" i="8"/>
  <c r="Y12" i="8"/>
  <c r="Y25" i="8"/>
  <c r="AB25" i="8"/>
  <c r="V16" i="8"/>
  <c r="X16" i="8"/>
  <c r="Y16" i="8"/>
  <c r="Z21" i="8"/>
  <c r="AA21" i="8"/>
  <c r="Z11" i="8"/>
  <c r="AA17" i="8"/>
  <c r="AB23" i="8"/>
  <c r="V23" i="8"/>
  <c r="X37" i="8"/>
  <c r="Z37" i="8"/>
  <c r="V31" i="8"/>
  <c r="W31" i="8"/>
  <c r="X31" i="8"/>
  <c r="Y31" i="8"/>
  <c r="Z31" i="8"/>
  <c r="AA31" i="8"/>
  <c r="W32" i="8"/>
  <c r="Z32" i="8"/>
  <c r="AB27" i="8"/>
  <c r="AB28" i="8"/>
  <c r="AA15" i="8"/>
  <c r="V7" i="8"/>
  <c r="Y18" i="8"/>
  <c r="W14" i="8"/>
  <c r="AA16" i="8"/>
  <c r="Z16" i="8"/>
  <c r="AB16" i="8"/>
  <c r="V17" i="8"/>
  <c r="AB31" i="8"/>
  <c r="V32" i="8"/>
  <c r="Y27" i="8"/>
  <c r="W33" i="8"/>
  <c r="W39" i="8"/>
  <c r="AA22" i="8"/>
  <c r="Y22" i="8"/>
  <c r="Z22" i="8"/>
  <c r="V28" i="8"/>
  <c r="W28" i="8"/>
  <c r="X28" i="8"/>
  <c r="Z35" i="8"/>
  <c r="W34" i="8"/>
  <c r="AB35" i="8"/>
  <c r="AB34" i="8"/>
  <c r="AB33" i="8"/>
  <c r="AB39" i="8"/>
  <c r="W22" i="8"/>
  <c r="AA28" i="8"/>
  <c r="Y28" i="8"/>
  <c r="Z28" i="8"/>
  <c r="Z36" i="8"/>
  <c r="W36" i="8"/>
  <c r="X36" i="8"/>
  <c r="V36" i="8"/>
  <c r="V35" i="8"/>
  <c r="X35" i="8"/>
  <c r="Y35" i="8"/>
  <c r="W35" i="8"/>
  <c r="AB36" i="8"/>
  <c r="V34" i="8"/>
  <c r="X34" i="8"/>
  <c r="V33" i="8"/>
  <c r="X33" i="8"/>
  <c r="Y33" i="8"/>
  <c r="V39" i="8"/>
  <c r="X39" i="8"/>
  <c r="Y39" i="8"/>
  <c r="AA35" i="8"/>
  <c r="AA34" i="8"/>
  <c r="Y34" i="8"/>
  <c r="Z34" i="8"/>
  <c r="Z33" i="8"/>
  <c r="AA33" i="8"/>
  <c r="Z39" i="8"/>
  <c r="AA39" i="8"/>
  <c r="V22" i="8"/>
  <c r="X22" i="8"/>
  <c r="Y36" i="8"/>
  <c r="AA36" i="8"/>
  <c r="AN6" i="8"/>
  <c r="AM6" i="8"/>
  <c r="AL5" i="8"/>
  <c r="AN5" i="8"/>
  <c r="AM5" i="8"/>
  <c r="AN4" i="8"/>
  <c r="AL6" i="8"/>
  <c r="AJ6" i="8"/>
  <c r="AJ4" i="8"/>
  <c r="AL4" i="8"/>
  <c r="AK6" i="8"/>
  <c r="AP6" i="8"/>
  <c r="AO6" i="8"/>
  <c r="AJ5" i="8"/>
  <c r="AK5" i="8"/>
  <c r="AM4" i="8"/>
  <c r="AO4" i="8"/>
  <c r="AK4" i="8"/>
  <c r="AP4" i="8"/>
  <c r="AP5" i="8"/>
  <c r="AO5" i="8"/>
  <c r="Z4" i="8"/>
  <c r="AB6" i="8"/>
  <c r="Z5" i="8"/>
  <c r="AA4" i="8"/>
  <c r="Z6" i="8"/>
  <c r="V6" i="8"/>
  <c r="W5" i="8"/>
  <c r="V5" i="8"/>
  <c r="X4" i="8"/>
  <c r="X5" i="8"/>
  <c r="AB5" i="8"/>
  <c r="AA5" i="8"/>
  <c r="AB4" i="8"/>
  <c r="Y6" i="8"/>
  <c r="V4" i="8"/>
  <c r="W4" i="8"/>
  <c r="Y4" i="8"/>
  <c r="AA6" i="8"/>
  <c r="X6" i="8"/>
  <c r="W6" i="8"/>
  <c r="Y5" i="8"/>
  <c r="AW5" i="8"/>
  <c r="AW6" i="8"/>
  <c r="AV5" i="8"/>
  <c r="AQ5" i="8"/>
  <c r="AT5" i="8"/>
  <c r="AS5" i="8"/>
  <c r="AV4" i="8"/>
  <c r="AU4" i="8"/>
  <c r="AQ4" i="8"/>
  <c r="AT6" i="8"/>
  <c r="AU5" i="8"/>
  <c r="AT4" i="8"/>
  <c r="AR4" i="8"/>
  <c r="AW4" i="8"/>
  <c r="AS6" i="8"/>
  <c r="AQ6" i="8"/>
  <c r="AV6" i="8"/>
  <c r="AU6" i="8"/>
  <c r="AR5" i="8"/>
  <c r="AS4" i="8"/>
  <c r="AR6" i="8"/>
  <c r="AS3" i="8" l="1"/>
  <c r="AW3" i="8"/>
  <c r="AR3" i="8"/>
  <c r="AT3" i="8"/>
  <c r="AQ3" i="8"/>
  <c r="AU3" i="8"/>
  <c r="AV3" i="8"/>
  <c r="Y3" i="8"/>
  <c r="W3" i="8"/>
  <c r="V3" i="8"/>
  <c r="AB3" i="8"/>
  <c r="X3" i="8"/>
  <c r="AA3" i="8"/>
  <c r="Z3" i="8"/>
  <c r="AP3" i="8"/>
  <c r="AK3" i="8"/>
  <c r="AO3" i="8"/>
  <c r="AM3" i="8"/>
  <c r="AL3" i="8"/>
  <c r="AJ3" i="8"/>
  <c r="AN3" i="8"/>
  <c r="AQ1" i="1"/>
  <c r="AJ1" i="1"/>
  <c r="V1" i="1"/>
  <c r="C24" i="2"/>
  <c r="C25" i="2"/>
  <c r="C26" i="2"/>
  <c r="C23" i="2"/>
  <c r="C22" i="2"/>
  <c r="L3" i="1" l="1"/>
  <c r="K3" i="1"/>
  <c r="J3" i="1"/>
  <c r="N4" i="1"/>
  <c r="N3" i="1" s="1"/>
  <c r="I3" i="1"/>
  <c r="M4" i="1"/>
  <c r="M3" i="1" s="1"/>
  <c r="F3" i="1"/>
  <c r="E3" i="1"/>
  <c r="D3" i="1"/>
  <c r="S79" i="1" l="1"/>
  <c r="R73" i="1"/>
  <c r="Q73" i="1"/>
  <c r="R81" i="1"/>
  <c r="R78" i="1"/>
  <c r="S75" i="1"/>
  <c r="T72" i="1"/>
  <c r="R72" i="1"/>
  <c r="P69" i="1"/>
  <c r="O69" i="1"/>
  <c r="S69" i="1"/>
  <c r="R69" i="1"/>
  <c r="P66" i="1"/>
  <c r="O66" i="1"/>
  <c r="S66" i="1"/>
  <c r="R66" i="1"/>
  <c r="U63" i="1"/>
  <c r="T63" i="1"/>
  <c r="Q70" i="1"/>
  <c r="R57" i="1"/>
  <c r="U51" i="1"/>
  <c r="T51" i="1"/>
  <c r="U48" i="1"/>
  <c r="T48" i="1"/>
  <c r="U55" i="1"/>
  <c r="T52" i="1"/>
  <c r="T49" i="1"/>
  <c r="Q49" i="1"/>
  <c r="O49" i="1"/>
  <c r="S46" i="1"/>
  <c r="Q46" i="1"/>
  <c r="O46" i="1"/>
  <c r="P36" i="1"/>
  <c r="S36" i="1"/>
  <c r="R44" i="1"/>
  <c r="O44" i="1"/>
  <c r="T43" i="1"/>
  <c r="U40" i="1"/>
  <c r="O37" i="1"/>
  <c r="O34" i="1"/>
  <c r="Q33" i="1"/>
  <c r="Q30" i="1"/>
  <c r="P32" i="1"/>
  <c r="Q26" i="1"/>
  <c r="Q20" i="1"/>
  <c r="P71" i="1"/>
  <c r="S71" i="1"/>
  <c r="U80" i="1"/>
  <c r="Q76" i="1"/>
  <c r="P73" i="1"/>
  <c r="Q77" i="1"/>
  <c r="U77" i="1"/>
  <c r="Q81" i="1"/>
  <c r="R75" i="1"/>
  <c r="Q72" i="1"/>
  <c r="Q63" i="1"/>
  <c r="P63" i="1"/>
  <c r="O63" i="1"/>
  <c r="S63" i="1"/>
  <c r="R63" i="1"/>
  <c r="U60" i="1"/>
  <c r="T60" i="1"/>
  <c r="T70" i="1"/>
  <c r="O67" i="1"/>
  <c r="T57" i="1"/>
  <c r="U54" i="1"/>
  <c r="T54" i="1"/>
  <c r="S54" i="1"/>
  <c r="R54" i="1"/>
  <c r="Q54" i="1"/>
  <c r="P51" i="1"/>
  <c r="O51" i="1"/>
  <c r="S51" i="1"/>
  <c r="R51" i="1"/>
  <c r="Q51" i="1"/>
  <c r="P48" i="1"/>
  <c r="O48" i="1"/>
  <c r="S48" i="1"/>
  <c r="R48" i="1"/>
  <c r="Q48" i="1"/>
  <c r="O55" i="1"/>
  <c r="Q52" i="1"/>
  <c r="P39" i="1"/>
  <c r="R39" i="1"/>
  <c r="T40" i="1"/>
  <c r="P30" i="1"/>
  <c r="O32" i="1"/>
  <c r="P26" i="1"/>
  <c r="O14" i="1"/>
  <c r="P8" i="1"/>
  <c r="P74" i="1"/>
  <c r="S74" i="1"/>
  <c r="R71" i="1"/>
  <c r="O80" i="1"/>
  <c r="T80" i="1"/>
  <c r="Q79" i="1"/>
  <c r="P76" i="1"/>
  <c r="U76" i="1"/>
  <c r="U73" i="1"/>
  <c r="O77" i="1"/>
  <c r="T77" i="1"/>
  <c r="P81" i="1"/>
  <c r="Q78" i="1"/>
  <c r="Q60" i="1"/>
  <c r="P60" i="1"/>
  <c r="O60" i="1"/>
  <c r="S60" i="1"/>
  <c r="R60" i="1"/>
  <c r="U62" i="1"/>
  <c r="T62" i="1"/>
  <c r="U59" i="1"/>
  <c r="T59" i="1"/>
  <c r="R70" i="1"/>
  <c r="U58" i="1"/>
  <c r="T58" i="1"/>
  <c r="Q57" i="1"/>
  <c r="P54" i="1"/>
  <c r="O54" i="1"/>
  <c r="U56" i="1"/>
  <c r="T56" i="1"/>
  <c r="U53" i="1"/>
  <c r="T53" i="1"/>
  <c r="P55" i="1"/>
  <c r="U52" i="1"/>
  <c r="T46" i="1"/>
  <c r="U45" i="1"/>
  <c r="U42" i="1"/>
  <c r="O36" i="1"/>
  <c r="R36" i="1"/>
  <c r="Q44" i="1"/>
  <c r="S40" i="1"/>
  <c r="S37" i="1"/>
  <c r="S34" i="1"/>
  <c r="O30" i="1"/>
  <c r="U22" i="1"/>
  <c r="U29" i="1"/>
  <c r="O26" i="1"/>
  <c r="O23" i="1"/>
  <c r="U18" i="1"/>
  <c r="R74" i="1"/>
  <c r="S80" i="1"/>
  <c r="P79" i="1"/>
  <c r="U79" i="1"/>
  <c r="R76" i="1"/>
  <c r="O76" i="1"/>
  <c r="T76" i="1"/>
  <c r="O73" i="1"/>
  <c r="S77" i="1"/>
  <c r="U81" i="1"/>
  <c r="U78" i="1"/>
  <c r="T78" i="1"/>
  <c r="P78" i="1"/>
  <c r="T75" i="1"/>
  <c r="Q75" i="1"/>
  <c r="P75" i="1"/>
  <c r="U72" i="1"/>
  <c r="P72" i="1"/>
  <c r="Q69" i="1"/>
  <c r="U68" i="1"/>
  <c r="T68" i="1"/>
  <c r="U65" i="1"/>
  <c r="T65" i="1"/>
  <c r="S62" i="1"/>
  <c r="R62" i="1"/>
  <c r="Q62" i="1"/>
  <c r="P62" i="1"/>
  <c r="O62" i="1"/>
  <c r="S59" i="1"/>
  <c r="R59" i="1"/>
  <c r="Q59" i="1"/>
  <c r="P59" i="1"/>
  <c r="O59" i="1"/>
  <c r="U70" i="1"/>
  <c r="T67" i="1"/>
  <c r="U64" i="1"/>
  <c r="T64" i="1"/>
  <c r="U61" i="1"/>
  <c r="T61" i="1"/>
  <c r="S61" i="1"/>
  <c r="R61" i="1"/>
  <c r="Q61" i="1"/>
  <c r="P61" i="1"/>
  <c r="O58" i="1"/>
  <c r="S58" i="1"/>
  <c r="R58" i="1"/>
  <c r="Q58" i="1"/>
  <c r="P58" i="1"/>
  <c r="P57" i="1"/>
  <c r="S57" i="1"/>
  <c r="R56" i="1"/>
  <c r="Q56" i="1"/>
  <c r="P56" i="1"/>
  <c r="O56" i="1"/>
  <c r="S56" i="1"/>
  <c r="R53" i="1"/>
  <c r="Q53" i="1"/>
  <c r="P53" i="1"/>
  <c r="O53" i="1"/>
  <c r="S53" i="1"/>
  <c r="U50" i="1"/>
  <c r="T50" i="1"/>
  <c r="U47" i="1"/>
  <c r="T47" i="1"/>
  <c r="T55" i="1"/>
  <c r="Q55" i="1"/>
  <c r="R52" i="1"/>
  <c r="O52" i="1"/>
  <c r="R49" i="1"/>
  <c r="P49" i="1"/>
  <c r="R46" i="1"/>
  <c r="P46" i="1"/>
  <c r="O45" i="1"/>
  <c r="R40" i="1"/>
  <c r="R37" i="1"/>
  <c r="R34" i="1"/>
  <c r="U27" i="1"/>
  <c r="T22" i="1"/>
  <c r="S32" i="1"/>
  <c r="T29" i="1"/>
  <c r="Q14" i="1"/>
  <c r="Q74" i="1"/>
  <c r="U74" i="1"/>
  <c r="U71" i="1"/>
  <c r="P80" i="1"/>
  <c r="R80" i="1"/>
  <c r="R79" i="1"/>
  <c r="O79" i="1"/>
  <c r="T79" i="1"/>
  <c r="T73" i="1"/>
  <c r="T81" i="1"/>
  <c r="O81" i="1"/>
  <c r="O78" i="1"/>
  <c r="U75" i="1"/>
  <c r="O72" i="1"/>
  <c r="S72" i="1"/>
  <c r="S68" i="1"/>
  <c r="R68" i="1"/>
  <c r="Q68" i="1"/>
  <c r="P68" i="1"/>
  <c r="O68" i="1"/>
  <c r="R65" i="1"/>
  <c r="Q65" i="1"/>
  <c r="P65" i="1"/>
  <c r="O65" i="1"/>
  <c r="O70" i="1"/>
  <c r="S70" i="1"/>
  <c r="P70" i="1"/>
  <c r="S67" i="1"/>
  <c r="R67" i="1"/>
  <c r="Q67" i="1"/>
  <c r="P67" i="1"/>
  <c r="O64" i="1"/>
  <c r="S64" i="1"/>
  <c r="R64" i="1"/>
  <c r="Q64" i="1"/>
  <c r="P64" i="1"/>
  <c r="O61" i="1"/>
  <c r="U57" i="1"/>
  <c r="R50" i="1"/>
  <c r="Q50" i="1"/>
  <c r="P50" i="1"/>
  <c r="O50" i="1"/>
  <c r="S50" i="1"/>
  <c r="R47" i="1"/>
  <c r="Q47" i="1"/>
  <c r="P47" i="1"/>
  <c r="O47" i="1"/>
  <c r="S47" i="1"/>
  <c r="S55" i="1"/>
  <c r="R55" i="1"/>
  <c r="R45" i="1"/>
  <c r="Q39" i="1"/>
  <c r="O39" i="1"/>
  <c r="S39" i="1"/>
  <c r="Q36" i="1"/>
  <c r="S44" i="1"/>
  <c r="P44" i="1"/>
  <c r="Q40" i="1"/>
  <c r="Q37" i="1"/>
  <c r="Q34" i="1"/>
  <c r="S30" i="1"/>
  <c r="T27" i="1"/>
  <c r="U24" i="1"/>
  <c r="R32" i="1"/>
  <c r="S29" i="1"/>
  <c r="S26" i="1"/>
  <c r="S14" i="1"/>
  <c r="T71" i="1"/>
  <c r="Q80" i="1"/>
  <c r="O74" i="1"/>
  <c r="T74" i="1"/>
  <c r="Q71" i="1"/>
  <c r="O71" i="1"/>
  <c r="S76" i="1"/>
  <c r="S73" i="1"/>
  <c r="P77" i="1"/>
  <c r="R77" i="1"/>
  <c r="S81" i="1"/>
  <c r="S78" i="1"/>
  <c r="O75" i="1"/>
  <c r="U69" i="1"/>
  <c r="T69" i="1"/>
  <c r="Q66" i="1"/>
  <c r="U66" i="1"/>
  <c r="T66" i="1"/>
  <c r="S65" i="1"/>
  <c r="U67" i="1"/>
  <c r="O57" i="1"/>
  <c r="S52" i="1"/>
  <c r="P52" i="1"/>
  <c r="S49" i="1"/>
  <c r="U49" i="1"/>
  <c r="U46" i="1"/>
  <c r="T42" i="1"/>
  <c r="U43" i="1"/>
  <c r="P40" i="1"/>
  <c r="P37" i="1"/>
  <c r="P34" i="1"/>
  <c r="R30" i="1"/>
  <c r="T24" i="1"/>
  <c r="Q32" i="1"/>
  <c r="R26" i="1"/>
  <c r="Q13" i="1"/>
  <c r="U37" i="1"/>
  <c r="T37" i="1"/>
  <c r="U34" i="1"/>
  <c r="T34" i="1"/>
  <c r="R33" i="1"/>
  <c r="U30" i="1"/>
  <c r="T30" i="1"/>
  <c r="U32" i="1"/>
  <c r="T32" i="1"/>
  <c r="U26" i="1"/>
  <c r="T26" i="1"/>
  <c r="U23" i="1"/>
  <c r="S23" i="1"/>
  <c r="Q16" i="1"/>
  <c r="U11" i="1"/>
  <c r="P11" i="1"/>
  <c r="R19" i="1"/>
  <c r="T21" i="1"/>
  <c r="O21" i="1"/>
  <c r="S15" i="1"/>
  <c r="O15" i="1"/>
  <c r="Q15" i="1"/>
  <c r="T14" i="1"/>
  <c r="R7" i="1"/>
  <c r="S12" i="1"/>
  <c r="S9" i="1"/>
  <c r="T45" i="1"/>
  <c r="S45" i="1"/>
  <c r="O43" i="1"/>
  <c r="S43" i="1"/>
  <c r="R43" i="1"/>
  <c r="Q43" i="1"/>
  <c r="P43" i="1"/>
  <c r="O40" i="1"/>
  <c r="P27" i="1"/>
  <c r="O27" i="1"/>
  <c r="S27" i="1"/>
  <c r="R27" i="1"/>
  <c r="Q27" i="1"/>
  <c r="P24" i="1"/>
  <c r="O24" i="1"/>
  <c r="S24" i="1"/>
  <c r="R24" i="1"/>
  <c r="Q24" i="1"/>
  <c r="R22" i="1"/>
  <c r="Q22" i="1"/>
  <c r="O22" i="1"/>
  <c r="R29" i="1"/>
  <c r="Q29" i="1"/>
  <c r="P29" i="1"/>
  <c r="O29" i="1"/>
  <c r="Q23" i="1"/>
  <c r="Q17" i="1"/>
  <c r="R16" i="1"/>
  <c r="U16" i="1"/>
  <c r="Q19" i="1"/>
  <c r="U19" i="1"/>
  <c r="T19" i="1"/>
  <c r="P15" i="1"/>
  <c r="T15" i="1"/>
  <c r="R10" i="1"/>
  <c r="P10" i="1"/>
  <c r="Q45" i="1"/>
  <c r="T33" i="1"/>
  <c r="S33" i="1"/>
  <c r="O33" i="1"/>
  <c r="U31" i="1"/>
  <c r="T28" i="1"/>
  <c r="U28" i="1"/>
  <c r="T25" i="1"/>
  <c r="U25" i="1"/>
  <c r="U20" i="1"/>
  <c r="U17" i="1"/>
  <c r="T17" i="1"/>
  <c r="T16" i="1"/>
  <c r="S16" i="1"/>
  <c r="O16" i="1"/>
  <c r="T11" i="1"/>
  <c r="O11" i="1"/>
  <c r="S19" i="1"/>
  <c r="P19" i="1"/>
  <c r="O19" i="1"/>
  <c r="U13" i="1"/>
  <c r="T13" i="1"/>
  <c r="U21" i="1"/>
  <c r="R21" i="1"/>
  <c r="O18" i="1"/>
  <c r="U14" i="1"/>
  <c r="P14" i="1"/>
  <c r="Q7" i="1"/>
  <c r="U12" i="1"/>
  <c r="U9" i="1"/>
  <c r="U41" i="1"/>
  <c r="T41" i="1"/>
  <c r="U38" i="1"/>
  <c r="T38" i="1"/>
  <c r="U35" i="1"/>
  <c r="T35" i="1"/>
  <c r="U33" i="1"/>
  <c r="P33" i="1"/>
  <c r="P23" i="1"/>
  <c r="T23" i="1"/>
  <c r="T31" i="1"/>
  <c r="S31" i="1"/>
  <c r="R31" i="1"/>
  <c r="Q31" i="1"/>
  <c r="P31" i="1"/>
  <c r="O31" i="1"/>
  <c r="S28" i="1"/>
  <c r="R28" i="1"/>
  <c r="Q28" i="1"/>
  <c r="P28" i="1"/>
  <c r="O28" i="1"/>
  <c r="S25" i="1"/>
  <c r="R25" i="1"/>
  <c r="Q25" i="1"/>
  <c r="P25" i="1"/>
  <c r="O25" i="1"/>
  <c r="P20" i="1"/>
  <c r="T20" i="1"/>
  <c r="O20" i="1"/>
  <c r="S20" i="1"/>
  <c r="R20" i="1"/>
  <c r="P17" i="1"/>
  <c r="O17" i="1"/>
  <c r="S17" i="1"/>
  <c r="R17" i="1"/>
  <c r="P16" i="1"/>
  <c r="P13" i="1"/>
  <c r="R13" i="1"/>
  <c r="S13" i="1"/>
  <c r="O13" i="1"/>
  <c r="T18" i="1"/>
  <c r="R15" i="1"/>
  <c r="U10" i="1"/>
  <c r="T10" i="1"/>
  <c r="T8" i="1"/>
  <c r="S8" i="1"/>
  <c r="R8" i="1"/>
  <c r="U7" i="1"/>
  <c r="T7" i="1"/>
  <c r="T12" i="1"/>
  <c r="R12" i="1"/>
  <c r="O12" i="1"/>
  <c r="Q12" i="1"/>
  <c r="P12" i="1"/>
  <c r="T9" i="1"/>
  <c r="R9" i="1"/>
  <c r="Q9" i="1"/>
  <c r="P9" i="1"/>
  <c r="P45" i="1"/>
  <c r="Q42" i="1"/>
  <c r="P42" i="1"/>
  <c r="O42" i="1"/>
  <c r="S42" i="1"/>
  <c r="R42" i="1"/>
  <c r="U39" i="1"/>
  <c r="T39" i="1"/>
  <c r="U36" i="1"/>
  <c r="T36" i="1"/>
  <c r="U44" i="1"/>
  <c r="T44" i="1"/>
  <c r="S41" i="1"/>
  <c r="R41" i="1"/>
  <c r="Q41" i="1"/>
  <c r="P41" i="1"/>
  <c r="O41" i="1"/>
  <c r="S38" i="1"/>
  <c r="R38" i="1"/>
  <c r="Q38" i="1"/>
  <c r="P38" i="1"/>
  <c r="O38" i="1"/>
  <c r="S35" i="1"/>
  <c r="R35" i="1"/>
  <c r="Q35" i="1"/>
  <c r="P35" i="1"/>
  <c r="O35" i="1"/>
  <c r="S22" i="1"/>
  <c r="P22" i="1"/>
  <c r="R23" i="1"/>
  <c r="Q11" i="1"/>
  <c r="S11" i="1"/>
  <c r="R11" i="1"/>
  <c r="S21" i="1"/>
  <c r="Q21" i="1"/>
  <c r="P21" i="1"/>
  <c r="S18" i="1"/>
  <c r="R18" i="1"/>
  <c r="Q18" i="1"/>
  <c r="P18" i="1"/>
  <c r="U15" i="1"/>
  <c r="R14" i="1"/>
  <c r="Q10" i="1"/>
  <c r="S10" i="1"/>
  <c r="U8" i="1"/>
  <c r="Q8" i="1"/>
  <c r="S7" i="1"/>
  <c r="P7" i="1"/>
  <c r="O7" i="1"/>
  <c r="O4" i="1"/>
  <c r="Q5" i="1"/>
  <c r="O6" i="1"/>
  <c r="R4" i="1"/>
  <c r="U5" i="1"/>
  <c r="P6" i="1"/>
  <c r="S5" i="1"/>
  <c r="R6" i="1"/>
  <c r="Q4" i="1"/>
  <c r="U4" i="1"/>
  <c r="T6" i="1"/>
  <c r="R5" i="1"/>
  <c r="S6" i="1"/>
  <c r="Q6" i="1"/>
  <c r="P4" i="1"/>
  <c r="T5" i="1"/>
  <c r="U6" i="1"/>
  <c r="P5" i="1"/>
  <c r="T4" i="1"/>
  <c r="O5" i="1"/>
  <c r="S4" i="1"/>
  <c r="Q3" i="1" l="1"/>
  <c r="P3" i="1"/>
  <c r="U3" i="1"/>
  <c r="O3" i="1"/>
  <c r="R3" i="1"/>
  <c r="T3" i="1"/>
  <c r="S3" i="1"/>
  <c r="AS74" i="1"/>
  <c r="AT71" i="1"/>
  <c r="AR79" i="1"/>
  <c r="AW76" i="1"/>
  <c r="AV76" i="1"/>
  <c r="AW73" i="1"/>
  <c r="AR73" i="1"/>
  <c r="AV77" i="1"/>
  <c r="AW81" i="1"/>
  <c r="AW78" i="1"/>
  <c r="AS75" i="1"/>
  <c r="AR75" i="1"/>
  <c r="AQ72" i="1"/>
  <c r="AU66" i="1"/>
  <c r="AQ65" i="1"/>
  <c r="AW70" i="1"/>
  <c r="AQ67" i="1"/>
  <c r="AQ64" i="1"/>
  <c r="AQ57" i="1"/>
  <c r="AQ50" i="1"/>
  <c r="AQ47" i="1"/>
  <c r="AQ55" i="1"/>
  <c r="AQ45" i="1"/>
  <c r="AU42" i="1"/>
  <c r="AS42" i="1"/>
  <c r="AU41" i="1"/>
  <c r="AQ38" i="1"/>
  <c r="AT33" i="1"/>
  <c r="AR74" i="1"/>
  <c r="AT74" i="1"/>
  <c r="AU80" i="1"/>
  <c r="AT80" i="1"/>
  <c r="AW79" i="1"/>
  <c r="AV79" i="1"/>
  <c r="AQ76" i="1"/>
  <c r="AQ73" i="1"/>
  <c r="AU73" i="1"/>
  <c r="AQ81" i="1"/>
  <c r="AV81" i="1"/>
  <c r="AR81" i="1"/>
  <c r="AQ78" i="1"/>
  <c r="AV78" i="1"/>
  <c r="AW75" i="1"/>
  <c r="AV72" i="1"/>
  <c r="AT69" i="1"/>
  <c r="AS69" i="1"/>
  <c r="AR69" i="1"/>
  <c r="AW69" i="1"/>
  <c r="AV69" i="1"/>
  <c r="AT66" i="1"/>
  <c r="AS66" i="1"/>
  <c r="AR66" i="1"/>
  <c r="AW66" i="1"/>
  <c r="AV66" i="1"/>
  <c r="AW65" i="1"/>
  <c r="AQ70" i="1"/>
  <c r="AS70" i="1"/>
  <c r="AW52" i="1"/>
  <c r="AS45" i="1"/>
  <c r="AW42" i="1"/>
  <c r="AS36" i="1"/>
  <c r="AV36" i="1"/>
  <c r="AU44" i="1"/>
  <c r="AR44" i="1"/>
  <c r="AQ35" i="1"/>
  <c r="AW15" i="1"/>
  <c r="AU71" i="1"/>
  <c r="AR71" i="1"/>
  <c r="AW71" i="1"/>
  <c r="AQ79" i="1"/>
  <c r="AU76" i="1"/>
  <c r="AT73" i="1"/>
  <c r="AU77" i="1"/>
  <c r="AT77" i="1"/>
  <c r="AU81" i="1"/>
  <c r="AQ75" i="1"/>
  <c r="AV75" i="1"/>
  <c r="AU72" i="1"/>
  <c r="AR72" i="1"/>
  <c r="AQ69" i="1"/>
  <c r="AQ66" i="1"/>
  <c r="AU63" i="1"/>
  <c r="AT63" i="1"/>
  <c r="AS63" i="1"/>
  <c r="AR63" i="1"/>
  <c r="AW63" i="1"/>
  <c r="AV63" i="1"/>
  <c r="AS67" i="1"/>
  <c r="AT57" i="1"/>
  <c r="AR57" i="1"/>
  <c r="AW54" i="1"/>
  <c r="AV54" i="1"/>
  <c r="AU54" i="1"/>
  <c r="AT51" i="1"/>
  <c r="AS51" i="1"/>
  <c r="AR51" i="1"/>
  <c r="AW51" i="1"/>
  <c r="AV51" i="1"/>
  <c r="AU51" i="1"/>
  <c r="AT48" i="1"/>
  <c r="AS48" i="1"/>
  <c r="AR48" i="1"/>
  <c r="AW48" i="1"/>
  <c r="AV48" i="1"/>
  <c r="AU48" i="1"/>
  <c r="AQ52" i="1"/>
  <c r="AQ49" i="1"/>
  <c r="AQ42" i="1"/>
  <c r="AU39" i="1"/>
  <c r="AS39" i="1"/>
  <c r="AW39" i="1"/>
  <c r="AU36" i="1"/>
  <c r="AW41" i="1"/>
  <c r="AQ11" i="1"/>
  <c r="AV19" i="1"/>
  <c r="AS21" i="1"/>
  <c r="AQ10" i="1"/>
  <c r="AS71" i="1"/>
  <c r="AQ71" i="1"/>
  <c r="AV71" i="1"/>
  <c r="AS80" i="1"/>
  <c r="AU79" i="1"/>
  <c r="AT76" i="1"/>
  <c r="AS77" i="1"/>
  <c r="AT81" i="1"/>
  <c r="AU78" i="1"/>
  <c r="AQ63" i="1"/>
  <c r="AU60" i="1"/>
  <c r="AT60" i="1"/>
  <c r="AS60" i="1"/>
  <c r="AR60" i="1"/>
  <c r="AW60" i="1"/>
  <c r="AV60" i="1"/>
  <c r="AQ68" i="1"/>
  <c r="AT70" i="1"/>
  <c r="AV57" i="1"/>
  <c r="AT54" i="1"/>
  <c r="AS54" i="1"/>
  <c r="AR54" i="1"/>
  <c r="AQ54" i="1"/>
  <c r="AQ51" i="1"/>
  <c r="AQ48" i="1"/>
  <c r="AS55" i="1"/>
  <c r="AR52" i="1"/>
  <c r="AT42" i="1"/>
  <c r="AR42" i="1"/>
  <c r="AR36" i="1"/>
  <c r="AW44" i="1"/>
  <c r="AT44" i="1"/>
  <c r="AQ41" i="1"/>
  <c r="AQ19" i="1"/>
  <c r="AS15" i="1"/>
  <c r="AW74" i="1"/>
  <c r="AQ74" i="1"/>
  <c r="AV74" i="1"/>
  <c r="AR80" i="1"/>
  <c r="AW80" i="1"/>
  <c r="AT79" i="1"/>
  <c r="AS76" i="1"/>
  <c r="AS73" i="1"/>
  <c r="AV73" i="1"/>
  <c r="AR77" i="1"/>
  <c r="AW77" i="1"/>
  <c r="AR78" i="1"/>
  <c r="AT78" i="1"/>
  <c r="AU75" i="1"/>
  <c r="AT75" i="1"/>
  <c r="AT72" i="1"/>
  <c r="AQ60" i="1"/>
  <c r="AW62" i="1"/>
  <c r="AV62" i="1"/>
  <c r="AU62" i="1"/>
  <c r="AT62" i="1"/>
  <c r="AS62" i="1"/>
  <c r="AR62" i="1"/>
  <c r="AW59" i="1"/>
  <c r="AV59" i="1"/>
  <c r="AU59" i="1"/>
  <c r="AT59" i="1"/>
  <c r="AS59" i="1"/>
  <c r="AR59" i="1"/>
  <c r="AR70" i="1"/>
  <c r="AW61" i="1"/>
  <c r="AV61" i="1"/>
  <c r="AU61" i="1"/>
  <c r="AT61" i="1"/>
  <c r="AS58" i="1"/>
  <c r="AR58" i="1"/>
  <c r="AW58" i="1"/>
  <c r="AV58" i="1"/>
  <c r="AU58" i="1"/>
  <c r="AT58" i="1"/>
  <c r="AU57" i="1"/>
  <c r="AV56" i="1"/>
  <c r="AU56" i="1"/>
  <c r="AT56" i="1"/>
  <c r="AS56" i="1"/>
  <c r="AR56" i="1"/>
  <c r="AW56" i="1"/>
  <c r="AV53" i="1"/>
  <c r="AU53" i="1"/>
  <c r="AT53" i="1"/>
  <c r="AS53" i="1"/>
  <c r="AR53" i="1"/>
  <c r="AW53" i="1"/>
  <c r="AT55" i="1"/>
  <c r="AU45" i="1"/>
  <c r="AV42" i="1"/>
  <c r="AV41" i="1"/>
  <c r="AV23" i="1"/>
  <c r="AT11" i="1"/>
  <c r="AR15" i="1"/>
  <c r="AU15" i="1"/>
  <c r="AU74" i="1"/>
  <c r="AQ80" i="1"/>
  <c r="AV80" i="1"/>
  <c r="AS79" i="1"/>
  <c r="AR76" i="1"/>
  <c r="AQ77" i="1"/>
  <c r="AS81" i="1"/>
  <c r="AS78" i="1"/>
  <c r="AS72" i="1"/>
  <c r="AW72" i="1"/>
  <c r="AU69" i="1"/>
  <c r="AW68" i="1"/>
  <c r="AV68" i="1"/>
  <c r="AU68" i="1"/>
  <c r="AT68" i="1"/>
  <c r="AS68" i="1"/>
  <c r="AR68" i="1"/>
  <c r="AV65" i="1"/>
  <c r="AU65" i="1"/>
  <c r="AT65" i="1"/>
  <c r="AS65" i="1"/>
  <c r="AR65" i="1"/>
  <c r="AQ62" i="1"/>
  <c r="AQ59" i="1"/>
  <c r="AV70" i="1"/>
  <c r="AU70" i="1"/>
  <c r="AR67" i="1"/>
  <c r="AW67" i="1"/>
  <c r="AV67" i="1"/>
  <c r="AU67" i="1"/>
  <c r="AT67" i="1"/>
  <c r="AS64" i="1"/>
  <c r="AR64" i="1"/>
  <c r="AW64" i="1"/>
  <c r="AV64" i="1"/>
  <c r="AU64" i="1"/>
  <c r="AT64" i="1"/>
  <c r="AS61" i="1"/>
  <c r="AR61" i="1"/>
  <c r="AQ61" i="1"/>
  <c r="AQ58" i="1"/>
  <c r="AS57" i="1"/>
  <c r="AW57" i="1"/>
  <c r="AQ56" i="1"/>
  <c r="AQ53" i="1"/>
  <c r="AV50" i="1"/>
  <c r="AU50" i="1"/>
  <c r="AT50" i="1"/>
  <c r="AS50" i="1"/>
  <c r="AR50" i="1"/>
  <c r="AW50" i="1"/>
  <c r="AV47" i="1"/>
  <c r="AU47" i="1"/>
  <c r="AT47" i="1"/>
  <c r="AS47" i="1"/>
  <c r="AR47" i="1"/>
  <c r="AW47" i="1"/>
  <c r="AR55" i="1"/>
  <c r="AW55" i="1"/>
  <c r="AV55" i="1"/>
  <c r="AU55" i="1"/>
  <c r="AW45" i="1"/>
  <c r="AT39" i="1"/>
  <c r="AR39" i="1"/>
  <c r="AV39" i="1"/>
  <c r="AT36" i="1"/>
  <c r="AW36" i="1"/>
  <c r="AV44" i="1"/>
  <c r="AS44" i="1"/>
  <c r="AR11" i="1"/>
  <c r="AQ21" i="1"/>
  <c r="AQ18" i="1"/>
  <c r="AR14" i="1"/>
  <c r="AT41" i="1"/>
  <c r="AS41" i="1"/>
  <c r="AR41" i="1"/>
  <c r="AW38" i="1"/>
  <c r="AV38" i="1"/>
  <c r="AU38" i="1"/>
  <c r="AT38" i="1"/>
  <c r="AS38" i="1"/>
  <c r="AR38" i="1"/>
  <c r="AW35" i="1"/>
  <c r="AV35" i="1"/>
  <c r="AU35" i="1"/>
  <c r="AT35" i="1"/>
  <c r="AS35" i="1"/>
  <c r="AR35" i="1"/>
  <c r="AS33" i="1"/>
  <c r="AT22" i="1"/>
  <c r="AW22" i="1"/>
  <c r="AR31" i="1"/>
  <c r="AQ31" i="1"/>
  <c r="AQ28" i="1"/>
  <c r="AQ25" i="1"/>
  <c r="AQ20" i="1"/>
  <c r="AQ17" i="1"/>
  <c r="AU16" i="1"/>
  <c r="AU11" i="1"/>
  <c r="AW11" i="1"/>
  <c r="AV11" i="1"/>
  <c r="AQ13" i="1"/>
  <c r="AW21" i="1"/>
  <c r="AU21" i="1"/>
  <c r="AT21" i="1"/>
  <c r="AS18" i="1"/>
  <c r="AW18" i="1"/>
  <c r="AV18" i="1"/>
  <c r="AU18" i="1"/>
  <c r="AT18" i="1"/>
  <c r="AU10" i="1"/>
  <c r="AW10" i="1"/>
  <c r="AS10" i="1"/>
  <c r="AR10" i="1"/>
  <c r="AS8" i="1"/>
  <c r="AU8" i="1"/>
  <c r="AR8" i="1"/>
  <c r="AQ8" i="1"/>
  <c r="AU7" i="1"/>
  <c r="AW7" i="1"/>
  <c r="AT7" i="1"/>
  <c r="AS7" i="1"/>
  <c r="AR7" i="1"/>
  <c r="AQ7" i="1"/>
  <c r="AQ9" i="1"/>
  <c r="AV52" i="1"/>
  <c r="AU52" i="1"/>
  <c r="AT52" i="1"/>
  <c r="AS52" i="1"/>
  <c r="AR49" i="1"/>
  <c r="AW49" i="1"/>
  <c r="AV49" i="1"/>
  <c r="AU49" i="1"/>
  <c r="AT49" i="1"/>
  <c r="AS49" i="1"/>
  <c r="AR46" i="1"/>
  <c r="AW46" i="1"/>
  <c r="AV46" i="1"/>
  <c r="AU46" i="1"/>
  <c r="AT46" i="1"/>
  <c r="AS46" i="1"/>
  <c r="AR45" i="1"/>
  <c r="AQ39" i="1"/>
  <c r="AQ36" i="1"/>
  <c r="AQ44" i="1"/>
  <c r="AW40" i="1"/>
  <c r="AV40" i="1"/>
  <c r="AU40" i="1"/>
  <c r="AT40" i="1"/>
  <c r="AS37" i="1"/>
  <c r="AR37" i="1"/>
  <c r="AW37" i="1"/>
  <c r="AV37" i="1"/>
  <c r="AU37" i="1"/>
  <c r="AT37" i="1"/>
  <c r="AS34" i="1"/>
  <c r="AR34" i="1"/>
  <c r="AW34" i="1"/>
  <c r="AV34" i="1"/>
  <c r="AU34" i="1"/>
  <c r="AT34" i="1"/>
  <c r="AU33" i="1"/>
  <c r="AT30" i="1"/>
  <c r="AS30" i="1"/>
  <c r="AR30" i="1"/>
  <c r="AW30" i="1"/>
  <c r="AV30" i="1"/>
  <c r="AU30" i="1"/>
  <c r="AV32" i="1"/>
  <c r="AU32" i="1"/>
  <c r="AT32" i="1"/>
  <c r="AS32" i="1"/>
  <c r="AR32" i="1"/>
  <c r="AW32" i="1"/>
  <c r="AW29" i="1"/>
  <c r="AV26" i="1"/>
  <c r="AU26" i="1"/>
  <c r="AT26" i="1"/>
  <c r="AS26" i="1"/>
  <c r="AR26" i="1"/>
  <c r="AW26" i="1"/>
  <c r="AT23" i="1"/>
  <c r="AR23" i="1"/>
  <c r="AQ23" i="1"/>
  <c r="AU20" i="1"/>
  <c r="AR20" i="1"/>
  <c r="AV16" i="1"/>
  <c r="AU13" i="1"/>
  <c r="AR18" i="1"/>
  <c r="AT14" i="1"/>
  <c r="AU14" i="1"/>
  <c r="AW14" i="1"/>
  <c r="AW12" i="1"/>
  <c r="AR12" i="1"/>
  <c r="AQ46" i="1"/>
  <c r="AS43" i="1"/>
  <c r="AR43" i="1"/>
  <c r="AW43" i="1"/>
  <c r="AV43" i="1"/>
  <c r="AU43" i="1"/>
  <c r="AT43" i="1"/>
  <c r="AS40" i="1"/>
  <c r="AR40" i="1"/>
  <c r="AQ40" i="1"/>
  <c r="AQ37" i="1"/>
  <c r="AQ34" i="1"/>
  <c r="AQ30" i="1"/>
  <c r="AT27" i="1"/>
  <c r="AS27" i="1"/>
  <c r="AR27" i="1"/>
  <c r="AW27" i="1"/>
  <c r="AV27" i="1"/>
  <c r="AU27" i="1"/>
  <c r="AT24" i="1"/>
  <c r="AS24" i="1"/>
  <c r="AR24" i="1"/>
  <c r="AW24" i="1"/>
  <c r="AV24" i="1"/>
  <c r="AU24" i="1"/>
  <c r="AV22" i="1"/>
  <c r="AQ22" i="1"/>
  <c r="AU22" i="1"/>
  <c r="AS22" i="1"/>
  <c r="AR22" i="1"/>
  <c r="AQ32" i="1"/>
  <c r="AV29" i="1"/>
  <c r="AU29" i="1"/>
  <c r="AT29" i="1"/>
  <c r="AS29" i="1"/>
  <c r="AR29" i="1"/>
  <c r="AQ29" i="1"/>
  <c r="AQ26" i="1"/>
  <c r="AU17" i="1"/>
  <c r="AR16" i="1"/>
  <c r="AU19" i="1"/>
  <c r="AV21" i="1"/>
  <c r="AT15" i="1"/>
  <c r="AQ14" i="1"/>
  <c r="AV10" i="1"/>
  <c r="AT10" i="1"/>
  <c r="AW9" i="1"/>
  <c r="AQ43" i="1"/>
  <c r="AW33" i="1"/>
  <c r="AV33" i="1"/>
  <c r="AQ27" i="1"/>
  <c r="AQ24" i="1"/>
  <c r="AW16" i="1"/>
  <c r="AS16" i="1"/>
  <c r="AS11" i="1"/>
  <c r="AW19" i="1"/>
  <c r="AT19" i="1"/>
  <c r="AS19" i="1"/>
  <c r="AR19" i="1"/>
  <c r="AR21" i="1"/>
  <c r="AV14" i="1"/>
  <c r="AT8" i="1"/>
  <c r="AV7" i="1"/>
  <c r="AT45" i="1"/>
  <c r="AV45" i="1"/>
  <c r="AR33" i="1"/>
  <c r="AQ33" i="1"/>
  <c r="AU23" i="1"/>
  <c r="AS23" i="1"/>
  <c r="AW23" i="1"/>
  <c r="AW31" i="1"/>
  <c r="AV31" i="1"/>
  <c r="AU31" i="1"/>
  <c r="AT31" i="1"/>
  <c r="AS31" i="1"/>
  <c r="AR28" i="1"/>
  <c r="AW28" i="1"/>
  <c r="AV28" i="1"/>
  <c r="AU28" i="1"/>
  <c r="AT28" i="1"/>
  <c r="AS28" i="1"/>
  <c r="AR25" i="1"/>
  <c r="AW25" i="1"/>
  <c r="AV25" i="1"/>
  <c r="AU25" i="1"/>
  <c r="AT25" i="1"/>
  <c r="AS25" i="1"/>
  <c r="AT20" i="1"/>
  <c r="AS20" i="1"/>
  <c r="AW20" i="1"/>
  <c r="AV20" i="1"/>
  <c r="AT17" i="1"/>
  <c r="AS17" i="1"/>
  <c r="AR17" i="1"/>
  <c r="AW17" i="1"/>
  <c r="AV17" i="1"/>
  <c r="AT16" i="1"/>
  <c r="AQ16" i="1"/>
  <c r="AV13" i="1"/>
  <c r="AT13" i="1"/>
  <c r="AW13" i="1"/>
  <c r="AS13" i="1"/>
  <c r="AR13" i="1"/>
  <c r="AQ15" i="1"/>
  <c r="AV15" i="1"/>
  <c r="AS14" i="1"/>
  <c r="AW8" i="1"/>
  <c r="AV8" i="1"/>
  <c r="AV12" i="1"/>
  <c r="AQ12" i="1"/>
  <c r="AS12" i="1"/>
  <c r="AU12" i="1"/>
  <c r="AT12" i="1"/>
  <c r="AR9" i="1"/>
  <c r="AS9" i="1"/>
  <c r="AV9" i="1"/>
  <c r="AU9" i="1"/>
  <c r="AT9" i="1"/>
  <c r="AE74" i="1"/>
  <c r="AC79" i="1"/>
  <c r="AH79" i="1"/>
  <c r="AG76" i="1"/>
  <c r="AG73" i="1"/>
  <c r="AF77" i="1"/>
  <c r="AF78" i="1"/>
  <c r="AC78" i="1"/>
  <c r="AH78" i="1"/>
  <c r="AI75" i="1"/>
  <c r="AH75" i="1"/>
  <c r="AH72" i="1"/>
  <c r="AC60" i="1"/>
  <c r="AE60" i="1"/>
  <c r="AD60" i="1"/>
  <c r="AI62" i="1"/>
  <c r="AH62" i="1"/>
  <c r="AG62" i="1"/>
  <c r="AF62" i="1"/>
  <c r="AI59" i="1"/>
  <c r="AH59" i="1"/>
  <c r="AG59" i="1"/>
  <c r="AF59" i="1"/>
  <c r="AG70" i="1"/>
  <c r="AD70" i="1"/>
  <c r="AI61" i="1"/>
  <c r="AH61" i="1"/>
  <c r="AG58" i="1"/>
  <c r="AF58" i="1"/>
  <c r="AI58" i="1"/>
  <c r="AH58" i="1"/>
  <c r="AI57" i="1"/>
  <c r="AC57" i="1"/>
  <c r="AI56" i="1"/>
  <c r="AH56" i="1"/>
  <c r="AG56" i="1"/>
  <c r="AF56" i="1"/>
  <c r="AI53" i="1"/>
  <c r="AH53" i="1"/>
  <c r="AG53" i="1"/>
  <c r="AF53" i="1"/>
  <c r="AH55" i="1"/>
  <c r="AC45" i="1"/>
  <c r="AD39" i="1"/>
  <c r="AI74" i="1"/>
  <c r="AD74" i="1"/>
  <c r="AH71" i="1"/>
  <c r="AE80" i="1"/>
  <c r="AG79" i="1"/>
  <c r="AF76" i="1"/>
  <c r="AE77" i="1"/>
  <c r="AG81" i="1"/>
  <c r="AG78" i="1"/>
  <c r="AC75" i="1"/>
  <c r="AG72" i="1"/>
  <c r="AF72" i="1"/>
  <c r="AI69" i="1"/>
  <c r="AE68" i="1"/>
  <c r="AI68" i="1"/>
  <c r="AH68" i="1"/>
  <c r="AG68" i="1"/>
  <c r="AF68" i="1"/>
  <c r="AI65" i="1"/>
  <c r="AH65" i="1"/>
  <c r="AG65" i="1"/>
  <c r="AF65" i="1"/>
  <c r="AE62" i="1"/>
  <c r="AD62" i="1"/>
  <c r="AC62" i="1"/>
  <c r="AE59" i="1"/>
  <c r="AD59" i="1"/>
  <c r="AC59" i="1"/>
  <c r="AF70" i="1"/>
  <c r="AH70" i="1"/>
  <c r="AF67" i="1"/>
  <c r="AI67" i="1"/>
  <c r="AH67" i="1"/>
  <c r="AG64" i="1"/>
  <c r="AF64" i="1"/>
  <c r="AI64" i="1"/>
  <c r="AH64" i="1"/>
  <c r="AG61" i="1"/>
  <c r="AF61" i="1"/>
  <c r="AE61" i="1"/>
  <c r="AD61" i="1"/>
  <c r="AC61" i="1"/>
  <c r="AE58" i="1"/>
  <c r="AD58" i="1"/>
  <c r="AC58" i="1"/>
  <c r="AG57" i="1"/>
  <c r="AD56" i="1"/>
  <c r="AC56" i="1"/>
  <c r="AE56" i="1"/>
  <c r="AD53" i="1"/>
  <c r="AC53" i="1"/>
  <c r="AE53" i="1"/>
  <c r="AI50" i="1"/>
  <c r="AH50" i="1"/>
  <c r="AG50" i="1"/>
  <c r="AF50" i="1"/>
  <c r="AI47" i="1"/>
  <c r="AH47" i="1"/>
  <c r="AG47" i="1"/>
  <c r="AF47" i="1"/>
  <c r="AF55" i="1"/>
  <c r="AI55" i="1"/>
  <c r="AG52" i="1"/>
  <c r="AH49" i="1"/>
  <c r="AF46" i="1"/>
  <c r="AH46" i="1"/>
  <c r="AC23" i="1"/>
  <c r="AI31" i="1"/>
  <c r="AH17" i="1"/>
  <c r="AI10" i="1"/>
  <c r="AF80" i="1"/>
  <c r="AC74" i="1"/>
  <c r="AG74" i="1"/>
  <c r="AI71" i="1"/>
  <c r="AG71" i="1"/>
  <c r="AH80" i="1"/>
  <c r="AD80" i="1"/>
  <c r="AF79" i="1"/>
  <c r="AF73" i="1"/>
  <c r="AG75" i="1"/>
  <c r="AF75" i="1"/>
  <c r="AE72" i="1"/>
  <c r="AI66" i="1"/>
  <c r="AD68" i="1"/>
  <c r="AC68" i="1"/>
  <c r="AD65" i="1"/>
  <c r="AC65" i="1"/>
  <c r="AE67" i="1"/>
  <c r="AD67" i="1"/>
  <c r="AC67" i="1"/>
  <c r="AE64" i="1"/>
  <c r="AD64" i="1"/>
  <c r="AC64" i="1"/>
  <c r="AE57" i="1"/>
  <c r="AD50" i="1"/>
  <c r="AC50" i="1"/>
  <c r="AE50" i="1"/>
  <c r="AD47" i="1"/>
  <c r="AC47" i="1"/>
  <c r="AE47" i="1"/>
  <c r="AE55" i="1"/>
  <c r="AD55" i="1"/>
  <c r="AG45" i="1"/>
  <c r="AF33" i="1"/>
  <c r="AH31" i="1"/>
  <c r="AI28" i="1"/>
  <c r="AG17" i="1"/>
  <c r="AD15" i="1"/>
  <c r="AD71" i="1"/>
  <c r="AF74" i="1"/>
  <c r="AH74" i="1"/>
  <c r="AC71" i="1"/>
  <c r="AI80" i="1"/>
  <c r="AD79" i="1"/>
  <c r="AE76" i="1"/>
  <c r="AE73" i="1"/>
  <c r="AI73" i="1"/>
  <c r="AH77" i="1"/>
  <c r="AD77" i="1"/>
  <c r="AE81" i="1"/>
  <c r="AE78" i="1"/>
  <c r="AH69" i="1"/>
  <c r="AG69" i="1"/>
  <c r="AF69" i="1"/>
  <c r="AC66" i="1"/>
  <c r="AH66" i="1"/>
  <c r="AG66" i="1"/>
  <c r="AF66" i="1"/>
  <c r="AE65" i="1"/>
  <c r="AI70" i="1"/>
  <c r="AH52" i="1"/>
  <c r="AC39" i="1"/>
  <c r="AE39" i="1"/>
  <c r="AC36" i="1"/>
  <c r="AE33" i="1"/>
  <c r="AG31" i="1"/>
  <c r="AH28" i="1"/>
  <c r="AI25" i="1"/>
  <c r="AG20" i="1"/>
  <c r="AF17" i="1"/>
  <c r="AG13" i="1"/>
  <c r="AF71" i="1"/>
  <c r="AC80" i="1"/>
  <c r="AE79" i="1"/>
  <c r="AI76" i="1"/>
  <c r="AC73" i="1"/>
  <c r="AH73" i="1"/>
  <c r="AI77" i="1"/>
  <c r="AD81" i="1"/>
  <c r="AI81" i="1"/>
  <c r="AD78" i="1"/>
  <c r="AE75" i="1"/>
  <c r="AD72" i="1"/>
  <c r="AI72" i="1"/>
  <c r="AC69" i="1"/>
  <c r="AE69" i="1"/>
  <c r="AD69" i="1"/>
  <c r="AE66" i="1"/>
  <c r="AD66" i="1"/>
  <c r="AI63" i="1"/>
  <c r="AH63" i="1"/>
  <c r="AG63" i="1"/>
  <c r="AF63" i="1"/>
  <c r="AC70" i="1"/>
  <c r="AG67" i="1"/>
  <c r="AH57" i="1"/>
  <c r="AF57" i="1"/>
  <c r="AD57" i="1"/>
  <c r="AI54" i="1"/>
  <c r="AH51" i="1"/>
  <c r="AG51" i="1"/>
  <c r="AF51" i="1"/>
  <c r="AI51" i="1"/>
  <c r="AH48" i="1"/>
  <c r="AG48" i="1"/>
  <c r="AF48" i="1"/>
  <c r="AI48" i="1"/>
  <c r="AI49" i="1"/>
  <c r="AG49" i="1"/>
  <c r="AI46" i="1"/>
  <c r="AG46" i="1"/>
  <c r="AF45" i="1"/>
  <c r="AD33" i="1"/>
  <c r="AH22" i="1"/>
  <c r="AF28" i="1"/>
  <c r="AG28" i="1"/>
  <c r="AH25" i="1"/>
  <c r="AF13" i="1"/>
  <c r="AE71" i="1"/>
  <c r="AG80" i="1"/>
  <c r="AI79" i="1"/>
  <c r="AD76" i="1"/>
  <c r="AC76" i="1"/>
  <c r="AH76" i="1"/>
  <c r="AD73" i="1"/>
  <c r="AC77" i="1"/>
  <c r="AG77" i="1"/>
  <c r="AF81" i="1"/>
  <c r="AC81" i="1"/>
  <c r="AH81" i="1"/>
  <c r="AI78" i="1"/>
  <c r="AD75" i="1"/>
  <c r="AC72" i="1"/>
  <c r="AC63" i="1"/>
  <c r="AE63" i="1"/>
  <c r="AD63" i="1"/>
  <c r="AI60" i="1"/>
  <c r="AH60" i="1"/>
  <c r="AG60" i="1"/>
  <c r="AF60" i="1"/>
  <c r="AE70" i="1"/>
  <c r="AH54" i="1"/>
  <c r="AG54" i="1"/>
  <c r="AF54" i="1"/>
  <c r="AE54" i="1"/>
  <c r="AD54" i="1"/>
  <c r="AC54" i="1"/>
  <c r="AE51" i="1"/>
  <c r="AD51" i="1"/>
  <c r="AC51" i="1"/>
  <c r="AE48" i="1"/>
  <c r="AD48" i="1"/>
  <c r="AC48" i="1"/>
  <c r="AG55" i="1"/>
  <c r="AI52" i="1"/>
  <c r="AF49" i="1"/>
  <c r="AH45" i="1"/>
  <c r="AI45" i="1"/>
  <c r="AD22" i="1"/>
  <c r="AF25" i="1"/>
  <c r="AG25" i="1"/>
  <c r="AE16" i="1"/>
  <c r="AD10" i="1"/>
  <c r="AE43" i="1"/>
  <c r="AD43" i="1"/>
  <c r="AC43" i="1"/>
  <c r="AE27" i="1"/>
  <c r="AD27" i="1"/>
  <c r="AC27" i="1"/>
  <c r="AE24" i="1"/>
  <c r="AD24" i="1"/>
  <c r="AC24" i="1"/>
  <c r="AC22" i="1"/>
  <c r="AD29" i="1"/>
  <c r="AC29" i="1"/>
  <c r="AH23" i="1"/>
  <c r="AC20" i="1"/>
  <c r="AH20" i="1"/>
  <c r="AC17" i="1"/>
  <c r="AF16" i="1"/>
  <c r="AG16" i="1"/>
  <c r="AC19" i="1"/>
  <c r="AG19" i="1"/>
  <c r="AF19" i="1"/>
  <c r="AC13" i="1"/>
  <c r="AH13" i="1"/>
  <c r="AH15" i="1"/>
  <c r="AH14" i="1"/>
  <c r="AH8" i="1"/>
  <c r="AE12" i="1"/>
  <c r="AC7" i="1"/>
  <c r="AG12" i="1"/>
  <c r="AI12" i="1"/>
  <c r="AH12" i="1"/>
  <c r="AG9" i="1"/>
  <c r="AI9" i="1"/>
  <c r="AH9" i="1"/>
  <c r="AD45" i="1"/>
  <c r="AI42" i="1"/>
  <c r="AH42" i="1"/>
  <c r="AG42" i="1"/>
  <c r="AF42" i="1"/>
  <c r="AI41" i="1"/>
  <c r="AH41" i="1"/>
  <c r="AG41" i="1"/>
  <c r="AF41" i="1"/>
  <c r="AI38" i="1"/>
  <c r="AH38" i="1"/>
  <c r="AG38" i="1"/>
  <c r="AF38" i="1"/>
  <c r="AI35" i="1"/>
  <c r="AH35" i="1"/>
  <c r="AG35" i="1"/>
  <c r="AF35" i="1"/>
  <c r="AG33" i="1"/>
  <c r="AF31" i="1"/>
  <c r="AE31" i="1"/>
  <c r="AD31" i="1"/>
  <c r="AC31" i="1"/>
  <c r="AE28" i="1"/>
  <c r="AD28" i="1"/>
  <c r="AC28" i="1"/>
  <c r="AE25" i="1"/>
  <c r="AD25" i="1"/>
  <c r="AC25" i="1"/>
  <c r="AE20" i="1"/>
  <c r="AD20" i="1"/>
  <c r="AE17" i="1"/>
  <c r="AD17" i="1"/>
  <c r="AH16" i="1"/>
  <c r="AC16" i="1"/>
  <c r="AH11" i="1"/>
  <c r="AF11" i="1"/>
  <c r="AI11" i="1"/>
  <c r="AE19" i="1"/>
  <c r="AE13" i="1"/>
  <c r="AG21" i="1"/>
  <c r="AD21" i="1"/>
  <c r="AI21" i="1"/>
  <c r="AH21" i="1"/>
  <c r="AI18" i="1"/>
  <c r="AH18" i="1"/>
  <c r="AG14" i="1"/>
  <c r="AG10" i="1"/>
  <c r="AF10" i="1"/>
  <c r="AG8" i="1"/>
  <c r="AI8" i="1"/>
  <c r="AF8" i="1"/>
  <c r="AE8" i="1"/>
  <c r="AD8" i="1"/>
  <c r="AI7" i="1"/>
  <c r="AH7" i="1"/>
  <c r="AG7" i="1"/>
  <c r="AF7" i="1"/>
  <c r="AC12" i="1"/>
  <c r="AF9" i="1"/>
  <c r="AD9" i="1"/>
  <c r="AC9" i="1"/>
  <c r="AE45" i="1"/>
  <c r="AC42" i="1"/>
  <c r="AE42" i="1"/>
  <c r="AD42" i="1"/>
  <c r="AI39" i="1"/>
  <c r="AH39" i="1"/>
  <c r="AG39" i="1"/>
  <c r="AF39" i="1"/>
  <c r="AI36" i="1"/>
  <c r="AH36" i="1"/>
  <c r="AG36" i="1"/>
  <c r="AF36" i="1"/>
  <c r="AI44" i="1"/>
  <c r="AH44" i="1"/>
  <c r="AG44" i="1"/>
  <c r="AF44" i="1"/>
  <c r="AE41" i="1"/>
  <c r="AD41" i="1"/>
  <c r="AC41" i="1"/>
  <c r="AE38" i="1"/>
  <c r="AD38" i="1"/>
  <c r="AC38" i="1"/>
  <c r="AE35" i="1"/>
  <c r="AD35" i="1"/>
  <c r="AC35" i="1"/>
  <c r="AH33" i="1"/>
  <c r="AI23" i="1"/>
  <c r="AF23" i="1"/>
  <c r="AD23" i="1"/>
  <c r="AI20" i="1"/>
  <c r="AF20" i="1"/>
  <c r="AC11" i="1"/>
  <c r="AE11" i="1"/>
  <c r="AD11" i="1"/>
  <c r="AI13" i="1"/>
  <c r="AD13" i="1"/>
  <c r="AE21" i="1"/>
  <c r="AC21" i="1"/>
  <c r="AE18" i="1"/>
  <c r="AD18" i="1"/>
  <c r="AC18" i="1"/>
  <c r="AE15" i="1"/>
  <c r="AG15" i="1"/>
  <c r="AI15" i="1"/>
  <c r="AD14" i="1"/>
  <c r="AE10" i="1"/>
  <c r="AC8" i="1"/>
  <c r="AE7" i="1"/>
  <c r="AF12" i="1"/>
  <c r="AD12" i="1"/>
  <c r="AE36" i="1"/>
  <c r="AD36" i="1"/>
  <c r="AE44" i="1"/>
  <c r="AD44" i="1"/>
  <c r="AC44" i="1"/>
  <c r="AI40" i="1"/>
  <c r="AH40" i="1"/>
  <c r="AG37" i="1"/>
  <c r="AF37" i="1"/>
  <c r="AI37" i="1"/>
  <c r="AH37" i="1"/>
  <c r="AG34" i="1"/>
  <c r="AF34" i="1"/>
  <c r="AI34" i="1"/>
  <c r="AH34" i="1"/>
  <c r="AI33" i="1"/>
  <c r="AH30" i="1"/>
  <c r="AG30" i="1"/>
  <c r="AF30" i="1"/>
  <c r="AI30" i="1"/>
  <c r="AE22" i="1"/>
  <c r="AI32" i="1"/>
  <c r="AH32" i="1"/>
  <c r="AG32" i="1"/>
  <c r="AF32" i="1"/>
  <c r="AI26" i="1"/>
  <c r="AH26" i="1"/>
  <c r="AG26" i="1"/>
  <c r="AF26" i="1"/>
  <c r="AG23" i="1"/>
  <c r="AE23" i="1"/>
  <c r="AI16" i="1"/>
  <c r="AD16" i="1"/>
  <c r="AG18" i="1"/>
  <c r="AF15" i="1"/>
  <c r="AC15" i="1"/>
  <c r="AI14" i="1"/>
  <c r="AC10" i="1"/>
  <c r="AH10" i="1"/>
  <c r="AE9" i="1"/>
  <c r="AC55" i="1"/>
  <c r="AF52" i="1"/>
  <c r="AE52" i="1"/>
  <c r="AD52" i="1"/>
  <c r="AC52" i="1"/>
  <c r="AE49" i="1"/>
  <c r="AD49" i="1"/>
  <c r="AC49" i="1"/>
  <c r="AE46" i="1"/>
  <c r="AD46" i="1"/>
  <c r="AC46" i="1"/>
  <c r="AG43" i="1"/>
  <c r="AF43" i="1"/>
  <c r="AI43" i="1"/>
  <c r="AH43" i="1"/>
  <c r="AG40" i="1"/>
  <c r="AF40" i="1"/>
  <c r="AE40" i="1"/>
  <c r="AD40" i="1"/>
  <c r="AC40" i="1"/>
  <c r="AE37" i="1"/>
  <c r="AD37" i="1"/>
  <c r="AC37" i="1"/>
  <c r="AE34" i="1"/>
  <c r="AD34" i="1"/>
  <c r="AC34" i="1"/>
  <c r="AC33" i="1"/>
  <c r="AE30" i="1"/>
  <c r="AD30" i="1"/>
  <c r="AC30" i="1"/>
  <c r="AH27" i="1"/>
  <c r="AG27" i="1"/>
  <c r="AF27" i="1"/>
  <c r="AI27" i="1"/>
  <c r="AH24" i="1"/>
  <c r="AG24" i="1"/>
  <c r="AF24" i="1"/>
  <c r="AI24" i="1"/>
  <c r="AI22" i="1"/>
  <c r="AG22" i="1"/>
  <c r="AF22" i="1"/>
  <c r="AD32" i="1"/>
  <c r="AC32" i="1"/>
  <c r="AE32" i="1"/>
  <c r="AI29" i="1"/>
  <c r="AH29" i="1"/>
  <c r="AG29" i="1"/>
  <c r="AF29" i="1"/>
  <c r="AE29" i="1"/>
  <c r="AD26" i="1"/>
  <c r="AC26" i="1"/>
  <c r="AE26" i="1"/>
  <c r="AI17" i="1"/>
  <c r="AG11" i="1"/>
  <c r="AH19" i="1"/>
  <c r="AD19" i="1"/>
  <c r="AI19" i="1"/>
  <c r="AF21" i="1"/>
  <c r="AF18" i="1"/>
  <c r="AF14" i="1"/>
  <c r="AC14" i="1"/>
  <c r="AE14" i="1"/>
  <c r="AD7" i="1"/>
  <c r="AB80" i="1"/>
  <c r="W76" i="1"/>
  <c r="AB76" i="1"/>
  <c r="V73" i="1"/>
  <c r="W77" i="1"/>
  <c r="AA77" i="1"/>
  <c r="Z81" i="1"/>
  <c r="W81" i="1"/>
  <c r="AB81" i="1"/>
  <c r="X75" i="1"/>
  <c r="W72" i="1"/>
  <c r="W63" i="1"/>
  <c r="V63" i="1"/>
  <c r="Y63" i="1"/>
  <c r="X63" i="1"/>
  <c r="AB60" i="1"/>
  <c r="AA60" i="1"/>
  <c r="Z60" i="1"/>
  <c r="Z70" i="1"/>
  <c r="AA67" i="1"/>
  <c r="Z57" i="1"/>
  <c r="AB54" i="1"/>
  <c r="AA54" i="1"/>
  <c r="Z54" i="1"/>
  <c r="Y54" i="1"/>
  <c r="X54" i="1"/>
  <c r="W54" i="1"/>
  <c r="V51" i="1"/>
  <c r="Y51" i="1"/>
  <c r="X51" i="1"/>
  <c r="W51" i="1"/>
  <c r="V48" i="1"/>
  <c r="Y48" i="1"/>
  <c r="X48" i="1"/>
  <c r="W48" i="1"/>
  <c r="W52" i="1"/>
  <c r="X42" i="1"/>
  <c r="AB39" i="1"/>
  <c r="Z39" i="1"/>
  <c r="Y27" i="1"/>
  <c r="W29" i="1"/>
  <c r="V23" i="1"/>
  <c r="W17" i="1"/>
  <c r="AA16" i="1"/>
  <c r="AA19" i="1"/>
  <c r="X13" i="1"/>
  <c r="AB10" i="1"/>
  <c r="AA8" i="1"/>
  <c r="Y74" i="1"/>
  <c r="X71" i="1"/>
  <c r="Z80" i="1"/>
  <c r="W79" i="1"/>
  <c r="AB79" i="1"/>
  <c r="X76" i="1"/>
  <c r="V76" i="1"/>
  <c r="AA76" i="1"/>
  <c r="AA73" i="1"/>
  <c r="V77" i="1"/>
  <c r="Z77" i="1"/>
  <c r="V81" i="1"/>
  <c r="W78" i="1"/>
  <c r="AB78" i="1"/>
  <c r="AB75" i="1"/>
  <c r="AB72" i="1"/>
  <c r="W60" i="1"/>
  <c r="V60" i="1"/>
  <c r="Y60" i="1"/>
  <c r="X60" i="1"/>
  <c r="AB62" i="1"/>
  <c r="AA62" i="1"/>
  <c r="Z62" i="1"/>
  <c r="AB59" i="1"/>
  <c r="AA59" i="1"/>
  <c r="Z59" i="1"/>
  <c r="X70" i="1"/>
  <c r="AB61" i="1"/>
  <c r="AA58" i="1"/>
  <c r="Z58" i="1"/>
  <c r="AB58" i="1"/>
  <c r="AA57" i="1"/>
  <c r="AB57" i="1"/>
  <c r="W57" i="1"/>
  <c r="V54" i="1"/>
  <c r="AB56" i="1"/>
  <c r="AA56" i="1"/>
  <c r="Z56" i="1"/>
  <c r="AB53" i="1"/>
  <c r="AA53" i="1"/>
  <c r="Z53" i="1"/>
  <c r="V55" i="1"/>
  <c r="Y45" i="1"/>
  <c r="V45" i="1"/>
  <c r="X27" i="1"/>
  <c r="Y24" i="1"/>
  <c r="W22" i="1"/>
  <c r="V29" i="1"/>
  <c r="AB16" i="1"/>
  <c r="Z19" i="1"/>
  <c r="V13" i="1"/>
  <c r="AB74" i="1"/>
  <c r="Y71" i="1"/>
  <c r="X74" i="1"/>
  <c r="V71" i="1"/>
  <c r="Y80" i="1"/>
  <c r="X79" i="1"/>
  <c r="V79" i="1"/>
  <c r="AA79" i="1"/>
  <c r="Z76" i="1"/>
  <c r="Y77" i="1"/>
  <c r="AA81" i="1"/>
  <c r="AA78" i="1"/>
  <c r="V78" i="1"/>
  <c r="W75" i="1"/>
  <c r="V75" i="1"/>
  <c r="AA72" i="1"/>
  <c r="V72" i="1"/>
  <c r="W69" i="1"/>
  <c r="Y68" i="1"/>
  <c r="AB68" i="1"/>
  <c r="AA68" i="1"/>
  <c r="Z68" i="1"/>
  <c r="AB65" i="1"/>
  <c r="AA65" i="1"/>
  <c r="Z65" i="1"/>
  <c r="Y62" i="1"/>
  <c r="X62" i="1"/>
  <c r="W62" i="1"/>
  <c r="V62" i="1"/>
  <c r="Y59" i="1"/>
  <c r="X59" i="1"/>
  <c r="W59" i="1"/>
  <c r="V59" i="1"/>
  <c r="AB70" i="1"/>
  <c r="Z67" i="1"/>
  <c r="AB67" i="1"/>
  <c r="AA64" i="1"/>
  <c r="Z64" i="1"/>
  <c r="AB64" i="1"/>
  <c r="AA61" i="1"/>
  <c r="Z61" i="1"/>
  <c r="Y61" i="1"/>
  <c r="X61" i="1"/>
  <c r="W61" i="1"/>
  <c r="V61" i="1"/>
  <c r="Y58" i="1"/>
  <c r="X58" i="1"/>
  <c r="W58" i="1"/>
  <c r="V58" i="1"/>
  <c r="V57" i="1"/>
  <c r="Y57" i="1"/>
  <c r="X56" i="1"/>
  <c r="W56" i="1"/>
  <c r="V56" i="1"/>
  <c r="Y56" i="1"/>
  <c r="X53" i="1"/>
  <c r="W53" i="1"/>
  <c r="V53" i="1"/>
  <c r="Y53" i="1"/>
  <c r="AB50" i="1"/>
  <c r="AA50" i="1"/>
  <c r="Z50" i="1"/>
  <c r="AB47" i="1"/>
  <c r="AA47" i="1"/>
  <c r="Z47" i="1"/>
  <c r="Z55" i="1"/>
  <c r="W55" i="1"/>
  <c r="X52" i="1"/>
  <c r="X49" i="1"/>
  <c r="V49" i="1"/>
  <c r="X46" i="1"/>
  <c r="V46" i="1"/>
  <c r="W42" i="1"/>
  <c r="Y43" i="1"/>
  <c r="V27" i="1"/>
  <c r="W27" i="1"/>
  <c r="X24" i="1"/>
  <c r="V20" i="1"/>
  <c r="V14" i="1"/>
  <c r="AA80" i="1"/>
  <c r="AA71" i="1"/>
  <c r="V80" i="1"/>
  <c r="X80" i="1"/>
  <c r="Z79" i="1"/>
  <c r="X73" i="1"/>
  <c r="Z73" i="1"/>
  <c r="AB77" i="1"/>
  <c r="AA75" i="1"/>
  <c r="Y72" i="1"/>
  <c r="X68" i="1"/>
  <c r="W68" i="1"/>
  <c r="V68" i="1"/>
  <c r="X65" i="1"/>
  <c r="W65" i="1"/>
  <c r="V65" i="1"/>
  <c r="AA70" i="1"/>
  <c r="Y70" i="1"/>
  <c r="V70" i="1"/>
  <c r="Y67" i="1"/>
  <c r="X67" i="1"/>
  <c r="W67" i="1"/>
  <c r="V67" i="1"/>
  <c r="Y64" i="1"/>
  <c r="X64" i="1"/>
  <c r="W64" i="1"/>
  <c r="V64" i="1"/>
  <c r="X50" i="1"/>
  <c r="W50" i="1"/>
  <c r="V50" i="1"/>
  <c r="Y50" i="1"/>
  <c r="X47" i="1"/>
  <c r="W47" i="1"/>
  <c r="V47" i="1"/>
  <c r="Y47" i="1"/>
  <c r="Y55" i="1"/>
  <c r="X55" i="1"/>
  <c r="AA45" i="1"/>
  <c r="Y42" i="1"/>
  <c r="AA39" i="1"/>
  <c r="X43" i="1"/>
  <c r="V24" i="1"/>
  <c r="W24" i="1"/>
  <c r="W16" i="1"/>
  <c r="AA18" i="1"/>
  <c r="AA74" i="1"/>
  <c r="V74" i="1"/>
  <c r="Z74" i="1"/>
  <c r="W71" i="1"/>
  <c r="Y76" i="1"/>
  <c r="Y73" i="1"/>
  <c r="X77" i="1"/>
  <c r="Y81" i="1"/>
  <c r="Y78" i="1"/>
  <c r="Z72" i="1"/>
  <c r="AB69" i="1"/>
  <c r="AA69" i="1"/>
  <c r="Z69" i="1"/>
  <c r="W66" i="1"/>
  <c r="AB66" i="1"/>
  <c r="AA66" i="1"/>
  <c r="Z66" i="1"/>
  <c r="Y65" i="1"/>
  <c r="Y52" i="1"/>
  <c r="V52" i="1"/>
  <c r="Y49" i="1"/>
  <c r="W43" i="1"/>
  <c r="W74" i="1"/>
  <c r="AB71" i="1"/>
  <c r="Z71" i="1"/>
  <c r="W80" i="1"/>
  <c r="Y79" i="1"/>
  <c r="W73" i="1"/>
  <c r="AB73" i="1"/>
  <c r="X81" i="1"/>
  <c r="Z78" i="1"/>
  <c r="X78" i="1"/>
  <c r="Z75" i="1"/>
  <c r="Y75" i="1"/>
  <c r="X72" i="1"/>
  <c r="V69" i="1"/>
  <c r="Y69" i="1"/>
  <c r="X69" i="1"/>
  <c r="V66" i="1"/>
  <c r="Y66" i="1"/>
  <c r="X66" i="1"/>
  <c r="AB63" i="1"/>
  <c r="AA63" i="1"/>
  <c r="Z63" i="1"/>
  <c r="W70" i="1"/>
  <c r="X57" i="1"/>
  <c r="AB51" i="1"/>
  <c r="AA51" i="1"/>
  <c r="Z51" i="1"/>
  <c r="AB48" i="1"/>
  <c r="AA48" i="1"/>
  <c r="Z48" i="1"/>
  <c r="Z52" i="1"/>
  <c r="W49" i="1"/>
  <c r="Y46" i="1"/>
  <c r="W46" i="1"/>
  <c r="V42" i="1"/>
  <c r="V43" i="1"/>
  <c r="X29" i="1"/>
  <c r="Z23" i="1"/>
  <c r="W19" i="1"/>
  <c r="Y15" i="1"/>
  <c r="AA43" i="1"/>
  <c r="Z43" i="1"/>
  <c r="AB43" i="1"/>
  <c r="AA40" i="1"/>
  <c r="Z40" i="1"/>
  <c r="Y40" i="1"/>
  <c r="X40" i="1"/>
  <c r="W40" i="1"/>
  <c r="V40" i="1"/>
  <c r="Y37" i="1"/>
  <c r="X37" i="1"/>
  <c r="W37" i="1"/>
  <c r="V37" i="1"/>
  <c r="Y34" i="1"/>
  <c r="X34" i="1"/>
  <c r="W34" i="1"/>
  <c r="V34" i="1"/>
  <c r="W33" i="1"/>
  <c r="V30" i="1"/>
  <c r="Y30" i="1"/>
  <c r="X30" i="1"/>
  <c r="W30" i="1"/>
  <c r="AB27" i="1"/>
  <c r="AA27" i="1"/>
  <c r="Z27" i="1"/>
  <c r="AB24" i="1"/>
  <c r="AA24" i="1"/>
  <c r="Z24" i="1"/>
  <c r="AA22" i="1"/>
  <c r="Z22" i="1"/>
  <c r="X32" i="1"/>
  <c r="W32" i="1"/>
  <c r="V32" i="1"/>
  <c r="Y32" i="1"/>
  <c r="AB29" i="1"/>
  <c r="AA29" i="1"/>
  <c r="Z29" i="1"/>
  <c r="Y29" i="1"/>
  <c r="X26" i="1"/>
  <c r="W26" i="1"/>
  <c r="V26" i="1"/>
  <c r="Y26" i="1"/>
  <c r="Z20" i="1"/>
  <c r="Y19" i="1"/>
  <c r="V19" i="1"/>
  <c r="AA14" i="1"/>
  <c r="W14" i="1"/>
  <c r="Y14" i="1"/>
  <c r="Z12" i="1"/>
  <c r="Z9" i="1"/>
  <c r="X12" i="1"/>
  <c r="AB45" i="1"/>
  <c r="Z33" i="1"/>
  <c r="Y33" i="1"/>
  <c r="X33" i="1"/>
  <c r="V22" i="1"/>
  <c r="Y22" i="1"/>
  <c r="AB31" i="1"/>
  <c r="AA31" i="1"/>
  <c r="Z28" i="1"/>
  <c r="AB28" i="1"/>
  <c r="AA28" i="1"/>
  <c r="Z25" i="1"/>
  <c r="AB25" i="1"/>
  <c r="AA25" i="1"/>
  <c r="AA20" i="1"/>
  <c r="AB17" i="1"/>
  <c r="AA17" i="1"/>
  <c r="Z17" i="1"/>
  <c r="Y16" i="1"/>
  <c r="AA11" i="1"/>
  <c r="AB19" i="1"/>
  <c r="AA13" i="1"/>
  <c r="Z13" i="1"/>
  <c r="Z21" i="1"/>
  <c r="AB14" i="1"/>
  <c r="W10" i="1"/>
  <c r="AA12" i="1"/>
  <c r="AB12" i="1"/>
  <c r="Y9" i="1"/>
  <c r="AA9" i="1"/>
  <c r="AB9" i="1"/>
  <c r="W45" i="1"/>
  <c r="X45" i="1"/>
  <c r="AB42" i="1"/>
  <c r="AA42" i="1"/>
  <c r="Z42" i="1"/>
  <c r="AB41" i="1"/>
  <c r="AA41" i="1"/>
  <c r="Z41" i="1"/>
  <c r="AB38" i="1"/>
  <c r="AA38" i="1"/>
  <c r="Z38" i="1"/>
  <c r="AB35" i="1"/>
  <c r="AA35" i="1"/>
  <c r="Z35" i="1"/>
  <c r="AA33" i="1"/>
  <c r="AB23" i="1"/>
  <c r="Z31" i="1"/>
  <c r="Y31" i="1"/>
  <c r="X31" i="1"/>
  <c r="W31" i="1"/>
  <c r="V31" i="1"/>
  <c r="Y28" i="1"/>
  <c r="X28" i="1"/>
  <c r="W28" i="1"/>
  <c r="V28" i="1"/>
  <c r="Y25" i="1"/>
  <c r="X25" i="1"/>
  <c r="W25" i="1"/>
  <c r="V25" i="1"/>
  <c r="AB20" i="1"/>
  <c r="Y20" i="1"/>
  <c r="X20" i="1"/>
  <c r="V17" i="1"/>
  <c r="Y17" i="1"/>
  <c r="X17" i="1"/>
  <c r="X16" i="1"/>
  <c r="V11" i="1"/>
  <c r="X19" i="1"/>
  <c r="AB13" i="1"/>
  <c r="Y13" i="1"/>
  <c r="AB21" i="1"/>
  <c r="Z18" i="1"/>
  <c r="AB18" i="1"/>
  <c r="Z15" i="1"/>
  <c r="AA10" i="1"/>
  <c r="Z10" i="1"/>
  <c r="V8" i="1"/>
  <c r="Z8" i="1"/>
  <c r="Y8" i="1"/>
  <c r="X8" i="1"/>
  <c r="X7" i="1"/>
  <c r="AB7" i="1"/>
  <c r="AA7" i="1"/>
  <c r="Z7" i="1"/>
  <c r="W12" i="1"/>
  <c r="V12" i="1"/>
  <c r="X9" i="1"/>
  <c r="W9" i="1"/>
  <c r="V9" i="1"/>
  <c r="AB36" i="1"/>
  <c r="AA36" i="1"/>
  <c r="Z36" i="1"/>
  <c r="AB44" i="1"/>
  <c r="AA44" i="1"/>
  <c r="Z44" i="1"/>
  <c r="Y41" i="1"/>
  <c r="X41" i="1"/>
  <c r="W41" i="1"/>
  <c r="V41" i="1"/>
  <c r="Y38" i="1"/>
  <c r="X38" i="1"/>
  <c r="W38" i="1"/>
  <c r="V38" i="1"/>
  <c r="Y35" i="1"/>
  <c r="X35" i="1"/>
  <c r="W35" i="1"/>
  <c r="V35" i="1"/>
  <c r="AB33" i="1"/>
  <c r="AB22" i="1"/>
  <c r="W23" i="1"/>
  <c r="X23" i="1"/>
  <c r="W20" i="1"/>
  <c r="W11" i="1"/>
  <c r="Y11" i="1"/>
  <c r="X11" i="1"/>
  <c r="W13" i="1"/>
  <c r="Y21" i="1"/>
  <c r="W21" i="1"/>
  <c r="V21" i="1"/>
  <c r="Y18" i="1"/>
  <c r="X18" i="1"/>
  <c r="W18" i="1"/>
  <c r="V18" i="1"/>
  <c r="V15" i="1"/>
  <c r="AA15" i="1"/>
  <c r="Z14" i="1"/>
  <c r="X14" i="1"/>
  <c r="Y10" i="1"/>
  <c r="W8" i="1"/>
  <c r="Y7" i="1"/>
  <c r="V7" i="1"/>
  <c r="Y12" i="1"/>
  <c r="AB55" i="1"/>
  <c r="AA55" i="1"/>
  <c r="AB52" i="1"/>
  <c r="AA52" i="1"/>
  <c r="Z49" i="1"/>
  <c r="AB49" i="1"/>
  <c r="AA49" i="1"/>
  <c r="Z46" i="1"/>
  <c r="AB46" i="1"/>
  <c r="AA46" i="1"/>
  <c r="Z45" i="1"/>
  <c r="W39" i="1"/>
  <c r="V39" i="1"/>
  <c r="Y39" i="1"/>
  <c r="X39" i="1"/>
  <c r="W36" i="1"/>
  <c r="V36" i="1"/>
  <c r="Y36" i="1"/>
  <c r="X36" i="1"/>
  <c r="Y44" i="1"/>
  <c r="X44" i="1"/>
  <c r="W44" i="1"/>
  <c r="V44" i="1"/>
  <c r="AB40" i="1"/>
  <c r="AA37" i="1"/>
  <c r="Z37" i="1"/>
  <c r="AB37" i="1"/>
  <c r="AA34" i="1"/>
  <c r="Z34" i="1"/>
  <c r="AB34" i="1"/>
  <c r="V33" i="1"/>
  <c r="AB30" i="1"/>
  <c r="AA30" i="1"/>
  <c r="Z30" i="1"/>
  <c r="X22" i="1"/>
  <c r="AB32" i="1"/>
  <c r="AA32" i="1"/>
  <c r="Z32" i="1"/>
  <c r="AB26" i="1"/>
  <c r="AA26" i="1"/>
  <c r="Z26" i="1"/>
  <c r="AA23" i="1"/>
  <c r="Y23" i="1"/>
  <c r="Z16" i="1"/>
  <c r="V16" i="1"/>
  <c r="AB11" i="1"/>
  <c r="Z11" i="1"/>
  <c r="AA21" i="1"/>
  <c r="X21" i="1"/>
  <c r="X15" i="1"/>
  <c r="AB15" i="1"/>
  <c r="W15" i="1"/>
  <c r="X10" i="1"/>
  <c r="V10" i="1"/>
  <c r="AB8" i="1"/>
  <c r="W7" i="1"/>
  <c r="AO74" i="1"/>
  <c r="AK80" i="1"/>
  <c r="AM79" i="1"/>
  <c r="AL76" i="1"/>
  <c r="AK77" i="1"/>
  <c r="AM81" i="1"/>
  <c r="AM78" i="1"/>
  <c r="AM72" i="1"/>
  <c r="AO69" i="1"/>
  <c r="AK68" i="1"/>
  <c r="AP68" i="1"/>
  <c r="AO68" i="1"/>
  <c r="AN68" i="1"/>
  <c r="AM68" i="1"/>
  <c r="AL68" i="1"/>
  <c r="AP65" i="1"/>
  <c r="AO65" i="1"/>
  <c r="AN65" i="1"/>
  <c r="AM65" i="1"/>
  <c r="AL65" i="1"/>
  <c r="AK62" i="1"/>
  <c r="AJ62" i="1"/>
  <c r="AK59" i="1"/>
  <c r="AJ59" i="1"/>
  <c r="AO70" i="1"/>
  <c r="AL67" i="1"/>
  <c r="AP67" i="1"/>
  <c r="AO67" i="1"/>
  <c r="AN67" i="1"/>
  <c r="AM64" i="1"/>
  <c r="AL64" i="1"/>
  <c r="AP64" i="1"/>
  <c r="AO64" i="1"/>
  <c r="AN64" i="1"/>
  <c r="AM61" i="1"/>
  <c r="AL61" i="1"/>
  <c r="AK61" i="1"/>
  <c r="AJ61" i="1"/>
  <c r="AK58" i="1"/>
  <c r="AJ58" i="1"/>
  <c r="AM57" i="1"/>
  <c r="AJ56" i="1"/>
  <c r="AK56" i="1"/>
  <c r="AJ53" i="1"/>
  <c r="AK53" i="1"/>
  <c r="AP50" i="1"/>
  <c r="AO50" i="1"/>
  <c r="AN50" i="1"/>
  <c r="AM50" i="1"/>
  <c r="AL50" i="1"/>
  <c r="AP47" i="1"/>
  <c r="AO47" i="1"/>
  <c r="AN47" i="1"/>
  <c r="AM47" i="1"/>
  <c r="AL47" i="1"/>
  <c r="AL55" i="1"/>
  <c r="AP55" i="1"/>
  <c r="AO55" i="1"/>
  <c r="AP52" i="1"/>
  <c r="AM52" i="1"/>
  <c r="AP49" i="1"/>
  <c r="AL35" i="1"/>
  <c r="AK22" i="1"/>
  <c r="AJ31" i="1"/>
  <c r="AK28" i="1"/>
  <c r="AJ17" i="1"/>
  <c r="AM11" i="1"/>
  <c r="AO21" i="1"/>
  <c r="AP18" i="1"/>
  <c r="AN14" i="1"/>
  <c r="AM74" i="1"/>
  <c r="AO71" i="1"/>
  <c r="AM71" i="1"/>
  <c r="AJ80" i="1"/>
  <c r="AL79" i="1"/>
  <c r="AP73" i="1"/>
  <c r="AL73" i="1"/>
  <c r="AP77" i="1"/>
  <c r="AL78" i="1"/>
  <c r="AM75" i="1"/>
  <c r="AL75" i="1"/>
  <c r="AK72" i="1"/>
  <c r="AO66" i="1"/>
  <c r="AJ68" i="1"/>
  <c r="AJ65" i="1"/>
  <c r="AK67" i="1"/>
  <c r="AJ67" i="1"/>
  <c r="AK64" i="1"/>
  <c r="AJ64" i="1"/>
  <c r="AK57" i="1"/>
  <c r="AJ50" i="1"/>
  <c r="AK50" i="1"/>
  <c r="AJ47" i="1"/>
  <c r="AK47" i="1"/>
  <c r="AK55" i="1"/>
  <c r="AJ55" i="1"/>
  <c r="AJ52" i="1"/>
  <c r="AJ49" i="1"/>
  <c r="AJ46" i="1"/>
  <c r="AO42" i="1"/>
  <c r="AM42" i="1"/>
  <c r="AO41" i="1"/>
  <c r="AP38" i="1"/>
  <c r="AM33" i="1"/>
  <c r="AJ28" i="1"/>
  <c r="AK25" i="1"/>
  <c r="AO11" i="1"/>
  <c r="AN21" i="1"/>
  <c r="AO18" i="1"/>
  <c r="AL74" i="1"/>
  <c r="AO80" i="1"/>
  <c r="AK76" i="1"/>
  <c r="AJ76" i="1"/>
  <c r="AK73" i="1"/>
  <c r="AO73" i="1"/>
  <c r="AJ73" i="1"/>
  <c r="AJ77" i="1"/>
  <c r="AK81" i="1"/>
  <c r="AP81" i="1"/>
  <c r="AL81" i="1"/>
  <c r="AK78" i="1"/>
  <c r="AP78" i="1"/>
  <c r="AP72" i="1"/>
  <c r="AN69" i="1"/>
  <c r="AM69" i="1"/>
  <c r="AL69" i="1"/>
  <c r="AP69" i="1"/>
  <c r="AN66" i="1"/>
  <c r="AM66" i="1"/>
  <c r="AL66" i="1"/>
  <c r="AP66" i="1"/>
  <c r="AK65" i="1"/>
  <c r="AK70" i="1"/>
  <c r="AP70" i="1"/>
  <c r="AM70" i="1"/>
  <c r="AN52" i="1"/>
  <c r="AP45" i="1"/>
  <c r="AN41" i="1"/>
  <c r="AO38" i="1"/>
  <c r="AP35" i="1"/>
  <c r="AJ25" i="1"/>
  <c r="AP16" i="1"/>
  <c r="AK13" i="1"/>
  <c r="AN18" i="1"/>
  <c r="AO8" i="1"/>
  <c r="AJ79" i="1"/>
  <c r="AL71" i="1"/>
  <c r="AN80" i="1"/>
  <c r="AK79" i="1"/>
  <c r="AO76" i="1"/>
  <c r="AN73" i="1"/>
  <c r="AO77" i="1"/>
  <c r="AJ81" i="1"/>
  <c r="AO81" i="1"/>
  <c r="AJ78" i="1"/>
  <c r="AK75" i="1"/>
  <c r="AP75" i="1"/>
  <c r="AJ72" i="1"/>
  <c r="AO72" i="1"/>
  <c r="AK69" i="1"/>
  <c r="AJ69" i="1"/>
  <c r="AK66" i="1"/>
  <c r="AJ66" i="1"/>
  <c r="AO63" i="1"/>
  <c r="AN63" i="1"/>
  <c r="AM63" i="1"/>
  <c r="AL63" i="1"/>
  <c r="AP63" i="1"/>
  <c r="AM67" i="1"/>
  <c r="AN57" i="1"/>
  <c r="AL57" i="1"/>
  <c r="AP54" i="1"/>
  <c r="AO54" i="1"/>
  <c r="AN51" i="1"/>
  <c r="AM51" i="1"/>
  <c r="AL51" i="1"/>
  <c r="AP51" i="1"/>
  <c r="AO51" i="1"/>
  <c r="AN48" i="1"/>
  <c r="AM48" i="1"/>
  <c r="AL48" i="1"/>
  <c r="AP48" i="1"/>
  <c r="AO48" i="1"/>
  <c r="AK52" i="1"/>
  <c r="AK49" i="1"/>
  <c r="AJ45" i="1"/>
  <c r="AM41" i="1"/>
  <c r="AN38" i="1"/>
  <c r="AO35" i="1"/>
  <c r="AP23" i="1"/>
  <c r="AP11" i="1"/>
  <c r="AP21" i="1"/>
  <c r="AM10" i="1"/>
  <c r="AL8" i="1"/>
  <c r="AN71" i="1"/>
  <c r="AK71" i="1"/>
  <c r="AP71" i="1"/>
  <c r="AM80" i="1"/>
  <c r="AO79" i="1"/>
  <c r="AN76" i="1"/>
  <c r="AP76" i="1"/>
  <c r="AM77" i="1"/>
  <c r="AN77" i="1"/>
  <c r="AN81" i="1"/>
  <c r="AO78" i="1"/>
  <c r="AJ75" i="1"/>
  <c r="AK63" i="1"/>
  <c r="AJ63" i="1"/>
  <c r="AO60" i="1"/>
  <c r="AN60" i="1"/>
  <c r="AM60" i="1"/>
  <c r="AL60" i="1"/>
  <c r="AP60" i="1"/>
  <c r="AN70" i="1"/>
  <c r="AP57" i="1"/>
  <c r="AN54" i="1"/>
  <c r="AM54" i="1"/>
  <c r="AL54" i="1"/>
  <c r="AK54" i="1"/>
  <c r="AJ54" i="1"/>
  <c r="AK51" i="1"/>
  <c r="AJ51" i="1"/>
  <c r="AK48" i="1"/>
  <c r="AJ48" i="1"/>
  <c r="AM55" i="1"/>
  <c r="AL52" i="1"/>
  <c r="AO52" i="1"/>
  <c r="AL49" i="1"/>
  <c r="AK46" i="1"/>
  <c r="AN45" i="1"/>
  <c r="AN42" i="1"/>
  <c r="AL42" i="1"/>
  <c r="AL41" i="1"/>
  <c r="AM38" i="1"/>
  <c r="AN35" i="1"/>
  <c r="AL31" i="1"/>
  <c r="AK20" i="1"/>
  <c r="AL16" i="1"/>
  <c r="AN19" i="1"/>
  <c r="AL21" i="1"/>
  <c r="AL10" i="1"/>
  <c r="AK8" i="1"/>
  <c r="AJ74" i="1"/>
  <c r="AP80" i="1"/>
  <c r="AN74" i="1"/>
  <c r="AK74" i="1"/>
  <c r="AP74" i="1"/>
  <c r="AJ71" i="1"/>
  <c r="AL80" i="1"/>
  <c r="AN79" i="1"/>
  <c r="AP79" i="1"/>
  <c r="AM76" i="1"/>
  <c r="AM73" i="1"/>
  <c r="AL77" i="1"/>
  <c r="AN78" i="1"/>
  <c r="AO75" i="1"/>
  <c r="AN75" i="1"/>
  <c r="AL72" i="1"/>
  <c r="AN72" i="1"/>
  <c r="AK60" i="1"/>
  <c r="AJ60" i="1"/>
  <c r="AP62" i="1"/>
  <c r="AO62" i="1"/>
  <c r="AN62" i="1"/>
  <c r="AM62" i="1"/>
  <c r="AL62" i="1"/>
  <c r="AP59" i="1"/>
  <c r="AO59" i="1"/>
  <c r="AN59" i="1"/>
  <c r="AM59" i="1"/>
  <c r="AL59" i="1"/>
  <c r="AL70" i="1"/>
  <c r="AJ70" i="1"/>
  <c r="AP61" i="1"/>
  <c r="AO61" i="1"/>
  <c r="AN61" i="1"/>
  <c r="AM58" i="1"/>
  <c r="AL58" i="1"/>
  <c r="AP58" i="1"/>
  <c r="AO58" i="1"/>
  <c r="AN58" i="1"/>
  <c r="AO57" i="1"/>
  <c r="AJ57" i="1"/>
  <c r="AP56" i="1"/>
  <c r="AO56" i="1"/>
  <c r="AN56" i="1"/>
  <c r="AM56" i="1"/>
  <c r="AL56" i="1"/>
  <c r="AP53" i="1"/>
  <c r="AO53" i="1"/>
  <c r="AN53" i="1"/>
  <c r="AM53" i="1"/>
  <c r="AL53" i="1"/>
  <c r="AN55" i="1"/>
  <c r="AP42" i="1"/>
  <c r="AP41" i="1"/>
  <c r="AL38" i="1"/>
  <c r="AM35" i="1"/>
  <c r="AK31" i="1"/>
  <c r="AJ20" i="1"/>
  <c r="AK17" i="1"/>
  <c r="AJ8" i="1"/>
  <c r="AL33" i="1"/>
  <c r="AK33" i="1"/>
  <c r="AJ33" i="1"/>
  <c r="AP22" i="1"/>
  <c r="AL23" i="1"/>
  <c r="AO23" i="1"/>
  <c r="AP31" i="1"/>
  <c r="AO31" i="1"/>
  <c r="AN31" i="1"/>
  <c r="AM31" i="1"/>
  <c r="AL28" i="1"/>
  <c r="AP28" i="1"/>
  <c r="AO28" i="1"/>
  <c r="AN28" i="1"/>
  <c r="AM28" i="1"/>
  <c r="AL25" i="1"/>
  <c r="AP25" i="1"/>
  <c r="AO25" i="1"/>
  <c r="AN25" i="1"/>
  <c r="AM25" i="1"/>
  <c r="AM20" i="1"/>
  <c r="AP20" i="1"/>
  <c r="AN17" i="1"/>
  <c r="AM17" i="1"/>
  <c r="AL17" i="1"/>
  <c r="AP17" i="1"/>
  <c r="AJ16" i="1"/>
  <c r="AK16" i="1"/>
  <c r="AJ13" i="1"/>
  <c r="AM13" i="1"/>
  <c r="AL13" i="1"/>
  <c r="AM18" i="1"/>
  <c r="AL15" i="1"/>
  <c r="AP10" i="1"/>
  <c r="AN10" i="1"/>
  <c r="AP8" i="1"/>
  <c r="AJ7" i="1"/>
  <c r="AJ12" i="1"/>
  <c r="AM12" i="1"/>
  <c r="AO12" i="1"/>
  <c r="AN12" i="1"/>
  <c r="AK9" i="1"/>
  <c r="AM9" i="1"/>
  <c r="AP9" i="1"/>
  <c r="AO9" i="1"/>
  <c r="AN9" i="1"/>
  <c r="AN7" i="1"/>
  <c r="AM7" i="1"/>
  <c r="AL7" i="1"/>
  <c r="AJ9" i="1"/>
  <c r="AK45" i="1"/>
  <c r="AK42" i="1"/>
  <c r="AJ42" i="1"/>
  <c r="AO39" i="1"/>
  <c r="AN39" i="1"/>
  <c r="AM39" i="1"/>
  <c r="AL39" i="1"/>
  <c r="AP39" i="1"/>
  <c r="AO36" i="1"/>
  <c r="AN36" i="1"/>
  <c r="AM36" i="1"/>
  <c r="AL36" i="1"/>
  <c r="AP36" i="1"/>
  <c r="AP44" i="1"/>
  <c r="AO44" i="1"/>
  <c r="AN44" i="1"/>
  <c r="AM44" i="1"/>
  <c r="AL44" i="1"/>
  <c r="AK41" i="1"/>
  <c r="AJ41" i="1"/>
  <c r="AK38" i="1"/>
  <c r="AJ38" i="1"/>
  <c r="AK35" i="1"/>
  <c r="AJ35" i="1"/>
  <c r="AN33" i="1"/>
  <c r="AN23" i="1"/>
  <c r="AJ23" i="1"/>
  <c r="AN20" i="1"/>
  <c r="AK11" i="1"/>
  <c r="AJ11" i="1"/>
  <c r="AJ19" i="1"/>
  <c r="AN13" i="1"/>
  <c r="AP13" i="1"/>
  <c r="AK21" i="1"/>
  <c r="AL18" i="1"/>
  <c r="AK18" i="1"/>
  <c r="AJ18" i="1"/>
  <c r="AJ15" i="1"/>
  <c r="AN15" i="1"/>
  <c r="AM15" i="1"/>
  <c r="AO15" i="1"/>
  <c r="AJ14" i="1"/>
  <c r="AK10" i="1"/>
  <c r="AN8" i="1"/>
  <c r="AP7" i="1"/>
  <c r="AK7" i="1"/>
  <c r="AP12" i="1"/>
  <c r="AO49" i="1"/>
  <c r="AN49" i="1"/>
  <c r="AM49" i="1"/>
  <c r="AL46" i="1"/>
  <c r="AP46" i="1"/>
  <c r="AO46" i="1"/>
  <c r="AN46" i="1"/>
  <c r="AM46" i="1"/>
  <c r="AL45" i="1"/>
  <c r="AK39" i="1"/>
  <c r="AJ39" i="1"/>
  <c r="AK36" i="1"/>
  <c r="AJ36" i="1"/>
  <c r="AK44" i="1"/>
  <c r="AJ44" i="1"/>
  <c r="AP40" i="1"/>
  <c r="AO40" i="1"/>
  <c r="AN40" i="1"/>
  <c r="AM37" i="1"/>
  <c r="AL37" i="1"/>
  <c r="AP37" i="1"/>
  <c r="AO37" i="1"/>
  <c r="AN37" i="1"/>
  <c r="AM34" i="1"/>
  <c r="AL34" i="1"/>
  <c r="AP34" i="1"/>
  <c r="AO34" i="1"/>
  <c r="AN34" i="1"/>
  <c r="AO33" i="1"/>
  <c r="AN30" i="1"/>
  <c r="AM30" i="1"/>
  <c r="AL30" i="1"/>
  <c r="AP30" i="1"/>
  <c r="AO30" i="1"/>
  <c r="AN22" i="1"/>
  <c r="AP32" i="1"/>
  <c r="AO32" i="1"/>
  <c r="AN32" i="1"/>
  <c r="AM32" i="1"/>
  <c r="AL32" i="1"/>
  <c r="AP26" i="1"/>
  <c r="AO26" i="1"/>
  <c r="AN26" i="1"/>
  <c r="AM26" i="1"/>
  <c r="AL26" i="1"/>
  <c r="AM23" i="1"/>
  <c r="AK23" i="1"/>
  <c r="AN16" i="1"/>
  <c r="AP15" i="1"/>
  <c r="AL14" i="1"/>
  <c r="AO14" i="1"/>
  <c r="AO10" i="1"/>
  <c r="AK12" i="1"/>
  <c r="AL9" i="1"/>
  <c r="AM43" i="1"/>
  <c r="AL43" i="1"/>
  <c r="AP43" i="1"/>
  <c r="AO43" i="1"/>
  <c r="AN43" i="1"/>
  <c r="AM40" i="1"/>
  <c r="AL40" i="1"/>
  <c r="AK40" i="1"/>
  <c r="AJ40" i="1"/>
  <c r="AK37" i="1"/>
  <c r="AJ37" i="1"/>
  <c r="AK34" i="1"/>
  <c r="AJ34" i="1"/>
  <c r="AK30" i="1"/>
  <c r="AJ30" i="1"/>
  <c r="AN27" i="1"/>
  <c r="AM27" i="1"/>
  <c r="AL27" i="1"/>
  <c r="AP27" i="1"/>
  <c r="AO27" i="1"/>
  <c r="AN24" i="1"/>
  <c r="AM24" i="1"/>
  <c r="AL24" i="1"/>
  <c r="AP24" i="1"/>
  <c r="AO24" i="1"/>
  <c r="AJ22" i="1"/>
  <c r="AO22" i="1"/>
  <c r="AM22" i="1"/>
  <c r="AL22" i="1"/>
  <c r="AJ32" i="1"/>
  <c r="AK32" i="1"/>
  <c r="AP29" i="1"/>
  <c r="AO29" i="1"/>
  <c r="AN29" i="1"/>
  <c r="AM29" i="1"/>
  <c r="AL29" i="1"/>
  <c r="AK29" i="1"/>
  <c r="AJ26" i="1"/>
  <c r="AK26" i="1"/>
  <c r="AO17" i="1"/>
  <c r="AN11" i="1"/>
  <c r="AL11" i="1"/>
  <c r="AP19" i="1"/>
  <c r="AO19" i="1"/>
  <c r="AM21" i="1"/>
  <c r="AJ21" i="1"/>
  <c r="AK15" i="1"/>
  <c r="AP14" i="1"/>
  <c r="AK14" i="1"/>
  <c r="AJ10" i="1"/>
  <c r="AM8" i="1"/>
  <c r="AO7" i="1"/>
  <c r="AM45" i="1"/>
  <c r="AO45" i="1"/>
  <c r="AK43" i="1"/>
  <c r="AJ43" i="1"/>
  <c r="AP33" i="1"/>
  <c r="AK27" i="1"/>
  <c r="AJ27" i="1"/>
  <c r="AK24" i="1"/>
  <c r="AJ24" i="1"/>
  <c r="AJ29" i="1"/>
  <c r="AO20" i="1"/>
  <c r="AL20" i="1"/>
  <c r="AO16" i="1"/>
  <c r="AM16" i="1"/>
  <c r="AK19" i="1"/>
  <c r="AM19" i="1"/>
  <c r="AL19" i="1"/>
  <c r="AO13" i="1"/>
  <c r="AM14" i="1"/>
  <c r="AL12" i="1"/>
  <c r="AS6" i="1"/>
  <c r="AW5" i="1"/>
  <c r="AA5" i="1"/>
  <c r="AJ6" i="1"/>
  <c r="AP5" i="1"/>
  <c r="AV4" i="1"/>
  <c r="AN4" i="1"/>
  <c r="AQ4" i="1"/>
  <c r="X4" i="1"/>
  <c r="AJ4" i="1"/>
  <c r="AO6" i="1"/>
  <c r="AP4" i="1"/>
  <c r="AV6" i="1"/>
  <c r="AV5" i="1"/>
  <c r="AQ6" i="1"/>
  <c r="AS5" i="1"/>
  <c r="X5" i="1"/>
  <c r="Z5" i="1"/>
  <c r="Y6" i="1"/>
  <c r="AN5" i="1"/>
  <c r="AM5" i="1"/>
  <c r="AS4" i="1"/>
  <c r="AU5" i="1"/>
  <c r="AW4" i="1"/>
  <c r="AU6" i="1"/>
  <c r="AQ5" i="1"/>
  <c r="AB5" i="1"/>
  <c r="X6" i="1"/>
  <c r="AM6" i="1"/>
  <c r="AK5" i="1"/>
  <c r="AU4" i="1"/>
  <c r="W4" i="1"/>
  <c r="W5" i="1"/>
  <c r="AT6" i="1"/>
  <c r="AR6" i="1"/>
  <c r="AT5" i="1"/>
  <c r="Z6" i="1"/>
  <c r="W6" i="1"/>
  <c r="AL6" i="1"/>
  <c r="AP6" i="1"/>
  <c r="AJ5" i="1"/>
  <c r="AR4" i="1"/>
  <c r="AO4" i="1"/>
  <c r="Z4" i="1"/>
  <c r="AW6" i="1"/>
  <c r="AR5" i="1"/>
  <c r="Y5" i="1"/>
  <c r="V5" i="1"/>
  <c r="AB6" i="1"/>
  <c r="AN6" i="1"/>
  <c r="AK6" i="1"/>
  <c r="AL5" i="1"/>
  <c r="AT4" i="1"/>
  <c r="AL4" i="1"/>
  <c r="Y4" i="1"/>
  <c r="AA4" i="1"/>
  <c r="AK4" i="1"/>
  <c r="AM4" i="1"/>
  <c r="AB4" i="1"/>
  <c r="AA6" i="1"/>
  <c r="V6" i="1"/>
  <c r="AO5" i="1"/>
  <c r="V4" i="1"/>
  <c r="I12" i="2" l="1"/>
  <c r="I22" i="2"/>
  <c r="G12" i="2"/>
  <c r="G22" i="2"/>
  <c r="J12" i="2"/>
  <c r="J22" i="2"/>
  <c r="E12" i="2"/>
  <c r="E22" i="2"/>
  <c r="H12" i="2"/>
  <c r="H22" i="2"/>
  <c r="F12" i="2"/>
  <c r="F22" i="2"/>
  <c r="D12" i="2"/>
  <c r="D22" i="2"/>
  <c r="AB3" i="1"/>
  <c r="V3" i="1"/>
  <c r="AA3" i="1"/>
  <c r="Y3" i="1"/>
  <c r="W3" i="1"/>
  <c r="Z3" i="1"/>
  <c r="X3" i="1"/>
  <c r="AP3" i="1"/>
  <c r="AM3" i="1"/>
  <c r="AO3" i="1"/>
  <c r="AN3" i="1"/>
  <c r="AJ3" i="1"/>
  <c r="AL3" i="1"/>
  <c r="AK3" i="1"/>
  <c r="AQ3" i="1"/>
  <c r="AW3" i="1"/>
  <c r="AV3" i="1"/>
  <c r="AU3" i="1"/>
  <c r="AT3" i="1"/>
  <c r="AR3" i="1"/>
  <c r="AS3" i="1"/>
  <c r="I16" i="2" l="1"/>
  <c r="I26" i="2"/>
  <c r="J16" i="2"/>
  <c r="J26" i="2"/>
  <c r="I15" i="2"/>
  <c r="I25" i="2"/>
  <c r="G13" i="2"/>
  <c r="G23" i="2"/>
  <c r="E16" i="2"/>
  <c r="E26" i="2"/>
  <c r="E15" i="2"/>
  <c r="E25" i="2"/>
  <c r="J15" i="2"/>
  <c r="J25" i="2"/>
  <c r="F16" i="2"/>
  <c r="F26" i="2"/>
  <c r="G15" i="2"/>
  <c r="G25" i="2"/>
  <c r="I13" i="2"/>
  <c r="I23" i="2"/>
  <c r="G16" i="2"/>
  <c r="G26" i="2"/>
  <c r="F15" i="2"/>
  <c r="F25" i="2"/>
  <c r="F13" i="2"/>
  <c r="F23" i="2"/>
  <c r="J13" i="2"/>
  <c r="J23" i="2"/>
  <c r="H16" i="2"/>
  <c r="H26" i="2"/>
  <c r="H13" i="2"/>
  <c r="H23" i="2"/>
  <c r="H15" i="2"/>
  <c r="H25" i="2"/>
  <c r="E13" i="2"/>
  <c r="E23" i="2"/>
  <c r="D16" i="2"/>
  <c r="D26" i="2"/>
  <c r="D15" i="2"/>
  <c r="D25" i="2"/>
  <c r="D13" i="2"/>
  <c r="D23" i="2"/>
  <c r="AC1" i="8" l="1"/>
  <c r="AC1" i="1"/>
  <c r="AD4" i="8"/>
  <c r="AG4" i="8"/>
  <c r="AE4" i="8"/>
  <c r="AD6" i="8"/>
  <c r="AC6" i="8"/>
  <c r="AI5" i="8"/>
  <c r="AI6" i="8"/>
  <c r="AC5" i="8"/>
  <c r="AG6" i="8"/>
  <c r="AF4" i="8"/>
  <c r="AC4" i="8"/>
  <c r="AI4" i="8"/>
  <c r="AH6" i="8"/>
  <c r="AF5" i="8"/>
  <c r="AE5" i="8"/>
  <c r="AH4" i="8"/>
  <c r="AE6" i="8"/>
  <c r="AF6" i="8"/>
  <c r="AD5" i="8"/>
  <c r="AH5" i="8"/>
  <c r="AG5" i="8"/>
  <c r="AG15" i="8"/>
  <c r="AI15" i="8"/>
  <c r="AD13" i="8"/>
  <c r="AI7" i="8"/>
  <c r="AE8" i="8"/>
  <c r="AI9" i="8"/>
  <c r="AG12" i="8"/>
  <c r="AD26" i="8"/>
  <c r="AD25" i="8"/>
  <c r="AF16" i="8"/>
  <c r="AH16" i="8"/>
  <c r="AH11" i="8"/>
  <c r="AH31" i="8"/>
  <c r="AI31" i="8"/>
  <c r="AC27" i="8"/>
  <c r="AF22" i="8"/>
  <c r="AC13" i="8"/>
  <c r="AE13" i="8"/>
  <c r="AG7" i="8"/>
  <c r="AH7" i="8"/>
  <c r="AE9" i="8"/>
  <c r="AC12" i="8"/>
  <c r="AG18" i="8"/>
  <c r="AE20" i="8"/>
  <c r="AI14" i="8"/>
  <c r="AE14" i="8"/>
  <c r="AI16" i="8"/>
  <c r="AH21" i="8"/>
  <c r="AH17" i="8"/>
  <c r="AF23" i="8"/>
  <c r="AC23" i="8"/>
  <c r="AC38" i="8"/>
  <c r="AE38" i="8"/>
  <c r="AF24" i="8"/>
  <c r="AD37" i="8"/>
  <c r="AE32" i="8"/>
  <c r="AG32" i="8"/>
  <c r="AF32" i="8"/>
  <c r="AG28" i="8"/>
  <c r="AH15" i="8"/>
  <c r="AI13" i="8"/>
  <c r="AG13" i="8"/>
  <c r="AH13" i="8"/>
  <c r="AE7" i="8"/>
  <c r="AC8" i="8"/>
  <c r="AC9" i="8"/>
  <c r="AI10" i="8"/>
  <c r="AC10" i="8"/>
  <c r="AF19" i="8"/>
  <c r="AD19" i="8"/>
  <c r="AD12" i="8"/>
  <c r="AF12" i="8"/>
  <c r="AH12" i="8"/>
  <c r="AI12" i="8"/>
  <c r="AC18" i="8"/>
  <c r="AF20" i="8"/>
  <c r="AE26" i="8"/>
  <c r="AF26" i="8"/>
  <c r="AE25" i="8"/>
  <c r="AC16" i="8"/>
  <c r="AH23" i="8"/>
  <c r="AI23" i="8"/>
  <c r="AC29" i="8"/>
  <c r="AF38" i="8"/>
  <c r="AC24" i="8"/>
  <c r="AD24" i="8"/>
  <c r="AF37" i="8"/>
  <c r="AC37" i="8"/>
  <c r="AD8" i="8"/>
  <c r="AI8" i="8"/>
  <c r="AH9" i="8"/>
  <c r="AD10" i="8"/>
  <c r="AE10" i="8"/>
  <c r="AC19" i="8"/>
  <c r="AE12" i="8"/>
  <c r="AD18" i="8"/>
  <c r="AF18" i="8"/>
  <c r="AH18" i="8"/>
  <c r="AI18" i="8"/>
  <c r="AG20" i="8"/>
  <c r="AH20" i="8"/>
  <c r="AI26" i="8"/>
  <c r="AG26" i="8"/>
  <c r="AH26" i="8"/>
  <c r="AD14" i="8"/>
  <c r="AF14" i="8"/>
  <c r="AG14" i="8"/>
  <c r="AD21" i="8"/>
  <c r="AE11" i="8"/>
  <c r="AC11" i="8"/>
  <c r="AD11" i="8"/>
  <c r="AG23" i="8"/>
  <c r="AD29" i="8"/>
  <c r="AE29" i="8"/>
  <c r="AF29" i="8"/>
  <c r="AG29" i="8"/>
  <c r="AH29" i="8"/>
  <c r="AI29" i="8"/>
  <c r="AG38" i="8"/>
  <c r="AH38" i="8"/>
  <c r="AI24" i="8"/>
  <c r="AG24" i="8"/>
  <c r="AH24" i="8"/>
  <c r="AH37" i="8"/>
  <c r="AI37" i="8"/>
  <c r="AG37" i="8"/>
  <c r="AD32" i="8"/>
  <c r="AH27" i="8"/>
  <c r="AD27" i="8"/>
  <c r="AG22" i="8"/>
  <c r="AF13" i="8"/>
  <c r="AD7" i="8"/>
  <c r="AD9" i="8"/>
  <c r="AG10" i="8"/>
  <c r="AH10" i="8"/>
  <c r="AH19" i="8"/>
  <c r="AI19" i="8"/>
  <c r="AG19" i="8"/>
  <c r="AE18" i="8"/>
  <c r="AD20" i="8"/>
  <c r="AC20" i="8"/>
  <c r="AI20" i="8"/>
  <c r="AC26" i="8"/>
  <c r="AH14" i="8"/>
  <c r="AC25" i="8"/>
  <c r="AF25" i="8"/>
  <c r="AG25" i="8"/>
  <c r="AC21" i="8"/>
  <c r="AE21" i="8"/>
  <c r="AG11" i="8"/>
  <c r="AI11" i="8"/>
  <c r="AE17" i="8"/>
  <c r="AC17" i="8"/>
  <c r="AD17" i="8"/>
  <c r="AD23" i="8"/>
  <c r="AE23" i="8"/>
  <c r="AD38" i="8"/>
  <c r="AI38" i="8"/>
  <c r="AE24" i="8"/>
  <c r="AC30" i="8"/>
  <c r="AD30" i="8"/>
  <c r="AE30" i="8"/>
  <c r="AF30" i="8"/>
  <c r="AG30" i="8"/>
  <c r="AH30" i="8"/>
  <c r="AE37" i="8"/>
  <c r="AH32" i="8"/>
  <c r="AF27" i="8"/>
  <c r="AG27" i="8"/>
  <c r="AE22" i="8"/>
  <c r="AD15" i="8"/>
  <c r="AC15" i="8"/>
  <c r="AE15" i="8"/>
  <c r="AF15" i="8"/>
  <c r="AC7" i="8"/>
  <c r="AF7" i="8"/>
  <c r="AH8" i="8"/>
  <c r="AF8" i="8"/>
  <c r="AG8" i="8"/>
  <c r="AG9" i="8"/>
  <c r="AF9" i="8"/>
  <c r="AF10" i="8"/>
  <c r="AE19" i="8"/>
  <c r="AC14" i="8"/>
  <c r="AH25" i="8"/>
  <c r="AI25" i="8"/>
  <c r="AG16" i="8"/>
  <c r="AD16" i="8"/>
  <c r="AE16" i="8"/>
  <c r="AI21" i="8"/>
  <c r="AF21" i="8"/>
  <c r="AG21" i="8"/>
  <c r="AF11" i="8"/>
  <c r="AF17" i="8"/>
  <c r="AG17" i="8"/>
  <c r="AI17" i="8"/>
  <c r="AI30" i="8"/>
  <c r="AC31" i="8"/>
  <c r="AD31" i="8"/>
  <c r="AE31" i="8"/>
  <c r="AF31" i="8"/>
  <c r="AG31" i="8"/>
  <c r="AC32" i="8"/>
  <c r="AI32" i="8"/>
  <c r="AI27" i="8"/>
  <c r="AI22" i="8"/>
  <c r="AC28" i="8"/>
  <c r="AF33" i="8"/>
  <c r="AG33" i="8"/>
  <c r="AF39" i="8"/>
  <c r="AG39" i="8"/>
  <c r="AH22" i="8"/>
  <c r="AC22" i="8"/>
  <c r="AD22" i="8"/>
  <c r="AF36" i="8"/>
  <c r="AD28" i="8"/>
  <c r="AG35" i="8"/>
  <c r="AI34" i="8"/>
  <c r="AG34" i="8"/>
  <c r="AD33" i="8"/>
  <c r="AI33" i="8"/>
  <c r="AD39" i="8"/>
  <c r="AI39" i="8"/>
  <c r="AH28" i="8"/>
  <c r="AI28" i="8"/>
  <c r="AE28" i="8"/>
  <c r="AF28" i="8"/>
  <c r="AE36" i="8"/>
  <c r="AG36" i="8"/>
  <c r="AC36" i="8"/>
  <c r="AD36" i="8"/>
  <c r="AE27" i="8"/>
  <c r="AF35" i="8"/>
  <c r="AH35" i="8"/>
  <c r="AD35" i="8"/>
  <c r="AE35" i="8"/>
  <c r="AC35" i="8"/>
  <c r="AI36" i="8"/>
  <c r="AH36" i="8"/>
  <c r="AH34" i="8"/>
  <c r="AC34" i="8"/>
  <c r="AD34" i="8"/>
  <c r="AC33" i="8"/>
  <c r="AH33" i="8"/>
  <c r="AE33" i="8"/>
  <c r="AC39" i="8"/>
  <c r="AH39" i="8"/>
  <c r="AE39" i="8"/>
  <c r="AI35" i="8"/>
  <c r="AE34" i="8"/>
  <c r="AF34" i="8"/>
  <c r="AI6" i="1"/>
  <c r="AE4" i="1"/>
  <c r="AH6" i="1"/>
  <c r="AD5" i="1"/>
  <c r="AG5" i="1"/>
  <c r="AC4" i="1"/>
  <c r="AI4" i="1"/>
  <c r="AC6" i="1"/>
  <c r="AG6" i="1"/>
  <c r="AC5" i="1"/>
  <c r="AF4" i="1"/>
  <c r="AF5" i="1"/>
  <c r="AF6" i="1"/>
  <c r="AD6" i="1"/>
  <c r="AG4" i="1"/>
  <c r="AH4" i="1"/>
  <c r="AI5" i="1"/>
  <c r="AE6" i="1"/>
  <c r="AE5" i="1"/>
  <c r="AD4" i="1"/>
  <c r="AH5" i="1"/>
  <c r="AD3" i="1" l="1"/>
  <c r="AH3" i="1"/>
  <c r="AG3" i="1"/>
  <c r="AF3" i="1"/>
  <c r="AI3" i="1"/>
  <c r="AC3" i="1"/>
  <c r="AE3" i="1"/>
  <c r="AH3" i="8"/>
  <c r="AI3" i="8"/>
  <c r="AC3" i="8"/>
  <c r="AF3" i="8"/>
  <c r="AE3" i="8"/>
  <c r="AG3" i="8"/>
  <c r="AD3" i="8"/>
  <c r="D14" i="2" l="1"/>
  <c r="D24" i="2"/>
  <c r="H24" i="2"/>
  <c r="H14" i="2"/>
  <c r="J14" i="2"/>
  <c r="J24" i="2"/>
  <c r="I14" i="2"/>
  <c r="I24" i="2"/>
  <c r="G14" i="2"/>
  <c r="G24" i="2"/>
  <c r="F14" i="2"/>
  <c r="F24" i="2"/>
  <c r="E14" i="2"/>
  <c r="E24" i="2"/>
</calcChain>
</file>

<file path=xl/comments1.xml><?xml version="1.0" encoding="utf-8"?>
<comments xmlns="http://schemas.openxmlformats.org/spreadsheetml/2006/main">
  <authors>
    <author>hjmei</author>
  </authors>
  <commentList>
    <comment ref="D10" authorId="0" shapeId="0">
      <text>
        <r>
          <rPr>
            <sz val="9"/>
            <color indexed="81"/>
            <rFont val="宋体"/>
            <family val="3"/>
            <charset val="134"/>
          </rPr>
          <t>亦可编辑</t>
        </r>
      </text>
    </comment>
    <comment ref="C12" authorId="0" shapeId="0">
      <text>
        <r>
          <rPr>
            <sz val="9"/>
            <color indexed="81"/>
            <rFont val="宋体"/>
            <family val="3"/>
            <charset val="134"/>
          </rPr>
          <t>亦可编辑</t>
        </r>
      </text>
    </comment>
  </commentList>
</comments>
</file>

<file path=xl/comments2.xml><?xml version="1.0" encoding="utf-8"?>
<comments xmlns="http://schemas.openxmlformats.org/spreadsheetml/2006/main">
  <authors>
    <author>hjmei</author>
  </authors>
  <commentList>
    <comment ref="A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宋体"/>
            <family val="3"/>
            <charset val="134"/>
          </rPr>
          <t>将持仓债券代码复制粘贴在</t>
        </r>
        <r>
          <rPr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宋体"/>
            <family val="3"/>
            <charset val="134"/>
          </rPr>
          <t>列</t>
        </r>
        <r>
          <rPr>
            <sz val="9"/>
            <color indexed="81"/>
            <rFont val="Tahoma"/>
            <family val="2"/>
          </rPr>
          <t xml:space="preserve">
2.</t>
        </r>
        <r>
          <rPr>
            <sz val="9"/>
            <color indexed="81"/>
            <rFont val="宋体"/>
            <family val="3"/>
            <charset val="134"/>
          </rPr>
          <t>将持仓债券导入</t>
        </r>
        <r>
          <rPr>
            <sz val="9"/>
            <color indexed="81"/>
            <rFont val="Tahoma"/>
            <family val="2"/>
          </rPr>
          <t>Wind</t>
        </r>
        <r>
          <rPr>
            <sz val="9"/>
            <color indexed="81"/>
            <rFont val="宋体"/>
            <family val="3"/>
            <charset val="134"/>
          </rPr>
          <t>自选板块后，可用</t>
        </r>
        <r>
          <rPr>
            <sz val="9"/>
            <color indexed="81"/>
            <rFont val="Tahoma"/>
            <family val="2"/>
          </rPr>
          <t>Wind Excel</t>
        </r>
        <r>
          <rPr>
            <sz val="9"/>
            <color indexed="81"/>
            <rFont val="宋体"/>
            <family val="3"/>
            <charset val="134"/>
          </rPr>
          <t xml:space="preserve">插件中插入代码功能直接插入。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宋体"/>
            <family val="3"/>
            <charset val="134"/>
          </rPr>
          <t>在</t>
        </r>
        <r>
          <rPr>
            <sz val="9"/>
            <color indexed="81"/>
            <rFont val="Tahoma"/>
            <family val="2"/>
          </rPr>
          <t>Wind</t>
        </r>
        <r>
          <rPr>
            <sz val="9"/>
            <color indexed="81"/>
            <rFont val="宋体"/>
            <family val="3"/>
            <charset val="134"/>
          </rPr>
          <t>债券筛选模块中建立自己的债券筛选模板，通过</t>
        </r>
        <r>
          <rPr>
            <sz val="9"/>
            <color indexed="81"/>
            <rFont val="Tahoma"/>
            <family val="2"/>
          </rPr>
          <t>Wind Excel</t>
        </r>
        <r>
          <rPr>
            <sz val="9"/>
            <color indexed="81"/>
            <rFont val="宋体"/>
            <family val="3"/>
            <charset val="134"/>
          </rPr>
          <t>插件的证券筛选功能实现动态代码更新</t>
        </r>
      </text>
    </comment>
    <comment ref="H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</commentList>
</comments>
</file>

<file path=xl/comments3.xml><?xml version="1.0" encoding="utf-8"?>
<comments xmlns="http://schemas.openxmlformats.org/spreadsheetml/2006/main">
  <authors>
    <author>hjmei</author>
  </authors>
  <commentList>
    <comment ref="A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宋体"/>
            <family val="3"/>
            <charset val="134"/>
          </rPr>
          <t>将持仓债券代码复制粘贴在</t>
        </r>
        <r>
          <rPr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宋体"/>
            <family val="3"/>
            <charset val="134"/>
          </rPr>
          <t>列</t>
        </r>
        <r>
          <rPr>
            <sz val="9"/>
            <color indexed="81"/>
            <rFont val="Tahoma"/>
            <family val="2"/>
          </rPr>
          <t xml:space="preserve">
2.</t>
        </r>
        <r>
          <rPr>
            <sz val="9"/>
            <color indexed="81"/>
            <rFont val="宋体"/>
            <family val="3"/>
            <charset val="134"/>
          </rPr>
          <t>将持仓债券导入</t>
        </r>
        <r>
          <rPr>
            <sz val="9"/>
            <color indexed="81"/>
            <rFont val="Tahoma"/>
            <family val="2"/>
          </rPr>
          <t>Wind</t>
        </r>
        <r>
          <rPr>
            <sz val="9"/>
            <color indexed="81"/>
            <rFont val="宋体"/>
            <family val="3"/>
            <charset val="134"/>
          </rPr>
          <t>自选板块后，可用</t>
        </r>
        <r>
          <rPr>
            <sz val="9"/>
            <color indexed="81"/>
            <rFont val="Tahoma"/>
            <family val="2"/>
          </rPr>
          <t>Wind Excel</t>
        </r>
        <r>
          <rPr>
            <sz val="9"/>
            <color indexed="81"/>
            <rFont val="宋体"/>
            <family val="3"/>
            <charset val="134"/>
          </rPr>
          <t xml:space="preserve">插件中插入代码功能直接插入。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宋体"/>
            <family val="3"/>
            <charset val="134"/>
          </rPr>
          <t>在</t>
        </r>
        <r>
          <rPr>
            <sz val="9"/>
            <color indexed="81"/>
            <rFont val="Tahoma"/>
            <family val="2"/>
          </rPr>
          <t>Wind</t>
        </r>
        <r>
          <rPr>
            <sz val="9"/>
            <color indexed="81"/>
            <rFont val="宋体"/>
            <family val="3"/>
            <charset val="134"/>
          </rPr>
          <t>债券筛选模块中建立自己的债券筛选模板，通过</t>
        </r>
        <r>
          <rPr>
            <sz val="9"/>
            <color indexed="81"/>
            <rFont val="Tahoma"/>
            <family val="2"/>
          </rPr>
          <t>Wind Excel</t>
        </r>
        <r>
          <rPr>
            <sz val="9"/>
            <color indexed="81"/>
            <rFont val="宋体"/>
            <family val="3"/>
            <charset val="134"/>
          </rPr>
          <t>插件的证券筛选功能实现动态代码更新</t>
        </r>
      </text>
    </comment>
    <comment ref="H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5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6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9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1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1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1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1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1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15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16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1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1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19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2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2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2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2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2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25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26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2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2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29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3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3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3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3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3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35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36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3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3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  <comment ref="H39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输入持仓
默认是按照持仓面值均为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万元计算收益率和损益</t>
        </r>
      </text>
    </comment>
  </commentList>
</comments>
</file>

<file path=xl/sharedStrings.xml><?xml version="1.0" encoding="utf-8"?>
<sst xmlns="http://schemas.openxmlformats.org/spreadsheetml/2006/main" count="91" uniqueCount="54">
  <si>
    <t>活跃城投债</t>
    <phoneticPr fontId="1" type="noConversion"/>
  </si>
  <si>
    <t>全价</t>
    <phoneticPr fontId="1" type="noConversion"/>
  </si>
  <si>
    <t>净价</t>
    <phoneticPr fontId="1" type="noConversion"/>
  </si>
  <si>
    <t>加权平均YTM</t>
    <phoneticPr fontId="1" type="noConversion"/>
  </si>
  <si>
    <t>中债估值</t>
    <phoneticPr fontId="1" type="noConversion"/>
  </si>
  <si>
    <t>BP</t>
    <phoneticPr fontId="1" type="noConversion"/>
  </si>
  <si>
    <t>3M</t>
    <phoneticPr fontId="1" type="noConversion"/>
  </si>
  <si>
    <t>1Y</t>
    <phoneticPr fontId="1" type="noConversion"/>
  </si>
  <si>
    <t>1W</t>
    <phoneticPr fontId="1" type="noConversion"/>
  </si>
  <si>
    <t>单位:%</t>
    <phoneticPr fontId="1" type="noConversion"/>
  </si>
  <si>
    <t>单位:万元</t>
    <phoneticPr fontId="1" type="noConversion"/>
  </si>
  <si>
    <t>分析基准日</t>
    <phoneticPr fontId="4" type="noConversion"/>
  </si>
  <si>
    <t>基准日YTM</t>
    <phoneticPr fontId="4" type="noConversion"/>
  </si>
  <si>
    <t>分析价格</t>
    <phoneticPr fontId="4" type="noConversion"/>
  </si>
  <si>
    <t>1M</t>
    <phoneticPr fontId="1" type="noConversion"/>
  </si>
  <si>
    <t>6M</t>
    <phoneticPr fontId="1" type="noConversion"/>
  </si>
  <si>
    <t>持有期损益</t>
    <phoneticPr fontId="1" type="noConversion"/>
  </si>
  <si>
    <t>持有期收益率</t>
    <phoneticPr fontId="1" type="noConversion"/>
  </si>
  <si>
    <t>自定义输入</t>
    <phoneticPr fontId="1" type="noConversion"/>
  </si>
  <si>
    <t>前日加权均价/YTM</t>
    <phoneticPr fontId="1" type="noConversion"/>
  </si>
  <si>
    <t>中债估价/YTM</t>
    <phoneticPr fontId="1" type="noConversion"/>
  </si>
  <si>
    <t>自定义</t>
    <phoneticPr fontId="1" type="noConversion"/>
  </si>
  <si>
    <t>持仓总额</t>
    <phoneticPr fontId="1" type="noConversion"/>
  </si>
  <si>
    <t>输入YTM</t>
    <phoneticPr fontId="1" type="noConversion"/>
  </si>
  <si>
    <t>持仓债券收益率情景分析</t>
  </si>
  <si>
    <t>银行间中债交易所中证</t>
    <phoneticPr fontId="1" type="noConversion"/>
  </si>
  <si>
    <t>交易场所</t>
    <phoneticPr fontId="1" type="noConversion"/>
  </si>
  <si>
    <t>自定义输入</t>
    <phoneticPr fontId="1" type="noConversion"/>
  </si>
  <si>
    <t>持仓(百万)</t>
    <phoneticPr fontId="1" type="noConversion"/>
  </si>
  <si>
    <t>中证估价/YTM</t>
    <phoneticPr fontId="1" type="noConversion"/>
  </si>
  <si>
    <t>混合估值/YTM</t>
    <phoneticPr fontId="1" type="noConversion"/>
  </si>
  <si>
    <t>输入YTM</t>
    <phoneticPr fontId="1" type="noConversion"/>
  </si>
  <si>
    <t>220010.IB</t>
    <phoneticPr fontId="1" type="noConversion"/>
  </si>
  <si>
    <t>220205.IB</t>
    <phoneticPr fontId="1" type="noConversion"/>
  </si>
  <si>
    <t>251245.SH</t>
    <phoneticPr fontId="1" type="noConversion"/>
  </si>
  <si>
    <t>032501062.IB</t>
  </si>
  <si>
    <t>032380735.IB</t>
  </si>
  <si>
    <t>102484859.IB</t>
  </si>
  <si>
    <t>102482714.IB</t>
  </si>
  <si>
    <t>102582457.IB</t>
  </si>
  <si>
    <t>032580029.IB</t>
  </si>
  <si>
    <t>280239.SH</t>
  </si>
  <si>
    <t>250919.SH</t>
  </si>
  <si>
    <t>251439.SH</t>
  </si>
  <si>
    <t>257815.SH</t>
  </si>
  <si>
    <t>177971.SH</t>
  </si>
  <si>
    <t>251123.SH</t>
  </si>
  <si>
    <t>134226.SZ</t>
  </si>
  <si>
    <t>114913.SZ</t>
  </si>
  <si>
    <t>134420.SZ</t>
  </si>
  <si>
    <t>134478.SZ</t>
  </si>
  <si>
    <t>134100.SZ</t>
  </si>
  <si>
    <t>032580205.IB</t>
  </si>
  <si>
    <t>250919.SH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</si>
</sst>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76" formatCode="0.00_ "/>
    <numFmt numFmtId="177" formatCode="0.0000_ ;[Red]\-0.0000\ "/>
    <numFmt numFmtId="178" formatCode="0.00_ ;[Red]\-0.00\ "/>
    <numFmt numFmtId="179" formatCode="0_ ;[Red]\-0\ "/>
    <numFmt numFmtId="180" formatCode="yyyy/m/d;@"/>
    <numFmt numFmtId="181" formatCode="0.0000_ "/>
    <numFmt numFmtId="182" formatCode="0.00_);[Red]\(0.00\)"/>
    <numFmt numFmtId="183" formatCode="0.0000_);[Red]\(0.0000\)"/>
    <numFmt numFmtId="186" formatCode="0.00000"/>
    <numFmt numFmtId="187" formatCode="0.0000"/>
  </numFmts>
  <fonts count="19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color indexed="81"/>
      <name val="Tahoma"/>
      <family val="2"/>
    </font>
    <font>
      <b/>
      <sz val="10"/>
      <color indexed="9"/>
      <name val="宋体"/>
      <family val="3"/>
      <charset val="134"/>
    </font>
    <font>
      <sz val="9"/>
      <name val="宋体"/>
      <family val="3"/>
      <charset val="134"/>
    </font>
    <font>
      <sz val="9"/>
      <color indexed="9"/>
      <name val="宋体"/>
      <family val="3"/>
      <charset val="134"/>
    </font>
    <font>
      <sz val="12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10"/>
      <color theme="1" tint="4.9989318521683403E-2"/>
      <name val="Arial"/>
      <family val="2"/>
    </font>
    <font>
      <sz val="9"/>
      <name val="宋体"/>
      <family val="3"/>
      <charset val="134"/>
      <scheme val="minor"/>
    </font>
    <font>
      <sz val="12"/>
      <name val="微软雅黑"/>
      <family val="2"/>
      <charset val="134"/>
    </font>
    <font>
      <sz val="11"/>
      <color rgb="FFFF0000"/>
      <name val="Arial Unicode MS"/>
      <family val="2"/>
      <charset val="134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1"/>
      <color theme="0"/>
      <name val="Arial Unicode MS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279B5"/>
        <bgColor indexed="64"/>
      </patternFill>
    </fill>
    <fill>
      <patternFill patternType="solid">
        <fgColor rgb="FFF0ECE1"/>
        <bgColor indexed="64"/>
      </patternFill>
    </fill>
    <fill>
      <patternFill patternType="solid">
        <fgColor rgb="FFC8D8ED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/>
  </cellStyleXfs>
  <cellXfs count="43">
    <xf numFmtId="0" fontId="0" fillId="0" borderId="0" xfId="0">
      <alignment vertical="center"/>
    </xf>
    <xf numFmtId="0" fontId="10" fillId="0" borderId="0" xfId="0" applyFont="1">
      <alignment vertical="center"/>
    </xf>
    <xf numFmtId="0" fontId="10" fillId="0" borderId="1" xfId="0" applyFont="1" applyBorder="1">
      <alignment vertical="center"/>
    </xf>
    <xf numFmtId="0" fontId="11" fillId="2" borderId="0" xfId="0" applyFont="1" applyFill="1">
      <alignment vertical="center"/>
    </xf>
    <xf numFmtId="0" fontId="11" fillId="2" borderId="0" xfId="0" applyFont="1" applyFill="1" applyProtection="1">
      <alignment vertical="center"/>
      <protection locked="0"/>
    </xf>
    <xf numFmtId="0" fontId="3" fillId="3" borderId="3" xfId="0" applyFont="1" applyFill="1" applyBorder="1" applyAlignment="1">
      <alignment horizontal="center" vertical="center"/>
    </xf>
    <xf numFmtId="180" fontId="12" fillId="4" borderId="2" xfId="0" applyNumberFormat="1" applyFont="1" applyFill="1" applyBorder="1" applyAlignment="1">
      <alignment horizontal="right" vertical="center"/>
    </xf>
    <xf numFmtId="177" fontId="12" fillId="5" borderId="2" xfId="0" applyNumberFormat="1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center" vertical="center"/>
    </xf>
    <xf numFmtId="178" fontId="12" fillId="5" borderId="2" xfId="0" applyNumberFormat="1" applyFont="1" applyFill="1" applyBorder="1" applyAlignment="1">
      <alignment horizontal="right" vertical="center"/>
    </xf>
    <xf numFmtId="0" fontId="6" fillId="0" borderId="0" xfId="1"/>
    <xf numFmtId="181" fontId="3" fillId="3" borderId="3" xfId="0" applyNumberFormat="1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  <xf numFmtId="180" fontId="10" fillId="0" borderId="0" xfId="0" applyNumberFormat="1" applyFont="1">
      <alignment vertical="center"/>
    </xf>
    <xf numFmtId="180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2" fontId="3" fillId="3" borderId="3" xfId="0" applyNumberFormat="1" applyFont="1" applyFill="1" applyBorder="1" applyAlignment="1">
      <alignment horizontal="center" vertical="center"/>
    </xf>
    <xf numFmtId="182" fontId="10" fillId="0" borderId="0" xfId="0" applyNumberFormat="1" applyFont="1">
      <alignment vertical="center"/>
    </xf>
    <xf numFmtId="179" fontId="12" fillId="4" borderId="2" xfId="0" applyNumberFormat="1" applyFont="1" applyFill="1" applyBorder="1" applyAlignment="1" applyProtection="1">
      <alignment horizontal="right" vertical="center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180" fontId="12" fillId="4" borderId="2" xfId="0" applyNumberFormat="1" applyFont="1" applyFill="1" applyBorder="1" applyAlignment="1" applyProtection="1">
      <alignment horizontal="right" vertical="center"/>
      <protection locked="0"/>
    </xf>
    <xf numFmtId="182" fontId="12" fillId="4" borderId="2" xfId="0" applyNumberFormat="1" applyFont="1" applyFill="1" applyBorder="1" applyAlignment="1" applyProtection="1">
      <alignment horizontal="right" vertical="center"/>
      <protection locked="0"/>
    </xf>
    <xf numFmtId="183" fontId="12" fillId="4" borderId="2" xfId="0" applyNumberFormat="1" applyFont="1" applyFill="1" applyBorder="1" applyAlignment="1" applyProtection="1">
      <alignment horizontal="right" vertical="center"/>
      <protection locked="0"/>
    </xf>
    <xf numFmtId="0" fontId="10" fillId="2" borderId="0" xfId="0" applyFont="1" applyFill="1">
      <alignment vertical="center"/>
    </xf>
    <xf numFmtId="0" fontId="14" fillId="0" borderId="0" xfId="0" applyFont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0" fontId="3" fillId="3" borderId="3" xfId="0" applyNumberFormat="1" applyFont="1" applyFill="1" applyBorder="1" applyAlignment="1">
      <alignment horizontal="center" vertical="center"/>
    </xf>
    <xf numFmtId="177" fontId="16" fillId="5" borderId="2" xfId="0" applyNumberFormat="1" applyFont="1" applyFill="1" applyBorder="1" applyAlignment="1">
      <alignment horizontal="right" vertical="center"/>
    </xf>
    <xf numFmtId="177" fontId="17" fillId="3" borderId="3" xfId="0" applyNumberFormat="1" applyFont="1" applyFill="1" applyBorder="1" applyAlignment="1">
      <alignment horizontal="center" vertical="center"/>
    </xf>
    <xf numFmtId="181" fontId="17" fillId="3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186" fontId="12" fillId="5" borderId="2" xfId="0" applyNumberFormat="1" applyFont="1" applyFill="1" applyBorder="1" applyAlignment="1">
      <alignment horizontal="right" vertical="center"/>
    </xf>
    <xf numFmtId="187" fontId="12" fillId="5" borderId="2" xfId="0" applyNumberFormat="1" applyFont="1" applyFill="1" applyBorder="1" applyAlignment="1">
      <alignment horizontal="right" vertical="center"/>
    </xf>
    <xf numFmtId="0" fontId="18" fillId="2" borderId="0" xfId="0" applyFont="1" applyFill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ctrlProps/ctrlProp1.xml><?xml version="1.0" encoding="utf-8"?>
<formControlPr xmlns="http://schemas.microsoft.com/office/spreadsheetml/2009/9/main" objectType="Drop" dropLines="2" dropStyle="combo" dx="22" fmlaLink="$D$7" fmlaRange="$I$6:$I$7" noThreeD="1" sel="1" val="0"/>
</file>

<file path=xl/ctrlProps/ctrlProp2.xml><?xml version="1.0" encoding="utf-8"?>
<formControlPr xmlns="http://schemas.microsoft.com/office/spreadsheetml/2009/9/main" objectType="Drop" dropLines="4" dropStyle="combo" dx="22" fmlaLink="$D$6" fmlaRange="$J$5:$J$8" noThreeD="1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257176</xdr:colOff>
      <xdr:row>0</xdr:row>
      <xdr:rowOff>0</xdr:rowOff>
    </xdr:from>
    <xdr:to>
      <xdr:col>10</xdr:col>
      <xdr:colOff>9526</xdr:colOff>
      <xdr:row>3</xdr:row>
      <xdr:rowOff>12900</xdr:rowOff>
    </xdr:to>
    <xdr:sp macro="" textlink="">
      <xdr:nvSpPr>
        <xdr:cNvPr id="3" name="com_bar"/>
        <xdr:cNvSpPr>
          <a:spLocks noChangeArrowheads="1"/>
        </xdr:cNvSpPr>
      </xdr:nvSpPr>
      <xdr:spPr bwMode="auto">
        <a:xfrm>
          <a:off x="2276476" y="0"/>
          <a:ext cx="7143750" cy="527250"/>
        </a:xfrm>
        <a:prstGeom prst="rect">
          <a:avLst/>
        </a:prstGeom>
        <a:gradFill>
          <a:gsLst>
            <a:gs pos="0">
              <a:srgbClr val="043E79"/>
            </a:gs>
            <a:gs pos="100000">
              <a:srgbClr val="4177B5"/>
            </a:gs>
          </a:gsLst>
          <a:lin ang="5400000" scaled="0"/>
        </a:gradFill>
        <a:ln w="9525">
          <a:noFill/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2000" b="1" i="0" u="none" strike="noStrike" baseline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持仓债券收益率情景分析</a:t>
          </a:r>
          <a:endParaRPr lang="en-US" altLang="zh-CN" sz="2000" b="1" i="0" u="none" strike="noStrike" baseline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800100</xdr:colOff>
          <xdr:row>6</xdr:row>
          <xdr:rowOff>0</xdr:rowOff>
        </xdr:from>
        <xdr:to>
          <xdr:col>3</xdr:col>
          <xdr:colOff>1143000</xdr:colOff>
          <xdr:row>6</xdr:row>
          <xdr:rowOff>200025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</xdr:row>
          <xdr:rowOff>0</xdr:rowOff>
        </xdr:from>
        <xdr:to>
          <xdr:col>3</xdr:col>
          <xdr:colOff>1152525</xdr:colOff>
          <xdr:row>5</xdr:row>
          <xdr:rowOff>209550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476250</xdr:colOff>
      <xdr:row>1</xdr:row>
      <xdr:rowOff>28575</xdr:rowOff>
    </xdr:from>
    <xdr:to>
      <xdr:col>2</xdr:col>
      <xdr:colOff>800100</xdr:colOff>
      <xdr:row>3</xdr:row>
      <xdr:rowOff>4555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200025"/>
          <a:ext cx="923925" cy="3188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33</xdr:row>
      <xdr:rowOff>123825</xdr:rowOff>
    </xdr:from>
    <xdr:to>
      <xdr:col>13</xdr:col>
      <xdr:colOff>466725</xdr:colOff>
      <xdr:row>59</xdr:row>
      <xdr:rowOff>123825</xdr:rowOff>
    </xdr:to>
    <xdr:pic>
      <xdr:nvPicPr>
        <xdr:cNvPr id="4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6096000"/>
          <a:ext cx="9048750" cy="470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0</xdr:row>
      <xdr:rowOff>0</xdr:rowOff>
    </xdr:from>
    <xdr:to>
      <xdr:col>13</xdr:col>
      <xdr:colOff>314325</xdr:colOff>
      <xdr:row>29</xdr:row>
      <xdr:rowOff>57150</xdr:rowOff>
    </xdr:to>
    <xdr:pic>
      <xdr:nvPicPr>
        <xdr:cNvPr id="4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0"/>
          <a:ext cx="8886825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85725</xdr:colOff>
      <xdr:row>2</xdr:row>
      <xdr:rowOff>142875</xdr:rowOff>
    </xdr:from>
    <xdr:to>
      <xdr:col>8</xdr:col>
      <xdr:colOff>381000</xdr:colOff>
      <xdr:row>4</xdr:row>
      <xdr:rowOff>38100</xdr:rowOff>
    </xdr:to>
    <xdr:sp macro="" textlink="">
      <xdr:nvSpPr>
        <xdr:cNvPr id="3" name="AutoShape 19"/>
        <xdr:cNvSpPr>
          <a:spLocks noChangeArrowheads="1"/>
        </xdr:cNvSpPr>
      </xdr:nvSpPr>
      <xdr:spPr bwMode="auto">
        <a:xfrm>
          <a:off x="3514725" y="504825"/>
          <a:ext cx="2352675" cy="257175"/>
        </a:xfrm>
        <a:prstGeom prst="wedgeRoundRectCallout">
          <a:avLst>
            <a:gd name="adj1" fmla="val -71740"/>
            <a:gd name="adj2" fmla="val 42292"/>
            <a:gd name="adj3" fmla="val 16667"/>
          </a:avLst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zh-CN" altLang="en-US" sz="1050" b="0" i="0" strike="noStrike">
              <a:solidFill>
                <a:schemeClr val="tx1"/>
              </a:solidFill>
              <a:latin typeface="宋体"/>
              <a:ea typeface="宋体"/>
            </a:rPr>
            <a:t>输入分析基准日</a:t>
          </a:r>
        </a:p>
      </xdr:txBody>
    </xdr:sp>
    <xdr:clientData/>
  </xdr:twoCellAnchor>
  <xdr:twoCellAnchor>
    <xdr:from>
      <xdr:col>5</xdr:col>
      <xdr:colOff>76199</xdr:colOff>
      <xdr:row>5</xdr:row>
      <xdr:rowOff>28576</xdr:rowOff>
    </xdr:from>
    <xdr:to>
      <xdr:col>10</xdr:col>
      <xdr:colOff>323850</xdr:colOff>
      <xdr:row>7</xdr:row>
      <xdr:rowOff>95250</xdr:rowOff>
    </xdr:to>
    <xdr:sp macro="" textlink="">
      <xdr:nvSpPr>
        <xdr:cNvPr id="4" name="AutoShape 20"/>
        <xdr:cNvSpPr>
          <a:spLocks noChangeArrowheads="1"/>
        </xdr:cNvSpPr>
      </xdr:nvSpPr>
      <xdr:spPr bwMode="auto">
        <a:xfrm>
          <a:off x="3505199" y="933451"/>
          <a:ext cx="3676651" cy="428624"/>
        </a:xfrm>
        <a:prstGeom prst="wedgeRoundRectCallout">
          <a:avLst>
            <a:gd name="adj1" fmla="val -66677"/>
            <a:gd name="adj2" fmla="val 16643"/>
            <a:gd name="adj3" fmla="val 16667"/>
          </a:avLst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27432" tIns="18288" rIns="0" bIns="0" anchor="t" upright="1"/>
        <a:lstStyle/>
        <a:p>
          <a:pPr algn="l" rtl="1">
            <a:lnSpc>
              <a:spcPts val="1200"/>
            </a:lnSpc>
            <a:defRPr sz="1000"/>
          </a:pPr>
          <a:r>
            <a:rPr lang="zh-CN" altLang="en-US" sz="1050" b="0" i="0" strike="noStrike">
              <a:solidFill>
                <a:schemeClr val="tx1"/>
              </a:solidFill>
              <a:latin typeface="宋体"/>
              <a:ea typeface="宋体"/>
            </a:rPr>
            <a:t>选择根据分析基准日价格来源：中债、</a:t>
          </a:r>
          <a:r>
            <a:rPr lang="en-US" altLang="zh-CN" sz="1050" b="0" i="0" strike="noStrike">
              <a:solidFill>
                <a:schemeClr val="tx1"/>
              </a:solidFill>
              <a:latin typeface="宋体"/>
              <a:ea typeface="宋体"/>
            </a:rPr>
            <a:t>CFETS</a:t>
          </a:r>
          <a:r>
            <a:rPr lang="zh-CN" altLang="en-US" sz="1050" b="0" i="0" strike="noStrike">
              <a:solidFill>
                <a:schemeClr val="tx1"/>
              </a:solidFill>
              <a:latin typeface="宋体"/>
              <a:ea typeface="宋体"/>
            </a:rPr>
            <a:t>成交均价或自定选择根据净价还是全价作分析。</a:t>
          </a:r>
        </a:p>
      </xdr:txBody>
    </xdr:sp>
    <xdr:clientData/>
  </xdr:twoCellAnchor>
  <xdr:twoCellAnchor>
    <xdr:from>
      <xdr:col>7</xdr:col>
      <xdr:colOff>457200</xdr:colOff>
      <xdr:row>11</xdr:row>
      <xdr:rowOff>28575</xdr:rowOff>
    </xdr:from>
    <xdr:to>
      <xdr:col>12</xdr:col>
      <xdr:colOff>266699</xdr:colOff>
      <xdr:row>16</xdr:row>
      <xdr:rowOff>171450</xdr:rowOff>
    </xdr:to>
    <xdr:sp macro="" textlink="">
      <xdr:nvSpPr>
        <xdr:cNvPr id="5" name="AutoShape 21"/>
        <xdr:cNvSpPr>
          <a:spLocks noChangeArrowheads="1"/>
        </xdr:cNvSpPr>
      </xdr:nvSpPr>
      <xdr:spPr bwMode="auto">
        <a:xfrm>
          <a:off x="5257800" y="2019300"/>
          <a:ext cx="3238499" cy="1047750"/>
        </a:xfrm>
        <a:prstGeom prst="wedgeRoundRectCallout">
          <a:avLst>
            <a:gd name="adj1" fmla="val -60305"/>
            <a:gd name="adj2" fmla="val 43232"/>
            <a:gd name="adj3" fmla="val 16667"/>
          </a:avLst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27432" tIns="18288" rIns="0" bIns="0" anchor="t" upright="1"/>
        <a:lstStyle/>
        <a:p>
          <a:pPr algn="l" rtl="1">
            <a:lnSpc>
              <a:spcPts val="1200"/>
            </a:lnSpc>
            <a:defRPr sz="1000"/>
          </a:pP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持有</a:t>
          </a:r>
          <a:r>
            <a:rPr lang="en-US" altLang="zh-CN" sz="1050" b="0" i="0" strike="noStrike">
              <a:solidFill>
                <a:schemeClr val="tx1"/>
              </a:solidFill>
              <a:latin typeface="宋体"/>
              <a:ea typeface="+mn-ea"/>
            </a:rPr>
            <a:t>1</a:t>
          </a: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周、</a:t>
          </a:r>
          <a:r>
            <a:rPr lang="en-US" altLang="zh-CN" sz="1050" b="0" i="0" strike="noStrike">
              <a:solidFill>
                <a:schemeClr val="tx1"/>
              </a:solidFill>
              <a:latin typeface="宋体"/>
              <a:ea typeface="+mn-ea"/>
            </a:rPr>
            <a:t>1</a:t>
          </a: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月、</a:t>
          </a:r>
          <a:r>
            <a:rPr lang="en-US" altLang="zh-CN" sz="1050" b="0" i="0" strike="noStrike">
              <a:solidFill>
                <a:schemeClr val="tx1"/>
              </a:solidFill>
              <a:latin typeface="宋体"/>
              <a:ea typeface="+mn-ea"/>
            </a:rPr>
            <a:t>3</a:t>
          </a: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月、半年、</a:t>
          </a:r>
          <a:r>
            <a:rPr lang="en-US" altLang="zh-CN" sz="1050" b="0" i="0" strike="noStrike">
              <a:solidFill>
                <a:schemeClr val="tx1"/>
              </a:solidFill>
              <a:latin typeface="宋体"/>
              <a:ea typeface="+mn-ea"/>
            </a:rPr>
            <a:t>1</a:t>
          </a: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年，组合中所有债券收益率由基准日</a:t>
          </a:r>
          <a:r>
            <a:rPr lang="en-US" altLang="zh-CN" sz="1050" b="0" i="0" strike="noStrike">
              <a:solidFill>
                <a:schemeClr val="tx1"/>
              </a:solidFill>
              <a:latin typeface="宋体"/>
              <a:ea typeface="+mn-ea"/>
            </a:rPr>
            <a:t>YTM</a:t>
          </a: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变化相同</a:t>
          </a:r>
          <a:r>
            <a:rPr lang="en-US" altLang="zh-CN" sz="1050" b="0" i="0" strike="noStrike">
              <a:solidFill>
                <a:schemeClr val="tx1"/>
              </a:solidFill>
              <a:latin typeface="宋体"/>
              <a:ea typeface="+mn-ea"/>
            </a:rPr>
            <a:t>BP</a:t>
          </a: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所产生的组合单利年化收益率。</a:t>
          </a:r>
          <a:endParaRPr lang="en-US" altLang="zh-CN" sz="1050" b="0" i="0" strike="noStrike">
            <a:solidFill>
              <a:schemeClr val="tx1"/>
            </a:solidFill>
            <a:latin typeface="宋体"/>
            <a:ea typeface="+mn-ea"/>
          </a:endParaRPr>
        </a:p>
        <a:p>
          <a:pPr algn="l" rtl="1">
            <a:defRPr sz="1000"/>
          </a:pP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下表为相同情景下对应的组合损益。</a:t>
          </a:r>
        </a:p>
      </xdr:txBody>
    </xdr:sp>
    <xdr:clientData/>
  </xdr:twoCellAnchor>
  <xdr:twoCellAnchor>
    <xdr:from>
      <xdr:col>1</xdr:col>
      <xdr:colOff>485775</xdr:colOff>
      <xdr:row>37</xdr:row>
      <xdr:rowOff>123826</xdr:rowOff>
    </xdr:from>
    <xdr:to>
      <xdr:col>6</xdr:col>
      <xdr:colOff>352425</xdr:colOff>
      <xdr:row>46</xdr:row>
      <xdr:rowOff>66675</xdr:rowOff>
    </xdr:to>
    <xdr:sp macro="" textlink="">
      <xdr:nvSpPr>
        <xdr:cNvPr id="9" name="AutoShape 19"/>
        <xdr:cNvSpPr>
          <a:spLocks noChangeArrowheads="1"/>
        </xdr:cNvSpPr>
      </xdr:nvSpPr>
      <xdr:spPr bwMode="auto">
        <a:xfrm>
          <a:off x="1171575" y="6819901"/>
          <a:ext cx="3295650" cy="1571624"/>
        </a:xfrm>
        <a:prstGeom prst="wedgeRoundRectCallout">
          <a:avLst>
            <a:gd name="adj1" fmla="val -56301"/>
            <a:gd name="adj2" fmla="val -54525"/>
            <a:gd name="adj3" fmla="val 16667"/>
          </a:avLst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altLang="zh-CN" sz="1050" b="0" i="0" strike="noStrike">
              <a:solidFill>
                <a:schemeClr val="tx1"/>
              </a:solidFill>
              <a:latin typeface="宋体"/>
              <a:ea typeface="+mn-ea"/>
            </a:rPr>
            <a:t>1.</a:t>
          </a: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默认的债券选择为证券筛选</a:t>
          </a:r>
          <a:r>
            <a:rPr lang="en-US" altLang="zh-CN" sz="1050" b="0" i="0" strike="noStrike">
              <a:solidFill>
                <a:schemeClr val="tx1"/>
              </a:solidFill>
              <a:latin typeface="宋体"/>
              <a:ea typeface="+mn-ea"/>
            </a:rPr>
            <a:t>-</a:t>
          </a: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债券</a:t>
          </a:r>
          <a:r>
            <a:rPr lang="en-US" altLang="zh-CN" sz="1050" b="0" i="0" strike="noStrike">
              <a:solidFill>
                <a:schemeClr val="tx1"/>
              </a:solidFill>
              <a:latin typeface="宋体"/>
              <a:ea typeface="+mn-ea"/>
            </a:rPr>
            <a:t>-</a:t>
          </a: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活跃城投债方案</a:t>
          </a:r>
          <a:r>
            <a:rPr lang="en-US" altLang="zh-CN" sz="1050" b="0" i="0" strike="noStrike">
              <a:solidFill>
                <a:schemeClr val="tx1"/>
              </a:solidFill>
              <a:latin typeface="宋体"/>
              <a:ea typeface="+mn-ea"/>
            </a:rPr>
            <a:t>(</a:t>
          </a: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即</a:t>
          </a:r>
          <a:r>
            <a:rPr lang="en-US" altLang="zh-CN" sz="1050" b="0" i="0" strike="noStrike">
              <a:solidFill>
                <a:schemeClr val="tx1"/>
              </a:solidFill>
              <a:latin typeface="宋体"/>
              <a:ea typeface="+mn-ea"/>
            </a:rPr>
            <a:t>WFT</a:t>
          </a: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终端</a:t>
          </a:r>
          <a:r>
            <a:rPr lang="en-US" altLang="zh-CN" sz="1050" b="0" i="0" strike="noStrike">
              <a:solidFill>
                <a:schemeClr val="tx1"/>
              </a:solidFill>
              <a:latin typeface="宋体"/>
              <a:ea typeface="+mn-ea"/>
            </a:rPr>
            <a:t>-</a:t>
          </a: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债券筛选</a:t>
          </a:r>
          <a:r>
            <a:rPr lang="en-US" altLang="zh-CN" sz="1050" b="0" i="0" strike="noStrike">
              <a:solidFill>
                <a:schemeClr val="tx1"/>
              </a:solidFill>
              <a:latin typeface="宋体"/>
              <a:ea typeface="+mn-ea"/>
            </a:rPr>
            <a:t>-Wind</a:t>
          </a: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方案</a:t>
          </a:r>
          <a:r>
            <a:rPr lang="en-US" altLang="zh-CN" sz="1050" b="0" i="0" strike="noStrike">
              <a:solidFill>
                <a:schemeClr val="tx1"/>
              </a:solidFill>
              <a:latin typeface="宋体"/>
              <a:ea typeface="+mn-ea"/>
            </a:rPr>
            <a:t>-</a:t>
          </a: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同名方案</a:t>
          </a:r>
          <a:r>
            <a:rPr lang="en-US" altLang="zh-CN" sz="1050" b="0" i="0" strike="noStrike">
              <a:solidFill>
                <a:schemeClr val="tx1"/>
              </a:solidFill>
              <a:latin typeface="宋体"/>
              <a:ea typeface="+mn-ea"/>
            </a:rPr>
            <a:t>)</a:t>
          </a: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，可自设</a:t>
          </a:r>
          <a:endParaRPr lang="en-US" altLang="zh-CN" sz="1050" b="0" i="0" strike="noStrike">
            <a:solidFill>
              <a:schemeClr val="tx1"/>
            </a:solidFill>
            <a:latin typeface="宋体"/>
            <a:ea typeface="+mn-ea"/>
          </a:endParaRPr>
        </a:p>
        <a:p>
          <a:pPr algn="l" rtl="1">
            <a:defRPr sz="1000"/>
          </a:pP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具体券种，覆盖默认组合。</a:t>
          </a:r>
          <a:endParaRPr lang="en-US" altLang="zh-CN" sz="1050" b="0" i="0" strike="noStrike">
            <a:solidFill>
              <a:schemeClr val="tx1"/>
            </a:solidFill>
            <a:latin typeface="宋体"/>
            <a:ea typeface="+mn-ea"/>
          </a:endParaRPr>
        </a:p>
        <a:p>
          <a:pPr algn="l" rtl="1">
            <a:defRPr sz="1000"/>
          </a:pPr>
          <a:endParaRPr lang="en-US" altLang="zh-CN" sz="1050" b="0" i="0" strike="noStrike">
            <a:solidFill>
              <a:schemeClr val="tx1"/>
            </a:solidFill>
            <a:latin typeface="宋体"/>
            <a:ea typeface="+mn-ea"/>
          </a:endParaRPr>
        </a:p>
        <a:p>
          <a:pPr algn="l" rtl="1">
            <a:defRPr sz="1000"/>
          </a:pPr>
          <a:r>
            <a:rPr lang="en-US" altLang="zh-CN" sz="1050" b="0" i="0" strike="noStrike">
              <a:solidFill>
                <a:schemeClr val="tx1"/>
              </a:solidFill>
              <a:latin typeface="宋体"/>
              <a:ea typeface="+mn-ea"/>
            </a:rPr>
            <a:t>2.</a:t>
          </a: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由于数据量问题，本模板支持不超过</a:t>
          </a:r>
          <a:r>
            <a:rPr lang="en-US" altLang="zh-CN" sz="1050" b="0" i="0" strike="noStrike">
              <a:solidFill>
                <a:schemeClr val="tx1"/>
              </a:solidFill>
              <a:latin typeface="宋体"/>
              <a:ea typeface="+mn-ea"/>
            </a:rPr>
            <a:t>100</a:t>
          </a: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只债券组合，若有更多需求，请联系客户经理。</a:t>
          </a:r>
        </a:p>
      </xdr:txBody>
    </xdr:sp>
    <xdr:clientData/>
  </xdr:twoCellAnchor>
  <xdr:twoCellAnchor>
    <xdr:from>
      <xdr:col>10</xdr:col>
      <xdr:colOff>266700</xdr:colOff>
      <xdr:row>41</xdr:row>
      <xdr:rowOff>47627</xdr:rowOff>
    </xdr:from>
    <xdr:to>
      <xdr:col>15</xdr:col>
      <xdr:colOff>76200</xdr:colOff>
      <xdr:row>44</xdr:row>
      <xdr:rowOff>104776</xdr:rowOff>
    </xdr:to>
    <xdr:sp macro="" textlink="">
      <xdr:nvSpPr>
        <xdr:cNvPr id="11" name="AutoShape 19"/>
        <xdr:cNvSpPr>
          <a:spLocks noChangeArrowheads="1"/>
        </xdr:cNvSpPr>
      </xdr:nvSpPr>
      <xdr:spPr bwMode="auto">
        <a:xfrm>
          <a:off x="7124700" y="7467602"/>
          <a:ext cx="3238500" cy="600074"/>
        </a:xfrm>
        <a:prstGeom prst="wedgeRoundRectCallout">
          <a:avLst>
            <a:gd name="adj1" fmla="val -56301"/>
            <a:gd name="adj2" fmla="val -54525"/>
            <a:gd name="adj3" fmla="val 16667"/>
          </a:avLst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27432" tIns="18288" rIns="0" bIns="0" anchor="t" upright="1"/>
        <a:lstStyle/>
        <a:p>
          <a:pPr algn="l" rtl="1">
            <a:lnSpc>
              <a:spcPts val="1200"/>
            </a:lnSpc>
            <a:defRPr sz="1000"/>
          </a:pPr>
          <a:r>
            <a:rPr lang="en-US" altLang="zh-CN" sz="1050" b="0" i="0" strike="noStrike">
              <a:solidFill>
                <a:schemeClr val="tx1"/>
              </a:solidFill>
              <a:latin typeface="宋体"/>
              <a:ea typeface="+mn-ea"/>
            </a:rPr>
            <a:t>"</a:t>
          </a: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持仓</a:t>
          </a:r>
          <a:r>
            <a:rPr lang="en-US" altLang="zh-CN" sz="1050" b="0" i="0" strike="noStrike">
              <a:solidFill>
                <a:schemeClr val="tx1"/>
              </a:solidFill>
              <a:latin typeface="宋体"/>
              <a:ea typeface="+mn-ea"/>
            </a:rPr>
            <a:t>"</a:t>
          </a: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可自行输入，默认是按照持仓面值均为</a:t>
          </a:r>
          <a:r>
            <a:rPr lang="en-US" altLang="zh-CN" sz="1050" b="0" i="0" strike="noStrike">
              <a:solidFill>
                <a:schemeClr val="tx1"/>
              </a:solidFill>
              <a:latin typeface="宋体"/>
              <a:ea typeface="+mn-ea"/>
            </a:rPr>
            <a:t>100</a:t>
          </a:r>
          <a:r>
            <a:rPr lang="zh-CN" altLang="en-US" sz="1050" b="0" i="0" strike="noStrike">
              <a:solidFill>
                <a:schemeClr val="tx1"/>
              </a:solidFill>
              <a:latin typeface="宋体"/>
              <a:ea typeface="+mn-ea"/>
            </a:rPr>
            <a:t>万元计算收益率和损益。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38101</xdr:rowOff>
    </xdr:from>
    <xdr:to>
      <xdr:col>9</xdr:col>
      <xdr:colOff>238125</xdr:colOff>
      <xdr:row>16</xdr:row>
      <xdr:rowOff>0</xdr:rowOff>
    </xdr:to>
    <xdr:sp macro="" textlink="">
      <xdr:nvSpPr>
        <xdr:cNvPr id="2" name="TextBox 1"/>
        <xdr:cNvSpPr txBox="1">
          <a:spLocks noChangeArrowheads="1"/>
        </xdr:cNvSpPr>
      </xdr:nvSpPr>
      <xdr:spPr bwMode="auto">
        <a:xfrm>
          <a:off x="800100" y="219076"/>
          <a:ext cx="5610225" cy="2676524"/>
        </a:xfrm>
        <a:prstGeom prst="rect">
          <a:avLst/>
        </a:prstGeom>
        <a:solidFill>
          <a:srgbClr val="EBF1DE"/>
        </a:solidFill>
        <a:ln w="9525">
          <a:solidFill>
            <a:srgbClr val="BCBCBC"/>
          </a:solidFill>
          <a:miter lim="800000"/>
          <a:headEnd/>
          <a:tailEnd/>
        </a:ln>
        <a:effectLst>
          <a:outerShdw dist="50800" dir="5400000" algn="ctr" rotWithShape="0">
            <a:srgbClr val="DBEEDD"/>
          </a:outerShdw>
        </a:effectLst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endParaRPr lang="zh-CN" altLang="en-US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lnSpc>
              <a:spcPts val="1900"/>
            </a:lnSpc>
            <a:defRPr sz="1000"/>
          </a:pPr>
          <a:r>
            <a:rPr lang="zh-CN" altLang="en-US" sz="1100" b="0" i="0" strike="noStrike">
              <a:solidFill>
                <a:srgbClr val="000000"/>
              </a:solidFill>
              <a:latin typeface="宋体"/>
              <a:ea typeface="宋体"/>
            </a:rPr>
            <a:t>                             </a:t>
          </a:r>
          <a:r>
            <a:rPr lang="zh-CN" altLang="en-US" sz="1600" b="1" i="0" strike="noStrike">
              <a:solidFill>
                <a:srgbClr val="000000"/>
              </a:solidFill>
              <a:latin typeface="宋体"/>
              <a:ea typeface="宋体"/>
            </a:rPr>
            <a:t>算法说明</a:t>
          </a:r>
          <a:endParaRPr lang="zh-CN" altLang="en-US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endParaRPr lang="zh-CN" altLang="en-US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endParaRPr lang="zh-CN" altLang="en-US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lnSpc>
              <a:spcPts val="1300"/>
            </a:lnSpc>
            <a:defRPr sz="1000"/>
          </a:pPr>
          <a:r>
            <a:rPr lang="en-US" altLang="zh-CN" sz="1100" b="0" i="0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1.</a:t>
          </a:r>
          <a:r>
            <a:rPr lang="zh-CN" altLang="en-US" sz="1100" b="0" i="0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中债估值若无数据，请先核实中债权限</a:t>
          </a:r>
          <a:endParaRPr lang="en-US" altLang="zh-CN" sz="1100" b="0" i="0" strike="noStrike" baseline="0">
            <a:solidFill>
              <a:srgbClr val="000000"/>
            </a:solidFill>
            <a:latin typeface="宋体"/>
            <a:ea typeface="宋体"/>
            <a:cs typeface="+mn-cs"/>
          </a:endParaRPr>
        </a:p>
        <a:p>
          <a:pPr algn="l" rtl="1">
            <a:lnSpc>
              <a:spcPts val="1300"/>
            </a:lnSpc>
            <a:defRPr sz="1000"/>
          </a:pPr>
          <a:r>
            <a:rPr lang="en-US" altLang="zh-CN" sz="1100" b="0" i="0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2.</a:t>
          </a:r>
          <a:r>
            <a:rPr lang="zh-CN" altLang="en-US" sz="1100" b="0" i="0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收益率和价格的互算：算法以央行规则为准，具体为以本币交易系统</a:t>
          </a:r>
          <a:r>
            <a:rPr lang="en-US" altLang="zh-CN" sz="1100" b="0" i="0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CFETS</a:t>
          </a:r>
          <a:r>
            <a:rPr lang="zh-CN" altLang="en-US" sz="1100" b="0" i="0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算法为准。和</a:t>
          </a:r>
          <a:r>
            <a:rPr lang="en-US" altLang="zh-CN" sz="1100" b="0" i="0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WFT</a:t>
          </a:r>
          <a:r>
            <a:rPr lang="zh-CN" altLang="en-US" sz="1100" b="0" i="0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终端</a:t>
          </a:r>
          <a:r>
            <a:rPr lang="en-US" altLang="zh-CN" sz="1100" b="0" i="0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BC1</a:t>
          </a:r>
          <a:r>
            <a:rPr lang="zh-CN" altLang="en-US" sz="1100" b="0" i="0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一致。</a:t>
          </a:r>
          <a:endParaRPr lang="en-US" altLang="zh-CN" sz="1100" b="0" i="0" strike="noStrike" baseline="0">
            <a:solidFill>
              <a:srgbClr val="000000"/>
            </a:solidFill>
            <a:latin typeface="宋体"/>
            <a:ea typeface="宋体"/>
            <a:cs typeface="+mn-cs"/>
          </a:endParaRPr>
        </a:p>
        <a:p>
          <a:pPr>
            <a:lnSpc>
              <a:spcPts val="1300"/>
            </a:lnSpc>
          </a:pPr>
          <a:r>
            <a:rPr lang="en-US" altLang="zh-CN" sz="1100" b="0" i="0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3.</a:t>
          </a:r>
          <a:r>
            <a:rPr lang="zh-CN" altLang="en-US" sz="1100" b="0" i="0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全价模式下暂未考虑期间现金流收入。</a:t>
          </a:r>
          <a:endParaRPr lang="en-US" altLang="zh-CN" sz="1100" b="0" i="0" strike="noStrike" baseline="0">
            <a:solidFill>
              <a:srgbClr val="000000"/>
            </a:solidFill>
            <a:latin typeface="宋体"/>
            <a:ea typeface="宋体"/>
            <a:cs typeface="+mn-cs"/>
          </a:endParaRPr>
        </a:p>
        <a:p>
          <a:pPr>
            <a:lnSpc>
              <a:spcPts val="1300"/>
            </a:lnSpc>
          </a:pPr>
          <a:endParaRPr lang="en-US" altLang="zh-CN" sz="1100" b="0" i="0" strike="noStrike" baseline="0">
            <a:solidFill>
              <a:srgbClr val="000000"/>
            </a:solidFill>
            <a:latin typeface="宋体"/>
            <a:ea typeface="宋体"/>
            <a:cs typeface="+mn-cs"/>
          </a:endParaRPr>
        </a:p>
        <a:p>
          <a:endParaRPr lang="en-US" altLang="zh-CN" sz="1100" b="0" i="0" strike="noStrike" baseline="0">
            <a:solidFill>
              <a:srgbClr val="000000"/>
            </a:solidFill>
            <a:latin typeface="宋体"/>
            <a:ea typeface="宋体"/>
            <a:cs typeface="+mn-cs"/>
          </a:endParaRPr>
        </a:p>
        <a:p>
          <a:pPr>
            <a:lnSpc>
              <a:spcPts val="1300"/>
            </a:lnSpc>
          </a:pPr>
          <a:endParaRPr lang="en-US" altLang="zh-CN" sz="1100" b="0" i="0" strike="noStrike" baseline="0">
            <a:solidFill>
              <a:srgbClr val="000000"/>
            </a:solidFill>
            <a:latin typeface="宋体"/>
            <a:ea typeface="宋体"/>
            <a:cs typeface="+mn-cs"/>
          </a:endParaRPr>
        </a:p>
        <a:p>
          <a:pPr>
            <a:lnSpc>
              <a:spcPts val="1300"/>
            </a:lnSpc>
          </a:pPr>
          <a:endParaRPr lang="en-US" altLang="zh-CN" sz="1100" b="0" i="0" strike="noStrike" baseline="0">
            <a:solidFill>
              <a:srgbClr val="000000"/>
            </a:solidFill>
            <a:latin typeface="宋体"/>
            <a:ea typeface="宋体"/>
            <a:cs typeface="+mn-cs"/>
          </a:endParaRPr>
        </a:p>
        <a:p>
          <a:r>
            <a:rPr lang="en-US" altLang="zh-CN" sz="1100">
              <a:latin typeface="+mn-lt"/>
              <a:ea typeface="+mn-ea"/>
              <a:cs typeface="+mn-cs"/>
            </a:rPr>
            <a:t>                                                                                                                                 </a:t>
          </a:r>
          <a:r>
            <a:rPr lang="en-US" sz="1100">
              <a:latin typeface="+mn-lt"/>
              <a:ea typeface="+mn-ea"/>
              <a:cs typeface="+mn-cs"/>
            </a:rPr>
            <a:t>   </a:t>
          </a:r>
          <a:endParaRPr lang="zh-CN" altLang="en-US" sz="1100">
            <a:latin typeface="+mn-lt"/>
            <a:ea typeface="+mn-ea"/>
            <a:cs typeface="+mn-cs"/>
          </a:endParaRPr>
        </a:p>
        <a:p>
          <a:pPr>
            <a:lnSpc>
              <a:spcPts val="1300"/>
            </a:lnSpc>
          </a:pPr>
          <a:r>
            <a:rPr lang="en-US" altLang="zh-CN" sz="1100" b="0" i="0" strike="noStrike">
              <a:solidFill>
                <a:srgbClr val="000000"/>
              </a:solidFill>
              <a:latin typeface="宋体"/>
              <a:ea typeface="宋体"/>
              <a:cs typeface="+mn-cs"/>
            </a:rPr>
            <a:t>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hink\AppData\Local\Microsoft\Windows\Temporary%20Internet%20Files\Content.IE5\RAJZX451\BetaCalc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/Wind.NET.Client/WindNET/DataBrowse/XLA/WindFunc.xla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25345;&#20179;&#20538;&#21048;&#25910;&#30410;&#29575;&#24773;&#26223;&#20998;&#26512;-202510270953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ta"/>
      <sheetName val="Rawdata"/>
      <sheetName val="证券列表"/>
      <sheetName val="Help"/>
    </sheetNames>
    <sheetDataSet>
      <sheetData sheetId="0"/>
      <sheetData sheetId="1"/>
      <sheetData sheetId="2">
        <row r="1">
          <cell r="A1" t="str">
            <v>000001.SZ</v>
          </cell>
          <cell r="B1" t="str">
            <v>000001.SH</v>
          </cell>
        </row>
        <row r="2">
          <cell r="A2" t="str">
            <v>000002.SZ</v>
          </cell>
          <cell r="B2" t="str">
            <v>000010.SH</v>
          </cell>
        </row>
        <row r="3">
          <cell r="A3" t="str">
            <v>000004.SZ</v>
          </cell>
          <cell r="B3" t="str">
            <v>000016.SH</v>
          </cell>
        </row>
        <row r="4">
          <cell r="A4" t="str">
            <v>000005.SZ</v>
          </cell>
          <cell r="B4" t="str">
            <v>000300.SH</v>
          </cell>
        </row>
        <row r="5">
          <cell r="A5" t="str">
            <v>000006.SZ</v>
          </cell>
          <cell r="B5" t="str">
            <v>000903.SH</v>
          </cell>
        </row>
        <row r="6">
          <cell r="A6" t="str">
            <v>000007.SZ</v>
          </cell>
          <cell r="B6" t="str">
            <v>399001.SZ</v>
          </cell>
        </row>
        <row r="7">
          <cell r="A7" t="str">
            <v>000008.SZ</v>
          </cell>
          <cell r="B7" t="str">
            <v>399004.SZ</v>
          </cell>
        </row>
        <row r="8">
          <cell r="A8" t="str">
            <v>000009.SZ</v>
          </cell>
        </row>
        <row r="9">
          <cell r="A9" t="str">
            <v>000010.SZ</v>
          </cell>
        </row>
        <row r="10">
          <cell r="A10" t="str">
            <v>000011.SZ</v>
          </cell>
        </row>
        <row r="11">
          <cell r="A11" t="str">
            <v>000012.SZ</v>
          </cell>
        </row>
        <row r="12">
          <cell r="A12" t="str">
            <v>000014.SZ</v>
          </cell>
        </row>
        <row r="13">
          <cell r="A13" t="str">
            <v>000016.SZ</v>
          </cell>
        </row>
        <row r="14">
          <cell r="A14" t="str">
            <v>000017.SZ</v>
          </cell>
        </row>
        <row r="15">
          <cell r="A15" t="str">
            <v>000018.SZ</v>
          </cell>
        </row>
        <row r="16">
          <cell r="A16" t="str">
            <v>000019.SZ</v>
          </cell>
        </row>
        <row r="17">
          <cell r="A17" t="str">
            <v>000020.SZ</v>
          </cell>
        </row>
        <row r="18">
          <cell r="A18" t="str">
            <v>000021.SZ</v>
          </cell>
        </row>
        <row r="19">
          <cell r="A19" t="str">
            <v>000022.SZ</v>
          </cell>
        </row>
        <row r="20">
          <cell r="A20" t="str">
            <v>000023.SZ</v>
          </cell>
        </row>
        <row r="21">
          <cell r="A21" t="str">
            <v>000024.SZ</v>
          </cell>
        </row>
        <row r="22">
          <cell r="A22" t="str">
            <v>000025.SZ</v>
          </cell>
        </row>
        <row r="23">
          <cell r="A23" t="str">
            <v>000026.SZ</v>
          </cell>
        </row>
        <row r="24">
          <cell r="A24" t="str">
            <v>000027.SZ</v>
          </cell>
        </row>
        <row r="25">
          <cell r="A25" t="str">
            <v>000028.SZ</v>
          </cell>
        </row>
        <row r="26">
          <cell r="A26" t="str">
            <v>000029.SZ</v>
          </cell>
        </row>
        <row r="27">
          <cell r="A27" t="str">
            <v>000030.SZ</v>
          </cell>
        </row>
        <row r="28">
          <cell r="A28" t="str">
            <v>000031.SZ</v>
          </cell>
        </row>
        <row r="29">
          <cell r="A29" t="str">
            <v>000032.SZ</v>
          </cell>
        </row>
        <row r="30">
          <cell r="A30" t="str">
            <v>000033.SZ</v>
          </cell>
        </row>
        <row r="31">
          <cell r="A31" t="str">
            <v>000034.SZ</v>
          </cell>
        </row>
        <row r="32">
          <cell r="A32" t="str">
            <v>000035.SZ</v>
          </cell>
        </row>
        <row r="33">
          <cell r="A33" t="str">
            <v>000036.SZ</v>
          </cell>
        </row>
        <row r="34">
          <cell r="A34" t="str">
            <v>000037.SZ</v>
          </cell>
        </row>
        <row r="35">
          <cell r="A35" t="str">
            <v>000038.SZ</v>
          </cell>
        </row>
        <row r="36">
          <cell r="A36" t="str">
            <v>000039.SZ</v>
          </cell>
        </row>
        <row r="37">
          <cell r="A37" t="str">
            <v>000040.SZ</v>
          </cell>
        </row>
        <row r="38">
          <cell r="A38" t="str">
            <v>000042.SZ</v>
          </cell>
        </row>
        <row r="39">
          <cell r="A39" t="str">
            <v>000043.SZ</v>
          </cell>
        </row>
        <row r="40">
          <cell r="A40" t="str">
            <v>000045.SZ</v>
          </cell>
        </row>
        <row r="41">
          <cell r="A41" t="str">
            <v>000046.SZ</v>
          </cell>
        </row>
        <row r="42">
          <cell r="A42" t="str">
            <v>000048.SZ</v>
          </cell>
        </row>
        <row r="43">
          <cell r="A43" t="str">
            <v>000049.SZ</v>
          </cell>
        </row>
        <row r="44">
          <cell r="A44" t="str">
            <v>000050.SZ</v>
          </cell>
        </row>
        <row r="45">
          <cell r="A45" t="str">
            <v>000055.SZ</v>
          </cell>
        </row>
        <row r="46">
          <cell r="A46" t="str">
            <v>000056.SZ</v>
          </cell>
        </row>
        <row r="47">
          <cell r="A47" t="str">
            <v>000058.SZ</v>
          </cell>
        </row>
        <row r="48">
          <cell r="A48" t="str">
            <v>000059.SZ</v>
          </cell>
        </row>
        <row r="49">
          <cell r="A49" t="str">
            <v>000060.SZ</v>
          </cell>
        </row>
        <row r="50">
          <cell r="A50" t="str">
            <v>000061.SZ</v>
          </cell>
        </row>
        <row r="51">
          <cell r="A51" t="str">
            <v>000062.SZ</v>
          </cell>
        </row>
        <row r="52">
          <cell r="A52" t="str">
            <v>000063.SZ</v>
          </cell>
        </row>
        <row r="53">
          <cell r="A53" t="str">
            <v>000065.SZ</v>
          </cell>
        </row>
        <row r="54">
          <cell r="A54" t="str">
            <v>000066.SZ</v>
          </cell>
        </row>
        <row r="55">
          <cell r="A55" t="str">
            <v>000068.SZ</v>
          </cell>
        </row>
        <row r="56">
          <cell r="A56" t="str">
            <v>000069.SZ</v>
          </cell>
        </row>
        <row r="57">
          <cell r="A57" t="str">
            <v>000070.SZ</v>
          </cell>
        </row>
        <row r="58">
          <cell r="A58" t="str">
            <v>000078.SZ</v>
          </cell>
        </row>
        <row r="59">
          <cell r="A59" t="str">
            <v>000088.SZ</v>
          </cell>
        </row>
        <row r="60">
          <cell r="A60" t="str">
            <v>000089.SZ</v>
          </cell>
        </row>
        <row r="61">
          <cell r="A61" t="str">
            <v>000090.SZ</v>
          </cell>
        </row>
        <row r="62">
          <cell r="A62" t="str">
            <v>000096.SZ</v>
          </cell>
        </row>
        <row r="63">
          <cell r="A63" t="str">
            <v>000099.SZ</v>
          </cell>
        </row>
        <row r="64">
          <cell r="A64" t="str">
            <v>000100.SZ</v>
          </cell>
        </row>
        <row r="65">
          <cell r="A65" t="str">
            <v>000150.SZ</v>
          </cell>
        </row>
        <row r="66">
          <cell r="A66" t="str">
            <v>000151.SZ</v>
          </cell>
        </row>
        <row r="67">
          <cell r="A67" t="str">
            <v>000153.SZ</v>
          </cell>
        </row>
        <row r="68">
          <cell r="A68" t="str">
            <v>000155.SZ</v>
          </cell>
        </row>
        <row r="69">
          <cell r="A69" t="str">
            <v>000156.SZ</v>
          </cell>
        </row>
        <row r="70">
          <cell r="A70" t="str">
            <v>000157.SZ</v>
          </cell>
        </row>
        <row r="71">
          <cell r="A71" t="str">
            <v>000158.SZ</v>
          </cell>
        </row>
        <row r="72">
          <cell r="A72" t="str">
            <v>000159.SZ</v>
          </cell>
        </row>
        <row r="73">
          <cell r="A73" t="str">
            <v>000301.SZ</v>
          </cell>
        </row>
        <row r="74">
          <cell r="A74" t="str">
            <v>000338.SZ</v>
          </cell>
        </row>
        <row r="75">
          <cell r="A75" t="str">
            <v>000400.SZ</v>
          </cell>
        </row>
        <row r="76">
          <cell r="A76" t="str">
            <v>000401.SZ</v>
          </cell>
        </row>
        <row r="77">
          <cell r="A77" t="str">
            <v>000402.SZ</v>
          </cell>
        </row>
        <row r="78">
          <cell r="A78" t="str">
            <v>000403.SZ</v>
          </cell>
        </row>
        <row r="79">
          <cell r="A79" t="str">
            <v>000404.SZ</v>
          </cell>
        </row>
        <row r="80">
          <cell r="A80" t="str">
            <v>000407.SZ</v>
          </cell>
        </row>
        <row r="81">
          <cell r="A81" t="str">
            <v>000408.SZ</v>
          </cell>
        </row>
        <row r="82">
          <cell r="A82" t="str">
            <v>000409.SZ</v>
          </cell>
        </row>
        <row r="83">
          <cell r="A83" t="str">
            <v>000410.SZ</v>
          </cell>
        </row>
        <row r="84">
          <cell r="A84" t="str">
            <v>000411.SZ</v>
          </cell>
        </row>
        <row r="85">
          <cell r="A85" t="str">
            <v>000413.SZ</v>
          </cell>
        </row>
        <row r="86">
          <cell r="A86" t="str">
            <v>000415.SZ</v>
          </cell>
        </row>
        <row r="87">
          <cell r="A87" t="str">
            <v>000416.SZ</v>
          </cell>
        </row>
        <row r="88">
          <cell r="A88" t="str">
            <v>000417.SZ</v>
          </cell>
        </row>
        <row r="89">
          <cell r="A89" t="str">
            <v>000418.SZ</v>
          </cell>
        </row>
        <row r="90">
          <cell r="A90" t="str">
            <v>000419.SZ</v>
          </cell>
        </row>
        <row r="91">
          <cell r="A91" t="str">
            <v>000420.SZ</v>
          </cell>
        </row>
        <row r="92">
          <cell r="A92" t="str">
            <v>000421.SZ</v>
          </cell>
        </row>
        <row r="93">
          <cell r="A93" t="str">
            <v>000422.SZ</v>
          </cell>
        </row>
        <row r="94">
          <cell r="A94" t="str">
            <v>000423.SZ</v>
          </cell>
        </row>
        <row r="95">
          <cell r="A95" t="str">
            <v>000425.SZ</v>
          </cell>
        </row>
        <row r="96">
          <cell r="A96" t="str">
            <v>000426.SZ</v>
          </cell>
        </row>
        <row r="97">
          <cell r="A97" t="str">
            <v>000428.SZ</v>
          </cell>
        </row>
        <row r="98">
          <cell r="A98" t="str">
            <v>000429.SZ</v>
          </cell>
        </row>
        <row r="99">
          <cell r="A99" t="str">
            <v>000430.SZ</v>
          </cell>
        </row>
        <row r="100">
          <cell r="A100" t="str">
            <v>000488.SZ</v>
          </cell>
        </row>
        <row r="101">
          <cell r="A101" t="str">
            <v>000498.SZ</v>
          </cell>
        </row>
        <row r="102">
          <cell r="A102" t="str">
            <v>000501.SZ</v>
          </cell>
        </row>
        <row r="103">
          <cell r="A103" t="str">
            <v>000502.SZ</v>
          </cell>
        </row>
        <row r="104">
          <cell r="A104" t="str">
            <v>000503.SZ</v>
          </cell>
        </row>
        <row r="105">
          <cell r="A105" t="str">
            <v>000504.SZ</v>
          </cell>
        </row>
        <row r="106">
          <cell r="A106" t="str">
            <v>000505.SZ</v>
          </cell>
        </row>
        <row r="107">
          <cell r="A107" t="str">
            <v>000506.SZ</v>
          </cell>
        </row>
        <row r="108">
          <cell r="A108" t="str">
            <v>000507.SZ</v>
          </cell>
        </row>
        <row r="109">
          <cell r="A109" t="str">
            <v>000509.SZ</v>
          </cell>
        </row>
        <row r="110">
          <cell r="A110" t="str">
            <v>000510.SZ</v>
          </cell>
        </row>
        <row r="111">
          <cell r="A111" t="str">
            <v>000511.SZ</v>
          </cell>
        </row>
        <row r="112">
          <cell r="A112" t="str">
            <v>000513.SZ</v>
          </cell>
        </row>
        <row r="113">
          <cell r="A113" t="str">
            <v>000514.SZ</v>
          </cell>
        </row>
        <row r="114">
          <cell r="A114" t="str">
            <v>000516.SZ</v>
          </cell>
        </row>
        <row r="115">
          <cell r="A115" t="str">
            <v>000517.SZ</v>
          </cell>
        </row>
        <row r="116">
          <cell r="A116" t="str">
            <v>000518.SZ</v>
          </cell>
        </row>
        <row r="117">
          <cell r="A117" t="str">
            <v>000519.SZ</v>
          </cell>
        </row>
        <row r="118">
          <cell r="A118" t="str">
            <v>000520.SZ</v>
          </cell>
        </row>
        <row r="119">
          <cell r="A119" t="str">
            <v>000521.SZ</v>
          </cell>
        </row>
        <row r="120">
          <cell r="A120" t="str">
            <v>000522.SZ</v>
          </cell>
        </row>
        <row r="121">
          <cell r="A121" t="str">
            <v>000523.SZ</v>
          </cell>
        </row>
        <row r="122">
          <cell r="A122" t="str">
            <v>000524.SZ</v>
          </cell>
        </row>
        <row r="123">
          <cell r="A123" t="str">
            <v>000525.SZ</v>
          </cell>
        </row>
        <row r="124">
          <cell r="A124" t="str">
            <v>000526.SZ</v>
          </cell>
        </row>
        <row r="125">
          <cell r="A125" t="str">
            <v>000527.SZ</v>
          </cell>
        </row>
        <row r="126">
          <cell r="A126" t="str">
            <v>000528.SZ</v>
          </cell>
        </row>
        <row r="127">
          <cell r="A127" t="str">
            <v>000529.SZ</v>
          </cell>
        </row>
        <row r="128">
          <cell r="A128" t="str">
            <v>000530.SZ</v>
          </cell>
        </row>
        <row r="129">
          <cell r="A129" t="str">
            <v>000531.SZ</v>
          </cell>
        </row>
        <row r="130">
          <cell r="A130" t="str">
            <v>000532.SZ</v>
          </cell>
        </row>
        <row r="131">
          <cell r="A131" t="str">
            <v>000533.SZ</v>
          </cell>
        </row>
        <row r="132">
          <cell r="A132" t="str">
            <v>000534.SZ</v>
          </cell>
        </row>
        <row r="133">
          <cell r="A133" t="str">
            <v>000536.SZ</v>
          </cell>
        </row>
        <row r="134">
          <cell r="A134" t="str">
            <v>000537.SZ</v>
          </cell>
        </row>
        <row r="135">
          <cell r="A135" t="str">
            <v>000538.SZ</v>
          </cell>
        </row>
        <row r="136">
          <cell r="A136" t="str">
            <v>000539.SZ</v>
          </cell>
        </row>
        <row r="137">
          <cell r="A137" t="str">
            <v>000540.SZ</v>
          </cell>
        </row>
        <row r="138">
          <cell r="A138" t="str">
            <v>000541.SZ</v>
          </cell>
        </row>
        <row r="139">
          <cell r="A139" t="str">
            <v>000543.SZ</v>
          </cell>
        </row>
        <row r="140">
          <cell r="A140" t="str">
            <v>000544.SZ</v>
          </cell>
        </row>
        <row r="141">
          <cell r="A141" t="str">
            <v>000545.SZ</v>
          </cell>
        </row>
        <row r="142">
          <cell r="A142" t="str">
            <v>000546.SZ</v>
          </cell>
        </row>
        <row r="143">
          <cell r="A143" t="str">
            <v>000547.SZ</v>
          </cell>
        </row>
        <row r="144">
          <cell r="A144" t="str">
            <v>000548.SZ</v>
          </cell>
        </row>
        <row r="145">
          <cell r="A145" t="str">
            <v>000550.SZ</v>
          </cell>
        </row>
        <row r="146">
          <cell r="A146" t="str">
            <v>000551.SZ</v>
          </cell>
        </row>
        <row r="147">
          <cell r="A147" t="str">
            <v>000552.SZ</v>
          </cell>
        </row>
        <row r="148">
          <cell r="A148" t="str">
            <v>000553.SZ</v>
          </cell>
        </row>
        <row r="149">
          <cell r="A149" t="str">
            <v>000554.SZ</v>
          </cell>
        </row>
        <row r="150">
          <cell r="A150" t="str">
            <v>000555.SZ</v>
          </cell>
        </row>
        <row r="151">
          <cell r="A151" t="str">
            <v>000557.SZ</v>
          </cell>
        </row>
        <row r="152">
          <cell r="A152" t="str">
            <v>000558.SZ</v>
          </cell>
        </row>
        <row r="153">
          <cell r="A153" t="str">
            <v>000559.SZ</v>
          </cell>
        </row>
        <row r="154">
          <cell r="A154" t="str">
            <v>000560.SZ</v>
          </cell>
        </row>
        <row r="155">
          <cell r="A155" t="str">
            <v>000561.SZ</v>
          </cell>
        </row>
        <row r="156">
          <cell r="A156" t="str">
            <v>000562.SZ</v>
          </cell>
        </row>
        <row r="157">
          <cell r="A157" t="str">
            <v>000563.SZ</v>
          </cell>
        </row>
        <row r="158">
          <cell r="A158" t="str">
            <v>000564.SZ</v>
          </cell>
        </row>
        <row r="159">
          <cell r="A159" t="str">
            <v>000565.SZ</v>
          </cell>
        </row>
        <row r="160">
          <cell r="A160" t="str">
            <v>000566.SZ</v>
          </cell>
        </row>
        <row r="161">
          <cell r="A161" t="str">
            <v>000567.SZ</v>
          </cell>
        </row>
        <row r="162">
          <cell r="A162" t="str">
            <v>000568.SZ</v>
          </cell>
        </row>
        <row r="163">
          <cell r="A163" t="str">
            <v>000570.SZ</v>
          </cell>
        </row>
        <row r="164">
          <cell r="A164" t="str">
            <v>000571.SZ</v>
          </cell>
        </row>
        <row r="165">
          <cell r="A165" t="str">
            <v>000572.SZ</v>
          </cell>
        </row>
        <row r="166">
          <cell r="A166" t="str">
            <v>000573.SZ</v>
          </cell>
        </row>
        <row r="167">
          <cell r="A167" t="str">
            <v>000576.SZ</v>
          </cell>
        </row>
        <row r="168">
          <cell r="A168" t="str">
            <v>000578.SZ</v>
          </cell>
        </row>
        <row r="169">
          <cell r="A169" t="str">
            <v>000581.SZ</v>
          </cell>
        </row>
        <row r="170">
          <cell r="A170" t="str">
            <v>000582.SZ</v>
          </cell>
        </row>
        <row r="171">
          <cell r="A171" t="str">
            <v>000584.SZ</v>
          </cell>
        </row>
        <row r="172">
          <cell r="A172" t="str">
            <v>000585.SZ</v>
          </cell>
        </row>
        <row r="173">
          <cell r="A173" t="str">
            <v>000586.SZ</v>
          </cell>
        </row>
        <row r="174">
          <cell r="A174" t="str">
            <v>000587.SZ</v>
          </cell>
        </row>
        <row r="175">
          <cell r="A175" t="str">
            <v>000589.SZ</v>
          </cell>
        </row>
        <row r="176">
          <cell r="A176" t="str">
            <v>000590.SZ</v>
          </cell>
        </row>
        <row r="177">
          <cell r="A177" t="str">
            <v>000591.SZ</v>
          </cell>
        </row>
        <row r="178">
          <cell r="A178" t="str">
            <v>000592.SZ</v>
          </cell>
        </row>
        <row r="179">
          <cell r="A179" t="str">
            <v>000593.SZ</v>
          </cell>
        </row>
        <row r="180">
          <cell r="A180" t="str">
            <v>000594.SZ</v>
          </cell>
        </row>
        <row r="181">
          <cell r="A181" t="str">
            <v>000595.SZ</v>
          </cell>
        </row>
        <row r="182">
          <cell r="A182" t="str">
            <v>000596.SZ</v>
          </cell>
        </row>
        <row r="183">
          <cell r="A183" t="str">
            <v>000597.SZ</v>
          </cell>
        </row>
        <row r="184">
          <cell r="A184" t="str">
            <v>000598.SZ</v>
          </cell>
        </row>
        <row r="185">
          <cell r="A185" t="str">
            <v>000599.SZ</v>
          </cell>
        </row>
        <row r="186">
          <cell r="A186" t="str">
            <v>000600.SZ</v>
          </cell>
        </row>
        <row r="187">
          <cell r="A187" t="str">
            <v>000601.SZ</v>
          </cell>
        </row>
        <row r="188">
          <cell r="A188" t="str">
            <v>000602.SZ</v>
          </cell>
        </row>
        <row r="189">
          <cell r="A189" t="str">
            <v>000603.SZ</v>
          </cell>
        </row>
        <row r="190">
          <cell r="A190" t="str">
            <v>000605.SZ</v>
          </cell>
        </row>
        <row r="191">
          <cell r="A191" t="str">
            <v>000606.SZ</v>
          </cell>
        </row>
        <row r="192">
          <cell r="A192" t="str">
            <v>000607.SZ</v>
          </cell>
        </row>
        <row r="193">
          <cell r="A193" t="str">
            <v>000608.SZ</v>
          </cell>
        </row>
        <row r="194">
          <cell r="A194" t="str">
            <v>000609.SZ</v>
          </cell>
        </row>
        <row r="195">
          <cell r="A195" t="str">
            <v>000610.SZ</v>
          </cell>
        </row>
        <row r="196">
          <cell r="A196" t="str">
            <v>000611.SZ</v>
          </cell>
        </row>
        <row r="197">
          <cell r="A197" t="str">
            <v>000612.SZ</v>
          </cell>
        </row>
        <row r="198">
          <cell r="A198" t="str">
            <v>000613.SZ</v>
          </cell>
        </row>
        <row r="199">
          <cell r="A199" t="str">
            <v>000615.SZ</v>
          </cell>
        </row>
        <row r="200">
          <cell r="A200" t="str">
            <v>000616.SZ</v>
          </cell>
        </row>
        <row r="201">
          <cell r="A201" t="str">
            <v>000617.SZ</v>
          </cell>
        </row>
        <row r="202">
          <cell r="A202" t="str">
            <v>000619.SZ</v>
          </cell>
        </row>
        <row r="203">
          <cell r="A203" t="str">
            <v>000620.SZ</v>
          </cell>
        </row>
        <row r="204">
          <cell r="A204" t="str">
            <v>000622.SZ</v>
          </cell>
        </row>
        <row r="205">
          <cell r="A205" t="str">
            <v>000623.SZ</v>
          </cell>
        </row>
        <row r="206">
          <cell r="A206" t="str">
            <v>000625.SZ</v>
          </cell>
        </row>
        <row r="207">
          <cell r="A207" t="str">
            <v>000626.SZ</v>
          </cell>
        </row>
        <row r="208">
          <cell r="A208" t="str">
            <v>000627.SZ</v>
          </cell>
        </row>
        <row r="209">
          <cell r="A209" t="str">
            <v>000628.SZ</v>
          </cell>
        </row>
        <row r="210">
          <cell r="A210" t="str">
            <v>000629.SZ</v>
          </cell>
        </row>
        <row r="211">
          <cell r="A211" t="str">
            <v>000630.SZ</v>
          </cell>
        </row>
        <row r="212">
          <cell r="A212" t="str">
            <v>000631.SZ</v>
          </cell>
        </row>
        <row r="213">
          <cell r="A213" t="str">
            <v>000632.SZ</v>
          </cell>
        </row>
        <row r="214">
          <cell r="A214" t="str">
            <v>000633.SZ</v>
          </cell>
        </row>
        <row r="215">
          <cell r="A215" t="str">
            <v>000635.SZ</v>
          </cell>
        </row>
        <row r="216">
          <cell r="A216" t="str">
            <v>000636.SZ</v>
          </cell>
        </row>
        <row r="217">
          <cell r="A217" t="str">
            <v>000637.SZ</v>
          </cell>
        </row>
        <row r="218">
          <cell r="A218" t="str">
            <v>000638.SZ</v>
          </cell>
        </row>
        <row r="219">
          <cell r="A219" t="str">
            <v>000639.SZ</v>
          </cell>
        </row>
        <row r="220">
          <cell r="A220" t="str">
            <v>000650.SZ</v>
          </cell>
        </row>
        <row r="221">
          <cell r="A221" t="str">
            <v>000651.SZ</v>
          </cell>
        </row>
        <row r="222">
          <cell r="A222" t="str">
            <v>000652.SZ</v>
          </cell>
        </row>
        <row r="223">
          <cell r="A223" t="str">
            <v>000655.SZ</v>
          </cell>
        </row>
        <row r="224">
          <cell r="A224" t="str">
            <v>000656.SZ</v>
          </cell>
        </row>
        <row r="225">
          <cell r="A225" t="str">
            <v>000657.SZ</v>
          </cell>
        </row>
        <row r="226">
          <cell r="A226" t="str">
            <v>000659.SZ</v>
          </cell>
        </row>
        <row r="227">
          <cell r="A227" t="str">
            <v>000661.SZ</v>
          </cell>
        </row>
        <row r="228">
          <cell r="A228" t="str">
            <v>000662.SZ</v>
          </cell>
        </row>
        <row r="229">
          <cell r="A229" t="str">
            <v>000663.SZ</v>
          </cell>
        </row>
        <row r="230">
          <cell r="A230" t="str">
            <v>000665.SZ</v>
          </cell>
        </row>
        <row r="231">
          <cell r="A231" t="str">
            <v>000666.SZ</v>
          </cell>
        </row>
        <row r="232">
          <cell r="A232" t="str">
            <v>000667.SZ</v>
          </cell>
        </row>
        <row r="233">
          <cell r="A233" t="str">
            <v>000668.SZ</v>
          </cell>
        </row>
        <row r="234">
          <cell r="A234" t="str">
            <v>000669.SZ</v>
          </cell>
        </row>
        <row r="235">
          <cell r="A235" t="str">
            <v>000670.SZ</v>
          </cell>
        </row>
        <row r="236">
          <cell r="A236" t="str">
            <v>000671.SZ</v>
          </cell>
        </row>
        <row r="237">
          <cell r="A237" t="str">
            <v>000672.SZ</v>
          </cell>
        </row>
        <row r="238">
          <cell r="A238" t="str">
            <v>000673.SZ</v>
          </cell>
        </row>
        <row r="239">
          <cell r="A239" t="str">
            <v>000676.SZ</v>
          </cell>
        </row>
        <row r="240">
          <cell r="A240" t="str">
            <v>000677.SZ</v>
          </cell>
        </row>
        <row r="241">
          <cell r="A241" t="str">
            <v>000678.SZ</v>
          </cell>
        </row>
        <row r="242">
          <cell r="A242" t="str">
            <v>000679.SZ</v>
          </cell>
        </row>
        <row r="243">
          <cell r="A243" t="str">
            <v>000680.SZ</v>
          </cell>
        </row>
        <row r="244">
          <cell r="A244" t="str">
            <v>000681.SZ</v>
          </cell>
        </row>
        <row r="245">
          <cell r="A245" t="str">
            <v>000682.SZ</v>
          </cell>
        </row>
        <row r="246">
          <cell r="A246" t="str">
            <v>000683.SZ</v>
          </cell>
        </row>
        <row r="247">
          <cell r="A247" t="str">
            <v>000685.SZ</v>
          </cell>
        </row>
        <row r="248">
          <cell r="A248" t="str">
            <v>000686.SZ</v>
          </cell>
        </row>
        <row r="249">
          <cell r="A249" t="str">
            <v>000687.SZ</v>
          </cell>
        </row>
        <row r="250">
          <cell r="A250" t="str">
            <v>000688.SZ</v>
          </cell>
        </row>
        <row r="251">
          <cell r="A251" t="str">
            <v>000690.SZ</v>
          </cell>
        </row>
        <row r="252">
          <cell r="A252" t="str">
            <v>000691.SZ</v>
          </cell>
        </row>
        <row r="253">
          <cell r="A253" t="str">
            <v>000692.SZ</v>
          </cell>
        </row>
        <row r="254">
          <cell r="A254" t="str">
            <v>000693.SZ</v>
          </cell>
        </row>
        <row r="255">
          <cell r="A255" t="str">
            <v>000695.SZ</v>
          </cell>
        </row>
        <row r="256">
          <cell r="A256" t="str">
            <v>000697.SZ</v>
          </cell>
        </row>
        <row r="257">
          <cell r="A257" t="str">
            <v>000698.SZ</v>
          </cell>
        </row>
        <row r="258">
          <cell r="A258" t="str">
            <v>000700.SZ</v>
          </cell>
        </row>
        <row r="259">
          <cell r="A259" t="str">
            <v>000701.SZ</v>
          </cell>
        </row>
        <row r="260">
          <cell r="A260" t="str">
            <v>000702.SZ</v>
          </cell>
        </row>
        <row r="261">
          <cell r="A261" t="str">
            <v>000703.SZ</v>
          </cell>
        </row>
        <row r="262">
          <cell r="A262" t="str">
            <v>000705.SZ</v>
          </cell>
        </row>
        <row r="263">
          <cell r="A263" t="str">
            <v>000707.SZ</v>
          </cell>
        </row>
        <row r="264">
          <cell r="A264" t="str">
            <v>000708.SZ</v>
          </cell>
        </row>
        <row r="265">
          <cell r="A265" t="str">
            <v>000709.SZ</v>
          </cell>
        </row>
        <row r="266">
          <cell r="A266" t="str">
            <v>000710.SZ</v>
          </cell>
        </row>
        <row r="267">
          <cell r="A267" t="str">
            <v>000711.SZ</v>
          </cell>
        </row>
        <row r="268">
          <cell r="A268" t="str">
            <v>000712.SZ</v>
          </cell>
        </row>
        <row r="269">
          <cell r="A269" t="str">
            <v>000713.SZ</v>
          </cell>
        </row>
        <row r="270">
          <cell r="A270" t="str">
            <v>000715.SZ</v>
          </cell>
        </row>
        <row r="271">
          <cell r="A271" t="str">
            <v>000716.SZ</v>
          </cell>
        </row>
        <row r="272">
          <cell r="A272" t="str">
            <v>000717.SZ</v>
          </cell>
        </row>
        <row r="273">
          <cell r="A273" t="str">
            <v>000718.SZ</v>
          </cell>
        </row>
        <row r="274">
          <cell r="A274" t="str">
            <v>000719.SZ</v>
          </cell>
        </row>
        <row r="275">
          <cell r="A275" t="str">
            <v>000720.SZ</v>
          </cell>
        </row>
        <row r="276">
          <cell r="A276" t="str">
            <v>000721.SZ</v>
          </cell>
        </row>
        <row r="277">
          <cell r="A277" t="str">
            <v>000722.SZ</v>
          </cell>
        </row>
        <row r="278">
          <cell r="A278" t="str">
            <v>000723.SZ</v>
          </cell>
        </row>
        <row r="279">
          <cell r="A279" t="str">
            <v>000725.SZ</v>
          </cell>
        </row>
        <row r="280">
          <cell r="A280" t="str">
            <v>000726.SZ</v>
          </cell>
        </row>
        <row r="281">
          <cell r="A281" t="str">
            <v>000727.SZ</v>
          </cell>
        </row>
        <row r="282">
          <cell r="A282" t="str">
            <v>000728.SZ</v>
          </cell>
        </row>
        <row r="283">
          <cell r="A283" t="str">
            <v>000729.SZ</v>
          </cell>
        </row>
        <row r="284">
          <cell r="A284" t="str">
            <v>000731.SZ</v>
          </cell>
        </row>
        <row r="285">
          <cell r="A285" t="str">
            <v>000732.SZ</v>
          </cell>
        </row>
        <row r="286">
          <cell r="A286" t="str">
            <v>000733.SZ</v>
          </cell>
        </row>
        <row r="287">
          <cell r="A287" t="str">
            <v>000735.SZ</v>
          </cell>
        </row>
        <row r="288">
          <cell r="A288" t="str">
            <v>000736.SZ</v>
          </cell>
        </row>
        <row r="289">
          <cell r="A289" t="str">
            <v>000737.SZ</v>
          </cell>
        </row>
        <row r="290">
          <cell r="A290" t="str">
            <v>000738.SZ</v>
          </cell>
        </row>
        <row r="291">
          <cell r="A291" t="str">
            <v>000739.SZ</v>
          </cell>
        </row>
        <row r="292">
          <cell r="A292" t="str">
            <v>000748.SZ</v>
          </cell>
        </row>
        <row r="293">
          <cell r="A293" t="str">
            <v>000750.SZ</v>
          </cell>
        </row>
        <row r="294">
          <cell r="A294" t="str">
            <v>000751.SZ</v>
          </cell>
        </row>
        <row r="295">
          <cell r="A295" t="str">
            <v>000752.SZ</v>
          </cell>
        </row>
        <row r="296">
          <cell r="A296" t="str">
            <v>000753.SZ</v>
          </cell>
        </row>
        <row r="297">
          <cell r="A297" t="str">
            <v>000755.SZ</v>
          </cell>
        </row>
        <row r="298">
          <cell r="A298" t="str">
            <v>000756.SZ</v>
          </cell>
        </row>
        <row r="299">
          <cell r="A299" t="str">
            <v>000757.SZ</v>
          </cell>
        </row>
        <row r="300">
          <cell r="A300" t="str">
            <v>000758.SZ</v>
          </cell>
        </row>
        <row r="301">
          <cell r="A301" t="str">
            <v>000759.SZ</v>
          </cell>
        </row>
        <row r="302">
          <cell r="A302" t="str">
            <v>000760.SZ</v>
          </cell>
        </row>
        <row r="303">
          <cell r="A303" t="str">
            <v>000761.SZ</v>
          </cell>
        </row>
        <row r="304">
          <cell r="A304" t="str">
            <v>000762.SZ</v>
          </cell>
        </row>
        <row r="305">
          <cell r="A305" t="str">
            <v>000766.SZ</v>
          </cell>
        </row>
        <row r="306">
          <cell r="A306" t="str">
            <v>000767.SZ</v>
          </cell>
        </row>
        <row r="307">
          <cell r="A307" t="str">
            <v>000768.SZ</v>
          </cell>
        </row>
        <row r="308">
          <cell r="A308" t="str">
            <v>000776.SZ</v>
          </cell>
        </row>
        <row r="309">
          <cell r="A309" t="str">
            <v>000777.SZ</v>
          </cell>
        </row>
        <row r="310">
          <cell r="A310" t="str">
            <v>000778.SZ</v>
          </cell>
        </row>
        <row r="311">
          <cell r="A311" t="str">
            <v>000779.SZ</v>
          </cell>
        </row>
        <row r="312">
          <cell r="A312" t="str">
            <v>000780.SZ</v>
          </cell>
        </row>
        <row r="313">
          <cell r="A313" t="str">
            <v>000782.SZ</v>
          </cell>
        </row>
        <row r="314">
          <cell r="A314" t="str">
            <v>000783.SZ</v>
          </cell>
        </row>
        <row r="315">
          <cell r="A315" t="str">
            <v>000785.SZ</v>
          </cell>
        </row>
        <row r="316">
          <cell r="A316" t="str">
            <v>000786.SZ</v>
          </cell>
        </row>
        <row r="317">
          <cell r="A317" t="str">
            <v>000787.SZ</v>
          </cell>
        </row>
        <row r="318">
          <cell r="A318" t="str">
            <v>000788.SZ</v>
          </cell>
        </row>
        <row r="319">
          <cell r="A319" t="str">
            <v>000789.SZ</v>
          </cell>
        </row>
        <row r="320">
          <cell r="A320" t="str">
            <v>000790.SZ</v>
          </cell>
        </row>
        <row r="321">
          <cell r="A321" t="str">
            <v>000791.SZ</v>
          </cell>
        </row>
        <row r="322">
          <cell r="A322" t="str">
            <v>000792.SZ</v>
          </cell>
        </row>
        <row r="323">
          <cell r="A323" t="str">
            <v>000793.SZ</v>
          </cell>
        </row>
        <row r="324">
          <cell r="A324" t="str">
            <v>000795.SZ</v>
          </cell>
        </row>
        <row r="325">
          <cell r="A325" t="str">
            <v>000796.SZ</v>
          </cell>
        </row>
        <row r="326">
          <cell r="A326" t="str">
            <v>000797.SZ</v>
          </cell>
        </row>
        <row r="327">
          <cell r="A327" t="str">
            <v>000798.SZ</v>
          </cell>
        </row>
        <row r="328">
          <cell r="A328" t="str">
            <v>000799.SZ</v>
          </cell>
        </row>
        <row r="329">
          <cell r="A329" t="str">
            <v>000800.SZ</v>
          </cell>
        </row>
        <row r="330">
          <cell r="A330" t="str">
            <v>000801.SZ</v>
          </cell>
        </row>
        <row r="331">
          <cell r="A331" t="str">
            <v>000802.SZ</v>
          </cell>
        </row>
        <row r="332">
          <cell r="A332" t="str">
            <v>000803.SZ</v>
          </cell>
        </row>
        <row r="333">
          <cell r="A333" t="str">
            <v>000805.SZ</v>
          </cell>
        </row>
        <row r="334">
          <cell r="A334" t="str">
            <v>000806.SZ</v>
          </cell>
        </row>
        <row r="335">
          <cell r="A335" t="str">
            <v>000807.SZ</v>
          </cell>
        </row>
        <row r="336">
          <cell r="A336" t="str">
            <v>000809.SZ</v>
          </cell>
        </row>
        <row r="337">
          <cell r="A337" t="str">
            <v>000810.SZ</v>
          </cell>
        </row>
        <row r="338">
          <cell r="A338" t="str">
            <v>000811.SZ</v>
          </cell>
        </row>
        <row r="339">
          <cell r="A339" t="str">
            <v>000812.SZ</v>
          </cell>
        </row>
        <row r="340">
          <cell r="A340" t="str">
            <v>000813.SZ</v>
          </cell>
        </row>
        <row r="341">
          <cell r="A341" t="str">
            <v>000815.SZ</v>
          </cell>
        </row>
        <row r="342">
          <cell r="A342" t="str">
            <v>000816.SZ</v>
          </cell>
        </row>
        <row r="343">
          <cell r="A343" t="str">
            <v>000818.SZ</v>
          </cell>
        </row>
        <row r="344">
          <cell r="A344" t="str">
            <v>000819.SZ</v>
          </cell>
        </row>
        <row r="345">
          <cell r="A345" t="str">
            <v>000820.SZ</v>
          </cell>
        </row>
        <row r="346">
          <cell r="A346" t="str">
            <v>000821.SZ</v>
          </cell>
        </row>
        <row r="347">
          <cell r="A347" t="str">
            <v>000822.SZ</v>
          </cell>
        </row>
        <row r="348">
          <cell r="A348" t="str">
            <v>000823.SZ</v>
          </cell>
        </row>
        <row r="349">
          <cell r="A349" t="str">
            <v>000825.SZ</v>
          </cell>
        </row>
        <row r="350">
          <cell r="A350" t="str">
            <v>000826.SZ</v>
          </cell>
        </row>
        <row r="351">
          <cell r="A351" t="str">
            <v>000828.SZ</v>
          </cell>
        </row>
        <row r="352">
          <cell r="A352" t="str">
            <v>000829.SZ</v>
          </cell>
        </row>
        <row r="353">
          <cell r="A353" t="str">
            <v>000830.SZ</v>
          </cell>
        </row>
        <row r="354">
          <cell r="A354" t="str">
            <v>000831.SZ</v>
          </cell>
        </row>
        <row r="355">
          <cell r="A355" t="str">
            <v>000833.SZ</v>
          </cell>
        </row>
        <row r="356">
          <cell r="A356" t="str">
            <v>000835.SZ</v>
          </cell>
        </row>
        <row r="357">
          <cell r="A357" t="str">
            <v>000836.SZ</v>
          </cell>
        </row>
        <row r="358">
          <cell r="A358" t="str">
            <v>000837.SZ</v>
          </cell>
        </row>
        <row r="359">
          <cell r="A359" t="str">
            <v>000838.SZ</v>
          </cell>
        </row>
        <row r="360">
          <cell r="A360" t="str">
            <v>000839.SZ</v>
          </cell>
        </row>
        <row r="361">
          <cell r="A361" t="str">
            <v>000848.SZ</v>
          </cell>
        </row>
        <row r="362">
          <cell r="A362" t="str">
            <v>000850.SZ</v>
          </cell>
        </row>
        <row r="363">
          <cell r="A363" t="str">
            <v>000851.SZ</v>
          </cell>
        </row>
        <row r="364">
          <cell r="A364" t="str">
            <v>000852.SZ</v>
          </cell>
        </row>
        <row r="365">
          <cell r="A365" t="str">
            <v>000856.SZ</v>
          </cell>
        </row>
        <row r="366">
          <cell r="A366" t="str">
            <v>000858.SZ</v>
          </cell>
        </row>
        <row r="367">
          <cell r="A367" t="str">
            <v>000859.SZ</v>
          </cell>
        </row>
        <row r="368">
          <cell r="A368" t="str">
            <v>000860.SZ</v>
          </cell>
        </row>
        <row r="369">
          <cell r="A369" t="str">
            <v>000861.SZ</v>
          </cell>
        </row>
        <row r="370">
          <cell r="A370" t="str">
            <v>000862.SZ</v>
          </cell>
        </row>
        <row r="371">
          <cell r="A371" t="str">
            <v>000863.SZ</v>
          </cell>
        </row>
        <row r="372">
          <cell r="A372" t="str">
            <v>000868.SZ</v>
          </cell>
        </row>
        <row r="373">
          <cell r="A373" t="str">
            <v>000869.SZ</v>
          </cell>
        </row>
        <row r="374">
          <cell r="A374" t="str">
            <v>000875.SZ</v>
          </cell>
        </row>
        <row r="375">
          <cell r="A375" t="str">
            <v>000876.SZ</v>
          </cell>
        </row>
        <row r="376">
          <cell r="A376" t="str">
            <v>000877.SZ</v>
          </cell>
        </row>
        <row r="377">
          <cell r="A377" t="str">
            <v>000878.SZ</v>
          </cell>
        </row>
        <row r="378">
          <cell r="A378" t="str">
            <v>000880.SZ</v>
          </cell>
        </row>
        <row r="379">
          <cell r="A379" t="str">
            <v>000881.SZ</v>
          </cell>
        </row>
        <row r="380">
          <cell r="A380" t="str">
            <v>000882.SZ</v>
          </cell>
        </row>
        <row r="381">
          <cell r="A381" t="str">
            <v>000883.SZ</v>
          </cell>
        </row>
        <row r="382">
          <cell r="A382" t="str">
            <v>000885.SZ</v>
          </cell>
        </row>
        <row r="383">
          <cell r="A383" t="str">
            <v>000886.SZ</v>
          </cell>
        </row>
        <row r="384">
          <cell r="A384" t="str">
            <v>000887.SZ</v>
          </cell>
        </row>
        <row r="385">
          <cell r="A385" t="str">
            <v>000888.SZ</v>
          </cell>
        </row>
        <row r="386">
          <cell r="A386" t="str">
            <v>000889.SZ</v>
          </cell>
        </row>
        <row r="387">
          <cell r="A387" t="str">
            <v>000890.SZ</v>
          </cell>
        </row>
        <row r="388">
          <cell r="A388" t="str">
            <v>000892.SZ</v>
          </cell>
        </row>
        <row r="389">
          <cell r="A389" t="str">
            <v>000893.SZ</v>
          </cell>
        </row>
        <row r="390">
          <cell r="A390" t="str">
            <v>000895.SZ</v>
          </cell>
        </row>
        <row r="391">
          <cell r="A391" t="str">
            <v>000897.SZ</v>
          </cell>
        </row>
        <row r="392">
          <cell r="A392" t="str">
            <v>000898.SZ</v>
          </cell>
        </row>
        <row r="393">
          <cell r="A393" t="str">
            <v>000899.SZ</v>
          </cell>
        </row>
        <row r="394">
          <cell r="A394" t="str">
            <v>000900.SZ</v>
          </cell>
        </row>
        <row r="395">
          <cell r="A395" t="str">
            <v>000901.SZ</v>
          </cell>
        </row>
        <row r="396">
          <cell r="A396" t="str">
            <v>000902.SZ</v>
          </cell>
        </row>
        <row r="397">
          <cell r="A397" t="str">
            <v>000903.SZ</v>
          </cell>
        </row>
        <row r="398">
          <cell r="A398" t="str">
            <v>000905.SZ</v>
          </cell>
        </row>
        <row r="399">
          <cell r="A399" t="str">
            <v>000906.SZ</v>
          </cell>
        </row>
        <row r="400">
          <cell r="A400" t="str">
            <v>000908.SZ</v>
          </cell>
        </row>
        <row r="401">
          <cell r="A401" t="str">
            <v>000909.SZ</v>
          </cell>
        </row>
        <row r="402">
          <cell r="A402" t="str">
            <v>000910.SZ</v>
          </cell>
        </row>
        <row r="403">
          <cell r="A403" t="str">
            <v>000911.SZ</v>
          </cell>
        </row>
        <row r="404">
          <cell r="A404" t="str">
            <v>000912.SZ</v>
          </cell>
        </row>
        <row r="405">
          <cell r="A405" t="str">
            <v>000913.SZ</v>
          </cell>
        </row>
        <row r="406">
          <cell r="A406" t="str">
            <v>000915.SZ</v>
          </cell>
        </row>
        <row r="407">
          <cell r="A407" t="str">
            <v>000916.SZ</v>
          </cell>
        </row>
        <row r="408">
          <cell r="A408" t="str">
            <v>000917.SZ</v>
          </cell>
        </row>
        <row r="409">
          <cell r="A409" t="str">
            <v>000918.SZ</v>
          </cell>
        </row>
        <row r="410">
          <cell r="A410" t="str">
            <v>000919.SZ</v>
          </cell>
        </row>
        <row r="411">
          <cell r="A411" t="str">
            <v>000920.SZ</v>
          </cell>
        </row>
        <row r="412">
          <cell r="A412" t="str">
            <v>000921.SZ</v>
          </cell>
        </row>
        <row r="413">
          <cell r="A413" t="str">
            <v>000922.SZ</v>
          </cell>
        </row>
        <row r="414">
          <cell r="A414" t="str">
            <v>000923.SZ</v>
          </cell>
        </row>
        <row r="415">
          <cell r="A415" t="str">
            <v>000925.SZ</v>
          </cell>
        </row>
        <row r="416">
          <cell r="A416" t="str">
            <v>000926.SZ</v>
          </cell>
        </row>
        <row r="417">
          <cell r="A417" t="str">
            <v>000927.SZ</v>
          </cell>
        </row>
        <row r="418">
          <cell r="A418" t="str">
            <v>000928.SZ</v>
          </cell>
        </row>
        <row r="419">
          <cell r="A419" t="str">
            <v>000929.SZ</v>
          </cell>
        </row>
        <row r="420">
          <cell r="A420" t="str">
            <v>000930.SZ</v>
          </cell>
        </row>
        <row r="421">
          <cell r="A421" t="str">
            <v>000931.SZ</v>
          </cell>
        </row>
        <row r="422">
          <cell r="A422" t="str">
            <v>000932.SZ</v>
          </cell>
        </row>
        <row r="423">
          <cell r="A423" t="str">
            <v>000933.SZ</v>
          </cell>
        </row>
        <row r="424">
          <cell r="A424" t="str">
            <v>000935.SZ</v>
          </cell>
        </row>
        <row r="425">
          <cell r="A425" t="str">
            <v>000936.SZ</v>
          </cell>
        </row>
        <row r="426">
          <cell r="A426" t="str">
            <v>000937.SZ</v>
          </cell>
        </row>
        <row r="427">
          <cell r="A427" t="str">
            <v>000938.SZ</v>
          </cell>
        </row>
        <row r="428">
          <cell r="A428" t="str">
            <v>000939.SZ</v>
          </cell>
        </row>
        <row r="429">
          <cell r="A429" t="str">
            <v>000948.SZ</v>
          </cell>
        </row>
        <row r="430">
          <cell r="A430" t="str">
            <v>000949.SZ</v>
          </cell>
        </row>
        <row r="431">
          <cell r="A431" t="str">
            <v>000950.SZ</v>
          </cell>
        </row>
        <row r="432">
          <cell r="A432" t="str">
            <v>000951.SZ</v>
          </cell>
        </row>
        <row r="433">
          <cell r="A433" t="str">
            <v>000952.SZ</v>
          </cell>
        </row>
        <row r="434">
          <cell r="A434" t="str">
            <v>000953.SZ</v>
          </cell>
        </row>
        <row r="435">
          <cell r="A435" t="str">
            <v>000955.SZ</v>
          </cell>
        </row>
        <row r="436">
          <cell r="A436" t="str">
            <v>000957.SZ</v>
          </cell>
        </row>
        <row r="437">
          <cell r="A437" t="str">
            <v>000958.SZ</v>
          </cell>
        </row>
        <row r="438">
          <cell r="A438" t="str">
            <v>000959.SZ</v>
          </cell>
        </row>
        <row r="439">
          <cell r="A439" t="str">
            <v>000960.SZ</v>
          </cell>
        </row>
        <row r="440">
          <cell r="A440" t="str">
            <v>000961.SZ</v>
          </cell>
        </row>
        <row r="441">
          <cell r="A441" t="str">
            <v>000962.SZ</v>
          </cell>
        </row>
        <row r="442">
          <cell r="A442" t="str">
            <v>000963.SZ</v>
          </cell>
        </row>
        <row r="443">
          <cell r="A443" t="str">
            <v>000965.SZ</v>
          </cell>
        </row>
        <row r="444">
          <cell r="A444" t="str">
            <v>000966.SZ</v>
          </cell>
        </row>
        <row r="445">
          <cell r="A445" t="str">
            <v>000967.SZ</v>
          </cell>
        </row>
        <row r="446">
          <cell r="A446" t="str">
            <v>000968.SZ</v>
          </cell>
        </row>
        <row r="447">
          <cell r="A447" t="str">
            <v>000969.SZ</v>
          </cell>
        </row>
        <row r="448">
          <cell r="A448" t="str">
            <v>000970.SZ</v>
          </cell>
        </row>
        <row r="449">
          <cell r="A449" t="str">
            <v>000971.SZ</v>
          </cell>
        </row>
        <row r="450">
          <cell r="A450" t="str">
            <v>000972.SZ</v>
          </cell>
        </row>
        <row r="451">
          <cell r="A451" t="str">
            <v>000973.SZ</v>
          </cell>
        </row>
        <row r="452">
          <cell r="A452" t="str">
            <v>000975.SZ</v>
          </cell>
        </row>
        <row r="453">
          <cell r="A453" t="str">
            <v>000976.SZ</v>
          </cell>
        </row>
        <row r="454">
          <cell r="A454" t="str">
            <v>000977.SZ</v>
          </cell>
        </row>
        <row r="455">
          <cell r="A455" t="str">
            <v>000978.SZ</v>
          </cell>
        </row>
        <row r="456">
          <cell r="A456" t="str">
            <v>000979.SZ</v>
          </cell>
        </row>
        <row r="457">
          <cell r="A457" t="str">
            <v>000980.SZ</v>
          </cell>
        </row>
        <row r="458">
          <cell r="A458" t="str">
            <v>000981.SZ</v>
          </cell>
        </row>
        <row r="459">
          <cell r="A459" t="str">
            <v>000982.SZ</v>
          </cell>
        </row>
        <row r="460">
          <cell r="A460" t="str">
            <v>000983.SZ</v>
          </cell>
        </row>
        <row r="461">
          <cell r="A461" t="str">
            <v>000985.SZ</v>
          </cell>
        </row>
        <row r="462">
          <cell r="A462" t="str">
            <v>000987.SZ</v>
          </cell>
        </row>
        <row r="463">
          <cell r="A463" t="str">
            <v>000988.SZ</v>
          </cell>
        </row>
        <row r="464">
          <cell r="A464" t="str">
            <v>000989.SZ</v>
          </cell>
        </row>
        <row r="465">
          <cell r="A465" t="str">
            <v>000990.SZ</v>
          </cell>
        </row>
        <row r="466">
          <cell r="A466" t="str">
            <v>000993.SZ</v>
          </cell>
        </row>
        <row r="467">
          <cell r="A467" t="str">
            <v>000995.SZ</v>
          </cell>
        </row>
        <row r="468">
          <cell r="A468" t="str">
            <v>000996.SZ</v>
          </cell>
        </row>
        <row r="469">
          <cell r="A469" t="str">
            <v>000997.SZ</v>
          </cell>
        </row>
        <row r="470">
          <cell r="A470" t="str">
            <v>000998.SZ</v>
          </cell>
        </row>
        <row r="471">
          <cell r="A471" t="str">
            <v>000999.SZ</v>
          </cell>
        </row>
        <row r="472">
          <cell r="A472" t="str">
            <v>001696.SZ</v>
          </cell>
        </row>
        <row r="473">
          <cell r="A473" t="str">
            <v>001896.SZ</v>
          </cell>
        </row>
        <row r="474">
          <cell r="A474" t="str">
            <v>002001.SZ</v>
          </cell>
        </row>
        <row r="475">
          <cell r="A475" t="str">
            <v>002002.SZ</v>
          </cell>
        </row>
        <row r="476">
          <cell r="A476" t="str">
            <v>002003.SZ</v>
          </cell>
        </row>
        <row r="477">
          <cell r="A477" t="str">
            <v>002004.SZ</v>
          </cell>
        </row>
        <row r="478">
          <cell r="A478" t="str">
            <v>002005.SZ</v>
          </cell>
        </row>
        <row r="479">
          <cell r="A479" t="str">
            <v>002006.SZ</v>
          </cell>
        </row>
        <row r="480">
          <cell r="A480" t="str">
            <v>002007.SZ</v>
          </cell>
        </row>
        <row r="481">
          <cell r="A481" t="str">
            <v>002008.SZ</v>
          </cell>
        </row>
        <row r="482">
          <cell r="A482" t="str">
            <v>002009.SZ</v>
          </cell>
        </row>
        <row r="483">
          <cell r="A483" t="str">
            <v>002010.SZ</v>
          </cell>
        </row>
        <row r="484">
          <cell r="A484" t="str">
            <v>002011.SZ</v>
          </cell>
        </row>
        <row r="485">
          <cell r="A485" t="str">
            <v>002012.SZ</v>
          </cell>
        </row>
        <row r="486">
          <cell r="A486" t="str">
            <v>002013.SZ</v>
          </cell>
        </row>
        <row r="487">
          <cell r="A487" t="str">
            <v>002014.SZ</v>
          </cell>
        </row>
        <row r="488">
          <cell r="A488" t="str">
            <v>002015.SZ</v>
          </cell>
        </row>
        <row r="489">
          <cell r="A489" t="str">
            <v>002016.SZ</v>
          </cell>
        </row>
        <row r="490">
          <cell r="A490" t="str">
            <v>002017.SZ</v>
          </cell>
        </row>
        <row r="491">
          <cell r="A491" t="str">
            <v>002018.SZ</v>
          </cell>
        </row>
        <row r="492">
          <cell r="A492" t="str">
            <v>002019.SZ</v>
          </cell>
        </row>
        <row r="493">
          <cell r="A493" t="str">
            <v>002020.SZ</v>
          </cell>
        </row>
        <row r="494">
          <cell r="A494" t="str">
            <v>002021.SZ</v>
          </cell>
        </row>
        <row r="495">
          <cell r="A495" t="str">
            <v>002022.SZ</v>
          </cell>
        </row>
        <row r="496">
          <cell r="A496" t="str">
            <v>002023.SZ</v>
          </cell>
        </row>
        <row r="497">
          <cell r="A497" t="str">
            <v>002024.SZ</v>
          </cell>
        </row>
        <row r="498">
          <cell r="A498" t="str">
            <v>002025.SZ</v>
          </cell>
        </row>
        <row r="499">
          <cell r="A499" t="str">
            <v>002026.SZ</v>
          </cell>
        </row>
        <row r="500">
          <cell r="A500" t="str">
            <v>002027.SZ</v>
          </cell>
        </row>
        <row r="501">
          <cell r="A501" t="str">
            <v>002028.SZ</v>
          </cell>
        </row>
        <row r="502">
          <cell r="A502" t="str">
            <v>002029.SZ</v>
          </cell>
        </row>
        <row r="503">
          <cell r="A503" t="str">
            <v>002030.SZ</v>
          </cell>
        </row>
        <row r="504">
          <cell r="A504" t="str">
            <v>002031.SZ</v>
          </cell>
        </row>
        <row r="505">
          <cell r="A505" t="str">
            <v>002032.SZ</v>
          </cell>
        </row>
        <row r="506">
          <cell r="A506" t="str">
            <v>002033.SZ</v>
          </cell>
        </row>
        <row r="507">
          <cell r="A507" t="str">
            <v>002034.SZ</v>
          </cell>
        </row>
        <row r="508">
          <cell r="A508" t="str">
            <v>002035.SZ</v>
          </cell>
        </row>
        <row r="509">
          <cell r="A509" t="str">
            <v>002036.SZ</v>
          </cell>
        </row>
        <row r="510">
          <cell r="A510" t="str">
            <v>002037.SZ</v>
          </cell>
        </row>
        <row r="511">
          <cell r="A511" t="str">
            <v>002038.SZ</v>
          </cell>
        </row>
        <row r="512">
          <cell r="A512" t="str">
            <v>002039.SZ</v>
          </cell>
        </row>
        <row r="513">
          <cell r="A513" t="str">
            <v>002040.SZ</v>
          </cell>
        </row>
        <row r="514">
          <cell r="A514" t="str">
            <v>002041.SZ</v>
          </cell>
        </row>
        <row r="515">
          <cell r="A515" t="str">
            <v>002042.SZ</v>
          </cell>
        </row>
        <row r="516">
          <cell r="A516" t="str">
            <v>002043.SZ</v>
          </cell>
        </row>
        <row r="517">
          <cell r="A517" t="str">
            <v>002044.SZ</v>
          </cell>
        </row>
        <row r="518">
          <cell r="A518" t="str">
            <v>002045.SZ</v>
          </cell>
        </row>
        <row r="519">
          <cell r="A519" t="str">
            <v>002046.SZ</v>
          </cell>
        </row>
        <row r="520">
          <cell r="A520" t="str">
            <v>002047.SZ</v>
          </cell>
        </row>
        <row r="521">
          <cell r="A521" t="str">
            <v>002048.SZ</v>
          </cell>
        </row>
        <row r="522">
          <cell r="A522" t="str">
            <v>002049.SZ</v>
          </cell>
        </row>
        <row r="523">
          <cell r="A523" t="str">
            <v>002050.SZ</v>
          </cell>
        </row>
        <row r="524">
          <cell r="A524" t="str">
            <v>002051.SZ</v>
          </cell>
        </row>
        <row r="525">
          <cell r="A525" t="str">
            <v>002052.SZ</v>
          </cell>
        </row>
        <row r="526">
          <cell r="A526" t="str">
            <v>002053.SZ</v>
          </cell>
        </row>
        <row r="527">
          <cell r="A527" t="str">
            <v>002054.SZ</v>
          </cell>
        </row>
        <row r="528">
          <cell r="A528" t="str">
            <v>002055.SZ</v>
          </cell>
        </row>
        <row r="529">
          <cell r="A529" t="str">
            <v>002056.SZ</v>
          </cell>
        </row>
        <row r="530">
          <cell r="A530" t="str">
            <v>002057.SZ</v>
          </cell>
        </row>
        <row r="531">
          <cell r="A531" t="str">
            <v>002058.SZ</v>
          </cell>
        </row>
        <row r="532">
          <cell r="A532" t="str">
            <v>002059.SZ</v>
          </cell>
        </row>
        <row r="533">
          <cell r="A533" t="str">
            <v>002060.SZ</v>
          </cell>
        </row>
        <row r="534">
          <cell r="A534" t="str">
            <v>002061.SZ</v>
          </cell>
        </row>
        <row r="535">
          <cell r="A535" t="str">
            <v>002062.SZ</v>
          </cell>
        </row>
        <row r="536">
          <cell r="A536" t="str">
            <v>002063.SZ</v>
          </cell>
        </row>
        <row r="537">
          <cell r="A537" t="str">
            <v>002064.SZ</v>
          </cell>
        </row>
        <row r="538">
          <cell r="A538" t="str">
            <v>002065.SZ</v>
          </cell>
        </row>
        <row r="539">
          <cell r="A539" t="str">
            <v>002066.SZ</v>
          </cell>
        </row>
        <row r="540">
          <cell r="A540" t="str">
            <v>002067.SZ</v>
          </cell>
        </row>
        <row r="541">
          <cell r="A541" t="str">
            <v>002068.SZ</v>
          </cell>
        </row>
        <row r="542">
          <cell r="A542" t="str">
            <v>002069.SZ</v>
          </cell>
        </row>
        <row r="543">
          <cell r="A543" t="str">
            <v>002070.SZ</v>
          </cell>
        </row>
        <row r="544">
          <cell r="A544" t="str">
            <v>002071.SZ</v>
          </cell>
        </row>
        <row r="545">
          <cell r="A545" t="str">
            <v>002072.SZ</v>
          </cell>
        </row>
        <row r="546">
          <cell r="A546" t="str">
            <v>002073.SZ</v>
          </cell>
        </row>
        <row r="547">
          <cell r="A547" t="str">
            <v>002074.SZ</v>
          </cell>
        </row>
        <row r="548">
          <cell r="A548" t="str">
            <v>002075.SZ</v>
          </cell>
        </row>
        <row r="549">
          <cell r="A549" t="str">
            <v>002076.SZ</v>
          </cell>
        </row>
        <row r="550">
          <cell r="A550" t="str">
            <v>002077.SZ</v>
          </cell>
        </row>
        <row r="551">
          <cell r="A551" t="str">
            <v>002078.SZ</v>
          </cell>
        </row>
        <row r="552">
          <cell r="A552" t="str">
            <v>002079.SZ</v>
          </cell>
        </row>
        <row r="553">
          <cell r="A553" t="str">
            <v>002080.SZ</v>
          </cell>
        </row>
        <row r="554">
          <cell r="A554" t="str">
            <v>002081.SZ</v>
          </cell>
        </row>
        <row r="555">
          <cell r="A555" t="str">
            <v>002082.SZ</v>
          </cell>
        </row>
        <row r="556">
          <cell r="A556" t="str">
            <v>002083.SZ</v>
          </cell>
        </row>
        <row r="557">
          <cell r="A557" t="str">
            <v>002084.SZ</v>
          </cell>
        </row>
        <row r="558">
          <cell r="A558" t="str">
            <v>002085.SZ</v>
          </cell>
        </row>
        <row r="559">
          <cell r="A559" t="str">
            <v>002086.SZ</v>
          </cell>
        </row>
        <row r="560">
          <cell r="A560" t="str">
            <v>002087.SZ</v>
          </cell>
        </row>
        <row r="561">
          <cell r="A561" t="str">
            <v>002088.SZ</v>
          </cell>
        </row>
        <row r="562">
          <cell r="A562" t="str">
            <v>002089.SZ</v>
          </cell>
        </row>
        <row r="563">
          <cell r="A563" t="str">
            <v>002090.SZ</v>
          </cell>
        </row>
        <row r="564">
          <cell r="A564" t="str">
            <v>002091.SZ</v>
          </cell>
        </row>
        <row r="565">
          <cell r="A565" t="str">
            <v>002092.SZ</v>
          </cell>
        </row>
        <row r="566">
          <cell r="A566" t="str">
            <v>002093.SZ</v>
          </cell>
        </row>
        <row r="567">
          <cell r="A567" t="str">
            <v>002094.SZ</v>
          </cell>
        </row>
        <row r="568">
          <cell r="A568" t="str">
            <v>002095.SZ</v>
          </cell>
        </row>
        <row r="569">
          <cell r="A569" t="str">
            <v>002096.SZ</v>
          </cell>
        </row>
        <row r="570">
          <cell r="A570" t="str">
            <v>002097.SZ</v>
          </cell>
        </row>
        <row r="571">
          <cell r="A571" t="str">
            <v>002098.SZ</v>
          </cell>
        </row>
        <row r="572">
          <cell r="A572" t="str">
            <v>002099.SZ</v>
          </cell>
        </row>
        <row r="573">
          <cell r="A573" t="str">
            <v>002100.SZ</v>
          </cell>
        </row>
        <row r="574">
          <cell r="A574" t="str">
            <v>002101.SZ</v>
          </cell>
        </row>
        <row r="575">
          <cell r="A575" t="str">
            <v>002102.SZ</v>
          </cell>
        </row>
        <row r="576">
          <cell r="A576" t="str">
            <v>002103.SZ</v>
          </cell>
        </row>
        <row r="577">
          <cell r="A577" t="str">
            <v>002104.SZ</v>
          </cell>
        </row>
        <row r="578">
          <cell r="A578" t="str">
            <v>002105.SZ</v>
          </cell>
        </row>
        <row r="579">
          <cell r="A579" t="str">
            <v>002106.SZ</v>
          </cell>
        </row>
        <row r="580">
          <cell r="A580" t="str">
            <v>002107.SZ</v>
          </cell>
        </row>
        <row r="581">
          <cell r="A581" t="str">
            <v>002108.SZ</v>
          </cell>
        </row>
        <row r="582">
          <cell r="A582" t="str">
            <v>002109.SZ</v>
          </cell>
        </row>
        <row r="583">
          <cell r="A583" t="str">
            <v>002110.SZ</v>
          </cell>
        </row>
        <row r="584">
          <cell r="A584" t="str">
            <v>002111.SZ</v>
          </cell>
        </row>
        <row r="585">
          <cell r="A585" t="str">
            <v>002112.SZ</v>
          </cell>
        </row>
        <row r="586">
          <cell r="A586" t="str">
            <v>002113.SZ</v>
          </cell>
        </row>
        <row r="587">
          <cell r="A587" t="str">
            <v>002114.SZ</v>
          </cell>
        </row>
        <row r="588">
          <cell r="A588" t="str">
            <v>002115.SZ</v>
          </cell>
        </row>
        <row r="589">
          <cell r="A589" t="str">
            <v>002116.SZ</v>
          </cell>
        </row>
        <row r="590">
          <cell r="A590" t="str">
            <v>002117.SZ</v>
          </cell>
        </row>
        <row r="591">
          <cell r="A591" t="str">
            <v>002118.SZ</v>
          </cell>
        </row>
        <row r="592">
          <cell r="A592" t="str">
            <v>002119.SZ</v>
          </cell>
        </row>
        <row r="593">
          <cell r="A593" t="str">
            <v>002120.SZ</v>
          </cell>
        </row>
        <row r="594">
          <cell r="A594" t="str">
            <v>002121.SZ</v>
          </cell>
        </row>
        <row r="595">
          <cell r="A595" t="str">
            <v>002122.SZ</v>
          </cell>
        </row>
        <row r="596">
          <cell r="A596" t="str">
            <v>002123.SZ</v>
          </cell>
        </row>
        <row r="597">
          <cell r="A597" t="str">
            <v>002124.SZ</v>
          </cell>
        </row>
        <row r="598">
          <cell r="A598" t="str">
            <v>002125.SZ</v>
          </cell>
        </row>
        <row r="599">
          <cell r="A599" t="str">
            <v>002126.SZ</v>
          </cell>
        </row>
        <row r="600">
          <cell r="A600" t="str">
            <v>002127.SZ</v>
          </cell>
        </row>
        <row r="601">
          <cell r="A601" t="str">
            <v>002128.SZ</v>
          </cell>
        </row>
        <row r="602">
          <cell r="A602" t="str">
            <v>002129.SZ</v>
          </cell>
        </row>
        <row r="603">
          <cell r="A603" t="str">
            <v>002130.SZ</v>
          </cell>
        </row>
        <row r="604">
          <cell r="A604" t="str">
            <v>002131.SZ</v>
          </cell>
        </row>
        <row r="605">
          <cell r="A605" t="str">
            <v>002132.SZ</v>
          </cell>
        </row>
        <row r="606">
          <cell r="A606" t="str">
            <v>002133.SZ</v>
          </cell>
        </row>
        <row r="607">
          <cell r="A607" t="str">
            <v>002134.SZ</v>
          </cell>
        </row>
        <row r="608">
          <cell r="A608" t="str">
            <v>002135.SZ</v>
          </cell>
        </row>
        <row r="609">
          <cell r="A609" t="str">
            <v>002136.SZ</v>
          </cell>
        </row>
        <row r="610">
          <cell r="A610" t="str">
            <v>002137.SZ</v>
          </cell>
        </row>
        <row r="611">
          <cell r="A611" t="str">
            <v>002138.SZ</v>
          </cell>
        </row>
        <row r="612">
          <cell r="A612" t="str">
            <v>002139.SZ</v>
          </cell>
        </row>
        <row r="613">
          <cell r="A613" t="str">
            <v>002140.SZ</v>
          </cell>
        </row>
        <row r="614">
          <cell r="A614" t="str">
            <v>002141.SZ</v>
          </cell>
        </row>
        <row r="615">
          <cell r="A615" t="str">
            <v>002142.SZ</v>
          </cell>
        </row>
        <row r="616">
          <cell r="A616" t="str">
            <v>002143.SZ</v>
          </cell>
        </row>
        <row r="617">
          <cell r="A617" t="str">
            <v>002144.SZ</v>
          </cell>
        </row>
        <row r="618">
          <cell r="A618" t="str">
            <v>002145.SZ</v>
          </cell>
        </row>
        <row r="619">
          <cell r="A619" t="str">
            <v>002146.SZ</v>
          </cell>
        </row>
        <row r="620">
          <cell r="A620" t="str">
            <v>002147.SZ</v>
          </cell>
        </row>
        <row r="621">
          <cell r="A621" t="str">
            <v>002148.SZ</v>
          </cell>
        </row>
        <row r="622">
          <cell r="A622" t="str">
            <v>002149.SZ</v>
          </cell>
        </row>
        <row r="623">
          <cell r="A623" t="str">
            <v>002150.SZ</v>
          </cell>
        </row>
        <row r="624">
          <cell r="A624" t="str">
            <v>002151.SZ</v>
          </cell>
        </row>
        <row r="625">
          <cell r="A625" t="str">
            <v>002152.SZ</v>
          </cell>
        </row>
        <row r="626">
          <cell r="A626" t="str">
            <v>002153.SZ</v>
          </cell>
        </row>
        <row r="627">
          <cell r="A627" t="str">
            <v>002154.SZ</v>
          </cell>
        </row>
        <row r="628">
          <cell r="A628" t="str">
            <v>002155.SZ</v>
          </cell>
        </row>
        <row r="629">
          <cell r="A629" t="str">
            <v>002156.SZ</v>
          </cell>
        </row>
        <row r="630">
          <cell r="A630" t="str">
            <v>002157.SZ</v>
          </cell>
        </row>
        <row r="631">
          <cell r="A631" t="str">
            <v>002158.SZ</v>
          </cell>
        </row>
        <row r="632">
          <cell r="A632" t="str">
            <v>002159.SZ</v>
          </cell>
        </row>
        <row r="633">
          <cell r="A633" t="str">
            <v>002160.SZ</v>
          </cell>
        </row>
        <row r="634">
          <cell r="A634" t="str">
            <v>002161.SZ</v>
          </cell>
        </row>
        <row r="635">
          <cell r="A635" t="str">
            <v>002162.SZ</v>
          </cell>
        </row>
        <row r="636">
          <cell r="A636" t="str">
            <v>002163.SZ</v>
          </cell>
        </row>
        <row r="637">
          <cell r="A637" t="str">
            <v>002164.SZ</v>
          </cell>
        </row>
        <row r="638">
          <cell r="A638" t="str">
            <v>002165.SZ</v>
          </cell>
        </row>
        <row r="639">
          <cell r="A639" t="str">
            <v>002166.SZ</v>
          </cell>
        </row>
        <row r="640">
          <cell r="A640" t="str">
            <v>002167.SZ</v>
          </cell>
        </row>
        <row r="641">
          <cell r="A641" t="str">
            <v>002168.SZ</v>
          </cell>
        </row>
        <row r="642">
          <cell r="A642" t="str">
            <v>002169.SZ</v>
          </cell>
        </row>
        <row r="643">
          <cell r="A643" t="str">
            <v>002170.SZ</v>
          </cell>
        </row>
        <row r="644">
          <cell r="A644" t="str">
            <v>002171.SZ</v>
          </cell>
        </row>
        <row r="645">
          <cell r="A645" t="str">
            <v>002172.SZ</v>
          </cell>
        </row>
        <row r="646">
          <cell r="A646" t="str">
            <v>002173.SZ</v>
          </cell>
        </row>
        <row r="647">
          <cell r="A647" t="str">
            <v>002174.SZ</v>
          </cell>
        </row>
        <row r="648">
          <cell r="A648" t="str">
            <v>002175.SZ</v>
          </cell>
        </row>
        <row r="649">
          <cell r="A649" t="str">
            <v>002176.SZ</v>
          </cell>
        </row>
        <row r="650">
          <cell r="A650" t="str">
            <v>002177.SZ</v>
          </cell>
        </row>
        <row r="651">
          <cell r="A651" t="str">
            <v>002178.SZ</v>
          </cell>
        </row>
        <row r="652">
          <cell r="A652" t="str">
            <v>002179.SZ</v>
          </cell>
        </row>
        <row r="653">
          <cell r="A653" t="str">
            <v>002180.SZ</v>
          </cell>
        </row>
        <row r="654">
          <cell r="A654" t="str">
            <v>002181.SZ</v>
          </cell>
        </row>
        <row r="655">
          <cell r="A655" t="str">
            <v>002182.SZ</v>
          </cell>
        </row>
        <row r="656">
          <cell r="A656" t="str">
            <v>002183.SZ</v>
          </cell>
        </row>
        <row r="657">
          <cell r="A657" t="str">
            <v>002184.SZ</v>
          </cell>
        </row>
        <row r="658">
          <cell r="A658" t="str">
            <v>002185.SZ</v>
          </cell>
        </row>
        <row r="659">
          <cell r="A659" t="str">
            <v>002186.SZ</v>
          </cell>
        </row>
        <row r="660">
          <cell r="A660" t="str">
            <v>002187.SZ</v>
          </cell>
        </row>
        <row r="661">
          <cell r="A661" t="str">
            <v>002188.SZ</v>
          </cell>
        </row>
        <row r="662">
          <cell r="A662" t="str">
            <v>002189.SZ</v>
          </cell>
        </row>
        <row r="663">
          <cell r="A663" t="str">
            <v>002190.SZ</v>
          </cell>
        </row>
        <row r="664">
          <cell r="A664" t="str">
            <v>002191.SZ</v>
          </cell>
        </row>
        <row r="665">
          <cell r="A665" t="str">
            <v>002192.SZ</v>
          </cell>
        </row>
        <row r="666">
          <cell r="A666" t="str">
            <v>002193.SZ</v>
          </cell>
        </row>
        <row r="667">
          <cell r="A667" t="str">
            <v>002194.SZ</v>
          </cell>
        </row>
        <row r="668">
          <cell r="A668" t="str">
            <v>002195.SZ</v>
          </cell>
        </row>
        <row r="669">
          <cell r="A669" t="str">
            <v>002196.SZ</v>
          </cell>
        </row>
        <row r="670">
          <cell r="A670" t="str">
            <v>002197.SZ</v>
          </cell>
        </row>
        <row r="671">
          <cell r="A671" t="str">
            <v>002198.SZ</v>
          </cell>
        </row>
        <row r="672">
          <cell r="A672" t="str">
            <v>002199.SZ</v>
          </cell>
        </row>
        <row r="673">
          <cell r="A673" t="str">
            <v>002200.SZ</v>
          </cell>
        </row>
        <row r="674">
          <cell r="A674" t="str">
            <v>002201.SZ</v>
          </cell>
        </row>
        <row r="675">
          <cell r="A675" t="str">
            <v>002202.SZ</v>
          </cell>
        </row>
        <row r="676">
          <cell r="A676" t="str">
            <v>002203.SZ</v>
          </cell>
        </row>
        <row r="677">
          <cell r="A677" t="str">
            <v>002204.SZ</v>
          </cell>
        </row>
        <row r="678">
          <cell r="A678" t="str">
            <v>002205.SZ</v>
          </cell>
        </row>
        <row r="679">
          <cell r="A679" t="str">
            <v>002206.SZ</v>
          </cell>
        </row>
        <row r="680">
          <cell r="A680" t="str">
            <v>002207.SZ</v>
          </cell>
        </row>
        <row r="681">
          <cell r="A681" t="str">
            <v>002208.SZ</v>
          </cell>
        </row>
        <row r="682">
          <cell r="A682" t="str">
            <v>002209.SZ</v>
          </cell>
        </row>
        <row r="683">
          <cell r="A683" t="str">
            <v>002210.SZ</v>
          </cell>
        </row>
        <row r="684">
          <cell r="A684" t="str">
            <v>002211.SZ</v>
          </cell>
        </row>
        <row r="685">
          <cell r="A685" t="str">
            <v>002212.SZ</v>
          </cell>
        </row>
        <row r="686">
          <cell r="A686" t="str">
            <v>002213.SZ</v>
          </cell>
        </row>
        <row r="687">
          <cell r="A687" t="str">
            <v>002214.SZ</v>
          </cell>
        </row>
        <row r="688">
          <cell r="A688" t="str">
            <v>002215.SZ</v>
          </cell>
        </row>
        <row r="689">
          <cell r="A689" t="str">
            <v>002216.SZ</v>
          </cell>
        </row>
        <row r="690">
          <cell r="A690" t="str">
            <v>002217.SZ</v>
          </cell>
        </row>
        <row r="691">
          <cell r="A691" t="str">
            <v>002218.SZ</v>
          </cell>
        </row>
        <row r="692">
          <cell r="A692" t="str">
            <v>002219.SZ</v>
          </cell>
        </row>
        <row r="693">
          <cell r="A693" t="str">
            <v>002220.SZ</v>
          </cell>
        </row>
        <row r="694">
          <cell r="A694" t="str">
            <v>002221.SZ</v>
          </cell>
        </row>
        <row r="695">
          <cell r="A695" t="str">
            <v>002222.SZ</v>
          </cell>
        </row>
        <row r="696">
          <cell r="A696" t="str">
            <v>002223.SZ</v>
          </cell>
        </row>
        <row r="697">
          <cell r="A697" t="str">
            <v>002224.SZ</v>
          </cell>
        </row>
        <row r="698">
          <cell r="A698" t="str">
            <v>002225.SZ</v>
          </cell>
        </row>
        <row r="699">
          <cell r="A699" t="str">
            <v>002226.SZ</v>
          </cell>
        </row>
        <row r="700">
          <cell r="A700" t="str">
            <v>002227.SZ</v>
          </cell>
        </row>
        <row r="701">
          <cell r="A701" t="str">
            <v>002228.SZ</v>
          </cell>
        </row>
        <row r="702">
          <cell r="A702" t="str">
            <v>002229.SZ</v>
          </cell>
        </row>
        <row r="703">
          <cell r="A703" t="str">
            <v>002230.SZ</v>
          </cell>
        </row>
        <row r="704">
          <cell r="A704" t="str">
            <v>002231.SZ</v>
          </cell>
        </row>
        <row r="705">
          <cell r="A705" t="str">
            <v>002232.SZ</v>
          </cell>
        </row>
        <row r="706">
          <cell r="A706" t="str">
            <v>002233.SZ</v>
          </cell>
        </row>
        <row r="707">
          <cell r="A707" t="str">
            <v>002234.SZ</v>
          </cell>
        </row>
        <row r="708">
          <cell r="A708" t="str">
            <v>002235.SZ</v>
          </cell>
        </row>
        <row r="709">
          <cell r="A709" t="str">
            <v>002236.SZ</v>
          </cell>
        </row>
        <row r="710">
          <cell r="A710" t="str">
            <v>002237.SZ</v>
          </cell>
        </row>
        <row r="711">
          <cell r="A711" t="str">
            <v>002238.SZ</v>
          </cell>
        </row>
        <row r="712">
          <cell r="A712" t="str">
            <v>002239.SZ</v>
          </cell>
        </row>
        <row r="713">
          <cell r="A713" t="str">
            <v>002240.SZ</v>
          </cell>
        </row>
        <row r="714">
          <cell r="A714" t="str">
            <v>002241.SZ</v>
          </cell>
        </row>
        <row r="715">
          <cell r="A715" t="str">
            <v>002242.SZ</v>
          </cell>
        </row>
        <row r="716">
          <cell r="A716" t="str">
            <v>002243.SZ</v>
          </cell>
        </row>
        <row r="717">
          <cell r="A717" t="str">
            <v>002244.SZ</v>
          </cell>
        </row>
        <row r="718">
          <cell r="A718" t="str">
            <v>002245.SZ</v>
          </cell>
        </row>
        <row r="719">
          <cell r="A719" t="str">
            <v>002246.SZ</v>
          </cell>
        </row>
        <row r="720">
          <cell r="A720" t="str">
            <v>002247.SZ</v>
          </cell>
        </row>
        <row r="721">
          <cell r="A721" t="str">
            <v>002248.SZ</v>
          </cell>
        </row>
        <row r="722">
          <cell r="A722" t="str">
            <v>002249.SZ</v>
          </cell>
        </row>
        <row r="723">
          <cell r="A723" t="str">
            <v>002250.SZ</v>
          </cell>
        </row>
        <row r="724">
          <cell r="A724" t="str">
            <v>002251.SZ</v>
          </cell>
        </row>
        <row r="725">
          <cell r="A725" t="str">
            <v>002252.SZ</v>
          </cell>
        </row>
        <row r="726">
          <cell r="A726" t="str">
            <v>002253.SZ</v>
          </cell>
        </row>
        <row r="727">
          <cell r="A727" t="str">
            <v>002254.SZ</v>
          </cell>
        </row>
        <row r="728">
          <cell r="A728" t="str">
            <v>002255.SZ</v>
          </cell>
        </row>
        <row r="729">
          <cell r="A729" t="str">
            <v>002256.SZ</v>
          </cell>
        </row>
        <row r="730">
          <cell r="A730" t="str">
            <v>002258.SZ</v>
          </cell>
        </row>
        <row r="731">
          <cell r="A731" t="str">
            <v>002259.SZ</v>
          </cell>
        </row>
        <row r="732">
          <cell r="A732" t="str">
            <v>002260.SZ</v>
          </cell>
        </row>
        <row r="733">
          <cell r="A733" t="str">
            <v>002261.SZ</v>
          </cell>
        </row>
        <row r="734">
          <cell r="A734" t="str">
            <v>002262.SZ</v>
          </cell>
        </row>
        <row r="735">
          <cell r="A735" t="str">
            <v>002263.SZ</v>
          </cell>
        </row>
        <row r="736">
          <cell r="A736" t="str">
            <v>002264.SZ</v>
          </cell>
        </row>
        <row r="737">
          <cell r="A737" t="str">
            <v>002265.SZ</v>
          </cell>
        </row>
        <row r="738">
          <cell r="A738" t="str">
            <v>002266.SZ</v>
          </cell>
        </row>
        <row r="739">
          <cell r="A739" t="str">
            <v>002267.SZ</v>
          </cell>
        </row>
        <row r="740">
          <cell r="A740" t="str">
            <v>002268.SZ</v>
          </cell>
        </row>
        <row r="741">
          <cell r="A741" t="str">
            <v>002269.SZ</v>
          </cell>
        </row>
        <row r="742">
          <cell r="A742" t="str">
            <v>002270.SZ</v>
          </cell>
        </row>
        <row r="743">
          <cell r="A743" t="str">
            <v>002271.SZ</v>
          </cell>
        </row>
        <row r="744">
          <cell r="A744" t="str">
            <v>002272.SZ</v>
          </cell>
        </row>
        <row r="745">
          <cell r="A745" t="str">
            <v>002273.SZ</v>
          </cell>
        </row>
        <row r="746">
          <cell r="A746" t="str">
            <v>002274.SZ</v>
          </cell>
        </row>
        <row r="747">
          <cell r="A747" t="str">
            <v>002275.SZ</v>
          </cell>
        </row>
        <row r="748">
          <cell r="A748" t="str">
            <v>002276.SZ</v>
          </cell>
        </row>
        <row r="749">
          <cell r="A749" t="str">
            <v>002277.SZ</v>
          </cell>
        </row>
        <row r="750">
          <cell r="A750" t="str">
            <v>002278.SZ</v>
          </cell>
        </row>
        <row r="751">
          <cell r="A751" t="str">
            <v>002279.SZ</v>
          </cell>
        </row>
        <row r="752">
          <cell r="A752" t="str">
            <v>002280.SZ</v>
          </cell>
        </row>
        <row r="753">
          <cell r="A753" t="str">
            <v>002281.SZ</v>
          </cell>
        </row>
        <row r="754">
          <cell r="A754" t="str">
            <v>002282.SZ</v>
          </cell>
        </row>
        <row r="755">
          <cell r="A755" t="str">
            <v>002283.SZ</v>
          </cell>
        </row>
        <row r="756">
          <cell r="A756" t="str">
            <v>002284.SZ</v>
          </cell>
        </row>
        <row r="757">
          <cell r="A757" t="str">
            <v>002285.SZ</v>
          </cell>
        </row>
        <row r="758">
          <cell r="A758" t="str">
            <v>002286.SZ</v>
          </cell>
        </row>
        <row r="759">
          <cell r="A759" t="str">
            <v>002287.SZ</v>
          </cell>
        </row>
        <row r="760">
          <cell r="A760" t="str">
            <v>002288.SZ</v>
          </cell>
        </row>
        <row r="761">
          <cell r="A761" t="str">
            <v>002289.SZ</v>
          </cell>
        </row>
        <row r="762">
          <cell r="A762" t="str">
            <v>002290.SZ</v>
          </cell>
        </row>
        <row r="763">
          <cell r="A763" t="str">
            <v>002291.SZ</v>
          </cell>
        </row>
        <row r="764">
          <cell r="A764" t="str">
            <v>002292.SZ</v>
          </cell>
        </row>
        <row r="765">
          <cell r="A765" t="str">
            <v>002293.SZ</v>
          </cell>
        </row>
        <row r="766">
          <cell r="A766" t="str">
            <v>002294.SZ</v>
          </cell>
        </row>
        <row r="767">
          <cell r="A767" t="str">
            <v>002295.SZ</v>
          </cell>
        </row>
        <row r="768">
          <cell r="A768" t="str">
            <v>002296.SZ</v>
          </cell>
        </row>
        <row r="769">
          <cell r="A769" t="str">
            <v>002297.SZ</v>
          </cell>
        </row>
        <row r="770">
          <cell r="A770" t="str">
            <v>002298.SZ</v>
          </cell>
        </row>
        <row r="771">
          <cell r="A771" t="str">
            <v>002299.SZ</v>
          </cell>
        </row>
        <row r="772">
          <cell r="A772" t="str">
            <v>002300.SZ</v>
          </cell>
        </row>
        <row r="773">
          <cell r="A773" t="str">
            <v>002301.SZ</v>
          </cell>
        </row>
        <row r="774">
          <cell r="A774" t="str">
            <v>002302.SZ</v>
          </cell>
        </row>
        <row r="775">
          <cell r="A775" t="str">
            <v>002303.SZ</v>
          </cell>
        </row>
        <row r="776">
          <cell r="A776" t="str">
            <v>002304.SZ</v>
          </cell>
        </row>
        <row r="777">
          <cell r="A777" t="str">
            <v>002305.SZ</v>
          </cell>
        </row>
        <row r="778">
          <cell r="A778" t="str">
            <v>002306.SZ</v>
          </cell>
        </row>
        <row r="779">
          <cell r="A779" t="str">
            <v>002307.SZ</v>
          </cell>
        </row>
        <row r="780">
          <cell r="A780" t="str">
            <v>002308.SZ</v>
          </cell>
        </row>
        <row r="781">
          <cell r="A781" t="str">
            <v>002309.SZ</v>
          </cell>
        </row>
        <row r="782">
          <cell r="A782" t="str">
            <v>002310.SZ</v>
          </cell>
        </row>
        <row r="783">
          <cell r="A783" t="str">
            <v>002311.SZ</v>
          </cell>
        </row>
        <row r="784">
          <cell r="A784" t="str">
            <v>002312.SZ</v>
          </cell>
        </row>
        <row r="785">
          <cell r="A785" t="str">
            <v>002313.SZ</v>
          </cell>
        </row>
        <row r="786">
          <cell r="A786" t="str">
            <v>002314.SZ</v>
          </cell>
        </row>
        <row r="787">
          <cell r="A787" t="str">
            <v>002315.SZ</v>
          </cell>
        </row>
        <row r="788">
          <cell r="A788" t="str">
            <v>002316.SZ</v>
          </cell>
        </row>
        <row r="789">
          <cell r="A789" t="str">
            <v>002317.SZ</v>
          </cell>
        </row>
        <row r="790">
          <cell r="A790" t="str">
            <v>002318.SZ</v>
          </cell>
        </row>
        <row r="791">
          <cell r="A791" t="str">
            <v>002319.SZ</v>
          </cell>
        </row>
        <row r="792">
          <cell r="A792" t="str">
            <v>002320.SZ</v>
          </cell>
        </row>
        <row r="793">
          <cell r="A793" t="str">
            <v>002321.SZ</v>
          </cell>
        </row>
        <row r="794">
          <cell r="A794" t="str">
            <v>002322.SZ</v>
          </cell>
        </row>
        <row r="795">
          <cell r="A795" t="str">
            <v>002323.SZ</v>
          </cell>
        </row>
        <row r="796">
          <cell r="A796" t="str">
            <v>002324.SZ</v>
          </cell>
        </row>
        <row r="797">
          <cell r="A797" t="str">
            <v>002325.SZ</v>
          </cell>
        </row>
        <row r="798">
          <cell r="A798" t="str">
            <v>002326.SZ</v>
          </cell>
        </row>
        <row r="799">
          <cell r="A799" t="str">
            <v>002327.SZ</v>
          </cell>
        </row>
        <row r="800">
          <cell r="A800" t="str">
            <v>002328.SZ</v>
          </cell>
        </row>
        <row r="801">
          <cell r="A801" t="str">
            <v>002329.SZ</v>
          </cell>
        </row>
        <row r="802">
          <cell r="A802" t="str">
            <v>002330.SZ</v>
          </cell>
        </row>
        <row r="803">
          <cell r="A803" t="str">
            <v>002331.SZ</v>
          </cell>
        </row>
        <row r="804">
          <cell r="A804" t="str">
            <v>002332.SZ</v>
          </cell>
        </row>
        <row r="805">
          <cell r="A805" t="str">
            <v>002333.SZ</v>
          </cell>
        </row>
        <row r="806">
          <cell r="A806" t="str">
            <v>002334.SZ</v>
          </cell>
        </row>
        <row r="807">
          <cell r="A807" t="str">
            <v>002335.SZ</v>
          </cell>
        </row>
        <row r="808">
          <cell r="A808" t="str">
            <v>002336.SZ</v>
          </cell>
        </row>
        <row r="809">
          <cell r="A809" t="str">
            <v>002337.SZ</v>
          </cell>
        </row>
        <row r="810">
          <cell r="A810" t="str">
            <v>002338.SZ</v>
          </cell>
        </row>
        <row r="811">
          <cell r="A811" t="str">
            <v>002339.SZ</v>
          </cell>
        </row>
        <row r="812">
          <cell r="A812" t="str">
            <v>002340.SZ</v>
          </cell>
        </row>
        <row r="813">
          <cell r="A813" t="str">
            <v>002341.SZ</v>
          </cell>
        </row>
        <row r="814">
          <cell r="A814" t="str">
            <v>002342.SZ</v>
          </cell>
        </row>
        <row r="815">
          <cell r="A815" t="str">
            <v>002343.SZ</v>
          </cell>
        </row>
        <row r="816">
          <cell r="A816" t="str">
            <v>002344.SZ</v>
          </cell>
        </row>
        <row r="817">
          <cell r="A817" t="str">
            <v>002345.SZ</v>
          </cell>
        </row>
        <row r="818">
          <cell r="A818" t="str">
            <v>002346.SZ</v>
          </cell>
        </row>
        <row r="819">
          <cell r="A819" t="str">
            <v>002347.SZ</v>
          </cell>
        </row>
        <row r="820">
          <cell r="A820" t="str">
            <v>002348.SZ</v>
          </cell>
        </row>
        <row r="821">
          <cell r="A821" t="str">
            <v>002349.SZ</v>
          </cell>
        </row>
        <row r="822">
          <cell r="A822" t="str">
            <v>002350.SZ</v>
          </cell>
        </row>
        <row r="823">
          <cell r="A823" t="str">
            <v>002351.SZ</v>
          </cell>
        </row>
        <row r="824">
          <cell r="A824" t="str">
            <v>002352.SZ</v>
          </cell>
        </row>
        <row r="825">
          <cell r="A825" t="str">
            <v>002353.SZ</v>
          </cell>
        </row>
        <row r="826">
          <cell r="A826" t="str">
            <v>002354.SZ</v>
          </cell>
        </row>
        <row r="827">
          <cell r="A827" t="str">
            <v>002355.SZ</v>
          </cell>
        </row>
        <row r="828">
          <cell r="A828" t="str">
            <v>002356.SZ</v>
          </cell>
        </row>
        <row r="829">
          <cell r="A829" t="str">
            <v>002357.SZ</v>
          </cell>
        </row>
        <row r="830">
          <cell r="A830" t="str">
            <v>002358.SZ</v>
          </cell>
        </row>
        <row r="831">
          <cell r="A831" t="str">
            <v>002359.SZ</v>
          </cell>
        </row>
        <row r="832">
          <cell r="A832" t="str">
            <v>002360.SZ</v>
          </cell>
        </row>
        <row r="833">
          <cell r="A833" t="str">
            <v>002361.SZ</v>
          </cell>
        </row>
        <row r="834">
          <cell r="A834" t="str">
            <v>002362.SZ</v>
          </cell>
        </row>
        <row r="835">
          <cell r="A835" t="str">
            <v>002363.SZ</v>
          </cell>
        </row>
        <row r="836">
          <cell r="A836" t="str">
            <v>002364.SZ</v>
          </cell>
        </row>
        <row r="837">
          <cell r="A837" t="str">
            <v>002365.SZ</v>
          </cell>
        </row>
        <row r="838">
          <cell r="A838" t="str">
            <v>002366.SZ</v>
          </cell>
        </row>
        <row r="839">
          <cell r="A839" t="str">
            <v>002367.SZ</v>
          </cell>
        </row>
        <row r="840">
          <cell r="A840" t="str">
            <v>002368.SZ</v>
          </cell>
        </row>
        <row r="841">
          <cell r="A841" t="str">
            <v>002369.SZ</v>
          </cell>
        </row>
        <row r="842">
          <cell r="A842" t="str">
            <v>002370.SZ</v>
          </cell>
        </row>
        <row r="843">
          <cell r="A843" t="str">
            <v>002371.SZ</v>
          </cell>
        </row>
        <row r="844">
          <cell r="A844" t="str">
            <v>002372.SZ</v>
          </cell>
        </row>
        <row r="845">
          <cell r="A845" t="str">
            <v>002373.SZ</v>
          </cell>
        </row>
        <row r="846">
          <cell r="A846" t="str">
            <v>002374.SZ</v>
          </cell>
        </row>
        <row r="847">
          <cell r="A847" t="str">
            <v>002375.SZ</v>
          </cell>
        </row>
        <row r="848">
          <cell r="A848" t="str">
            <v>002376.SZ</v>
          </cell>
        </row>
        <row r="849">
          <cell r="A849" t="str">
            <v>002377.SZ</v>
          </cell>
        </row>
        <row r="850">
          <cell r="A850" t="str">
            <v>002378.SZ</v>
          </cell>
        </row>
        <row r="851">
          <cell r="A851" t="str">
            <v>002379.SZ</v>
          </cell>
        </row>
        <row r="852">
          <cell r="A852" t="str">
            <v>002380.SZ</v>
          </cell>
        </row>
        <row r="853">
          <cell r="A853" t="str">
            <v>002381.SZ</v>
          </cell>
        </row>
        <row r="854">
          <cell r="A854" t="str">
            <v>002382.SZ</v>
          </cell>
        </row>
        <row r="855">
          <cell r="A855" t="str">
            <v>002383.SZ</v>
          </cell>
        </row>
        <row r="856">
          <cell r="A856" t="str">
            <v>002384.SZ</v>
          </cell>
        </row>
        <row r="857">
          <cell r="A857" t="str">
            <v>002385.SZ</v>
          </cell>
        </row>
        <row r="858">
          <cell r="A858" t="str">
            <v>002386.SZ</v>
          </cell>
        </row>
        <row r="859">
          <cell r="A859" t="str">
            <v>002387.SZ</v>
          </cell>
        </row>
        <row r="860">
          <cell r="A860" t="str">
            <v>002388.SZ</v>
          </cell>
        </row>
        <row r="861">
          <cell r="A861" t="str">
            <v>002389.SZ</v>
          </cell>
        </row>
        <row r="862">
          <cell r="A862" t="str">
            <v>002390.SZ</v>
          </cell>
        </row>
        <row r="863">
          <cell r="A863" t="str">
            <v>002391.SZ</v>
          </cell>
        </row>
        <row r="864">
          <cell r="A864" t="str">
            <v>002392.SZ</v>
          </cell>
        </row>
        <row r="865">
          <cell r="A865" t="str">
            <v>002393.SZ</v>
          </cell>
        </row>
        <row r="866">
          <cell r="A866" t="str">
            <v>002394.SZ</v>
          </cell>
        </row>
        <row r="867">
          <cell r="A867" t="str">
            <v>002395.SZ</v>
          </cell>
        </row>
        <row r="868">
          <cell r="A868" t="str">
            <v>002396.SZ</v>
          </cell>
        </row>
        <row r="869">
          <cell r="A869" t="str">
            <v>002397.SZ</v>
          </cell>
        </row>
        <row r="870">
          <cell r="A870" t="str">
            <v>002398.SZ</v>
          </cell>
        </row>
        <row r="871">
          <cell r="A871" t="str">
            <v>002399.SZ</v>
          </cell>
        </row>
        <row r="872">
          <cell r="A872" t="str">
            <v>002400.SZ</v>
          </cell>
        </row>
        <row r="873">
          <cell r="A873" t="str">
            <v>002401.SZ</v>
          </cell>
        </row>
        <row r="874">
          <cell r="A874" t="str">
            <v>002402.SZ</v>
          </cell>
        </row>
        <row r="875">
          <cell r="A875" t="str">
            <v>002403.SZ</v>
          </cell>
        </row>
        <row r="876">
          <cell r="A876" t="str">
            <v>002404.SZ</v>
          </cell>
        </row>
        <row r="877">
          <cell r="A877" t="str">
            <v>002405.SZ</v>
          </cell>
        </row>
        <row r="878">
          <cell r="A878" t="str">
            <v>002406.SZ</v>
          </cell>
        </row>
        <row r="879">
          <cell r="A879" t="str">
            <v>002407.SZ</v>
          </cell>
        </row>
        <row r="880">
          <cell r="A880" t="str">
            <v>002408.SZ</v>
          </cell>
        </row>
        <row r="881">
          <cell r="A881" t="str">
            <v>002409.SZ</v>
          </cell>
        </row>
        <row r="882">
          <cell r="A882" t="str">
            <v>002410.SZ</v>
          </cell>
        </row>
        <row r="883">
          <cell r="A883" t="str">
            <v>002411.SZ</v>
          </cell>
        </row>
        <row r="884">
          <cell r="A884" t="str">
            <v>002412.SZ</v>
          </cell>
        </row>
        <row r="885">
          <cell r="A885" t="str">
            <v>002413.SZ</v>
          </cell>
        </row>
        <row r="886">
          <cell r="A886" t="str">
            <v>002414.SZ</v>
          </cell>
        </row>
        <row r="887">
          <cell r="A887" t="str">
            <v>002415.SZ</v>
          </cell>
        </row>
        <row r="888">
          <cell r="A888" t="str">
            <v>002416.SZ</v>
          </cell>
        </row>
        <row r="889">
          <cell r="A889" t="str">
            <v>002417.SZ</v>
          </cell>
        </row>
        <row r="890">
          <cell r="A890" t="str">
            <v>002418.SZ</v>
          </cell>
        </row>
        <row r="891">
          <cell r="A891" t="str">
            <v>002419.SZ</v>
          </cell>
        </row>
        <row r="892">
          <cell r="A892" t="str">
            <v>002420.SZ</v>
          </cell>
        </row>
        <row r="893">
          <cell r="A893" t="str">
            <v>002421.SZ</v>
          </cell>
        </row>
        <row r="894">
          <cell r="A894" t="str">
            <v>002422.SZ</v>
          </cell>
        </row>
        <row r="895">
          <cell r="A895" t="str">
            <v>002423.SZ</v>
          </cell>
        </row>
        <row r="896">
          <cell r="A896" t="str">
            <v>002424.SZ</v>
          </cell>
        </row>
        <row r="897">
          <cell r="A897" t="str">
            <v>002425.SZ</v>
          </cell>
        </row>
        <row r="898">
          <cell r="A898" t="str">
            <v>002426.SZ</v>
          </cell>
        </row>
        <row r="899">
          <cell r="A899" t="str">
            <v>002427.SZ</v>
          </cell>
        </row>
        <row r="900">
          <cell r="A900" t="str">
            <v>002428.SZ</v>
          </cell>
        </row>
        <row r="901">
          <cell r="A901" t="str">
            <v>002429.SZ</v>
          </cell>
        </row>
        <row r="902">
          <cell r="A902" t="str">
            <v>002430.SZ</v>
          </cell>
        </row>
        <row r="903">
          <cell r="A903" t="str">
            <v>002431.SZ</v>
          </cell>
        </row>
        <row r="904">
          <cell r="A904" t="str">
            <v>002432.SZ</v>
          </cell>
        </row>
        <row r="905">
          <cell r="A905" t="str">
            <v>002433.SZ</v>
          </cell>
        </row>
        <row r="906">
          <cell r="A906" t="str">
            <v>002434.SZ</v>
          </cell>
        </row>
        <row r="907">
          <cell r="A907" t="str">
            <v>002435.SZ</v>
          </cell>
        </row>
        <row r="908">
          <cell r="A908" t="str">
            <v>002436.SZ</v>
          </cell>
        </row>
        <row r="909">
          <cell r="A909" t="str">
            <v>002437.SZ</v>
          </cell>
        </row>
        <row r="910">
          <cell r="A910" t="str">
            <v>002438.SZ</v>
          </cell>
        </row>
        <row r="911">
          <cell r="A911" t="str">
            <v>002439.SZ</v>
          </cell>
        </row>
        <row r="912">
          <cell r="A912" t="str">
            <v>002440.SZ</v>
          </cell>
        </row>
        <row r="913">
          <cell r="A913" t="str">
            <v>002441.SZ</v>
          </cell>
        </row>
        <row r="914">
          <cell r="A914" t="str">
            <v>002442.SZ</v>
          </cell>
        </row>
        <row r="915">
          <cell r="A915" t="str">
            <v>002443.SZ</v>
          </cell>
        </row>
        <row r="916">
          <cell r="A916" t="str">
            <v>002444.SZ</v>
          </cell>
        </row>
        <row r="917">
          <cell r="A917" t="str">
            <v>002445.SZ</v>
          </cell>
        </row>
        <row r="918">
          <cell r="A918" t="str">
            <v>002446.SZ</v>
          </cell>
        </row>
        <row r="919">
          <cell r="A919" t="str">
            <v>002447.SZ</v>
          </cell>
        </row>
        <row r="920">
          <cell r="A920" t="str">
            <v>002448.SZ</v>
          </cell>
        </row>
        <row r="921">
          <cell r="A921" t="str">
            <v>002449.SZ</v>
          </cell>
        </row>
        <row r="922">
          <cell r="A922" t="str">
            <v>002450.SZ</v>
          </cell>
        </row>
        <row r="923">
          <cell r="A923" t="str">
            <v>002451.SZ</v>
          </cell>
        </row>
        <row r="924">
          <cell r="A924" t="str">
            <v>002452.SZ</v>
          </cell>
        </row>
        <row r="925">
          <cell r="A925" t="str">
            <v>002453.SZ</v>
          </cell>
        </row>
        <row r="926">
          <cell r="A926" t="str">
            <v>002454.SZ</v>
          </cell>
        </row>
        <row r="927">
          <cell r="A927" t="str">
            <v>002455.SZ</v>
          </cell>
        </row>
        <row r="928">
          <cell r="A928" t="str">
            <v>002456.SZ</v>
          </cell>
        </row>
        <row r="929">
          <cell r="A929" t="str">
            <v>002457.SZ</v>
          </cell>
        </row>
        <row r="930">
          <cell r="A930" t="str">
            <v>300001.SZ</v>
          </cell>
        </row>
        <row r="931">
          <cell r="A931" t="str">
            <v>300002.SZ</v>
          </cell>
        </row>
        <row r="932">
          <cell r="A932" t="str">
            <v>300003.SZ</v>
          </cell>
        </row>
        <row r="933">
          <cell r="A933" t="str">
            <v>300004.SZ</v>
          </cell>
        </row>
        <row r="934">
          <cell r="A934" t="str">
            <v>300005.SZ</v>
          </cell>
        </row>
        <row r="935">
          <cell r="A935" t="str">
            <v>300006.SZ</v>
          </cell>
        </row>
        <row r="936">
          <cell r="A936" t="str">
            <v>300007.SZ</v>
          </cell>
        </row>
        <row r="937">
          <cell r="A937" t="str">
            <v>300008.SZ</v>
          </cell>
        </row>
        <row r="938">
          <cell r="A938" t="str">
            <v>300009.SZ</v>
          </cell>
        </row>
        <row r="939">
          <cell r="A939" t="str">
            <v>300010.SZ</v>
          </cell>
        </row>
        <row r="940">
          <cell r="A940" t="str">
            <v>300011.SZ</v>
          </cell>
        </row>
        <row r="941">
          <cell r="A941" t="str">
            <v>300012.SZ</v>
          </cell>
        </row>
        <row r="942">
          <cell r="A942" t="str">
            <v>300013.SZ</v>
          </cell>
        </row>
        <row r="943">
          <cell r="A943" t="str">
            <v>300014.SZ</v>
          </cell>
        </row>
        <row r="944">
          <cell r="A944" t="str">
            <v>300015.SZ</v>
          </cell>
        </row>
        <row r="945">
          <cell r="A945" t="str">
            <v>300016.SZ</v>
          </cell>
        </row>
        <row r="946">
          <cell r="A946" t="str">
            <v>300017.SZ</v>
          </cell>
        </row>
        <row r="947">
          <cell r="A947" t="str">
            <v>300018.SZ</v>
          </cell>
        </row>
        <row r="948">
          <cell r="A948" t="str">
            <v>300019.SZ</v>
          </cell>
        </row>
        <row r="949">
          <cell r="A949" t="str">
            <v>300020.SZ</v>
          </cell>
        </row>
        <row r="950">
          <cell r="A950" t="str">
            <v>300021.SZ</v>
          </cell>
        </row>
        <row r="951">
          <cell r="A951" t="str">
            <v>300022.SZ</v>
          </cell>
        </row>
        <row r="952">
          <cell r="A952" t="str">
            <v>300023.SZ</v>
          </cell>
        </row>
        <row r="953">
          <cell r="A953" t="str">
            <v>300024.SZ</v>
          </cell>
        </row>
        <row r="954">
          <cell r="A954" t="str">
            <v>300025.SZ</v>
          </cell>
        </row>
        <row r="955">
          <cell r="A955" t="str">
            <v>300026.SZ</v>
          </cell>
        </row>
        <row r="956">
          <cell r="A956" t="str">
            <v>300027.SZ</v>
          </cell>
        </row>
        <row r="957">
          <cell r="A957" t="str">
            <v>300028.SZ</v>
          </cell>
        </row>
        <row r="958">
          <cell r="A958" t="str">
            <v>300029.SZ</v>
          </cell>
        </row>
        <row r="959">
          <cell r="A959" t="str">
            <v>300030.SZ</v>
          </cell>
        </row>
        <row r="960">
          <cell r="A960" t="str">
            <v>300031.SZ</v>
          </cell>
        </row>
        <row r="961">
          <cell r="A961" t="str">
            <v>300032.SZ</v>
          </cell>
        </row>
        <row r="962">
          <cell r="A962" t="str">
            <v>300033.SZ</v>
          </cell>
        </row>
        <row r="963">
          <cell r="A963" t="str">
            <v>300034.SZ</v>
          </cell>
        </row>
        <row r="964">
          <cell r="A964" t="str">
            <v>300035.SZ</v>
          </cell>
        </row>
        <row r="965">
          <cell r="A965" t="str">
            <v>300036.SZ</v>
          </cell>
        </row>
        <row r="966">
          <cell r="A966" t="str">
            <v>300037.SZ</v>
          </cell>
        </row>
        <row r="967">
          <cell r="A967" t="str">
            <v>300038.SZ</v>
          </cell>
        </row>
        <row r="968">
          <cell r="A968" t="str">
            <v>300039.SZ</v>
          </cell>
        </row>
        <row r="969">
          <cell r="A969" t="str">
            <v>300040.SZ</v>
          </cell>
        </row>
        <row r="970">
          <cell r="A970" t="str">
            <v>300041.SZ</v>
          </cell>
        </row>
        <row r="971">
          <cell r="A971" t="str">
            <v>300042.SZ</v>
          </cell>
        </row>
        <row r="972">
          <cell r="A972" t="str">
            <v>300043.SZ</v>
          </cell>
        </row>
        <row r="973">
          <cell r="A973" t="str">
            <v>300044.SZ</v>
          </cell>
        </row>
        <row r="974">
          <cell r="A974" t="str">
            <v>300045.SZ</v>
          </cell>
        </row>
        <row r="975">
          <cell r="A975" t="str">
            <v>300046.SZ</v>
          </cell>
        </row>
        <row r="976">
          <cell r="A976" t="str">
            <v>300047.SZ</v>
          </cell>
        </row>
        <row r="977">
          <cell r="A977" t="str">
            <v>300048.SZ</v>
          </cell>
        </row>
        <row r="978">
          <cell r="A978" t="str">
            <v>300049.SZ</v>
          </cell>
        </row>
        <row r="979">
          <cell r="A979" t="str">
            <v>300050.SZ</v>
          </cell>
        </row>
        <row r="980">
          <cell r="A980" t="str">
            <v>300051.SZ</v>
          </cell>
        </row>
        <row r="981">
          <cell r="A981" t="str">
            <v>300052.SZ</v>
          </cell>
        </row>
        <row r="982">
          <cell r="A982" t="str">
            <v>300053.SZ</v>
          </cell>
        </row>
        <row r="983">
          <cell r="A983" t="str">
            <v>300054.SZ</v>
          </cell>
        </row>
        <row r="984">
          <cell r="A984" t="str">
            <v>300055.SZ</v>
          </cell>
        </row>
        <row r="985">
          <cell r="A985" t="str">
            <v>300056.SZ</v>
          </cell>
        </row>
        <row r="986">
          <cell r="A986" t="str">
            <v>300057.SZ</v>
          </cell>
        </row>
        <row r="987">
          <cell r="A987" t="str">
            <v>300058.SZ</v>
          </cell>
        </row>
        <row r="988">
          <cell r="A988" t="str">
            <v>300059.SZ</v>
          </cell>
        </row>
        <row r="989">
          <cell r="A989" t="str">
            <v>300061.SZ</v>
          </cell>
        </row>
        <row r="990">
          <cell r="A990" t="str">
            <v>300062.SZ</v>
          </cell>
        </row>
        <row r="991">
          <cell r="A991" t="str">
            <v>300063.SZ</v>
          </cell>
        </row>
        <row r="992">
          <cell r="A992" t="str">
            <v>300064.SZ</v>
          </cell>
        </row>
        <row r="993">
          <cell r="A993" t="str">
            <v>300065.SZ</v>
          </cell>
        </row>
        <row r="994">
          <cell r="A994" t="str">
            <v>300066.SZ</v>
          </cell>
        </row>
        <row r="995">
          <cell r="A995" t="str">
            <v>300067.SZ</v>
          </cell>
        </row>
        <row r="996">
          <cell r="A996" t="str">
            <v>300068.SZ</v>
          </cell>
        </row>
        <row r="997">
          <cell r="A997" t="str">
            <v>300069.SZ</v>
          </cell>
        </row>
        <row r="998">
          <cell r="A998" t="str">
            <v>300070.SZ</v>
          </cell>
        </row>
        <row r="999">
          <cell r="A999" t="str">
            <v>300071.SZ</v>
          </cell>
        </row>
        <row r="1000">
          <cell r="A1000" t="str">
            <v>300072.SZ</v>
          </cell>
        </row>
        <row r="1001">
          <cell r="A1001" t="str">
            <v>300073.SZ</v>
          </cell>
        </row>
        <row r="1002">
          <cell r="A1002" t="str">
            <v>300074.SZ</v>
          </cell>
        </row>
        <row r="1003">
          <cell r="A1003" t="str">
            <v>300075.SZ</v>
          </cell>
        </row>
        <row r="1004">
          <cell r="A1004" t="str">
            <v>300076.SZ</v>
          </cell>
        </row>
        <row r="1005">
          <cell r="A1005" t="str">
            <v>300077.SZ</v>
          </cell>
        </row>
        <row r="1006">
          <cell r="A1006" t="str">
            <v>300078.SZ</v>
          </cell>
        </row>
        <row r="1007">
          <cell r="A1007" t="str">
            <v>300079.SZ</v>
          </cell>
        </row>
        <row r="1008">
          <cell r="A1008" t="str">
            <v>300080.SZ</v>
          </cell>
        </row>
        <row r="1009">
          <cell r="A1009" t="str">
            <v>300081.SZ</v>
          </cell>
        </row>
        <row r="1010">
          <cell r="A1010" t="str">
            <v>300082.SZ</v>
          </cell>
        </row>
        <row r="1011">
          <cell r="A1011" t="str">
            <v>300083.SZ</v>
          </cell>
        </row>
        <row r="1012">
          <cell r="A1012" t="str">
            <v>300084.SZ</v>
          </cell>
        </row>
        <row r="1013">
          <cell r="A1013" t="str">
            <v>300085.SZ</v>
          </cell>
        </row>
        <row r="1014">
          <cell r="A1014" t="str">
            <v>300086.SZ</v>
          </cell>
        </row>
        <row r="1015">
          <cell r="A1015" t="str">
            <v>300087.SZ</v>
          </cell>
        </row>
        <row r="1016">
          <cell r="A1016" t="str">
            <v>300088.SZ</v>
          </cell>
        </row>
        <row r="1017">
          <cell r="A1017" t="str">
            <v>300089.SZ</v>
          </cell>
        </row>
        <row r="1018">
          <cell r="A1018" t="str">
            <v>300090.SZ</v>
          </cell>
        </row>
        <row r="1019">
          <cell r="A1019" t="str">
            <v>300091.SZ</v>
          </cell>
        </row>
        <row r="1020">
          <cell r="A1020" t="str">
            <v>300092.SZ</v>
          </cell>
        </row>
        <row r="1021">
          <cell r="A1021" t="str">
            <v>300093.SZ</v>
          </cell>
        </row>
        <row r="1022">
          <cell r="A1022" t="str">
            <v>300094.SZ</v>
          </cell>
        </row>
        <row r="1023">
          <cell r="A1023" t="str">
            <v>300095.SZ</v>
          </cell>
        </row>
        <row r="1024">
          <cell r="A1024" t="str">
            <v>300096.SZ</v>
          </cell>
        </row>
        <row r="1025">
          <cell r="A1025" t="str">
            <v>300097.SZ</v>
          </cell>
        </row>
        <row r="1026">
          <cell r="A1026" t="str">
            <v>300098.SZ</v>
          </cell>
        </row>
        <row r="1027">
          <cell r="A1027" t="str">
            <v>600000.SH</v>
          </cell>
        </row>
        <row r="1028">
          <cell r="A1028" t="str">
            <v>600004.SH</v>
          </cell>
        </row>
        <row r="1029">
          <cell r="A1029" t="str">
            <v>600005.SH</v>
          </cell>
        </row>
        <row r="1030">
          <cell r="A1030" t="str">
            <v>600006.SH</v>
          </cell>
        </row>
        <row r="1031">
          <cell r="A1031" t="str">
            <v>600007.SH</v>
          </cell>
        </row>
        <row r="1032">
          <cell r="A1032" t="str">
            <v>600008.SH</v>
          </cell>
        </row>
        <row r="1033">
          <cell r="A1033" t="str">
            <v>600009.SH</v>
          </cell>
        </row>
        <row r="1034">
          <cell r="A1034" t="str">
            <v>600010.SH</v>
          </cell>
        </row>
        <row r="1035">
          <cell r="A1035" t="str">
            <v>600011.SH</v>
          </cell>
        </row>
        <row r="1036">
          <cell r="A1036" t="str">
            <v>600012.SH</v>
          </cell>
        </row>
        <row r="1037">
          <cell r="A1037" t="str">
            <v>600015.SH</v>
          </cell>
        </row>
        <row r="1038">
          <cell r="A1038" t="str">
            <v>600016.SH</v>
          </cell>
        </row>
        <row r="1039">
          <cell r="A1039" t="str">
            <v>600017.SH</v>
          </cell>
        </row>
        <row r="1040">
          <cell r="A1040" t="str">
            <v>600018.SH</v>
          </cell>
        </row>
        <row r="1041">
          <cell r="A1041" t="str">
            <v>600019.SH</v>
          </cell>
        </row>
        <row r="1042">
          <cell r="A1042" t="str">
            <v>600020.SH</v>
          </cell>
        </row>
        <row r="1043">
          <cell r="A1043" t="str">
            <v>600021.SH</v>
          </cell>
        </row>
        <row r="1044">
          <cell r="A1044" t="str">
            <v>600022.SH</v>
          </cell>
        </row>
        <row r="1045">
          <cell r="A1045" t="str">
            <v>600026.SH</v>
          </cell>
        </row>
        <row r="1046">
          <cell r="A1046" t="str">
            <v>600027.SH</v>
          </cell>
        </row>
        <row r="1047">
          <cell r="A1047" t="str">
            <v>600028.SH</v>
          </cell>
        </row>
        <row r="1048">
          <cell r="A1048" t="str">
            <v>600029.SH</v>
          </cell>
        </row>
        <row r="1049">
          <cell r="A1049" t="str">
            <v>600030.SH</v>
          </cell>
        </row>
        <row r="1050">
          <cell r="A1050" t="str">
            <v>600031.SH</v>
          </cell>
        </row>
        <row r="1051">
          <cell r="A1051" t="str">
            <v>600033.SH</v>
          </cell>
        </row>
        <row r="1052">
          <cell r="A1052" t="str">
            <v>600035.SH</v>
          </cell>
        </row>
        <row r="1053">
          <cell r="A1053" t="str">
            <v>600036.SH</v>
          </cell>
        </row>
        <row r="1054">
          <cell r="A1054" t="str">
            <v>600037.SH</v>
          </cell>
        </row>
        <row r="1055">
          <cell r="A1055" t="str">
            <v>600038.SH</v>
          </cell>
        </row>
        <row r="1056">
          <cell r="A1056" t="str">
            <v>600039.SH</v>
          </cell>
        </row>
        <row r="1057">
          <cell r="A1057" t="str">
            <v>600048.SH</v>
          </cell>
        </row>
        <row r="1058">
          <cell r="A1058" t="str">
            <v>600050.SH</v>
          </cell>
        </row>
        <row r="1059">
          <cell r="A1059" t="str">
            <v>600051.SH</v>
          </cell>
        </row>
        <row r="1060">
          <cell r="A1060" t="str">
            <v>600052.SH</v>
          </cell>
        </row>
        <row r="1061">
          <cell r="A1061" t="str">
            <v>600053.SH</v>
          </cell>
        </row>
        <row r="1062">
          <cell r="A1062" t="str">
            <v>600054.SH</v>
          </cell>
        </row>
        <row r="1063">
          <cell r="A1063" t="str">
            <v>600055.SH</v>
          </cell>
        </row>
        <row r="1064">
          <cell r="A1064" t="str">
            <v>600056.SH</v>
          </cell>
        </row>
        <row r="1065">
          <cell r="A1065" t="str">
            <v>600057.SH</v>
          </cell>
        </row>
        <row r="1066">
          <cell r="A1066" t="str">
            <v>600058.SH</v>
          </cell>
        </row>
        <row r="1067">
          <cell r="A1067" t="str">
            <v>600059.SH</v>
          </cell>
        </row>
        <row r="1068">
          <cell r="A1068" t="str">
            <v>600060.SH</v>
          </cell>
        </row>
        <row r="1069">
          <cell r="A1069" t="str">
            <v>600061.SH</v>
          </cell>
        </row>
        <row r="1070">
          <cell r="A1070" t="str">
            <v>600062.SH</v>
          </cell>
        </row>
        <row r="1071">
          <cell r="A1071" t="str">
            <v>600063.SH</v>
          </cell>
        </row>
        <row r="1072">
          <cell r="A1072" t="str">
            <v>600064.SH</v>
          </cell>
        </row>
        <row r="1073">
          <cell r="A1073" t="str">
            <v>600066.SH</v>
          </cell>
        </row>
        <row r="1074">
          <cell r="A1074" t="str">
            <v>600067.SH</v>
          </cell>
        </row>
        <row r="1075">
          <cell r="A1075" t="str">
            <v>600068.SH</v>
          </cell>
        </row>
        <row r="1076">
          <cell r="A1076" t="str">
            <v>600069.SH</v>
          </cell>
        </row>
        <row r="1077">
          <cell r="A1077" t="str">
            <v>600070.SH</v>
          </cell>
        </row>
        <row r="1078">
          <cell r="A1078" t="str">
            <v>600071.SH</v>
          </cell>
        </row>
        <row r="1079">
          <cell r="A1079" t="str">
            <v>600072.SH</v>
          </cell>
        </row>
        <row r="1080">
          <cell r="A1080" t="str">
            <v>600073.SH</v>
          </cell>
        </row>
        <row r="1081">
          <cell r="A1081" t="str">
            <v>600074.SH</v>
          </cell>
        </row>
        <row r="1082">
          <cell r="A1082" t="str">
            <v>600075.SH</v>
          </cell>
        </row>
        <row r="1083">
          <cell r="A1083" t="str">
            <v>600076.SH</v>
          </cell>
        </row>
        <row r="1084">
          <cell r="A1084" t="str">
            <v>600077.SH</v>
          </cell>
        </row>
        <row r="1085">
          <cell r="A1085" t="str">
            <v>600078.SH</v>
          </cell>
        </row>
        <row r="1086">
          <cell r="A1086" t="str">
            <v>600079.SH</v>
          </cell>
        </row>
        <row r="1087">
          <cell r="A1087" t="str">
            <v>600080.SH</v>
          </cell>
        </row>
        <row r="1088">
          <cell r="A1088" t="str">
            <v>600081.SH</v>
          </cell>
        </row>
        <row r="1089">
          <cell r="A1089" t="str">
            <v>600082.SH</v>
          </cell>
        </row>
        <row r="1090">
          <cell r="A1090" t="str">
            <v>600083.SH</v>
          </cell>
        </row>
        <row r="1091">
          <cell r="A1091" t="str">
            <v>600084.SH</v>
          </cell>
        </row>
        <row r="1092">
          <cell r="A1092" t="str">
            <v>600085.SH</v>
          </cell>
        </row>
        <row r="1093">
          <cell r="A1093" t="str">
            <v>600086.SH</v>
          </cell>
        </row>
        <row r="1094">
          <cell r="A1094" t="str">
            <v>600087.SH</v>
          </cell>
        </row>
        <row r="1095">
          <cell r="A1095" t="str">
            <v>600088.SH</v>
          </cell>
        </row>
        <row r="1096">
          <cell r="A1096" t="str">
            <v>600089.SH</v>
          </cell>
        </row>
        <row r="1097">
          <cell r="A1097" t="str">
            <v>600090.SH</v>
          </cell>
        </row>
        <row r="1098">
          <cell r="A1098" t="str">
            <v>600091.SH</v>
          </cell>
        </row>
        <row r="1099">
          <cell r="A1099" t="str">
            <v>600093.SH</v>
          </cell>
        </row>
        <row r="1100">
          <cell r="A1100" t="str">
            <v>600094.SH</v>
          </cell>
        </row>
        <row r="1101">
          <cell r="A1101" t="str">
            <v>600095.SH</v>
          </cell>
        </row>
        <row r="1102">
          <cell r="A1102" t="str">
            <v>600096.SH</v>
          </cell>
        </row>
        <row r="1103">
          <cell r="A1103" t="str">
            <v>600097.SH</v>
          </cell>
        </row>
        <row r="1104">
          <cell r="A1104" t="str">
            <v>600098.SH</v>
          </cell>
        </row>
        <row r="1105">
          <cell r="A1105" t="str">
            <v>600099.SH</v>
          </cell>
        </row>
        <row r="1106">
          <cell r="A1106" t="str">
            <v>600100.SH</v>
          </cell>
        </row>
        <row r="1107">
          <cell r="A1107" t="str">
            <v>600101.SH</v>
          </cell>
        </row>
        <row r="1108">
          <cell r="A1108" t="str">
            <v>600102.SH</v>
          </cell>
        </row>
        <row r="1109">
          <cell r="A1109" t="str">
            <v>600103.SH</v>
          </cell>
        </row>
        <row r="1110">
          <cell r="A1110" t="str">
            <v>600104.SH</v>
          </cell>
        </row>
        <row r="1111">
          <cell r="A1111" t="str">
            <v>600105.SH</v>
          </cell>
        </row>
        <row r="1112">
          <cell r="A1112" t="str">
            <v>600106.SH</v>
          </cell>
        </row>
        <row r="1113">
          <cell r="A1113" t="str">
            <v>600107.SH</v>
          </cell>
        </row>
        <row r="1114">
          <cell r="A1114" t="str">
            <v>600108.SH</v>
          </cell>
        </row>
        <row r="1115">
          <cell r="A1115" t="str">
            <v>600109.SH</v>
          </cell>
        </row>
        <row r="1116">
          <cell r="A1116" t="str">
            <v>600110.SH</v>
          </cell>
        </row>
        <row r="1117">
          <cell r="A1117" t="str">
            <v>600111.SH</v>
          </cell>
        </row>
        <row r="1118">
          <cell r="A1118" t="str">
            <v>600112.SH</v>
          </cell>
        </row>
        <row r="1119">
          <cell r="A1119" t="str">
            <v>600113.SH</v>
          </cell>
        </row>
        <row r="1120">
          <cell r="A1120" t="str">
            <v>600114.SH</v>
          </cell>
        </row>
        <row r="1121">
          <cell r="A1121" t="str">
            <v>600115.SH</v>
          </cell>
        </row>
        <row r="1122">
          <cell r="A1122" t="str">
            <v>600116.SH</v>
          </cell>
        </row>
        <row r="1123">
          <cell r="A1123" t="str">
            <v>600117.SH</v>
          </cell>
        </row>
        <row r="1124">
          <cell r="A1124" t="str">
            <v>600118.SH</v>
          </cell>
        </row>
        <row r="1125">
          <cell r="A1125" t="str">
            <v>600119.SH</v>
          </cell>
        </row>
        <row r="1126">
          <cell r="A1126" t="str">
            <v>600120.SH</v>
          </cell>
        </row>
        <row r="1127">
          <cell r="A1127" t="str">
            <v>600121.SH</v>
          </cell>
        </row>
        <row r="1128">
          <cell r="A1128" t="str">
            <v>600122.SH</v>
          </cell>
        </row>
        <row r="1129">
          <cell r="A1129" t="str">
            <v>600123.SH</v>
          </cell>
        </row>
        <row r="1130">
          <cell r="A1130" t="str">
            <v>600125.SH</v>
          </cell>
        </row>
        <row r="1131">
          <cell r="A1131" t="str">
            <v>600126.SH</v>
          </cell>
        </row>
        <row r="1132">
          <cell r="A1132" t="str">
            <v>600127.SH</v>
          </cell>
        </row>
        <row r="1133">
          <cell r="A1133" t="str">
            <v>600128.SH</v>
          </cell>
        </row>
        <row r="1134">
          <cell r="A1134" t="str">
            <v>600129.SH</v>
          </cell>
        </row>
        <row r="1135">
          <cell r="A1135" t="str">
            <v>600130.SH</v>
          </cell>
        </row>
        <row r="1136">
          <cell r="A1136" t="str">
            <v>600131.SH</v>
          </cell>
        </row>
        <row r="1137">
          <cell r="A1137" t="str">
            <v>600132.SH</v>
          </cell>
        </row>
        <row r="1138">
          <cell r="A1138" t="str">
            <v>600133.SH</v>
          </cell>
        </row>
        <row r="1139">
          <cell r="A1139" t="str">
            <v>600135.SH</v>
          </cell>
        </row>
        <row r="1140">
          <cell r="A1140" t="str">
            <v>600136.SH</v>
          </cell>
        </row>
        <row r="1141">
          <cell r="A1141" t="str">
            <v>600137.SH</v>
          </cell>
        </row>
        <row r="1142">
          <cell r="A1142" t="str">
            <v>600138.SH</v>
          </cell>
        </row>
        <row r="1143">
          <cell r="A1143" t="str">
            <v>600139.SH</v>
          </cell>
        </row>
        <row r="1144">
          <cell r="A1144" t="str">
            <v>600141.SH</v>
          </cell>
        </row>
        <row r="1145">
          <cell r="A1145" t="str">
            <v>600143.SH</v>
          </cell>
        </row>
        <row r="1146">
          <cell r="A1146" t="str">
            <v>600145.SH</v>
          </cell>
        </row>
        <row r="1147">
          <cell r="A1147" t="str">
            <v>600146.SH</v>
          </cell>
        </row>
        <row r="1148">
          <cell r="A1148" t="str">
            <v>600148.SH</v>
          </cell>
        </row>
        <row r="1149">
          <cell r="A1149" t="str">
            <v>600149.SH</v>
          </cell>
        </row>
        <row r="1150">
          <cell r="A1150" t="str">
            <v>600150.SH</v>
          </cell>
        </row>
        <row r="1151">
          <cell r="A1151" t="str">
            <v>600151.SH</v>
          </cell>
        </row>
        <row r="1152">
          <cell r="A1152" t="str">
            <v>600152.SH</v>
          </cell>
        </row>
        <row r="1153">
          <cell r="A1153" t="str">
            <v>600153.SH</v>
          </cell>
        </row>
        <row r="1154">
          <cell r="A1154" t="str">
            <v>600155.SH</v>
          </cell>
        </row>
        <row r="1155">
          <cell r="A1155" t="str">
            <v>600156.SH</v>
          </cell>
        </row>
        <row r="1156">
          <cell r="A1156" t="str">
            <v>600157.SH</v>
          </cell>
        </row>
        <row r="1157">
          <cell r="A1157" t="str">
            <v>600158.SH</v>
          </cell>
        </row>
        <row r="1158">
          <cell r="A1158" t="str">
            <v>600159.SH</v>
          </cell>
        </row>
        <row r="1159">
          <cell r="A1159" t="str">
            <v>600160.SH</v>
          </cell>
        </row>
        <row r="1160">
          <cell r="A1160" t="str">
            <v>600161.SH</v>
          </cell>
        </row>
        <row r="1161">
          <cell r="A1161" t="str">
            <v>600162.SH</v>
          </cell>
        </row>
        <row r="1162">
          <cell r="A1162" t="str">
            <v>600163.SH</v>
          </cell>
        </row>
        <row r="1163">
          <cell r="A1163" t="str">
            <v>600165.SH</v>
          </cell>
        </row>
        <row r="1164">
          <cell r="A1164" t="str">
            <v>600166.SH</v>
          </cell>
        </row>
        <row r="1165">
          <cell r="A1165" t="str">
            <v>600167.SH</v>
          </cell>
        </row>
        <row r="1166">
          <cell r="A1166" t="str">
            <v>600168.SH</v>
          </cell>
        </row>
        <row r="1167">
          <cell r="A1167" t="str">
            <v>600169.SH</v>
          </cell>
        </row>
        <row r="1168">
          <cell r="A1168" t="str">
            <v>600170.SH</v>
          </cell>
        </row>
        <row r="1169">
          <cell r="A1169" t="str">
            <v>600171.SH</v>
          </cell>
        </row>
        <row r="1170">
          <cell r="A1170" t="str">
            <v>600172.SH</v>
          </cell>
        </row>
        <row r="1171">
          <cell r="A1171" t="str">
            <v>600173.SH</v>
          </cell>
        </row>
        <row r="1172">
          <cell r="A1172" t="str">
            <v>600175.SH</v>
          </cell>
        </row>
        <row r="1173">
          <cell r="A1173" t="str">
            <v>600176.SH</v>
          </cell>
        </row>
        <row r="1174">
          <cell r="A1174" t="str">
            <v>600177.SH</v>
          </cell>
        </row>
        <row r="1175">
          <cell r="A1175" t="str">
            <v>600178.SH</v>
          </cell>
        </row>
        <row r="1176">
          <cell r="A1176" t="str">
            <v>600179.SH</v>
          </cell>
        </row>
        <row r="1177">
          <cell r="A1177" t="str">
            <v>600180.SH</v>
          </cell>
        </row>
        <row r="1178">
          <cell r="A1178" t="str">
            <v>600182.SH</v>
          </cell>
        </row>
        <row r="1179">
          <cell r="A1179" t="str">
            <v>600183.SH</v>
          </cell>
        </row>
        <row r="1180">
          <cell r="A1180" t="str">
            <v>600184.SH</v>
          </cell>
        </row>
        <row r="1181">
          <cell r="A1181" t="str">
            <v>600185.SH</v>
          </cell>
        </row>
        <row r="1182">
          <cell r="A1182" t="str">
            <v>600186.SH</v>
          </cell>
        </row>
        <row r="1183">
          <cell r="A1183" t="str">
            <v>600187.SH</v>
          </cell>
        </row>
        <row r="1184">
          <cell r="A1184" t="str">
            <v>600188.SH</v>
          </cell>
        </row>
        <row r="1185">
          <cell r="A1185" t="str">
            <v>600189.SH</v>
          </cell>
        </row>
        <row r="1186">
          <cell r="A1186" t="str">
            <v>600190.SH</v>
          </cell>
        </row>
        <row r="1187">
          <cell r="A1187" t="str">
            <v>600191.SH</v>
          </cell>
        </row>
        <row r="1188">
          <cell r="A1188" t="str">
            <v>600192.SH</v>
          </cell>
        </row>
        <row r="1189">
          <cell r="A1189" t="str">
            <v>600193.SH</v>
          </cell>
        </row>
        <row r="1190">
          <cell r="A1190" t="str">
            <v>600195.SH</v>
          </cell>
        </row>
        <row r="1191">
          <cell r="A1191" t="str">
            <v>600196.SH</v>
          </cell>
        </row>
        <row r="1192">
          <cell r="A1192" t="str">
            <v>600197.SH</v>
          </cell>
        </row>
        <row r="1193">
          <cell r="A1193" t="str">
            <v>600198.SH</v>
          </cell>
        </row>
        <row r="1194">
          <cell r="A1194" t="str">
            <v>600199.SH</v>
          </cell>
        </row>
        <row r="1195">
          <cell r="A1195" t="str">
            <v>600200.SH</v>
          </cell>
        </row>
        <row r="1196">
          <cell r="A1196" t="str">
            <v>600201.SH</v>
          </cell>
        </row>
        <row r="1197">
          <cell r="A1197" t="str">
            <v>600202.SH</v>
          </cell>
        </row>
        <row r="1198">
          <cell r="A1198" t="str">
            <v>600203.SH</v>
          </cell>
        </row>
        <row r="1199">
          <cell r="A1199" t="str">
            <v>600206.SH</v>
          </cell>
        </row>
        <row r="1200">
          <cell r="A1200" t="str">
            <v>600207.SH</v>
          </cell>
        </row>
        <row r="1201">
          <cell r="A1201" t="str">
            <v>600208.SH</v>
          </cell>
        </row>
        <row r="1202">
          <cell r="A1202" t="str">
            <v>600209.SH</v>
          </cell>
        </row>
        <row r="1203">
          <cell r="A1203" t="str">
            <v>600210.SH</v>
          </cell>
        </row>
        <row r="1204">
          <cell r="A1204" t="str">
            <v>600211.SH</v>
          </cell>
        </row>
        <row r="1205">
          <cell r="A1205" t="str">
            <v>600212.SH</v>
          </cell>
        </row>
        <row r="1206">
          <cell r="A1206" t="str">
            <v>600213.SH</v>
          </cell>
        </row>
        <row r="1207">
          <cell r="A1207" t="str">
            <v>600215.SH</v>
          </cell>
        </row>
        <row r="1208">
          <cell r="A1208" t="str">
            <v>600216.SH</v>
          </cell>
        </row>
        <row r="1209">
          <cell r="A1209" t="str">
            <v>600217.SH</v>
          </cell>
        </row>
        <row r="1210">
          <cell r="A1210" t="str">
            <v>600218.SH</v>
          </cell>
        </row>
        <row r="1211">
          <cell r="A1211" t="str">
            <v>600219.SH</v>
          </cell>
        </row>
        <row r="1212">
          <cell r="A1212" t="str">
            <v>600220.SH</v>
          </cell>
        </row>
        <row r="1213">
          <cell r="A1213" t="str">
            <v>600221.SH</v>
          </cell>
        </row>
        <row r="1214">
          <cell r="A1214" t="str">
            <v>600222.SH</v>
          </cell>
        </row>
        <row r="1215">
          <cell r="A1215" t="str">
            <v>600223.SH</v>
          </cell>
        </row>
        <row r="1216">
          <cell r="A1216" t="str">
            <v>600225.SH</v>
          </cell>
        </row>
        <row r="1217">
          <cell r="A1217" t="str">
            <v>600226.SH</v>
          </cell>
        </row>
        <row r="1218">
          <cell r="A1218" t="str">
            <v>600227.SH</v>
          </cell>
        </row>
        <row r="1219">
          <cell r="A1219" t="str">
            <v>600228.SH</v>
          </cell>
        </row>
        <row r="1220">
          <cell r="A1220" t="str">
            <v>600229.SH</v>
          </cell>
        </row>
        <row r="1221">
          <cell r="A1221" t="str">
            <v>600230.SH</v>
          </cell>
        </row>
        <row r="1222">
          <cell r="A1222" t="str">
            <v>600231.SH</v>
          </cell>
        </row>
        <row r="1223">
          <cell r="A1223" t="str">
            <v>600232.SH</v>
          </cell>
        </row>
        <row r="1224">
          <cell r="A1224" t="str">
            <v>600233.SH</v>
          </cell>
        </row>
        <row r="1225">
          <cell r="A1225" t="str">
            <v>600234.SH</v>
          </cell>
        </row>
        <row r="1226">
          <cell r="A1226" t="str">
            <v>600235.SH</v>
          </cell>
        </row>
        <row r="1227">
          <cell r="A1227" t="str">
            <v>600236.SH</v>
          </cell>
        </row>
        <row r="1228">
          <cell r="A1228" t="str">
            <v>600237.SH</v>
          </cell>
        </row>
        <row r="1229">
          <cell r="A1229" t="str">
            <v>600238.SH</v>
          </cell>
        </row>
        <row r="1230">
          <cell r="A1230" t="str">
            <v>600239.SH</v>
          </cell>
        </row>
        <row r="1231">
          <cell r="A1231" t="str">
            <v>600240.SH</v>
          </cell>
        </row>
        <row r="1232">
          <cell r="A1232" t="str">
            <v>600241.SH</v>
          </cell>
        </row>
        <row r="1233">
          <cell r="A1233" t="str">
            <v>600242.SH</v>
          </cell>
        </row>
        <row r="1234">
          <cell r="A1234" t="str">
            <v>600243.SH</v>
          </cell>
        </row>
        <row r="1235">
          <cell r="A1235" t="str">
            <v>600246.SH</v>
          </cell>
        </row>
        <row r="1236">
          <cell r="A1236" t="str">
            <v>600247.SH</v>
          </cell>
        </row>
        <row r="1237">
          <cell r="A1237" t="str">
            <v>600248.SH</v>
          </cell>
        </row>
        <row r="1238">
          <cell r="A1238" t="str">
            <v>600249.SH</v>
          </cell>
        </row>
        <row r="1239">
          <cell r="A1239" t="str">
            <v>600250.SH</v>
          </cell>
        </row>
        <row r="1240">
          <cell r="A1240" t="str">
            <v>600251.SH</v>
          </cell>
        </row>
        <row r="1241">
          <cell r="A1241" t="str">
            <v>600252.SH</v>
          </cell>
        </row>
        <row r="1242">
          <cell r="A1242" t="str">
            <v>600253.SH</v>
          </cell>
        </row>
        <row r="1243">
          <cell r="A1243" t="str">
            <v>600255.SH</v>
          </cell>
        </row>
        <row r="1244">
          <cell r="A1244" t="str">
            <v>600256.SH</v>
          </cell>
        </row>
        <row r="1245">
          <cell r="A1245" t="str">
            <v>600257.SH</v>
          </cell>
        </row>
        <row r="1246">
          <cell r="A1246" t="str">
            <v>600258.SH</v>
          </cell>
        </row>
        <row r="1247">
          <cell r="A1247" t="str">
            <v>600259.SH</v>
          </cell>
        </row>
        <row r="1248">
          <cell r="A1248" t="str">
            <v>600260.SH</v>
          </cell>
        </row>
        <row r="1249">
          <cell r="A1249" t="str">
            <v>600261.SH</v>
          </cell>
        </row>
        <row r="1250">
          <cell r="A1250" t="str">
            <v>600262.SH</v>
          </cell>
        </row>
        <row r="1251">
          <cell r="A1251" t="str">
            <v>600263.SH</v>
          </cell>
        </row>
        <row r="1252">
          <cell r="A1252" t="str">
            <v>600265.SH</v>
          </cell>
        </row>
        <row r="1253">
          <cell r="A1253" t="str">
            <v>600266.SH</v>
          </cell>
        </row>
        <row r="1254">
          <cell r="A1254" t="str">
            <v>600267.SH</v>
          </cell>
        </row>
        <row r="1255">
          <cell r="A1255" t="str">
            <v>600268.SH</v>
          </cell>
        </row>
        <row r="1256">
          <cell r="A1256" t="str">
            <v>600269.SH</v>
          </cell>
        </row>
        <row r="1257">
          <cell r="A1257" t="str">
            <v>600270.SH</v>
          </cell>
        </row>
        <row r="1258">
          <cell r="A1258" t="str">
            <v>600271.SH</v>
          </cell>
        </row>
        <row r="1259">
          <cell r="A1259" t="str">
            <v>600272.SH</v>
          </cell>
        </row>
        <row r="1260">
          <cell r="A1260" t="str">
            <v>600273.SH</v>
          </cell>
        </row>
        <row r="1261">
          <cell r="A1261" t="str">
            <v>600275.SH</v>
          </cell>
        </row>
        <row r="1262">
          <cell r="A1262" t="str">
            <v>600276.SH</v>
          </cell>
        </row>
        <row r="1263">
          <cell r="A1263" t="str">
            <v>600277.SH</v>
          </cell>
        </row>
        <row r="1264">
          <cell r="A1264" t="str">
            <v>600278.SH</v>
          </cell>
        </row>
        <row r="1265">
          <cell r="A1265" t="str">
            <v>600279.SH</v>
          </cell>
        </row>
        <row r="1266">
          <cell r="A1266" t="str">
            <v>600280.SH</v>
          </cell>
        </row>
        <row r="1267">
          <cell r="A1267" t="str">
            <v>600281.SH</v>
          </cell>
        </row>
        <row r="1268">
          <cell r="A1268" t="str">
            <v>600282.SH</v>
          </cell>
        </row>
        <row r="1269">
          <cell r="A1269" t="str">
            <v>600283.SH</v>
          </cell>
        </row>
        <row r="1270">
          <cell r="A1270" t="str">
            <v>600284.SH</v>
          </cell>
        </row>
        <row r="1271">
          <cell r="A1271" t="str">
            <v>600285.SH</v>
          </cell>
        </row>
        <row r="1272">
          <cell r="A1272" t="str">
            <v>600287.SH</v>
          </cell>
        </row>
        <row r="1273">
          <cell r="A1273" t="str">
            <v>600288.SH</v>
          </cell>
        </row>
        <row r="1274">
          <cell r="A1274" t="str">
            <v>600289.SH</v>
          </cell>
        </row>
        <row r="1275">
          <cell r="A1275" t="str">
            <v>600290.SH</v>
          </cell>
        </row>
        <row r="1276">
          <cell r="A1276" t="str">
            <v>600291.SH</v>
          </cell>
        </row>
        <row r="1277">
          <cell r="A1277" t="str">
            <v>600292.SH</v>
          </cell>
        </row>
        <row r="1278">
          <cell r="A1278" t="str">
            <v>600293.SH</v>
          </cell>
        </row>
        <row r="1279">
          <cell r="A1279" t="str">
            <v>600295.SH</v>
          </cell>
        </row>
        <row r="1280">
          <cell r="A1280" t="str">
            <v>600297.SH</v>
          </cell>
        </row>
        <row r="1281">
          <cell r="A1281" t="str">
            <v>600298.SH</v>
          </cell>
        </row>
        <row r="1282">
          <cell r="A1282" t="str">
            <v>600299.SH</v>
          </cell>
        </row>
        <row r="1283">
          <cell r="A1283" t="str">
            <v>600300.SH</v>
          </cell>
        </row>
        <row r="1284">
          <cell r="A1284" t="str">
            <v>600301.SH</v>
          </cell>
        </row>
        <row r="1285">
          <cell r="A1285" t="str">
            <v>600302.SH</v>
          </cell>
        </row>
        <row r="1286">
          <cell r="A1286" t="str">
            <v>600303.SH</v>
          </cell>
        </row>
        <row r="1287">
          <cell r="A1287" t="str">
            <v>600305.SH</v>
          </cell>
        </row>
        <row r="1288">
          <cell r="A1288" t="str">
            <v>600306.SH</v>
          </cell>
        </row>
        <row r="1289">
          <cell r="A1289" t="str">
            <v>600307.SH</v>
          </cell>
        </row>
        <row r="1290">
          <cell r="A1290" t="str">
            <v>600308.SH</v>
          </cell>
        </row>
        <row r="1291">
          <cell r="A1291" t="str">
            <v>600309.SH</v>
          </cell>
        </row>
        <row r="1292">
          <cell r="A1292" t="str">
            <v>600310.SH</v>
          </cell>
        </row>
        <row r="1293">
          <cell r="A1293" t="str">
            <v>600311.SH</v>
          </cell>
        </row>
        <row r="1294">
          <cell r="A1294" t="str">
            <v>600312.SH</v>
          </cell>
        </row>
        <row r="1295">
          <cell r="A1295" t="str">
            <v>600313.SH</v>
          </cell>
        </row>
        <row r="1296">
          <cell r="A1296" t="str">
            <v>600315.SH</v>
          </cell>
        </row>
        <row r="1297">
          <cell r="A1297" t="str">
            <v>600316.SH</v>
          </cell>
        </row>
        <row r="1298">
          <cell r="A1298" t="str">
            <v>600317.SH</v>
          </cell>
        </row>
        <row r="1299">
          <cell r="A1299" t="str">
            <v>600318.SH</v>
          </cell>
        </row>
        <row r="1300">
          <cell r="A1300" t="str">
            <v>600319.SH</v>
          </cell>
        </row>
        <row r="1301">
          <cell r="A1301" t="str">
            <v>600320.SH</v>
          </cell>
        </row>
        <row r="1302">
          <cell r="A1302" t="str">
            <v>600321.SH</v>
          </cell>
        </row>
        <row r="1303">
          <cell r="A1303" t="str">
            <v>600322.SH</v>
          </cell>
        </row>
        <row r="1304">
          <cell r="A1304" t="str">
            <v>600323.SH</v>
          </cell>
        </row>
        <row r="1305">
          <cell r="A1305" t="str">
            <v>600325.SH</v>
          </cell>
        </row>
        <row r="1306">
          <cell r="A1306" t="str">
            <v>600326.SH</v>
          </cell>
        </row>
        <row r="1307">
          <cell r="A1307" t="str">
            <v>600327.SH</v>
          </cell>
        </row>
        <row r="1308">
          <cell r="A1308" t="str">
            <v>600328.SH</v>
          </cell>
        </row>
        <row r="1309">
          <cell r="A1309" t="str">
            <v>600329.SH</v>
          </cell>
        </row>
        <row r="1310">
          <cell r="A1310" t="str">
            <v>600330.SH</v>
          </cell>
        </row>
        <row r="1311">
          <cell r="A1311" t="str">
            <v>600331.SH</v>
          </cell>
        </row>
        <row r="1312">
          <cell r="A1312" t="str">
            <v>600332.SH</v>
          </cell>
        </row>
        <row r="1313">
          <cell r="A1313" t="str">
            <v>600333.SH</v>
          </cell>
        </row>
        <row r="1314">
          <cell r="A1314" t="str">
            <v>600335.SH</v>
          </cell>
        </row>
        <row r="1315">
          <cell r="A1315" t="str">
            <v>600336.SH</v>
          </cell>
        </row>
        <row r="1316">
          <cell r="A1316" t="str">
            <v>600337.SH</v>
          </cell>
        </row>
        <row r="1317">
          <cell r="A1317" t="str">
            <v>600338.SH</v>
          </cell>
        </row>
        <row r="1318">
          <cell r="A1318" t="str">
            <v>600339.SH</v>
          </cell>
        </row>
        <row r="1319">
          <cell r="A1319" t="str">
            <v>600340.SH</v>
          </cell>
        </row>
        <row r="1320">
          <cell r="A1320" t="str">
            <v>600343.SH</v>
          </cell>
        </row>
        <row r="1321">
          <cell r="A1321" t="str">
            <v>600345.SH</v>
          </cell>
        </row>
        <row r="1322">
          <cell r="A1322" t="str">
            <v>600346.SH</v>
          </cell>
        </row>
        <row r="1323">
          <cell r="A1323" t="str">
            <v>600348.SH</v>
          </cell>
        </row>
        <row r="1324">
          <cell r="A1324" t="str">
            <v>600350.SH</v>
          </cell>
        </row>
        <row r="1325">
          <cell r="A1325" t="str">
            <v>600351.SH</v>
          </cell>
        </row>
        <row r="1326">
          <cell r="A1326" t="str">
            <v>600352.SH</v>
          </cell>
        </row>
        <row r="1327">
          <cell r="A1327" t="str">
            <v>600353.SH</v>
          </cell>
        </row>
        <row r="1328">
          <cell r="A1328" t="str">
            <v>600354.SH</v>
          </cell>
        </row>
        <row r="1329">
          <cell r="A1329" t="str">
            <v>600355.SH</v>
          </cell>
        </row>
        <row r="1330">
          <cell r="A1330" t="str">
            <v>600356.SH</v>
          </cell>
        </row>
        <row r="1331">
          <cell r="A1331" t="str">
            <v>600358.SH</v>
          </cell>
        </row>
        <row r="1332">
          <cell r="A1332" t="str">
            <v>600359.SH</v>
          </cell>
        </row>
        <row r="1333">
          <cell r="A1333" t="str">
            <v>600360.SH</v>
          </cell>
        </row>
        <row r="1334">
          <cell r="A1334" t="str">
            <v>600361.SH</v>
          </cell>
        </row>
        <row r="1335">
          <cell r="A1335" t="str">
            <v>600362.SH</v>
          </cell>
        </row>
        <row r="1336">
          <cell r="A1336" t="str">
            <v>600363.SH</v>
          </cell>
        </row>
        <row r="1337">
          <cell r="A1337" t="str">
            <v>600365.SH</v>
          </cell>
        </row>
        <row r="1338">
          <cell r="A1338" t="str">
            <v>600366.SH</v>
          </cell>
        </row>
        <row r="1339">
          <cell r="A1339" t="str">
            <v>600367.SH</v>
          </cell>
        </row>
        <row r="1340">
          <cell r="A1340" t="str">
            <v>600368.SH</v>
          </cell>
        </row>
        <row r="1341">
          <cell r="A1341" t="str">
            <v>600369.SH</v>
          </cell>
        </row>
        <row r="1342">
          <cell r="A1342" t="str">
            <v>600370.SH</v>
          </cell>
        </row>
        <row r="1343">
          <cell r="A1343" t="str">
            <v>600371.SH</v>
          </cell>
        </row>
        <row r="1344">
          <cell r="A1344" t="str">
            <v>600372.SH</v>
          </cell>
        </row>
        <row r="1345">
          <cell r="A1345" t="str">
            <v>600373.SH</v>
          </cell>
        </row>
        <row r="1346">
          <cell r="A1346" t="str">
            <v>600375.SH</v>
          </cell>
        </row>
        <row r="1347">
          <cell r="A1347" t="str">
            <v>600376.SH</v>
          </cell>
        </row>
        <row r="1348">
          <cell r="A1348" t="str">
            <v>600377.SH</v>
          </cell>
        </row>
        <row r="1349">
          <cell r="A1349" t="str">
            <v>600378.SH</v>
          </cell>
        </row>
        <row r="1350">
          <cell r="A1350" t="str">
            <v>600379.SH</v>
          </cell>
        </row>
        <row r="1351">
          <cell r="A1351" t="str">
            <v>600380.SH</v>
          </cell>
        </row>
        <row r="1352">
          <cell r="A1352" t="str">
            <v>600381.SH</v>
          </cell>
        </row>
        <row r="1353">
          <cell r="A1353" t="str">
            <v>600382.SH</v>
          </cell>
        </row>
        <row r="1354">
          <cell r="A1354" t="str">
            <v>600383.SH</v>
          </cell>
        </row>
        <row r="1355">
          <cell r="A1355" t="str">
            <v>600385.SH</v>
          </cell>
        </row>
        <row r="1356">
          <cell r="A1356" t="str">
            <v>600386.SH</v>
          </cell>
        </row>
        <row r="1357">
          <cell r="A1357" t="str">
            <v>600387.SH</v>
          </cell>
        </row>
        <row r="1358">
          <cell r="A1358" t="str">
            <v>600388.SH</v>
          </cell>
        </row>
        <row r="1359">
          <cell r="A1359" t="str">
            <v>600389.SH</v>
          </cell>
        </row>
        <row r="1360">
          <cell r="A1360" t="str">
            <v>600390.SH</v>
          </cell>
        </row>
        <row r="1361">
          <cell r="A1361" t="str">
            <v>600391.SH</v>
          </cell>
        </row>
        <row r="1362">
          <cell r="A1362" t="str">
            <v>600392.SH</v>
          </cell>
        </row>
        <row r="1363">
          <cell r="A1363" t="str">
            <v>600393.SH</v>
          </cell>
        </row>
        <row r="1364">
          <cell r="A1364" t="str">
            <v>600395.SH</v>
          </cell>
        </row>
        <row r="1365">
          <cell r="A1365" t="str">
            <v>600396.SH</v>
          </cell>
        </row>
        <row r="1366">
          <cell r="A1366" t="str">
            <v>600397.SH</v>
          </cell>
        </row>
        <row r="1367">
          <cell r="A1367" t="str">
            <v>600398.SH</v>
          </cell>
        </row>
        <row r="1368">
          <cell r="A1368" t="str">
            <v>600399.SH</v>
          </cell>
        </row>
        <row r="1369">
          <cell r="A1369" t="str">
            <v>600400.SH</v>
          </cell>
        </row>
        <row r="1370">
          <cell r="A1370" t="str">
            <v>600401.SH</v>
          </cell>
        </row>
        <row r="1371">
          <cell r="A1371" t="str">
            <v>600403.SH</v>
          </cell>
        </row>
        <row r="1372">
          <cell r="A1372" t="str">
            <v>600405.SH</v>
          </cell>
        </row>
        <row r="1373">
          <cell r="A1373" t="str">
            <v>600406.SH</v>
          </cell>
        </row>
        <row r="1374">
          <cell r="A1374" t="str">
            <v>600408.SH</v>
          </cell>
        </row>
        <row r="1375">
          <cell r="A1375" t="str">
            <v>600409.SH</v>
          </cell>
        </row>
        <row r="1376">
          <cell r="A1376" t="str">
            <v>600410.SH</v>
          </cell>
        </row>
        <row r="1377">
          <cell r="A1377" t="str">
            <v>600415.SH</v>
          </cell>
        </row>
        <row r="1378">
          <cell r="A1378" t="str">
            <v>600416.SH</v>
          </cell>
        </row>
        <row r="1379">
          <cell r="A1379" t="str">
            <v>600418.SH</v>
          </cell>
        </row>
        <row r="1380">
          <cell r="A1380" t="str">
            <v>600419.SH</v>
          </cell>
        </row>
        <row r="1381">
          <cell r="A1381" t="str">
            <v>600420.SH</v>
          </cell>
        </row>
        <row r="1382">
          <cell r="A1382" t="str">
            <v>600421.SH</v>
          </cell>
        </row>
        <row r="1383">
          <cell r="A1383" t="str">
            <v>600422.SH</v>
          </cell>
        </row>
        <row r="1384">
          <cell r="A1384" t="str">
            <v>600423.SH</v>
          </cell>
        </row>
        <row r="1385">
          <cell r="A1385" t="str">
            <v>600425.SH</v>
          </cell>
        </row>
        <row r="1386">
          <cell r="A1386" t="str">
            <v>600426.SH</v>
          </cell>
        </row>
        <row r="1387">
          <cell r="A1387" t="str">
            <v>600428.SH</v>
          </cell>
        </row>
        <row r="1388">
          <cell r="A1388" t="str">
            <v>600429.SH</v>
          </cell>
        </row>
        <row r="1389">
          <cell r="A1389" t="str">
            <v>600432.SH</v>
          </cell>
        </row>
        <row r="1390">
          <cell r="A1390" t="str">
            <v>600433.SH</v>
          </cell>
        </row>
        <row r="1391">
          <cell r="A1391" t="str">
            <v>600435.SH</v>
          </cell>
        </row>
        <row r="1392">
          <cell r="A1392" t="str">
            <v>600436.SH</v>
          </cell>
        </row>
        <row r="1393">
          <cell r="A1393" t="str">
            <v>600438.SH</v>
          </cell>
        </row>
        <row r="1394">
          <cell r="A1394" t="str">
            <v>600439.SH</v>
          </cell>
        </row>
        <row r="1395">
          <cell r="A1395" t="str">
            <v>600444.SH</v>
          </cell>
        </row>
        <row r="1396">
          <cell r="A1396" t="str">
            <v>600446.SH</v>
          </cell>
        </row>
        <row r="1397">
          <cell r="A1397" t="str">
            <v>600448.SH</v>
          </cell>
        </row>
        <row r="1398">
          <cell r="A1398" t="str">
            <v>600449.SH</v>
          </cell>
        </row>
        <row r="1399">
          <cell r="A1399" t="str">
            <v>600452.SH</v>
          </cell>
        </row>
        <row r="1400">
          <cell r="A1400" t="str">
            <v>600455.SH</v>
          </cell>
        </row>
        <row r="1401">
          <cell r="A1401" t="str">
            <v>600456.SH</v>
          </cell>
        </row>
        <row r="1402">
          <cell r="A1402" t="str">
            <v>600458.SH</v>
          </cell>
        </row>
        <row r="1403">
          <cell r="A1403" t="str">
            <v>600459.SH</v>
          </cell>
        </row>
        <row r="1404">
          <cell r="A1404" t="str">
            <v>600460.SH</v>
          </cell>
        </row>
        <row r="1405">
          <cell r="A1405" t="str">
            <v>600461.SH</v>
          </cell>
        </row>
        <row r="1406">
          <cell r="A1406" t="str">
            <v>600462.SH</v>
          </cell>
        </row>
        <row r="1407">
          <cell r="A1407" t="str">
            <v>600463.SH</v>
          </cell>
        </row>
        <row r="1408">
          <cell r="A1408" t="str">
            <v>600466.SH</v>
          </cell>
        </row>
        <row r="1409">
          <cell r="A1409" t="str">
            <v>600467.SH</v>
          </cell>
        </row>
        <row r="1410">
          <cell r="A1410" t="str">
            <v>600468.SH</v>
          </cell>
        </row>
        <row r="1411">
          <cell r="A1411" t="str">
            <v>600469.SH</v>
          </cell>
        </row>
        <row r="1412">
          <cell r="A1412" t="str">
            <v>600470.SH</v>
          </cell>
        </row>
        <row r="1413">
          <cell r="A1413" t="str">
            <v>600475.SH</v>
          </cell>
        </row>
        <row r="1414">
          <cell r="A1414" t="str">
            <v>600476.SH</v>
          </cell>
        </row>
        <row r="1415">
          <cell r="A1415" t="str">
            <v>600477.SH</v>
          </cell>
        </row>
        <row r="1416">
          <cell r="A1416" t="str">
            <v>600478.SH</v>
          </cell>
        </row>
        <row r="1417">
          <cell r="A1417" t="str">
            <v>600479.SH</v>
          </cell>
        </row>
        <row r="1418">
          <cell r="A1418" t="str">
            <v>600480.SH</v>
          </cell>
        </row>
        <row r="1419">
          <cell r="A1419" t="str">
            <v>600481.SH</v>
          </cell>
        </row>
        <row r="1420">
          <cell r="A1420" t="str">
            <v>600482.SH</v>
          </cell>
        </row>
        <row r="1421">
          <cell r="A1421" t="str">
            <v>600483.SH</v>
          </cell>
        </row>
        <row r="1422">
          <cell r="A1422" t="str">
            <v>600485.SH</v>
          </cell>
        </row>
        <row r="1423">
          <cell r="A1423" t="str">
            <v>600486.SH</v>
          </cell>
        </row>
        <row r="1424">
          <cell r="A1424" t="str">
            <v>600487.SH</v>
          </cell>
        </row>
        <row r="1425">
          <cell r="A1425" t="str">
            <v>600488.SH</v>
          </cell>
        </row>
        <row r="1426">
          <cell r="A1426" t="str">
            <v>600489.SH</v>
          </cell>
        </row>
        <row r="1427">
          <cell r="A1427" t="str">
            <v>600490.SH</v>
          </cell>
        </row>
        <row r="1428">
          <cell r="A1428" t="str">
            <v>600491.SH</v>
          </cell>
        </row>
        <row r="1429">
          <cell r="A1429" t="str">
            <v>600493.SH</v>
          </cell>
        </row>
        <row r="1430">
          <cell r="A1430" t="str">
            <v>600495.SH</v>
          </cell>
        </row>
        <row r="1431">
          <cell r="A1431" t="str">
            <v>600496.SH</v>
          </cell>
        </row>
        <row r="1432">
          <cell r="A1432" t="str">
            <v>600497.SH</v>
          </cell>
        </row>
        <row r="1433">
          <cell r="A1433" t="str">
            <v>600498.SH</v>
          </cell>
        </row>
        <row r="1434">
          <cell r="A1434" t="str">
            <v>600499.SH</v>
          </cell>
        </row>
        <row r="1435">
          <cell r="A1435" t="str">
            <v>600500.SH</v>
          </cell>
        </row>
        <row r="1436">
          <cell r="A1436" t="str">
            <v>600501.SH</v>
          </cell>
        </row>
        <row r="1437">
          <cell r="A1437" t="str">
            <v>600502.SH</v>
          </cell>
        </row>
        <row r="1438">
          <cell r="A1438" t="str">
            <v>600503.SH</v>
          </cell>
        </row>
        <row r="1439">
          <cell r="A1439" t="str">
            <v>600505.SH</v>
          </cell>
        </row>
        <row r="1440">
          <cell r="A1440" t="str">
            <v>600506.SH</v>
          </cell>
        </row>
        <row r="1441">
          <cell r="A1441" t="str">
            <v>600507.SH</v>
          </cell>
        </row>
        <row r="1442">
          <cell r="A1442" t="str">
            <v>600508.SH</v>
          </cell>
        </row>
        <row r="1443">
          <cell r="A1443" t="str">
            <v>600509.SH</v>
          </cell>
        </row>
        <row r="1444">
          <cell r="A1444" t="str">
            <v>600510.SH</v>
          </cell>
        </row>
        <row r="1445">
          <cell r="A1445" t="str">
            <v>600511.SH</v>
          </cell>
        </row>
        <row r="1446">
          <cell r="A1446" t="str">
            <v>600512.SH</v>
          </cell>
        </row>
        <row r="1447">
          <cell r="A1447" t="str">
            <v>600513.SH</v>
          </cell>
        </row>
        <row r="1448">
          <cell r="A1448" t="str">
            <v>600515.SH</v>
          </cell>
        </row>
        <row r="1449">
          <cell r="A1449" t="str">
            <v>600516.SH</v>
          </cell>
        </row>
        <row r="1450">
          <cell r="A1450" t="str">
            <v>600517.SH</v>
          </cell>
        </row>
        <row r="1451">
          <cell r="A1451" t="str">
            <v>600518.SH</v>
          </cell>
        </row>
        <row r="1452">
          <cell r="A1452" t="str">
            <v>600519.SH</v>
          </cell>
        </row>
        <row r="1453">
          <cell r="A1453" t="str">
            <v>600520.SH</v>
          </cell>
        </row>
        <row r="1454">
          <cell r="A1454" t="str">
            <v>600521.SH</v>
          </cell>
        </row>
        <row r="1455">
          <cell r="A1455" t="str">
            <v>600522.SH</v>
          </cell>
        </row>
        <row r="1456">
          <cell r="A1456" t="str">
            <v>600523.SH</v>
          </cell>
        </row>
        <row r="1457">
          <cell r="A1457" t="str">
            <v>600525.SH</v>
          </cell>
        </row>
        <row r="1458">
          <cell r="A1458" t="str">
            <v>600526.SH</v>
          </cell>
        </row>
        <row r="1459">
          <cell r="A1459" t="str">
            <v>600527.SH</v>
          </cell>
        </row>
        <row r="1460">
          <cell r="A1460" t="str">
            <v>600528.SH</v>
          </cell>
        </row>
        <row r="1461">
          <cell r="A1461" t="str">
            <v>600529.SH</v>
          </cell>
        </row>
        <row r="1462">
          <cell r="A1462" t="str">
            <v>600530.SH</v>
          </cell>
        </row>
        <row r="1463">
          <cell r="A1463" t="str">
            <v>600531.SH</v>
          </cell>
        </row>
        <row r="1464">
          <cell r="A1464" t="str">
            <v>600532.SH</v>
          </cell>
        </row>
        <row r="1465">
          <cell r="A1465" t="str">
            <v>600533.SH</v>
          </cell>
        </row>
        <row r="1466">
          <cell r="A1466" t="str">
            <v>600535.SH</v>
          </cell>
        </row>
        <row r="1467">
          <cell r="A1467" t="str">
            <v>600536.SH</v>
          </cell>
        </row>
        <row r="1468">
          <cell r="A1468" t="str">
            <v>600537.SH</v>
          </cell>
        </row>
        <row r="1469">
          <cell r="A1469" t="str">
            <v>600538.SH</v>
          </cell>
        </row>
        <row r="1470">
          <cell r="A1470" t="str">
            <v>600539.SH</v>
          </cell>
        </row>
        <row r="1471">
          <cell r="A1471" t="str">
            <v>600540.SH</v>
          </cell>
        </row>
        <row r="1472">
          <cell r="A1472" t="str">
            <v>600543.SH</v>
          </cell>
        </row>
        <row r="1473">
          <cell r="A1473" t="str">
            <v>600545.SH</v>
          </cell>
        </row>
        <row r="1474">
          <cell r="A1474" t="str">
            <v>600546.SH</v>
          </cell>
        </row>
        <row r="1475">
          <cell r="A1475" t="str">
            <v>600547.SH</v>
          </cell>
        </row>
        <row r="1476">
          <cell r="A1476" t="str">
            <v>600548.SH</v>
          </cell>
        </row>
        <row r="1477">
          <cell r="A1477" t="str">
            <v>600549.SH</v>
          </cell>
        </row>
        <row r="1478">
          <cell r="A1478" t="str">
            <v>600550.SH</v>
          </cell>
        </row>
        <row r="1479">
          <cell r="A1479" t="str">
            <v>600551.SH</v>
          </cell>
        </row>
        <row r="1480">
          <cell r="A1480" t="str">
            <v>600552.SH</v>
          </cell>
        </row>
        <row r="1481">
          <cell r="A1481" t="str">
            <v>600553.SH</v>
          </cell>
        </row>
        <row r="1482">
          <cell r="A1482" t="str">
            <v>600555.SH</v>
          </cell>
        </row>
        <row r="1483">
          <cell r="A1483" t="str">
            <v>600556.SH</v>
          </cell>
        </row>
        <row r="1484">
          <cell r="A1484" t="str">
            <v>600557.SH</v>
          </cell>
        </row>
        <row r="1485">
          <cell r="A1485" t="str">
            <v>600558.SH</v>
          </cell>
        </row>
        <row r="1486">
          <cell r="A1486" t="str">
            <v>600559.SH</v>
          </cell>
        </row>
        <row r="1487">
          <cell r="A1487" t="str">
            <v>600560.SH</v>
          </cell>
        </row>
        <row r="1488">
          <cell r="A1488" t="str">
            <v>600561.SH</v>
          </cell>
        </row>
        <row r="1489">
          <cell r="A1489" t="str">
            <v>600562.SH</v>
          </cell>
        </row>
        <row r="1490">
          <cell r="A1490" t="str">
            <v>600563.SH</v>
          </cell>
        </row>
        <row r="1491">
          <cell r="A1491" t="str">
            <v>600565.SH</v>
          </cell>
        </row>
        <row r="1492">
          <cell r="A1492" t="str">
            <v>600566.SH</v>
          </cell>
        </row>
        <row r="1493">
          <cell r="A1493" t="str">
            <v>600567.SH</v>
          </cell>
        </row>
        <row r="1494">
          <cell r="A1494" t="str">
            <v>600568.SH</v>
          </cell>
        </row>
        <row r="1495">
          <cell r="A1495" t="str">
            <v>600569.SH</v>
          </cell>
        </row>
        <row r="1496">
          <cell r="A1496" t="str">
            <v>600570.SH</v>
          </cell>
        </row>
        <row r="1497">
          <cell r="A1497" t="str">
            <v>600571.SH</v>
          </cell>
        </row>
        <row r="1498">
          <cell r="A1498" t="str">
            <v>600572.SH</v>
          </cell>
        </row>
        <row r="1499">
          <cell r="A1499" t="str">
            <v>600573.SH</v>
          </cell>
        </row>
        <row r="1500">
          <cell r="A1500" t="str">
            <v>600575.SH</v>
          </cell>
        </row>
        <row r="1501">
          <cell r="A1501" t="str">
            <v>600576.SH</v>
          </cell>
        </row>
        <row r="1502">
          <cell r="A1502" t="str">
            <v>600577.SH</v>
          </cell>
        </row>
        <row r="1503">
          <cell r="A1503" t="str">
            <v>600578.SH</v>
          </cell>
        </row>
        <row r="1504">
          <cell r="A1504" t="str">
            <v>600579.SH</v>
          </cell>
        </row>
        <row r="1505">
          <cell r="A1505" t="str">
            <v>600580.SH</v>
          </cell>
        </row>
        <row r="1506">
          <cell r="A1506" t="str">
            <v>600581.SH</v>
          </cell>
        </row>
        <row r="1507">
          <cell r="A1507" t="str">
            <v>600582.SH</v>
          </cell>
        </row>
        <row r="1508">
          <cell r="A1508" t="str">
            <v>600583.SH</v>
          </cell>
        </row>
        <row r="1509">
          <cell r="A1509" t="str">
            <v>600584.SH</v>
          </cell>
        </row>
        <row r="1510">
          <cell r="A1510" t="str">
            <v>600585.SH</v>
          </cell>
        </row>
        <row r="1511">
          <cell r="A1511" t="str">
            <v>600586.SH</v>
          </cell>
        </row>
        <row r="1512">
          <cell r="A1512" t="str">
            <v>600587.SH</v>
          </cell>
        </row>
        <row r="1513">
          <cell r="A1513" t="str">
            <v>600588.SH</v>
          </cell>
        </row>
        <row r="1514">
          <cell r="A1514" t="str">
            <v>600589.SH</v>
          </cell>
        </row>
        <row r="1515">
          <cell r="A1515" t="str">
            <v>600590.SH</v>
          </cell>
        </row>
        <row r="1516">
          <cell r="A1516" t="str">
            <v>600592.SH</v>
          </cell>
        </row>
        <row r="1517">
          <cell r="A1517" t="str">
            <v>600593.SH</v>
          </cell>
        </row>
        <row r="1518">
          <cell r="A1518" t="str">
            <v>600594.SH</v>
          </cell>
        </row>
        <row r="1519">
          <cell r="A1519" t="str">
            <v>600595.SH</v>
          </cell>
        </row>
        <row r="1520">
          <cell r="A1520" t="str">
            <v>600596.SH</v>
          </cell>
        </row>
        <row r="1521">
          <cell r="A1521" t="str">
            <v>600597.SH</v>
          </cell>
        </row>
        <row r="1522">
          <cell r="A1522" t="str">
            <v>600598.SH</v>
          </cell>
        </row>
        <row r="1523">
          <cell r="A1523" t="str">
            <v>600599.SH</v>
          </cell>
        </row>
        <row r="1524">
          <cell r="A1524" t="str">
            <v>600600.SH</v>
          </cell>
        </row>
        <row r="1525">
          <cell r="A1525" t="str">
            <v>600601.SH</v>
          </cell>
        </row>
        <row r="1526">
          <cell r="A1526" t="str">
            <v>600602.SH</v>
          </cell>
        </row>
        <row r="1527">
          <cell r="A1527" t="str">
            <v>600603.SH</v>
          </cell>
        </row>
        <row r="1528">
          <cell r="A1528" t="str">
            <v>600604.SH</v>
          </cell>
        </row>
        <row r="1529">
          <cell r="A1529" t="str">
            <v>600605.SH</v>
          </cell>
        </row>
        <row r="1530">
          <cell r="A1530" t="str">
            <v>600606.SH</v>
          </cell>
        </row>
        <row r="1531">
          <cell r="A1531" t="str">
            <v>600608.SH</v>
          </cell>
        </row>
        <row r="1532">
          <cell r="A1532" t="str">
            <v>600609.SH</v>
          </cell>
        </row>
        <row r="1533">
          <cell r="A1533" t="str">
            <v>600610.SH</v>
          </cell>
        </row>
        <row r="1534">
          <cell r="A1534" t="str">
            <v>600611.SH</v>
          </cell>
        </row>
        <row r="1535">
          <cell r="A1535" t="str">
            <v>600612.SH</v>
          </cell>
        </row>
        <row r="1536">
          <cell r="A1536" t="str">
            <v>600613.SH</v>
          </cell>
        </row>
        <row r="1537">
          <cell r="A1537" t="str">
            <v>600614.SH</v>
          </cell>
        </row>
        <row r="1538">
          <cell r="A1538" t="str">
            <v>600615.SH</v>
          </cell>
        </row>
        <row r="1539">
          <cell r="A1539" t="str">
            <v>600616.SH</v>
          </cell>
        </row>
        <row r="1540">
          <cell r="A1540" t="str">
            <v>600617.SH</v>
          </cell>
        </row>
        <row r="1541">
          <cell r="A1541" t="str">
            <v>600618.SH</v>
          </cell>
        </row>
        <row r="1542">
          <cell r="A1542" t="str">
            <v>600619.SH</v>
          </cell>
        </row>
        <row r="1543">
          <cell r="A1543" t="str">
            <v>600620.SH</v>
          </cell>
        </row>
        <row r="1544">
          <cell r="A1544" t="str">
            <v>600621.SH</v>
          </cell>
        </row>
        <row r="1545">
          <cell r="A1545" t="str">
            <v>600622.SH</v>
          </cell>
        </row>
        <row r="1546">
          <cell r="A1546" t="str">
            <v>600623.SH</v>
          </cell>
        </row>
        <row r="1547">
          <cell r="A1547" t="str">
            <v>600624.SH</v>
          </cell>
        </row>
        <row r="1548">
          <cell r="A1548" t="str">
            <v>600626.SH</v>
          </cell>
        </row>
        <row r="1549">
          <cell r="A1549" t="str">
            <v>600628.SH</v>
          </cell>
        </row>
        <row r="1550">
          <cell r="A1550" t="str">
            <v>600629.SH</v>
          </cell>
        </row>
        <row r="1551">
          <cell r="A1551" t="str">
            <v>600630.SH</v>
          </cell>
        </row>
        <row r="1552">
          <cell r="A1552" t="str">
            <v>600631.SH</v>
          </cell>
        </row>
        <row r="1553">
          <cell r="A1553" t="str">
            <v>600633.SH</v>
          </cell>
        </row>
        <row r="1554">
          <cell r="A1554" t="str">
            <v>600634.SH</v>
          </cell>
        </row>
        <row r="1555">
          <cell r="A1555" t="str">
            <v>600635.SH</v>
          </cell>
        </row>
        <row r="1556">
          <cell r="A1556" t="str">
            <v>600636.SH</v>
          </cell>
        </row>
        <row r="1557">
          <cell r="A1557" t="str">
            <v>600637.SH</v>
          </cell>
        </row>
        <row r="1558">
          <cell r="A1558" t="str">
            <v>600638.SH</v>
          </cell>
        </row>
        <row r="1559">
          <cell r="A1559" t="str">
            <v>600639.SH</v>
          </cell>
        </row>
        <row r="1560">
          <cell r="A1560" t="str">
            <v>600640.SH</v>
          </cell>
        </row>
        <row r="1561">
          <cell r="A1561" t="str">
            <v>600641.SH</v>
          </cell>
        </row>
        <row r="1562">
          <cell r="A1562" t="str">
            <v>600642.SH</v>
          </cell>
        </row>
        <row r="1563">
          <cell r="A1563" t="str">
            <v>600643.SH</v>
          </cell>
        </row>
        <row r="1564">
          <cell r="A1564" t="str">
            <v>600644.SH</v>
          </cell>
        </row>
        <row r="1565">
          <cell r="A1565" t="str">
            <v>600645.SH</v>
          </cell>
        </row>
        <row r="1566">
          <cell r="A1566" t="str">
            <v>600647.SH</v>
          </cell>
        </row>
        <row r="1567">
          <cell r="A1567" t="str">
            <v>600648.SH</v>
          </cell>
        </row>
        <row r="1568">
          <cell r="A1568" t="str">
            <v>600649.SH</v>
          </cell>
        </row>
        <row r="1569">
          <cell r="A1569" t="str">
            <v>600650.SH</v>
          </cell>
        </row>
        <row r="1570">
          <cell r="A1570" t="str">
            <v>600651.SH</v>
          </cell>
        </row>
        <row r="1571">
          <cell r="A1571" t="str">
            <v>600652.SH</v>
          </cell>
        </row>
        <row r="1572">
          <cell r="A1572" t="str">
            <v>600653.SH</v>
          </cell>
        </row>
        <row r="1573">
          <cell r="A1573" t="str">
            <v>600654.SH</v>
          </cell>
        </row>
        <row r="1574">
          <cell r="A1574" t="str">
            <v>600655.SH</v>
          </cell>
        </row>
        <row r="1575">
          <cell r="A1575" t="str">
            <v>600656.SH</v>
          </cell>
        </row>
        <row r="1576">
          <cell r="A1576" t="str">
            <v>600657.SH</v>
          </cell>
        </row>
        <row r="1577">
          <cell r="A1577" t="str">
            <v>600658.SH</v>
          </cell>
        </row>
        <row r="1578">
          <cell r="A1578" t="str">
            <v>600660.SH</v>
          </cell>
        </row>
        <row r="1579">
          <cell r="A1579" t="str">
            <v>600661.SH</v>
          </cell>
        </row>
        <row r="1580">
          <cell r="A1580" t="str">
            <v>600662.SH</v>
          </cell>
        </row>
        <row r="1581">
          <cell r="A1581" t="str">
            <v>600663.SH</v>
          </cell>
        </row>
        <row r="1582">
          <cell r="A1582" t="str">
            <v>600664.SH</v>
          </cell>
        </row>
        <row r="1583">
          <cell r="A1583" t="str">
            <v>600665.SH</v>
          </cell>
        </row>
        <row r="1584">
          <cell r="A1584" t="str">
            <v>600666.SH</v>
          </cell>
        </row>
        <row r="1585">
          <cell r="A1585" t="str">
            <v>600667.SH</v>
          </cell>
        </row>
        <row r="1586">
          <cell r="A1586" t="str">
            <v>600668.SH</v>
          </cell>
        </row>
        <row r="1587">
          <cell r="A1587" t="str">
            <v>600671.SH</v>
          </cell>
        </row>
        <row r="1588">
          <cell r="A1588" t="str">
            <v>600673.SH</v>
          </cell>
        </row>
        <row r="1589">
          <cell r="A1589" t="str">
            <v>600674.SH</v>
          </cell>
        </row>
        <row r="1590">
          <cell r="A1590" t="str">
            <v>600675.SH</v>
          </cell>
        </row>
        <row r="1591">
          <cell r="A1591" t="str">
            <v>600676.SH</v>
          </cell>
        </row>
        <row r="1592">
          <cell r="A1592" t="str">
            <v>600677.SH</v>
          </cell>
        </row>
        <row r="1593">
          <cell r="A1593" t="str">
            <v>600678.SH</v>
          </cell>
        </row>
        <row r="1594">
          <cell r="A1594" t="str">
            <v>600679.SH</v>
          </cell>
        </row>
        <row r="1595">
          <cell r="A1595" t="str">
            <v>600680.SH</v>
          </cell>
        </row>
        <row r="1596">
          <cell r="A1596" t="str">
            <v>600681.SH</v>
          </cell>
        </row>
        <row r="1597">
          <cell r="A1597" t="str">
            <v>600682.SH</v>
          </cell>
        </row>
        <row r="1598">
          <cell r="A1598" t="str">
            <v>600683.SH</v>
          </cell>
        </row>
        <row r="1599">
          <cell r="A1599" t="str">
            <v>600684.SH</v>
          </cell>
        </row>
        <row r="1600">
          <cell r="A1600" t="str">
            <v>600685.SH</v>
          </cell>
        </row>
        <row r="1601">
          <cell r="A1601" t="str">
            <v>600686.SH</v>
          </cell>
        </row>
        <row r="1602">
          <cell r="A1602" t="str">
            <v>600687.SH</v>
          </cell>
        </row>
        <row r="1603">
          <cell r="A1603" t="str">
            <v>600688.SH</v>
          </cell>
        </row>
        <row r="1604">
          <cell r="A1604" t="str">
            <v>600689.SH</v>
          </cell>
        </row>
        <row r="1605">
          <cell r="A1605" t="str">
            <v>600690.SH</v>
          </cell>
        </row>
        <row r="1606">
          <cell r="A1606" t="str">
            <v>600691.SH</v>
          </cell>
        </row>
        <row r="1607">
          <cell r="A1607" t="str">
            <v>600692.SH</v>
          </cell>
        </row>
        <row r="1608">
          <cell r="A1608" t="str">
            <v>600693.SH</v>
          </cell>
        </row>
        <row r="1609">
          <cell r="A1609" t="str">
            <v>600694.SH</v>
          </cell>
        </row>
        <row r="1610">
          <cell r="A1610" t="str">
            <v>600695.SH</v>
          </cell>
        </row>
        <row r="1611">
          <cell r="A1611" t="str">
            <v>600696.SH</v>
          </cell>
        </row>
        <row r="1612">
          <cell r="A1612" t="str">
            <v>600697.SH</v>
          </cell>
        </row>
        <row r="1613">
          <cell r="A1613" t="str">
            <v>600698.SH</v>
          </cell>
        </row>
        <row r="1614">
          <cell r="A1614" t="str">
            <v>600699.SH</v>
          </cell>
        </row>
        <row r="1615">
          <cell r="A1615" t="str">
            <v>600701.SH</v>
          </cell>
        </row>
        <row r="1616">
          <cell r="A1616" t="str">
            <v>600702.SH</v>
          </cell>
        </row>
        <row r="1617">
          <cell r="A1617" t="str">
            <v>600703.SH</v>
          </cell>
        </row>
        <row r="1618">
          <cell r="A1618" t="str">
            <v>600704.SH</v>
          </cell>
        </row>
        <row r="1619">
          <cell r="A1619" t="str">
            <v>600705.SH</v>
          </cell>
        </row>
        <row r="1620">
          <cell r="A1620" t="str">
            <v>600706.SH</v>
          </cell>
        </row>
        <row r="1621">
          <cell r="A1621" t="str">
            <v>600707.SH</v>
          </cell>
        </row>
        <row r="1622">
          <cell r="A1622" t="str">
            <v>600708.SH</v>
          </cell>
        </row>
        <row r="1623">
          <cell r="A1623" t="str">
            <v>600710.SH</v>
          </cell>
        </row>
        <row r="1624">
          <cell r="A1624" t="str">
            <v>600711.SH</v>
          </cell>
        </row>
        <row r="1625">
          <cell r="A1625" t="str">
            <v>600712.SH</v>
          </cell>
        </row>
        <row r="1626">
          <cell r="A1626" t="str">
            <v>600713.SH</v>
          </cell>
        </row>
        <row r="1627">
          <cell r="A1627" t="str">
            <v>600714.SH</v>
          </cell>
        </row>
        <row r="1628">
          <cell r="A1628" t="str">
            <v>600715.SH</v>
          </cell>
        </row>
        <row r="1629">
          <cell r="A1629" t="str">
            <v>600716.SH</v>
          </cell>
        </row>
        <row r="1630">
          <cell r="A1630" t="str">
            <v>600717.SH</v>
          </cell>
        </row>
        <row r="1631">
          <cell r="A1631" t="str">
            <v>600718.SH</v>
          </cell>
        </row>
        <row r="1632">
          <cell r="A1632" t="str">
            <v>600719.SH</v>
          </cell>
        </row>
        <row r="1633">
          <cell r="A1633" t="str">
            <v>600720.SH</v>
          </cell>
        </row>
        <row r="1634">
          <cell r="A1634" t="str">
            <v>600721.SH</v>
          </cell>
        </row>
        <row r="1635">
          <cell r="A1635" t="str">
            <v>600722.SH</v>
          </cell>
        </row>
        <row r="1636">
          <cell r="A1636" t="str">
            <v>600723.SH</v>
          </cell>
        </row>
        <row r="1637">
          <cell r="A1637" t="str">
            <v>600724.SH</v>
          </cell>
        </row>
        <row r="1638">
          <cell r="A1638" t="str">
            <v>600725.SH</v>
          </cell>
        </row>
        <row r="1639">
          <cell r="A1639" t="str">
            <v>600726.SH</v>
          </cell>
        </row>
        <row r="1640">
          <cell r="A1640" t="str">
            <v>600727.SH</v>
          </cell>
        </row>
        <row r="1641">
          <cell r="A1641" t="str">
            <v>600728.SH</v>
          </cell>
        </row>
        <row r="1642">
          <cell r="A1642" t="str">
            <v>600729.SH</v>
          </cell>
        </row>
        <row r="1643">
          <cell r="A1643" t="str">
            <v>600730.SH</v>
          </cell>
        </row>
        <row r="1644">
          <cell r="A1644" t="str">
            <v>600731.SH</v>
          </cell>
        </row>
        <row r="1645">
          <cell r="A1645" t="str">
            <v>600732.SH</v>
          </cell>
        </row>
        <row r="1646">
          <cell r="A1646" t="str">
            <v>600733.SH</v>
          </cell>
        </row>
        <row r="1647">
          <cell r="A1647" t="str">
            <v>600734.SH</v>
          </cell>
        </row>
        <row r="1648">
          <cell r="A1648" t="str">
            <v>600735.SH</v>
          </cell>
        </row>
        <row r="1649">
          <cell r="A1649" t="str">
            <v>600736.SH</v>
          </cell>
        </row>
        <row r="1650">
          <cell r="A1650" t="str">
            <v>600737.SH</v>
          </cell>
        </row>
        <row r="1651">
          <cell r="A1651" t="str">
            <v>600738.SH</v>
          </cell>
        </row>
        <row r="1652">
          <cell r="A1652" t="str">
            <v>600739.SH</v>
          </cell>
        </row>
        <row r="1653">
          <cell r="A1653" t="str">
            <v>600740.SH</v>
          </cell>
        </row>
        <row r="1654">
          <cell r="A1654" t="str">
            <v>600741.SH</v>
          </cell>
        </row>
        <row r="1655">
          <cell r="A1655" t="str">
            <v>600742.SH</v>
          </cell>
        </row>
        <row r="1656">
          <cell r="A1656" t="str">
            <v>600743.SH</v>
          </cell>
        </row>
        <row r="1657">
          <cell r="A1657" t="str">
            <v>600744.SH</v>
          </cell>
        </row>
        <row r="1658">
          <cell r="A1658" t="str">
            <v>600745.SH</v>
          </cell>
        </row>
        <row r="1659">
          <cell r="A1659" t="str">
            <v>600746.SH</v>
          </cell>
        </row>
        <row r="1660">
          <cell r="A1660" t="str">
            <v>600747.SH</v>
          </cell>
        </row>
        <row r="1661">
          <cell r="A1661" t="str">
            <v>600748.SH</v>
          </cell>
        </row>
        <row r="1662">
          <cell r="A1662" t="str">
            <v>600749.SH</v>
          </cell>
        </row>
        <row r="1663">
          <cell r="A1663" t="str">
            <v>600750.SH</v>
          </cell>
        </row>
        <row r="1664">
          <cell r="A1664" t="str">
            <v>600751.SH</v>
          </cell>
        </row>
        <row r="1665">
          <cell r="A1665" t="str">
            <v>600753.SH</v>
          </cell>
        </row>
        <row r="1666">
          <cell r="A1666" t="str">
            <v>600754.SH</v>
          </cell>
        </row>
        <row r="1667">
          <cell r="A1667" t="str">
            <v>600755.SH</v>
          </cell>
        </row>
        <row r="1668">
          <cell r="A1668" t="str">
            <v>600756.SH</v>
          </cell>
        </row>
        <row r="1669">
          <cell r="A1669" t="str">
            <v>600757.SH</v>
          </cell>
        </row>
        <row r="1670">
          <cell r="A1670" t="str">
            <v>600758.SH</v>
          </cell>
        </row>
        <row r="1671">
          <cell r="A1671" t="str">
            <v>600759.SH</v>
          </cell>
        </row>
        <row r="1672">
          <cell r="A1672" t="str">
            <v>600760.SH</v>
          </cell>
        </row>
        <row r="1673">
          <cell r="A1673" t="str">
            <v>600761.SH</v>
          </cell>
        </row>
        <row r="1674">
          <cell r="A1674" t="str">
            <v>600763.SH</v>
          </cell>
        </row>
        <row r="1675">
          <cell r="A1675" t="str">
            <v>600764.SH</v>
          </cell>
        </row>
        <row r="1676">
          <cell r="A1676" t="str">
            <v>600765.SH</v>
          </cell>
        </row>
        <row r="1677">
          <cell r="A1677" t="str">
            <v>600766.SH</v>
          </cell>
        </row>
        <row r="1678">
          <cell r="A1678" t="str">
            <v>600767.SH</v>
          </cell>
        </row>
        <row r="1679">
          <cell r="A1679" t="str">
            <v>600768.SH</v>
          </cell>
        </row>
        <row r="1680">
          <cell r="A1680" t="str">
            <v>600769.SH</v>
          </cell>
        </row>
        <row r="1681">
          <cell r="A1681" t="str">
            <v>600770.SH</v>
          </cell>
        </row>
        <row r="1682">
          <cell r="A1682" t="str">
            <v>600771.SH</v>
          </cell>
        </row>
        <row r="1683">
          <cell r="A1683" t="str">
            <v>600773.SH</v>
          </cell>
        </row>
        <row r="1684">
          <cell r="A1684" t="str">
            <v>600774.SH</v>
          </cell>
        </row>
        <row r="1685">
          <cell r="A1685" t="str">
            <v>600775.SH</v>
          </cell>
        </row>
        <row r="1686">
          <cell r="A1686" t="str">
            <v>600776.SH</v>
          </cell>
        </row>
        <row r="1687">
          <cell r="A1687" t="str">
            <v>600777.SH</v>
          </cell>
        </row>
        <row r="1688">
          <cell r="A1688" t="str">
            <v>600778.SH</v>
          </cell>
        </row>
        <row r="1689">
          <cell r="A1689" t="str">
            <v>600779.SH</v>
          </cell>
        </row>
        <row r="1690">
          <cell r="A1690" t="str">
            <v>600780.SH</v>
          </cell>
        </row>
        <row r="1691">
          <cell r="A1691" t="str">
            <v>600781.SH</v>
          </cell>
        </row>
        <row r="1692">
          <cell r="A1692" t="str">
            <v>600782.SH</v>
          </cell>
        </row>
        <row r="1693">
          <cell r="A1693" t="str">
            <v>600783.SH</v>
          </cell>
        </row>
        <row r="1694">
          <cell r="A1694" t="str">
            <v>600784.SH</v>
          </cell>
        </row>
        <row r="1695">
          <cell r="A1695" t="str">
            <v>600785.SH</v>
          </cell>
        </row>
        <row r="1696">
          <cell r="A1696" t="str">
            <v>600787.SH</v>
          </cell>
        </row>
        <row r="1697">
          <cell r="A1697" t="str">
            <v>600789.SH</v>
          </cell>
        </row>
        <row r="1698">
          <cell r="A1698" t="str">
            <v>600790.SH</v>
          </cell>
        </row>
        <row r="1699">
          <cell r="A1699" t="str">
            <v>600791.SH</v>
          </cell>
        </row>
        <row r="1700">
          <cell r="A1700" t="str">
            <v>600792.SH</v>
          </cell>
        </row>
        <row r="1701">
          <cell r="A1701" t="str">
            <v>600793.SH</v>
          </cell>
        </row>
        <row r="1702">
          <cell r="A1702" t="str">
            <v>600794.SH</v>
          </cell>
        </row>
        <row r="1703">
          <cell r="A1703" t="str">
            <v>600795.SH</v>
          </cell>
        </row>
        <row r="1704">
          <cell r="A1704" t="str">
            <v>600796.SH</v>
          </cell>
        </row>
        <row r="1705">
          <cell r="A1705" t="str">
            <v>600797.SH</v>
          </cell>
        </row>
        <row r="1706">
          <cell r="A1706" t="str">
            <v>600798.SH</v>
          </cell>
        </row>
        <row r="1707">
          <cell r="A1707" t="str">
            <v>600800.SH</v>
          </cell>
        </row>
        <row r="1708">
          <cell r="A1708" t="str">
            <v>600801.SH</v>
          </cell>
        </row>
        <row r="1709">
          <cell r="A1709" t="str">
            <v>600802.SH</v>
          </cell>
        </row>
        <row r="1710">
          <cell r="A1710" t="str">
            <v>600803.SH</v>
          </cell>
        </row>
        <row r="1711">
          <cell r="A1711" t="str">
            <v>600804.SH</v>
          </cell>
        </row>
        <row r="1712">
          <cell r="A1712" t="str">
            <v>600805.SH</v>
          </cell>
        </row>
        <row r="1713">
          <cell r="A1713" t="str">
            <v>600806.SH</v>
          </cell>
        </row>
        <row r="1714">
          <cell r="A1714" t="str">
            <v>600807.SH</v>
          </cell>
        </row>
        <row r="1715">
          <cell r="A1715" t="str">
            <v>600808.SH</v>
          </cell>
        </row>
        <row r="1716">
          <cell r="A1716" t="str">
            <v>600809.SH</v>
          </cell>
        </row>
        <row r="1717">
          <cell r="A1717" t="str">
            <v>600810.SH</v>
          </cell>
        </row>
        <row r="1718">
          <cell r="A1718" t="str">
            <v>600811.SH</v>
          </cell>
        </row>
        <row r="1719">
          <cell r="A1719" t="str">
            <v>600812.SH</v>
          </cell>
        </row>
        <row r="1720">
          <cell r="A1720" t="str">
            <v>600814.SH</v>
          </cell>
        </row>
        <row r="1721">
          <cell r="A1721" t="str">
            <v>600815.SH</v>
          </cell>
        </row>
        <row r="1722">
          <cell r="A1722" t="str">
            <v>600816.SH</v>
          </cell>
        </row>
        <row r="1723">
          <cell r="A1723" t="str">
            <v>600817.SH</v>
          </cell>
        </row>
        <row r="1724">
          <cell r="A1724" t="str">
            <v>600818.SH</v>
          </cell>
        </row>
        <row r="1725">
          <cell r="A1725" t="str">
            <v>600819.SH</v>
          </cell>
        </row>
        <row r="1726">
          <cell r="A1726" t="str">
            <v>600820.SH</v>
          </cell>
        </row>
        <row r="1727">
          <cell r="A1727" t="str">
            <v>600821.SH</v>
          </cell>
        </row>
        <row r="1728">
          <cell r="A1728" t="str">
            <v>600822.SH</v>
          </cell>
        </row>
        <row r="1729">
          <cell r="A1729" t="str">
            <v>600823.SH</v>
          </cell>
        </row>
        <row r="1730">
          <cell r="A1730" t="str">
            <v>600824.SH</v>
          </cell>
        </row>
        <row r="1731">
          <cell r="A1731" t="str">
            <v>600825.SH</v>
          </cell>
        </row>
        <row r="1732">
          <cell r="A1732" t="str">
            <v>600826.SH</v>
          </cell>
        </row>
        <row r="1733">
          <cell r="A1733" t="str">
            <v>600827.SH</v>
          </cell>
        </row>
        <row r="1734">
          <cell r="A1734" t="str">
            <v>600828.SH</v>
          </cell>
        </row>
        <row r="1735">
          <cell r="A1735" t="str">
            <v>600829.SH</v>
          </cell>
        </row>
        <row r="1736">
          <cell r="A1736" t="str">
            <v>600830.SH</v>
          </cell>
        </row>
        <row r="1737">
          <cell r="A1737" t="str">
            <v>600831.SH</v>
          </cell>
        </row>
        <row r="1738">
          <cell r="A1738" t="str">
            <v>600832.SH</v>
          </cell>
        </row>
        <row r="1739">
          <cell r="A1739" t="str">
            <v>600833.SH</v>
          </cell>
        </row>
        <row r="1740">
          <cell r="A1740" t="str">
            <v>600834.SH</v>
          </cell>
        </row>
        <row r="1741">
          <cell r="A1741" t="str">
            <v>600835.SH</v>
          </cell>
        </row>
        <row r="1742">
          <cell r="A1742" t="str">
            <v>600836.SH</v>
          </cell>
        </row>
        <row r="1743">
          <cell r="A1743" t="str">
            <v>600837.SH</v>
          </cell>
        </row>
        <row r="1744">
          <cell r="A1744" t="str">
            <v>600838.SH</v>
          </cell>
        </row>
        <row r="1745">
          <cell r="A1745" t="str">
            <v>600839.SH</v>
          </cell>
        </row>
        <row r="1746">
          <cell r="A1746" t="str">
            <v>600841.SH</v>
          </cell>
        </row>
        <row r="1747">
          <cell r="A1747" t="str">
            <v>600843.SH</v>
          </cell>
        </row>
        <row r="1748">
          <cell r="A1748" t="str">
            <v>600844.SH</v>
          </cell>
        </row>
        <row r="1749">
          <cell r="A1749" t="str">
            <v>600845.SH</v>
          </cell>
        </row>
        <row r="1750">
          <cell r="A1750" t="str">
            <v>600846.SH</v>
          </cell>
        </row>
        <row r="1751">
          <cell r="A1751" t="str">
            <v>600847.SH</v>
          </cell>
        </row>
        <row r="1752">
          <cell r="A1752" t="str">
            <v>600848.SH</v>
          </cell>
        </row>
        <row r="1753">
          <cell r="A1753" t="str">
            <v>600850.SH</v>
          </cell>
        </row>
        <row r="1754">
          <cell r="A1754" t="str">
            <v>600851.SH</v>
          </cell>
        </row>
        <row r="1755">
          <cell r="A1755" t="str">
            <v>600853.SH</v>
          </cell>
        </row>
        <row r="1756">
          <cell r="A1756" t="str">
            <v>600854.SH</v>
          </cell>
        </row>
        <row r="1757">
          <cell r="A1757" t="str">
            <v>600855.SH</v>
          </cell>
        </row>
        <row r="1758">
          <cell r="A1758" t="str">
            <v>600856.SH</v>
          </cell>
        </row>
        <row r="1759">
          <cell r="A1759" t="str">
            <v>600857.SH</v>
          </cell>
        </row>
        <row r="1760">
          <cell r="A1760" t="str">
            <v>600858.SH</v>
          </cell>
        </row>
        <row r="1761">
          <cell r="A1761" t="str">
            <v>600859.SH</v>
          </cell>
        </row>
        <row r="1762">
          <cell r="A1762" t="str">
            <v>600860.SH</v>
          </cell>
        </row>
        <row r="1763">
          <cell r="A1763" t="str">
            <v>600861.SH</v>
          </cell>
        </row>
        <row r="1764">
          <cell r="A1764" t="str">
            <v>600862.SH</v>
          </cell>
        </row>
        <row r="1765">
          <cell r="A1765" t="str">
            <v>600863.SH</v>
          </cell>
        </row>
        <row r="1766">
          <cell r="A1766" t="str">
            <v>600864.SH</v>
          </cell>
        </row>
        <row r="1767">
          <cell r="A1767" t="str">
            <v>600865.SH</v>
          </cell>
        </row>
        <row r="1768">
          <cell r="A1768" t="str">
            <v>600866.SH</v>
          </cell>
        </row>
        <row r="1769">
          <cell r="A1769" t="str">
            <v>600867.SH</v>
          </cell>
        </row>
        <row r="1770">
          <cell r="A1770" t="str">
            <v>600868.SH</v>
          </cell>
        </row>
        <row r="1771">
          <cell r="A1771" t="str">
            <v>600869.SH</v>
          </cell>
        </row>
        <row r="1772">
          <cell r="A1772" t="str">
            <v>600870.SH</v>
          </cell>
        </row>
        <row r="1773">
          <cell r="A1773" t="str">
            <v>600871.SH</v>
          </cell>
        </row>
        <row r="1774">
          <cell r="A1774" t="str">
            <v>600872.SH</v>
          </cell>
        </row>
        <row r="1775">
          <cell r="A1775" t="str">
            <v>600873.SH</v>
          </cell>
        </row>
        <row r="1776">
          <cell r="A1776" t="str">
            <v>600874.SH</v>
          </cell>
        </row>
        <row r="1777">
          <cell r="A1777" t="str">
            <v>600875.SH</v>
          </cell>
        </row>
        <row r="1778">
          <cell r="A1778" t="str">
            <v>600876.SH</v>
          </cell>
        </row>
        <row r="1779">
          <cell r="A1779" t="str">
            <v>600877.SH</v>
          </cell>
        </row>
        <row r="1780">
          <cell r="A1780" t="str">
            <v>600879.SH</v>
          </cell>
        </row>
        <row r="1781">
          <cell r="A1781" t="str">
            <v>600880.SH</v>
          </cell>
        </row>
        <row r="1782">
          <cell r="A1782" t="str">
            <v>600881.SH</v>
          </cell>
        </row>
        <row r="1783">
          <cell r="A1783" t="str">
            <v>600882.SH</v>
          </cell>
        </row>
        <row r="1784">
          <cell r="A1784" t="str">
            <v>600883.SH</v>
          </cell>
        </row>
        <row r="1785">
          <cell r="A1785" t="str">
            <v>600884.SH</v>
          </cell>
        </row>
        <row r="1786">
          <cell r="A1786" t="str">
            <v>600885.SH</v>
          </cell>
        </row>
        <row r="1787">
          <cell r="A1787" t="str">
            <v>600886.SH</v>
          </cell>
        </row>
        <row r="1788">
          <cell r="A1788" t="str">
            <v>600887.SH</v>
          </cell>
        </row>
        <row r="1789">
          <cell r="A1789" t="str">
            <v>600888.SH</v>
          </cell>
        </row>
        <row r="1790">
          <cell r="A1790" t="str">
            <v>600889.SH</v>
          </cell>
        </row>
        <row r="1791">
          <cell r="A1791" t="str">
            <v>600890.SH</v>
          </cell>
        </row>
        <row r="1792">
          <cell r="A1792" t="str">
            <v>600891.SH</v>
          </cell>
        </row>
        <row r="1793">
          <cell r="A1793" t="str">
            <v>600892.SH</v>
          </cell>
        </row>
        <row r="1794">
          <cell r="A1794" t="str">
            <v>600893.SH</v>
          </cell>
        </row>
        <row r="1795">
          <cell r="A1795" t="str">
            <v>600894.SH</v>
          </cell>
        </row>
        <row r="1796">
          <cell r="A1796" t="str">
            <v>600895.SH</v>
          </cell>
        </row>
        <row r="1797">
          <cell r="A1797" t="str">
            <v>600896.SH</v>
          </cell>
        </row>
        <row r="1798">
          <cell r="A1798" t="str">
            <v>600897.SH</v>
          </cell>
        </row>
        <row r="1799">
          <cell r="A1799" t="str">
            <v>600898.SH</v>
          </cell>
        </row>
        <row r="1800">
          <cell r="A1800" t="str">
            <v>600900.SH</v>
          </cell>
        </row>
        <row r="1801">
          <cell r="A1801" t="str">
            <v>600960.SH</v>
          </cell>
        </row>
        <row r="1802">
          <cell r="A1802" t="str">
            <v>600961.SH</v>
          </cell>
        </row>
        <row r="1803">
          <cell r="A1803" t="str">
            <v>600962.SH</v>
          </cell>
        </row>
        <row r="1804">
          <cell r="A1804" t="str">
            <v>600963.SH</v>
          </cell>
        </row>
        <row r="1805">
          <cell r="A1805" t="str">
            <v>600965.SH</v>
          </cell>
        </row>
        <row r="1806">
          <cell r="A1806" t="str">
            <v>600966.SH</v>
          </cell>
        </row>
        <row r="1807">
          <cell r="A1807" t="str">
            <v>600967.SH</v>
          </cell>
        </row>
        <row r="1808">
          <cell r="A1808" t="str">
            <v>600969.SH</v>
          </cell>
        </row>
        <row r="1809">
          <cell r="A1809" t="str">
            <v>600970.SH</v>
          </cell>
        </row>
        <row r="1810">
          <cell r="A1810" t="str">
            <v>600971.SH</v>
          </cell>
        </row>
        <row r="1811">
          <cell r="A1811" t="str">
            <v>600973.SH</v>
          </cell>
        </row>
        <row r="1812">
          <cell r="A1812" t="str">
            <v>600975.SH</v>
          </cell>
        </row>
        <row r="1813">
          <cell r="A1813" t="str">
            <v>600976.SH</v>
          </cell>
        </row>
        <row r="1814">
          <cell r="A1814" t="str">
            <v>600978.SH</v>
          </cell>
        </row>
        <row r="1815">
          <cell r="A1815" t="str">
            <v>600979.SH</v>
          </cell>
        </row>
        <row r="1816">
          <cell r="A1816" t="str">
            <v>600980.SH</v>
          </cell>
        </row>
        <row r="1817">
          <cell r="A1817" t="str">
            <v>600981.SH</v>
          </cell>
        </row>
        <row r="1818">
          <cell r="A1818" t="str">
            <v>600982.SH</v>
          </cell>
        </row>
        <row r="1819">
          <cell r="A1819" t="str">
            <v>600983.SH</v>
          </cell>
        </row>
        <row r="1820">
          <cell r="A1820" t="str">
            <v>600984.SH</v>
          </cell>
        </row>
        <row r="1821">
          <cell r="A1821" t="str">
            <v>600985.SH</v>
          </cell>
        </row>
        <row r="1822">
          <cell r="A1822" t="str">
            <v>600986.SH</v>
          </cell>
        </row>
        <row r="1823">
          <cell r="A1823" t="str">
            <v>600987.SH</v>
          </cell>
        </row>
        <row r="1824">
          <cell r="A1824" t="str">
            <v>600988.SH</v>
          </cell>
        </row>
        <row r="1825">
          <cell r="A1825" t="str">
            <v>600990.SH</v>
          </cell>
        </row>
        <row r="1826">
          <cell r="A1826" t="str">
            <v>600991.SH</v>
          </cell>
        </row>
        <row r="1827">
          <cell r="A1827" t="str">
            <v>600992.SH</v>
          </cell>
        </row>
        <row r="1828">
          <cell r="A1828" t="str">
            <v>600993.SH</v>
          </cell>
        </row>
        <row r="1829">
          <cell r="A1829" t="str">
            <v>600995.SH</v>
          </cell>
        </row>
        <row r="1830">
          <cell r="A1830" t="str">
            <v>600997.SH</v>
          </cell>
        </row>
        <row r="1831">
          <cell r="A1831" t="str">
            <v>600999.SH</v>
          </cell>
        </row>
        <row r="1832">
          <cell r="A1832" t="str">
            <v>601000.SH</v>
          </cell>
        </row>
        <row r="1833">
          <cell r="A1833" t="str">
            <v>601001.SH</v>
          </cell>
        </row>
        <row r="1834">
          <cell r="A1834" t="str">
            <v>601002.SH</v>
          </cell>
        </row>
        <row r="1835">
          <cell r="A1835" t="str">
            <v>601003.SH</v>
          </cell>
        </row>
        <row r="1836">
          <cell r="A1836" t="str">
            <v>601005.SH</v>
          </cell>
        </row>
        <row r="1837">
          <cell r="A1837" t="str">
            <v>601006.SH</v>
          </cell>
        </row>
        <row r="1838">
          <cell r="A1838" t="str">
            <v>601007.SH</v>
          </cell>
        </row>
        <row r="1839">
          <cell r="A1839" t="str">
            <v>601008.SH</v>
          </cell>
        </row>
        <row r="1840">
          <cell r="A1840" t="str">
            <v>601009.SH</v>
          </cell>
        </row>
        <row r="1841">
          <cell r="A1841" t="str">
            <v>601088.SH</v>
          </cell>
        </row>
        <row r="1842">
          <cell r="A1842" t="str">
            <v>601099.SH</v>
          </cell>
        </row>
        <row r="1843">
          <cell r="A1843" t="str">
            <v>601101.SH</v>
          </cell>
        </row>
        <row r="1844">
          <cell r="A1844" t="str">
            <v>601106.SH</v>
          </cell>
        </row>
        <row r="1845">
          <cell r="A1845" t="str">
            <v>601107.SH</v>
          </cell>
        </row>
        <row r="1846">
          <cell r="A1846" t="str">
            <v>601111.SH</v>
          </cell>
        </row>
        <row r="1847">
          <cell r="A1847" t="str">
            <v>601117.SH</v>
          </cell>
        </row>
        <row r="1848">
          <cell r="A1848" t="str">
            <v>601139.SH</v>
          </cell>
        </row>
        <row r="1849">
          <cell r="A1849" t="str">
            <v>601158.SH</v>
          </cell>
        </row>
        <row r="1850">
          <cell r="A1850" t="str">
            <v>601166.SH</v>
          </cell>
        </row>
        <row r="1851">
          <cell r="A1851" t="str">
            <v>601168.SH</v>
          </cell>
        </row>
        <row r="1852">
          <cell r="A1852" t="str">
            <v>601169.SH</v>
          </cell>
        </row>
        <row r="1853">
          <cell r="A1853" t="str">
            <v>601179.SH</v>
          </cell>
        </row>
        <row r="1854">
          <cell r="A1854" t="str">
            <v>601186.SH</v>
          </cell>
        </row>
        <row r="1855">
          <cell r="A1855" t="str">
            <v>601188.SH</v>
          </cell>
        </row>
        <row r="1856">
          <cell r="A1856" t="str">
            <v>601268.SH</v>
          </cell>
        </row>
        <row r="1857">
          <cell r="A1857" t="str">
            <v>601288.SH</v>
          </cell>
        </row>
        <row r="1858">
          <cell r="A1858" t="str">
            <v>601299.SH</v>
          </cell>
        </row>
        <row r="1859">
          <cell r="A1859" t="str">
            <v>601318.SH</v>
          </cell>
        </row>
        <row r="1860">
          <cell r="A1860" t="str">
            <v>601328.SH</v>
          </cell>
        </row>
        <row r="1861">
          <cell r="A1861" t="str">
            <v>601333.SH</v>
          </cell>
        </row>
        <row r="1862">
          <cell r="A1862" t="str">
            <v>601369.SH</v>
          </cell>
        </row>
        <row r="1863">
          <cell r="A1863" t="str">
            <v>601390.SH</v>
          </cell>
        </row>
        <row r="1864">
          <cell r="A1864" t="str">
            <v>601398.SH</v>
          </cell>
        </row>
        <row r="1865">
          <cell r="A1865" t="str">
            <v>601518.SH</v>
          </cell>
        </row>
        <row r="1866">
          <cell r="A1866" t="str">
            <v>601588.SH</v>
          </cell>
        </row>
        <row r="1867">
          <cell r="A1867" t="str">
            <v>601600.SH</v>
          </cell>
        </row>
        <row r="1868">
          <cell r="A1868" t="str">
            <v>601601.SH</v>
          </cell>
        </row>
        <row r="1869">
          <cell r="A1869" t="str">
            <v>601607.SH</v>
          </cell>
        </row>
        <row r="1870">
          <cell r="A1870" t="str">
            <v>601618.SH</v>
          </cell>
        </row>
        <row r="1871">
          <cell r="A1871" t="str">
            <v>601628.SH</v>
          </cell>
        </row>
        <row r="1872">
          <cell r="A1872" t="str">
            <v>601666.SH</v>
          </cell>
        </row>
        <row r="1873">
          <cell r="A1873" t="str">
            <v>601668.SH</v>
          </cell>
        </row>
        <row r="1874">
          <cell r="A1874" t="str">
            <v>601678.SH</v>
          </cell>
        </row>
        <row r="1875">
          <cell r="A1875" t="str">
            <v>601688.SH</v>
          </cell>
        </row>
        <row r="1876">
          <cell r="A1876" t="str">
            <v>601699.SH</v>
          </cell>
        </row>
        <row r="1877">
          <cell r="A1877" t="str">
            <v>601717.SH</v>
          </cell>
        </row>
        <row r="1878">
          <cell r="A1878" t="str">
            <v>601727.SH</v>
          </cell>
        </row>
        <row r="1879">
          <cell r="A1879" t="str">
            <v>601766.SH</v>
          </cell>
        </row>
        <row r="1880">
          <cell r="A1880" t="str">
            <v>601788.SH</v>
          </cell>
        </row>
        <row r="1881">
          <cell r="A1881" t="str">
            <v>601801.SH</v>
          </cell>
        </row>
        <row r="1882">
          <cell r="A1882" t="str">
            <v>601808.SH</v>
          </cell>
        </row>
        <row r="1883">
          <cell r="A1883" t="str">
            <v>601857.SH</v>
          </cell>
        </row>
        <row r="1884">
          <cell r="A1884" t="str">
            <v>601866.SH</v>
          </cell>
        </row>
        <row r="1885">
          <cell r="A1885" t="str">
            <v>601872.SH</v>
          </cell>
        </row>
        <row r="1886">
          <cell r="A1886" t="str">
            <v>601877.SH</v>
          </cell>
        </row>
        <row r="1887">
          <cell r="A1887" t="str">
            <v>601888.SH</v>
          </cell>
        </row>
        <row r="1888">
          <cell r="A1888" t="str">
            <v>601898.SH</v>
          </cell>
        </row>
        <row r="1889">
          <cell r="A1889" t="str">
            <v>601899.SH</v>
          </cell>
        </row>
        <row r="1890">
          <cell r="A1890" t="str">
            <v>601918.SH</v>
          </cell>
        </row>
        <row r="1891">
          <cell r="A1891" t="str">
            <v>601919.SH</v>
          </cell>
        </row>
        <row r="1892">
          <cell r="A1892" t="str">
            <v>601939.SH</v>
          </cell>
        </row>
        <row r="1893">
          <cell r="A1893" t="str">
            <v>601958.SH</v>
          </cell>
        </row>
        <row r="1894">
          <cell r="A1894" t="str">
            <v>601988.SH</v>
          </cell>
        </row>
        <row r="1895">
          <cell r="A1895" t="str">
            <v>601989.SH</v>
          </cell>
        </row>
        <row r="1896">
          <cell r="A1896" t="str">
            <v>601991.SH</v>
          </cell>
        </row>
        <row r="1897">
          <cell r="A1897" t="str">
            <v>601998.SH</v>
          </cell>
        </row>
        <row r="1898">
          <cell r="A1898" t="str">
            <v>601999.SH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b_anal_dirty_cnbd"/>
      <definedName name="b_anal_dirty_csi1"/>
      <definedName name="b_anal_net_cnbd"/>
      <definedName name="b_anal_net_csi1"/>
      <definedName name="b_anal_yield_cnbd"/>
      <definedName name="b_anal_yield_csi1"/>
      <definedName name="B_CALC_PRICE"/>
      <definedName name="b_calc_pv"/>
      <definedName name="b_dq_avgprice"/>
      <definedName name="b_info_listedmkt"/>
      <definedName name="b_info_name"/>
      <definedName name="td"/>
    </defined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情景分析"/>
      <sheetName val="持仓数据"/>
      <sheetName val="持仓数据_备份"/>
      <sheetName val="使用说明"/>
      <sheetName val="算法说明"/>
      <sheetName val="Wind模板"/>
    </sheetNames>
    <sheetDataSet>
      <sheetData sheetId="0">
        <row r="10">
          <cell r="D10">
            <v>20</v>
          </cell>
          <cell r="E10">
            <v>15</v>
          </cell>
          <cell r="F10">
            <v>10</v>
          </cell>
          <cell r="G10">
            <v>0</v>
          </cell>
          <cell r="H10">
            <v>-10</v>
          </cell>
          <cell r="I10">
            <v>-15</v>
          </cell>
          <cell r="J10">
            <v>-20</v>
          </cell>
        </row>
        <row r="14">
          <cell r="C14">
            <v>46050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5:J26"/>
  <sheetViews>
    <sheetView showGridLines="0" tabSelected="1" workbookViewId="0">
      <selection activeCell="G7" sqref="G7"/>
    </sheetView>
  </sheetViews>
  <sheetFormatPr defaultRowHeight="16.5" x14ac:dyDescent="0.15"/>
  <cols>
    <col min="1" max="1" width="8" style="3" customWidth="1"/>
    <col min="2" max="2" width="7.875" style="3" customWidth="1"/>
    <col min="3" max="3" width="10.625" style="3" customWidth="1"/>
    <col min="4" max="10" width="18.625" style="3" customWidth="1"/>
    <col min="11" max="16384" width="9" style="3"/>
  </cols>
  <sheetData>
    <row r="5" spans="2:10" ht="18.75" customHeight="1" x14ac:dyDescent="0.15">
      <c r="B5" s="36" t="s">
        <v>11</v>
      </c>
      <c r="C5" s="37"/>
      <c r="D5" s="18" t="str">
        <f ca="1">[2]!td(TODAY()-2)</f>
        <v>2025-10-24</v>
      </c>
      <c r="I5" s="42"/>
      <c r="J5" s="42" t="s">
        <v>4</v>
      </c>
    </row>
    <row r="6" spans="2:10" ht="18.75" customHeight="1" x14ac:dyDescent="0.15">
      <c r="B6" s="36" t="s">
        <v>12</v>
      </c>
      <c r="C6" s="37"/>
      <c r="D6" s="4">
        <v>1</v>
      </c>
      <c r="E6" s="23" t="str">
        <f>IF(D6=3,"请至-持仓数据-页F列输入分析基准日收益率","")</f>
        <v/>
      </c>
      <c r="I6" s="42" t="s">
        <v>2</v>
      </c>
      <c r="J6" s="42" t="s">
        <v>3</v>
      </c>
    </row>
    <row r="7" spans="2:10" ht="18.75" customHeight="1" x14ac:dyDescent="0.15">
      <c r="B7" s="36" t="s">
        <v>13</v>
      </c>
      <c r="C7" s="37"/>
      <c r="D7" s="4">
        <v>1</v>
      </c>
      <c r="I7" s="42" t="s">
        <v>1</v>
      </c>
      <c r="J7" s="42" t="s">
        <v>21</v>
      </c>
    </row>
    <row r="8" spans="2:10" ht="10.5" customHeight="1" x14ac:dyDescent="0.15">
      <c r="I8" s="42"/>
      <c r="J8" s="42" t="s">
        <v>25</v>
      </c>
    </row>
    <row r="9" spans="2:10" x14ac:dyDescent="0.15">
      <c r="B9" s="3" t="s">
        <v>17</v>
      </c>
      <c r="I9" s="27"/>
      <c r="J9" s="27"/>
    </row>
    <row r="10" spans="2:10" ht="16.5" customHeight="1" x14ac:dyDescent="0.15">
      <c r="B10" s="32" t="s">
        <v>9</v>
      </c>
      <c r="C10" s="33"/>
      <c r="D10" s="19">
        <v>20</v>
      </c>
      <c r="E10" s="19">
        <v>15</v>
      </c>
      <c r="F10" s="19">
        <v>10</v>
      </c>
      <c r="G10" s="19">
        <v>0</v>
      </c>
      <c r="H10" s="19">
        <v>-10</v>
      </c>
      <c r="I10" s="19">
        <v>-15</v>
      </c>
      <c r="J10" s="19">
        <v>-20</v>
      </c>
    </row>
    <row r="11" spans="2:10" ht="16.5" customHeight="1" x14ac:dyDescent="0.15">
      <c r="B11" s="34"/>
      <c r="C11" s="35"/>
      <c r="D11" s="8" t="s">
        <v>5</v>
      </c>
      <c r="E11" s="8" t="s">
        <v>5</v>
      </c>
      <c r="F11" s="8" t="s">
        <v>5</v>
      </c>
      <c r="G11" s="8" t="s">
        <v>5</v>
      </c>
      <c r="H11" s="8" t="s">
        <v>5</v>
      </c>
      <c r="I11" s="8" t="s">
        <v>5</v>
      </c>
      <c r="J11" s="8" t="s">
        <v>5</v>
      </c>
    </row>
    <row r="12" spans="2:10" x14ac:dyDescent="0.15">
      <c r="B12" s="19" t="s">
        <v>8</v>
      </c>
      <c r="C12" s="20">
        <f ca="1">TODAY()+7</f>
        <v>45965</v>
      </c>
      <c r="D12" s="41">
        <f ca="1">((持仓数据!O$3/IF($D$6=1,持仓数据!$I$3,IF($D$6=2,持仓数据!$D$3,IF($D$6=4,持仓数据!$M$3,持仓数据!$F$3))))-1)*365/($C12-$D$5)*100</f>
        <v>10.437467468773356</v>
      </c>
      <c r="E12" s="40">
        <f ca="1">((持仓数据!P$3/IF($D$6=1,持仓数据!$I$3,IF($D$6=2,持仓数据!$D$3,IF($D$6=4,持仓数据!$M$3,持仓数据!$F$3))))-1)*365/($C12-$D$5)*100</f>
        <v>18.290185958647083</v>
      </c>
      <c r="F12" s="40">
        <f ca="1">((持仓数据!Q$3/IF($D$6=1,持仓数据!$I$3,IF($D$6=2,持仓数据!$D$3,IF($D$6=4,持仓数据!$M$3,持仓数据!$F$3))))-1)*365/($C12-$D$5)*100</f>
        <v>26.167456428681131</v>
      </c>
      <c r="G12" s="40">
        <f ca="1">((持仓数据!R$3/IF($D$6=1,持仓数据!$I$3,IF($D$6=2,持仓数据!$D$3,IF($D$6=4,持仓数据!$M$3,持仓数据!$F$3))))-1)*365/($C12-$D$5)*100</f>
        <v>41.996014393888039</v>
      </c>
      <c r="H12" s="40">
        <f ca="1">((持仓数据!S$3/IF($D$6=1,持仓数据!$I$3,IF($D$6=2,持仓数据!$D$3,IF($D$6=4,持仓数据!$M$3,持仓数据!$F$3))))-1)*365/($C12-$D$5)*100</f>
        <v>57.923867272989938</v>
      </c>
      <c r="I12" s="40">
        <f ca="1">((持仓数据!T$3/IF($D$6=1,持仓数据!$I$3,IF($D$6=2,持仓数据!$D$3,IF($D$6=4,持仓数据!$M$3,持仓数据!$F$3))))-1)*365/($C12-$D$5)*100</f>
        <v>65.925257796588426</v>
      </c>
      <c r="J12" s="40">
        <f ca="1">((持仓数据!U$3/IF($D$6=1,持仓数据!$I$3,IF($D$6=2,持仓数据!$D$3,IF($D$6=4,持仓数据!$M$3,持仓数据!$F$3))))-1)*365/($C12-$D$5)*100</f>
        <v>73.951746995747357</v>
      </c>
    </row>
    <row r="13" spans="2:10" x14ac:dyDescent="0.15">
      <c r="B13" s="19" t="s">
        <v>14</v>
      </c>
      <c r="C13" s="20">
        <f ca="1">DATE(YEAR(TODAY()),MONTH(TODAY())+1,DAY(TODAY()))</f>
        <v>45989</v>
      </c>
      <c r="D13" s="7">
        <f ca="1">((持仓数据!V$3/IF($D$6=1,持仓数据!$I$3,IF($D$6=2,持仓数据!$D$3,IF($D$6=4,持仓数据!$M$3,持仓数据!$F$3))))-1)*365/($C13-$D$5)*100</f>
        <v>2.5539096051599035</v>
      </c>
      <c r="E13" s="7">
        <f ca="1">((持仓数据!W$3/IF($D$6=1,持仓数据!$I$3,IF($D$6=2,持仓数据!$D$3,IF($D$6=4,持仓数据!$M$3,持仓数据!$F$3))))-1)*365/($C13-$D$5)*100</f>
        <v>4.9906996654445743</v>
      </c>
      <c r="F13" s="7">
        <f ca="1">((持仓数据!X$3/IF($D$6=1,持仓数据!$I$3,IF($D$6=2,持仓数据!$D$3,IF($D$6=4,持仓数据!$M$3,持仓数据!$F$3))))-1)*365/($C13-$D$5)*100</f>
        <v>7.4350426372077605</v>
      </c>
      <c r="G13" s="7">
        <f ca="1">((持仓数据!Y$3/IF($D$6=1,持仓数据!$I$3,IF($D$6=2,持仓数据!$D$3,IF($D$6=4,持仓数据!$M$3,持仓数据!$F$3))))-1)*365/($C13-$D$5)*100</f>
        <v>12.346497542461195</v>
      </c>
      <c r="H13" s="7">
        <f ca="1">((持仓数据!Z$3/IF($D$6=1,持仓数据!$I$3,IF($D$6=2,持仓数据!$D$3,IF($D$6=4,持仓数据!$M$3,持仓数据!$F$3))))-1)*365/($C13-$D$5)*100</f>
        <v>17.288495908875753</v>
      </c>
      <c r="I13" s="7">
        <f ca="1">((持仓数据!AA$3/IF($D$6=1,持仓数据!$I$3,IF($D$6=2,持仓数据!$D$3,IF($D$6=4,持仓数据!$M$3,持仓数据!$F$3))))-1)*365/($C13-$D$5)*100</f>
        <v>19.771018634803518</v>
      </c>
      <c r="J13" s="7">
        <f ca="1">((持仓数据!AB$3/IF($D$6=1,持仓数据!$I$3,IF($D$6=2,持仓数据!$D$3,IF($D$6=4,持仓数据!$M$3,持仓数据!$F$3))))-1)*365/($C13-$D$5)*100</f>
        <v>22.261261149336264</v>
      </c>
    </row>
    <row r="14" spans="2:10" x14ac:dyDescent="0.15">
      <c r="B14" s="19" t="s">
        <v>6</v>
      </c>
      <c r="C14" s="20">
        <f ca="1">DATE(YEAR(TODAY()),MONTH(TODAY())+3,DAY(TODAY()))</f>
        <v>46050</v>
      </c>
      <c r="D14" s="7">
        <f ca="1">((持仓数据!AC$3/IF($D$6=1,持仓数据!$I$3,IF($D$6=2,持仓数据!$D$3,IF($D$6=4,持仓数据!$M$3,持仓数据!$F$3))))-1)*365/($C14-$D$5)*100</f>
        <v>0.25511836558191525</v>
      </c>
      <c r="E14" s="7">
        <f ca="1">((持仓数据!AD$3/IF($D$6=1,持仓数据!$I$3,IF($D$6=2,持仓数据!$D$3,IF($D$6=4,持仓数据!$M$3,持仓数据!$F$3))))-1)*365/($C14-$D$5)*100</f>
        <v>1.1145193851980981</v>
      </c>
      <c r="F14" s="7">
        <f ca="1">((持仓数据!AE$3/IF($D$6=1,持仓数据!$I$3,IF($D$6=2,持仓数据!$D$3,IF($D$6=4,持仓数据!$M$3,持仓数据!$F$3))))-1)*365/($C14-$D$5)*100</f>
        <v>1.9765251785770914</v>
      </c>
      <c r="G14" s="7">
        <f ca="1">((持仓数据!AF$3/IF($D$6=1,持仓数据!$I$3,IF($D$6=2,持仓数据!$D$3,IF($D$6=4,持仓数据!$M$3,持仓数据!$F$3))))-1)*365/($C14-$D$5)*100</f>
        <v>3.708388351781597</v>
      </c>
      <c r="H14" s="7">
        <f ca="1">((持仓数据!AG$3/IF($D$6=1,持仓数据!$I$3,IF($D$6=2,持仓数据!$D$3,IF($D$6=4,持仓数据!$M$3,持仓数据!$F$3))))-1)*365/($C14-$D$5)*100</f>
        <v>5.4507827916869891</v>
      </c>
      <c r="I14" s="7">
        <f ca="1">((持仓数据!AH$3/IF($D$6=1,持仓数据!$I$3,IF($D$6=2,持仓数据!$D$3,IF($D$6=4,持仓数据!$M$3,持仓数据!$F$3))))-1)*365/($C14-$D$5)*100</f>
        <v>6.3259528103896052</v>
      </c>
      <c r="J14" s="7">
        <f ca="1">((持仓数据!AI$3/IF($D$6=1,持仓数据!$I$3,IF($D$6=2,持仓数据!$D$3,IF($D$6=4,持仓数据!$M$3,持仓数据!$F$3))))-1)*365/($C14-$D$5)*100</f>
        <v>7.2037840104333783</v>
      </c>
    </row>
    <row r="15" spans="2:10" x14ac:dyDescent="0.15">
      <c r="B15" s="19" t="s">
        <v>15</v>
      </c>
      <c r="C15" s="20">
        <f ca="1">DATE(YEAR(TODAY()),MONTH(TODAY())+6,DAY(TODAY()))</f>
        <v>46140</v>
      </c>
      <c r="D15" s="7">
        <f ca="1">((持仓数据!AJ$3/IF($D$6=1,持仓数据!$I$3,IF($D$6=2,持仓数据!$D$3,IF($D$6=4,持仓数据!$M$3,持仓数据!$F$3))))-1)*365/($C15-$D$5)*100</f>
        <v>0.13167399513905301</v>
      </c>
      <c r="E15" s="7">
        <f ca="1">((持仓数据!AK$3/IF($D$6=1,持仓数据!$I$3,IF($D$6=2,持仓数据!$D$3,IF($D$6=4,持仓数据!$M$3,持仓数据!$F$3))))-1)*365/($C15-$D$5)*100</f>
        <v>0.57523581171514737</v>
      </c>
      <c r="F15" s="7">
        <f ca="1">((持仓数据!AL$3/IF($D$6=1,持仓数据!$I$3,IF($D$6=2,持仓数据!$D$3,IF($D$6=4,持仓数据!$M$3,持仓数据!$F$3))))-1)*365/($C15-$D$5)*100</f>
        <v>1.0201420276526925</v>
      </c>
      <c r="G15" s="7">
        <f ca="1">((持仓数据!AM$3/IF($D$6=1,持仓数据!$I$3,IF($D$6=2,持仓数据!$D$3,IF($D$6=4,持仓数据!$M$3,持仓数据!$F$3))))-1)*365/($C15-$D$5)*100</f>
        <v>1.9140068912421144</v>
      </c>
      <c r="H15" s="7">
        <f ca="1">((持仓数据!AN$3/IF($D$6=1,持仓数据!$I$3,IF($D$6=2,持仓数据!$D$3,IF($D$6=4,持仓数据!$M$3,持仓数据!$F$3))))-1)*365/($C15-$D$5)*100</f>
        <v>2.8133072473223169</v>
      </c>
      <c r="I15" s="7">
        <f ca="1">((持仓数据!AO$3/IF($D$6=1,持仓数据!$I$3,IF($D$6=2,持仓数据!$D$3,IF($D$6=4,持仓数据!$M$3,持仓数据!$F$3))))-1)*365/($C15-$D$5)*100</f>
        <v>3.2650079021365701</v>
      </c>
      <c r="J15" s="7">
        <f ca="1">((持仓数据!AP$3/IF($D$6=1,持仓数据!$I$3,IF($D$6=2,持仓数据!$D$3,IF($D$6=4,持仓数据!$M$3,持仓数据!$F$3))))-1)*365/($C15-$D$5)*100</f>
        <v>3.7180820699010986</v>
      </c>
    </row>
    <row r="16" spans="2:10" x14ac:dyDescent="0.15">
      <c r="B16" s="19" t="s">
        <v>7</v>
      </c>
      <c r="C16" s="20">
        <f ca="1">DATE(YEAR(TODAY())+1,MONTH(TODAY()),DAY(TODAY()))</f>
        <v>46323</v>
      </c>
      <c r="D16" s="7">
        <f ca="1">((持仓数据!AQ$3/IF($D$6=1,持仓数据!$I$3,IF($D$6=2,持仓数据!$D$3,IF($D$6=4,持仓数据!$M$3,持仓数据!$F$3))))-1)*365/($C16-$D$5)*100</f>
        <v>-0.72997647331833526</v>
      </c>
      <c r="E16" s="7">
        <f ca="1">((持仓数据!AR$3/IF($D$6=1,持仓数据!$I$3,IF($D$6=2,持仓数据!$D$3,IF($D$6=4,持仓数据!$M$3,持仓数据!$F$3))))-1)*365/($C16-$D$5)*100</f>
        <v>-0.5400983296010784</v>
      </c>
      <c r="F16" s="7">
        <f ca="1">((持仓数据!AS$3/IF($D$6=1,持仓数据!$I$3,IF($D$6=2,持仓数据!$D$3,IF($D$6=4,持仓数据!$M$3,持仓数据!$F$3))))-1)*365/($C16-$D$5)*100</f>
        <v>-0.34970130266303429</v>
      </c>
      <c r="G16" s="7">
        <f ca="1">((持仓数据!AT$3/IF($D$6=1,持仓数据!$I$3,IF($D$6=2,持仓数据!$D$3,IF($D$6=4,持仓数据!$M$3,持仓数据!$F$3))))-1)*365/($C16-$D$5)*100</f>
        <v>3.2656165399717635E-2</v>
      </c>
      <c r="H16" s="7">
        <f ca="1">((持仓数据!AU$3/IF($D$6=1,持仓数据!$I$3,IF($D$6=2,持仓数据!$D$3,IF($D$6=4,持仓数据!$M$3,持仓数据!$F$3))))-1)*365/($C16-$D$5)*100</f>
        <v>0.41710952255083678</v>
      </c>
      <c r="I16" s="7">
        <f ca="1">((持仓数据!AV$3/IF($D$6=1,持仓数据!$I$3,IF($D$6=2,持仓数据!$D$3,IF($D$6=4,持仓数据!$M$3,持仓数据!$F$3))))-1)*365/($C16-$D$5)*100</f>
        <v>0.6101264344717886</v>
      </c>
      <c r="J16" s="7">
        <f ca="1">((持仓数据!AW$3/IF($D$6=1,持仓数据!$I$3,IF($D$6=2,持仓数据!$D$3,IF($D$6=4,持仓数据!$M$3,持仓数据!$F$3))))-1)*365/($C16-$D$5)*100</f>
        <v>0.80367246126148173</v>
      </c>
    </row>
    <row r="18" spans="2:10" x14ac:dyDescent="0.15">
      <c r="B18" s="3" t="s">
        <v>16</v>
      </c>
    </row>
    <row r="19" spans="2:10" x14ac:dyDescent="0.15">
      <c r="B19" s="38" t="s">
        <v>22</v>
      </c>
      <c r="C19" s="39"/>
      <c r="D19" s="15">
        <f ca="1">IF(持仓数据!H3=0,持仓数据!B3*100,持仓数据!H3)</f>
        <v>300</v>
      </c>
    </row>
    <row r="20" spans="2:10" ht="15.75" customHeight="1" x14ac:dyDescent="0.15">
      <c r="B20" s="32" t="s">
        <v>10</v>
      </c>
      <c r="C20" s="33"/>
      <c r="D20" s="5">
        <f>D10</f>
        <v>20</v>
      </c>
      <c r="E20" s="5">
        <f t="shared" ref="E20:J20" si="0">E10</f>
        <v>15</v>
      </c>
      <c r="F20" s="5">
        <f t="shared" si="0"/>
        <v>10</v>
      </c>
      <c r="G20" s="5">
        <f t="shared" si="0"/>
        <v>0</v>
      </c>
      <c r="H20" s="5">
        <f t="shared" si="0"/>
        <v>-10</v>
      </c>
      <c r="I20" s="5">
        <f t="shared" si="0"/>
        <v>-15</v>
      </c>
      <c r="J20" s="5">
        <f t="shared" si="0"/>
        <v>-20</v>
      </c>
    </row>
    <row r="21" spans="2:10" ht="13.5" customHeight="1" x14ac:dyDescent="0.15">
      <c r="B21" s="34"/>
      <c r="C21" s="35"/>
      <c r="D21" s="8" t="s">
        <v>5</v>
      </c>
      <c r="E21" s="8" t="s">
        <v>5</v>
      </c>
      <c r="F21" s="8" t="s">
        <v>5</v>
      </c>
      <c r="G21" s="8" t="s">
        <v>5</v>
      </c>
      <c r="H21" s="8" t="s">
        <v>5</v>
      </c>
      <c r="I21" s="8" t="s">
        <v>5</v>
      </c>
      <c r="J21" s="8" t="s">
        <v>5</v>
      </c>
    </row>
    <row r="22" spans="2:10" x14ac:dyDescent="0.15">
      <c r="B22" s="15" t="str">
        <f t="shared" ref="B22:C26" si="1">B12</f>
        <v>1W</v>
      </c>
      <c r="C22" s="6">
        <f t="shared" ca="1" si="1"/>
        <v>45965</v>
      </c>
      <c r="D22" s="9">
        <f ca="1">(持仓数据!O$3-IF($D$6=1,持仓数据!$I$3,IF($D$6=2,持仓数据!$D$3,IF($D$6=4,持仓数据!$M$3,持仓数据!$F$3))))</f>
        <v>0.98840798065714353</v>
      </c>
      <c r="E22" s="9">
        <f ca="1">(持仓数据!P$3-IF($D$6=1,持仓数据!$I$3,IF($D$6=2,持仓数据!$D$3,IF($D$6=4,持仓数据!$M$3,持仓数据!$F$3))))</f>
        <v>1.7320452325543556</v>
      </c>
      <c r="F22" s="9">
        <f ca="1">(持仓数据!Q$3-IF($D$6=1,持仓数据!$I$3,IF($D$6=2,持仓数据!$D$3,IF($D$6=4,持仓数据!$M$3,持仓数据!$F$3))))</f>
        <v>2.4780075094831204</v>
      </c>
      <c r="G22" s="9">
        <f ca="1">(持仓数据!R$3-IF($D$6=1,持仓数据!$I$3,IF($D$6=2,持仓数据!$D$3,IF($D$6=4,持仓数据!$M$3,持仓数据!$F$3))))</f>
        <v>3.976941332454146</v>
      </c>
      <c r="H22" s="9">
        <f ca="1">(持仓数据!S$3-IF($D$6=1,持仓数据!$I$3,IF($D$6=2,持仓数据!$D$3,IF($D$6=4,持仓数据!$M$3,持仓数据!$F$3))))</f>
        <v>5.485278191710222</v>
      </c>
      <c r="I22" s="9">
        <f ca="1">(持仓数据!T$3-IF($D$6=1,持仓数据!$I$3,IF($D$6=2,持仓数据!$D$3,IF($D$6=4,持仓数据!$M$3,持仓数据!$F$3))))</f>
        <v>6.2429943976327991</v>
      </c>
      <c r="J22" s="9">
        <f ca="1">(持仓数据!U$3-IF($D$6=1,持仓数据!$I$3,IF($D$6=2,持仓数据!$D$3,IF($D$6=4,持仓数据!$M$3,持仓数据!$F$3))))</f>
        <v>7.0030873995839329</v>
      </c>
    </row>
    <row r="23" spans="2:10" x14ac:dyDescent="0.15">
      <c r="B23" s="15" t="str">
        <f t="shared" si="1"/>
        <v>1M</v>
      </c>
      <c r="C23" s="6">
        <f t="shared" ca="1" si="1"/>
        <v>45989</v>
      </c>
      <c r="D23" s="9">
        <f ca="1">(持仓数据!V$3-IF($D$6=1,持仓数据!$I$3,IF($D$6=2,持仓数据!$D$3,IF($D$6=4,持仓数据!$M$3,持仓数据!$F$3))))</f>
        <v>0.76952368092008783</v>
      </c>
      <c r="E23" s="9">
        <f ca="1">(持仓数据!W$3-IF($D$6=1,持仓数据!$I$3,IF($D$6=2,持仓数据!$D$3,IF($D$6=4,持仓数据!$M$3,持仓数据!$F$3))))</f>
        <v>1.5037578343259383</v>
      </c>
      <c r="F23" s="9">
        <f ca="1">(持仓数据!X$3-IF($D$6=1,持仓数据!$I$3,IF($D$6=2,持仓数据!$D$3,IF($D$6=4,持仓数据!$M$3,持仓数据!$F$3))))</f>
        <v>2.2402677708021201</v>
      </c>
      <c r="G23" s="9">
        <f ca="1">(持仓数据!Y$3-IF($D$6=1,持仓数据!$I$3,IF($D$6=2,持仓数据!$D$3,IF($D$6=4,持仓数据!$M$3,持仓数据!$F$3))))</f>
        <v>3.720148205774251</v>
      </c>
      <c r="H23" s="9">
        <f ca="1">(持仓数据!Z$3-IF($D$6=1,持仓数据!$I$3,IF($D$6=2,持仓数据!$D$3,IF($D$6=4,持仓数据!$M$3,持仓数据!$F$3))))</f>
        <v>5.2092317529525758</v>
      </c>
      <c r="I23" s="9">
        <f ca="1">(持仓数据!AA$3-IF($D$6=1,持仓数据!$I$3,IF($D$6=2,持仓数据!$D$3,IF($D$6=4,持仓数据!$M$3,持仓数据!$F$3))))</f>
        <v>5.9572457085616293</v>
      </c>
      <c r="J23" s="9">
        <f ca="1">(持仓数据!AB$3-IF($D$6=1,持仓数据!$I$3,IF($D$6=2,持仓数据!$D$3,IF($D$6=4,持仓数据!$M$3,持仓数据!$F$3))))</f>
        <v>6.7075857293263539</v>
      </c>
    </row>
    <row r="24" spans="2:10" x14ac:dyDescent="0.15">
      <c r="B24" s="15" t="str">
        <f t="shared" si="1"/>
        <v>3M</v>
      </c>
      <c r="C24" s="6">
        <f t="shared" ca="1" si="1"/>
        <v>46050</v>
      </c>
      <c r="D24" s="9">
        <f ca="1">(持仓数据!AC$3-IF($D$6=1,持仓数据!$I$3,IF($D$6=2,持仓数据!$D$3,IF($D$6=4,持仓数据!$M$3,持仓数据!$F$3))))</f>
        <v>0.21084406480395046</v>
      </c>
      <c r="E24" s="9">
        <f ca="1">(持仓数据!AD$3-IF($D$6=1,持仓数据!$I$3,IF($D$6=2,持仓数据!$D$3,IF($D$6=4,持仓数据!$M$3,持仓数据!$F$3))))</f>
        <v>0.92110106201852204</v>
      </c>
      <c r="F24" s="9">
        <f ca="1">(持仓数据!AE$3-IF($D$6=1,持仓数据!$I$3,IF($D$6=2,持仓数据!$D$3,IF($D$6=4,持仓数据!$M$3,持仓数据!$F$3))))</f>
        <v>1.6335107897384091</v>
      </c>
      <c r="G24" s="9">
        <f ca="1">(持仓数据!AF$3-IF($D$6=1,持仓数据!$I$3,IF($D$6=2,持仓数据!$D$3,IF($D$6=4,持仓数据!$M$3,持仓数据!$F$3))))</f>
        <v>3.0648192347018153</v>
      </c>
      <c r="H24" s="9">
        <f ca="1">(持仓数据!AG$3-IF($D$6=1,持仓数据!$I$3,IF($D$6=2,持仓数据!$D$3,IF($D$6=4,持仓数据!$M$3,持仓数据!$F$3))))</f>
        <v>4.504831306602</v>
      </c>
      <c r="I24" s="9">
        <f ca="1">(持仓数据!AH$3-IF($D$6=1,持仓数据!$I$3,IF($D$6=2,持仓数据!$D$3,IF($D$6=4,持仓数据!$M$3,持仓数据!$F$3))))</f>
        <v>5.2281206853062372</v>
      </c>
      <c r="J24" s="9">
        <f ca="1">(持仓数据!AI$3-IF($D$6=1,持仓数据!$I$3,IF($D$6=2,持仓数据!$D$3,IF($D$6=4,持仓数据!$M$3,持仓数据!$F$3))))</f>
        <v>5.9536094128886248</v>
      </c>
    </row>
    <row r="25" spans="2:10" x14ac:dyDescent="0.15">
      <c r="B25" s="15" t="str">
        <f t="shared" si="1"/>
        <v>6M</v>
      </c>
      <c r="C25" s="6">
        <f t="shared" ca="1" si="1"/>
        <v>46140</v>
      </c>
      <c r="D25" s="9">
        <f ca="1">(持仓数据!AJ$3-IF($D$6=1,持仓数据!$I$3,IF($D$6=2,持仓数据!$D$3,IF($D$6=4,持仓数据!$M$3,持仓数据!$F$3))))</f>
        <v>0.21084406480395046</v>
      </c>
      <c r="E25" s="9">
        <f ca="1">(持仓数据!AK$3-IF($D$6=1,持仓数据!$I$3,IF($D$6=2,持仓数据!$D$3,IF($D$6=4,持仓数据!$M$3,持仓数据!$F$3))))</f>
        <v>0.92110106201852204</v>
      </c>
      <c r="F25" s="9">
        <f ca="1">(持仓数据!AL$3-IF($D$6=1,持仓数据!$I$3,IF($D$6=2,持仓数据!$D$3,IF($D$6=4,持仓数据!$M$3,持仓数据!$F$3))))</f>
        <v>1.6335107897384091</v>
      </c>
      <c r="G25" s="9">
        <f ca="1">(持仓数据!AM$3-IF($D$6=1,持仓数据!$I$3,IF($D$6=2,持仓数据!$D$3,IF($D$6=4,持仓数据!$M$3,持仓数据!$F$3))))</f>
        <v>3.0648192347018153</v>
      </c>
      <c r="H25" s="9">
        <f ca="1">(持仓数据!AN$3-IF($D$6=1,持仓数据!$I$3,IF($D$6=2,持仓数据!$D$3,IF($D$6=4,持仓数据!$M$3,持仓数据!$F$3))))</f>
        <v>4.504831306602</v>
      </c>
      <c r="I25" s="9">
        <f ca="1">(持仓数据!AO$3-IF($D$6=1,持仓数据!$I$3,IF($D$6=2,持仓数据!$D$3,IF($D$6=4,持仓数据!$M$3,持仓数据!$F$3))))</f>
        <v>5.2281206853062372</v>
      </c>
      <c r="J25" s="9">
        <f ca="1">(持仓数据!AP$3-IF($D$6=1,持仓数据!$I$3,IF($D$6=2,持仓数据!$D$3,IF($D$6=4,持仓数据!$M$3,持仓数据!$F$3))))</f>
        <v>5.9536094128886248</v>
      </c>
    </row>
    <row r="26" spans="2:10" x14ac:dyDescent="0.15">
      <c r="B26" s="15" t="str">
        <f t="shared" si="1"/>
        <v>1Y</v>
      </c>
      <c r="C26" s="6">
        <f t="shared" ca="1" si="1"/>
        <v>46323</v>
      </c>
      <c r="D26" s="9">
        <f ca="1">(持仓数据!AQ$3-IF($D$6=1,持仓数据!$I$3,IF($D$6=2,持仓数据!$D$3,IF($D$6=4,持仓数据!$M$3,持仓数据!$F$3))))</f>
        <v>-2.318908715033615</v>
      </c>
      <c r="E26" s="9">
        <f ca="1">(持仓数据!AR$3-IF($D$6=1,持仓数据!$I$3,IF($D$6=2,持仓数据!$D$3,IF($D$6=4,持仓数据!$M$3,持仓数据!$F$3))))</f>
        <v>-1.715724779174991</v>
      </c>
      <c r="F26" s="9">
        <f ca="1">(持仓数据!AS$3-IF($D$6=1,持仓数据!$I$3,IF($D$6=2,持仓数据!$D$3,IF($D$6=4,持仓数据!$M$3,持仓数据!$F$3))))</f>
        <v>-1.1108925123539848</v>
      </c>
      <c r="G26" s="9">
        <f ca="1">(持仓数据!AT$3-IF($D$6=1,持仓数据!$I$3,IF($D$6=2,持仓数据!$D$3,IF($D$6=4,持仓数据!$M$3,持仓数据!$F$3))))</f>
        <v>0.1037385029694633</v>
      </c>
      <c r="H26" s="9">
        <f ca="1">(持仓数据!AU$3-IF($D$6=1,持仓数据!$I$3,IF($D$6=2,持仓数据!$D$3,IF($D$6=4,持仓数据!$M$3,持仓数据!$F$3))))</f>
        <v>1.3250275074890396</v>
      </c>
      <c r="I26" s="9">
        <f ca="1">(持仓数据!AV$3-IF($D$6=1,持仓数据!$I$3,IF($D$6=2,持仓数据!$D$3,IF($D$6=4,持仓数据!$M$3,持仓数据!$F$3))))</f>
        <v>1.9381823358463635</v>
      </c>
      <c r="J26" s="9">
        <f ca="1">(持仓数据!AW$3-IF($D$6=1,持仓数据!$I$3,IF($D$6=2,持仓数据!$D$3,IF($D$6=4,持仓数据!$M$3,持仓数据!$F$3))))</f>
        <v>2.5530179979362515</v>
      </c>
    </row>
  </sheetData>
  <mergeCells count="6">
    <mergeCell ref="B10:C11"/>
    <mergeCell ref="B20:C21"/>
    <mergeCell ref="B5:C5"/>
    <mergeCell ref="B6:C6"/>
    <mergeCell ref="B7:C7"/>
    <mergeCell ref="B19:C19"/>
  </mergeCells>
  <phoneticPr fontId="1" type="noConversion"/>
  <conditionalFormatting sqref="D12:J16">
    <cfRule type="colorScale" priority="2">
      <colorScale>
        <cfvo type="min"/>
        <cfvo type="max"/>
        <color rgb="FFFFEF9C"/>
        <color rgb="FF63BE7B"/>
      </colorScale>
    </cfRule>
  </conditionalFormatting>
  <conditionalFormatting sqref="D22:J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>
                  <from>
                    <xdr:col>2</xdr:col>
                    <xdr:colOff>800100</xdr:colOff>
                    <xdr:row>6</xdr:row>
                    <xdr:rowOff>0</xdr:rowOff>
                  </from>
                  <to>
                    <xdr:col>3</xdr:col>
                    <xdr:colOff>1143000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Drop Down 2">
              <controlPr defaultSize="0" autoLine="0" autoPict="0">
                <anchor moveWithCells="1">
                  <from>
                    <xdr:col>3</xdr:col>
                    <xdr:colOff>0</xdr:colOff>
                    <xdr:row>5</xdr:row>
                    <xdr:rowOff>0</xdr:rowOff>
                  </from>
                  <to>
                    <xdr:col>3</xdr:col>
                    <xdr:colOff>1152525</xdr:colOff>
                    <xdr:row>5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W100"/>
  <sheetViews>
    <sheetView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F25" sqref="F25"/>
    </sheetView>
  </sheetViews>
  <sheetFormatPr defaultRowHeight="15" x14ac:dyDescent="0.15"/>
  <cols>
    <col min="1" max="1" width="9.5" style="1" customWidth="1"/>
    <col min="2" max="4" width="17.75" style="1" customWidth="1"/>
    <col min="5" max="7" width="11.625" style="1" customWidth="1"/>
    <col min="8" max="8" width="11.125" style="17" customWidth="1"/>
    <col min="9" max="9" width="15" style="1" customWidth="1"/>
    <col min="10" max="14" width="13.375" style="1" customWidth="1"/>
    <col min="15" max="15" width="12.25" style="1" customWidth="1"/>
    <col min="16" max="16" width="12.375" style="1" customWidth="1"/>
    <col min="17" max="18" width="11.875" style="1" customWidth="1"/>
    <col min="19" max="19" width="10.625" style="1" customWidth="1"/>
    <col min="20" max="49" width="12.75" style="1" bestFit="1" customWidth="1"/>
    <col min="50" max="16384" width="9" style="1"/>
  </cols>
  <sheetData>
    <row r="1" spans="1:49" s="13" customFormat="1" x14ac:dyDescent="0.15">
      <c r="B1" s="14"/>
      <c r="C1" s="14"/>
      <c r="D1" s="14"/>
      <c r="E1" s="14"/>
      <c r="F1" s="14"/>
      <c r="G1" s="14"/>
      <c r="H1" s="16"/>
      <c r="I1" s="14"/>
      <c r="J1" s="14"/>
      <c r="K1" s="14"/>
      <c r="L1" s="14"/>
      <c r="M1" s="14"/>
      <c r="N1" s="14"/>
      <c r="O1" s="14">
        <f ca="1">情景分析!C12</f>
        <v>45965</v>
      </c>
      <c r="P1" s="14"/>
      <c r="Q1" s="14"/>
      <c r="R1" s="14"/>
      <c r="S1" s="14"/>
      <c r="T1" s="14"/>
      <c r="U1" s="14"/>
      <c r="V1" s="14">
        <f ca="1">情景分析!C13</f>
        <v>45989</v>
      </c>
      <c r="W1" s="14"/>
      <c r="X1" s="14"/>
      <c r="Y1" s="14"/>
      <c r="Z1" s="14"/>
      <c r="AA1" s="14"/>
      <c r="AB1" s="14"/>
      <c r="AC1" s="14">
        <f>[3]情景分析!C14</f>
        <v>46050</v>
      </c>
      <c r="AD1" s="14"/>
      <c r="AE1" s="14"/>
      <c r="AF1" s="14"/>
      <c r="AG1" s="14"/>
      <c r="AH1" s="14"/>
      <c r="AI1" s="14"/>
      <c r="AJ1" s="14">
        <f ca="1">情景分析!C14</f>
        <v>46050</v>
      </c>
      <c r="AK1" s="14"/>
      <c r="AL1" s="14"/>
      <c r="AM1" s="14"/>
      <c r="AN1" s="14"/>
      <c r="AO1" s="14"/>
      <c r="AP1" s="14"/>
      <c r="AQ1" s="14">
        <f ca="1">情景分析!C16</f>
        <v>46323</v>
      </c>
      <c r="AR1" s="14"/>
      <c r="AS1" s="14"/>
      <c r="AT1" s="14"/>
      <c r="AU1" s="14"/>
      <c r="AV1" s="14"/>
      <c r="AW1" s="14"/>
    </row>
    <row r="2" spans="1:49" x14ac:dyDescent="0.15">
      <c r="B2" s="5" t="s">
        <v>0</v>
      </c>
      <c r="C2" s="25" t="s">
        <v>26</v>
      </c>
      <c r="D2" s="36" t="s">
        <v>19</v>
      </c>
      <c r="E2" s="37"/>
      <c r="F2" s="36" t="s">
        <v>27</v>
      </c>
      <c r="G2" s="37"/>
      <c r="H2" s="16" t="s">
        <v>28</v>
      </c>
      <c r="I2" s="36" t="s">
        <v>20</v>
      </c>
      <c r="J2" s="37"/>
      <c r="K2" s="36" t="s">
        <v>29</v>
      </c>
      <c r="L2" s="37"/>
      <c r="M2" s="36" t="s">
        <v>30</v>
      </c>
      <c r="N2" s="37"/>
      <c r="O2" s="25">
        <f>[3]情景分析!D10</f>
        <v>20</v>
      </c>
      <c r="P2" s="25">
        <f>[3]情景分析!E10</f>
        <v>15</v>
      </c>
      <c r="Q2" s="25">
        <f>[3]情景分析!F10</f>
        <v>10</v>
      </c>
      <c r="R2" s="25">
        <f>[3]情景分析!G10</f>
        <v>0</v>
      </c>
      <c r="S2" s="25">
        <f>[3]情景分析!H10</f>
        <v>-10</v>
      </c>
      <c r="T2" s="25">
        <f>[3]情景分析!I10</f>
        <v>-15</v>
      </c>
      <c r="U2" s="25">
        <f>[3]情景分析!J10</f>
        <v>-20</v>
      </c>
      <c r="V2" s="25">
        <f t="shared" ref="V2:AA2" si="0">O2</f>
        <v>20</v>
      </c>
      <c r="W2" s="25">
        <f t="shared" si="0"/>
        <v>15</v>
      </c>
      <c r="X2" s="25">
        <f t="shared" si="0"/>
        <v>10</v>
      </c>
      <c r="Y2" s="25">
        <f t="shared" si="0"/>
        <v>0</v>
      </c>
      <c r="Z2" s="25">
        <f t="shared" si="0"/>
        <v>-10</v>
      </c>
      <c r="AA2" s="25">
        <f t="shared" si="0"/>
        <v>-15</v>
      </c>
      <c r="AB2" s="25">
        <f>U2</f>
        <v>-20</v>
      </c>
      <c r="AC2" s="25">
        <f t="shared" ref="AC2:AH2" si="1">O2</f>
        <v>20</v>
      </c>
      <c r="AD2" s="25">
        <f t="shared" si="1"/>
        <v>15</v>
      </c>
      <c r="AE2" s="25">
        <f t="shared" si="1"/>
        <v>10</v>
      </c>
      <c r="AF2" s="25">
        <f t="shared" si="1"/>
        <v>0</v>
      </c>
      <c r="AG2" s="25">
        <f t="shared" si="1"/>
        <v>-10</v>
      </c>
      <c r="AH2" s="25">
        <f t="shared" si="1"/>
        <v>-15</v>
      </c>
      <c r="AI2" s="25">
        <f>U2</f>
        <v>-20</v>
      </c>
      <c r="AJ2" s="25">
        <f t="shared" ref="AJ2:AO2" si="2">O2</f>
        <v>20</v>
      </c>
      <c r="AK2" s="25">
        <f t="shared" si="2"/>
        <v>15</v>
      </c>
      <c r="AL2" s="25">
        <f t="shared" si="2"/>
        <v>10</v>
      </c>
      <c r="AM2" s="25">
        <f t="shared" si="2"/>
        <v>0</v>
      </c>
      <c r="AN2" s="25">
        <f t="shared" si="2"/>
        <v>-10</v>
      </c>
      <c r="AO2" s="25">
        <f t="shared" si="2"/>
        <v>-15</v>
      </c>
      <c r="AP2" s="25">
        <f>U2</f>
        <v>-20</v>
      </c>
      <c r="AQ2" s="25">
        <f t="shared" ref="AQ2:AV2" si="3">O2</f>
        <v>20</v>
      </c>
      <c r="AR2" s="25">
        <f t="shared" si="3"/>
        <v>15</v>
      </c>
      <c r="AS2" s="25">
        <f t="shared" si="3"/>
        <v>10</v>
      </c>
      <c r="AT2" s="25">
        <f t="shared" si="3"/>
        <v>0</v>
      </c>
      <c r="AU2" s="25">
        <f t="shared" si="3"/>
        <v>-10</v>
      </c>
      <c r="AV2" s="25">
        <f t="shared" si="3"/>
        <v>-15</v>
      </c>
      <c r="AW2" s="25">
        <f>U2</f>
        <v>-20</v>
      </c>
    </row>
    <row r="3" spans="1:49" x14ac:dyDescent="0.15">
      <c r="B3" s="5">
        <f>COUNTA(A:A)</f>
        <v>3</v>
      </c>
      <c r="C3" s="25"/>
      <c r="D3" s="28">
        <f ca="1">SUM(D4:OFFSET(D4,$B$3,0))</f>
        <v>212.92160000000001</v>
      </c>
      <c r="E3" s="11">
        <f ca="1">AVERAGE(E4:E24)</f>
        <v>1.2013666666666667</v>
      </c>
      <c r="F3" s="12">
        <f ca="1">SUM(F4:OFFSET(F4,$B$3,0))</f>
        <v>0</v>
      </c>
      <c r="G3" s="11" t="s">
        <v>31</v>
      </c>
      <c r="H3" s="16">
        <f ca="1">SUM(H4:OFFSET(H4,$B$3,0))</f>
        <v>0</v>
      </c>
      <c r="I3" s="12">
        <f ca="1">SUM(I4:OFFSET(I4,$B$3,0))</f>
        <v>314.22539999999998</v>
      </c>
      <c r="J3" s="11">
        <f ca="1">AVERAGE(J4:J24)</f>
        <v>1.8084666666666667</v>
      </c>
      <c r="K3" s="30">
        <f ca="1">SUM(K4:OFFSET(K4,$B$3,0))</f>
        <v>314.2072</v>
      </c>
      <c r="L3" s="31">
        <f ca="1">AVERAGE(L4:L24)</f>
        <v>1.8073333333333335</v>
      </c>
      <c r="M3" s="30">
        <f ca="1">SUM(M4:OFFSET(M4,$B$3,0))</f>
        <v>314.23199999999997</v>
      </c>
      <c r="N3" s="31">
        <f ca="1">AVERAGE(N4:N24)</f>
        <v>1.8073333333333335</v>
      </c>
      <c r="O3" s="28">
        <f ca="1">SUM(O4:OFFSET(O4,$B$3,0))</f>
        <v>315.21380798065712</v>
      </c>
      <c r="P3" s="11">
        <f ca="1">SUM(P4:OFFSET(P4,$B$3,0))</f>
        <v>315.95744523255433</v>
      </c>
      <c r="Q3" s="11">
        <f ca="1">SUM(Q4:OFFSET(Q4,$B$3,0))</f>
        <v>316.7034075094831</v>
      </c>
      <c r="R3" s="11">
        <f ca="1">SUM(R4:OFFSET(R4,$B$3,0))</f>
        <v>318.20234133245413</v>
      </c>
      <c r="S3" s="11">
        <f ca="1">SUM(S4:OFFSET(S4,$B$3,0))</f>
        <v>319.7106781917102</v>
      </c>
      <c r="T3" s="11">
        <f ca="1">SUM(T4:OFFSET(T4,$B$3,0))</f>
        <v>320.46839439763278</v>
      </c>
      <c r="U3" s="11">
        <f ca="1">SUM(U4:OFFSET(U4,$B$3,0))</f>
        <v>321.22848739958391</v>
      </c>
      <c r="V3" s="11">
        <f ca="1">SUM(V4:OFFSET(V4,$B$3,0))</f>
        <v>314.99492368092007</v>
      </c>
      <c r="W3" s="11">
        <f ca="1">SUM(W4:OFFSET(W4,$B$3,0))</f>
        <v>315.72915783432592</v>
      </c>
      <c r="X3" s="11">
        <f ca="1">SUM(X4:OFFSET(X4,$B$3,0))</f>
        <v>316.4656677708021</v>
      </c>
      <c r="Y3" s="11">
        <f ca="1">SUM(Y4:OFFSET(Y4,$B$3,0))</f>
        <v>317.94554820577423</v>
      </c>
      <c r="Z3" s="11">
        <f ca="1">SUM(Z4:OFFSET(Z4,$B$3,0))</f>
        <v>319.43463175295255</v>
      </c>
      <c r="AA3" s="11">
        <f ca="1">SUM(AA4:OFFSET(AA4,$B$3,0))</f>
        <v>320.18264570856161</v>
      </c>
      <c r="AB3" s="11">
        <f ca="1">SUM(AB4:OFFSET(AB4,$B$3,0))</f>
        <v>320.93298572932633</v>
      </c>
      <c r="AC3" s="11">
        <f ca="1">SUM(AC4:OFFSET(AC4,$B$3,0))</f>
        <v>314.43624406480393</v>
      </c>
      <c r="AD3" s="11">
        <f ca="1">SUM(AD4:OFFSET(AD4,$B$3,0))</f>
        <v>315.1465010620185</v>
      </c>
      <c r="AE3" s="11">
        <f ca="1">SUM(AE4:OFFSET(AE4,$B$3,0))</f>
        <v>315.85891078973839</v>
      </c>
      <c r="AF3" s="11">
        <f ca="1">SUM(AF4:OFFSET(AF4,$B$3,0))</f>
        <v>317.29021923470179</v>
      </c>
      <c r="AG3" s="11">
        <f ca="1">SUM(AG4:OFFSET(AG4,$B$3,0))</f>
        <v>318.73023130660198</v>
      </c>
      <c r="AH3" s="11">
        <f ca="1">SUM(AH4:OFFSET(AH4,$B$3,0))</f>
        <v>319.45352068530622</v>
      </c>
      <c r="AI3" s="11">
        <f ca="1">SUM(AI4:OFFSET(AI4,$B$3,0))</f>
        <v>320.1790094128886</v>
      </c>
      <c r="AJ3" s="11">
        <f ca="1">SUM(AJ4:OFFSET(AJ4,$B$3,0))</f>
        <v>314.43624406480393</v>
      </c>
      <c r="AK3" s="11">
        <f ca="1">SUM(AK4:OFFSET(AK4,$B$3,0))</f>
        <v>315.1465010620185</v>
      </c>
      <c r="AL3" s="11">
        <f ca="1">SUM(AL4:OFFSET(AL4,$B$3,0))</f>
        <v>315.85891078973839</v>
      </c>
      <c r="AM3" s="11">
        <f ca="1">SUM(AM4:OFFSET(AM4,$B$3,0))</f>
        <v>317.29021923470179</v>
      </c>
      <c r="AN3" s="11">
        <f ca="1">SUM(AN4:OFFSET(AN4,$B$3,0))</f>
        <v>318.73023130660198</v>
      </c>
      <c r="AO3" s="11">
        <f ca="1">SUM(AO4:OFFSET(AO4,$B$3,0))</f>
        <v>319.45352068530622</v>
      </c>
      <c r="AP3" s="11">
        <f ca="1">SUM(AP4:OFFSET(AP4,$B$3,0))</f>
        <v>320.1790094128886</v>
      </c>
      <c r="AQ3" s="11">
        <f ca="1">SUM(AQ4:OFFSET(AQ4,$B$3,0))</f>
        <v>311.90649128496636</v>
      </c>
      <c r="AR3" s="11">
        <f ca="1">SUM(AR4:OFFSET(AR4,$B$3,0))</f>
        <v>312.50967522082499</v>
      </c>
      <c r="AS3" s="11">
        <f ca="1">SUM(AS4:OFFSET(AS4,$B$3,0))</f>
        <v>313.11450748764599</v>
      </c>
      <c r="AT3" s="11">
        <f ca="1">SUM(AT4:OFFSET(AT4,$B$3,0))</f>
        <v>314.32913850296944</v>
      </c>
      <c r="AU3" s="11">
        <f ca="1">SUM(AU4:OFFSET(AU4,$B$3,0))</f>
        <v>315.55042750748902</v>
      </c>
      <c r="AV3" s="11">
        <f ca="1">SUM(AV4:OFFSET(AV4,$B$3,0))</f>
        <v>316.16358233584634</v>
      </c>
      <c r="AW3" s="11">
        <f ca="1">SUM(AW4:OFFSET(AW4,$B$3,0))</f>
        <v>316.77841799793623</v>
      </c>
    </row>
    <row r="4" spans="1:49" x14ac:dyDescent="0.15">
      <c r="A4" s="20" t="s">
        <v>32</v>
      </c>
      <c r="B4" s="7" t="str">
        <f>IF(A4="","",[2]!b_info_name(A4))</f>
        <v>22附息国债10</v>
      </c>
      <c r="C4" s="7" t="str">
        <f>[2]!b_info_listedmkt(A4)</f>
        <v>银行间</v>
      </c>
      <c r="D4" s="7">
        <f ca="1">IFERROR(IF(A4="","", [2]!b_dq_avgprice(A4, 情景分析!$D$5, 情景分析!$D$7) * IF($H4="",1,$H4)),0)</f>
        <v>106.5166</v>
      </c>
      <c r="E4" s="7">
        <f ca="1">IF(A4="","", N([2]!b_dq_avgprice(A4,情景分析!$D$5,3)))</f>
        <v>1.7052</v>
      </c>
      <c r="F4" s="29" t="str">
        <f>IF($G4 = "",
"",
IFERROR(
[2]!b_calc_pv(A4, 情景分析!$D$5,$G4, "1", 情景分析!$D$7),
[2]!b_calc_pv(A4, 情景分析!$D$5,$G4, "2", 情景分析!$D$7)
)
)</f>
        <v/>
      </c>
      <c r="G4" s="22"/>
      <c r="H4" s="21"/>
      <c r="I4" s="7">
        <f ca="1">IF(A4="","",IF(情景分析!$D$7=1,[2]!b_anal_net_cnbd(A4,情景分析!$D$5,1),[2]!b_anal_dirty_cnbd(A4,情景分析!$D$5,1))*IF($H4="",1,$H4))</f>
        <v>106.49469999999999</v>
      </c>
      <c r="J4" s="7">
        <f ca="1">IF(A4="","",[2]!b_anal_yield_cnbd(A4,情景分析!$D$5,1))</f>
        <v>1.71</v>
      </c>
      <c r="K4" s="29">
        <f ca="1">IF(A4="","",IF(情景分析!$D$7=1,[2]!b_anal_net_csi1(A4,情景分析!$D$5,1),[2]!b_anal_dirty_csi1(A4,情景分析!$D$5,1))*IF($H4="",1,$H4))</f>
        <v>106.4778</v>
      </c>
      <c r="L4" s="29">
        <f ca="1">IF(A4="","",[2]!b_anal_yield_csi1(A4,情景分析!$D$5,1))</f>
        <v>1.71</v>
      </c>
      <c r="M4" s="29">
        <f ca="1">IF($C4="银行间",$I4,$K4)</f>
        <v>106.49469999999999</v>
      </c>
      <c r="N4" s="29">
        <f ca="1">IF($C4="银行间",$J4,$L4)</f>
        <v>1.71</v>
      </c>
      <c r="O4" s="7">
        <f ca="1">IF($A4="","",[2]!B_CALC_PRICE($A4,$O$1,IF(情景分析!$D$6=1,$J4,IF(情景分析!$D$6=2,$E4,IF(情景分析!$D$6=4,IF($C4="银行间",$J4,$L4),$G4)))+O$2/100,情景分析!$D$7,"",,,,"",)*IF($H4="",1,$H4))</f>
        <v>105.19460998443827</v>
      </c>
      <c r="P4" s="7">
        <f ca="1">IF($A4="","",[2]!B_CALC_PRICE($A4,$O$1,IF(情景分析!$D$6=1,$J4,IF(情景分析!$D$6=2,$E4,IF(情景分析!$D$6=4,IF($C4="银行间",$J4,$L4),$G4)))+P$2/100,情景分析!$D$7,"",,,,"",)*IF($H4="",1,$H4))</f>
        <v>105.50961096044595</v>
      </c>
      <c r="Q4" s="7">
        <f ca="1">IF($A4="","",[2]!B_CALC_PRICE($A4,$O$1,IF(情景分析!$D$6=1,$J4,IF(情景分析!$D$6=2,$E4,IF(情景分析!$D$6=4,IF($C4="银行间",$J4,$L4),$G4)))+Q$2/100,情景分析!$D$7,"",,,,"",)*IF($H4="",1,$H4))</f>
        <v>105.82568134934401</v>
      </c>
      <c r="R4" s="7">
        <f ca="1">IF($A4="","",[2]!B_CALC_PRICE($A4,$O$1,IF(情景分析!$D$6=1,$J4,IF(情景分析!$D$6=2,$E4,IF(情景分析!$D$6=4,IF($C4="银行间",$J4,$L4),$G4)))+R$2/100,情景分析!$D$7,"",,,,"",)*IF($H4="",1,$H4))</f>
        <v>106.46104615191655</v>
      </c>
      <c r="S4" s="7">
        <f ca="1">IF($A4="","",[2]!B_CALC_PRICE($A4,$O$1,IF(情景分析!$D$6=1,$J4,IF(情景分析!$D$6=2,$E4,IF(情景分析!$D$6=4,IF($C4="银行间",$J4,$L4),$G4)))+S$2/100,情景分析!$D$7,"",,,,"",)*IF($H4="",1,$H4))</f>
        <v>107.10073612065651</v>
      </c>
      <c r="T4" s="7">
        <f ca="1">IF($A4="","",[2]!B_CALC_PRICE($A4,$O$1,IF(情景分析!$D$6=1,$J4,IF(情景分析!$D$6=2,$E4,IF(情景分析!$D$6=4,IF($C4="银行间",$J4,$L4),$G4)))+T$2/100,情景分析!$D$7,"",,,,"",)*IF($H4="",1,$H4))</f>
        <v>107.42221302621709</v>
      </c>
      <c r="U4" s="7">
        <f ca="1">IF($A4="","",[2]!B_CALC_PRICE($A4,$O$1,IF(情景分析!$D$6=1,$J4,IF(情景分析!$D$6=2,$E4,IF(情景分析!$D$6=4,IF($C4="银行间",$J4,$L4),$G4)))+U$2/100,情景分析!$D$7,"",,,,"",)*IF($H4="",1,$H4))</f>
        <v>107.74478323560129</v>
      </c>
      <c r="V4" s="7">
        <f ca="1">IF($A4="","",[2]!B_CALC_PRICE($A4,$V$1,IF(情景分析!$D$6=1,$J4,IF(情景分析!$D$6=2,$E4,IF(情景分析!$D$6=4,IF($C4="银行间",$J4,$L4),$G4)))+V$2/100,情景分析!$D$7,"",,,,"",)*IF($H4="",1,$H4))</f>
        <v>105.14534292707907</v>
      </c>
      <c r="W4" s="7">
        <f ca="1">IF($A4="","",[2]!B_CALC_PRICE($A4,$V$1,IF(情景分析!$D$6=1,$J4,IF(情景分析!$D$6=2,$E4,IF(情景分析!$D$6=4,IF($C4="银行间",$J4,$L4),$G4)))+W$2/100,情景分析!$D$7,"",,,,"",)*IF($H4="",1,$H4))</f>
        <v>105.45727714120385</v>
      </c>
      <c r="X4" s="7">
        <f ca="1">IF($A4="","",[2]!B_CALC_PRICE($A4,$V$1,IF(情景分析!$D$6=1,$J4,IF(情景分析!$D$6=2,$E4,IF(情景分析!$D$6=4,IF($C4="银行间",$J4,$L4),$G4)))+X$2/100,情景分析!$D$7,"",,,,"",)*IF($H4="",1,$H4))</f>
        <v>105.77026073074821</v>
      </c>
      <c r="Y4" s="7">
        <f ca="1">IF($A4="","",[2]!B_CALC_PRICE($A4,$V$1,IF(情景分析!$D$6=1,$J4,IF(情景分析!$D$6=2,$E4,IF(情景分析!$D$6=4,IF($C4="银行间",$J4,$L4),$G4)))+Y$2/100,情景分析!$D$7,"",,,,"",)*IF($H4="",1,$H4))</f>
        <v>106.3993913929483</v>
      </c>
      <c r="Z4" s="7">
        <f ca="1">IF($A4="","",[2]!B_CALC_PRICE($A4,$V$1,IF(情景分析!$D$6=1,$J4,IF(情景分析!$D$6=2,$E4,IF(情景分析!$D$6=4,IF($C4="银行间",$J4,$L4),$G4)))+Z$2/100,情景分析!$D$7,"",,,,"",)*IF($H4="",1,$H4))</f>
        <v>107.03276577818858</v>
      </c>
      <c r="AA4" s="7">
        <f ca="1">IF($A4="","",[2]!B_CALC_PRICE($A4,$V$1,IF(情景分析!$D$6=1,$J4,IF(情景分析!$D$6=2,$E4,IF(情景分析!$D$6=4,IF($C4="银行间",$J4,$L4),$G4)))+AA$2/100,情景分析!$D$7,"",,,,"",)*IF($H4="",1,$H4))</f>
        <v>107.35105407841428</v>
      </c>
      <c r="AB4" s="7">
        <f ca="1">IF($A4="","",[2]!B_CALC_PRICE($A4,$V$1,IF(情景分析!$D$6=1,$J4,IF(情景分析!$D$6=2,$E4,IF(情景分析!$D$6=4,IF($C4="银行间",$J4,$L4),$G4)))+AB$2/100,情景分析!$D$7,"",,,,"",)*IF($H4="",1,$H4))</f>
        <v>107.67041499367411</v>
      </c>
      <c r="AC4" s="7">
        <f ca="1">IF($A4="","",[2]!B_CALC_PRICE($A4,$AC$1,IF(情景分析!$D$6=1,$J4,IF(情景分析!$D$6=2,$E4,IF(情景分析!$D$6=4,IF($C4="银行间",$J4,$L4),$G4)))+AC$2/100,情景分析!$D$7,"",,,,"",)*IF($H4="",1,$H4))</f>
        <v>105.01792352477054</v>
      </c>
      <c r="AD4" s="7">
        <f ca="1">IF($A4="","",[2]!B_CALC_PRICE($A4,$AC$1,IF(情景分析!$D$6=1,$J4,IF(情景分析!$D$6=2,$E4,IF(情景分析!$D$6=4,IF($C4="银行间",$J4,$L4),$G4)))+AD$2/100,情景分析!$D$7,"",,,,"",)*IF($H4="",1,$H4))</f>
        <v>105.32202011722859</v>
      </c>
      <c r="AE4" s="7">
        <f ca="1">IF($A4="","",[2]!B_CALC_PRICE($A4,$AC$1,IF(情景分析!$D$6=1,$J4,IF(情景分析!$D$6=2,$E4,IF(情景分析!$D$6=4,IF($C4="银行间",$J4,$L4),$G4)))+AE$2/100,情景分析!$D$7,"",,,,"",)*IF($H4="",1,$H4))</f>
        <v>105.62711558270125</v>
      </c>
      <c r="AF4" s="7">
        <f ca="1">IF($A4="","",[2]!B_CALC_PRICE($A4,$AC$1,IF(情景分析!$D$6=1,$J4,IF(情景分析!$D$6=2,$E4,IF(情景分析!$D$6=4,IF($C4="银行间",$J4,$L4),$G4)))+AF$2/100,情景分析!$D$7,"",,,,"",)*IF($H4="",1,$H4))</f>
        <v>106.2403174249546</v>
      </c>
      <c r="AG4" s="7">
        <f ca="1">IF($A4="","",[2]!B_CALC_PRICE($A4,$AC$1,IF(情景分析!$D$6=1,$J4,IF(情景分析!$D$6=2,$E4,IF(情景分析!$D$6=4,IF($C4="银行间",$J4,$L4),$G4)))+AG$2/100,情景分析!$D$7,"",,,,"",)*IF($H4="",1,$H4))</f>
        <v>106.85755777346107</v>
      </c>
      <c r="AH4" s="7">
        <f ca="1">IF($A4="","",[2]!B_CALC_PRICE($A4,$AC$1,IF(情景分析!$D$6=1,$J4,IF(情景分析!$D$6=2,$E4,IF(情景分析!$D$6=4,IF($C4="银行间",$J4,$L4),$G4)))+AH$2/100,情景分析!$D$7,"",,,,"",)*IF($H4="",1,$H4))</f>
        <v>107.16770142357031</v>
      </c>
      <c r="AI4" s="7">
        <f ca="1">IF($A4="","",[2]!B_CALC_PRICE($A4,$AC$1,IF(情景分析!$D$6=1,$J4,IF(情景分析!$D$6=2,$E4,IF(情景分析!$D$6=4,IF($C4="银行间",$J4,$L4),$G4)))+AI$2/100,情景分析!$D$7,"",,,,"",)*IF($H4="",1,$H4))</f>
        <v>107.47886557125322</v>
      </c>
      <c r="AJ4" s="7">
        <f ca="1">IF($A4="","",[2]!B_CALC_PRICE($A4,$AJ$1,IF(情景分析!$D$6=1,$J4,IF(情景分析!$D$6=2,$E4,IF(情景分析!$D$6=4,IF($C4="银行间",$J4,$L4),$G4)))+AJ$2/100,情景分析!$D$7,"",,,,"",)*IF($H4="",1,$H4))</f>
        <v>105.01792352477054</v>
      </c>
      <c r="AK4" s="7">
        <f ca="1">IF($A4="","",[2]!B_CALC_PRICE($A4,$AJ$1,IF(情景分析!$D$6=1,$J4,IF(情景分析!$D$6=2,$E4,IF(情景分析!$D$6=4,IF($C4="银行间",$J4,$L4),$G4)))+AK$2/100,情景分析!$D$7,"",,,,"",)*IF($H4="",1,$H4))</f>
        <v>105.32202011722859</v>
      </c>
      <c r="AL4" s="7">
        <f ca="1">IF($A4="","",[2]!B_CALC_PRICE($A4,$AJ$1,IF(情景分析!$D$6=1,$J4,IF(情景分析!$D$6=2,$E4,IF(情景分析!$D$6=4,IF($C4="银行间",$J4,$L4),$G4)))+AL$2/100,情景分析!$D$7,"",,,,"",)*IF($H4="",1,$H4))</f>
        <v>105.62711558270125</v>
      </c>
      <c r="AM4" s="7">
        <f ca="1">IF($A4="","",[2]!B_CALC_PRICE($A4,$AJ$1,IF(情景分析!$D$6=1,$J4,IF(情景分析!$D$6=2,$E4,IF(情景分析!$D$6=4,IF($C4="银行间",$J4,$L4),$G4)))+AM$2/100,情景分析!$D$7,"",,,,"",)*IF($H4="",1,$H4))</f>
        <v>106.2403174249546</v>
      </c>
      <c r="AN4" s="7">
        <f ca="1">IF($A4="","",[2]!B_CALC_PRICE($A4,$AJ$1,IF(情景分析!$D$6=1,$J4,IF(情景分析!$D$6=2,$E4,IF(情景分析!$D$6=4,IF($C4="银行间",$J4,$L4),$G4)))+AN$2/100,情景分析!$D$7,"",,,,"",)*IF($H4="",1,$H4))</f>
        <v>106.85755777346107</v>
      </c>
      <c r="AO4" s="7">
        <f ca="1">IF($A4="","",[2]!B_CALC_PRICE($A4,$AJ$1,IF(情景分析!$D$6=1,$J4,IF(情景分析!$D$6=2,$E4,IF(情景分析!$D$6=4,IF($C4="银行间",$J4,$L4),$G4)))+AO$2/100,情景分析!$D$7,"",,,,"",)*IF($H4="",1,$H4))</f>
        <v>107.16770142357031</v>
      </c>
      <c r="AP4" s="7">
        <f ca="1">IF($A4="","",[2]!B_CALC_PRICE($A4,$AJ$1,IF(情景分析!$D$6=1,$J4,IF(情景分析!$D$6=2,$E4,IF(情景分析!$D$6=4,IF($C4="银行间",$J4,$L4),$G4)))+AP$2/100,情景分析!$D$7,"",,,,"",)*IF($H4="",1,$H4))</f>
        <v>107.47886557125322</v>
      </c>
      <c r="AQ4" s="7">
        <f ca="1">IF($A4="","",[2]!B_CALC_PRICE($A4,$AQ$1,IF(情景分析!$D$6=1,$J4,IF(情景分析!$D$6=2,$E4,IF(情景分析!$D$6=4,IF($C4="银行间",$J4,$L4),$G4)))+AQ$2/100,情景分析!$D$7,"",,,,"",)*IF($H4="",1,$H4))</f>
        <v>104.45452218669121</v>
      </c>
      <c r="AR4" s="7">
        <f ca="1">IF($A4="","",[2]!B_CALC_PRICE($A4,$AQ$1,IF(情景分析!$D$6=1,$J4,IF(情景分析!$D$6=2,$E4,IF(情景分析!$D$6=4,IF($C4="银行间",$J4,$L4),$G4)))+AR$2/100,情景分析!$D$7,"",,,,"",)*IF($H4="",1,$H4))</f>
        <v>104.72356252339335</v>
      </c>
      <c r="AS4" s="7">
        <f ca="1">IF($A4="","",[2]!B_CALC_PRICE($A4,$AQ$1,IF(情景分析!$D$6=1,$J4,IF(情景分析!$D$6=2,$E4,IF(情景分析!$D$6=4,IF($C4="银行间",$J4,$L4),$G4)))+AS$2/100,情景分析!$D$7,"",,,,"",)*IF($H4="",1,$H4))</f>
        <v>104.99339202463158</v>
      </c>
      <c r="AT4" s="7">
        <f ca="1">IF($A4="","",[2]!B_CALC_PRICE($A4,$AQ$1,IF(情景分析!$D$6=1,$J4,IF(情景分析!$D$6=2,$E4,IF(情景分析!$D$6=4,IF($C4="银行间",$J4,$L4),$G4)))+AT$2/100,情景分析!$D$7,"",,,,"",)*IF($H4="",1,$H4))</f>
        <v>105.53542867121462</v>
      </c>
      <c r="AU4" s="7">
        <f ca="1">IF($A4="","",[2]!B_CALC_PRICE($A4,$AQ$1,IF(情景分析!$D$6=1,$J4,IF(情景分析!$D$6=2,$E4,IF(情景分析!$D$6=4,IF($C4="银行间",$J4,$L4),$G4)))+AU$2/100,情景分析!$D$7,"",,,,"",)*IF($H4="",1,$H4))</f>
        <v>106.0806525157378</v>
      </c>
      <c r="AV4" s="7">
        <f ca="1">IF($A4="","",[2]!B_CALC_PRICE($A4,$AQ$1,IF(情景分析!$D$6=1,$J4,IF(情景分析!$D$6=2,$E4,IF(情景分析!$D$6=4,IF($C4="银行间",$J4,$L4),$G4)))+AV$2/100,情景分析!$D$7,"",,,,"",)*IF($H4="",1,$H4))</f>
        <v>106.35446604768579</v>
      </c>
      <c r="AW4" s="7">
        <f ca="1">IF($A4="","",[2]!B_CALC_PRICE($A4,$AQ$1,IF(情景分析!$D$6=1,$J4,IF(情景分析!$D$6=2,$E4,IF(情景分析!$D$6=4,IF($C4="银行间",$J4,$L4),$G4)))+AW$2/100,情景分析!$D$7,"",,,,"",)*IF($H4="",1,$H4))</f>
        <v>106.62908408951493</v>
      </c>
    </row>
    <row r="5" spans="1:49" x14ac:dyDescent="0.15">
      <c r="A5" s="20" t="s">
        <v>33</v>
      </c>
      <c r="B5" s="7" t="str">
        <f>IF(A5="","",[2]!b_info_name(A5))</f>
        <v>22国开05</v>
      </c>
      <c r="C5" s="7" t="str">
        <f>[2]!b_info_listedmkt(A5)</f>
        <v>银行间</v>
      </c>
      <c r="D5" s="7">
        <f ca="1">IFERROR(IF(A5="","", [2]!b_dq_avgprice(A5, 情景分析!$D$5, 情景分析!$D$7) * IF($H5="",1,$H5)),0)</f>
        <v>106.405</v>
      </c>
      <c r="E5" s="7">
        <f ca="1">IF(A5="","", N([2]!b_dq_avgprice(A5,情景分析!$D$5,3)))</f>
        <v>1.8989</v>
      </c>
      <c r="F5" s="29" t="str">
        <f>IF($G5 = "",
"",
IFERROR(
[2]!b_calc_pv(A5, 情景分析!$D$5,$G5, "1", 情景分析!$D$7),
[2]!b_calc_pv(A5, 情景分析!$D$5,$G5, "2", 情景分析!$D$7)
)
)</f>
        <v/>
      </c>
      <c r="G5" s="22"/>
      <c r="H5" s="21"/>
      <c r="I5" s="7">
        <f ca="1">IF(A5="","",IF(情景分析!$D$7=1,[2]!b_anal_net_cnbd(A5,情景分析!$D$5,1),[2]!b_anal_dirty_cnbd(A5,情景分析!$D$5,1))*IF($H5="",1,$H5))</f>
        <v>106.3914</v>
      </c>
      <c r="J5" s="7">
        <f ca="1">IF(A5="","",[2]!b_anal_yield_cnbd(A5,情景分析!$D$5,1))</f>
        <v>1.9019999999999999</v>
      </c>
      <c r="K5" s="29">
        <f ca="1">IF(A5="","",IF(情景分析!$D$7=1,[2]!b_anal_net_csi1(A5,情景分析!$D$5,1),[2]!b_anal_dirty_csi1(A5,情景分析!$D$5,1))*IF($H5="",1,$H5))</f>
        <v>106.3835</v>
      </c>
      <c r="L5" s="29">
        <f ca="1">IF(A5="","",[2]!b_anal_yield_csi1(A5,情景分析!$D$5,1))</f>
        <v>1.9019999999999999</v>
      </c>
      <c r="M5" s="29">
        <f t="shared" ref="M5:M68" ca="1" si="4">IF($C5="银行间",$I5,$K5)</f>
        <v>106.3914</v>
      </c>
      <c r="N5" s="29">
        <f t="shared" ref="N5:N68" ca="1" si="5">IF($C5="银行间",$J5,$L5)</f>
        <v>1.9019999999999999</v>
      </c>
      <c r="O5" s="7">
        <f ca="1">IF($A5="","",[2]!B_CALC_PRICE($A5,$O$1,IF(情景分析!$D$6=1,$J5,IF(情景分析!$D$6=2,$E5,IF(情景分析!$D$6=4,IF($C5="银行间",$J5,$L5),$G5)))+O$2/100,情景分析!$D$7,"",,,,"",)*IF($H5="",1,$H5))</f>
        <v>105.16645904837272</v>
      </c>
      <c r="P5" s="7">
        <f ca="1">IF($A5="","",[2]!B_CALC_PRICE($A5,$O$1,IF(情景分析!$D$6=1,$J5,IF(情景分析!$D$6=2,$E5,IF(情景分析!$D$6=4,IF($C5="银行间",$J5,$L5),$G5)))+P$2/100,情景分析!$D$7,"",,,,"",)*IF($H5="",1,$H5))</f>
        <v>105.46399175651786</v>
      </c>
      <c r="Q5" s="7">
        <f ca="1">IF($A5="","",[2]!B_CALC_PRICE($A5,$O$1,IF(情景分析!$D$6=1,$J5,IF(情景分析!$D$6=2,$E5,IF(情景分析!$D$6=4,IF($C5="银行间",$J5,$L5),$G5)))+Q$2/100,情景分析!$D$7,"",,,,"",)*IF($H5="",1,$H5))</f>
        <v>105.76254967409706</v>
      </c>
      <c r="R5" s="7">
        <f ca="1">IF($A5="","",[2]!B_CALC_PRICE($A5,$O$1,IF(情景分析!$D$6=1,$J5,IF(情景分析!$D$6=2,$E5,IF(情景分析!$D$6=4,IF($C5="银行间",$J5,$L5),$G5)))+R$2/100,情景分析!$D$7,"",,,,"",)*IF($H5="",1,$H5))</f>
        <v>106.36275746374953</v>
      </c>
      <c r="S5" s="7">
        <f ca="1">IF($A5="","",[2]!B_CALC_PRICE($A5,$O$1,IF(情景分析!$D$6=1,$J5,IF(情景分析!$D$6=2,$E5,IF(情景分析!$D$6=4,IF($C5="银行间",$J5,$L5),$G5)))+S$2/100,情景分析!$D$7,"",,,,"",)*IF($H5="",1,$H5))</f>
        <v>106.9671152531798</v>
      </c>
      <c r="T5" s="7">
        <f ca="1">IF($A5="","",[2]!B_CALC_PRICE($A5,$O$1,IF(情景分析!$D$6=1,$J5,IF(情景分析!$D$6=2,$E5,IF(情景分析!$D$6=4,IF($C5="银行间",$J5,$L5),$G5)))+T$2/100,情景分析!$D$7,"",,,,"",)*IF($H5="",1,$H5))</f>
        <v>107.27086073976132</v>
      </c>
      <c r="U5" s="7">
        <f ca="1">IF($A5="","",[2]!B_CALC_PRICE($A5,$O$1,IF(情景分析!$D$6=1,$J5,IF(情景分析!$D$6=2,$E5,IF(情景分析!$D$6=4,IF($C5="银行间",$J5,$L5),$G5)))+U$2/100,情景分析!$D$7,"",,,,"",)*IF($H5="",1,$H5))</f>
        <v>107.57565617383524</v>
      </c>
      <c r="V5" s="7">
        <f ca="1">IF($A5="","",[2]!B_CALC_PRICE($A5,$V$1,IF(情景分析!$D$6=1,$J5,IF(情景分析!$D$6=2,$E5,IF(情景分析!$D$6=4,IF($C5="银行间",$J5,$L5),$G5)))+V$2/100,情景分析!$D$7,"",,,,"",)*IF($H5="",1,$H5))</f>
        <v>105.11641879384793</v>
      </c>
      <c r="W5" s="7">
        <f ca="1">IF($A5="","",[2]!B_CALC_PRICE($A5,$V$1,IF(情景分析!$D$6=1,$J5,IF(情景分析!$D$6=2,$E5,IF(情景分析!$D$6=4,IF($C5="银行间",$J5,$L5),$G5)))+W$2/100,情景分析!$D$7,"",,,,"",)*IF($H5="",1,$H5))</f>
        <v>105.41088025766607</v>
      </c>
      <c r="X5" s="7">
        <f ca="1">IF($A5="","",[2]!B_CALC_PRICE($A5,$V$1,IF(情景分析!$D$6=1,$J5,IF(情景分析!$D$6=2,$E5,IF(情景分析!$D$6=4,IF($C5="银行间",$J5,$L5),$G5)))+X$2/100,情景分析!$D$7,"",,,,"",)*IF($H5="",1,$H5))</f>
        <v>105.70634747941001</v>
      </c>
      <c r="Y5" s="7">
        <f ca="1">IF($A5="","",[2]!B_CALC_PRICE($A5,$V$1,IF(情景分析!$D$6=1,$J5,IF(情景分析!$D$6=2,$E5,IF(情景分析!$D$6=4,IF($C5="银行间",$J5,$L5),$G5)))+Y$2/100,情景分析!$D$7,"",,,,"",)*IF($H5="",1,$H5))</f>
        <v>106.30031508706585</v>
      </c>
      <c r="Z5" s="7">
        <f ca="1">IF($A5="","",[2]!B_CALC_PRICE($A5,$V$1,IF(情景分析!$D$6=1,$J5,IF(情景分析!$D$6=2,$E5,IF(情景分析!$D$6=4,IF($C5="银行间",$J5,$L5),$G5)))+Z$2/100,情景分析!$D$7,"",,,,"",)*IF($H5="",1,$H5))</f>
        <v>106.89835357490234</v>
      </c>
      <c r="AA5" s="7">
        <f ca="1">IF($A5="","",[2]!B_CALC_PRICE($A5,$V$1,IF(情景分析!$D$6=1,$J5,IF(情景分析!$D$6=2,$E5,IF(情景分析!$D$6=4,IF($C5="银行间",$J5,$L5),$G5)))+AA$2/100,情景分析!$D$7,"",,,,"",)*IF($H5="",1,$H5))</f>
        <v>107.19890946382289</v>
      </c>
      <c r="AB5" s="7">
        <f ca="1">IF($A5="","",[2]!B_CALC_PRICE($A5,$V$1,IF(情景分析!$D$6=1,$J5,IF(情景分析!$D$6=2,$E5,IF(情景分析!$D$6=4,IF($C5="银行间",$J5,$L5),$G5)))+AB$2/100,情景分析!$D$7,"",,,,"",)*IF($H5="",1,$H5))</f>
        <v>107.50049518666574</v>
      </c>
      <c r="AC5" s="7">
        <f ca="1">IF($A5="","",[2]!B_CALC_PRICE($A5,$AC$1,IF(情景分析!$D$6=1,$J5,IF(情景分析!$D$6=2,$E5,IF(情景分析!$D$6=4,IF($C5="银行间",$J5,$L5),$G5)))+AC$2/100,情景分析!$D$7,"",,,,"",)*IF($H5="",1,$H5))</f>
        <v>104.98825941127434</v>
      </c>
      <c r="AD5" s="7">
        <f ca="1">IF($A5="","",[2]!B_CALC_PRICE($A5,$AC$1,IF(情景分析!$D$6=1,$J5,IF(情景分析!$D$6=2,$E5,IF(情景分析!$D$6=4,IF($C5="银行间",$J5,$L5),$G5)))+AD$2/100,情景分析!$D$7,"",,,,"",)*IF($H5="",1,$H5))</f>
        <v>105.27491922142745</v>
      </c>
      <c r="AE5" s="7">
        <f ca="1">IF($A5="","",[2]!B_CALC_PRICE($A5,$AC$1,IF(情景分析!$D$6=1,$J5,IF(情景分析!$D$6=2,$E5,IF(情景分析!$D$6=4,IF($C5="银行间",$J5,$L5),$G5)))+AE$2/100,情景分析!$D$7,"",,,,"",)*IF($H5="",1,$H5))</f>
        <v>105.56253614122555</v>
      </c>
      <c r="AF5" s="7">
        <f ca="1">IF($A5="","",[2]!B_CALC_PRICE($A5,$AC$1,IF(情景分析!$D$6=1,$J5,IF(情景分析!$D$6=2,$E5,IF(情景分析!$D$6=4,IF($C5="银行间",$J5,$L5),$G5)))+AF$2/100,情景分析!$D$7,"",,,,"",)*IF($H5="",1,$H5))</f>
        <v>106.14065612634496</v>
      </c>
      <c r="AG5" s="7">
        <f ca="1">IF($A5="","",[2]!B_CALC_PRICE($A5,$AC$1,IF(情景分析!$D$6=1,$J5,IF(情景分析!$D$6=2,$E5,IF(情景分析!$D$6=4,IF($C5="银行间",$J5,$L5),$G5)))+AG$2/100,情景分析!$D$7,"",,,,"",)*IF($H5="",1,$H5))</f>
        <v>106.72264916213808</v>
      </c>
      <c r="AH5" s="7">
        <f ca="1">IF($A5="","",[2]!B_CALC_PRICE($A5,$AC$1,IF(情景分析!$D$6=1,$J5,IF(情景分析!$D$6=2,$E5,IF(情景分析!$D$6=4,IF($C5="银行间",$J5,$L5),$G5)))+AH$2/100,情景分析!$D$7,"",,,,"",)*IF($H5="",1,$H5))</f>
        <v>107.01510745656722</v>
      </c>
      <c r="AI5" s="7">
        <f ca="1">IF($A5="","",[2]!B_CALC_PRICE($A5,$AC$1,IF(情景分析!$D$6=1,$J5,IF(情景分析!$D$6=2,$E5,IF(情景分析!$D$6=4,IF($C5="银行间",$J5,$L5),$G5)))+AI$2/100,情景分析!$D$7,"",,,,"",)*IF($H5="",1,$H5))</f>
        <v>107.30854530561194</v>
      </c>
      <c r="AJ5" s="7">
        <f ca="1">IF($A5="","",[2]!B_CALC_PRICE($A5,$AJ$1,IF(情景分析!$D$6=1,$J5,IF(情景分析!$D$6=2,$E5,IF(情景分析!$D$6=4,IF($C5="银行间",$J5,$L5),$G5)))+AJ$2/100,情景分析!$D$7,"",,,,"",)*IF($H5="",1,$H5))</f>
        <v>104.98825941127434</v>
      </c>
      <c r="AK5" s="7">
        <f ca="1">IF($A5="","",[2]!B_CALC_PRICE($A5,$AJ$1,IF(情景分析!$D$6=1,$J5,IF(情景分析!$D$6=2,$E5,IF(情景分析!$D$6=4,IF($C5="银行间",$J5,$L5),$G5)))+AK$2/100,情景分析!$D$7,"",,,,"",)*IF($H5="",1,$H5))</f>
        <v>105.27491922142745</v>
      </c>
      <c r="AL5" s="7">
        <f ca="1">IF($A5="","",[2]!B_CALC_PRICE($A5,$AJ$1,IF(情景分析!$D$6=1,$J5,IF(情景分析!$D$6=2,$E5,IF(情景分析!$D$6=4,IF($C5="银行间",$J5,$L5),$G5)))+AL$2/100,情景分析!$D$7,"",,,,"",)*IF($H5="",1,$H5))</f>
        <v>105.56253614122555</v>
      </c>
      <c r="AM5" s="7">
        <f ca="1">IF($A5="","",[2]!B_CALC_PRICE($A5,$AJ$1,IF(情景分析!$D$6=1,$J5,IF(情景分析!$D$6=2,$E5,IF(情景分析!$D$6=4,IF($C5="银行间",$J5,$L5),$G5)))+AM$2/100,情景分析!$D$7,"",,,,"",)*IF($H5="",1,$H5))</f>
        <v>106.14065612634496</v>
      </c>
      <c r="AN5" s="7">
        <f ca="1">IF($A5="","",[2]!B_CALC_PRICE($A5,$AJ$1,IF(情景分析!$D$6=1,$J5,IF(情景分析!$D$6=2,$E5,IF(情景分析!$D$6=4,IF($C5="银行间",$J5,$L5),$G5)))+AN$2/100,情景分析!$D$7,"",,,,"",)*IF($H5="",1,$H5))</f>
        <v>106.72264916213808</v>
      </c>
      <c r="AO5" s="7">
        <f ca="1">IF($A5="","",[2]!B_CALC_PRICE($A5,$AJ$1,IF(情景分析!$D$6=1,$J5,IF(情景分析!$D$6=2,$E5,IF(情景分析!$D$6=4,IF($C5="银行间",$J5,$L5),$G5)))+AO$2/100,情景分析!$D$7,"",,,,"",)*IF($H5="",1,$H5))</f>
        <v>107.01510745656722</v>
      </c>
      <c r="AP5" s="7">
        <f ca="1">IF($A5="","",[2]!B_CALC_PRICE($A5,$AJ$1,IF(情景分析!$D$6=1,$J5,IF(情景分析!$D$6=2,$E5,IF(情景分析!$D$6=4,IF($C5="银行间",$J5,$L5),$G5)))+AP$2/100,情景分析!$D$7,"",,,,"",)*IF($H5="",1,$H5))</f>
        <v>107.30854530561194</v>
      </c>
      <c r="AQ5" s="7">
        <f ca="1">IF($A5="","",[2]!B_CALC_PRICE($A5,$AQ$1,IF(情景分析!$D$6=1,$J5,IF(情景分析!$D$6=2,$E5,IF(情景分析!$D$6=4,IF($C5="银行间",$J5,$L5),$G5)))+AQ$2/100,情景分析!$D$7,"",,,,"",)*IF($H5="",1,$H5))</f>
        <v>104.39211206570843</v>
      </c>
      <c r="AR5" s="7">
        <f ca="1">IF($A5="","",[2]!B_CALC_PRICE($A5,$AQ$1,IF(情景分析!$D$6=1,$J5,IF(情景分析!$D$6=2,$E5,IF(情景分析!$D$6=4,IF($C5="银行间",$J5,$L5),$G5)))+AR$2/100,情景分析!$D$7,"",,,,"",)*IF($H5="",1,$H5))</f>
        <v>104.64406674858347</v>
      </c>
      <c r="AS5" s="7">
        <f ca="1">IF($A5="","",[2]!B_CALC_PRICE($A5,$AQ$1,IF(情景分析!$D$6=1,$J5,IF(情景分析!$D$6=2,$E5,IF(情景分析!$D$6=4,IF($C5="银行间",$J5,$L5),$G5)))+AS$2/100,情景分析!$D$7,"",,,,"",)*IF($H5="",1,$H5))</f>
        <v>104.89677468470076</v>
      </c>
      <c r="AT5" s="7">
        <f ca="1">IF($A5="","",[2]!B_CALC_PRICE($A5,$AQ$1,IF(情景分析!$D$6=1,$J5,IF(情景分析!$D$6=2,$E5,IF(情景分析!$D$6=4,IF($C5="银行间",$J5,$L5),$G5)))+AT$2/100,情景分析!$D$7,"",,,,"",)*IF($H5="",1,$H5))</f>
        <v>105.40446089917248</v>
      </c>
      <c r="AU5" s="7">
        <f ca="1">IF($A5="","",[2]!B_CALC_PRICE($A5,$AQ$1,IF(情景分析!$D$6=1,$J5,IF(情景分析!$D$6=2,$E5,IF(情景分析!$D$6=4,IF($C5="银行间",$J5,$L5),$G5)))+AU$2/100,情景分析!$D$7,"",,,,"",)*IF($H5="",1,$H5))</f>
        <v>105.91519198050183</v>
      </c>
      <c r="AV5" s="7">
        <f ca="1">IF($A5="","",[2]!B_CALC_PRICE($A5,$AQ$1,IF(情景分析!$D$6=1,$J5,IF(情景分析!$D$6=2,$E5,IF(情景分析!$D$6=4,IF($C5="银行间",$J5,$L5),$G5)))+AV$2/100,情景分析!$D$7,"",,,,"",)*IF($H5="",1,$H5))</f>
        <v>106.17170604032684</v>
      </c>
      <c r="AW5" s="7">
        <f ca="1">IF($A5="","",[2]!B_CALC_PRICE($A5,$AQ$1,IF(情景分析!$D$6=1,$J5,IF(情景分析!$D$6=2,$E5,IF(情景分析!$D$6=4,IF($C5="银行间",$J5,$L5),$G5)))+AW$2/100,情景分析!$D$7,"",,,,"",)*IF($H5="",1,$H5))</f>
        <v>106.42898937131419</v>
      </c>
    </row>
    <row r="6" spans="1:49" x14ac:dyDescent="0.15">
      <c r="A6" s="20" t="s">
        <v>34</v>
      </c>
      <c r="B6" s="7" t="str">
        <f>IF(A6="","",[2]!b_info_name(A6))</f>
        <v>23津港01</v>
      </c>
      <c r="C6" s="7" t="str">
        <f>[2]!b_info_listedmkt(A6)</f>
        <v>上海</v>
      </c>
      <c r="D6" s="7">
        <f ca="1">IFERROR(IF(A6="","", [2]!b_dq_avgprice(A6, 情景分析!$D$5, 情景分析!$D$7) * IF($H6="",1,$H6)),0)</f>
        <v>0</v>
      </c>
      <c r="E6" s="7">
        <f ca="1">IF(A6="","", N([2]!b_dq_avgprice(A6,情景分析!$D$5,3)))</f>
        <v>0</v>
      </c>
      <c r="F6" s="29" t="str">
        <f>IF($G6 = "",
"",
IFERROR(
[2]!b_calc_pv(A6, 情景分析!$D$5,$G6, "1", 情景分析!$D$7),
[2]!b_calc_pv(A6, 情景分析!$D$5,$G6, "2", 情景分析!$D$7)
)
)</f>
        <v/>
      </c>
      <c r="G6" s="22"/>
      <c r="H6" s="21"/>
      <c r="I6" s="7">
        <f ca="1">IF(A6="","",IF(情景分析!$D$7=1,[2]!b_anal_net_cnbd(A6,情景分析!$D$5,1),[2]!b_anal_dirty_cnbd(A6,情景分析!$D$5,1))*IF($H6="",1,$H6))</f>
        <v>101.33929999999999</v>
      </c>
      <c r="J6" s="7">
        <f ca="1">IF(A6="","",[2]!b_anal_yield_cnbd(A6,情景分析!$D$5,1))</f>
        <v>1.8133999999999999</v>
      </c>
      <c r="K6" s="29">
        <f ca="1">IF(A6="","",IF(情景分析!$D$7=1,[2]!b_anal_net_csi1(A6,情景分析!$D$5,1),[2]!b_anal_dirty_csi1(A6,情景分析!$D$5,1))*IF($H6="",1,$H6))</f>
        <v>101.3459</v>
      </c>
      <c r="L6" s="29">
        <f ca="1">IF(A6="","",[2]!b_anal_yield_csi1(A6,情景分析!$D$5,1))</f>
        <v>1.81</v>
      </c>
      <c r="M6" s="29">
        <f t="shared" ca="1" si="4"/>
        <v>101.3459</v>
      </c>
      <c r="N6" s="29">
        <f t="shared" ca="1" si="5"/>
        <v>1.81</v>
      </c>
      <c r="O6" s="7">
        <f ca="1">IF($A6="","",[2]!B_CALC_PRICE($A6,$O$1,IF(情景分析!$D$6=1,$J6,IF(情景分析!$D$6=2,$E6,IF(情景分析!$D$6=4,IF($C6="银行间",$J6,$L6),$G6)))+O$2/100,情景分析!$D$7,"",,,,"",)*IF($H6="",1,$H6))</f>
        <v>104.85273894784615</v>
      </c>
      <c r="P6" s="7">
        <f ca="1">IF($A6="","",[2]!B_CALC_PRICE($A6,$O$1,IF(情景分析!$D$6=1,$J6,IF(情景分析!$D$6=2,$E6,IF(情景分析!$D$6=4,IF($C6="银行间",$J6,$L6),$G6)))+P$2/100,情景分析!$D$7,"",,,,"",)*IF($H6="",1,$H6))</f>
        <v>104.98384251559054</v>
      </c>
      <c r="Q6" s="7">
        <f ca="1">IF($A6="","",[2]!B_CALC_PRICE($A6,$O$1,IF(情景分析!$D$6=1,$J6,IF(情景分析!$D$6=2,$E6,IF(情景分析!$D$6=4,IF($C6="银行间",$J6,$L6),$G6)))+Q$2/100,情景分析!$D$7,"",,,,"",)*IF($H6="",1,$H6))</f>
        <v>105.11517648604202</v>
      </c>
      <c r="R6" s="7">
        <f ca="1">IF($A6="","",[2]!B_CALC_PRICE($A6,$O$1,IF(情景分析!$D$6=1,$J6,IF(情景分析!$D$6=2,$E6,IF(情景分析!$D$6=4,IF($C6="银行间",$J6,$L6),$G6)))+R$2/100,情景分析!$D$7,"",,,,"",)*IF($H6="",1,$H6))</f>
        <v>105.37853771678805</v>
      </c>
      <c r="S6" s="7">
        <f ca="1">IF($A6="","",[2]!B_CALC_PRICE($A6,$O$1,IF(情景分析!$D$6=1,$J6,IF(情景分析!$D$6=2,$E6,IF(情景分析!$D$6=4,IF($C6="银行间",$J6,$L6),$G6)))+S$2/100,情景分析!$D$7,"",,,,"",)*IF($H6="",1,$H6))</f>
        <v>105.64282681787391</v>
      </c>
      <c r="T6" s="7">
        <f ca="1">IF($A6="","",[2]!B_CALC_PRICE($A6,$O$1,IF(情景分析!$D$6=1,$J6,IF(情景分析!$D$6=2,$E6,IF(情景分析!$D$6=4,IF($C6="银行间",$J6,$L6),$G6)))+T$2/100,情景分析!$D$7,"",,,,"",)*IF($H6="",1,$H6))</f>
        <v>105.77532063165437</v>
      </c>
      <c r="U6" s="7">
        <f ca="1">IF($A6="","",[2]!B_CALC_PRICE($A6,$O$1,IF(情景分析!$D$6=1,$J6,IF(情景分析!$D$6=2,$E6,IF(情景分析!$D$6=4,IF($C6="银行间",$J6,$L6),$G6)))+U$2/100,情景分析!$D$7,"",,,,"",)*IF($H6="",1,$H6))</f>
        <v>105.9080479901474</v>
      </c>
      <c r="V6" s="7">
        <f ca="1">IF($A6="","",[2]!B_CALC_PRICE($A6,$V$1,IF(情景分析!$D$6=1,$J6,IF(情景分析!$D$6=2,$E6,IF(情景分析!$D$6=4,IF($C6="银行间",$J6,$L6),$G6)))+V$2/100,情景分析!$D$7,"",,,,"",)*IF($H6="",1,$H6))</f>
        <v>104.73316195999308</v>
      </c>
      <c r="W6" s="7">
        <f ca="1">IF($A6="","",[2]!B_CALC_PRICE($A6,$V$1,IF(情景分析!$D$6=1,$J6,IF(情景分析!$D$6=2,$E6,IF(情景分析!$D$6=4,IF($C6="银行间",$J6,$L6),$G6)))+W$2/100,情景分析!$D$7,"",,,,"",)*IF($H6="",1,$H6))</f>
        <v>104.86100043545601</v>
      </c>
      <c r="X6" s="7">
        <f ca="1">IF($A6="","",[2]!B_CALC_PRICE($A6,$V$1,IF(情景分析!$D$6=1,$J6,IF(情景分析!$D$6=2,$E6,IF(情景分析!$D$6=4,IF($C6="银行间",$J6,$L6),$G6)))+X$2/100,情景分析!$D$7,"",,,,"",)*IF($H6="",1,$H6))</f>
        <v>104.98905956064388</v>
      </c>
      <c r="Y6" s="7">
        <f ca="1">IF($A6="","",[2]!B_CALC_PRICE($A6,$V$1,IF(情景分析!$D$6=1,$J6,IF(情景分析!$D$6=2,$E6,IF(情景分析!$D$6=4,IF($C6="银行间",$J6,$L6),$G6)))+Y$2/100,情景分析!$D$7,"",,,,"",)*IF($H6="",1,$H6))</f>
        <v>105.24584172576009</v>
      </c>
      <c r="Z6" s="7">
        <f ca="1">IF($A6="","",[2]!B_CALC_PRICE($A6,$V$1,IF(情景分析!$D$6=1,$J6,IF(情景分析!$D$6=2,$E6,IF(情景分析!$D$6=4,IF($C6="银行间",$J6,$L6),$G6)))+Z$2/100,情景分析!$D$7,"",,,,"",)*IF($H6="",1,$H6))</f>
        <v>105.50351239986165</v>
      </c>
      <c r="AA6" s="7">
        <f ca="1">IF($A6="","",[2]!B_CALC_PRICE($A6,$V$1,IF(情景分析!$D$6=1,$J6,IF(情景分析!$D$6=2,$E6,IF(情景分析!$D$6=4,IF($C6="银行间",$J6,$L6),$G6)))+AA$2/100,情景分析!$D$7,"",,,,"",)*IF($H6="",1,$H6))</f>
        <v>105.63268216632443</v>
      </c>
      <c r="AB6" s="7">
        <f ca="1">IF($A6="","",[2]!B_CALC_PRICE($A6,$V$1,IF(情景分析!$D$6=1,$J6,IF(情景分析!$D$6=2,$E6,IF(情景分析!$D$6=4,IF($C6="银行间",$J6,$L6),$G6)))+AB$2/100,情景分析!$D$7,"",,,,"",)*IF($H6="",1,$H6))</f>
        <v>105.76207554898647</v>
      </c>
      <c r="AC6" s="7">
        <f ca="1">IF($A6="","",[2]!B_CALC_PRICE($A6,$AC$1,IF(情景分析!$D$6=1,$J6,IF(情景分析!$D$6=2,$E6,IF(情景分析!$D$6=4,IF($C6="银行间",$J6,$L6),$G6)))+AC$2/100,情景分析!$D$7,"",,,,"",)*IF($H6="",1,$H6))</f>
        <v>104.43006112875906</v>
      </c>
      <c r="AD6" s="7">
        <f ca="1">IF($A6="","",[2]!B_CALC_PRICE($A6,$AC$1,IF(情景分析!$D$6=1,$J6,IF(情景分析!$D$6=2,$E6,IF(情景分析!$D$6=4,IF($C6="银行间",$J6,$L6),$G6)))+AD$2/100,情景分析!$D$7,"",,,,"",)*IF($H6="",1,$H6))</f>
        <v>104.54956172336242</v>
      </c>
      <c r="AE6" s="7">
        <f ca="1">IF($A6="","",[2]!B_CALC_PRICE($A6,$AC$1,IF(情景分析!$D$6=1,$J6,IF(情景分析!$D$6=2,$E6,IF(情景分析!$D$6=4,IF($C6="银行间",$J6,$L6),$G6)))+AE$2/100,情景分析!$D$7,"",,,,"",)*IF($H6="",1,$H6))</f>
        <v>104.6692590658116</v>
      </c>
      <c r="AF6" s="7">
        <f ca="1">IF($A6="","",[2]!B_CALC_PRICE($A6,$AC$1,IF(情景分析!$D$6=1,$J6,IF(情景分析!$D$6=2,$E6,IF(情景分析!$D$6=4,IF($C6="银行间",$J6,$L6),$G6)))+AF$2/100,情景分析!$D$7,"",,,,"",)*IF($H6="",1,$H6))</f>
        <v>104.90924568340225</v>
      </c>
      <c r="AG6" s="7">
        <f ca="1">IF($A6="","",[2]!B_CALC_PRICE($A6,$AC$1,IF(情景分析!$D$6=1,$J6,IF(情景分析!$D$6=2,$E6,IF(情景分析!$D$6=4,IF($C6="银行间",$J6,$L6),$G6)))+AG$2/100,情景分析!$D$7,"",,,,"",)*IF($H6="",1,$H6))</f>
        <v>105.15002437100281</v>
      </c>
      <c r="AH6" s="7">
        <f ca="1">IF($A6="","",[2]!B_CALC_PRICE($A6,$AC$1,IF(情景分析!$D$6=1,$J6,IF(情景分析!$D$6=2,$E6,IF(情景分析!$D$6=4,IF($C6="银行间",$J6,$L6),$G6)))+AH$2/100,情景分析!$D$7,"",,,,"",)*IF($H6="",1,$H6))</f>
        <v>105.27071180516865</v>
      </c>
      <c r="AI6" s="7">
        <f ca="1">IF($A6="","",[2]!B_CALC_PRICE($A6,$AC$1,IF(情景分析!$D$6=1,$J6,IF(情景分析!$D$6=2,$E6,IF(情景分析!$D$6=4,IF($C6="银行间",$J6,$L6),$G6)))+AI$2/100,情景分析!$D$7,"",,,,"",)*IF($H6="",1,$H6))</f>
        <v>105.39159853602339</v>
      </c>
      <c r="AJ6" s="7">
        <f ca="1">IF($A6="","",[2]!B_CALC_PRICE($A6,$AJ$1,IF(情景分析!$D$6=1,$J6,IF(情景分析!$D$6=2,$E6,IF(情景分析!$D$6=4,IF($C6="银行间",$J6,$L6),$G6)))+AJ$2/100,情景分析!$D$7,"",,,,"",)*IF($H6="",1,$H6))</f>
        <v>104.43006112875906</v>
      </c>
      <c r="AK6" s="7">
        <f ca="1">IF($A6="","",[2]!B_CALC_PRICE($A6,$AJ$1,IF(情景分析!$D$6=1,$J6,IF(情景分析!$D$6=2,$E6,IF(情景分析!$D$6=4,IF($C6="银行间",$J6,$L6),$G6)))+AK$2/100,情景分析!$D$7,"",,,,"",)*IF($H6="",1,$H6))</f>
        <v>104.54956172336242</v>
      </c>
      <c r="AL6" s="7">
        <f ca="1">IF($A6="","",[2]!B_CALC_PRICE($A6,$AJ$1,IF(情景分析!$D$6=1,$J6,IF(情景分析!$D$6=2,$E6,IF(情景分析!$D$6=4,IF($C6="银行间",$J6,$L6),$G6)))+AL$2/100,情景分析!$D$7,"",,,,"",)*IF($H6="",1,$H6))</f>
        <v>104.6692590658116</v>
      </c>
      <c r="AM6" s="7">
        <f ca="1">IF($A6="","",[2]!B_CALC_PRICE($A6,$AJ$1,IF(情景分析!$D$6=1,$J6,IF(情景分析!$D$6=2,$E6,IF(情景分析!$D$6=4,IF($C6="银行间",$J6,$L6),$G6)))+AM$2/100,情景分析!$D$7,"",,,,"",)*IF($H6="",1,$H6))</f>
        <v>104.90924568340225</v>
      </c>
      <c r="AN6" s="7">
        <f ca="1">IF($A6="","",[2]!B_CALC_PRICE($A6,$AJ$1,IF(情景分析!$D$6=1,$J6,IF(情景分析!$D$6=2,$E6,IF(情景分析!$D$6=4,IF($C6="银行间",$J6,$L6),$G6)))+AN$2/100,情景分析!$D$7,"",,,,"",)*IF($H6="",1,$H6))</f>
        <v>105.15002437100281</v>
      </c>
      <c r="AO6" s="7">
        <f ca="1">IF($A6="","",[2]!B_CALC_PRICE($A6,$AJ$1,IF(情景分析!$D$6=1,$J6,IF(情景分析!$D$6=2,$E6,IF(情景分析!$D$6=4,IF($C6="银行间",$J6,$L6),$G6)))+AO$2/100,情景分析!$D$7,"",,,,"",)*IF($H6="",1,$H6))</f>
        <v>105.27071180516865</v>
      </c>
      <c r="AP6" s="7">
        <f ca="1">IF($A6="","",[2]!B_CALC_PRICE($A6,$AJ$1,IF(情景分析!$D$6=1,$J6,IF(情景分析!$D$6=2,$E6,IF(情景分析!$D$6=4,IF($C6="银行间",$J6,$L6),$G6)))+AP$2/100,情景分析!$D$7,"",,,,"",)*IF($H6="",1,$H6))</f>
        <v>105.39159853602339</v>
      </c>
      <c r="AQ6" s="7">
        <f ca="1">IF($A6="","",[2]!B_CALC_PRICE($A6,$AQ$1,IF(情景分析!$D$6=1,$J6,IF(情景分析!$D$6=2,$E6,IF(情景分析!$D$6=4,IF($C6="银行间",$J6,$L6),$G6)))+AQ$2/100,情景分析!$D$7,"",,,,"",)*IF($H6="",1,$H6))</f>
        <v>103.05985703256671</v>
      </c>
      <c r="AR6" s="7">
        <f ca="1">IF($A6="","",[2]!B_CALC_PRICE($A6,$AQ$1,IF(情景分析!$D$6=1,$J6,IF(情景分析!$D$6=2,$E6,IF(情景分析!$D$6=4,IF($C6="银行间",$J6,$L6),$G6)))+AR$2/100,情景分析!$D$7,"",,,,"",)*IF($H6="",1,$H6))</f>
        <v>103.14204594884819</v>
      </c>
      <c r="AS6" s="7">
        <f ca="1">IF($A6="","",[2]!B_CALC_PRICE($A6,$AQ$1,IF(情景分析!$D$6=1,$J6,IF(情景分析!$D$6=2,$E6,IF(情景分析!$D$6=4,IF($C6="银行间",$J6,$L6),$G6)))+AS$2/100,情景分析!$D$7,"",,,,"",)*IF($H6="",1,$H6))</f>
        <v>103.22434077831367</v>
      </c>
      <c r="AT6" s="7">
        <f ca="1">IF($A6="","",[2]!B_CALC_PRICE($A6,$AQ$1,IF(情景分析!$D$6=1,$J6,IF(情景分析!$D$6=2,$E6,IF(情景分析!$D$6=4,IF($C6="银行间",$J6,$L6),$G6)))+AT$2/100,情景分析!$D$7,"",,,,"",)*IF($H6="",1,$H6))</f>
        <v>103.38924893258236</v>
      </c>
      <c r="AU6" s="7">
        <f ca="1">IF($A6="","",[2]!B_CALC_PRICE($A6,$AQ$1,IF(情景分析!$D$6=1,$J6,IF(情景分析!$D$6=2,$E6,IF(情景分析!$D$6=4,IF($C6="银行间",$J6,$L6),$G6)))+AU$2/100,情景分析!$D$7,"",,,,"",)*IF($H6="",1,$H6))</f>
        <v>103.55458301124941</v>
      </c>
      <c r="AV6" s="7">
        <f ca="1">IF($A6="","",[2]!B_CALC_PRICE($A6,$AQ$1,IF(情景分析!$D$6=1,$J6,IF(情景分析!$D$6=2,$E6,IF(情景分析!$D$6=4,IF($C6="银行间",$J6,$L6),$G6)))+AV$2/100,情景分析!$D$7,"",,,,"",)*IF($H6="",1,$H6))</f>
        <v>103.6374102478337</v>
      </c>
      <c r="AW6" s="7">
        <f ca="1">IF($A6="","",[2]!B_CALC_PRICE($A6,$AQ$1,IF(情景分析!$D$6=1,$J6,IF(情景分析!$D$6=2,$E6,IF(情景分析!$D$6=4,IF($C6="银行间",$J6,$L6),$G6)))+AW$2/100,情景分析!$D$7,"",,,,"",)*IF($H6="",1,$H6))</f>
        <v>103.72034453710711</v>
      </c>
    </row>
    <row r="7" spans="1:49" x14ac:dyDescent="0.15">
      <c r="A7" s="20"/>
      <c r="B7" s="7" t="str">
        <f>IF(A7="","",[2]!b_info_name(A7))</f>
        <v/>
      </c>
      <c r="C7" s="7" t="str">
        <f>[2]!b_info_listedmkt(A7)</f>
        <v>#N/A</v>
      </c>
      <c r="D7" s="7" t="str">
        <f>IFERROR(IF(A7="","", [2]!b_dq_avgprice(A7, 情景分析!$D$5, 情景分析!$D$7) * IF($H7="",1,$H7)),0)</f>
        <v/>
      </c>
      <c r="E7" s="7" t="str">
        <f>IF(A7="","", N([2]!b_dq_avgprice(A7,情景分析!$D$5,3)))</f>
        <v/>
      </c>
      <c r="F7" s="29" t="str">
        <f>IF($G7 = "",
"",
IFERROR(
[2]!b_calc_pv(A7, 情景分析!$D$5,$G7, "1", 情景分析!$D$7),
[2]!b_calc_pv(A7, 情景分析!$D$5,$G7, "2", 情景分析!$D$7)
)
)</f>
        <v/>
      </c>
      <c r="G7" s="22"/>
      <c r="H7" s="21"/>
      <c r="I7" s="7" t="str">
        <f>IF(A7="","",IF(情景分析!$D$7=1,[2]!b_anal_net_cnbd(A7,情景分析!$D$5,1),[2]!b_anal_dirty_cnbd(A7,情景分析!$D$5,1))*IF($H7="",1,$H7))</f>
        <v/>
      </c>
      <c r="J7" s="7" t="str">
        <f>IF(A7="","",[2]!b_anal_yield_cnbd(A7,情景分析!$D$5,1))</f>
        <v/>
      </c>
      <c r="K7" s="29" t="str">
        <f>IF(A7="","",IF(情景分析!$D$7=1,[2]!b_anal_net_csi1(A7,情景分析!$D$5,1),[2]!b_anal_dirty_csi1(A7,情景分析!$D$5,1))*IF($H7="",1,$H7))</f>
        <v/>
      </c>
      <c r="L7" s="29" t="str">
        <f>IF(A7="","",[2]!b_anal_yield_csi1(A7,情景分析!$D$5,1))</f>
        <v/>
      </c>
      <c r="M7" s="29" t="str">
        <f t="shared" si="4"/>
        <v/>
      </c>
      <c r="N7" s="29" t="str">
        <f t="shared" si="5"/>
        <v/>
      </c>
      <c r="O7" s="7" t="str">
        <f>IF($A7="","",[2]!B_CALC_PRICE($A7,$O$1,IF(情景分析!$D$6=1,$J7,IF(情景分析!$D$6=2,$E7,IF(情景分析!$D$6=4,IF($C7="银行间",$J7,$L7),$G7)))+O$2/100,情景分析!$D$7,"",,,,"",)*IF($H7="",1,$H7))</f>
        <v/>
      </c>
      <c r="P7" s="7" t="str">
        <f>IF($A7="","",[2]!B_CALC_PRICE($A7,$O$1,IF(情景分析!$D$6=1,$J7,IF(情景分析!$D$6=2,$E7,IF(情景分析!$D$6=4,IF($C7="银行间",$J7,$L7),$G7)))+P$2/100,情景分析!$D$7,"",,,,"",)*IF($H7="",1,$H7))</f>
        <v/>
      </c>
      <c r="Q7" s="7" t="str">
        <f>IF($A7="","",[2]!B_CALC_PRICE($A7,$O$1,IF(情景分析!$D$6=1,$J7,IF(情景分析!$D$6=2,$E7,IF(情景分析!$D$6=4,IF($C7="银行间",$J7,$L7),$G7)))+Q$2/100,情景分析!$D$7,"",,,,"",)*IF($H7="",1,$H7))</f>
        <v/>
      </c>
      <c r="R7" s="7" t="str">
        <f>IF($A7="","",[2]!B_CALC_PRICE($A7,$O$1,IF(情景分析!$D$6=1,$J7,IF(情景分析!$D$6=2,$E7,IF(情景分析!$D$6=4,IF($C7="银行间",$J7,$L7),$G7)))+R$2/100,情景分析!$D$7,"",,,,"",)*IF($H7="",1,$H7))</f>
        <v/>
      </c>
      <c r="S7" s="7" t="str">
        <f>IF($A7="","",[2]!B_CALC_PRICE($A7,$O$1,IF(情景分析!$D$6=1,$J7,IF(情景分析!$D$6=2,$E7,IF(情景分析!$D$6=4,IF($C7="银行间",$J7,$L7),$G7)))+S$2/100,情景分析!$D$7,"",,,,"",)*IF($H7="",1,$H7))</f>
        <v/>
      </c>
      <c r="T7" s="7" t="str">
        <f>IF($A7="","",[2]!B_CALC_PRICE($A7,$O$1,IF(情景分析!$D$6=1,$J7,IF(情景分析!$D$6=2,$E7,IF(情景分析!$D$6=4,IF($C7="银行间",$J7,$L7),$G7)))+T$2/100,情景分析!$D$7,"",,,,"",)*IF($H7="",1,$H7))</f>
        <v/>
      </c>
      <c r="U7" s="7" t="str">
        <f>IF($A7="","",[2]!B_CALC_PRICE($A7,$O$1,IF(情景分析!$D$6=1,$J7,IF(情景分析!$D$6=2,$E7,IF(情景分析!$D$6=4,IF($C7="银行间",$J7,$L7),$G7)))+U$2/100,情景分析!$D$7,"",,,,"",)*IF($H7="",1,$H7))</f>
        <v/>
      </c>
      <c r="V7" s="7" t="str">
        <f>IF($A7="","",[2]!B_CALC_PRICE($A7,$V$1,IF(情景分析!$D$6=1,$J7,IF(情景分析!$D$6=2,$E7,IF(情景分析!$D$6=4,IF($C7="银行间",$J7,$L7),$G7)))+V$2/100,情景分析!$D$7,"",,,,"",)*IF($H7="",1,$H7))</f>
        <v/>
      </c>
      <c r="W7" s="7" t="str">
        <f>IF($A7="","",[2]!B_CALC_PRICE($A7,$V$1,IF(情景分析!$D$6=1,$J7,IF(情景分析!$D$6=2,$E7,IF(情景分析!$D$6=4,IF($C7="银行间",$J7,$L7),$G7)))+W$2/100,情景分析!$D$7,"",,,,"",)*IF($H7="",1,$H7))</f>
        <v/>
      </c>
      <c r="X7" s="7" t="str">
        <f>IF($A7="","",[2]!B_CALC_PRICE($A7,$V$1,IF(情景分析!$D$6=1,$J7,IF(情景分析!$D$6=2,$E7,IF(情景分析!$D$6=4,IF($C7="银行间",$J7,$L7),$G7)))+X$2/100,情景分析!$D$7,"",,,,"",)*IF($H7="",1,$H7))</f>
        <v/>
      </c>
      <c r="Y7" s="7" t="str">
        <f>IF($A7="","",[2]!B_CALC_PRICE($A7,$V$1,IF(情景分析!$D$6=1,$J7,IF(情景分析!$D$6=2,$E7,IF(情景分析!$D$6=4,IF($C7="银行间",$J7,$L7),$G7)))+Y$2/100,情景分析!$D$7,"",,,,"",)*IF($H7="",1,$H7))</f>
        <v/>
      </c>
      <c r="Z7" s="7" t="str">
        <f>IF($A7="","",[2]!B_CALC_PRICE($A7,$V$1,IF(情景分析!$D$6=1,$J7,IF(情景分析!$D$6=2,$E7,IF(情景分析!$D$6=4,IF($C7="银行间",$J7,$L7),$G7)))+Z$2/100,情景分析!$D$7,"",,,,"",)*IF($H7="",1,$H7))</f>
        <v/>
      </c>
      <c r="AA7" s="7" t="str">
        <f>IF($A7="","",[2]!B_CALC_PRICE($A7,$V$1,IF(情景分析!$D$6=1,$J7,IF(情景分析!$D$6=2,$E7,IF(情景分析!$D$6=4,IF($C7="银行间",$J7,$L7),$G7)))+AA$2/100,情景分析!$D$7,"",,,,"",)*IF($H7="",1,$H7))</f>
        <v/>
      </c>
      <c r="AB7" s="7" t="str">
        <f>IF($A7="","",[2]!B_CALC_PRICE($A7,$V$1,IF(情景分析!$D$6=1,$J7,IF(情景分析!$D$6=2,$E7,IF(情景分析!$D$6=4,IF($C7="银行间",$J7,$L7),$G7)))+AB$2/100,情景分析!$D$7,"",,,,"",)*IF($H7="",1,$H7))</f>
        <v/>
      </c>
      <c r="AC7" s="7" t="str">
        <f>IF($A7="","",[2]!B_CALC_PRICE($A7,$AC$1,IF(情景分析!$D$6=1,$J7,IF(情景分析!$D$6=2,$E7,IF(情景分析!$D$6=4,IF($C7="银行间",$J7,$L7),$G7)))+AC$2/100,情景分析!$D$7,"",,,,"",)*IF($H7="",1,$H7))</f>
        <v/>
      </c>
      <c r="AD7" s="7" t="str">
        <f>IF($A7="","",[2]!B_CALC_PRICE($A7,$AC$1,IF(情景分析!$D$6=1,$J7,IF(情景分析!$D$6=2,$E7,IF(情景分析!$D$6=4,IF($C7="银行间",$J7,$L7),$G7)))+AD$2/100,情景分析!$D$7,"",,,,"",)*IF($H7="",1,$H7))</f>
        <v/>
      </c>
      <c r="AE7" s="7" t="str">
        <f>IF($A7="","",[2]!B_CALC_PRICE($A7,$AC$1,IF(情景分析!$D$6=1,$J7,IF(情景分析!$D$6=2,$E7,IF(情景分析!$D$6=4,IF($C7="银行间",$J7,$L7),$G7)))+AE$2/100,情景分析!$D$7,"",,,,"",)*IF($H7="",1,$H7))</f>
        <v/>
      </c>
      <c r="AF7" s="7" t="str">
        <f>IF($A7="","",[2]!B_CALC_PRICE($A7,$AC$1,IF(情景分析!$D$6=1,$J7,IF(情景分析!$D$6=2,$E7,IF(情景分析!$D$6=4,IF($C7="银行间",$J7,$L7),$G7)))+AF$2/100,情景分析!$D$7,"",,,,"",)*IF($H7="",1,$H7))</f>
        <v/>
      </c>
      <c r="AG7" s="7" t="str">
        <f>IF($A7="","",[2]!B_CALC_PRICE($A7,$AC$1,IF(情景分析!$D$6=1,$J7,IF(情景分析!$D$6=2,$E7,IF(情景分析!$D$6=4,IF($C7="银行间",$J7,$L7),$G7)))+AG$2/100,情景分析!$D$7,"",,,,"",)*IF($H7="",1,$H7))</f>
        <v/>
      </c>
      <c r="AH7" s="7" t="str">
        <f>IF($A7="","",[2]!B_CALC_PRICE($A7,$AC$1,IF(情景分析!$D$6=1,$J7,IF(情景分析!$D$6=2,$E7,IF(情景分析!$D$6=4,IF($C7="银行间",$J7,$L7),$G7)))+AH$2/100,情景分析!$D$7,"",,,,"",)*IF($H7="",1,$H7))</f>
        <v/>
      </c>
      <c r="AI7" s="7" t="str">
        <f>IF($A7="","",[2]!B_CALC_PRICE($A7,$AC$1,IF(情景分析!$D$6=1,$J7,IF(情景分析!$D$6=2,$E7,IF(情景分析!$D$6=4,IF($C7="银行间",$J7,$L7),$G7)))+AI$2/100,情景分析!$D$7,"",,,,"",)*IF($H7="",1,$H7))</f>
        <v/>
      </c>
      <c r="AJ7" s="7" t="str">
        <f>IF($A7="","",[2]!B_CALC_PRICE($A7,$AJ$1,IF(情景分析!$D$6=1,$J7,IF(情景分析!$D$6=2,$E7,IF(情景分析!$D$6=4,IF($C7="银行间",$J7,$L7),$G7)))+AJ$2/100,情景分析!$D$7,"",,,,"",)*IF($H7="",1,$H7))</f>
        <v/>
      </c>
      <c r="AK7" s="7" t="str">
        <f>IF($A7="","",[2]!B_CALC_PRICE($A7,$AJ$1,IF(情景分析!$D$6=1,$J7,IF(情景分析!$D$6=2,$E7,IF(情景分析!$D$6=4,IF($C7="银行间",$J7,$L7),$G7)))+AK$2/100,情景分析!$D$7,"",,,,"",)*IF($H7="",1,$H7))</f>
        <v/>
      </c>
      <c r="AL7" s="7" t="str">
        <f>IF($A7="","",[2]!B_CALC_PRICE($A7,$AJ$1,IF(情景分析!$D$6=1,$J7,IF(情景分析!$D$6=2,$E7,IF(情景分析!$D$6=4,IF($C7="银行间",$J7,$L7),$G7)))+AL$2/100,情景分析!$D$7,"",,,,"",)*IF($H7="",1,$H7))</f>
        <v/>
      </c>
      <c r="AM7" s="7" t="str">
        <f>IF($A7="","",[2]!B_CALC_PRICE($A7,$AJ$1,IF(情景分析!$D$6=1,$J7,IF(情景分析!$D$6=2,$E7,IF(情景分析!$D$6=4,IF($C7="银行间",$J7,$L7),$G7)))+AM$2/100,情景分析!$D$7,"",,,,"",)*IF($H7="",1,$H7))</f>
        <v/>
      </c>
      <c r="AN7" s="7" t="str">
        <f>IF($A7="","",[2]!B_CALC_PRICE($A7,$AJ$1,IF(情景分析!$D$6=1,$J7,IF(情景分析!$D$6=2,$E7,IF(情景分析!$D$6=4,IF($C7="银行间",$J7,$L7),$G7)))+AN$2/100,情景分析!$D$7,"",,,,"",)*IF($H7="",1,$H7))</f>
        <v/>
      </c>
      <c r="AO7" s="7" t="str">
        <f>IF($A7="","",[2]!B_CALC_PRICE($A7,$AJ$1,IF(情景分析!$D$6=1,$J7,IF(情景分析!$D$6=2,$E7,IF(情景分析!$D$6=4,IF($C7="银行间",$J7,$L7),$G7)))+AO$2/100,情景分析!$D$7,"",,,,"",)*IF($H7="",1,$H7))</f>
        <v/>
      </c>
      <c r="AP7" s="7" t="str">
        <f>IF($A7="","",[2]!B_CALC_PRICE($A7,$AJ$1,IF(情景分析!$D$6=1,$J7,IF(情景分析!$D$6=2,$E7,IF(情景分析!$D$6=4,IF($C7="银行间",$J7,$L7),$G7)))+AP$2/100,情景分析!$D$7,"",,,,"",)*IF($H7="",1,$H7))</f>
        <v/>
      </c>
      <c r="AQ7" s="7" t="str">
        <f>IF($A7="","",[2]!B_CALC_PRICE($A7,$AQ$1,IF(情景分析!$D$6=1,$J7,IF(情景分析!$D$6=2,$E7,IF(情景分析!$D$6=4,IF($C7="银行间",$J7,$L7),$G7)))+AQ$2/100,情景分析!$D$7,"",,,,"",)*IF($H7="",1,$H7))</f>
        <v/>
      </c>
      <c r="AR7" s="7" t="str">
        <f>IF($A7="","",[2]!B_CALC_PRICE($A7,$AQ$1,IF(情景分析!$D$6=1,$J7,IF(情景分析!$D$6=2,$E7,IF(情景分析!$D$6=4,IF($C7="银行间",$J7,$L7),$G7)))+AR$2/100,情景分析!$D$7,"",,,,"",)*IF($H7="",1,$H7))</f>
        <v/>
      </c>
      <c r="AS7" s="7" t="str">
        <f>IF($A7="","",[2]!B_CALC_PRICE($A7,$AQ$1,IF(情景分析!$D$6=1,$J7,IF(情景分析!$D$6=2,$E7,IF(情景分析!$D$6=4,IF($C7="银行间",$J7,$L7),$G7)))+AS$2/100,情景分析!$D$7,"",,,,"",)*IF($H7="",1,$H7))</f>
        <v/>
      </c>
      <c r="AT7" s="7" t="str">
        <f>IF($A7="","",[2]!B_CALC_PRICE($A7,$AQ$1,IF(情景分析!$D$6=1,$J7,IF(情景分析!$D$6=2,$E7,IF(情景分析!$D$6=4,IF($C7="银行间",$J7,$L7),$G7)))+AT$2/100,情景分析!$D$7,"",,,,"",)*IF($H7="",1,$H7))</f>
        <v/>
      </c>
      <c r="AU7" s="7" t="str">
        <f>IF($A7="","",[2]!B_CALC_PRICE($A7,$AQ$1,IF(情景分析!$D$6=1,$J7,IF(情景分析!$D$6=2,$E7,IF(情景分析!$D$6=4,IF($C7="银行间",$J7,$L7),$G7)))+AU$2/100,情景分析!$D$7,"",,,,"",)*IF($H7="",1,$H7))</f>
        <v/>
      </c>
      <c r="AV7" s="7" t="str">
        <f>IF($A7="","",[2]!B_CALC_PRICE($A7,$AQ$1,IF(情景分析!$D$6=1,$J7,IF(情景分析!$D$6=2,$E7,IF(情景分析!$D$6=4,IF($C7="银行间",$J7,$L7),$G7)))+AV$2/100,情景分析!$D$7,"",,,,"",)*IF($H7="",1,$H7))</f>
        <v/>
      </c>
      <c r="AW7" s="7" t="str">
        <f>IF($A7="","",[2]!B_CALC_PRICE($A7,$AQ$1,IF(情景分析!$D$6=1,$J7,IF(情景分析!$D$6=2,$E7,IF(情景分析!$D$6=4,IF($C7="银行间",$J7,$L7),$G7)))+AW$2/100,情景分析!$D$7,"",,,,"",)*IF($H7="",1,$H7))</f>
        <v/>
      </c>
    </row>
    <row r="8" spans="1:49" x14ac:dyDescent="0.15">
      <c r="A8" s="20"/>
      <c r="B8" s="7" t="str">
        <f>IF(A8="","",[2]!b_info_name(A8))</f>
        <v/>
      </c>
      <c r="C8" s="7" t="str">
        <f>[2]!b_info_listedmkt(A8)</f>
        <v>#N/A</v>
      </c>
      <c r="D8" s="7" t="str">
        <f>IFERROR(IF(A8="","", [2]!b_dq_avgprice(A8, 情景分析!$D$5, 情景分析!$D$7) * IF($H8="",1,$H8)),0)</f>
        <v/>
      </c>
      <c r="E8" s="7" t="str">
        <f>IF(A8="","", N([2]!b_dq_avgprice(A8,情景分析!$D$5,3)))</f>
        <v/>
      </c>
      <c r="F8" s="29" t="str">
        <f>IF($G8 = "",
"",
IFERROR(
[2]!b_calc_pv(A8, 情景分析!$D$5,$G8, "1", 情景分析!$D$7),
[2]!b_calc_pv(A8, 情景分析!$D$5,$G8, "2", 情景分析!$D$7)
)
)</f>
        <v/>
      </c>
      <c r="G8" s="22"/>
      <c r="H8" s="21"/>
      <c r="I8" s="7" t="str">
        <f>IF(A8="","",IF(情景分析!$D$7=1,[2]!b_anal_net_cnbd(A8,情景分析!$D$5,1),[2]!b_anal_dirty_cnbd(A8,情景分析!$D$5,1))*IF($H8="",1,$H8))</f>
        <v/>
      </c>
      <c r="J8" s="7" t="str">
        <f>IF(A8="","",[2]!b_anal_yield_cnbd(A8,情景分析!$D$5,1))</f>
        <v/>
      </c>
      <c r="K8" s="29" t="str">
        <f>IF(A8="","",IF(情景分析!$D$7=1,[2]!b_anal_net_csi1(A8,情景分析!$D$5,1),[2]!b_anal_dirty_csi1(A8,情景分析!$D$5,1))*IF($H8="",1,$H8))</f>
        <v/>
      </c>
      <c r="L8" s="29" t="str">
        <f>IF(A8="","",[2]!b_anal_yield_csi1(A8,情景分析!$D$5,1))</f>
        <v/>
      </c>
      <c r="M8" s="29" t="str">
        <f t="shared" si="4"/>
        <v/>
      </c>
      <c r="N8" s="29" t="str">
        <f t="shared" si="5"/>
        <v/>
      </c>
      <c r="O8" s="7" t="str">
        <f>IF($A8="","",[2]!B_CALC_PRICE($A8,$O$1,IF(情景分析!$D$6=1,$J8,IF(情景分析!$D$6=2,$E8,IF(情景分析!$D$6=4,IF($C8="银行间",$J8,$L8),$G8)))+O$2/100,情景分析!$D$7,"",,,,"",)*IF($H8="",1,$H8))</f>
        <v/>
      </c>
      <c r="P8" s="7" t="str">
        <f>IF($A8="","",[2]!B_CALC_PRICE($A8,$O$1,IF(情景分析!$D$6=1,$J8,IF(情景分析!$D$6=2,$E8,IF(情景分析!$D$6=4,IF($C8="银行间",$J8,$L8),$G8)))+P$2/100,情景分析!$D$7,"",,,,"",)*IF($H8="",1,$H8))</f>
        <v/>
      </c>
      <c r="Q8" s="7" t="str">
        <f>IF($A8="","",[2]!B_CALC_PRICE($A8,$O$1,IF(情景分析!$D$6=1,$J8,IF(情景分析!$D$6=2,$E8,IF(情景分析!$D$6=4,IF($C8="银行间",$J8,$L8),$G8)))+Q$2/100,情景分析!$D$7,"",,,,"",)*IF($H8="",1,$H8))</f>
        <v/>
      </c>
      <c r="R8" s="7" t="str">
        <f>IF($A8="","",[2]!B_CALC_PRICE($A8,$O$1,IF(情景分析!$D$6=1,$J8,IF(情景分析!$D$6=2,$E8,IF(情景分析!$D$6=4,IF($C8="银行间",$J8,$L8),$G8)))+R$2/100,情景分析!$D$7,"",,,,"",)*IF($H8="",1,$H8))</f>
        <v/>
      </c>
      <c r="S8" s="7" t="str">
        <f>IF($A8="","",[2]!B_CALC_PRICE($A8,$O$1,IF(情景分析!$D$6=1,$J8,IF(情景分析!$D$6=2,$E8,IF(情景分析!$D$6=4,IF($C8="银行间",$J8,$L8),$G8)))+S$2/100,情景分析!$D$7,"",,,,"",)*IF($H8="",1,$H8))</f>
        <v/>
      </c>
      <c r="T8" s="7" t="str">
        <f>IF($A8="","",[2]!B_CALC_PRICE($A8,$O$1,IF(情景分析!$D$6=1,$J8,IF(情景分析!$D$6=2,$E8,IF(情景分析!$D$6=4,IF($C8="银行间",$J8,$L8),$G8)))+T$2/100,情景分析!$D$7,"",,,,"",)*IF($H8="",1,$H8))</f>
        <v/>
      </c>
      <c r="U8" s="7" t="str">
        <f>IF($A8="","",[2]!B_CALC_PRICE($A8,$O$1,IF(情景分析!$D$6=1,$J8,IF(情景分析!$D$6=2,$E8,IF(情景分析!$D$6=4,IF($C8="银行间",$J8,$L8),$G8)))+U$2/100,情景分析!$D$7,"",,,,"",)*IF($H8="",1,$H8))</f>
        <v/>
      </c>
      <c r="V8" s="7" t="str">
        <f>IF($A8="","",[2]!B_CALC_PRICE($A8,$V$1,IF(情景分析!$D$6=1,$J8,IF(情景分析!$D$6=2,$E8,IF(情景分析!$D$6=4,IF($C8="银行间",$J8,$L8),$G8)))+V$2/100,情景分析!$D$7,"",,,,"",)*IF($H8="",1,$H8))</f>
        <v/>
      </c>
      <c r="W8" s="7" t="str">
        <f>IF($A8="","",[2]!B_CALC_PRICE($A8,$V$1,IF(情景分析!$D$6=1,$J8,IF(情景分析!$D$6=2,$E8,IF(情景分析!$D$6=4,IF($C8="银行间",$J8,$L8),$G8)))+W$2/100,情景分析!$D$7,"",,,,"",)*IF($H8="",1,$H8))</f>
        <v/>
      </c>
      <c r="X8" s="7" t="str">
        <f>IF($A8="","",[2]!B_CALC_PRICE($A8,$V$1,IF(情景分析!$D$6=1,$J8,IF(情景分析!$D$6=2,$E8,IF(情景分析!$D$6=4,IF($C8="银行间",$J8,$L8),$G8)))+X$2/100,情景分析!$D$7,"",,,,"",)*IF($H8="",1,$H8))</f>
        <v/>
      </c>
      <c r="Y8" s="7" t="str">
        <f>IF($A8="","",[2]!B_CALC_PRICE($A8,$V$1,IF(情景分析!$D$6=1,$J8,IF(情景分析!$D$6=2,$E8,IF(情景分析!$D$6=4,IF($C8="银行间",$J8,$L8),$G8)))+Y$2/100,情景分析!$D$7,"",,,,"",)*IF($H8="",1,$H8))</f>
        <v/>
      </c>
      <c r="Z8" s="7" t="str">
        <f>IF($A8="","",[2]!B_CALC_PRICE($A8,$V$1,IF(情景分析!$D$6=1,$J8,IF(情景分析!$D$6=2,$E8,IF(情景分析!$D$6=4,IF($C8="银行间",$J8,$L8),$G8)))+Z$2/100,情景分析!$D$7,"",,,,"",)*IF($H8="",1,$H8))</f>
        <v/>
      </c>
      <c r="AA8" s="7" t="str">
        <f>IF($A8="","",[2]!B_CALC_PRICE($A8,$V$1,IF(情景分析!$D$6=1,$J8,IF(情景分析!$D$6=2,$E8,IF(情景分析!$D$6=4,IF($C8="银行间",$J8,$L8),$G8)))+AA$2/100,情景分析!$D$7,"",,,,"",)*IF($H8="",1,$H8))</f>
        <v/>
      </c>
      <c r="AB8" s="7" t="str">
        <f>IF($A8="","",[2]!B_CALC_PRICE($A8,$V$1,IF(情景分析!$D$6=1,$J8,IF(情景分析!$D$6=2,$E8,IF(情景分析!$D$6=4,IF($C8="银行间",$J8,$L8),$G8)))+AB$2/100,情景分析!$D$7,"",,,,"",)*IF($H8="",1,$H8))</f>
        <v/>
      </c>
      <c r="AC8" s="7" t="str">
        <f>IF($A8="","",[2]!B_CALC_PRICE($A8,$AC$1,IF(情景分析!$D$6=1,$J8,IF(情景分析!$D$6=2,$E8,IF(情景分析!$D$6=4,IF($C8="银行间",$J8,$L8),$G8)))+AC$2/100,情景分析!$D$7,"",,,,"",)*IF($H8="",1,$H8))</f>
        <v/>
      </c>
      <c r="AD8" s="7" t="str">
        <f>IF($A8="","",[2]!B_CALC_PRICE($A8,$AC$1,IF(情景分析!$D$6=1,$J8,IF(情景分析!$D$6=2,$E8,IF(情景分析!$D$6=4,IF($C8="银行间",$J8,$L8),$G8)))+AD$2/100,情景分析!$D$7,"",,,,"",)*IF($H8="",1,$H8))</f>
        <v/>
      </c>
      <c r="AE8" s="7" t="str">
        <f>IF($A8="","",[2]!B_CALC_PRICE($A8,$AC$1,IF(情景分析!$D$6=1,$J8,IF(情景分析!$D$6=2,$E8,IF(情景分析!$D$6=4,IF($C8="银行间",$J8,$L8),$G8)))+AE$2/100,情景分析!$D$7,"",,,,"",)*IF($H8="",1,$H8))</f>
        <v/>
      </c>
      <c r="AF8" s="7" t="str">
        <f>IF($A8="","",[2]!B_CALC_PRICE($A8,$AC$1,IF(情景分析!$D$6=1,$J8,IF(情景分析!$D$6=2,$E8,IF(情景分析!$D$6=4,IF($C8="银行间",$J8,$L8),$G8)))+AF$2/100,情景分析!$D$7,"",,,,"",)*IF($H8="",1,$H8))</f>
        <v/>
      </c>
      <c r="AG8" s="7" t="str">
        <f>IF($A8="","",[2]!B_CALC_PRICE($A8,$AC$1,IF(情景分析!$D$6=1,$J8,IF(情景分析!$D$6=2,$E8,IF(情景分析!$D$6=4,IF($C8="银行间",$J8,$L8),$G8)))+AG$2/100,情景分析!$D$7,"",,,,"",)*IF($H8="",1,$H8))</f>
        <v/>
      </c>
      <c r="AH8" s="7" t="str">
        <f>IF($A8="","",[2]!B_CALC_PRICE($A8,$AC$1,IF(情景分析!$D$6=1,$J8,IF(情景分析!$D$6=2,$E8,IF(情景分析!$D$6=4,IF($C8="银行间",$J8,$L8),$G8)))+AH$2/100,情景分析!$D$7,"",,,,"",)*IF($H8="",1,$H8))</f>
        <v/>
      </c>
      <c r="AI8" s="7" t="str">
        <f>IF($A8="","",[2]!B_CALC_PRICE($A8,$AC$1,IF(情景分析!$D$6=1,$J8,IF(情景分析!$D$6=2,$E8,IF(情景分析!$D$6=4,IF($C8="银行间",$J8,$L8),$G8)))+AI$2/100,情景分析!$D$7,"",,,,"",)*IF($H8="",1,$H8))</f>
        <v/>
      </c>
      <c r="AJ8" s="7" t="str">
        <f>IF($A8="","",[2]!B_CALC_PRICE($A8,$AJ$1,IF(情景分析!$D$6=1,$J8,IF(情景分析!$D$6=2,$E8,IF(情景分析!$D$6=4,IF($C8="银行间",$J8,$L8),$G8)))+AJ$2/100,情景分析!$D$7,"",,,,"",)*IF($H8="",1,$H8))</f>
        <v/>
      </c>
      <c r="AK8" s="7" t="str">
        <f>IF($A8="","",[2]!B_CALC_PRICE($A8,$AJ$1,IF(情景分析!$D$6=1,$J8,IF(情景分析!$D$6=2,$E8,IF(情景分析!$D$6=4,IF($C8="银行间",$J8,$L8),$G8)))+AK$2/100,情景分析!$D$7,"",,,,"",)*IF($H8="",1,$H8))</f>
        <v/>
      </c>
      <c r="AL8" s="7" t="str">
        <f>IF($A8="","",[2]!B_CALC_PRICE($A8,$AJ$1,IF(情景分析!$D$6=1,$J8,IF(情景分析!$D$6=2,$E8,IF(情景分析!$D$6=4,IF($C8="银行间",$J8,$L8),$G8)))+AL$2/100,情景分析!$D$7,"",,,,"",)*IF($H8="",1,$H8))</f>
        <v/>
      </c>
      <c r="AM8" s="7" t="str">
        <f>IF($A8="","",[2]!B_CALC_PRICE($A8,$AJ$1,IF(情景分析!$D$6=1,$J8,IF(情景分析!$D$6=2,$E8,IF(情景分析!$D$6=4,IF($C8="银行间",$J8,$L8),$G8)))+AM$2/100,情景分析!$D$7,"",,,,"",)*IF($H8="",1,$H8))</f>
        <v/>
      </c>
      <c r="AN8" s="7" t="str">
        <f>IF($A8="","",[2]!B_CALC_PRICE($A8,$AJ$1,IF(情景分析!$D$6=1,$J8,IF(情景分析!$D$6=2,$E8,IF(情景分析!$D$6=4,IF($C8="银行间",$J8,$L8),$G8)))+AN$2/100,情景分析!$D$7,"",,,,"",)*IF($H8="",1,$H8))</f>
        <v/>
      </c>
      <c r="AO8" s="7" t="str">
        <f>IF($A8="","",[2]!B_CALC_PRICE($A8,$AJ$1,IF(情景分析!$D$6=1,$J8,IF(情景分析!$D$6=2,$E8,IF(情景分析!$D$6=4,IF($C8="银行间",$J8,$L8),$G8)))+AO$2/100,情景分析!$D$7,"",,,,"",)*IF($H8="",1,$H8))</f>
        <v/>
      </c>
      <c r="AP8" s="7" t="str">
        <f>IF($A8="","",[2]!B_CALC_PRICE($A8,$AJ$1,IF(情景分析!$D$6=1,$J8,IF(情景分析!$D$6=2,$E8,IF(情景分析!$D$6=4,IF($C8="银行间",$J8,$L8),$G8)))+AP$2/100,情景分析!$D$7,"",,,,"",)*IF($H8="",1,$H8))</f>
        <v/>
      </c>
      <c r="AQ8" s="7" t="str">
        <f>IF($A8="","",[2]!B_CALC_PRICE($A8,$AQ$1,IF(情景分析!$D$6=1,$J8,IF(情景分析!$D$6=2,$E8,IF(情景分析!$D$6=4,IF($C8="银行间",$J8,$L8),$G8)))+AQ$2/100,情景分析!$D$7,"",,,,"",)*IF($H8="",1,$H8))</f>
        <v/>
      </c>
      <c r="AR8" s="7" t="str">
        <f>IF($A8="","",[2]!B_CALC_PRICE($A8,$AQ$1,IF(情景分析!$D$6=1,$J8,IF(情景分析!$D$6=2,$E8,IF(情景分析!$D$6=4,IF($C8="银行间",$J8,$L8),$G8)))+AR$2/100,情景分析!$D$7,"",,,,"",)*IF($H8="",1,$H8))</f>
        <v/>
      </c>
      <c r="AS8" s="7" t="str">
        <f>IF($A8="","",[2]!B_CALC_PRICE($A8,$AQ$1,IF(情景分析!$D$6=1,$J8,IF(情景分析!$D$6=2,$E8,IF(情景分析!$D$6=4,IF($C8="银行间",$J8,$L8),$G8)))+AS$2/100,情景分析!$D$7,"",,,,"",)*IF($H8="",1,$H8))</f>
        <v/>
      </c>
      <c r="AT8" s="7" t="str">
        <f>IF($A8="","",[2]!B_CALC_PRICE($A8,$AQ$1,IF(情景分析!$D$6=1,$J8,IF(情景分析!$D$6=2,$E8,IF(情景分析!$D$6=4,IF($C8="银行间",$J8,$L8),$G8)))+AT$2/100,情景分析!$D$7,"",,,,"",)*IF($H8="",1,$H8))</f>
        <v/>
      </c>
      <c r="AU8" s="7" t="str">
        <f>IF($A8="","",[2]!B_CALC_PRICE($A8,$AQ$1,IF(情景分析!$D$6=1,$J8,IF(情景分析!$D$6=2,$E8,IF(情景分析!$D$6=4,IF($C8="银行间",$J8,$L8),$G8)))+AU$2/100,情景分析!$D$7,"",,,,"",)*IF($H8="",1,$H8))</f>
        <v/>
      </c>
      <c r="AV8" s="7" t="str">
        <f>IF($A8="","",[2]!B_CALC_PRICE($A8,$AQ$1,IF(情景分析!$D$6=1,$J8,IF(情景分析!$D$6=2,$E8,IF(情景分析!$D$6=4,IF($C8="银行间",$J8,$L8),$G8)))+AV$2/100,情景分析!$D$7,"",,,,"",)*IF($H8="",1,$H8))</f>
        <v/>
      </c>
      <c r="AW8" s="7" t="str">
        <f>IF($A8="","",[2]!B_CALC_PRICE($A8,$AQ$1,IF(情景分析!$D$6=1,$J8,IF(情景分析!$D$6=2,$E8,IF(情景分析!$D$6=4,IF($C8="银行间",$J8,$L8),$G8)))+AW$2/100,情景分析!$D$7,"",,,,"",)*IF($H8="",1,$H8))</f>
        <v/>
      </c>
    </row>
    <row r="9" spans="1:49" x14ac:dyDescent="0.15">
      <c r="A9" s="20"/>
      <c r="B9" s="7" t="str">
        <f>IF(A9="","",[2]!b_info_name(A9))</f>
        <v/>
      </c>
      <c r="C9" s="7" t="str">
        <f>[2]!b_info_listedmkt(A9)</f>
        <v>#N/A</v>
      </c>
      <c r="D9" s="7" t="str">
        <f>IFERROR(IF(A9="","", [2]!b_dq_avgprice(A9, 情景分析!$D$5, 情景分析!$D$7) * IF($H9="",1,$H9)),0)</f>
        <v/>
      </c>
      <c r="E9" s="7" t="str">
        <f>IF(A9="","", N([2]!b_dq_avgprice(A9,情景分析!$D$5,3)))</f>
        <v/>
      </c>
      <c r="F9" s="29" t="str">
        <f>IF($G9 = "",
"",
IFERROR(
[2]!b_calc_pv(A9, 情景分析!$D$5,$G9, "1", 情景分析!$D$7),
[2]!b_calc_pv(A9, 情景分析!$D$5,$G9, "2", 情景分析!$D$7)
)
)</f>
        <v/>
      </c>
      <c r="G9" s="22"/>
      <c r="H9" s="21"/>
      <c r="I9" s="7" t="str">
        <f>IF(A9="","",IF(情景分析!$D$7=1,[2]!b_anal_net_cnbd(A9,情景分析!$D$5,1),[2]!b_anal_dirty_cnbd(A9,情景分析!$D$5,1))*IF($H9="",1,$H9))</f>
        <v/>
      </c>
      <c r="J9" s="7" t="str">
        <f>IF(A9="","",[2]!b_anal_yield_cnbd(A9,情景分析!$D$5,1))</f>
        <v/>
      </c>
      <c r="K9" s="29" t="str">
        <f>IF(A9="","",IF(情景分析!$D$7=1,[2]!b_anal_net_csi1(A9,情景分析!$D$5,1),[2]!b_anal_dirty_csi1(A9,情景分析!$D$5,1))*IF($H9="",1,$H9))</f>
        <v/>
      </c>
      <c r="L9" s="29" t="str">
        <f>IF(A9="","",[2]!b_anal_yield_csi1(A9,情景分析!$D$5,1))</f>
        <v/>
      </c>
      <c r="M9" s="29" t="str">
        <f t="shared" si="4"/>
        <v/>
      </c>
      <c r="N9" s="29" t="str">
        <f t="shared" si="5"/>
        <v/>
      </c>
      <c r="O9" s="7" t="str">
        <f>IF($A9="","",[2]!B_CALC_PRICE($A9,$O$1,IF(情景分析!$D$6=1,$J9,IF(情景分析!$D$6=2,$E9,IF(情景分析!$D$6=4,IF($C9="银行间",$J9,$L9),$G9)))+O$2/100,情景分析!$D$7,"",,,,"",)*IF($H9="",1,$H9))</f>
        <v/>
      </c>
      <c r="P9" s="7" t="str">
        <f>IF($A9="","",[2]!B_CALC_PRICE($A9,$O$1,IF(情景分析!$D$6=1,$J9,IF(情景分析!$D$6=2,$E9,IF(情景分析!$D$6=4,IF($C9="银行间",$J9,$L9),$G9)))+P$2/100,情景分析!$D$7,"",,,,"",)*IF($H9="",1,$H9))</f>
        <v/>
      </c>
      <c r="Q9" s="7" t="str">
        <f>IF($A9="","",[2]!B_CALC_PRICE($A9,$O$1,IF(情景分析!$D$6=1,$J9,IF(情景分析!$D$6=2,$E9,IF(情景分析!$D$6=4,IF($C9="银行间",$J9,$L9),$G9)))+Q$2/100,情景分析!$D$7,"",,,,"",)*IF($H9="",1,$H9))</f>
        <v/>
      </c>
      <c r="R9" s="7" t="str">
        <f>IF($A9="","",[2]!B_CALC_PRICE($A9,$O$1,IF(情景分析!$D$6=1,$J9,IF(情景分析!$D$6=2,$E9,IF(情景分析!$D$6=4,IF($C9="银行间",$J9,$L9),$G9)))+R$2/100,情景分析!$D$7,"",,,,"",)*IF($H9="",1,$H9))</f>
        <v/>
      </c>
      <c r="S9" s="7" t="str">
        <f>IF($A9="","",[2]!B_CALC_PRICE($A9,$O$1,IF(情景分析!$D$6=1,$J9,IF(情景分析!$D$6=2,$E9,IF(情景分析!$D$6=4,IF($C9="银行间",$J9,$L9),$G9)))+S$2/100,情景分析!$D$7,"",,,,"",)*IF($H9="",1,$H9))</f>
        <v/>
      </c>
      <c r="T9" s="7" t="str">
        <f>IF($A9="","",[2]!B_CALC_PRICE($A9,$O$1,IF(情景分析!$D$6=1,$J9,IF(情景分析!$D$6=2,$E9,IF(情景分析!$D$6=4,IF($C9="银行间",$J9,$L9),$G9)))+T$2/100,情景分析!$D$7,"",,,,"",)*IF($H9="",1,$H9))</f>
        <v/>
      </c>
      <c r="U9" s="7" t="str">
        <f>IF($A9="","",[2]!B_CALC_PRICE($A9,$O$1,IF(情景分析!$D$6=1,$J9,IF(情景分析!$D$6=2,$E9,IF(情景分析!$D$6=4,IF($C9="银行间",$J9,$L9),$G9)))+U$2/100,情景分析!$D$7,"",,,,"",)*IF($H9="",1,$H9))</f>
        <v/>
      </c>
      <c r="V9" s="7" t="str">
        <f>IF($A9="","",[2]!B_CALC_PRICE($A9,$V$1,IF(情景分析!$D$6=1,$J9,IF(情景分析!$D$6=2,$E9,IF(情景分析!$D$6=4,IF($C9="银行间",$J9,$L9),$G9)))+V$2/100,情景分析!$D$7,"",,,,"",)*IF($H9="",1,$H9))</f>
        <v/>
      </c>
      <c r="W9" s="7" t="str">
        <f>IF($A9="","",[2]!B_CALC_PRICE($A9,$V$1,IF(情景分析!$D$6=1,$J9,IF(情景分析!$D$6=2,$E9,IF(情景分析!$D$6=4,IF($C9="银行间",$J9,$L9),$G9)))+W$2/100,情景分析!$D$7,"",,,,"",)*IF($H9="",1,$H9))</f>
        <v/>
      </c>
      <c r="X9" s="7" t="str">
        <f>IF($A9="","",[2]!B_CALC_PRICE($A9,$V$1,IF(情景分析!$D$6=1,$J9,IF(情景分析!$D$6=2,$E9,IF(情景分析!$D$6=4,IF($C9="银行间",$J9,$L9),$G9)))+X$2/100,情景分析!$D$7,"",,,,"",)*IF($H9="",1,$H9))</f>
        <v/>
      </c>
      <c r="Y9" s="7" t="str">
        <f>IF($A9="","",[2]!B_CALC_PRICE($A9,$V$1,IF(情景分析!$D$6=1,$J9,IF(情景分析!$D$6=2,$E9,IF(情景分析!$D$6=4,IF($C9="银行间",$J9,$L9),$G9)))+Y$2/100,情景分析!$D$7,"",,,,"",)*IF($H9="",1,$H9))</f>
        <v/>
      </c>
      <c r="Z9" s="7" t="str">
        <f>IF($A9="","",[2]!B_CALC_PRICE($A9,$V$1,IF(情景分析!$D$6=1,$J9,IF(情景分析!$D$6=2,$E9,IF(情景分析!$D$6=4,IF($C9="银行间",$J9,$L9),$G9)))+Z$2/100,情景分析!$D$7,"",,,,"",)*IF($H9="",1,$H9))</f>
        <v/>
      </c>
      <c r="AA9" s="7" t="str">
        <f>IF($A9="","",[2]!B_CALC_PRICE($A9,$V$1,IF(情景分析!$D$6=1,$J9,IF(情景分析!$D$6=2,$E9,IF(情景分析!$D$6=4,IF($C9="银行间",$J9,$L9),$G9)))+AA$2/100,情景分析!$D$7,"",,,,"",)*IF($H9="",1,$H9))</f>
        <v/>
      </c>
      <c r="AB9" s="7" t="str">
        <f>IF($A9="","",[2]!B_CALC_PRICE($A9,$V$1,IF(情景分析!$D$6=1,$J9,IF(情景分析!$D$6=2,$E9,IF(情景分析!$D$6=4,IF($C9="银行间",$J9,$L9),$G9)))+AB$2/100,情景分析!$D$7,"",,,,"",)*IF($H9="",1,$H9))</f>
        <v/>
      </c>
      <c r="AC9" s="7" t="str">
        <f>IF($A9="","",[2]!B_CALC_PRICE($A9,$AC$1,IF(情景分析!$D$6=1,$J9,IF(情景分析!$D$6=2,$E9,IF(情景分析!$D$6=4,IF($C9="银行间",$J9,$L9),$G9)))+AC$2/100,情景分析!$D$7,"",,,,"",)*IF($H9="",1,$H9))</f>
        <v/>
      </c>
      <c r="AD9" s="7" t="str">
        <f>IF($A9="","",[2]!B_CALC_PRICE($A9,$AC$1,IF(情景分析!$D$6=1,$J9,IF(情景分析!$D$6=2,$E9,IF(情景分析!$D$6=4,IF($C9="银行间",$J9,$L9),$G9)))+AD$2/100,情景分析!$D$7,"",,,,"",)*IF($H9="",1,$H9))</f>
        <v/>
      </c>
      <c r="AE9" s="7" t="str">
        <f>IF($A9="","",[2]!B_CALC_PRICE($A9,$AC$1,IF(情景分析!$D$6=1,$J9,IF(情景分析!$D$6=2,$E9,IF(情景分析!$D$6=4,IF($C9="银行间",$J9,$L9),$G9)))+AE$2/100,情景分析!$D$7,"",,,,"",)*IF($H9="",1,$H9))</f>
        <v/>
      </c>
      <c r="AF9" s="7" t="str">
        <f>IF($A9="","",[2]!B_CALC_PRICE($A9,$AC$1,IF(情景分析!$D$6=1,$J9,IF(情景分析!$D$6=2,$E9,IF(情景分析!$D$6=4,IF($C9="银行间",$J9,$L9),$G9)))+AF$2/100,情景分析!$D$7,"",,,,"",)*IF($H9="",1,$H9))</f>
        <v/>
      </c>
      <c r="AG9" s="7" t="str">
        <f>IF($A9="","",[2]!B_CALC_PRICE($A9,$AC$1,IF(情景分析!$D$6=1,$J9,IF(情景分析!$D$6=2,$E9,IF(情景分析!$D$6=4,IF($C9="银行间",$J9,$L9),$G9)))+AG$2/100,情景分析!$D$7,"",,,,"",)*IF($H9="",1,$H9))</f>
        <v/>
      </c>
      <c r="AH9" s="7" t="str">
        <f>IF($A9="","",[2]!B_CALC_PRICE($A9,$AC$1,IF(情景分析!$D$6=1,$J9,IF(情景分析!$D$6=2,$E9,IF(情景分析!$D$6=4,IF($C9="银行间",$J9,$L9),$G9)))+AH$2/100,情景分析!$D$7,"",,,,"",)*IF($H9="",1,$H9))</f>
        <v/>
      </c>
      <c r="AI9" s="7" t="str">
        <f>IF($A9="","",[2]!B_CALC_PRICE($A9,$AC$1,IF(情景分析!$D$6=1,$J9,IF(情景分析!$D$6=2,$E9,IF(情景分析!$D$6=4,IF($C9="银行间",$J9,$L9),$G9)))+AI$2/100,情景分析!$D$7,"",,,,"",)*IF($H9="",1,$H9))</f>
        <v/>
      </c>
      <c r="AJ9" s="7" t="str">
        <f>IF($A9="","",[2]!B_CALC_PRICE($A9,$AJ$1,IF(情景分析!$D$6=1,$J9,IF(情景分析!$D$6=2,$E9,IF(情景分析!$D$6=4,IF($C9="银行间",$J9,$L9),$G9)))+AJ$2/100,情景分析!$D$7,"",,,,"",)*IF($H9="",1,$H9))</f>
        <v/>
      </c>
      <c r="AK9" s="7" t="str">
        <f>IF($A9="","",[2]!B_CALC_PRICE($A9,$AJ$1,IF(情景分析!$D$6=1,$J9,IF(情景分析!$D$6=2,$E9,IF(情景分析!$D$6=4,IF($C9="银行间",$J9,$L9),$G9)))+AK$2/100,情景分析!$D$7,"",,,,"",)*IF($H9="",1,$H9))</f>
        <v/>
      </c>
      <c r="AL9" s="7" t="str">
        <f>IF($A9="","",[2]!B_CALC_PRICE($A9,$AJ$1,IF(情景分析!$D$6=1,$J9,IF(情景分析!$D$6=2,$E9,IF(情景分析!$D$6=4,IF($C9="银行间",$J9,$L9),$G9)))+AL$2/100,情景分析!$D$7,"",,,,"",)*IF($H9="",1,$H9))</f>
        <v/>
      </c>
      <c r="AM9" s="7" t="str">
        <f>IF($A9="","",[2]!B_CALC_PRICE($A9,$AJ$1,IF(情景分析!$D$6=1,$J9,IF(情景分析!$D$6=2,$E9,IF(情景分析!$D$6=4,IF($C9="银行间",$J9,$L9),$G9)))+AM$2/100,情景分析!$D$7,"",,,,"",)*IF($H9="",1,$H9))</f>
        <v/>
      </c>
      <c r="AN9" s="7" t="str">
        <f>IF($A9="","",[2]!B_CALC_PRICE($A9,$AJ$1,IF(情景分析!$D$6=1,$J9,IF(情景分析!$D$6=2,$E9,IF(情景分析!$D$6=4,IF($C9="银行间",$J9,$L9),$G9)))+AN$2/100,情景分析!$D$7,"",,,,"",)*IF($H9="",1,$H9))</f>
        <v/>
      </c>
      <c r="AO9" s="7" t="str">
        <f>IF($A9="","",[2]!B_CALC_PRICE($A9,$AJ$1,IF(情景分析!$D$6=1,$J9,IF(情景分析!$D$6=2,$E9,IF(情景分析!$D$6=4,IF($C9="银行间",$J9,$L9),$G9)))+AO$2/100,情景分析!$D$7,"",,,,"",)*IF($H9="",1,$H9))</f>
        <v/>
      </c>
      <c r="AP9" s="7" t="str">
        <f>IF($A9="","",[2]!B_CALC_PRICE($A9,$AJ$1,IF(情景分析!$D$6=1,$J9,IF(情景分析!$D$6=2,$E9,IF(情景分析!$D$6=4,IF($C9="银行间",$J9,$L9),$G9)))+AP$2/100,情景分析!$D$7,"",,,,"",)*IF($H9="",1,$H9))</f>
        <v/>
      </c>
      <c r="AQ9" s="7" t="str">
        <f>IF($A9="","",[2]!B_CALC_PRICE($A9,$AQ$1,IF(情景分析!$D$6=1,$J9,IF(情景分析!$D$6=2,$E9,IF(情景分析!$D$6=4,IF($C9="银行间",$J9,$L9),$G9)))+AQ$2/100,情景分析!$D$7,"",,,,"",)*IF($H9="",1,$H9))</f>
        <v/>
      </c>
      <c r="AR9" s="7" t="str">
        <f>IF($A9="","",[2]!B_CALC_PRICE($A9,$AQ$1,IF(情景分析!$D$6=1,$J9,IF(情景分析!$D$6=2,$E9,IF(情景分析!$D$6=4,IF($C9="银行间",$J9,$L9),$G9)))+AR$2/100,情景分析!$D$7,"",,,,"",)*IF($H9="",1,$H9))</f>
        <v/>
      </c>
      <c r="AS9" s="7" t="str">
        <f>IF($A9="","",[2]!B_CALC_PRICE($A9,$AQ$1,IF(情景分析!$D$6=1,$J9,IF(情景分析!$D$6=2,$E9,IF(情景分析!$D$6=4,IF($C9="银行间",$J9,$L9),$G9)))+AS$2/100,情景分析!$D$7,"",,,,"",)*IF($H9="",1,$H9))</f>
        <v/>
      </c>
      <c r="AT9" s="7" t="str">
        <f>IF($A9="","",[2]!B_CALC_PRICE($A9,$AQ$1,IF(情景分析!$D$6=1,$J9,IF(情景分析!$D$6=2,$E9,IF(情景分析!$D$6=4,IF($C9="银行间",$J9,$L9),$G9)))+AT$2/100,情景分析!$D$7,"",,,,"",)*IF($H9="",1,$H9))</f>
        <v/>
      </c>
      <c r="AU9" s="7" t="str">
        <f>IF($A9="","",[2]!B_CALC_PRICE($A9,$AQ$1,IF(情景分析!$D$6=1,$J9,IF(情景分析!$D$6=2,$E9,IF(情景分析!$D$6=4,IF($C9="银行间",$J9,$L9),$G9)))+AU$2/100,情景分析!$D$7,"",,,,"",)*IF($H9="",1,$H9))</f>
        <v/>
      </c>
      <c r="AV9" s="7" t="str">
        <f>IF($A9="","",[2]!B_CALC_PRICE($A9,$AQ$1,IF(情景分析!$D$6=1,$J9,IF(情景分析!$D$6=2,$E9,IF(情景分析!$D$6=4,IF($C9="银行间",$J9,$L9),$G9)))+AV$2/100,情景分析!$D$7,"",,,,"",)*IF($H9="",1,$H9))</f>
        <v/>
      </c>
      <c r="AW9" s="7" t="str">
        <f>IF($A9="","",[2]!B_CALC_PRICE($A9,$AQ$1,IF(情景分析!$D$6=1,$J9,IF(情景分析!$D$6=2,$E9,IF(情景分析!$D$6=4,IF($C9="银行间",$J9,$L9),$G9)))+AW$2/100,情景分析!$D$7,"",,,,"",)*IF($H9="",1,$H9))</f>
        <v/>
      </c>
    </row>
    <row r="10" spans="1:49" x14ac:dyDescent="0.15">
      <c r="A10" s="20"/>
      <c r="B10" s="7" t="str">
        <f>IF(A10="","",[2]!b_info_name(A10))</f>
        <v/>
      </c>
      <c r="C10" s="7" t="str">
        <f>[2]!b_info_listedmkt(A10)</f>
        <v>#N/A</v>
      </c>
      <c r="D10" s="7" t="str">
        <f>IFERROR(IF(A10="","", [2]!b_dq_avgprice(A10, 情景分析!$D$5, 情景分析!$D$7) * IF($H10="",1,$H10)),0)</f>
        <v/>
      </c>
      <c r="E10" s="7" t="str">
        <f>IF(A10="","", N([2]!b_dq_avgprice(A10,情景分析!$D$5,3)))</f>
        <v/>
      </c>
      <c r="F10" s="29" t="str">
        <f>IF($G10 = "",
"",
IFERROR(
[2]!b_calc_pv(A10, 情景分析!$D$5,$G10, "1", 情景分析!$D$7),
[2]!b_calc_pv(A10, 情景分析!$D$5,$G10, "2", 情景分析!$D$7)
)
)</f>
        <v/>
      </c>
      <c r="G10" s="22"/>
      <c r="H10" s="21"/>
      <c r="I10" s="7" t="str">
        <f>IF(A10="","",IF(情景分析!$D$7=1,[2]!b_anal_net_cnbd(A10,情景分析!$D$5,1),[2]!b_anal_dirty_cnbd(A10,情景分析!$D$5,1))*IF($H10="",1,$H10))</f>
        <v/>
      </c>
      <c r="J10" s="7" t="str">
        <f>IF(A10="","",[2]!b_anal_yield_cnbd(A10,情景分析!$D$5,1))</f>
        <v/>
      </c>
      <c r="K10" s="29" t="str">
        <f>IF(A10="","",IF(情景分析!$D$7=1,[2]!b_anal_net_csi1(A10,情景分析!$D$5,1),[2]!b_anal_dirty_csi1(A10,情景分析!$D$5,1))*IF($H10="",1,$H10))</f>
        <v/>
      </c>
      <c r="L10" s="29" t="str">
        <f>IF(A10="","",[2]!b_anal_yield_csi1(A10,情景分析!$D$5,1))</f>
        <v/>
      </c>
      <c r="M10" s="29" t="str">
        <f t="shared" si="4"/>
        <v/>
      </c>
      <c r="N10" s="29" t="str">
        <f t="shared" si="5"/>
        <v/>
      </c>
      <c r="O10" s="7" t="str">
        <f>IF($A10="","",[2]!B_CALC_PRICE($A10,$O$1,IF(情景分析!$D$6=1,$J10,IF(情景分析!$D$6=2,$E10,IF(情景分析!$D$6=4,IF($C10="银行间",$J10,$L10),$G10)))+O$2/100,情景分析!$D$7,"",,,,"",)*IF($H10="",1,$H10))</f>
        <v/>
      </c>
      <c r="P10" s="7" t="str">
        <f>IF($A10="","",[2]!B_CALC_PRICE($A10,$O$1,IF(情景分析!$D$6=1,$J10,IF(情景分析!$D$6=2,$E10,IF(情景分析!$D$6=4,IF($C10="银行间",$J10,$L10),$G10)))+P$2/100,情景分析!$D$7,"",,,,"",)*IF($H10="",1,$H10))</f>
        <v/>
      </c>
      <c r="Q10" s="7" t="str">
        <f>IF($A10="","",[2]!B_CALC_PRICE($A10,$O$1,IF(情景分析!$D$6=1,$J10,IF(情景分析!$D$6=2,$E10,IF(情景分析!$D$6=4,IF($C10="银行间",$J10,$L10),$G10)))+Q$2/100,情景分析!$D$7,"",,,,"",)*IF($H10="",1,$H10))</f>
        <v/>
      </c>
      <c r="R10" s="7" t="str">
        <f>IF($A10="","",[2]!B_CALC_PRICE($A10,$O$1,IF(情景分析!$D$6=1,$J10,IF(情景分析!$D$6=2,$E10,IF(情景分析!$D$6=4,IF($C10="银行间",$J10,$L10),$G10)))+R$2/100,情景分析!$D$7,"",,,,"",)*IF($H10="",1,$H10))</f>
        <v/>
      </c>
      <c r="S10" s="7" t="str">
        <f>IF($A10="","",[2]!B_CALC_PRICE($A10,$O$1,IF(情景分析!$D$6=1,$J10,IF(情景分析!$D$6=2,$E10,IF(情景分析!$D$6=4,IF($C10="银行间",$J10,$L10),$G10)))+S$2/100,情景分析!$D$7,"",,,,"",)*IF($H10="",1,$H10))</f>
        <v/>
      </c>
      <c r="T10" s="7" t="str">
        <f>IF($A10="","",[2]!B_CALC_PRICE($A10,$O$1,IF(情景分析!$D$6=1,$J10,IF(情景分析!$D$6=2,$E10,IF(情景分析!$D$6=4,IF($C10="银行间",$J10,$L10),$G10)))+T$2/100,情景分析!$D$7,"",,,,"",)*IF($H10="",1,$H10))</f>
        <v/>
      </c>
      <c r="U10" s="7" t="str">
        <f>IF($A10="","",[2]!B_CALC_PRICE($A10,$O$1,IF(情景分析!$D$6=1,$J10,IF(情景分析!$D$6=2,$E10,IF(情景分析!$D$6=4,IF($C10="银行间",$J10,$L10),$G10)))+U$2/100,情景分析!$D$7,"",,,,"",)*IF($H10="",1,$H10))</f>
        <v/>
      </c>
      <c r="V10" s="7" t="str">
        <f>IF($A10="","",[2]!B_CALC_PRICE($A10,$V$1,IF(情景分析!$D$6=1,$J10,IF(情景分析!$D$6=2,$E10,IF(情景分析!$D$6=4,IF($C10="银行间",$J10,$L10),$G10)))+V$2/100,情景分析!$D$7,"",,,,"",)*IF($H10="",1,$H10))</f>
        <v/>
      </c>
      <c r="W10" s="7" t="str">
        <f>IF($A10="","",[2]!B_CALC_PRICE($A10,$V$1,IF(情景分析!$D$6=1,$J10,IF(情景分析!$D$6=2,$E10,IF(情景分析!$D$6=4,IF($C10="银行间",$J10,$L10),$G10)))+W$2/100,情景分析!$D$7,"",,,,"",)*IF($H10="",1,$H10))</f>
        <v/>
      </c>
      <c r="X10" s="7" t="str">
        <f>IF($A10="","",[2]!B_CALC_PRICE($A10,$V$1,IF(情景分析!$D$6=1,$J10,IF(情景分析!$D$6=2,$E10,IF(情景分析!$D$6=4,IF($C10="银行间",$J10,$L10),$G10)))+X$2/100,情景分析!$D$7,"",,,,"",)*IF($H10="",1,$H10))</f>
        <v/>
      </c>
      <c r="Y10" s="7" t="str">
        <f>IF($A10="","",[2]!B_CALC_PRICE($A10,$V$1,IF(情景分析!$D$6=1,$J10,IF(情景分析!$D$6=2,$E10,IF(情景分析!$D$6=4,IF($C10="银行间",$J10,$L10),$G10)))+Y$2/100,情景分析!$D$7,"",,,,"",)*IF($H10="",1,$H10))</f>
        <v/>
      </c>
      <c r="Z10" s="7" t="str">
        <f>IF($A10="","",[2]!B_CALC_PRICE($A10,$V$1,IF(情景分析!$D$6=1,$J10,IF(情景分析!$D$6=2,$E10,IF(情景分析!$D$6=4,IF($C10="银行间",$J10,$L10),$G10)))+Z$2/100,情景分析!$D$7,"",,,,"",)*IF($H10="",1,$H10))</f>
        <v/>
      </c>
      <c r="AA10" s="7" t="str">
        <f>IF($A10="","",[2]!B_CALC_PRICE($A10,$V$1,IF(情景分析!$D$6=1,$J10,IF(情景分析!$D$6=2,$E10,IF(情景分析!$D$6=4,IF($C10="银行间",$J10,$L10),$G10)))+AA$2/100,情景分析!$D$7,"",,,,"",)*IF($H10="",1,$H10))</f>
        <v/>
      </c>
      <c r="AB10" s="7" t="str">
        <f>IF($A10="","",[2]!B_CALC_PRICE($A10,$V$1,IF(情景分析!$D$6=1,$J10,IF(情景分析!$D$6=2,$E10,IF(情景分析!$D$6=4,IF($C10="银行间",$J10,$L10),$G10)))+AB$2/100,情景分析!$D$7,"",,,,"",)*IF($H10="",1,$H10))</f>
        <v/>
      </c>
      <c r="AC10" s="7" t="str">
        <f>IF($A10="","",[2]!B_CALC_PRICE($A10,$AC$1,IF(情景分析!$D$6=1,$J10,IF(情景分析!$D$6=2,$E10,IF(情景分析!$D$6=4,IF($C10="银行间",$J10,$L10),$G10)))+AC$2/100,情景分析!$D$7,"",,,,"",)*IF($H10="",1,$H10))</f>
        <v/>
      </c>
      <c r="AD10" s="7" t="str">
        <f>IF($A10="","",[2]!B_CALC_PRICE($A10,$AC$1,IF(情景分析!$D$6=1,$J10,IF(情景分析!$D$6=2,$E10,IF(情景分析!$D$6=4,IF($C10="银行间",$J10,$L10),$G10)))+AD$2/100,情景分析!$D$7,"",,,,"",)*IF($H10="",1,$H10))</f>
        <v/>
      </c>
      <c r="AE10" s="7" t="str">
        <f>IF($A10="","",[2]!B_CALC_PRICE($A10,$AC$1,IF(情景分析!$D$6=1,$J10,IF(情景分析!$D$6=2,$E10,IF(情景分析!$D$6=4,IF($C10="银行间",$J10,$L10),$G10)))+AE$2/100,情景分析!$D$7,"",,,,"",)*IF($H10="",1,$H10))</f>
        <v/>
      </c>
      <c r="AF10" s="7" t="str">
        <f>IF($A10="","",[2]!B_CALC_PRICE($A10,$AC$1,IF(情景分析!$D$6=1,$J10,IF(情景分析!$D$6=2,$E10,IF(情景分析!$D$6=4,IF($C10="银行间",$J10,$L10),$G10)))+AF$2/100,情景分析!$D$7,"",,,,"",)*IF($H10="",1,$H10))</f>
        <v/>
      </c>
      <c r="AG10" s="7" t="str">
        <f>IF($A10="","",[2]!B_CALC_PRICE($A10,$AC$1,IF(情景分析!$D$6=1,$J10,IF(情景分析!$D$6=2,$E10,IF(情景分析!$D$6=4,IF($C10="银行间",$J10,$L10),$G10)))+AG$2/100,情景分析!$D$7,"",,,,"",)*IF($H10="",1,$H10))</f>
        <v/>
      </c>
      <c r="AH10" s="7" t="str">
        <f>IF($A10="","",[2]!B_CALC_PRICE($A10,$AC$1,IF(情景分析!$D$6=1,$J10,IF(情景分析!$D$6=2,$E10,IF(情景分析!$D$6=4,IF($C10="银行间",$J10,$L10),$G10)))+AH$2/100,情景分析!$D$7,"",,,,"",)*IF($H10="",1,$H10))</f>
        <v/>
      </c>
      <c r="AI10" s="7" t="str">
        <f>IF($A10="","",[2]!B_CALC_PRICE($A10,$AC$1,IF(情景分析!$D$6=1,$J10,IF(情景分析!$D$6=2,$E10,IF(情景分析!$D$6=4,IF($C10="银行间",$J10,$L10),$G10)))+AI$2/100,情景分析!$D$7,"",,,,"",)*IF($H10="",1,$H10))</f>
        <v/>
      </c>
      <c r="AJ10" s="7" t="str">
        <f>IF($A10="","",[2]!B_CALC_PRICE($A10,$AJ$1,IF(情景分析!$D$6=1,$J10,IF(情景分析!$D$6=2,$E10,IF(情景分析!$D$6=4,IF($C10="银行间",$J10,$L10),$G10)))+AJ$2/100,情景分析!$D$7,"",,,,"",)*IF($H10="",1,$H10))</f>
        <v/>
      </c>
      <c r="AK10" s="7" t="str">
        <f>IF($A10="","",[2]!B_CALC_PRICE($A10,$AJ$1,IF(情景分析!$D$6=1,$J10,IF(情景分析!$D$6=2,$E10,IF(情景分析!$D$6=4,IF($C10="银行间",$J10,$L10),$G10)))+AK$2/100,情景分析!$D$7,"",,,,"",)*IF($H10="",1,$H10))</f>
        <v/>
      </c>
      <c r="AL10" s="7" t="str">
        <f>IF($A10="","",[2]!B_CALC_PRICE($A10,$AJ$1,IF(情景分析!$D$6=1,$J10,IF(情景分析!$D$6=2,$E10,IF(情景分析!$D$6=4,IF($C10="银行间",$J10,$L10),$G10)))+AL$2/100,情景分析!$D$7,"",,,,"",)*IF($H10="",1,$H10))</f>
        <v/>
      </c>
      <c r="AM10" s="7" t="str">
        <f>IF($A10="","",[2]!B_CALC_PRICE($A10,$AJ$1,IF(情景分析!$D$6=1,$J10,IF(情景分析!$D$6=2,$E10,IF(情景分析!$D$6=4,IF($C10="银行间",$J10,$L10),$G10)))+AM$2/100,情景分析!$D$7,"",,,,"",)*IF($H10="",1,$H10))</f>
        <v/>
      </c>
      <c r="AN10" s="7" t="str">
        <f>IF($A10="","",[2]!B_CALC_PRICE($A10,$AJ$1,IF(情景分析!$D$6=1,$J10,IF(情景分析!$D$6=2,$E10,IF(情景分析!$D$6=4,IF($C10="银行间",$J10,$L10),$G10)))+AN$2/100,情景分析!$D$7,"",,,,"",)*IF($H10="",1,$H10))</f>
        <v/>
      </c>
      <c r="AO10" s="7" t="str">
        <f>IF($A10="","",[2]!B_CALC_PRICE($A10,$AJ$1,IF(情景分析!$D$6=1,$J10,IF(情景分析!$D$6=2,$E10,IF(情景分析!$D$6=4,IF($C10="银行间",$J10,$L10),$G10)))+AO$2/100,情景分析!$D$7,"",,,,"",)*IF($H10="",1,$H10))</f>
        <v/>
      </c>
      <c r="AP10" s="7" t="str">
        <f>IF($A10="","",[2]!B_CALC_PRICE($A10,$AJ$1,IF(情景分析!$D$6=1,$J10,IF(情景分析!$D$6=2,$E10,IF(情景分析!$D$6=4,IF($C10="银行间",$J10,$L10),$G10)))+AP$2/100,情景分析!$D$7,"",,,,"",)*IF($H10="",1,$H10))</f>
        <v/>
      </c>
      <c r="AQ10" s="7" t="str">
        <f>IF($A10="","",[2]!B_CALC_PRICE($A10,$AQ$1,IF(情景分析!$D$6=1,$J10,IF(情景分析!$D$6=2,$E10,IF(情景分析!$D$6=4,IF($C10="银行间",$J10,$L10),$G10)))+AQ$2/100,情景分析!$D$7,"",,,,"",)*IF($H10="",1,$H10))</f>
        <v/>
      </c>
      <c r="AR10" s="7" t="str">
        <f>IF($A10="","",[2]!B_CALC_PRICE($A10,$AQ$1,IF(情景分析!$D$6=1,$J10,IF(情景分析!$D$6=2,$E10,IF(情景分析!$D$6=4,IF($C10="银行间",$J10,$L10),$G10)))+AR$2/100,情景分析!$D$7,"",,,,"",)*IF($H10="",1,$H10))</f>
        <v/>
      </c>
      <c r="AS10" s="7" t="str">
        <f>IF($A10="","",[2]!B_CALC_PRICE($A10,$AQ$1,IF(情景分析!$D$6=1,$J10,IF(情景分析!$D$6=2,$E10,IF(情景分析!$D$6=4,IF($C10="银行间",$J10,$L10),$G10)))+AS$2/100,情景分析!$D$7,"",,,,"",)*IF($H10="",1,$H10))</f>
        <v/>
      </c>
      <c r="AT10" s="7" t="str">
        <f>IF($A10="","",[2]!B_CALC_PRICE($A10,$AQ$1,IF(情景分析!$D$6=1,$J10,IF(情景分析!$D$6=2,$E10,IF(情景分析!$D$6=4,IF($C10="银行间",$J10,$L10),$G10)))+AT$2/100,情景分析!$D$7,"",,,,"",)*IF($H10="",1,$H10))</f>
        <v/>
      </c>
      <c r="AU10" s="7" t="str">
        <f>IF($A10="","",[2]!B_CALC_PRICE($A10,$AQ$1,IF(情景分析!$D$6=1,$J10,IF(情景分析!$D$6=2,$E10,IF(情景分析!$D$6=4,IF($C10="银行间",$J10,$L10),$G10)))+AU$2/100,情景分析!$D$7,"",,,,"",)*IF($H10="",1,$H10))</f>
        <v/>
      </c>
      <c r="AV10" s="7" t="str">
        <f>IF($A10="","",[2]!B_CALC_PRICE($A10,$AQ$1,IF(情景分析!$D$6=1,$J10,IF(情景分析!$D$6=2,$E10,IF(情景分析!$D$6=4,IF($C10="银行间",$J10,$L10),$G10)))+AV$2/100,情景分析!$D$7,"",,,,"",)*IF($H10="",1,$H10))</f>
        <v/>
      </c>
      <c r="AW10" s="7" t="str">
        <f>IF($A10="","",[2]!B_CALC_PRICE($A10,$AQ$1,IF(情景分析!$D$6=1,$J10,IF(情景分析!$D$6=2,$E10,IF(情景分析!$D$6=4,IF($C10="银行间",$J10,$L10),$G10)))+AW$2/100,情景分析!$D$7,"",,,,"",)*IF($H10="",1,$H10))</f>
        <v/>
      </c>
    </row>
    <row r="11" spans="1:49" x14ac:dyDescent="0.15">
      <c r="A11" s="20"/>
      <c r="B11" s="7" t="str">
        <f>IF(A11="","",[2]!b_info_name(A11))</f>
        <v/>
      </c>
      <c r="C11" s="7" t="str">
        <f>[2]!b_info_listedmkt(A11)</f>
        <v>#N/A</v>
      </c>
      <c r="D11" s="7" t="str">
        <f>IFERROR(IF(A11="","", [2]!b_dq_avgprice(A11, 情景分析!$D$5, 情景分析!$D$7) * IF($H11="",1,$H11)),0)</f>
        <v/>
      </c>
      <c r="E11" s="7" t="str">
        <f>IF(A11="","", N([2]!b_dq_avgprice(A11,情景分析!$D$5,3)))</f>
        <v/>
      </c>
      <c r="F11" s="29" t="str">
        <f>IF($G11 = "",
"",
IFERROR(
[2]!b_calc_pv(A11, 情景分析!$D$5,$G11, "1", 情景分析!$D$7),
[2]!b_calc_pv(A11, 情景分析!$D$5,$G11, "2", 情景分析!$D$7)
)
)</f>
        <v/>
      </c>
      <c r="G11" s="22"/>
      <c r="H11" s="21"/>
      <c r="I11" s="7" t="str">
        <f>IF(A11="","",IF(情景分析!$D$7=1,[2]!b_anal_net_cnbd(A11,情景分析!$D$5,1),[2]!b_anal_dirty_cnbd(A11,情景分析!$D$5,1))*IF($H11="",1,$H11))</f>
        <v/>
      </c>
      <c r="J11" s="7" t="str">
        <f>IF(A11="","",[2]!b_anal_yield_cnbd(A11,情景分析!$D$5,1))</f>
        <v/>
      </c>
      <c r="K11" s="29" t="str">
        <f>IF(A11="","",IF(情景分析!$D$7=1,[2]!b_anal_net_csi1(A11,情景分析!$D$5,1),[2]!b_anal_dirty_csi1(A11,情景分析!$D$5,1))*IF($H11="",1,$H11))</f>
        <v/>
      </c>
      <c r="L11" s="29" t="str">
        <f>IF(A11="","",[2]!b_anal_yield_csi1(A11,情景分析!$D$5,1))</f>
        <v/>
      </c>
      <c r="M11" s="29" t="str">
        <f t="shared" si="4"/>
        <v/>
      </c>
      <c r="N11" s="29" t="str">
        <f t="shared" si="5"/>
        <v/>
      </c>
      <c r="O11" s="7" t="str">
        <f>IF($A11="","",[2]!B_CALC_PRICE($A11,$O$1,IF(情景分析!$D$6=1,$J11,IF(情景分析!$D$6=2,$E11,IF(情景分析!$D$6=4,IF($C11="银行间",$J11,$L11),$G11)))+O$2/100,情景分析!$D$7,"",,,,"",)*IF($H11="",1,$H11))</f>
        <v/>
      </c>
      <c r="P11" s="7" t="str">
        <f>IF($A11="","",[2]!B_CALC_PRICE($A11,$O$1,IF(情景分析!$D$6=1,$J11,IF(情景分析!$D$6=2,$E11,IF(情景分析!$D$6=4,IF($C11="银行间",$J11,$L11),$G11)))+P$2/100,情景分析!$D$7,"",,,,"",)*IF($H11="",1,$H11))</f>
        <v/>
      </c>
      <c r="Q11" s="7" t="str">
        <f>IF($A11="","",[2]!B_CALC_PRICE($A11,$O$1,IF(情景分析!$D$6=1,$J11,IF(情景分析!$D$6=2,$E11,IF(情景分析!$D$6=4,IF($C11="银行间",$J11,$L11),$G11)))+Q$2/100,情景分析!$D$7,"",,,,"",)*IF($H11="",1,$H11))</f>
        <v/>
      </c>
      <c r="R11" s="7" t="str">
        <f>IF($A11="","",[2]!B_CALC_PRICE($A11,$O$1,IF(情景分析!$D$6=1,$J11,IF(情景分析!$D$6=2,$E11,IF(情景分析!$D$6=4,IF($C11="银行间",$J11,$L11),$G11)))+R$2/100,情景分析!$D$7,"",,,,"",)*IF($H11="",1,$H11))</f>
        <v/>
      </c>
      <c r="S11" s="7" t="str">
        <f>IF($A11="","",[2]!B_CALC_PRICE($A11,$O$1,IF(情景分析!$D$6=1,$J11,IF(情景分析!$D$6=2,$E11,IF(情景分析!$D$6=4,IF($C11="银行间",$J11,$L11),$G11)))+S$2/100,情景分析!$D$7,"",,,,"",)*IF($H11="",1,$H11))</f>
        <v/>
      </c>
      <c r="T11" s="7" t="str">
        <f>IF($A11="","",[2]!B_CALC_PRICE($A11,$O$1,IF(情景分析!$D$6=1,$J11,IF(情景分析!$D$6=2,$E11,IF(情景分析!$D$6=4,IF($C11="银行间",$J11,$L11),$G11)))+T$2/100,情景分析!$D$7,"",,,,"",)*IF($H11="",1,$H11))</f>
        <v/>
      </c>
      <c r="U11" s="7" t="str">
        <f>IF($A11="","",[2]!B_CALC_PRICE($A11,$O$1,IF(情景分析!$D$6=1,$J11,IF(情景分析!$D$6=2,$E11,IF(情景分析!$D$6=4,IF($C11="银行间",$J11,$L11),$G11)))+U$2/100,情景分析!$D$7,"",,,,"",)*IF($H11="",1,$H11))</f>
        <v/>
      </c>
      <c r="V11" s="7" t="str">
        <f>IF($A11="","",[2]!B_CALC_PRICE($A11,$V$1,IF(情景分析!$D$6=1,$J11,IF(情景分析!$D$6=2,$E11,IF(情景分析!$D$6=4,IF($C11="银行间",$J11,$L11),$G11)))+V$2/100,情景分析!$D$7,"",,,,"",)*IF($H11="",1,$H11))</f>
        <v/>
      </c>
      <c r="W11" s="7" t="str">
        <f>IF($A11="","",[2]!B_CALC_PRICE($A11,$V$1,IF(情景分析!$D$6=1,$J11,IF(情景分析!$D$6=2,$E11,IF(情景分析!$D$6=4,IF($C11="银行间",$J11,$L11),$G11)))+W$2/100,情景分析!$D$7,"",,,,"",)*IF($H11="",1,$H11))</f>
        <v/>
      </c>
      <c r="X11" s="7" t="str">
        <f>IF($A11="","",[2]!B_CALC_PRICE($A11,$V$1,IF(情景分析!$D$6=1,$J11,IF(情景分析!$D$6=2,$E11,IF(情景分析!$D$6=4,IF($C11="银行间",$J11,$L11),$G11)))+X$2/100,情景分析!$D$7,"",,,,"",)*IF($H11="",1,$H11))</f>
        <v/>
      </c>
      <c r="Y11" s="7" t="str">
        <f>IF($A11="","",[2]!B_CALC_PRICE($A11,$V$1,IF(情景分析!$D$6=1,$J11,IF(情景分析!$D$6=2,$E11,IF(情景分析!$D$6=4,IF($C11="银行间",$J11,$L11),$G11)))+Y$2/100,情景分析!$D$7,"",,,,"",)*IF($H11="",1,$H11))</f>
        <v/>
      </c>
      <c r="Z11" s="7" t="str">
        <f>IF($A11="","",[2]!B_CALC_PRICE($A11,$V$1,IF(情景分析!$D$6=1,$J11,IF(情景分析!$D$6=2,$E11,IF(情景分析!$D$6=4,IF($C11="银行间",$J11,$L11),$G11)))+Z$2/100,情景分析!$D$7,"",,,,"",)*IF($H11="",1,$H11))</f>
        <v/>
      </c>
      <c r="AA11" s="7" t="str">
        <f>IF($A11="","",[2]!B_CALC_PRICE($A11,$V$1,IF(情景分析!$D$6=1,$J11,IF(情景分析!$D$6=2,$E11,IF(情景分析!$D$6=4,IF($C11="银行间",$J11,$L11),$G11)))+AA$2/100,情景分析!$D$7,"",,,,"",)*IF($H11="",1,$H11))</f>
        <v/>
      </c>
      <c r="AB11" s="7" t="str">
        <f>IF($A11="","",[2]!B_CALC_PRICE($A11,$V$1,IF(情景分析!$D$6=1,$J11,IF(情景分析!$D$6=2,$E11,IF(情景分析!$D$6=4,IF($C11="银行间",$J11,$L11),$G11)))+AB$2/100,情景分析!$D$7,"",,,,"",)*IF($H11="",1,$H11))</f>
        <v/>
      </c>
      <c r="AC11" s="7" t="str">
        <f>IF($A11="","",[2]!B_CALC_PRICE($A11,$AC$1,IF(情景分析!$D$6=1,$J11,IF(情景分析!$D$6=2,$E11,IF(情景分析!$D$6=4,IF($C11="银行间",$J11,$L11),$G11)))+AC$2/100,情景分析!$D$7,"",,,,"",)*IF($H11="",1,$H11))</f>
        <v/>
      </c>
      <c r="AD11" s="7" t="str">
        <f>IF($A11="","",[2]!B_CALC_PRICE($A11,$AC$1,IF(情景分析!$D$6=1,$J11,IF(情景分析!$D$6=2,$E11,IF(情景分析!$D$6=4,IF($C11="银行间",$J11,$L11),$G11)))+AD$2/100,情景分析!$D$7,"",,,,"",)*IF($H11="",1,$H11))</f>
        <v/>
      </c>
      <c r="AE11" s="7" t="str">
        <f>IF($A11="","",[2]!B_CALC_PRICE($A11,$AC$1,IF(情景分析!$D$6=1,$J11,IF(情景分析!$D$6=2,$E11,IF(情景分析!$D$6=4,IF($C11="银行间",$J11,$L11),$G11)))+AE$2/100,情景分析!$D$7,"",,,,"",)*IF($H11="",1,$H11))</f>
        <v/>
      </c>
      <c r="AF11" s="7" t="str">
        <f>IF($A11="","",[2]!B_CALC_PRICE($A11,$AC$1,IF(情景分析!$D$6=1,$J11,IF(情景分析!$D$6=2,$E11,IF(情景分析!$D$6=4,IF($C11="银行间",$J11,$L11),$G11)))+AF$2/100,情景分析!$D$7,"",,,,"",)*IF($H11="",1,$H11))</f>
        <v/>
      </c>
      <c r="AG11" s="7" t="str">
        <f>IF($A11="","",[2]!B_CALC_PRICE($A11,$AC$1,IF(情景分析!$D$6=1,$J11,IF(情景分析!$D$6=2,$E11,IF(情景分析!$D$6=4,IF($C11="银行间",$J11,$L11),$G11)))+AG$2/100,情景分析!$D$7,"",,,,"",)*IF($H11="",1,$H11))</f>
        <v/>
      </c>
      <c r="AH11" s="7" t="str">
        <f>IF($A11="","",[2]!B_CALC_PRICE($A11,$AC$1,IF(情景分析!$D$6=1,$J11,IF(情景分析!$D$6=2,$E11,IF(情景分析!$D$6=4,IF($C11="银行间",$J11,$L11),$G11)))+AH$2/100,情景分析!$D$7,"",,,,"",)*IF($H11="",1,$H11))</f>
        <v/>
      </c>
      <c r="AI11" s="7" t="str">
        <f>IF($A11="","",[2]!B_CALC_PRICE($A11,$AC$1,IF(情景分析!$D$6=1,$J11,IF(情景分析!$D$6=2,$E11,IF(情景分析!$D$6=4,IF($C11="银行间",$J11,$L11),$G11)))+AI$2/100,情景分析!$D$7,"",,,,"",)*IF($H11="",1,$H11))</f>
        <v/>
      </c>
      <c r="AJ11" s="7" t="str">
        <f>IF($A11="","",[2]!B_CALC_PRICE($A11,$AJ$1,IF(情景分析!$D$6=1,$J11,IF(情景分析!$D$6=2,$E11,IF(情景分析!$D$6=4,IF($C11="银行间",$J11,$L11),$G11)))+AJ$2/100,情景分析!$D$7,"",,,,"",)*IF($H11="",1,$H11))</f>
        <v/>
      </c>
      <c r="AK11" s="7" t="str">
        <f>IF($A11="","",[2]!B_CALC_PRICE($A11,$AJ$1,IF(情景分析!$D$6=1,$J11,IF(情景分析!$D$6=2,$E11,IF(情景分析!$D$6=4,IF($C11="银行间",$J11,$L11),$G11)))+AK$2/100,情景分析!$D$7,"",,,,"",)*IF($H11="",1,$H11))</f>
        <v/>
      </c>
      <c r="AL11" s="7" t="str">
        <f>IF($A11="","",[2]!B_CALC_PRICE($A11,$AJ$1,IF(情景分析!$D$6=1,$J11,IF(情景分析!$D$6=2,$E11,IF(情景分析!$D$6=4,IF($C11="银行间",$J11,$L11),$G11)))+AL$2/100,情景分析!$D$7,"",,,,"",)*IF($H11="",1,$H11))</f>
        <v/>
      </c>
      <c r="AM11" s="7" t="str">
        <f>IF($A11="","",[2]!B_CALC_PRICE($A11,$AJ$1,IF(情景分析!$D$6=1,$J11,IF(情景分析!$D$6=2,$E11,IF(情景分析!$D$6=4,IF($C11="银行间",$J11,$L11),$G11)))+AM$2/100,情景分析!$D$7,"",,,,"",)*IF($H11="",1,$H11))</f>
        <v/>
      </c>
      <c r="AN11" s="7" t="str">
        <f>IF($A11="","",[2]!B_CALC_PRICE($A11,$AJ$1,IF(情景分析!$D$6=1,$J11,IF(情景分析!$D$6=2,$E11,IF(情景分析!$D$6=4,IF($C11="银行间",$J11,$L11),$G11)))+AN$2/100,情景分析!$D$7,"",,,,"",)*IF($H11="",1,$H11))</f>
        <v/>
      </c>
      <c r="AO11" s="7" t="str">
        <f>IF($A11="","",[2]!B_CALC_PRICE($A11,$AJ$1,IF(情景分析!$D$6=1,$J11,IF(情景分析!$D$6=2,$E11,IF(情景分析!$D$6=4,IF($C11="银行间",$J11,$L11),$G11)))+AO$2/100,情景分析!$D$7,"",,,,"",)*IF($H11="",1,$H11))</f>
        <v/>
      </c>
      <c r="AP11" s="7" t="str">
        <f>IF($A11="","",[2]!B_CALC_PRICE($A11,$AJ$1,IF(情景分析!$D$6=1,$J11,IF(情景分析!$D$6=2,$E11,IF(情景分析!$D$6=4,IF($C11="银行间",$J11,$L11),$G11)))+AP$2/100,情景分析!$D$7,"",,,,"",)*IF($H11="",1,$H11))</f>
        <v/>
      </c>
      <c r="AQ11" s="7" t="str">
        <f>IF($A11="","",[2]!B_CALC_PRICE($A11,$AQ$1,IF(情景分析!$D$6=1,$J11,IF(情景分析!$D$6=2,$E11,IF(情景分析!$D$6=4,IF($C11="银行间",$J11,$L11),$G11)))+AQ$2/100,情景分析!$D$7,"",,,,"",)*IF($H11="",1,$H11))</f>
        <v/>
      </c>
      <c r="AR11" s="7" t="str">
        <f>IF($A11="","",[2]!B_CALC_PRICE($A11,$AQ$1,IF(情景分析!$D$6=1,$J11,IF(情景分析!$D$6=2,$E11,IF(情景分析!$D$6=4,IF($C11="银行间",$J11,$L11),$G11)))+AR$2/100,情景分析!$D$7,"",,,,"",)*IF($H11="",1,$H11))</f>
        <v/>
      </c>
      <c r="AS11" s="7" t="str">
        <f>IF($A11="","",[2]!B_CALC_PRICE($A11,$AQ$1,IF(情景分析!$D$6=1,$J11,IF(情景分析!$D$6=2,$E11,IF(情景分析!$D$6=4,IF($C11="银行间",$J11,$L11),$G11)))+AS$2/100,情景分析!$D$7,"",,,,"",)*IF($H11="",1,$H11))</f>
        <v/>
      </c>
      <c r="AT11" s="7" t="str">
        <f>IF($A11="","",[2]!B_CALC_PRICE($A11,$AQ$1,IF(情景分析!$D$6=1,$J11,IF(情景分析!$D$6=2,$E11,IF(情景分析!$D$6=4,IF($C11="银行间",$J11,$L11),$G11)))+AT$2/100,情景分析!$D$7,"",,,,"",)*IF($H11="",1,$H11))</f>
        <v/>
      </c>
      <c r="AU11" s="7" t="str">
        <f>IF($A11="","",[2]!B_CALC_PRICE($A11,$AQ$1,IF(情景分析!$D$6=1,$J11,IF(情景分析!$D$6=2,$E11,IF(情景分析!$D$6=4,IF($C11="银行间",$J11,$L11),$G11)))+AU$2/100,情景分析!$D$7,"",,,,"",)*IF($H11="",1,$H11))</f>
        <v/>
      </c>
      <c r="AV11" s="7" t="str">
        <f>IF($A11="","",[2]!B_CALC_PRICE($A11,$AQ$1,IF(情景分析!$D$6=1,$J11,IF(情景分析!$D$6=2,$E11,IF(情景分析!$D$6=4,IF($C11="银行间",$J11,$L11),$G11)))+AV$2/100,情景分析!$D$7,"",,,,"",)*IF($H11="",1,$H11))</f>
        <v/>
      </c>
      <c r="AW11" s="7" t="str">
        <f>IF($A11="","",[2]!B_CALC_PRICE($A11,$AQ$1,IF(情景分析!$D$6=1,$J11,IF(情景分析!$D$6=2,$E11,IF(情景分析!$D$6=4,IF($C11="银行间",$J11,$L11),$G11)))+AW$2/100,情景分析!$D$7,"",,,,"",)*IF($H11="",1,$H11))</f>
        <v/>
      </c>
    </row>
    <row r="12" spans="1:49" x14ac:dyDescent="0.15">
      <c r="A12" s="20"/>
      <c r="B12" s="7" t="str">
        <f>IF(A12="","",[2]!b_info_name(A12))</f>
        <v/>
      </c>
      <c r="C12" s="7" t="str">
        <f>[2]!b_info_listedmkt(A12)</f>
        <v>#N/A</v>
      </c>
      <c r="D12" s="7" t="str">
        <f>IFERROR(IF(A12="","", [2]!b_dq_avgprice(A12, 情景分析!$D$5, 情景分析!$D$7) * IF($H12="",1,$H12)),0)</f>
        <v/>
      </c>
      <c r="E12" s="7" t="str">
        <f>IF(A12="","", N([2]!b_dq_avgprice(A12,情景分析!$D$5,3)))</f>
        <v/>
      </c>
      <c r="F12" s="29" t="str">
        <f>IF($G12 = "",
"",
IFERROR(
[2]!b_calc_pv(A12, 情景分析!$D$5,$G12, "1", 情景分析!$D$7),
[2]!b_calc_pv(A12, 情景分析!$D$5,$G12, "2", 情景分析!$D$7)
)
)</f>
        <v/>
      </c>
      <c r="G12" s="22"/>
      <c r="H12" s="21"/>
      <c r="I12" s="7" t="str">
        <f>IF(A12="","",IF(情景分析!$D$7=1,[2]!b_anal_net_cnbd(A12,情景分析!$D$5,1),[2]!b_anal_dirty_cnbd(A12,情景分析!$D$5,1))*IF($H12="",1,$H12))</f>
        <v/>
      </c>
      <c r="J12" s="7" t="str">
        <f>IF(A12="","",[2]!b_anal_yield_cnbd(A12,情景分析!$D$5,1))</f>
        <v/>
      </c>
      <c r="K12" s="29" t="str">
        <f>IF(A12="","",IF(情景分析!$D$7=1,[2]!b_anal_net_csi1(A12,情景分析!$D$5,1),[2]!b_anal_dirty_csi1(A12,情景分析!$D$5,1))*IF($H12="",1,$H12))</f>
        <v/>
      </c>
      <c r="L12" s="29" t="str">
        <f>IF(A12="","",[2]!b_anal_yield_csi1(A12,情景分析!$D$5,1))</f>
        <v/>
      </c>
      <c r="M12" s="29" t="str">
        <f t="shared" si="4"/>
        <v/>
      </c>
      <c r="N12" s="29" t="str">
        <f t="shared" si="5"/>
        <v/>
      </c>
      <c r="O12" s="7" t="str">
        <f>IF($A12="","",[2]!B_CALC_PRICE($A12,$O$1,IF(情景分析!$D$6=1,$J12,IF(情景分析!$D$6=2,$E12,IF(情景分析!$D$6=4,IF($C12="银行间",$J12,$L12),$G12)))+O$2/100,情景分析!$D$7,"",,,,"",)*IF($H12="",1,$H12))</f>
        <v/>
      </c>
      <c r="P12" s="7" t="str">
        <f>IF($A12="","",[2]!B_CALC_PRICE($A12,$O$1,IF(情景分析!$D$6=1,$J12,IF(情景分析!$D$6=2,$E12,IF(情景分析!$D$6=4,IF($C12="银行间",$J12,$L12),$G12)))+P$2/100,情景分析!$D$7,"",,,,"",)*IF($H12="",1,$H12))</f>
        <v/>
      </c>
      <c r="Q12" s="7" t="str">
        <f>IF($A12="","",[2]!B_CALC_PRICE($A12,$O$1,IF(情景分析!$D$6=1,$J12,IF(情景分析!$D$6=2,$E12,IF(情景分析!$D$6=4,IF($C12="银行间",$J12,$L12),$G12)))+Q$2/100,情景分析!$D$7,"",,,,"",)*IF($H12="",1,$H12))</f>
        <v/>
      </c>
      <c r="R12" s="7" t="str">
        <f>IF($A12="","",[2]!B_CALC_PRICE($A12,$O$1,IF(情景分析!$D$6=1,$J12,IF(情景分析!$D$6=2,$E12,IF(情景分析!$D$6=4,IF($C12="银行间",$J12,$L12),$G12)))+R$2/100,情景分析!$D$7,"",,,,"",)*IF($H12="",1,$H12))</f>
        <v/>
      </c>
      <c r="S12" s="7" t="str">
        <f>IF($A12="","",[2]!B_CALC_PRICE($A12,$O$1,IF(情景分析!$D$6=1,$J12,IF(情景分析!$D$6=2,$E12,IF(情景分析!$D$6=4,IF($C12="银行间",$J12,$L12),$G12)))+S$2/100,情景分析!$D$7,"",,,,"",)*IF($H12="",1,$H12))</f>
        <v/>
      </c>
      <c r="T12" s="7" t="str">
        <f>IF($A12="","",[2]!B_CALC_PRICE($A12,$O$1,IF(情景分析!$D$6=1,$J12,IF(情景分析!$D$6=2,$E12,IF(情景分析!$D$6=4,IF($C12="银行间",$J12,$L12),$G12)))+T$2/100,情景分析!$D$7,"",,,,"",)*IF($H12="",1,$H12))</f>
        <v/>
      </c>
      <c r="U12" s="7" t="str">
        <f>IF($A12="","",[2]!B_CALC_PRICE($A12,$O$1,IF(情景分析!$D$6=1,$J12,IF(情景分析!$D$6=2,$E12,IF(情景分析!$D$6=4,IF($C12="银行间",$J12,$L12),$G12)))+U$2/100,情景分析!$D$7,"",,,,"",)*IF($H12="",1,$H12))</f>
        <v/>
      </c>
      <c r="V12" s="7" t="str">
        <f>IF($A12="","",[2]!B_CALC_PRICE($A12,$V$1,IF(情景分析!$D$6=1,$J12,IF(情景分析!$D$6=2,$E12,IF(情景分析!$D$6=4,IF($C12="银行间",$J12,$L12),$G12)))+V$2/100,情景分析!$D$7,"",,,,"",)*IF($H12="",1,$H12))</f>
        <v/>
      </c>
      <c r="W12" s="7" t="str">
        <f>IF($A12="","",[2]!B_CALC_PRICE($A12,$V$1,IF(情景分析!$D$6=1,$J12,IF(情景分析!$D$6=2,$E12,IF(情景分析!$D$6=4,IF($C12="银行间",$J12,$L12),$G12)))+W$2/100,情景分析!$D$7,"",,,,"",)*IF($H12="",1,$H12))</f>
        <v/>
      </c>
      <c r="X12" s="7" t="str">
        <f>IF($A12="","",[2]!B_CALC_PRICE($A12,$V$1,IF(情景分析!$D$6=1,$J12,IF(情景分析!$D$6=2,$E12,IF(情景分析!$D$6=4,IF($C12="银行间",$J12,$L12),$G12)))+X$2/100,情景分析!$D$7,"",,,,"",)*IF($H12="",1,$H12))</f>
        <v/>
      </c>
      <c r="Y12" s="7" t="str">
        <f>IF($A12="","",[2]!B_CALC_PRICE($A12,$V$1,IF(情景分析!$D$6=1,$J12,IF(情景分析!$D$6=2,$E12,IF(情景分析!$D$6=4,IF($C12="银行间",$J12,$L12),$G12)))+Y$2/100,情景分析!$D$7,"",,,,"",)*IF($H12="",1,$H12))</f>
        <v/>
      </c>
      <c r="Z12" s="7" t="str">
        <f>IF($A12="","",[2]!B_CALC_PRICE($A12,$V$1,IF(情景分析!$D$6=1,$J12,IF(情景分析!$D$6=2,$E12,IF(情景分析!$D$6=4,IF($C12="银行间",$J12,$L12),$G12)))+Z$2/100,情景分析!$D$7,"",,,,"",)*IF($H12="",1,$H12))</f>
        <v/>
      </c>
      <c r="AA12" s="7" t="str">
        <f>IF($A12="","",[2]!B_CALC_PRICE($A12,$V$1,IF(情景分析!$D$6=1,$J12,IF(情景分析!$D$6=2,$E12,IF(情景分析!$D$6=4,IF($C12="银行间",$J12,$L12),$G12)))+AA$2/100,情景分析!$D$7,"",,,,"",)*IF($H12="",1,$H12))</f>
        <v/>
      </c>
      <c r="AB12" s="7" t="str">
        <f>IF($A12="","",[2]!B_CALC_PRICE($A12,$V$1,IF(情景分析!$D$6=1,$J12,IF(情景分析!$D$6=2,$E12,IF(情景分析!$D$6=4,IF($C12="银行间",$J12,$L12),$G12)))+AB$2/100,情景分析!$D$7,"",,,,"",)*IF($H12="",1,$H12))</f>
        <v/>
      </c>
      <c r="AC12" s="7" t="str">
        <f>IF($A12="","",[2]!B_CALC_PRICE($A12,$AC$1,IF(情景分析!$D$6=1,$J12,IF(情景分析!$D$6=2,$E12,IF(情景分析!$D$6=4,IF($C12="银行间",$J12,$L12),$G12)))+AC$2/100,情景分析!$D$7,"",,,,"",)*IF($H12="",1,$H12))</f>
        <v/>
      </c>
      <c r="AD12" s="7" t="str">
        <f>IF($A12="","",[2]!B_CALC_PRICE($A12,$AC$1,IF(情景分析!$D$6=1,$J12,IF(情景分析!$D$6=2,$E12,IF(情景分析!$D$6=4,IF($C12="银行间",$J12,$L12),$G12)))+AD$2/100,情景分析!$D$7,"",,,,"",)*IF($H12="",1,$H12))</f>
        <v/>
      </c>
      <c r="AE12" s="7" t="str">
        <f>IF($A12="","",[2]!B_CALC_PRICE($A12,$AC$1,IF(情景分析!$D$6=1,$J12,IF(情景分析!$D$6=2,$E12,IF(情景分析!$D$6=4,IF($C12="银行间",$J12,$L12),$G12)))+AE$2/100,情景分析!$D$7,"",,,,"",)*IF($H12="",1,$H12))</f>
        <v/>
      </c>
      <c r="AF12" s="7" t="str">
        <f>IF($A12="","",[2]!B_CALC_PRICE($A12,$AC$1,IF(情景分析!$D$6=1,$J12,IF(情景分析!$D$6=2,$E12,IF(情景分析!$D$6=4,IF($C12="银行间",$J12,$L12),$G12)))+AF$2/100,情景分析!$D$7,"",,,,"",)*IF($H12="",1,$H12))</f>
        <v/>
      </c>
      <c r="AG12" s="7" t="str">
        <f>IF($A12="","",[2]!B_CALC_PRICE($A12,$AC$1,IF(情景分析!$D$6=1,$J12,IF(情景分析!$D$6=2,$E12,IF(情景分析!$D$6=4,IF($C12="银行间",$J12,$L12),$G12)))+AG$2/100,情景分析!$D$7,"",,,,"",)*IF($H12="",1,$H12))</f>
        <v/>
      </c>
      <c r="AH12" s="7" t="str">
        <f>IF($A12="","",[2]!B_CALC_PRICE($A12,$AC$1,IF(情景分析!$D$6=1,$J12,IF(情景分析!$D$6=2,$E12,IF(情景分析!$D$6=4,IF($C12="银行间",$J12,$L12),$G12)))+AH$2/100,情景分析!$D$7,"",,,,"",)*IF($H12="",1,$H12))</f>
        <v/>
      </c>
      <c r="AI12" s="7" t="str">
        <f>IF($A12="","",[2]!B_CALC_PRICE($A12,$AC$1,IF(情景分析!$D$6=1,$J12,IF(情景分析!$D$6=2,$E12,IF(情景分析!$D$6=4,IF($C12="银行间",$J12,$L12),$G12)))+AI$2/100,情景分析!$D$7,"",,,,"",)*IF($H12="",1,$H12))</f>
        <v/>
      </c>
      <c r="AJ12" s="7" t="str">
        <f>IF($A12="","",[2]!B_CALC_PRICE($A12,$AJ$1,IF(情景分析!$D$6=1,$J12,IF(情景分析!$D$6=2,$E12,IF(情景分析!$D$6=4,IF($C12="银行间",$J12,$L12),$G12)))+AJ$2/100,情景分析!$D$7,"",,,,"",)*IF($H12="",1,$H12))</f>
        <v/>
      </c>
      <c r="AK12" s="7" t="str">
        <f>IF($A12="","",[2]!B_CALC_PRICE($A12,$AJ$1,IF(情景分析!$D$6=1,$J12,IF(情景分析!$D$6=2,$E12,IF(情景分析!$D$6=4,IF($C12="银行间",$J12,$L12),$G12)))+AK$2/100,情景分析!$D$7,"",,,,"",)*IF($H12="",1,$H12))</f>
        <v/>
      </c>
      <c r="AL12" s="7" t="str">
        <f>IF($A12="","",[2]!B_CALC_PRICE($A12,$AJ$1,IF(情景分析!$D$6=1,$J12,IF(情景分析!$D$6=2,$E12,IF(情景分析!$D$6=4,IF($C12="银行间",$J12,$L12),$G12)))+AL$2/100,情景分析!$D$7,"",,,,"",)*IF($H12="",1,$H12))</f>
        <v/>
      </c>
      <c r="AM12" s="7" t="str">
        <f>IF($A12="","",[2]!B_CALC_PRICE($A12,$AJ$1,IF(情景分析!$D$6=1,$J12,IF(情景分析!$D$6=2,$E12,IF(情景分析!$D$6=4,IF($C12="银行间",$J12,$L12),$G12)))+AM$2/100,情景分析!$D$7,"",,,,"",)*IF($H12="",1,$H12))</f>
        <v/>
      </c>
      <c r="AN12" s="7" t="str">
        <f>IF($A12="","",[2]!B_CALC_PRICE($A12,$AJ$1,IF(情景分析!$D$6=1,$J12,IF(情景分析!$D$6=2,$E12,IF(情景分析!$D$6=4,IF($C12="银行间",$J12,$L12),$G12)))+AN$2/100,情景分析!$D$7,"",,,,"",)*IF($H12="",1,$H12))</f>
        <v/>
      </c>
      <c r="AO12" s="7" t="str">
        <f>IF($A12="","",[2]!B_CALC_PRICE($A12,$AJ$1,IF(情景分析!$D$6=1,$J12,IF(情景分析!$D$6=2,$E12,IF(情景分析!$D$6=4,IF($C12="银行间",$J12,$L12),$G12)))+AO$2/100,情景分析!$D$7,"",,,,"",)*IF($H12="",1,$H12))</f>
        <v/>
      </c>
      <c r="AP12" s="7" t="str">
        <f>IF($A12="","",[2]!B_CALC_PRICE($A12,$AJ$1,IF(情景分析!$D$6=1,$J12,IF(情景分析!$D$6=2,$E12,IF(情景分析!$D$6=4,IF($C12="银行间",$J12,$L12),$G12)))+AP$2/100,情景分析!$D$7,"",,,,"",)*IF($H12="",1,$H12))</f>
        <v/>
      </c>
      <c r="AQ12" s="7" t="str">
        <f>IF($A12="","",[2]!B_CALC_PRICE($A12,$AQ$1,IF(情景分析!$D$6=1,$J12,IF(情景分析!$D$6=2,$E12,IF(情景分析!$D$6=4,IF($C12="银行间",$J12,$L12),$G12)))+AQ$2/100,情景分析!$D$7,"",,,,"",)*IF($H12="",1,$H12))</f>
        <v/>
      </c>
      <c r="AR12" s="7" t="str">
        <f>IF($A12="","",[2]!B_CALC_PRICE($A12,$AQ$1,IF(情景分析!$D$6=1,$J12,IF(情景分析!$D$6=2,$E12,IF(情景分析!$D$6=4,IF($C12="银行间",$J12,$L12),$G12)))+AR$2/100,情景分析!$D$7,"",,,,"",)*IF($H12="",1,$H12))</f>
        <v/>
      </c>
      <c r="AS12" s="7" t="str">
        <f>IF($A12="","",[2]!B_CALC_PRICE($A12,$AQ$1,IF(情景分析!$D$6=1,$J12,IF(情景分析!$D$6=2,$E12,IF(情景分析!$D$6=4,IF($C12="银行间",$J12,$L12),$G12)))+AS$2/100,情景分析!$D$7,"",,,,"",)*IF($H12="",1,$H12))</f>
        <v/>
      </c>
      <c r="AT12" s="7" t="str">
        <f>IF($A12="","",[2]!B_CALC_PRICE($A12,$AQ$1,IF(情景分析!$D$6=1,$J12,IF(情景分析!$D$6=2,$E12,IF(情景分析!$D$6=4,IF($C12="银行间",$J12,$L12),$G12)))+AT$2/100,情景分析!$D$7,"",,,,"",)*IF($H12="",1,$H12))</f>
        <v/>
      </c>
      <c r="AU12" s="7" t="str">
        <f>IF($A12="","",[2]!B_CALC_PRICE($A12,$AQ$1,IF(情景分析!$D$6=1,$J12,IF(情景分析!$D$6=2,$E12,IF(情景分析!$D$6=4,IF($C12="银行间",$J12,$L12),$G12)))+AU$2/100,情景分析!$D$7,"",,,,"",)*IF($H12="",1,$H12))</f>
        <v/>
      </c>
      <c r="AV12" s="7" t="str">
        <f>IF($A12="","",[2]!B_CALC_PRICE($A12,$AQ$1,IF(情景分析!$D$6=1,$J12,IF(情景分析!$D$6=2,$E12,IF(情景分析!$D$6=4,IF($C12="银行间",$J12,$L12),$G12)))+AV$2/100,情景分析!$D$7,"",,,,"",)*IF($H12="",1,$H12))</f>
        <v/>
      </c>
      <c r="AW12" s="7" t="str">
        <f>IF($A12="","",[2]!B_CALC_PRICE($A12,$AQ$1,IF(情景分析!$D$6=1,$J12,IF(情景分析!$D$6=2,$E12,IF(情景分析!$D$6=4,IF($C12="银行间",$J12,$L12),$G12)))+AW$2/100,情景分析!$D$7,"",,,,"",)*IF($H12="",1,$H12))</f>
        <v/>
      </c>
    </row>
    <row r="13" spans="1:49" x14ac:dyDescent="0.15">
      <c r="A13" s="20"/>
      <c r="B13" s="7" t="str">
        <f>IF(A13="","",[2]!b_info_name(A13))</f>
        <v/>
      </c>
      <c r="C13" s="7" t="str">
        <f>[2]!b_info_listedmkt(A13)</f>
        <v>#N/A</v>
      </c>
      <c r="D13" s="7" t="str">
        <f>IFERROR(IF(A13="","", [2]!b_dq_avgprice(A13, 情景分析!$D$5, 情景分析!$D$7) * IF($H13="",1,$H13)),0)</f>
        <v/>
      </c>
      <c r="E13" s="7" t="str">
        <f>IF(A13="","", N([2]!b_dq_avgprice(A13,情景分析!$D$5,3)))</f>
        <v/>
      </c>
      <c r="F13" s="29" t="str">
        <f>IF($G13 = "",
"",
IFERROR(
[2]!b_calc_pv(A13, 情景分析!$D$5,$G13, "1", 情景分析!$D$7),
[2]!b_calc_pv(A13, 情景分析!$D$5,$G13, "2", 情景分析!$D$7)
)
)</f>
        <v/>
      </c>
      <c r="G13" s="22"/>
      <c r="H13" s="21"/>
      <c r="I13" s="7" t="str">
        <f>IF(A13="","",IF(情景分析!$D$7=1,[2]!b_anal_net_cnbd(A13,情景分析!$D$5,1),[2]!b_anal_dirty_cnbd(A13,情景分析!$D$5,1))*IF($H13="",1,$H13))</f>
        <v/>
      </c>
      <c r="J13" s="7" t="str">
        <f>IF(A13="","",[2]!b_anal_yield_cnbd(A13,情景分析!$D$5,1))</f>
        <v/>
      </c>
      <c r="K13" s="29" t="str">
        <f>IF(A13="","",IF(情景分析!$D$7=1,[2]!b_anal_net_csi1(A13,情景分析!$D$5,1),[2]!b_anal_dirty_csi1(A13,情景分析!$D$5,1))*IF($H13="",1,$H13))</f>
        <v/>
      </c>
      <c r="L13" s="29" t="str">
        <f>IF(A13="","",[2]!b_anal_yield_csi1(A13,情景分析!$D$5,1))</f>
        <v/>
      </c>
      <c r="M13" s="29" t="str">
        <f t="shared" si="4"/>
        <v/>
      </c>
      <c r="N13" s="29" t="str">
        <f t="shared" si="5"/>
        <v/>
      </c>
      <c r="O13" s="7" t="str">
        <f>IF($A13="","",[2]!B_CALC_PRICE($A13,$O$1,IF(情景分析!$D$6=1,$J13,IF(情景分析!$D$6=2,$E13,IF(情景分析!$D$6=4,IF($C13="银行间",$J13,$L13),$G13)))+O$2/100,情景分析!$D$7,"",,,,"",)*IF($H13="",1,$H13))</f>
        <v/>
      </c>
      <c r="P13" s="7" t="str">
        <f>IF($A13="","",[2]!B_CALC_PRICE($A13,$O$1,IF(情景分析!$D$6=1,$J13,IF(情景分析!$D$6=2,$E13,IF(情景分析!$D$6=4,IF($C13="银行间",$J13,$L13),$G13)))+P$2/100,情景分析!$D$7,"",,,,"",)*IF($H13="",1,$H13))</f>
        <v/>
      </c>
      <c r="Q13" s="7" t="str">
        <f>IF($A13="","",[2]!B_CALC_PRICE($A13,$O$1,IF(情景分析!$D$6=1,$J13,IF(情景分析!$D$6=2,$E13,IF(情景分析!$D$6=4,IF($C13="银行间",$J13,$L13),$G13)))+Q$2/100,情景分析!$D$7,"",,,,"",)*IF($H13="",1,$H13))</f>
        <v/>
      </c>
      <c r="R13" s="7" t="str">
        <f>IF($A13="","",[2]!B_CALC_PRICE($A13,$O$1,IF(情景分析!$D$6=1,$J13,IF(情景分析!$D$6=2,$E13,IF(情景分析!$D$6=4,IF($C13="银行间",$J13,$L13),$G13)))+R$2/100,情景分析!$D$7,"",,,,"",)*IF($H13="",1,$H13))</f>
        <v/>
      </c>
      <c r="S13" s="7" t="str">
        <f>IF($A13="","",[2]!B_CALC_PRICE($A13,$O$1,IF(情景分析!$D$6=1,$J13,IF(情景分析!$D$6=2,$E13,IF(情景分析!$D$6=4,IF($C13="银行间",$J13,$L13),$G13)))+S$2/100,情景分析!$D$7,"",,,,"",)*IF($H13="",1,$H13))</f>
        <v/>
      </c>
      <c r="T13" s="7" t="str">
        <f>IF($A13="","",[2]!B_CALC_PRICE($A13,$O$1,IF(情景分析!$D$6=1,$J13,IF(情景分析!$D$6=2,$E13,IF(情景分析!$D$6=4,IF($C13="银行间",$J13,$L13),$G13)))+T$2/100,情景分析!$D$7,"",,,,"",)*IF($H13="",1,$H13))</f>
        <v/>
      </c>
      <c r="U13" s="7" t="str">
        <f>IF($A13="","",[2]!B_CALC_PRICE($A13,$O$1,IF(情景分析!$D$6=1,$J13,IF(情景分析!$D$6=2,$E13,IF(情景分析!$D$6=4,IF($C13="银行间",$J13,$L13),$G13)))+U$2/100,情景分析!$D$7,"",,,,"",)*IF($H13="",1,$H13))</f>
        <v/>
      </c>
      <c r="V13" s="7" t="str">
        <f>IF($A13="","",[2]!B_CALC_PRICE($A13,$V$1,IF(情景分析!$D$6=1,$J13,IF(情景分析!$D$6=2,$E13,IF(情景分析!$D$6=4,IF($C13="银行间",$J13,$L13),$G13)))+V$2/100,情景分析!$D$7,"",,,,"",)*IF($H13="",1,$H13))</f>
        <v/>
      </c>
      <c r="W13" s="7" t="str">
        <f>IF($A13="","",[2]!B_CALC_PRICE($A13,$V$1,IF(情景分析!$D$6=1,$J13,IF(情景分析!$D$6=2,$E13,IF(情景分析!$D$6=4,IF($C13="银行间",$J13,$L13),$G13)))+W$2/100,情景分析!$D$7,"",,,,"",)*IF($H13="",1,$H13))</f>
        <v/>
      </c>
      <c r="X13" s="7" t="str">
        <f>IF($A13="","",[2]!B_CALC_PRICE($A13,$V$1,IF(情景分析!$D$6=1,$J13,IF(情景分析!$D$6=2,$E13,IF(情景分析!$D$6=4,IF($C13="银行间",$J13,$L13),$G13)))+X$2/100,情景分析!$D$7,"",,,,"",)*IF($H13="",1,$H13))</f>
        <v/>
      </c>
      <c r="Y13" s="7" t="str">
        <f>IF($A13="","",[2]!B_CALC_PRICE($A13,$V$1,IF(情景分析!$D$6=1,$J13,IF(情景分析!$D$6=2,$E13,IF(情景分析!$D$6=4,IF($C13="银行间",$J13,$L13),$G13)))+Y$2/100,情景分析!$D$7,"",,,,"",)*IF($H13="",1,$H13))</f>
        <v/>
      </c>
      <c r="Z13" s="7" t="str">
        <f>IF($A13="","",[2]!B_CALC_PRICE($A13,$V$1,IF(情景分析!$D$6=1,$J13,IF(情景分析!$D$6=2,$E13,IF(情景分析!$D$6=4,IF($C13="银行间",$J13,$L13),$G13)))+Z$2/100,情景分析!$D$7,"",,,,"",)*IF($H13="",1,$H13))</f>
        <v/>
      </c>
      <c r="AA13" s="7" t="str">
        <f>IF($A13="","",[2]!B_CALC_PRICE($A13,$V$1,IF(情景分析!$D$6=1,$J13,IF(情景分析!$D$6=2,$E13,IF(情景分析!$D$6=4,IF($C13="银行间",$J13,$L13),$G13)))+AA$2/100,情景分析!$D$7,"",,,,"",)*IF($H13="",1,$H13))</f>
        <v/>
      </c>
      <c r="AB13" s="7" t="str">
        <f>IF($A13="","",[2]!B_CALC_PRICE($A13,$V$1,IF(情景分析!$D$6=1,$J13,IF(情景分析!$D$6=2,$E13,IF(情景分析!$D$6=4,IF($C13="银行间",$J13,$L13),$G13)))+AB$2/100,情景分析!$D$7,"",,,,"",)*IF($H13="",1,$H13))</f>
        <v/>
      </c>
      <c r="AC13" s="7" t="str">
        <f>IF($A13="","",[2]!B_CALC_PRICE($A13,$AC$1,IF(情景分析!$D$6=1,$J13,IF(情景分析!$D$6=2,$E13,IF(情景分析!$D$6=4,IF($C13="银行间",$J13,$L13),$G13)))+AC$2/100,情景分析!$D$7,"",,,,"",)*IF($H13="",1,$H13))</f>
        <v/>
      </c>
      <c r="AD13" s="7" t="str">
        <f>IF($A13="","",[2]!B_CALC_PRICE($A13,$AC$1,IF(情景分析!$D$6=1,$J13,IF(情景分析!$D$6=2,$E13,IF(情景分析!$D$6=4,IF($C13="银行间",$J13,$L13),$G13)))+AD$2/100,情景分析!$D$7,"",,,,"",)*IF($H13="",1,$H13))</f>
        <v/>
      </c>
      <c r="AE13" s="7" t="str">
        <f>IF($A13="","",[2]!B_CALC_PRICE($A13,$AC$1,IF(情景分析!$D$6=1,$J13,IF(情景分析!$D$6=2,$E13,IF(情景分析!$D$6=4,IF($C13="银行间",$J13,$L13),$G13)))+AE$2/100,情景分析!$D$7,"",,,,"",)*IF($H13="",1,$H13))</f>
        <v/>
      </c>
      <c r="AF13" s="7" t="str">
        <f>IF($A13="","",[2]!B_CALC_PRICE($A13,$AC$1,IF(情景分析!$D$6=1,$J13,IF(情景分析!$D$6=2,$E13,IF(情景分析!$D$6=4,IF($C13="银行间",$J13,$L13),$G13)))+AF$2/100,情景分析!$D$7,"",,,,"",)*IF($H13="",1,$H13))</f>
        <v/>
      </c>
      <c r="AG13" s="7" t="str">
        <f>IF($A13="","",[2]!B_CALC_PRICE($A13,$AC$1,IF(情景分析!$D$6=1,$J13,IF(情景分析!$D$6=2,$E13,IF(情景分析!$D$6=4,IF($C13="银行间",$J13,$L13),$G13)))+AG$2/100,情景分析!$D$7,"",,,,"",)*IF($H13="",1,$H13))</f>
        <v/>
      </c>
      <c r="AH13" s="7" t="str">
        <f>IF($A13="","",[2]!B_CALC_PRICE($A13,$AC$1,IF(情景分析!$D$6=1,$J13,IF(情景分析!$D$6=2,$E13,IF(情景分析!$D$6=4,IF($C13="银行间",$J13,$L13),$G13)))+AH$2/100,情景分析!$D$7,"",,,,"",)*IF($H13="",1,$H13))</f>
        <v/>
      </c>
      <c r="AI13" s="7" t="str">
        <f>IF($A13="","",[2]!B_CALC_PRICE($A13,$AC$1,IF(情景分析!$D$6=1,$J13,IF(情景分析!$D$6=2,$E13,IF(情景分析!$D$6=4,IF($C13="银行间",$J13,$L13),$G13)))+AI$2/100,情景分析!$D$7,"",,,,"",)*IF($H13="",1,$H13))</f>
        <v/>
      </c>
      <c r="AJ13" s="7" t="str">
        <f>IF($A13="","",[2]!B_CALC_PRICE($A13,$AJ$1,IF(情景分析!$D$6=1,$J13,IF(情景分析!$D$6=2,$E13,IF(情景分析!$D$6=4,IF($C13="银行间",$J13,$L13),$G13)))+AJ$2/100,情景分析!$D$7,"",,,,"",)*IF($H13="",1,$H13))</f>
        <v/>
      </c>
      <c r="AK13" s="7" t="str">
        <f>IF($A13="","",[2]!B_CALC_PRICE($A13,$AJ$1,IF(情景分析!$D$6=1,$J13,IF(情景分析!$D$6=2,$E13,IF(情景分析!$D$6=4,IF($C13="银行间",$J13,$L13),$G13)))+AK$2/100,情景分析!$D$7,"",,,,"",)*IF($H13="",1,$H13))</f>
        <v/>
      </c>
      <c r="AL13" s="7" t="str">
        <f>IF($A13="","",[2]!B_CALC_PRICE($A13,$AJ$1,IF(情景分析!$D$6=1,$J13,IF(情景分析!$D$6=2,$E13,IF(情景分析!$D$6=4,IF($C13="银行间",$J13,$L13),$G13)))+AL$2/100,情景分析!$D$7,"",,,,"",)*IF($H13="",1,$H13))</f>
        <v/>
      </c>
      <c r="AM13" s="7" t="str">
        <f>IF($A13="","",[2]!B_CALC_PRICE($A13,$AJ$1,IF(情景分析!$D$6=1,$J13,IF(情景分析!$D$6=2,$E13,IF(情景分析!$D$6=4,IF($C13="银行间",$J13,$L13),$G13)))+AM$2/100,情景分析!$D$7,"",,,,"",)*IF($H13="",1,$H13))</f>
        <v/>
      </c>
      <c r="AN13" s="7" t="str">
        <f>IF($A13="","",[2]!B_CALC_PRICE($A13,$AJ$1,IF(情景分析!$D$6=1,$J13,IF(情景分析!$D$6=2,$E13,IF(情景分析!$D$6=4,IF($C13="银行间",$J13,$L13),$G13)))+AN$2/100,情景分析!$D$7,"",,,,"",)*IF($H13="",1,$H13))</f>
        <v/>
      </c>
      <c r="AO13" s="7" t="str">
        <f>IF($A13="","",[2]!B_CALC_PRICE($A13,$AJ$1,IF(情景分析!$D$6=1,$J13,IF(情景分析!$D$6=2,$E13,IF(情景分析!$D$6=4,IF($C13="银行间",$J13,$L13),$G13)))+AO$2/100,情景分析!$D$7,"",,,,"",)*IF($H13="",1,$H13))</f>
        <v/>
      </c>
      <c r="AP13" s="7" t="str">
        <f>IF($A13="","",[2]!B_CALC_PRICE($A13,$AJ$1,IF(情景分析!$D$6=1,$J13,IF(情景分析!$D$6=2,$E13,IF(情景分析!$D$6=4,IF($C13="银行间",$J13,$L13),$G13)))+AP$2/100,情景分析!$D$7,"",,,,"",)*IF($H13="",1,$H13))</f>
        <v/>
      </c>
      <c r="AQ13" s="7" t="str">
        <f>IF($A13="","",[2]!B_CALC_PRICE($A13,$AQ$1,IF(情景分析!$D$6=1,$J13,IF(情景分析!$D$6=2,$E13,IF(情景分析!$D$6=4,IF($C13="银行间",$J13,$L13),$G13)))+AQ$2/100,情景分析!$D$7,"",,,,"",)*IF($H13="",1,$H13))</f>
        <v/>
      </c>
      <c r="AR13" s="7" t="str">
        <f>IF($A13="","",[2]!B_CALC_PRICE($A13,$AQ$1,IF(情景分析!$D$6=1,$J13,IF(情景分析!$D$6=2,$E13,IF(情景分析!$D$6=4,IF($C13="银行间",$J13,$L13),$G13)))+AR$2/100,情景分析!$D$7,"",,,,"",)*IF($H13="",1,$H13))</f>
        <v/>
      </c>
      <c r="AS13" s="7" t="str">
        <f>IF($A13="","",[2]!B_CALC_PRICE($A13,$AQ$1,IF(情景分析!$D$6=1,$J13,IF(情景分析!$D$6=2,$E13,IF(情景分析!$D$6=4,IF($C13="银行间",$J13,$L13),$G13)))+AS$2/100,情景分析!$D$7,"",,,,"",)*IF($H13="",1,$H13))</f>
        <v/>
      </c>
      <c r="AT13" s="7" t="str">
        <f>IF($A13="","",[2]!B_CALC_PRICE($A13,$AQ$1,IF(情景分析!$D$6=1,$J13,IF(情景分析!$D$6=2,$E13,IF(情景分析!$D$6=4,IF($C13="银行间",$J13,$L13),$G13)))+AT$2/100,情景分析!$D$7,"",,,,"",)*IF($H13="",1,$H13))</f>
        <v/>
      </c>
      <c r="AU13" s="7" t="str">
        <f>IF($A13="","",[2]!B_CALC_PRICE($A13,$AQ$1,IF(情景分析!$D$6=1,$J13,IF(情景分析!$D$6=2,$E13,IF(情景分析!$D$6=4,IF($C13="银行间",$J13,$L13),$G13)))+AU$2/100,情景分析!$D$7,"",,,,"",)*IF($H13="",1,$H13))</f>
        <v/>
      </c>
      <c r="AV13" s="7" t="str">
        <f>IF($A13="","",[2]!B_CALC_PRICE($A13,$AQ$1,IF(情景分析!$D$6=1,$J13,IF(情景分析!$D$6=2,$E13,IF(情景分析!$D$6=4,IF($C13="银行间",$J13,$L13),$G13)))+AV$2/100,情景分析!$D$7,"",,,,"",)*IF($H13="",1,$H13))</f>
        <v/>
      </c>
      <c r="AW13" s="7" t="str">
        <f>IF($A13="","",[2]!B_CALC_PRICE($A13,$AQ$1,IF(情景分析!$D$6=1,$J13,IF(情景分析!$D$6=2,$E13,IF(情景分析!$D$6=4,IF($C13="银行间",$J13,$L13),$G13)))+AW$2/100,情景分析!$D$7,"",,,,"",)*IF($H13="",1,$H13))</f>
        <v/>
      </c>
    </row>
    <row r="14" spans="1:49" x14ac:dyDescent="0.15">
      <c r="A14" s="20"/>
      <c r="B14" s="7" t="str">
        <f>IF(A14="","",[2]!b_info_name(A14))</f>
        <v/>
      </c>
      <c r="C14" s="7" t="str">
        <f>[2]!b_info_listedmkt(A14)</f>
        <v>#N/A</v>
      </c>
      <c r="D14" s="7" t="str">
        <f>IFERROR(IF(A14="","", [2]!b_dq_avgprice(A14, 情景分析!$D$5, 情景分析!$D$7) * IF($H14="",1,$H14)),0)</f>
        <v/>
      </c>
      <c r="E14" s="7" t="str">
        <f>IF(A14="","", N([2]!b_dq_avgprice(A14,情景分析!$D$5,3)))</f>
        <v/>
      </c>
      <c r="F14" s="29" t="str">
        <f>IF($G14 = "",
"",
IFERROR(
[2]!b_calc_pv(A14, 情景分析!$D$5,$G14, "1", 情景分析!$D$7),
[2]!b_calc_pv(A14, 情景分析!$D$5,$G14, "2", 情景分析!$D$7)
)
)</f>
        <v/>
      </c>
      <c r="G14" s="22"/>
      <c r="H14" s="21"/>
      <c r="I14" s="7" t="str">
        <f>IF(A14="","",IF(情景分析!$D$7=1,[2]!b_anal_net_cnbd(A14,情景分析!$D$5,1),[2]!b_anal_dirty_cnbd(A14,情景分析!$D$5,1))*IF($H14="",1,$H14))</f>
        <v/>
      </c>
      <c r="J14" s="7" t="str">
        <f>IF(A14="","",[2]!b_anal_yield_cnbd(A14,情景分析!$D$5,1))</f>
        <v/>
      </c>
      <c r="K14" s="29" t="str">
        <f>IF(A14="","",IF(情景分析!$D$7=1,[2]!b_anal_net_csi1(A14,情景分析!$D$5,1),[2]!b_anal_dirty_csi1(A14,情景分析!$D$5,1))*IF($H14="",1,$H14))</f>
        <v/>
      </c>
      <c r="L14" s="29" t="str">
        <f>IF(A14="","",[2]!b_anal_yield_csi1(A14,情景分析!$D$5,1))</f>
        <v/>
      </c>
      <c r="M14" s="29" t="str">
        <f t="shared" si="4"/>
        <v/>
      </c>
      <c r="N14" s="29" t="str">
        <f t="shared" si="5"/>
        <v/>
      </c>
      <c r="O14" s="7" t="str">
        <f>IF($A14="","",[2]!B_CALC_PRICE($A14,$O$1,IF(情景分析!$D$6=1,$J14,IF(情景分析!$D$6=2,$E14,IF(情景分析!$D$6=4,IF($C14="银行间",$J14,$L14),$G14)))+O$2/100,情景分析!$D$7,"",,,,"",)*IF($H14="",1,$H14))</f>
        <v/>
      </c>
      <c r="P14" s="7" t="str">
        <f>IF($A14="","",[2]!B_CALC_PRICE($A14,$O$1,IF(情景分析!$D$6=1,$J14,IF(情景分析!$D$6=2,$E14,IF(情景分析!$D$6=4,IF($C14="银行间",$J14,$L14),$G14)))+P$2/100,情景分析!$D$7,"",,,,"",)*IF($H14="",1,$H14))</f>
        <v/>
      </c>
      <c r="Q14" s="7" t="str">
        <f>IF($A14="","",[2]!B_CALC_PRICE($A14,$O$1,IF(情景分析!$D$6=1,$J14,IF(情景分析!$D$6=2,$E14,IF(情景分析!$D$6=4,IF($C14="银行间",$J14,$L14),$G14)))+Q$2/100,情景分析!$D$7,"",,,,"",)*IF($H14="",1,$H14))</f>
        <v/>
      </c>
      <c r="R14" s="7" t="str">
        <f>IF($A14="","",[2]!B_CALC_PRICE($A14,$O$1,IF(情景分析!$D$6=1,$J14,IF(情景分析!$D$6=2,$E14,IF(情景分析!$D$6=4,IF($C14="银行间",$J14,$L14),$G14)))+R$2/100,情景分析!$D$7,"",,,,"",)*IF($H14="",1,$H14))</f>
        <v/>
      </c>
      <c r="S14" s="7" t="str">
        <f>IF($A14="","",[2]!B_CALC_PRICE($A14,$O$1,IF(情景分析!$D$6=1,$J14,IF(情景分析!$D$6=2,$E14,IF(情景分析!$D$6=4,IF($C14="银行间",$J14,$L14),$G14)))+S$2/100,情景分析!$D$7,"",,,,"",)*IF($H14="",1,$H14))</f>
        <v/>
      </c>
      <c r="T14" s="7" t="str">
        <f>IF($A14="","",[2]!B_CALC_PRICE($A14,$O$1,IF(情景分析!$D$6=1,$J14,IF(情景分析!$D$6=2,$E14,IF(情景分析!$D$6=4,IF($C14="银行间",$J14,$L14),$G14)))+T$2/100,情景分析!$D$7,"",,,,"",)*IF($H14="",1,$H14))</f>
        <v/>
      </c>
      <c r="U14" s="7" t="str">
        <f>IF($A14="","",[2]!B_CALC_PRICE($A14,$O$1,IF(情景分析!$D$6=1,$J14,IF(情景分析!$D$6=2,$E14,IF(情景分析!$D$6=4,IF($C14="银行间",$J14,$L14),$G14)))+U$2/100,情景分析!$D$7,"",,,,"",)*IF($H14="",1,$H14))</f>
        <v/>
      </c>
      <c r="V14" s="7" t="str">
        <f>IF($A14="","",[2]!B_CALC_PRICE($A14,$V$1,IF(情景分析!$D$6=1,$J14,IF(情景分析!$D$6=2,$E14,IF(情景分析!$D$6=4,IF($C14="银行间",$J14,$L14),$G14)))+V$2/100,情景分析!$D$7,"",,,,"",)*IF($H14="",1,$H14))</f>
        <v/>
      </c>
      <c r="W14" s="7" t="str">
        <f>IF($A14="","",[2]!B_CALC_PRICE($A14,$V$1,IF(情景分析!$D$6=1,$J14,IF(情景分析!$D$6=2,$E14,IF(情景分析!$D$6=4,IF($C14="银行间",$J14,$L14),$G14)))+W$2/100,情景分析!$D$7,"",,,,"",)*IF($H14="",1,$H14))</f>
        <v/>
      </c>
      <c r="X14" s="7" t="str">
        <f>IF($A14="","",[2]!B_CALC_PRICE($A14,$V$1,IF(情景分析!$D$6=1,$J14,IF(情景分析!$D$6=2,$E14,IF(情景分析!$D$6=4,IF($C14="银行间",$J14,$L14),$G14)))+X$2/100,情景分析!$D$7,"",,,,"",)*IF($H14="",1,$H14))</f>
        <v/>
      </c>
      <c r="Y14" s="7" t="str">
        <f>IF($A14="","",[2]!B_CALC_PRICE($A14,$V$1,IF(情景分析!$D$6=1,$J14,IF(情景分析!$D$6=2,$E14,IF(情景分析!$D$6=4,IF($C14="银行间",$J14,$L14),$G14)))+Y$2/100,情景分析!$D$7,"",,,,"",)*IF($H14="",1,$H14))</f>
        <v/>
      </c>
      <c r="Z14" s="7" t="str">
        <f>IF($A14="","",[2]!B_CALC_PRICE($A14,$V$1,IF(情景分析!$D$6=1,$J14,IF(情景分析!$D$6=2,$E14,IF(情景分析!$D$6=4,IF($C14="银行间",$J14,$L14),$G14)))+Z$2/100,情景分析!$D$7,"",,,,"",)*IF($H14="",1,$H14))</f>
        <v/>
      </c>
      <c r="AA14" s="7" t="str">
        <f>IF($A14="","",[2]!B_CALC_PRICE($A14,$V$1,IF(情景分析!$D$6=1,$J14,IF(情景分析!$D$6=2,$E14,IF(情景分析!$D$6=4,IF($C14="银行间",$J14,$L14),$G14)))+AA$2/100,情景分析!$D$7,"",,,,"",)*IF($H14="",1,$H14))</f>
        <v/>
      </c>
      <c r="AB14" s="7" t="str">
        <f>IF($A14="","",[2]!B_CALC_PRICE($A14,$V$1,IF(情景分析!$D$6=1,$J14,IF(情景分析!$D$6=2,$E14,IF(情景分析!$D$6=4,IF($C14="银行间",$J14,$L14),$G14)))+AB$2/100,情景分析!$D$7,"",,,,"",)*IF($H14="",1,$H14))</f>
        <v/>
      </c>
      <c r="AC14" s="7" t="str">
        <f>IF($A14="","",[2]!B_CALC_PRICE($A14,$AC$1,IF(情景分析!$D$6=1,$J14,IF(情景分析!$D$6=2,$E14,IF(情景分析!$D$6=4,IF($C14="银行间",$J14,$L14),$G14)))+AC$2/100,情景分析!$D$7,"",,,,"",)*IF($H14="",1,$H14))</f>
        <v/>
      </c>
      <c r="AD14" s="7" t="str">
        <f>IF($A14="","",[2]!B_CALC_PRICE($A14,$AC$1,IF(情景分析!$D$6=1,$J14,IF(情景分析!$D$6=2,$E14,IF(情景分析!$D$6=4,IF($C14="银行间",$J14,$L14),$G14)))+AD$2/100,情景分析!$D$7,"",,,,"",)*IF($H14="",1,$H14))</f>
        <v/>
      </c>
      <c r="AE14" s="7" t="str">
        <f>IF($A14="","",[2]!B_CALC_PRICE($A14,$AC$1,IF(情景分析!$D$6=1,$J14,IF(情景分析!$D$6=2,$E14,IF(情景分析!$D$6=4,IF($C14="银行间",$J14,$L14),$G14)))+AE$2/100,情景分析!$D$7,"",,,,"",)*IF($H14="",1,$H14))</f>
        <v/>
      </c>
      <c r="AF14" s="7" t="str">
        <f>IF($A14="","",[2]!B_CALC_PRICE($A14,$AC$1,IF(情景分析!$D$6=1,$J14,IF(情景分析!$D$6=2,$E14,IF(情景分析!$D$6=4,IF($C14="银行间",$J14,$L14),$G14)))+AF$2/100,情景分析!$D$7,"",,,,"",)*IF($H14="",1,$H14))</f>
        <v/>
      </c>
      <c r="AG14" s="7" t="str">
        <f>IF($A14="","",[2]!B_CALC_PRICE($A14,$AC$1,IF(情景分析!$D$6=1,$J14,IF(情景分析!$D$6=2,$E14,IF(情景分析!$D$6=4,IF($C14="银行间",$J14,$L14),$G14)))+AG$2/100,情景分析!$D$7,"",,,,"",)*IF($H14="",1,$H14))</f>
        <v/>
      </c>
      <c r="AH14" s="7" t="str">
        <f>IF($A14="","",[2]!B_CALC_PRICE($A14,$AC$1,IF(情景分析!$D$6=1,$J14,IF(情景分析!$D$6=2,$E14,IF(情景分析!$D$6=4,IF($C14="银行间",$J14,$L14),$G14)))+AH$2/100,情景分析!$D$7,"",,,,"",)*IF($H14="",1,$H14))</f>
        <v/>
      </c>
      <c r="AI14" s="7" t="str">
        <f>IF($A14="","",[2]!B_CALC_PRICE($A14,$AC$1,IF(情景分析!$D$6=1,$J14,IF(情景分析!$D$6=2,$E14,IF(情景分析!$D$6=4,IF($C14="银行间",$J14,$L14),$G14)))+AI$2/100,情景分析!$D$7,"",,,,"",)*IF($H14="",1,$H14))</f>
        <v/>
      </c>
      <c r="AJ14" s="7" t="str">
        <f>IF($A14="","",[2]!B_CALC_PRICE($A14,$AJ$1,IF(情景分析!$D$6=1,$J14,IF(情景分析!$D$6=2,$E14,IF(情景分析!$D$6=4,IF($C14="银行间",$J14,$L14),$G14)))+AJ$2/100,情景分析!$D$7,"",,,,"",)*IF($H14="",1,$H14))</f>
        <v/>
      </c>
      <c r="AK14" s="7" t="str">
        <f>IF($A14="","",[2]!B_CALC_PRICE($A14,$AJ$1,IF(情景分析!$D$6=1,$J14,IF(情景分析!$D$6=2,$E14,IF(情景分析!$D$6=4,IF($C14="银行间",$J14,$L14),$G14)))+AK$2/100,情景分析!$D$7,"",,,,"",)*IF($H14="",1,$H14))</f>
        <v/>
      </c>
      <c r="AL14" s="7" t="str">
        <f>IF($A14="","",[2]!B_CALC_PRICE($A14,$AJ$1,IF(情景分析!$D$6=1,$J14,IF(情景分析!$D$6=2,$E14,IF(情景分析!$D$6=4,IF($C14="银行间",$J14,$L14),$G14)))+AL$2/100,情景分析!$D$7,"",,,,"",)*IF($H14="",1,$H14))</f>
        <v/>
      </c>
      <c r="AM14" s="7" t="str">
        <f>IF($A14="","",[2]!B_CALC_PRICE($A14,$AJ$1,IF(情景分析!$D$6=1,$J14,IF(情景分析!$D$6=2,$E14,IF(情景分析!$D$6=4,IF($C14="银行间",$J14,$L14),$G14)))+AM$2/100,情景分析!$D$7,"",,,,"",)*IF($H14="",1,$H14))</f>
        <v/>
      </c>
      <c r="AN14" s="7" t="str">
        <f>IF($A14="","",[2]!B_CALC_PRICE($A14,$AJ$1,IF(情景分析!$D$6=1,$J14,IF(情景分析!$D$6=2,$E14,IF(情景分析!$D$6=4,IF($C14="银行间",$J14,$L14),$G14)))+AN$2/100,情景分析!$D$7,"",,,,"",)*IF($H14="",1,$H14))</f>
        <v/>
      </c>
      <c r="AO14" s="7" t="str">
        <f>IF($A14="","",[2]!B_CALC_PRICE($A14,$AJ$1,IF(情景分析!$D$6=1,$J14,IF(情景分析!$D$6=2,$E14,IF(情景分析!$D$6=4,IF($C14="银行间",$J14,$L14),$G14)))+AO$2/100,情景分析!$D$7,"",,,,"",)*IF($H14="",1,$H14))</f>
        <v/>
      </c>
      <c r="AP14" s="7" t="str">
        <f>IF($A14="","",[2]!B_CALC_PRICE($A14,$AJ$1,IF(情景分析!$D$6=1,$J14,IF(情景分析!$D$6=2,$E14,IF(情景分析!$D$6=4,IF($C14="银行间",$J14,$L14),$G14)))+AP$2/100,情景分析!$D$7,"",,,,"",)*IF($H14="",1,$H14))</f>
        <v/>
      </c>
      <c r="AQ14" s="7" t="str">
        <f>IF($A14="","",[2]!B_CALC_PRICE($A14,$AQ$1,IF(情景分析!$D$6=1,$J14,IF(情景分析!$D$6=2,$E14,IF(情景分析!$D$6=4,IF($C14="银行间",$J14,$L14),$G14)))+AQ$2/100,情景分析!$D$7,"",,,,"",)*IF($H14="",1,$H14))</f>
        <v/>
      </c>
      <c r="AR14" s="7" t="str">
        <f>IF($A14="","",[2]!B_CALC_PRICE($A14,$AQ$1,IF(情景分析!$D$6=1,$J14,IF(情景分析!$D$6=2,$E14,IF(情景分析!$D$6=4,IF($C14="银行间",$J14,$L14),$G14)))+AR$2/100,情景分析!$D$7,"",,,,"",)*IF($H14="",1,$H14))</f>
        <v/>
      </c>
      <c r="AS14" s="7" t="str">
        <f>IF($A14="","",[2]!B_CALC_PRICE($A14,$AQ$1,IF(情景分析!$D$6=1,$J14,IF(情景分析!$D$6=2,$E14,IF(情景分析!$D$6=4,IF($C14="银行间",$J14,$L14),$G14)))+AS$2/100,情景分析!$D$7,"",,,,"",)*IF($H14="",1,$H14))</f>
        <v/>
      </c>
      <c r="AT14" s="7" t="str">
        <f>IF($A14="","",[2]!B_CALC_PRICE($A14,$AQ$1,IF(情景分析!$D$6=1,$J14,IF(情景分析!$D$6=2,$E14,IF(情景分析!$D$6=4,IF($C14="银行间",$J14,$L14),$G14)))+AT$2/100,情景分析!$D$7,"",,,,"",)*IF($H14="",1,$H14))</f>
        <v/>
      </c>
      <c r="AU14" s="7" t="str">
        <f>IF($A14="","",[2]!B_CALC_PRICE($A14,$AQ$1,IF(情景分析!$D$6=1,$J14,IF(情景分析!$D$6=2,$E14,IF(情景分析!$D$6=4,IF($C14="银行间",$J14,$L14),$G14)))+AU$2/100,情景分析!$D$7,"",,,,"",)*IF($H14="",1,$H14))</f>
        <v/>
      </c>
      <c r="AV14" s="7" t="str">
        <f>IF($A14="","",[2]!B_CALC_PRICE($A14,$AQ$1,IF(情景分析!$D$6=1,$J14,IF(情景分析!$D$6=2,$E14,IF(情景分析!$D$6=4,IF($C14="银行间",$J14,$L14),$G14)))+AV$2/100,情景分析!$D$7,"",,,,"",)*IF($H14="",1,$H14))</f>
        <v/>
      </c>
      <c r="AW14" s="7" t="str">
        <f>IF($A14="","",[2]!B_CALC_PRICE($A14,$AQ$1,IF(情景分析!$D$6=1,$J14,IF(情景分析!$D$6=2,$E14,IF(情景分析!$D$6=4,IF($C14="银行间",$J14,$L14),$G14)))+AW$2/100,情景分析!$D$7,"",,,,"",)*IF($H14="",1,$H14))</f>
        <v/>
      </c>
    </row>
    <row r="15" spans="1:49" x14ac:dyDescent="0.15">
      <c r="A15" s="20"/>
      <c r="B15" s="7" t="str">
        <f>IF(A15="","",[2]!b_info_name(A15))</f>
        <v/>
      </c>
      <c r="C15" s="7" t="str">
        <f>[2]!b_info_listedmkt(A15)</f>
        <v>#N/A</v>
      </c>
      <c r="D15" s="7" t="str">
        <f>IFERROR(IF(A15="","", [2]!b_dq_avgprice(A15, 情景分析!$D$5, 情景分析!$D$7) * IF($H15="",1,$H15)),0)</f>
        <v/>
      </c>
      <c r="E15" s="7" t="str">
        <f>IF(A15="","", N([2]!b_dq_avgprice(A15,情景分析!$D$5,3)))</f>
        <v/>
      </c>
      <c r="F15" s="29" t="str">
        <f>IF($G15 = "",
"",
IFERROR(
[2]!b_calc_pv(A15, 情景分析!$D$5,$G15, "1", 情景分析!$D$7),
[2]!b_calc_pv(A15, 情景分析!$D$5,$G15, "2", 情景分析!$D$7)
)
)</f>
        <v/>
      </c>
      <c r="G15" s="22"/>
      <c r="H15" s="21"/>
      <c r="I15" s="7" t="str">
        <f>IF(A15="","",IF(情景分析!$D$7=1,[2]!b_anal_net_cnbd(A15,情景分析!$D$5,1),[2]!b_anal_dirty_cnbd(A15,情景分析!$D$5,1))*IF($H15="",1,$H15))</f>
        <v/>
      </c>
      <c r="J15" s="7" t="str">
        <f>IF(A15="","",[2]!b_anal_yield_cnbd(A15,情景分析!$D$5,1))</f>
        <v/>
      </c>
      <c r="K15" s="29" t="str">
        <f>IF(A15="","",IF(情景分析!$D$7=1,[2]!b_anal_net_csi1(A15,情景分析!$D$5,1),[2]!b_anal_dirty_csi1(A15,情景分析!$D$5,1))*IF($H15="",1,$H15))</f>
        <v/>
      </c>
      <c r="L15" s="29" t="str">
        <f>IF(A15="","",[2]!b_anal_yield_csi1(A15,情景分析!$D$5,1))</f>
        <v/>
      </c>
      <c r="M15" s="29" t="str">
        <f t="shared" si="4"/>
        <v/>
      </c>
      <c r="N15" s="29" t="str">
        <f t="shared" si="5"/>
        <v/>
      </c>
      <c r="O15" s="7" t="str">
        <f>IF($A15="","",[2]!B_CALC_PRICE($A15,$O$1,IF(情景分析!$D$6=1,$J15,IF(情景分析!$D$6=2,$E15,IF(情景分析!$D$6=4,IF($C15="银行间",$J15,$L15),$G15)))+O$2/100,情景分析!$D$7,"",,,,"",)*IF($H15="",1,$H15))</f>
        <v/>
      </c>
      <c r="P15" s="7" t="str">
        <f>IF($A15="","",[2]!B_CALC_PRICE($A15,$O$1,IF(情景分析!$D$6=1,$J15,IF(情景分析!$D$6=2,$E15,IF(情景分析!$D$6=4,IF($C15="银行间",$J15,$L15),$G15)))+P$2/100,情景分析!$D$7,"",,,,"",)*IF($H15="",1,$H15))</f>
        <v/>
      </c>
      <c r="Q15" s="7" t="str">
        <f>IF($A15="","",[2]!B_CALC_PRICE($A15,$O$1,IF(情景分析!$D$6=1,$J15,IF(情景分析!$D$6=2,$E15,IF(情景分析!$D$6=4,IF($C15="银行间",$J15,$L15),$G15)))+Q$2/100,情景分析!$D$7,"",,,,"",)*IF($H15="",1,$H15))</f>
        <v/>
      </c>
      <c r="R15" s="7" t="str">
        <f>IF($A15="","",[2]!B_CALC_PRICE($A15,$O$1,IF(情景分析!$D$6=1,$J15,IF(情景分析!$D$6=2,$E15,IF(情景分析!$D$6=4,IF($C15="银行间",$J15,$L15),$G15)))+R$2/100,情景分析!$D$7,"",,,,"",)*IF($H15="",1,$H15))</f>
        <v/>
      </c>
      <c r="S15" s="7" t="str">
        <f>IF($A15="","",[2]!B_CALC_PRICE($A15,$O$1,IF(情景分析!$D$6=1,$J15,IF(情景分析!$D$6=2,$E15,IF(情景分析!$D$6=4,IF($C15="银行间",$J15,$L15),$G15)))+S$2/100,情景分析!$D$7,"",,,,"",)*IF($H15="",1,$H15))</f>
        <v/>
      </c>
      <c r="T15" s="7" t="str">
        <f>IF($A15="","",[2]!B_CALC_PRICE($A15,$O$1,IF(情景分析!$D$6=1,$J15,IF(情景分析!$D$6=2,$E15,IF(情景分析!$D$6=4,IF($C15="银行间",$J15,$L15),$G15)))+T$2/100,情景分析!$D$7,"",,,,"",)*IF($H15="",1,$H15))</f>
        <v/>
      </c>
      <c r="U15" s="7" t="str">
        <f>IF($A15="","",[2]!B_CALC_PRICE($A15,$O$1,IF(情景分析!$D$6=1,$J15,IF(情景分析!$D$6=2,$E15,IF(情景分析!$D$6=4,IF($C15="银行间",$J15,$L15),$G15)))+U$2/100,情景分析!$D$7,"",,,,"",)*IF($H15="",1,$H15))</f>
        <v/>
      </c>
      <c r="V15" s="7" t="str">
        <f>IF($A15="","",[2]!B_CALC_PRICE($A15,$V$1,IF(情景分析!$D$6=1,$J15,IF(情景分析!$D$6=2,$E15,IF(情景分析!$D$6=4,IF($C15="银行间",$J15,$L15),$G15)))+V$2/100,情景分析!$D$7,"",,,,"",)*IF($H15="",1,$H15))</f>
        <v/>
      </c>
      <c r="W15" s="7" t="str">
        <f>IF($A15="","",[2]!B_CALC_PRICE($A15,$V$1,IF(情景分析!$D$6=1,$J15,IF(情景分析!$D$6=2,$E15,IF(情景分析!$D$6=4,IF($C15="银行间",$J15,$L15),$G15)))+W$2/100,情景分析!$D$7,"",,,,"",)*IF($H15="",1,$H15))</f>
        <v/>
      </c>
      <c r="X15" s="7" t="str">
        <f>IF($A15="","",[2]!B_CALC_PRICE($A15,$V$1,IF(情景分析!$D$6=1,$J15,IF(情景分析!$D$6=2,$E15,IF(情景分析!$D$6=4,IF($C15="银行间",$J15,$L15),$G15)))+X$2/100,情景分析!$D$7,"",,,,"",)*IF($H15="",1,$H15))</f>
        <v/>
      </c>
      <c r="Y15" s="7" t="str">
        <f>IF($A15="","",[2]!B_CALC_PRICE($A15,$V$1,IF(情景分析!$D$6=1,$J15,IF(情景分析!$D$6=2,$E15,IF(情景分析!$D$6=4,IF($C15="银行间",$J15,$L15),$G15)))+Y$2/100,情景分析!$D$7,"",,,,"",)*IF($H15="",1,$H15))</f>
        <v/>
      </c>
      <c r="Z15" s="7" t="str">
        <f>IF($A15="","",[2]!B_CALC_PRICE($A15,$V$1,IF(情景分析!$D$6=1,$J15,IF(情景分析!$D$6=2,$E15,IF(情景分析!$D$6=4,IF($C15="银行间",$J15,$L15),$G15)))+Z$2/100,情景分析!$D$7,"",,,,"",)*IF($H15="",1,$H15))</f>
        <v/>
      </c>
      <c r="AA15" s="7" t="str">
        <f>IF($A15="","",[2]!B_CALC_PRICE($A15,$V$1,IF(情景分析!$D$6=1,$J15,IF(情景分析!$D$6=2,$E15,IF(情景分析!$D$6=4,IF($C15="银行间",$J15,$L15),$G15)))+AA$2/100,情景分析!$D$7,"",,,,"",)*IF($H15="",1,$H15))</f>
        <v/>
      </c>
      <c r="AB15" s="7" t="str">
        <f>IF($A15="","",[2]!B_CALC_PRICE($A15,$V$1,IF(情景分析!$D$6=1,$J15,IF(情景分析!$D$6=2,$E15,IF(情景分析!$D$6=4,IF($C15="银行间",$J15,$L15),$G15)))+AB$2/100,情景分析!$D$7,"",,,,"",)*IF($H15="",1,$H15))</f>
        <v/>
      </c>
      <c r="AC15" s="7" t="str">
        <f>IF($A15="","",[2]!B_CALC_PRICE($A15,$AC$1,IF(情景分析!$D$6=1,$J15,IF(情景分析!$D$6=2,$E15,IF(情景分析!$D$6=4,IF($C15="银行间",$J15,$L15),$G15)))+AC$2/100,情景分析!$D$7,"",,,,"",)*IF($H15="",1,$H15))</f>
        <v/>
      </c>
      <c r="AD15" s="7" t="str">
        <f>IF($A15="","",[2]!B_CALC_PRICE($A15,$AC$1,IF(情景分析!$D$6=1,$J15,IF(情景分析!$D$6=2,$E15,IF(情景分析!$D$6=4,IF($C15="银行间",$J15,$L15),$G15)))+AD$2/100,情景分析!$D$7,"",,,,"",)*IF($H15="",1,$H15))</f>
        <v/>
      </c>
      <c r="AE15" s="7" t="str">
        <f>IF($A15="","",[2]!B_CALC_PRICE($A15,$AC$1,IF(情景分析!$D$6=1,$J15,IF(情景分析!$D$6=2,$E15,IF(情景分析!$D$6=4,IF($C15="银行间",$J15,$L15),$G15)))+AE$2/100,情景分析!$D$7,"",,,,"",)*IF($H15="",1,$H15))</f>
        <v/>
      </c>
      <c r="AF15" s="7" t="str">
        <f>IF($A15="","",[2]!B_CALC_PRICE($A15,$AC$1,IF(情景分析!$D$6=1,$J15,IF(情景分析!$D$6=2,$E15,IF(情景分析!$D$6=4,IF($C15="银行间",$J15,$L15),$G15)))+AF$2/100,情景分析!$D$7,"",,,,"",)*IF($H15="",1,$H15))</f>
        <v/>
      </c>
      <c r="AG15" s="7" t="str">
        <f>IF($A15="","",[2]!B_CALC_PRICE($A15,$AC$1,IF(情景分析!$D$6=1,$J15,IF(情景分析!$D$6=2,$E15,IF(情景分析!$D$6=4,IF($C15="银行间",$J15,$L15),$G15)))+AG$2/100,情景分析!$D$7,"",,,,"",)*IF($H15="",1,$H15))</f>
        <v/>
      </c>
      <c r="AH15" s="7" t="str">
        <f>IF($A15="","",[2]!B_CALC_PRICE($A15,$AC$1,IF(情景分析!$D$6=1,$J15,IF(情景分析!$D$6=2,$E15,IF(情景分析!$D$6=4,IF($C15="银行间",$J15,$L15),$G15)))+AH$2/100,情景分析!$D$7,"",,,,"",)*IF($H15="",1,$H15))</f>
        <v/>
      </c>
      <c r="AI15" s="7" t="str">
        <f>IF($A15="","",[2]!B_CALC_PRICE($A15,$AC$1,IF(情景分析!$D$6=1,$J15,IF(情景分析!$D$6=2,$E15,IF(情景分析!$D$6=4,IF($C15="银行间",$J15,$L15),$G15)))+AI$2/100,情景分析!$D$7,"",,,,"",)*IF($H15="",1,$H15))</f>
        <v/>
      </c>
      <c r="AJ15" s="7" t="str">
        <f>IF($A15="","",[2]!B_CALC_PRICE($A15,$AJ$1,IF(情景分析!$D$6=1,$J15,IF(情景分析!$D$6=2,$E15,IF(情景分析!$D$6=4,IF($C15="银行间",$J15,$L15),$G15)))+AJ$2/100,情景分析!$D$7,"",,,,"",)*IF($H15="",1,$H15))</f>
        <v/>
      </c>
      <c r="AK15" s="7" t="str">
        <f>IF($A15="","",[2]!B_CALC_PRICE($A15,$AJ$1,IF(情景分析!$D$6=1,$J15,IF(情景分析!$D$6=2,$E15,IF(情景分析!$D$6=4,IF($C15="银行间",$J15,$L15),$G15)))+AK$2/100,情景分析!$D$7,"",,,,"",)*IF($H15="",1,$H15))</f>
        <v/>
      </c>
      <c r="AL15" s="7" t="str">
        <f>IF($A15="","",[2]!B_CALC_PRICE($A15,$AJ$1,IF(情景分析!$D$6=1,$J15,IF(情景分析!$D$6=2,$E15,IF(情景分析!$D$6=4,IF($C15="银行间",$J15,$L15),$G15)))+AL$2/100,情景分析!$D$7,"",,,,"",)*IF($H15="",1,$H15))</f>
        <v/>
      </c>
      <c r="AM15" s="7" t="str">
        <f>IF($A15="","",[2]!B_CALC_PRICE($A15,$AJ$1,IF(情景分析!$D$6=1,$J15,IF(情景分析!$D$6=2,$E15,IF(情景分析!$D$6=4,IF($C15="银行间",$J15,$L15),$G15)))+AM$2/100,情景分析!$D$7,"",,,,"",)*IF($H15="",1,$H15))</f>
        <v/>
      </c>
      <c r="AN15" s="7" t="str">
        <f>IF($A15="","",[2]!B_CALC_PRICE($A15,$AJ$1,IF(情景分析!$D$6=1,$J15,IF(情景分析!$D$6=2,$E15,IF(情景分析!$D$6=4,IF($C15="银行间",$J15,$L15),$G15)))+AN$2/100,情景分析!$D$7,"",,,,"",)*IF($H15="",1,$H15))</f>
        <v/>
      </c>
      <c r="AO15" s="7" t="str">
        <f>IF($A15="","",[2]!B_CALC_PRICE($A15,$AJ$1,IF(情景分析!$D$6=1,$J15,IF(情景分析!$D$6=2,$E15,IF(情景分析!$D$6=4,IF($C15="银行间",$J15,$L15),$G15)))+AO$2/100,情景分析!$D$7,"",,,,"",)*IF($H15="",1,$H15))</f>
        <v/>
      </c>
      <c r="AP15" s="7" t="str">
        <f>IF($A15="","",[2]!B_CALC_PRICE($A15,$AJ$1,IF(情景分析!$D$6=1,$J15,IF(情景分析!$D$6=2,$E15,IF(情景分析!$D$6=4,IF($C15="银行间",$J15,$L15),$G15)))+AP$2/100,情景分析!$D$7,"",,,,"",)*IF($H15="",1,$H15))</f>
        <v/>
      </c>
      <c r="AQ15" s="7" t="str">
        <f>IF($A15="","",[2]!B_CALC_PRICE($A15,$AQ$1,IF(情景分析!$D$6=1,$J15,IF(情景分析!$D$6=2,$E15,IF(情景分析!$D$6=4,IF($C15="银行间",$J15,$L15),$G15)))+AQ$2/100,情景分析!$D$7,"",,,,"",)*IF($H15="",1,$H15))</f>
        <v/>
      </c>
      <c r="AR15" s="7" t="str">
        <f>IF($A15="","",[2]!B_CALC_PRICE($A15,$AQ$1,IF(情景分析!$D$6=1,$J15,IF(情景分析!$D$6=2,$E15,IF(情景分析!$D$6=4,IF($C15="银行间",$J15,$L15),$G15)))+AR$2/100,情景分析!$D$7,"",,,,"",)*IF($H15="",1,$H15))</f>
        <v/>
      </c>
      <c r="AS15" s="7" t="str">
        <f>IF($A15="","",[2]!B_CALC_PRICE($A15,$AQ$1,IF(情景分析!$D$6=1,$J15,IF(情景分析!$D$6=2,$E15,IF(情景分析!$D$6=4,IF($C15="银行间",$J15,$L15),$G15)))+AS$2/100,情景分析!$D$7,"",,,,"",)*IF($H15="",1,$H15))</f>
        <v/>
      </c>
      <c r="AT15" s="7" t="str">
        <f>IF($A15="","",[2]!B_CALC_PRICE($A15,$AQ$1,IF(情景分析!$D$6=1,$J15,IF(情景分析!$D$6=2,$E15,IF(情景分析!$D$6=4,IF($C15="银行间",$J15,$L15),$G15)))+AT$2/100,情景分析!$D$7,"",,,,"",)*IF($H15="",1,$H15))</f>
        <v/>
      </c>
      <c r="AU15" s="7" t="str">
        <f>IF($A15="","",[2]!B_CALC_PRICE($A15,$AQ$1,IF(情景分析!$D$6=1,$J15,IF(情景分析!$D$6=2,$E15,IF(情景分析!$D$6=4,IF($C15="银行间",$J15,$L15),$G15)))+AU$2/100,情景分析!$D$7,"",,,,"",)*IF($H15="",1,$H15))</f>
        <v/>
      </c>
      <c r="AV15" s="7" t="str">
        <f>IF($A15="","",[2]!B_CALC_PRICE($A15,$AQ$1,IF(情景分析!$D$6=1,$J15,IF(情景分析!$D$6=2,$E15,IF(情景分析!$D$6=4,IF($C15="银行间",$J15,$L15),$G15)))+AV$2/100,情景分析!$D$7,"",,,,"",)*IF($H15="",1,$H15))</f>
        <v/>
      </c>
      <c r="AW15" s="7" t="str">
        <f>IF($A15="","",[2]!B_CALC_PRICE($A15,$AQ$1,IF(情景分析!$D$6=1,$J15,IF(情景分析!$D$6=2,$E15,IF(情景分析!$D$6=4,IF($C15="银行间",$J15,$L15),$G15)))+AW$2/100,情景分析!$D$7,"",,,,"",)*IF($H15="",1,$H15))</f>
        <v/>
      </c>
    </row>
    <row r="16" spans="1:49" x14ac:dyDescent="0.15">
      <c r="A16" s="20"/>
      <c r="B16" s="7" t="str">
        <f>IF(A16="","",[2]!b_info_name(A16))</f>
        <v/>
      </c>
      <c r="C16" s="7" t="str">
        <f>[2]!b_info_listedmkt(A16)</f>
        <v>#N/A</v>
      </c>
      <c r="D16" s="7" t="str">
        <f>IFERROR(IF(A16="","", [2]!b_dq_avgprice(A16, 情景分析!$D$5, 情景分析!$D$7) * IF($H16="",1,$H16)),0)</f>
        <v/>
      </c>
      <c r="E16" s="7" t="str">
        <f>IF(A16="","", N([2]!b_dq_avgprice(A16,情景分析!$D$5,3)))</f>
        <v/>
      </c>
      <c r="F16" s="29" t="str">
        <f>IF($G16 = "",
"",
IFERROR(
[2]!b_calc_pv(A16, 情景分析!$D$5,$G16, "1", 情景分析!$D$7),
[2]!b_calc_pv(A16, 情景分析!$D$5,$G16, "2", 情景分析!$D$7)
)
)</f>
        <v/>
      </c>
      <c r="G16" s="22"/>
      <c r="H16" s="21"/>
      <c r="I16" s="7" t="str">
        <f>IF(A16="","",IF(情景分析!$D$7=1,[2]!b_anal_net_cnbd(A16,情景分析!$D$5,1),[2]!b_anal_dirty_cnbd(A16,情景分析!$D$5,1))*IF($H16="",1,$H16))</f>
        <v/>
      </c>
      <c r="J16" s="7" t="str">
        <f>IF(A16="","",[2]!b_anal_yield_cnbd(A16,情景分析!$D$5,1))</f>
        <v/>
      </c>
      <c r="K16" s="29" t="str">
        <f>IF(A16="","",IF(情景分析!$D$7=1,[2]!b_anal_net_csi1(A16,情景分析!$D$5,1),[2]!b_anal_dirty_csi1(A16,情景分析!$D$5,1))*IF($H16="",1,$H16))</f>
        <v/>
      </c>
      <c r="L16" s="29" t="str">
        <f>IF(A16="","",[2]!b_anal_yield_csi1(A16,情景分析!$D$5,1))</f>
        <v/>
      </c>
      <c r="M16" s="29" t="str">
        <f t="shared" si="4"/>
        <v/>
      </c>
      <c r="N16" s="29" t="str">
        <f t="shared" si="5"/>
        <v/>
      </c>
      <c r="O16" s="7" t="str">
        <f>IF($A16="","",[2]!B_CALC_PRICE($A16,$O$1,IF(情景分析!$D$6=1,$J16,IF(情景分析!$D$6=2,$E16,IF(情景分析!$D$6=4,IF($C16="银行间",$J16,$L16),$G16)))+O$2/100,情景分析!$D$7,"",,,,"",)*IF($H16="",1,$H16))</f>
        <v/>
      </c>
      <c r="P16" s="7" t="str">
        <f>IF($A16="","",[2]!B_CALC_PRICE($A16,$O$1,IF(情景分析!$D$6=1,$J16,IF(情景分析!$D$6=2,$E16,IF(情景分析!$D$6=4,IF($C16="银行间",$J16,$L16),$G16)))+P$2/100,情景分析!$D$7,"",,,,"",)*IF($H16="",1,$H16))</f>
        <v/>
      </c>
      <c r="Q16" s="7" t="str">
        <f>IF($A16="","",[2]!B_CALC_PRICE($A16,$O$1,IF(情景分析!$D$6=1,$J16,IF(情景分析!$D$6=2,$E16,IF(情景分析!$D$6=4,IF($C16="银行间",$J16,$L16),$G16)))+Q$2/100,情景分析!$D$7,"",,,,"",)*IF($H16="",1,$H16))</f>
        <v/>
      </c>
      <c r="R16" s="7" t="str">
        <f>IF($A16="","",[2]!B_CALC_PRICE($A16,$O$1,IF(情景分析!$D$6=1,$J16,IF(情景分析!$D$6=2,$E16,IF(情景分析!$D$6=4,IF($C16="银行间",$J16,$L16),$G16)))+R$2/100,情景分析!$D$7,"",,,,"",)*IF($H16="",1,$H16))</f>
        <v/>
      </c>
      <c r="S16" s="7" t="str">
        <f>IF($A16="","",[2]!B_CALC_PRICE($A16,$O$1,IF(情景分析!$D$6=1,$J16,IF(情景分析!$D$6=2,$E16,IF(情景分析!$D$6=4,IF($C16="银行间",$J16,$L16),$G16)))+S$2/100,情景分析!$D$7,"",,,,"",)*IF($H16="",1,$H16))</f>
        <v/>
      </c>
      <c r="T16" s="7" t="str">
        <f>IF($A16="","",[2]!B_CALC_PRICE($A16,$O$1,IF(情景分析!$D$6=1,$J16,IF(情景分析!$D$6=2,$E16,IF(情景分析!$D$6=4,IF($C16="银行间",$J16,$L16),$G16)))+T$2/100,情景分析!$D$7,"",,,,"",)*IF($H16="",1,$H16))</f>
        <v/>
      </c>
      <c r="U16" s="7" t="str">
        <f>IF($A16="","",[2]!B_CALC_PRICE($A16,$O$1,IF(情景分析!$D$6=1,$J16,IF(情景分析!$D$6=2,$E16,IF(情景分析!$D$6=4,IF($C16="银行间",$J16,$L16),$G16)))+U$2/100,情景分析!$D$7,"",,,,"",)*IF($H16="",1,$H16))</f>
        <v/>
      </c>
      <c r="V16" s="7" t="str">
        <f>IF($A16="","",[2]!B_CALC_PRICE($A16,$V$1,IF(情景分析!$D$6=1,$J16,IF(情景分析!$D$6=2,$E16,IF(情景分析!$D$6=4,IF($C16="银行间",$J16,$L16),$G16)))+V$2/100,情景分析!$D$7,"",,,,"",)*IF($H16="",1,$H16))</f>
        <v/>
      </c>
      <c r="W16" s="7" t="str">
        <f>IF($A16="","",[2]!B_CALC_PRICE($A16,$V$1,IF(情景分析!$D$6=1,$J16,IF(情景分析!$D$6=2,$E16,IF(情景分析!$D$6=4,IF($C16="银行间",$J16,$L16),$G16)))+W$2/100,情景分析!$D$7,"",,,,"",)*IF($H16="",1,$H16))</f>
        <v/>
      </c>
      <c r="X16" s="7" t="str">
        <f>IF($A16="","",[2]!B_CALC_PRICE($A16,$V$1,IF(情景分析!$D$6=1,$J16,IF(情景分析!$D$6=2,$E16,IF(情景分析!$D$6=4,IF($C16="银行间",$J16,$L16),$G16)))+X$2/100,情景分析!$D$7,"",,,,"",)*IF($H16="",1,$H16))</f>
        <v/>
      </c>
      <c r="Y16" s="7" t="str">
        <f>IF($A16="","",[2]!B_CALC_PRICE($A16,$V$1,IF(情景分析!$D$6=1,$J16,IF(情景分析!$D$6=2,$E16,IF(情景分析!$D$6=4,IF($C16="银行间",$J16,$L16),$G16)))+Y$2/100,情景分析!$D$7,"",,,,"",)*IF($H16="",1,$H16))</f>
        <v/>
      </c>
      <c r="Z16" s="7" t="str">
        <f>IF($A16="","",[2]!B_CALC_PRICE($A16,$V$1,IF(情景分析!$D$6=1,$J16,IF(情景分析!$D$6=2,$E16,IF(情景分析!$D$6=4,IF($C16="银行间",$J16,$L16),$G16)))+Z$2/100,情景分析!$D$7,"",,,,"",)*IF($H16="",1,$H16))</f>
        <v/>
      </c>
      <c r="AA16" s="7" t="str">
        <f>IF($A16="","",[2]!B_CALC_PRICE($A16,$V$1,IF(情景分析!$D$6=1,$J16,IF(情景分析!$D$6=2,$E16,IF(情景分析!$D$6=4,IF($C16="银行间",$J16,$L16),$G16)))+AA$2/100,情景分析!$D$7,"",,,,"",)*IF($H16="",1,$H16))</f>
        <v/>
      </c>
      <c r="AB16" s="7" t="str">
        <f>IF($A16="","",[2]!B_CALC_PRICE($A16,$V$1,IF(情景分析!$D$6=1,$J16,IF(情景分析!$D$6=2,$E16,IF(情景分析!$D$6=4,IF($C16="银行间",$J16,$L16),$G16)))+AB$2/100,情景分析!$D$7,"",,,,"",)*IF($H16="",1,$H16))</f>
        <v/>
      </c>
      <c r="AC16" s="7" t="str">
        <f>IF($A16="","",[2]!B_CALC_PRICE($A16,$AC$1,IF(情景分析!$D$6=1,$J16,IF(情景分析!$D$6=2,$E16,IF(情景分析!$D$6=4,IF($C16="银行间",$J16,$L16),$G16)))+AC$2/100,情景分析!$D$7,"",,,,"",)*IF($H16="",1,$H16))</f>
        <v/>
      </c>
      <c r="AD16" s="7" t="str">
        <f>IF($A16="","",[2]!B_CALC_PRICE($A16,$AC$1,IF(情景分析!$D$6=1,$J16,IF(情景分析!$D$6=2,$E16,IF(情景分析!$D$6=4,IF($C16="银行间",$J16,$L16),$G16)))+AD$2/100,情景分析!$D$7,"",,,,"",)*IF($H16="",1,$H16))</f>
        <v/>
      </c>
      <c r="AE16" s="7" t="str">
        <f>IF($A16="","",[2]!B_CALC_PRICE($A16,$AC$1,IF(情景分析!$D$6=1,$J16,IF(情景分析!$D$6=2,$E16,IF(情景分析!$D$6=4,IF($C16="银行间",$J16,$L16),$G16)))+AE$2/100,情景分析!$D$7,"",,,,"",)*IF($H16="",1,$H16))</f>
        <v/>
      </c>
      <c r="AF16" s="7" t="str">
        <f>IF($A16="","",[2]!B_CALC_PRICE($A16,$AC$1,IF(情景分析!$D$6=1,$J16,IF(情景分析!$D$6=2,$E16,IF(情景分析!$D$6=4,IF($C16="银行间",$J16,$L16),$G16)))+AF$2/100,情景分析!$D$7,"",,,,"",)*IF($H16="",1,$H16))</f>
        <v/>
      </c>
      <c r="AG16" s="7" t="str">
        <f>IF($A16="","",[2]!B_CALC_PRICE($A16,$AC$1,IF(情景分析!$D$6=1,$J16,IF(情景分析!$D$6=2,$E16,IF(情景分析!$D$6=4,IF($C16="银行间",$J16,$L16),$G16)))+AG$2/100,情景分析!$D$7,"",,,,"",)*IF($H16="",1,$H16))</f>
        <v/>
      </c>
      <c r="AH16" s="7" t="str">
        <f>IF($A16="","",[2]!B_CALC_PRICE($A16,$AC$1,IF(情景分析!$D$6=1,$J16,IF(情景分析!$D$6=2,$E16,IF(情景分析!$D$6=4,IF($C16="银行间",$J16,$L16),$G16)))+AH$2/100,情景分析!$D$7,"",,,,"",)*IF($H16="",1,$H16))</f>
        <v/>
      </c>
      <c r="AI16" s="7" t="str">
        <f>IF($A16="","",[2]!B_CALC_PRICE($A16,$AC$1,IF(情景分析!$D$6=1,$J16,IF(情景分析!$D$6=2,$E16,IF(情景分析!$D$6=4,IF($C16="银行间",$J16,$L16),$G16)))+AI$2/100,情景分析!$D$7,"",,,,"",)*IF($H16="",1,$H16))</f>
        <v/>
      </c>
      <c r="AJ16" s="7" t="str">
        <f>IF($A16="","",[2]!B_CALC_PRICE($A16,$AJ$1,IF(情景分析!$D$6=1,$J16,IF(情景分析!$D$6=2,$E16,IF(情景分析!$D$6=4,IF($C16="银行间",$J16,$L16),$G16)))+AJ$2/100,情景分析!$D$7,"",,,,"",)*IF($H16="",1,$H16))</f>
        <v/>
      </c>
      <c r="AK16" s="7" t="str">
        <f>IF($A16="","",[2]!B_CALC_PRICE($A16,$AJ$1,IF(情景分析!$D$6=1,$J16,IF(情景分析!$D$6=2,$E16,IF(情景分析!$D$6=4,IF($C16="银行间",$J16,$L16),$G16)))+AK$2/100,情景分析!$D$7,"",,,,"",)*IF($H16="",1,$H16))</f>
        <v/>
      </c>
      <c r="AL16" s="7" t="str">
        <f>IF($A16="","",[2]!B_CALC_PRICE($A16,$AJ$1,IF(情景分析!$D$6=1,$J16,IF(情景分析!$D$6=2,$E16,IF(情景分析!$D$6=4,IF($C16="银行间",$J16,$L16),$G16)))+AL$2/100,情景分析!$D$7,"",,,,"",)*IF($H16="",1,$H16))</f>
        <v/>
      </c>
      <c r="AM16" s="7" t="str">
        <f>IF($A16="","",[2]!B_CALC_PRICE($A16,$AJ$1,IF(情景分析!$D$6=1,$J16,IF(情景分析!$D$6=2,$E16,IF(情景分析!$D$6=4,IF($C16="银行间",$J16,$L16),$G16)))+AM$2/100,情景分析!$D$7,"",,,,"",)*IF($H16="",1,$H16))</f>
        <v/>
      </c>
      <c r="AN16" s="7" t="str">
        <f>IF($A16="","",[2]!B_CALC_PRICE($A16,$AJ$1,IF(情景分析!$D$6=1,$J16,IF(情景分析!$D$6=2,$E16,IF(情景分析!$D$6=4,IF($C16="银行间",$J16,$L16),$G16)))+AN$2/100,情景分析!$D$7,"",,,,"",)*IF($H16="",1,$H16))</f>
        <v/>
      </c>
      <c r="AO16" s="7" t="str">
        <f>IF($A16="","",[2]!B_CALC_PRICE($A16,$AJ$1,IF(情景分析!$D$6=1,$J16,IF(情景分析!$D$6=2,$E16,IF(情景分析!$D$6=4,IF($C16="银行间",$J16,$L16),$G16)))+AO$2/100,情景分析!$D$7,"",,,,"",)*IF($H16="",1,$H16))</f>
        <v/>
      </c>
      <c r="AP16" s="7" t="str">
        <f>IF($A16="","",[2]!B_CALC_PRICE($A16,$AJ$1,IF(情景分析!$D$6=1,$J16,IF(情景分析!$D$6=2,$E16,IF(情景分析!$D$6=4,IF($C16="银行间",$J16,$L16),$G16)))+AP$2/100,情景分析!$D$7,"",,,,"",)*IF($H16="",1,$H16))</f>
        <v/>
      </c>
      <c r="AQ16" s="7" t="str">
        <f>IF($A16="","",[2]!B_CALC_PRICE($A16,$AQ$1,IF(情景分析!$D$6=1,$J16,IF(情景分析!$D$6=2,$E16,IF(情景分析!$D$6=4,IF($C16="银行间",$J16,$L16),$G16)))+AQ$2/100,情景分析!$D$7,"",,,,"",)*IF($H16="",1,$H16))</f>
        <v/>
      </c>
      <c r="AR16" s="7" t="str">
        <f>IF($A16="","",[2]!B_CALC_PRICE($A16,$AQ$1,IF(情景分析!$D$6=1,$J16,IF(情景分析!$D$6=2,$E16,IF(情景分析!$D$6=4,IF($C16="银行间",$J16,$L16),$G16)))+AR$2/100,情景分析!$D$7,"",,,,"",)*IF($H16="",1,$H16))</f>
        <v/>
      </c>
      <c r="AS16" s="7" t="str">
        <f>IF($A16="","",[2]!B_CALC_PRICE($A16,$AQ$1,IF(情景分析!$D$6=1,$J16,IF(情景分析!$D$6=2,$E16,IF(情景分析!$D$6=4,IF($C16="银行间",$J16,$L16),$G16)))+AS$2/100,情景分析!$D$7,"",,,,"",)*IF($H16="",1,$H16))</f>
        <v/>
      </c>
      <c r="AT16" s="7" t="str">
        <f>IF($A16="","",[2]!B_CALC_PRICE($A16,$AQ$1,IF(情景分析!$D$6=1,$J16,IF(情景分析!$D$6=2,$E16,IF(情景分析!$D$6=4,IF($C16="银行间",$J16,$L16),$G16)))+AT$2/100,情景分析!$D$7,"",,,,"",)*IF($H16="",1,$H16))</f>
        <v/>
      </c>
      <c r="AU16" s="7" t="str">
        <f>IF($A16="","",[2]!B_CALC_PRICE($A16,$AQ$1,IF(情景分析!$D$6=1,$J16,IF(情景分析!$D$6=2,$E16,IF(情景分析!$D$6=4,IF($C16="银行间",$J16,$L16),$G16)))+AU$2/100,情景分析!$D$7,"",,,,"",)*IF($H16="",1,$H16))</f>
        <v/>
      </c>
      <c r="AV16" s="7" t="str">
        <f>IF($A16="","",[2]!B_CALC_PRICE($A16,$AQ$1,IF(情景分析!$D$6=1,$J16,IF(情景分析!$D$6=2,$E16,IF(情景分析!$D$6=4,IF($C16="银行间",$J16,$L16),$G16)))+AV$2/100,情景分析!$D$7,"",,,,"",)*IF($H16="",1,$H16))</f>
        <v/>
      </c>
      <c r="AW16" s="7" t="str">
        <f>IF($A16="","",[2]!B_CALC_PRICE($A16,$AQ$1,IF(情景分析!$D$6=1,$J16,IF(情景分析!$D$6=2,$E16,IF(情景分析!$D$6=4,IF($C16="银行间",$J16,$L16),$G16)))+AW$2/100,情景分析!$D$7,"",,,,"",)*IF($H16="",1,$H16))</f>
        <v/>
      </c>
    </row>
    <row r="17" spans="1:49" x14ac:dyDescent="0.15">
      <c r="A17" s="20"/>
      <c r="B17" s="7" t="str">
        <f>IF(A17="","",[2]!b_info_name(A17))</f>
        <v/>
      </c>
      <c r="C17" s="7" t="str">
        <f>[2]!b_info_listedmkt(A17)</f>
        <v>#N/A</v>
      </c>
      <c r="D17" s="7" t="str">
        <f>IFERROR(IF(A17="","", [2]!b_dq_avgprice(A17, 情景分析!$D$5, 情景分析!$D$7) * IF($H17="",1,$H17)),0)</f>
        <v/>
      </c>
      <c r="E17" s="7" t="str">
        <f>IF(A17="","", N([2]!b_dq_avgprice(A17,情景分析!$D$5,3)))</f>
        <v/>
      </c>
      <c r="F17" s="29" t="str">
        <f>IF($G17 = "",
"",
IFERROR(
[2]!b_calc_pv(A17, 情景分析!$D$5,$G17, "1", 情景分析!$D$7),
[2]!b_calc_pv(A17, 情景分析!$D$5,$G17, "2", 情景分析!$D$7)
)
)</f>
        <v/>
      </c>
      <c r="G17" s="22"/>
      <c r="H17" s="21"/>
      <c r="I17" s="7" t="str">
        <f>IF(A17="","",IF(情景分析!$D$7=1,[2]!b_anal_net_cnbd(A17,情景分析!$D$5,1),[2]!b_anal_dirty_cnbd(A17,情景分析!$D$5,1))*IF($H17="",1,$H17))</f>
        <v/>
      </c>
      <c r="J17" s="7" t="str">
        <f>IF(A17="","",[2]!b_anal_yield_cnbd(A17,情景分析!$D$5,1))</f>
        <v/>
      </c>
      <c r="K17" s="29" t="str">
        <f>IF(A17="","",IF(情景分析!$D$7=1,[2]!b_anal_net_csi1(A17,情景分析!$D$5,1),[2]!b_anal_dirty_csi1(A17,情景分析!$D$5,1))*IF($H17="",1,$H17))</f>
        <v/>
      </c>
      <c r="L17" s="29" t="str">
        <f>IF(A17="","",[2]!b_anal_yield_csi1(A17,情景分析!$D$5,1))</f>
        <v/>
      </c>
      <c r="M17" s="29" t="str">
        <f t="shared" si="4"/>
        <v/>
      </c>
      <c r="N17" s="29" t="str">
        <f t="shared" si="5"/>
        <v/>
      </c>
      <c r="O17" s="7" t="str">
        <f>IF($A17="","",[2]!B_CALC_PRICE($A17,$O$1,IF(情景分析!$D$6=1,$J17,IF(情景分析!$D$6=2,$E17,IF(情景分析!$D$6=4,IF($C17="银行间",$J17,$L17),$G17)))+O$2/100,情景分析!$D$7,"",,,,"",)*IF($H17="",1,$H17))</f>
        <v/>
      </c>
      <c r="P17" s="7" t="str">
        <f>IF($A17="","",[2]!B_CALC_PRICE($A17,$O$1,IF(情景分析!$D$6=1,$J17,IF(情景分析!$D$6=2,$E17,IF(情景分析!$D$6=4,IF($C17="银行间",$J17,$L17),$G17)))+P$2/100,情景分析!$D$7,"",,,,"",)*IF($H17="",1,$H17))</f>
        <v/>
      </c>
      <c r="Q17" s="7" t="str">
        <f>IF($A17="","",[2]!B_CALC_PRICE($A17,$O$1,IF(情景分析!$D$6=1,$J17,IF(情景分析!$D$6=2,$E17,IF(情景分析!$D$6=4,IF($C17="银行间",$J17,$L17),$G17)))+Q$2/100,情景分析!$D$7,"",,,,"",)*IF($H17="",1,$H17))</f>
        <v/>
      </c>
      <c r="R17" s="7" t="str">
        <f>IF($A17="","",[2]!B_CALC_PRICE($A17,$O$1,IF(情景分析!$D$6=1,$J17,IF(情景分析!$D$6=2,$E17,IF(情景分析!$D$6=4,IF($C17="银行间",$J17,$L17),$G17)))+R$2/100,情景分析!$D$7,"",,,,"",)*IF($H17="",1,$H17))</f>
        <v/>
      </c>
      <c r="S17" s="7" t="str">
        <f>IF($A17="","",[2]!B_CALC_PRICE($A17,$O$1,IF(情景分析!$D$6=1,$J17,IF(情景分析!$D$6=2,$E17,IF(情景分析!$D$6=4,IF($C17="银行间",$J17,$L17),$G17)))+S$2/100,情景分析!$D$7,"",,,,"",)*IF($H17="",1,$H17))</f>
        <v/>
      </c>
      <c r="T17" s="7" t="str">
        <f>IF($A17="","",[2]!B_CALC_PRICE($A17,$O$1,IF(情景分析!$D$6=1,$J17,IF(情景分析!$D$6=2,$E17,IF(情景分析!$D$6=4,IF($C17="银行间",$J17,$L17),$G17)))+T$2/100,情景分析!$D$7,"",,,,"",)*IF($H17="",1,$H17))</f>
        <v/>
      </c>
      <c r="U17" s="7" t="str">
        <f>IF($A17="","",[2]!B_CALC_PRICE($A17,$O$1,IF(情景分析!$D$6=1,$J17,IF(情景分析!$D$6=2,$E17,IF(情景分析!$D$6=4,IF($C17="银行间",$J17,$L17),$G17)))+U$2/100,情景分析!$D$7,"",,,,"",)*IF($H17="",1,$H17))</f>
        <v/>
      </c>
      <c r="V17" s="7" t="str">
        <f>IF($A17="","",[2]!B_CALC_PRICE($A17,$V$1,IF(情景分析!$D$6=1,$J17,IF(情景分析!$D$6=2,$E17,IF(情景分析!$D$6=4,IF($C17="银行间",$J17,$L17),$G17)))+V$2/100,情景分析!$D$7,"",,,,"",)*IF($H17="",1,$H17))</f>
        <v/>
      </c>
      <c r="W17" s="7" t="str">
        <f>IF($A17="","",[2]!B_CALC_PRICE($A17,$V$1,IF(情景分析!$D$6=1,$J17,IF(情景分析!$D$6=2,$E17,IF(情景分析!$D$6=4,IF($C17="银行间",$J17,$L17),$G17)))+W$2/100,情景分析!$D$7,"",,,,"",)*IF($H17="",1,$H17))</f>
        <v/>
      </c>
      <c r="X17" s="7" t="str">
        <f>IF($A17="","",[2]!B_CALC_PRICE($A17,$V$1,IF(情景分析!$D$6=1,$J17,IF(情景分析!$D$6=2,$E17,IF(情景分析!$D$6=4,IF($C17="银行间",$J17,$L17),$G17)))+X$2/100,情景分析!$D$7,"",,,,"",)*IF($H17="",1,$H17))</f>
        <v/>
      </c>
      <c r="Y17" s="7" t="str">
        <f>IF($A17="","",[2]!B_CALC_PRICE($A17,$V$1,IF(情景分析!$D$6=1,$J17,IF(情景分析!$D$6=2,$E17,IF(情景分析!$D$6=4,IF($C17="银行间",$J17,$L17),$G17)))+Y$2/100,情景分析!$D$7,"",,,,"",)*IF($H17="",1,$H17))</f>
        <v/>
      </c>
      <c r="Z17" s="7" t="str">
        <f>IF($A17="","",[2]!B_CALC_PRICE($A17,$V$1,IF(情景分析!$D$6=1,$J17,IF(情景分析!$D$6=2,$E17,IF(情景分析!$D$6=4,IF($C17="银行间",$J17,$L17),$G17)))+Z$2/100,情景分析!$D$7,"",,,,"",)*IF($H17="",1,$H17))</f>
        <v/>
      </c>
      <c r="AA17" s="7" t="str">
        <f>IF($A17="","",[2]!B_CALC_PRICE($A17,$V$1,IF(情景分析!$D$6=1,$J17,IF(情景分析!$D$6=2,$E17,IF(情景分析!$D$6=4,IF($C17="银行间",$J17,$L17),$G17)))+AA$2/100,情景分析!$D$7,"",,,,"",)*IF($H17="",1,$H17))</f>
        <v/>
      </c>
      <c r="AB17" s="7" t="str">
        <f>IF($A17="","",[2]!B_CALC_PRICE($A17,$V$1,IF(情景分析!$D$6=1,$J17,IF(情景分析!$D$6=2,$E17,IF(情景分析!$D$6=4,IF($C17="银行间",$J17,$L17),$G17)))+AB$2/100,情景分析!$D$7,"",,,,"",)*IF($H17="",1,$H17))</f>
        <v/>
      </c>
      <c r="AC17" s="7" t="str">
        <f>IF($A17="","",[2]!B_CALC_PRICE($A17,$AC$1,IF(情景分析!$D$6=1,$J17,IF(情景分析!$D$6=2,$E17,IF(情景分析!$D$6=4,IF($C17="银行间",$J17,$L17),$G17)))+AC$2/100,情景分析!$D$7,"",,,,"",)*IF($H17="",1,$H17))</f>
        <v/>
      </c>
      <c r="AD17" s="7" t="str">
        <f>IF($A17="","",[2]!B_CALC_PRICE($A17,$AC$1,IF(情景分析!$D$6=1,$J17,IF(情景分析!$D$6=2,$E17,IF(情景分析!$D$6=4,IF($C17="银行间",$J17,$L17),$G17)))+AD$2/100,情景分析!$D$7,"",,,,"",)*IF($H17="",1,$H17))</f>
        <v/>
      </c>
      <c r="AE17" s="7" t="str">
        <f>IF($A17="","",[2]!B_CALC_PRICE($A17,$AC$1,IF(情景分析!$D$6=1,$J17,IF(情景分析!$D$6=2,$E17,IF(情景分析!$D$6=4,IF($C17="银行间",$J17,$L17),$G17)))+AE$2/100,情景分析!$D$7,"",,,,"",)*IF($H17="",1,$H17))</f>
        <v/>
      </c>
      <c r="AF17" s="7" t="str">
        <f>IF($A17="","",[2]!B_CALC_PRICE($A17,$AC$1,IF(情景分析!$D$6=1,$J17,IF(情景分析!$D$6=2,$E17,IF(情景分析!$D$6=4,IF($C17="银行间",$J17,$L17),$G17)))+AF$2/100,情景分析!$D$7,"",,,,"",)*IF($H17="",1,$H17))</f>
        <v/>
      </c>
      <c r="AG17" s="7" t="str">
        <f>IF($A17="","",[2]!B_CALC_PRICE($A17,$AC$1,IF(情景分析!$D$6=1,$J17,IF(情景分析!$D$6=2,$E17,IF(情景分析!$D$6=4,IF($C17="银行间",$J17,$L17),$G17)))+AG$2/100,情景分析!$D$7,"",,,,"",)*IF($H17="",1,$H17))</f>
        <v/>
      </c>
      <c r="AH17" s="7" t="str">
        <f>IF($A17="","",[2]!B_CALC_PRICE($A17,$AC$1,IF(情景分析!$D$6=1,$J17,IF(情景分析!$D$6=2,$E17,IF(情景分析!$D$6=4,IF($C17="银行间",$J17,$L17),$G17)))+AH$2/100,情景分析!$D$7,"",,,,"",)*IF($H17="",1,$H17))</f>
        <v/>
      </c>
      <c r="AI17" s="7" t="str">
        <f>IF($A17="","",[2]!B_CALC_PRICE($A17,$AC$1,IF(情景分析!$D$6=1,$J17,IF(情景分析!$D$6=2,$E17,IF(情景分析!$D$6=4,IF($C17="银行间",$J17,$L17),$G17)))+AI$2/100,情景分析!$D$7,"",,,,"",)*IF($H17="",1,$H17))</f>
        <v/>
      </c>
      <c r="AJ17" s="7" t="str">
        <f>IF($A17="","",[2]!B_CALC_PRICE($A17,$AJ$1,IF(情景分析!$D$6=1,$J17,IF(情景分析!$D$6=2,$E17,IF(情景分析!$D$6=4,IF($C17="银行间",$J17,$L17),$G17)))+AJ$2/100,情景分析!$D$7,"",,,,"",)*IF($H17="",1,$H17))</f>
        <v/>
      </c>
      <c r="AK17" s="7" t="str">
        <f>IF($A17="","",[2]!B_CALC_PRICE($A17,$AJ$1,IF(情景分析!$D$6=1,$J17,IF(情景分析!$D$6=2,$E17,IF(情景分析!$D$6=4,IF($C17="银行间",$J17,$L17),$G17)))+AK$2/100,情景分析!$D$7,"",,,,"",)*IF($H17="",1,$H17))</f>
        <v/>
      </c>
      <c r="AL17" s="7" t="str">
        <f>IF($A17="","",[2]!B_CALC_PRICE($A17,$AJ$1,IF(情景分析!$D$6=1,$J17,IF(情景分析!$D$6=2,$E17,IF(情景分析!$D$6=4,IF($C17="银行间",$J17,$L17),$G17)))+AL$2/100,情景分析!$D$7,"",,,,"",)*IF($H17="",1,$H17))</f>
        <v/>
      </c>
      <c r="AM17" s="7" t="str">
        <f>IF($A17="","",[2]!B_CALC_PRICE($A17,$AJ$1,IF(情景分析!$D$6=1,$J17,IF(情景分析!$D$6=2,$E17,IF(情景分析!$D$6=4,IF($C17="银行间",$J17,$L17),$G17)))+AM$2/100,情景分析!$D$7,"",,,,"",)*IF($H17="",1,$H17))</f>
        <v/>
      </c>
      <c r="AN17" s="7" t="str">
        <f>IF($A17="","",[2]!B_CALC_PRICE($A17,$AJ$1,IF(情景分析!$D$6=1,$J17,IF(情景分析!$D$6=2,$E17,IF(情景分析!$D$6=4,IF($C17="银行间",$J17,$L17),$G17)))+AN$2/100,情景分析!$D$7,"",,,,"",)*IF($H17="",1,$H17))</f>
        <v/>
      </c>
      <c r="AO17" s="7" t="str">
        <f>IF($A17="","",[2]!B_CALC_PRICE($A17,$AJ$1,IF(情景分析!$D$6=1,$J17,IF(情景分析!$D$6=2,$E17,IF(情景分析!$D$6=4,IF($C17="银行间",$J17,$L17),$G17)))+AO$2/100,情景分析!$D$7,"",,,,"",)*IF($H17="",1,$H17))</f>
        <v/>
      </c>
      <c r="AP17" s="7" t="str">
        <f>IF($A17="","",[2]!B_CALC_PRICE($A17,$AJ$1,IF(情景分析!$D$6=1,$J17,IF(情景分析!$D$6=2,$E17,IF(情景分析!$D$6=4,IF($C17="银行间",$J17,$L17),$G17)))+AP$2/100,情景分析!$D$7,"",,,,"",)*IF($H17="",1,$H17))</f>
        <v/>
      </c>
      <c r="AQ17" s="7" t="str">
        <f>IF($A17="","",[2]!B_CALC_PRICE($A17,$AQ$1,IF(情景分析!$D$6=1,$J17,IF(情景分析!$D$6=2,$E17,IF(情景分析!$D$6=4,IF($C17="银行间",$J17,$L17),$G17)))+AQ$2/100,情景分析!$D$7,"",,,,"",)*IF($H17="",1,$H17))</f>
        <v/>
      </c>
      <c r="AR17" s="7" t="str">
        <f>IF($A17="","",[2]!B_CALC_PRICE($A17,$AQ$1,IF(情景分析!$D$6=1,$J17,IF(情景分析!$D$6=2,$E17,IF(情景分析!$D$6=4,IF($C17="银行间",$J17,$L17),$G17)))+AR$2/100,情景分析!$D$7,"",,,,"",)*IF($H17="",1,$H17))</f>
        <v/>
      </c>
      <c r="AS17" s="7" t="str">
        <f>IF($A17="","",[2]!B_CALC_PRICE($A17,$AQ$1,IF(情景分析!$D$6=1,$J17,IF(情景分析!$D$6=2,$E17,IF(情景分析!$D$6=4,IF($C17="银行间",$J17,$L17),$G17)))+AS$2/100,情景分析!$D$7,"",,,,"",)*IF($H17="",1,$H17))</f>
        <v/>
      </c>
      <c r="AT17" s="7" t="str">
        <f>IF($A17="","",[2]!B_CALC_PRICE($A17,$AQ$1,IF(情景分析!$D$6=1,$J17,IF(情景分析!$D$6=2,$E17,IF(情景分析!$D$6=4,IF($C17="银行间",$J17,$L17),$G17)))+AT$2/100,情景分析!$D$7,"",,,,"",)*IF($H17="",1,$H17))</f>
        <v/>
      </c>
      <c r="AU17" s="7" t="str">
        <f>IF($A17="","",[2]!B_CALC_PRICE($A17,$AQ$1,IF(情景分析!$D$6=1,$J17,IF(情景分析!$D$6=2,$E17,IF(情景分析!$D$6=4,IF($C17="银行间",$J17,$L17),$G17)))+AU$2/100,情景分析!$D$7,"",,,,"",)*IF($H17="",1,$H17))</f>
        <v/>
      </c>
      <c r="AV17" s="7" t="str">
        <f>IF($A17="","",[2]!B_CALC_PRICE($A17,$AQ$1,IF(情景分析!$D$6=1,$J17,IF(情景分析!$D$6=2,$E17,IF(情景分析!$D$6=4,IF($C17="银行间",$J17,$L17),$G17)))+AV$2/100,情景分析!$D$7,"",,,,"",)*IF($H17="",1,$H17))</f>
        <v/>
      </c>
      <c r="AW17" s="7" t="str">
        <f>IF($A17="","",[2]!B_CALC_PRICE($A17,$AQ$1,IF(情景分析!$D$6=1,$J17,IF(情景分析!$D$6=2,$E17,IF(情景分析!$D$6=4,IF($C17="银行间",$J17,$L17),$G17)))+AW$2/100,情景分析!$D$7,"",,,,"",)*IF($H17="",1,$H17))</f>
        <v/>
      </c>
    </row>
    <row r="18" spans="1:49" x14ac:dyDescent="0.15">
      <c r="A18" s="20"/>
      <c r="B18" s="7" t="str">
        <f>IF(A18="","",[2]!b_info_name(A18))</f>
        <v/>
      </c>
      <c r="C18" s="7" t="str">
        <f>[2]!b_info_listedmkt(A18)</f>
        <v>#N/A</v>
      </c>
      <c r="D18" s="7" t="str">
        <f>IFERROR(IF(A18="","", [2]!b_dq_avgprice(A18, 情景分析!$D$5, 情景分析!$D$7) * IF($H18="",1,$H18)),0)</f>
        <v/>
      </c>
      <c r="E18" s="7" t="str">
        <f>IF(A18="","", N([2]!b_dq_avgprice(A18,情景分析!$D$5,3)))</f>
        <v/>
      </c>
      <c r="F18" s="29" t="str">
        <f>IF($G18 = "",
"",
IFERROR(
[2]!b_calc_pv(A18, 情景分析!$D$5,$G18, "1", 情景分析!$D$7),
[2]!b_calc_pv(A18, 情景分析!$D$5,$G18, "2", 情景分析!$D$7)
)
)</f>
        <v/>
      </c>
      <c r="G18" s="22"/>
      <c r="H18" s="21"/>
      <c r="I18" s="7" t="str">
        <f>IF(A18="","",IF(情景分析!$D$7=1,[2]!b_anal_net_cnbd(A18,情景分析!$D$5,1),[2]!b_anal_dirty_cnbd(A18,情景分析!$D$5,1))*IF($H18="",1,$H18))</f>
        <v/>
      </c>
      <c r="J18" s="7" t="str">
        <f>IF(A18="","",[2]!b_anal_yield_cnbd(A18,情景分析!$D$5,1))</f>
        <v/>
      </c>
      <c r="K18" s="29" t="str">
        <f>IF(A18="","",IF(情景分析!$D$7=1,[2]!b_anal_net_csi1(A18,情景分析!$D$5,1),[2]!b_anal_dirty_csi1(A18,情景分析!$D$5,1))*IF($H18="",1,$H18))</f>
        <v/>
      </c>
      <c r="L18" s="29" t="str">
        <f>IF(A18="","",[2]!b_anal_yield_csi1(A18,情景分析!$D$5,1))</f>
        <v/>
      </c>
      <c r="M18" s="29" t="str">
        <f t="shared" si="4"/>
        <v/>
      </c>
      <c r="N18" s="29" t="str">
        <f t="shared" si="5"/>
        <v/>
      </c>
      <c r="O18" s="7" t="str">
        <f>IF($A18="","",[2]!B_CALC_PRICE($A18,$O$1,IF(情景分析!$D$6=1,$J18,IF(情景分析!$D$6=2,$E18,IF(情景分析!$D$6=4,IF($C18="银行间",$J18,$L18),$G18)))+O$2/100,情景分析!$D$7,"",,,,"",)*IF($H18="",1,$H18))</f>
        <v/>
      </c>
      <c r="P18" s="7" t="str">
        <f>IF($A18="","",[2]!B_CALC_PRICE($A18,$O$1,IF(情景分析!$D$6=1,$J18,IF(情景分析!$D$6=2,$E18,IF(情景分析!$D$6=4,IF($C18="银行间",$J18,$L18),$G18)))+P$2/100,情景分析!$D$7,"",,,,"",)*IF($H18="",1,$H18))</f>
        <v/>
      </c>
      <c r="Q18" s="7" t="str">
        <f>IF($A18="","",[2]!B_CALC_PRICE($A18,$O$1,IF(情景分析!$D$6=1,$J18,IF(情景分析!$D$6=2,$E18,IF(情景分析!$D$6=4,IF($C18="银行间",$J18,$L18),$G18)))+Q$2/100,情景分析!$D$7,"",,,,"",)*IF($H18="",1,$H18))</f>
        <v/>
      </c>
      <c r="R18" s="7" t="str">
        <f>IF($A18="","",[2]!B_CALC_PRICE($A18,$O$1,IF(情景分析!$D$6=1,$J18,IF(情景分析!$D$6=2,$E18,IF(情景分析!$D$6=4,IF($C18="银行间",$J18,$L18),$G18)))+R$2/100,情景分析!$D$7,"",,,,"",)*IF($H18="",1,$H18))</f>
        <v/>
      </c>
      <c r="S18" s="7" t="str">
        <f>IF($A18="","",[2]!B_CALC_PRICE($A18,$O$1,IF(情景分析!$D$6=1,$J18,IF(情景分析!$D$6=2,$E18,IF(情景分析!$D$6=4,IF($C18="银行间",$J18,$L18),$G18)))+S$2/100,情景分析!$D$7,"",,,,"",)*IF($H18="",1,$H18))</f>
        <v/>
      </c>
      <c r="T18" s="7" t="str">
        <f>IF($A18="","",[2]!B_CALC_PRICE($A18,$O$1,IF(情景分析!$D$6=1,$J18,IF(情景分析!$D$6=2,$E18,IF(情景分析!$D$6=4,IF($C18="银行间",$J18,$L18),$G18)))+T$2/100,情景分析!$D$7,"",,,,"",)*IF($H18="",1,$H18))</f>
        <v/>
      </c>
      <c r="U18" s="7" t="str">
        <f>IF($A18="","",[2]!B_CALC_PRICE($A18,$O$1,IF(情景分析!$D$6=1,$J18,IF(情景分析!$D$6=2,$E18,IF(情景分析!$D$6=4,IF($C18="银行间",$J18,$L18),$G18)))+U$2/100,情景分析!$D$7,"",,,,"",)*IF($H18="",1,$H18))</f>
        <v/>
      </c>
      <c r="V18" s="7" t="str">
        <f>IF($A18="","",[2]!B_CALC_PRICE($A18,$V$1,IF(情景分析!$D$6=1,$J18,IF(情景分析!$D$6=2,$E18,IF(情景分析!$D$6=4,IF($C18="银行间",$J18,$L18),$G18)))+V$2/100,情景分析!$D$7,"",,,,"",)*IF($H18="",1,$H18))</f>
        <v/>
      </c>
      <c r="W18" s="7" t="str">
        <f>IF($A18="","",[2]!B_CALC_PRICE($A18,$V$1,IF(情景分析!$D$6=1,$J18,IF(情景分析!$D$6=2,$E18,IF(情景分析!$D$6=4,IF($C18="银行间",$J18,$L18),$G18)))+W$2/100,情景分析!$D$7,"",,,,"",)*IF($H18="",1,$H18))</f>
        <v/>
      </c>
      <c r="X18" s="7" t="str">
        <f>IF($A18="","",[2]!B_CALC_PRICE($A18,$V$1,IF(情景分析!$D$6=1,$J18,IF(情景分析!$D$6=2,$E18,IF(情景分析!$D$6=4,IF($C18="银行间",$J18,$L18),$G18)))+X$2/100,情景分析!$D$7,"",,,,"",)*IF($H18="",1,$H18))</f>
        <v/>
      </c>
      <c r="Y18" s="7" t="str">
        <f>IF($A18="","",[2]!B_CALC_PRICE($A18,$V$1,IF(情景分析!$D$6=1,$J18,IF(情景分析!$D$6=2,$E18,IF(情景分析!$D$6=4,IF($C18="银行间",$J18,$L18),$G18)))+Y$2/100,情景分析!$D$7,"",,,,"",)*IF($H18="",1,$H18))</f>
        <v/>
      </c>
      <c r="Z18" s="7" t="str">
        <f>IF($A18="","",[2]!B_CALC_PRICE($A18,$V$1,IF(情景分析!$D$6=1,$J18,IF(情景分析!$D$6=2,$E18,IF(情景分析!$D$6=4,IF($C18="银行间",$J18,$L18),$G18)))+Z$2/100,情景分析!$D$7,"",,,,"",)*IF($H18="",1,$H18))</f>
        <v/>
      </c>
      <c r="AA18" s="7" t="str">
        <f>IF($A18="","",[2]!B_CALC_PRICE($A18,$V$1,IF(情景分析!$D$6=1,$J18,IF(情景分析!$D$6=2,$E18,IF(情景分析!$D$6=4,IF($C18="银行间",$J18,$L18),$G18)))+AA$2/100,情景分析!$D$7,"",,,,"",)*IF($H18="",1,$H18))</f>
        <v/>
      </c>
      <c r="AB18" s="7" t="str">
        <f>IF($A18="","",[2]!B_CALC_PRICE($A18,$V$1,IF(情景分析!$D$6=1,$J18,IF(情景分析!$D$6=2,$E18,IF(情景分析!$D$6=4,IF($C18="银行间",$J18,$L18),$G18)))+AB$2/100,情景分析!$D$7,"",,,,"",)*IF($H18="",1,$H18))</f>
        <v/>
      </c>
      <c r="AC18" s="7" t="str">
        <f>IF($A18="","",[2]!B_CALC_PRICE($A18,$AC$1,IF(情景分析!$D$6=1,$J18,IF(情景分析!$D$6=2,$E18,IF(情景分析!$D$6=4,IF($C18="银行间",$J18,$L18),$G18)))+AC$2/100,情景分析!$D$7,"",,,,"",)*IF($H18="",1,$H18))</f>
        <v/>
      </c>
      <c r="AD18" s="7" t="str">
        <f>IF($A18="","",[2]!B_CALC_PRICE($A18,$AC$1,IF(情景分析!$D$6=1,$J18,IF(情景分析!$D$6=2,$E18,IF(情景分析!$D$6=4,IF($C18="银行间",$J18,$L18),$G18)))+AD$2/100,情景分析!$D$7,"",,,,"",)*IF($H18="",1,$H18))</f>
        <v/>
      </c>
      <c r="AE18" s="7" t="str">
        <f>IF($A18="","",[2]!B_CALC_PRICE($A18,$AC$1,IF(情景分析!$D$6=1,$J18,IF(情景分析!$D$6=2,$E18,IF(情景分析!$D$6=4,IF($C18="银行间",$J18,$L18),$G18)))+AE$2/100,情景分析!$D$7,"",,,,"",)*IF($H18="",1,$H18))</f>
        <v/>
      </c>
      <c r="AF18" s="7" t="str">
        <f>IF($A18="","",[2]!B_CALC_PRICE($A18,$AC$1,IF(情景分析!$D$6=1,$J18,IF(情景分析!$D$6=2,$E18,IF(情景分析!$D$6=4,IF($C18="银行间",$J18,$L18),$G18)))+AF$2/100,情景分析!$D$7,"",,,,"",)*IF($H18="",1,$H18))</f>
        <v/>
      </c>
      <c r="AG18" s="7" t="str">
        <f>IF($A18="","",[2]!B_CALC_PRICE($A18,$AC$1,IF(情景分析!$D$6=1,$J18,IF(情景分析!$D$6=2,$E18,IF(情景分析!$D$6=4,IF($C18="银行间",$J18,$L18),$G18)))+AG$2/100,情景分析!$D$7,"",,,,"",)*IF($H18="",1,$H18))</f>
        <v/>
      </c>
      <c r="AH18" s="7" t="str">
        <f>IF($A18="","",[2]!B_CALC_PRICE($A18,$AC$1,IF(情景分析!$D$6=1,$J18,IF(情景分析!$D$6=2,$E18,IF(情景分析!$D$6=4,IF($C18="银行间",$J18,$L18),$G18)))+AH$2/100,情景分析!$D$7,"",,,,"",)*IF($H18="",1,$H18))</f>
        <v/>
      </c>
      <c r="AI18" s="7" t="str">
        <f>IF($A18="","",[2]!B_CALC_PRICE($A18,$AC$1,IF(情景分析!$D$6=1,$J18,IF(情景分析!$D$6=2,$E18,IF(情景分析!$D$6=4,IF($C18="银行间",$J18,$L18),$G18)))+AI$2/100,情景分析!$D$7,"",,,,"",)*IF($H18="",1,$H18))</f>
        <v/>
      </c>
      <c r="AJ18" s="7" t="str">
        <f>IF($A18="","",[2]!B_CALC_PRICE($A18,$AJ$1,IF(情景分析!$D$6=1,$J18,IF(情景分析!$D$6=2,$E18,IF(情景分析!$D$6=4,IF($C18="银行间",$J18,$L18),$G18)))+AJ$2/100,情景分析!$D$7,"",,,,"",)*IF($H18="",1,$H18))</f>
        <v/>
      </c>
      <c r="AK18" s="7" t="str">
        <f>IF($A18="","",[2]!B_CALC_PRICE($A18,$AJ$1,IF(情景分析!$D$6=1,$J18,IF(情景分析!$D$6=2,$E18,IF(情景分析!$D$6=4,IF($C18="银行间",$J18,$L18),$G18)))+AK$2/100,情景分析!$D$7,"",,,,"",)*IF($H18="",1,$H18))</f>
        <v/>
      </c>
      <c r="AL18" s="7" t="str">
        <f>IF($A18="","",[2]!B_CALC_PRICE($A18,$AJ$1,IF(情景分析!$D$6=1,$J18,IF(情景分析!$D$6=2,$E18,IF(情景分析!$D$6=4,IF($C18="银行间",$J18,$L18),$G18)))+AL$2/100,情景分析!$D$7,"",,,,"",)*IF($H18="",1,$H18))</f>
        <v/>
      </c>
      <c r="AM18" s="7" t="str">
        <f>IF($A18="","",[2]!B_CALC_PRICE($A18,$AJ$1,IF(情景分析!$D$6=1,$J18,IF(情景分析!$D$6=2,$E18,IF(情景分析!$D$6=4,IF($C18="银行间",$J18,$L18),$G18)))+AM$2/100,情景分析!$D$7,"",,,,"",)*IF($H18="",1,$H18))</f>
        <v/>
      </c>
      <c r="AN18" s="7" t="str">
        <f>IF($A18="","",[2]!B_CALC_PRICE($A18,$AJ$1,IF(情景分析!$D$6=1,$J18,IF(情景分析!$D$6=2,$E18,IF(情景分析!$D$6=4,IF($C18="银行间",$J18,$L18),$G18)))+AN$2/100,情景分析!$D$7,"",,,,"",)*IF($H18="",1,$H18))</f>
        <v/>
      </c>
      <c r="AO18" s="7" t="str">
        <f>IF($A18="","",[2]!B_CALC_PRICE($A18,$AJ$1,IF(情景分析!$D$6=1,$J18,IF(情景分析!$D$6=2,$E18,IF(情景分析!$D$6=4,IF($C18="银行间",$J18,$L18),$G18)))+AO$2/100,情景分析!$D$7,"",,,,"",)*IF($H18="",1,$H18))</f>
        <v/>
      </c>
      <c r="AP18" s="7" t="str">
        <f>IF($A18="","",[2]!B_CALC_PRICE($A18,$AJ$1,IF(情景分析!$D$6=1,$J18,IF(情景分析!$D$6=2,$E18,IF(情景分析!$D$6=4,IF($C18="银行间",$J18,$L18),$G18)))+AP$2/100,情景分析!$D$7,"",,,,"",)*IF($H18="",1,$H18))</f>
        <v/>
      </c>
      <c r="AQ18" s="7" t="str">
        <f>IF($A18="","",[2]!B_CALC_PRICE($A18,$AQ$1,IF(情景分析!$D$6=1,$J18,IF(情景分析!$D$6=2,$E18,IF(情景分析!$D$6=4,IF($C18="银行间",$J18,$L18),$G18)))+AQ$2/100,情景分析!$D$7,"",,,,"",)*IF($H18="",1,$H18))</f>
        <v/>
      </c>
      <c r="AR18" s="7" t="str">
        <f>IF($A18="","",[2]!B_CALC_PRICE($A18,$AQ$1,IF(情景分析!$D$6=1,$J18,IF(情景分析!$D$6=2,$E18,IF(情景分析!$D$6=4,IF($C18="银行间",$J18,$L18),$G18)))+AR$2/100,情景分析!$D$7,"",,,,"",)*IF($H18="",1,$H18))</f>
        <v/>
      </c>
      <c r="AS18" s="7" t="str">
        <f>IF($A18="","",[2]!B_CALC_PRICE($A18,$AQ$1,IF(情景分析!$D$6=1,$J18,IF(情景分析!$D$6=2,$E18,IF(情景分析!$D$6=4,IF($C18="银行间",$J18,$L18),$G18)))+AS$2/100,情景分析!$D$7,"",,,,"",)*IF($H18="",1,$H18))</f>
        <v/>
      </c>
      <c r="AT18" s="7" t="str">
        <f>IF($A18="","",[2]!B_CALC_PRICE($A18,$AQ$1,IF(情景分析!$D$6=1,$J18,IF(情景分析!$D$6=2,$E18,IF(情景分析!$D$6=4,IF($C18="银行间",$J18,$L18),$G18)))+AT$2/100,情景分析!$D$7,"",,,,"",)*IF($H18="",1,$H18))</f>
        <v/>
      </c>
      <c r="AU18" s="7" t="str">
        <f>IF($A18="","",[2]!B_CALC_PRICE($A18,$AQ$1,IF(情景分析!$D$6=1,$J18,IF(情景分析!$D$6=2,$E18,IF(情景分析!$D$6=4,IF($C18="银行间",$J18,$L18),$G18)))+AU$2/100,情景分析!$D$7,"",,,,"",)*IF($H18="",1,$H18))</f>
        <v/>
      </c>
      <c r="AV18" s="7" t="str">
        <f>IF($A18="","",[2]!B_CALC_PRICE($A18,$AQ$1,IF(情景分析!$D$6=1,$J18,IF(情景分析!$D$6=2,$E18,IF(情景分析!$D$6=4,IF($C18="银行间",$J18,$L18),$G18)))+AV$2/100,情景分析!$D$7,"",,,,"",)*IF($H18="",1,$H18))</f>
        <v/>
      </c>
      <c r="AW18" s="7" t="str">
        <f>IF($A18="","",[2]!B_CALC_PRICE($A18,$AQ$1,IF(情景分析!$D$6=1,$J18,IF(情景分析!$D$6=2,$E18,IF(情景分析!$D$6=4,IF($C18="银行间",$J18,$L18),$G18)))+AW$2/100,情景分析!$D$7,"",,,,"",)*IF($H18="",1,$H18))</f>
        <v/>
      </c>
    </row>
    <row r="19" spans="1:49" x14ac:dyDescent="0.15">
      <c r="A19" s="20"/>
      <c r="B19" s="7" t="str">
        <f>IF(A19="","",[2]!b_info_name(A19))</f>
        <v/>
      </c>
      <c r="C19" s="7" t="str">
        <f>[2]!b_info_listedmkt(A19)</f>
        <v>#N/A</v>
      </c>
      <c r="D19" s="7" t="str">
        <f>IFERROR(IF(A19="","", [2]!b_dq_avgprice(A19, 情景分析!$D$5, 情景分析!$D$7) * IF($H19="",1,$H19)),0)</f>
        <v/>
      </c>
      <c r="E19" s="7" t="str">
        <f>IF(A19="","", N([2]!b_dq_avgprice(A19,情景分析!$D$5,3)))</f>
        <v/>
      </c>
      <c r="F19" s="29" t="str">
        <f>IF($G19 = "",
"",
IFERROR(
[2]!b_calc_pv(A19, 情景分析!$D$5,$G19, "1", 情景分析!$D$7),
[2]!b_calc_pv(A19, 情景分析!$D$5,$G19, "2", 情景分析!$D$7)
)
)</f>
        <v/>
      </c>
      <c r="G19" s="22"/>
      <c r="H19" s="21"/>
      <c r="I19" s="7" t="str">
        <f>IF(A19="","",IF(情景分析!$D$7=1,[2]!b_anal_net_cnbd(A19,情景分析!$D$5,1),[2]!b_anal_dirty_cnbd(A19,情景分析!$D$5,1))*IF($H19="",1,$H19))</f>
        <v/>
      </c>
      <c r="J19" s="7" t="str">
        <f>IF(A19="","",[2]!b_anal_yield_cnbd(A19,情景分析!$D$5,1))</f>
        <v/>
      </c>
      <c r="K19" s="29" t="str">
        <f>IF(A19="","",IF(情景分析!$D$7=1,[2]!b_anal_net_csi1(A19,情景分析!$D$5,1),[2]!b_anal_dirty_csi1(A19,情景分析!$D$5,1))*IF($H19="",1,$H19))</f>
        <v/>
      </c>
      <c r="L19" s="29" t="str">
        <f>IF(A19="","",[2]!b_anal_yield_csi1(A19,情景分析!$D$5,1))</f>
        <v/>
      </c>
      <c r="M19" s="29" t="str">
        <f t="shared" si="4"/>
        <v/>
      </c>
      <c r="N19" s="29" t="str">
        <f t="shared" si="5"/>
        <v/>
      </c>
      <c r="O19" s="7" t="str">
        <f>IF($A19="","",[2]!B_CALC_PRICE($A19,$O$1,IF(情景分析!$D$6=1,$J19,IF(情景分析!$D$6=2,$E19,IF(情景分析!$D$6=4,IF($C19="银行间",$J19,$L19),$G19)))+O$2/100,情景分析!$D$7,"",,,,"",)*IF($H19="",1,$H19))</f>
        <v/>
      </c>
      <c r="P19" s="7" t="str">
        <f>IF($A19="","",[2]!B_CALC_PRICE($A19,$O$1,IF(情景分析!$D$6=1,$J19,IF(情景分析!$D$6=2,$E19,IF(情景分析!$D$6=4,IF($C19="银行间",$J19,$L19),$G19)))+P$2/100,情景分析!$D$7,"",,,,"",)*IF($H19="",1,$H19))</f>
        <v/>
      </c>
      <c r="Q19" s="7" t="str">
        <f>IF($A19="","",[2]!B_CALC_PRICE($A19,$O$1,IF(情景分析!$D$6=1,$J19,IF(情景分析!$D$6=2,$E19,IF(情景分析!$D$6=4,IF($C19="银行间",$J19,$L19),$G19)))+Q$2/100,情景分析!$D$7,"",,,,"",)*IF($H19="",1,$H19))</f>
        <v/>
      </c>
      <c r="R19" s="7" t="str">
        <f>IF($A19="","",[2]!B_CALC_PRICE($A19,$O$1,IF(情景分析!$D$6=1,$J19,IF(情景分析!$D$6=2,$E19,IF(情景分析!$D$6=4,IF($C19="银行间",$J19,$L19),$G19)))+R$2/100,情景分析!$D$7,"",,,,"",)*IF($H19="",1,$H19))</f>
        <v/>
      </c>
      <c r="S19" s="7" t="str">
        <f>IF($A19="","",[2]!B_CALC_PRICE($A19,$O$1,IF(情景分析!$D$6=1,$J19,IF(情景分析!$D$6=2,$E19,IF(情景分析!$D$6=4,IF($C19="银行间",$J19,$L19),$G19)))+S$2/100,情景分析!$D$7,"",,,,"",)*IF($H19="",1,$H19))</f>
        <v/>
      </c>
      <c r="T19" s="7" t="str">
        <f>IF($A19="","",[2]!B_CALC_PRICE($A19,$O$1,IF(情景分析!$D$6=1,$J19,IF(情景分析!$D$6=2,$E19,IF(情景分析!$D$6=4,IF($C19="银行间",$J19,$L19),$G19)))+T$2/100,情景分析!$D$7,"",,,,"",)*IF($H19="",1,$H19))</f>
        <v/>
      </c>
      <c r="U19" s="7" t="str">
        <f>IF($A19="","",[2]!B_CALC_PRICE($A19,$O$1,IF(情景分析!$D$6=1,$J19,IF(情景分析!$D$6=2,$E19,IF(情景分析!$D$6=4,IF($C19="银行间",$J19,$L19),$G19)))+U$2/100,情景分析!$D$7,"",,,,"",)*IF($H19="",1,$H19))</f>
        <v/>
      </c>
      <c r="V19" s="7" t="str">
        <f>IF($A19="","",[2]!B_CALC_PRICE($A19,$V$1,IF(情景分析!$D$6=1,$J19,IF(情景分析!$D$6=2,$E19,IF(情景分析!$D$6=4,IF($C19="银行间",$J19,$L19),$G19)))+V$2/100,情景分析!$D$7,"",,,,"",)*IF($H19="",1,$H19))</f>
        <v/>
      </c>
      <c r="W19" s="7" t="str">
        <f>IF($A19="","",[2]!B_CALC_PRICE($A19,$V$1,IF(情景分析!$D$6=1,$J19,IF(情景分析!$D$6=2,$E19,IF(情景分析!$D$6=4,IF($C19="银行间",$J19,$L19),$G19)))+W$2/100,情景分析!$D$7,"",,,,"",)*IF($H19="",1,$H19))</f>
        <v/>
      </c>
      <c r="X19" s="7" t="str">
        <f>IF($A19="","",[2]!B_CALC_PRICE($A19,$V$1,IF(情景分析!$D$6=1,$J19,IF(情景分析!$D$6=2,$E19,IF(情景分析!$D$6=4,IF($C19="银行间",$J19,$L19),$G19)))+X$2/100,情景分析!$D$7,"",,,,"",)*IF($H19="",1,$H19))</f>
        <v/>
      </c>
      <c r="Y19" s="7" t="str">
        <f>IF($A19="","",[2]!B_CALC_PRICE($A19,$V$1,IF(情景分析!$D$6=1,$J19,IF(情景分析!$D$6=2,$E19,IF(情景分析!$D$6=4,IF($C19="银行间",$J19,$L19),$G19)))+Y$2/100,情景分析!$D$7,"",,,,"",)*IF($H19="",1,$H19))</f>
        <v/>
      </c>
      <c r="Z19" s="7" t="str">
        <f>IF($A19="","",[2]!B_CALC_PRICE($A19,$V$1,IF(情景分析!$D$6=1,$J19,IF(情景分析!$D$6=2,$E19,IF(情景分析!$D$6=4,IF($C19="银行间",$J19,$L19),$G19)))+Z$2/100,情景分析!$D$7,"",,,,"",)*IF($H19="",1,$H19))</f>
        <v/>
      </c>
      <c r="AA19" s="7" t="str">
        <f>IF($A19="","",[2]!B_CALC_PRICE($A19,$V$1,IF(情景分析!$D$6=1,$J19,IF(情景分析!$D$6=2,$E19,IF(情景分析!$D$6=4,IF($C19="银行间",$J19,$L19),$G19)))+AA$2/100,情景分析!$D$7,"",,,,"",)*IF($H19="",1,$H19))</f>
        <v/>
      </c>
      <c r="AB19" s="7" t="str">
        <f>IF($A19="","",[2]!B_CALC_PRICE($A19,$V$1,IF(情景分析!$D$6=1,$J19,IF(情景分析!$D$6=2,$E19,IF(情景分析!$D$6=4,IF($C19="银行间",$J19,$L19),$G19)))+AB$2/100,情景分析!$D$7,"",,,,"",)*IF($H19="",1,$H19))</f>
        <v/>
      </c>
      <c r="AC19" s="7" t="str">
        <f>IF($A19="","",[2]!B_CALC_PRICE($A19,$AC$1,IF(情景分析!$D$6=1,$J19,IF(情景分析!$D$6=2,$E19,IF(情景分析!$D$6=4,IF($C19="银行间",$J19,$L19),$G19)))+AC$2/100,情景分析!$D$7,"",,,,"",)*IF($H19="",1,$H19))</f>
        <v/>
      </c>
      <c r="AD19" s="7" t="str">
        <f>IF($A19="","",[2]!B_CALC_PRICE($A19,$AC$1,IF(情景分析!$D$6=1,$J19,IF(情景分析!$D$6=2,$E19,IF(情景分析!$D$6=4,IF($C19="银行间",$J19,$L19),$G19)))+AD$2/100,情景分析!$D$7,"",,,,"",)*IF($H19="",1,$H19))</f>
        <v/>
      </c>
      <c r="AE19" s="7" t="str">
        <f>IF($A19="","",[2]!B_CALC_PRICE($A19,$AC$1,IF(情景分析!$D$6=1,$J19,IF(情景分析!$D$6=2,$E19,IF(情景分析!$D$6=4,IF($C19="银行间",$J19,$L19),$G19)))+AE$2/100,情景分析!$D$7,"",,,,"",)*IF($H19="",1,$H19))</f>
        <v/>
      </c>
      <c r="AF19" s="7" t="str">
        <f>IF($A19="","",[2]!B_CALC_PRICE($A19,$AC$1,IF(情景分析!$D$6=1,$J19,IF(情景分析!$D$6=2,$E19,IF(情景分析!$D$6=4,IF($C19="银行间",$J19,$L19),$G19)))+AF$2/100,情景分析!$D$7,"",,,,"",)*IF($H19="",1,$H19))</f>
        <v/>
      </c>
      <c r="AG19" s="7" t="str">
        <f>IF($A19="","",[2]!B_CALC_PRICE($A19,$AC$1,IF(情景分析!$D$6=1,$J19,IF(情景分析!$D$6=2,$E19,IF(情景分析!$D$6=4,IF($C19="银行间",$J19,$L19),$G19)))+AG$2/100,情景分析!$D$7,"",,,,"",)*IF($H19="",1,$H19))</f>
        <v/>
      </c>
      <c r="AH19" s="7" t="str">
        <f>IF($A19="","",[2]!B_CALC_PRICE($A19,$AC$1,IF(情景分析!$D$6=1,$J19,IF(情景分析!$D$6=2,$E19,IF(情景分析!$D$6=4,IF($C19="银行间",$J19,$L19),$G19)))+AH$2/100,情景分析!$D$7,"",,,,"",)*IF($H19="",1,$H19))</f>
        <v/>
      </c>
      <c r="AI19" s="7" t="str">
        <f>IF($A19="","",[2]!B_CALC_PRICE($A19,$AC$1,IF(情景分析!$D$6=1,$J19,IF(情景分析!$D$6=2,$E19,IF(情景分析!$D$6=4,IF($C19="银行间",$J19,$L19),$G19)))+AI$2/100,情景分析!$D$7,"",,,,"",)*IF($H19="",1,$H19))</f>
        <v/>
      </c>
      <c r="AJ19" s="7" t="str">
        <f>IF($A19="","",[2]!B_CALC_PRICE($A19,$AJ$1,IF(情景分析!$D$6=1,$J19,IF(情景分析!$D$6=2,$E19,IF(情景分析!$D$6=4,IF($C19="银行间",$J19,$L19),$G19)))+AJ$2/100,情景分析!$D$7,"",,,,"",)*IF($H19="",1,$H19))</f>
        <v/>
      </c>
      <c r="AK19" s="7" t="str">
        <f>IF($A19="","",[2]!B_CALC_PRICE($A19,$AJ$1,IF(情景分析!$D$6=1,$J19,IF(情景分析!$D$6=2,$E19,IF(情景分析!$D$6=4,IF($C19="银行间",$J19,$L19),$G19)))+AK$2/100,情景分析!$D$7,"",,,,"",)*IF($H19="",1,$H19))</f>
        <v/>
      </c>
      <c r="AL19" s="7" t="str">
        <f>IF($A19="","",[2]!B_CALC_PRICE($A19,$AJ$1,IF(情景分析!$D$6=1,$J19,IF(情景分析!$D$6=2,$E19,IF(情景分析!$D$6=4,IF($C19="银行间",$J19,$L19),$G19)))+AL$2/100,情景分析!$D$7,"",,,,"",)*IF($H19="",1,$H19))</f>
        <v/>
      </c>
      <c r="AM19" s="7" t="str">
        <f>IF($A19="","",[2]!B_CALC_PRICE($A19,$AJ$1,IF(情景分析!$D$6=1,$J19,IF(情景分析!$D$6=2,$E19,IF(情景分析!$D$6=4,IF($C19="银行间",$J19,$L19),$G19)))+AM$2/100,情景分析!$D$7,"",,,,"",)*IF($H19="",1,$H19))</f>
        <v/>
      </c>
      <c r="AN19" s="7" t="str">
        <f>IF($A19="","",[2]!B_CALC_PRICE($A19,$AJ$1,IF(情景分析!$D$6=1,$J19,IF(情景分析!$D$6=2,$E19,IF(情景分析!$D$6=4,IF($C19="银行间",$J19,$L19),$G19)))+AN$2/100,情景分析!$D$7,"",,,,"",)*IF($H19="",1,$H19))</f>
        <v/>
      </c>
      <c r="AO19" s="7" t="str">
        <f>IF($A19="","",[2]!B_CALC_PRICE($A19,$AJ$1,IF(情景分析!$D$6=1,$J19,IF(情景分析!$D$6=2,$E19,IF(情景分析!$D$6=4,IF($C19="银行间",$J19,$L19),$G19)))+AO$2/100,情景分析!$D$7,"",,,,"",)*IF($H19="",1,$H19))</f>
        <v/>
      </c>
      <c r="AP19" s="7" t="str">
        <f>IF($A19="","",[2]!B_CALC_PRICE($A19,$AJ$1,IF(情景分析!$D$6=1,$J19,IF(情景分析!$D$6=2,$E19,IF(情景分析!$D$6=4,IF($C19="银行间",$J19,$L19),$G19)))+AP$2/100,情景分析!$D$7,"",,,,"",)*IF($H19="",1,$H19))</f>
        <v/>
      </c>
      <c r="AQ19" s="7" t="str">
        <f>IF($A19="","",[2]!B_CALC_PRICE($A19,$AQ$1,IF(情景分析!$D$6=1,$J19,IF(情景分析!$D$6=2,$E19,IF(情景分析!$D$6=4,IF($C19="银行间",$J19,$L19),$G19)))+AQ$2/100,情景分析!$D$7,"",,,,"",)*IF($H19="",1,$H19))</f>
        <v/>
      </c>
      <c r="AR19" s="7" t="str">
        <f>IF($A19="","",[2]!B_CALC_PRICE($A19,$AQ$1,IF(情景分析!$D$6=1,$J19,IF(情景分析!$D$6=2,$E19,IF(情景分析!$D$6=4,IF($C19="银行间",$J19,$L19),$G19)))+AR$2/100,情景分析!$D$7,"",,,,"",)*IF($H19="",1,$H19))</f>
        <v/>
      </c>
      <c r="AS19" s="7" t="str">
        <f>IF($A19="","",[2]!B_CALC_PRICE($A19,$AQ$1,IF(情景分析!$D$6=1,$J19,IF(情景分析!$D$6=2,$E19,IF(情景分析!$D$6=4,IF($C19="银行间",$J19,$L19),$G19)))+AS$2/100,情景分析!$D$7,"",,,,"",)*IF($H19="",1,$H19))</f>
        <v/>
      </c>
      <c r="AT19" s="7" t="str">
        <f>IF($A19="","",[2]!B_CALC_PRICE($A19,$AQ$1,IF(情景分析!$D$6=1,$J19,IF(情景分析!$D$6=2,$E19,IF(情景分析!$D$6=4,IF($C19="银行间",$J19,$L19),$G19)))+AT$2/100,情景分析!$D$7,"",,,,"",)*IF($H19="",1,$H19))</f>
        <v/>
      </c>
      <c r="AU19" s="7" t="str">
        <f>IF($A19="","",[2]!B_CALC_PRICE($A19,$AQ$1,IF(情景分析!$D$6=1,$J19,IF(情景分析!$D$6=2,$E19,IF(情景分析!$D$6=4,IF($C19="银行间",$J19,$L19),$G19)))+AU$2/100,情景分析!$D$7,"",,,,"",)*IF($H19="",1,$H19))</f>
        <v/>
      </c>
      <c r="AV19" s="7" t="str">
        <f>IF($A19="","",[2]!B_CALC_PRICE($A19,$AQ$1,IF(情景分析!$D$6=1,$J19,IF(情景分析!$D$6=2,$E19,IF(情景分析!$D$6=4,IF($C19="银行间",$J19,$L19),$G19)))+AV$2/100,情景分析!$D$7,"",,,,"",)*IF($H19="",1,$H19))</f>
        <v/>
      </c>
      <c r="AW19" s="7" t="str">
        <f>IF($A19="","",[2]!B_CALC_PRICE($A19,$AQ$1,IF(情景分析!$D$6=1,$J19,IF(情景分析!$D$6=2,$E19,IF(情景分析!$D$6=4,IF($C19="银行间",$J19,$L19),$G19)))+AW$2/100,情景分析!$D$7,"",,,,"",)*IF($H19="",1,$H19))</f>
        <v/>
      </c>
    </row>
    <row r="20" spans="1:49" x14ac:dyDescent="0.15">
      <c r="A20" s="20"/>
      <c r="B20" s="7" t="str">
        <f>IF(A20="","",[2]!b_info_name(A20))</f>
        <v/>
      </c>
      <c r="C20" s="7" t="str">
        <f>[2]!b_info_listedmkt(A20)</f>
        <v>#N/A</v>
      </c>
      <c r="D20" s="7" t="str">
        <f>IFERROR(IF(A20="","", [2]!b_dq_avgprice(A20, 情景分析!$D$5, 情景分析!$D$7) * IF($H20="",1,$H20)),0)</f>
        <v/>
      </c>
      <c r="E20" s="7" t="str">
        <f>IF(A20="","", N([2]!b_dq_avgprice(A20,情景分析!$D$5,3)))</f>
        <v/>
      </c>
      <c r="F20" s="29" t="str">
        <f>IF($G20 = "",
"",
IFERROR(
[2]!b_calc_pv(A20, 情景分析!$D$5,$G20, "1", 情景分析!$D$7),
[2]!b_calc_pv(A20, 情景分析!$D$5,$G20, "2", 情景分析!$D$7)
)
)</f>
        <v/>
      </c>
      <c r="G20" s="22"/>
      <c r="H20" s="21"/>
      <c r="I20" s="7" t="str">
        <f>IF(A20="","",IF(情景分析!$D$7=1,[2]!b_anal_net_cnbd(A20,情景分析!$D$5,1),[2]!b_anal_dirty_cnbd(A20,情景分析!$D$5,1))*IF($H20="",1,$H20))</f>
        <v/>
      </c>
      <c r="J20" s="7" t="str">
        <f>IF(A20="","",[2]!b_anal_yield_cnbd(A20,情景分析!$D$5,1))</f>
        <v/>
      </c>
      <c r="K20" s="29" t="str">
        <f>IF(A20="","",IF(情景分析!$D$7=1,[2]!b_anal_net_csi1(A20,情景分析!$D$5,1),[2]!b_anal_dirty_csi1(A20,情景分析!$D$5,1))*IF($H20="",1,$H20))</f>
        <v/>
      </c>
      <c r="L20" s="29" t="str">
        <f>IF(A20="","",[2]!b_anal_yield_csi1(A20,情景分析!$D$5,1))</f>
        <v/>
      </c>
      <c r="M20" s="29" t="str">
        <f t="shared" si="4"/>
        <v/>
      </c>
      <c r="N20" s="29" t="str">
        <f t="shared" si="5"/>
        <v/>
      </c>
      <c r="O20" s="7" t="str">
        <f>IF($A20="","",[2]!B_CALC_PRICE($A20,$O$1,IF(情景分析!$D$6=1,$J20,IF(情景分析!$D$6=2,$E20,IF(情景分析!$D$6=4,IF($C20="银行间",$J20,$L20),$G20)))+O$2/100,情景分析!$D$7,"",,,,"",)*IF($H20="",1,$H20))</f>
        <v/>
      </c>
      <c r="P20" s="7" t="str">
        <f>IF($A20="","",[2]!B_CALC_PRICE($A20,$O$1,IF(情景分析!$D$6=1,$J20,IF(情景分析!$D$6=2,$E20,IF(情景分析!$D$6=4,IF($C20="银行间",$J20,$L20),$G20)))+P$2/100,情景分析!$D$7,"",,,,"",)*IF($H20="",1,$H20))</f>
        <v/>
      </c>
      <c r="Q20" s="7" t="str">
        <f>IF($A20="","",[2]!B_CALC_PRICE($A20,$O$1,IF(情景分析!$D$6=1,$J20,IF(情景分析!$D$6=2,$E20,IF(情景分析!$D$6=4,IF($C20="银行间",$J20,$L20),$G20)))+Q$2/100,情景分析!$D$7,"",,,,"",)*IF($H20="",1,$H20))</f>
        <v/>
      </c>
      <c r="R20" s="7" t="str">
        <f>IF($A20="","",[2]!B_CALC_PRICE($A20,$O$1,IF(情景分析!$D$6=1,$J20,IF(情景分析!$D$6=2,$E20,IF(情景分析!$D$6=4,IF($C20="银行间",$J20,$L20),$G20)))+R$2/100,情景分析!$D$7,"",,,,"",)*IF($H20="",1,$H20))</f>
        <v/>
      </c>
      <c r="S20" s="7" t="str">
        <f>IF($A20="","",[2]!B_CALC_PRICE($A20,$O$1,IF(情景分析!$D$6=1,$J20,IF(情景分析!$D$6=2,$E20,IF(情景分析!$D$6=4,IF($C20="银行间",$J20,$L20),$G20)))+S$2/100,情景分析!$D$7,"",,,,"",)*IF($H20="",1,$H20))</f>
        <v/>
      </c>
      <c r="T20" s="7" t="str">
        <f>IF($A20="","",[2]!B_CALC_PRICE($A20,$O$1,IF(情景分析!$D$6=1,$J20,IF(情景分析!$D$6=2,$E20,IF(情景分析!$D$6=4,IF($C20="银行间",$J20,$L20),$G20)))+T$2/100,情景分析!$D$7,"",,,,"",)*IF($H20="",1,$H20))</f>
        <v/>
      </c>
      <c r="U20" s="7" t="str">
        <f>IF($A20="","",[2]!B_CALC_PRICE($A20,$O$1,IF(情景分析!$D$6=1,$J20,IF(情景分析!$D$6=2,$E20,IF(情景分析!$D$6=4,IF($C20="银行间",$J20,$L20),$G20)))+U$2/100,情景分析!$D$7,"",,,,"",)*IF($H20="",1,$H20))</f>
        <v/>
      </c>
      <c r="V20" s="7" t="str">
        <f>IF($A20="","",[2]!B_CALC_PRICE($A20,$V$1,IF(情景分析!$D$6=1,$J20,IF(情景分析!$D$6=2,$E20,IF(情景分析!$D$6=4,IF($C20="银行间",$J20,$L20),$G20)))+V$2/100,情景分析!$D$7,"",,,,"",)*IF($H20="",1,$H20))</f>
        <v/>
      </c>
      <c r="W20" s="7" t="str">
        <f>IF($A20="","",[2]!B_CALC_PRICE($A20,$V$1,IF(情景分析!$D$6=1,$J20,IF(情景分析!$D$6=2,$E20,IF(情景分析!$D$6=4,IF($C20="银行间",$J20,$L20),$G20)))+W$2/100,情景分析!$D$7,"",,,,"",)*IF($H20="",1,$H20))</f>
        <v/>
      </c>
      <c r="X20" s="7" t="str">
        <f>IF($A20="","",[2]!B_CALC_PRICE($A20,$V$1,IF(情景分析!$D$6=1,$J20,IF(情景分析!$D$6=2,$E20,IF(情景分析!$D$6=4,IF($C20="银行间",$J20,$L20),$G20)))+X$2/100,情景分析!$D$7,"",,,,"",)*IF($H20="",1,$H20))</f>
        <v/>
      </c>
      <c r="Y20" s="7" t="str">
        <f>IF($A20="","",[2]!B_CALC_PRICE($A20,$V$1,IF(情景分析!$D$6=1,$J20,IF(情景分析!$D$6=2,$E20,IF(情景分析!$D$6=4,IF($C20="银行间",$J20,$L20),$G20)))+Y$2/100,情景分析!$D$7,"",,,,"",)*IF($H20="",1,$H20))</f>
        <v/>
      </c>
      <c r="Z20" s="7" t="str">
        <f>IF($A20="","",[2]!B_CALC_PRICE($A20,$V$1,IF(情景分析!$D$6=1,$J20,IF(情景分析!$D$6=2,$E20,IF(情景分析!$D$6=4,IF($C20="银行间",$J20,$L20),$G20)))+Z$2/100,情景分析!$D$7,"",,,,"",)*IF($H20="",1,$H20))</f>
        <v/>
      </c>
      <c r="AA20" s="7" t="str">
        <f>IF($A20="","",[2]!B_CALC_PRICE($A20,$V$1,IF(情景分析!$D$6=1,$J20,IF(情景分析!$D$6=2,$E20,IF(情景分析!$D$6=4,IF($C20="银行间",$J20,$L20),$G20)))+AA$2/100,情景分析!$D$7,"",,,,"",)*IF($H20="",1,$H20))</f>
        <v/>
      </c>
      <c r="AB20" s="7" t="str">
        <f>IF($A20="","",[2]!B_CALC_PRICE($A20,$V$1,IF(情景分析!$D$6=1,$J20,IF(情景分析!$D$6=2,$E20,IF(情景分析!$D$6=4,IF($C20="银行间",$J20,$L20),$G20)))+AB$2/100,情景分析!$D$7,"",,,,"",)*IF($H20="",1,$H20))</f>
        <v/>
      </c>
      <c r="AC20" s="7" t="str">
        <f>IF($A20="","",[2]!B_CALC_PRICE($A20,$AC$1,IF(情景分析!$D$6=1,$J20,IF(情景分析!$D$6=2,$E20,IF(情景分析!$D$6=4,IF($C20="银行间",$J20,$L20),$G20)))+AC$2/100,情景分析!$D$7,"",,,,"",)*IF($H20="",1,$H20))</f>
        <v/>
      </c>
      <c r="AD20" s="7" t="str">
        <f>IF($A20="","",[2]!B_CALC_PRICE($A20,$AC$1,IF(情景分析!$D$6=1,$J20,IF(情景分析!$D$6=2,$E20,IF(情景分析!$D$6=4,IF($C20="银行间",$J20,$L20),$G20)))+AD$2/100,情景分析!$D$7,"",,,,"",)*IF($H20="",1,$H20))</f>
        <v/>
      </c>
      <c r="AE20" s="7" t="str">
        <f>IF($A20="","",[2]!B_CALC_PRICE($A20,$AC$1,IF(情景分析!$D$6=1,$J20,IF(情景分析!$D$6=2,$E20,IF(情景分析!$D$6=4,IF($C20="银行间",$J20,$L20),$G20)))+AE$2/100,情景分析!$D$7,"",,,,"",)*IF($H20="",1,$H20))</f>
        <v/>
      </c>
      <c r="AF20" s="7" t="str">
        <f>IF($A20="","",[2]!B_CALC_PRICE($A20,$AC$1,IF(情景分析!$D$6=1,$J20,IF(情景分析!$D$6=2,$E20,IF(情景分析!$D$6=4,IF($C20="银行间",$J20,$L20),$G20)))+AF$2/100,情景分析!$D$7,"",,,,"",)*IF($H20="",1,$H20))</f>
        <v/>
      </c>
      <c r="AG20" s="7" t="str">
        <f>IF($A20="","",[2]!B_CALC_PRICE($A20,$AC$1,IF(情景分析!$D$6=1,$J20,IF(情景分析!$D$6=2,$E20,IF(情景分析!$D$6=4,IF($C20="银行间",$J20,$L20),$G20)))+AG$2/100,情景分析!$D$7,"",,,,"",)*IF($H20="",1,$H20))</f>
        <v/>
      </c>
      <c r="AH20" s="7" t="str">
        <f>IF($A20="","",[2]!B_CALC_PRICE($A20,$AC$1,IF(情景分析!$D$6=1,$J20,IF(情景分析!$D$6=2,$E20,IF(情景分析!$D$6=4,IF($C20="银行间",$J20,$L20),$G20)))+AH$2/100,情景分析!$D$7,"",,,,"",)*IF($H20="",1,$H20))</f>
        <v/>
      </c>
      <c r="AI20" s="7" t="str">
        <f>IF($A20="","",[2]!B_CALC_PRICE($A20,$AC$1,IF(情景分析!$D$6=1,$J20,IF(情景分析!$D$6=2,$E20,IF(情景分析!$D$6=4,IF($C20="银行间",$J20,$L20),$G20)))+AI$2/100,情景分析!$D$7,"",,,,"",)*IF($H20="",1,$H20))</f>
        <v/>
      </c>
      <c r="AJ20" s="7" t="str">
        <f>IF($A20="","",[2]!B_CALC_PRICE($A20,$AJ$1,IF(情景分析!$D$6=1,$J20,IF(情景分析!$D$6=2,$E20,IF(情景分析!$D$6=4,IF($C20="银行间",$J20,$L20),$G20)))+AJ$2/100,情景分析!$D$7,"",,,,"",)*IF($H20="",1,$H20))</f>
        <v/>
      </c>
      <c r="AK20" s="7" t="str">
        <f>IF($A20="","",[2]!B_CALC_PRICE($A20,$AJ$1,IF(情景分析!$D$6=1,$J20,IF(情景分析!$D$6=2,$E20,IF(情景分析!$D$6=4,IF($C20="银行间",$J20,$L20),$G20)))+AK$2/100,情景分析!$D$7,"",,,,"",)*IF($H20="",1,$H20))</f>
        <v/>
      </c>
      <c r="AL20" s="7" t="str">
        <f>IF($A20="","",[2]!B_CALC_PRICE($A20,$AJ$1,IF(情景分析!$D$6=1,$J20,IF(情景分析!$D$6=2,$E20,IF(情景分析!$D$6=4,IF($C20="银行间",$J20,$L20),$G20)))+AL$2/100,情景分析!$D$7,"",,,,"",)*IF($H20="",1,$H20))</f>
        <v/>
      </c>
      <c r="AM20" s="7" t="str">
        <f>IF($A20="","",[2]!B_CALC_PRICE($A20,$AJ$1,IF(情景分析!$D$6=1,$J20,IF(情景分析!$D$6=2,$E20,IF(情景分析!$D$6=4,IF($C20="银行间",$J20,$L20),$G20)))+AM$2/100,情景分析!$D$7,"",,,,"",)*IF($H20="",1,$H20))</f>
        <v/>
      </c>
      <c r="AN20" s="7" t="str">
        <f>IF($A20="","",[2]!B_CALC_PRICE($A20,$AJ$1,IF(情景分析!$D$6=1,$J20,IF(情景分析!$D$6=2,$E20,IF(情景分析!$D$6=4,IF($C20="银行间",$J20,$L20),$G20)))+AN$2/100,情景分析!$D$7,"",,,,"",)*IF($H20="",1,$H20))</f>
        <v/>
      </c>
      <c r="AO20" s="7" t="str">
        <f>IF($A20="","",[2]!B_CALC_PRICE($A20,$AJ$1,IF(情景分析!$D$6=1,$J20,IF(情景分析!$D$6=2,$E20,IF(情景分析!$D$6=4,IF($C20="银行间",$J20,$L20),$G20)))+AO$2/100,情景分析!$D$7,"",,,,"",)*IF($H20="",1,$H20))</f>
        <v/>
      </c>
      <c r="AP20" s="7" t="str">
        <f>IF($A20="","",[2]!B_CALC_PRICE($A20,$AJ$1,IF(情景分析!$D$6=1,$J20,IF(情景分析!$D$6=2,$E20,IF(情景分析!$D$6=4,IF($C20="银行间",$J20,$L20),$G20)))+AP$2/100,情景分析!$D$7,"",,,,"",)*IF($H20="",1,$H20))</f>
        <v/>
      </c>
      <c r="AQ20" s="7" t="str">
        <f>IF($A20="","",[2]!B_CALC_PRICE($A20,$AQ$1,IF(情景分析!$D$6=1,$J20,IF(情景分析!$D$6=2,$E20,IF(情景分析!$D$6=4,IF($C20="银行间",$J20,$L20),$G20)))+AQ$2/100,情景分析!$D$7,"",,,,"",)*IF($H20="",1,$H20))</f>
        <v/>
      </c>
      <c r="AR20" s="7" t="str">
        <f>IF($A20="","",[2]!B_CALC_PRICE($A20,$AQ$1,IF(情景分析!$D$6=1,$J20,IF(情景分析!$D$6=2,$E20,IF(情景分析!$D$6=4,IF($C20="银行间",$J20,$L20),$G20)))+AR$2/100,情景分析!$D$7,"",,,,"",)*IF($H20="",1,$H20))</f>
        <v/>
      </c>
      <c r="AS20" s="7" t="str">
        <f>IF($A20="","",[2]!B_CALC_PRICE($A20,$AQ$1,IF(情景分析!$D$6=1,$J20,IF(情景分析!$D$6=2,$E20,IF(情景分析!$D$6=4,IF($C20="银行间",$J20,$L20),$G20)))+AS$2/100,情景分析!$D$7,"",,,,"",)*IF($H20="",1,$H20))</f>
        <v/>
      </c>
      <c r="AT20" s="7" t="str">
        <f>IF($A20="","",[2]!B_CALC_PRICE($A20,$AQ$1,IF(情景分析!$D$6=1,$J20,IF(情景分析!$D$6=2,$E20,IF(情景分析!$D$6=4,IF($C20="银行间",$J20,$L20),$G20)))+AT$2/100,情景分析!$D$7,"",,,,"",)*IF($H20="",1,$H20))</f>
        <v/>
      </c>
      <c r="AU20" s="7" t="str">
        <f>IF($A20="","",[2]!B_CALC_PRICE($A20,$AQ$1,IF(情景分析!$D$6=1,$J20,IF(情景分析!$D$6=2,$E20,IF(情景分析!$D$6=4,IF($C20="银行间",$J20,$L20),$G20)))+AU$2/100,情景分析!$D$7,"",,,,"",)*IF($H20="",1,$H20))</f>
        <v/>
      </c>
      <c r="AV20" s="7" t="str">
        <f>IF($A20="","",[2]!B_CALC_PRICE($A20,$AQ$1,IF(情景分析!$D$6=1,$J20,IF(情景分析!$D$6=2,$E20,IF(情景分析!$D$6=4,IF($C20="银行间",$J20,$L20),$G20)))+AV$2/100,情景分析!$D$7,"",,,,"",)*IF($H20="",1,$H20))</f>
        <v/>
      </c>
      <c r="AW20" s="7" t="str">
        <f>IF($A20="","",[2]!B_CALC_PRICE($A20,$AQ$1,IF(情景分析!$D$6=1,$J20,IF(情景分析!$D$6=2,$E20,IF(情景分析!$D$6=4,IF($C20="银行间",$J20,$L20),$G20)))+AW$2/100,情景分析!$D$7,"",,,,"",)*IF($H20="",1,$H20))</f>
        <v/>
      </c>
    </row>
    <row r="21" spans="1:49" x14ac:dyDescent="0.15">
      <c r="A21" s="20"/>
      <c r="B21" s="7" t="str">
        <f>IF(A21="","",[2]!b_info_name(A21))</f>
        <v/>
      </c>
      <c r="C21" s="7" t="str">
        <f>[2]!b_info_listedmkt(A21)</f>
        <v>#N/A</v>
      </c>
      <c r="D21" s="7" t="str">
        <f>IFERROR(IF(A21="","", [2]!b_dq_avgprice(A21, 情景分析!$D$5, 情景分析!$D$7) * IF($H21="",1,$H21)),0)</f>
        <v/>
      </c>
      <c r="E21" s="7" t="str">
        <f>IF(A21="","", N([2]!b_dq_avgprice(A21,情景分析!$D$5,3)))</f>
        <v/>
      </c>
      <c r="F21" s="29" t="str">
        <f>IF($G21 = "",
"",
IFERROR(
[2]!b_calc_pv(A21, 情景分析!$D$5,$G21, "1", 情景分析!$D$7),
[2]!b_calc_pv(A21, 情景分析!$D$5,$G21, "2", 情景分析!$D$7)
)
)</f>
        <v/>
      </c>
      <c r="G21" s="22"/>
      <c r="H21" s="21"/>
      <c r="I21" s="7" t="str">
        <f>IF(A21="","",IF(情景分析!$D$7=1,[2]!b_anal_net_cnbd(A21,情景分析!$D$5,1),[2]!b_anal_dirty_cnbd(A21,情景分析!$D$5,1))*IF($H21="",1,$H21))</f>
        <v/>
      </c>
      <c r="J21" s="7" t="str">
        <f>IF(A21="","",[2]!b_anal_yield_cnbd(A21,情景分析!$D$5,1))</f>
        <v/>
      </c>
      <c r="K21" s="29" t="str">
        <f>IF(A21="","",IF(情景分析!$D$7=1,[2]!b_anal_net_csi1(A21,情景分析!$D$5,1),[2]!b_anal_dirty_csi1(A21,情景分析!$D$5,1))*IF($H21="",1,$H21))</f>
        <v/>
      </c>
      <c r="L21" s="29" t="str">
        <f>IF(A21="","",[2]!b_anal_yield_csi1(A21,情景分析!$D$5,1))</f>
        <v/>
      </c>
      <c r="M21" s="29" t="str">
        <f t="shared" si="4"/>
        <v/>
      </c>
      <c r="N21" s="29" t="str">
        <f t="shared" si="5"/>
        <v/>
      </c>
      <c r="O21" s="7" t="str">
        <f>IF($A21="","",[2]!B_CALC_PRICE($A21,$O$1,IF(情景分析!$D$6=1,$J21,IF(情景分析!$D$6=2,$E21,IF(情景分析!$D$6=4,IF($C21="银行间",$J21,$L21),$G21)))+O$2/100,情景分析!$D$7,"",,,,"",)*IF($H21="",1,$H21))</f>
        <v/>
      </c>
      <c r="P21" s="7" t="str">
        <f>IF($A21="","",[2]!B_CALC_PRICE($A21,$O$1,IF(情景分析!$D$6=1,$J21,IF(情景分析!$D$6=2,$E21,IF(情景分析!$D$6=4,IF($C21="银行间",$J21,$L21),$G21)))+P$2/100,情景分析!$D$7,"",,,,"",)*IF($H21="",1,$H21))</f>
        <v/>
      </c>
      <c r="Q21" s="7" t="str">
        <f>IF($A21="","",[2]!B_CALC_PRICE($A21,$O$1,IF(情景分析!$D$6=1,$J21,IF(情景分析!$D$6=2,$E21,IF(情景分析!$D$6=4,IF($C21="银行间",$J21,$L21),$G21)))+Q$2/100,情景分析!$D$7,"",,,,"",)*IF($H21="",1,$H21))</f>
        <v/>
      </c>
      <c r="R21" s="7" t="str">
        <f>IF($A21="","",[2]!B_CALC_PRICE($A21,$O$1,IF(情景分析!$D$6=1,$J21,IF(情景分析!$D$6=2,$E21,IF(情景分析!$D$6=4,IF($C21="银行间",$J21,$L21),$G21)))+R$2/100,情景分析!$D$7,"",,,,"",)*IF($H21="",1,$H21))</f>
        <v/>
      </c>
      <c r="S21" s="7" t="str">
        <f>IF($A21="","",[2]!B_CALC_PRICE($A21,$O$1,IF(情景分析!$D$6=1,$J21,IF(情景分析!$D$6=2,$E21,IF(情景分析!$D$6=4,IF($C21="银行间",$J21,$L21),$G21)))+S$2/100,情景分析!$D$7,"",,,,"",)*IF($H21="",1,$H21))</f>
        <v/>
      </c>
      <c r="T21" s="7" t="str">
        <f>IF($A21="","",[2]!B_CALC_PRICE($A21,$O$1,IF(情景分析!$D$6=1,$J21,IF(情景分析!$D$6=2,$E21,IF(情景分析!$D$6=4,IF($C21="银行间",$J21,$L21),$G21)))+T$2/100,情景分析!$D$7,"",,,,"",)*IF($H21="",1,$H21))</f>
        <v/>
      </c>
      <c r="U21" s="7" t="str">
        <f>IF($A21="","",[2]!B_CALC_PRICE($A21,$O$1,IF(情景分析!$D$6=1,$J21,IF(情景分析!$D$6=2,$E21,IF(情景分析!$D$6=4,IF($C21="银行间",$J21,$L21),$G21)))+U$2/100,情景分析!$D$7,"",,,,"",)*IF($H21="",1,$H21))</f>
        <v/>
      </c>
      <c r="V21" s="7" t="str">
        <f>IF($A21="","",[2]!B_CALC_PRICE($A21,$V$1,IF(情景分析!$D$6=1,$J21,IF(情景分析!$D$6=2,$E21,IF(情景分析!$D$6=4,IF($C21="银行间",$J21,$L21),$G21)))+V$2/100,情景分析!$D$7,"",,,,"",)*IF($H21="",1,$H21))</f>
        <v/>
      </c>
      <c r="W21" s="7" t="str">
        <f>IF($A21="","",[2]!B_CALC_PRICE($A21,$V$1,IF(情景分析!$D$6=1,$J21,IF(情景分析!$D$6=2,$E21,IF(情景分析!$D$6=4,IF($C21="银行间",$J21,$L21),$G21)))+W$2/100,情景分析!$D$7,"",,,,"",)*IF($H21="",1,$H21))</f>
        <v/>
      </c>
      <c r="X21" s="7" t="str">
        <f>IF($A21="","",[2]!B_CALC_PRICE($A21,$V$1,IF(情景分析!$D$6=1,$J21,IF(情景分析!$D$6=2,$E21,IF(情景分析!$D$6=4,IF($C21="银行间",$J21,$L21),$G21)))+X$2/100,情景分析!$D$7,"",,,,"",)*IF($H21="",1,$H21))</f>
        <v/>
      </c>
      <c r="Y21" s="7" t="str">
        <f>IF($A21="","",[2]!B_CALC_PRICE($A21,$V$1,IF(情景分析!$D$6=1,$J21,IF(情景分析!$D$6=2,$E21,IF(情景分析!$D$6=4,IF($C21="银行间",$J21,$L21),$G21)))+Y$2/100,情景分析!$D$7,"",,,,"",)*IF($H21="",1,$H21))</f>
        <v/>
      </c>
      <c r="Z21" s="7" t="str">
        <f>IF($A21="","",[2]!B_CALC_PRICE($A21,$V$1,IF(情景分析!$D$6=1,$J21,IF(情景分析!$D$6=2,$E21,IF(情景分析!$D$6=4,IF($C21="银行间",$J21,$L21),$G21)))+Z$2/100,情景分析!$D$7,"",,,,"",)*IF($H21="",1,$H21))</f>
        <v/>
      </c>
      <c r="AA21" s="7" t="str">
        <f>IF($A21="","",[2]!B_CALC_PRICE($A21,$V$1,IF(情景分析!$D$6=1,$J21,IF(情景分析!$D$6=2,$E21,IF(情景分析!$D$6=4,IF($C21="银行间",$J21,$L21),$G21)))+AA$2/100,情景分析!$D$7,"",,,,"",)*IF($H21="",1,$H21))</f>
        <v/>
      </c>
      <c r="AB21" s="7" t="str">
        <f>IF($A21="","",[2]!B_CALC_PRICE($A21,$V$1,IF(情景分析!$D$6=1,$J21,IF(情景分析!$D$6=2,$E21,IF(情景分析!$D$6=4,IF($C21="银行间",$J21,$L21),$G21)))+AB$2/100,情景分析!$D$7,"",,,,"",)*IF($H21="",1,$H21))</f>
        <v/>
      </c>
      <c r="AC21" s="7" t="str">
        <f>IF($A21="","",[2]!B_CALC_PRICE($A21,$AC$1,IF(情景分析!$D$6=1,$J21,IF(情景分析!$D$6=2,$E21,IF(情景分析!$D$6=4,IF($C21="银行间",$J21,$L21),$G21)))+AC$2/100,情景分析!$D$7,"",,,,"",)*IF($H21="",1,$H21))</f>
        <v/>
      </c>
      <c r="AD21" s="7" t="str">
        <f>IF($A21="","",[2]!B_CALC_PRICE($A21,$AC$1,IF(情景分析!$D$6=1,$J21,IF(情景分析!$D$6=2,$E21,IF(情景分析!$D$6=4,IF($C21="银行间",$J21,$L21),$G21)))+AD$2/100,情景分析!$D$7,"",,,,"",)*IF($H21="",1,$H21))</f>
        <v/>
      </c>
      <c r="AE21" s="7" t="str">
        <f>IF($A21="","",[2]!B_CALC_PRICE($A21,$AC$1,IF(情景分析!$D$6=1,$J21,IF(情景分析!$D$6=2,$E21,IF(情景分析!$D$6=4,IF($C21="银行间",$J21,$L21),$G21)))+AE$2/100,情景分析!$D$7,"",,,,"",)*IF($H21="",1,$H21))</f>
        <v/>
      </c>
      <c r="AF21" s="7" t="str">
        <f>IF($A21="","",[2]!B_CALC_PRICE($A21,$AC$1,IF(情景分析!$D$6=1,$J21,IF(情景分析!$D$6=2,$E21,IF(情景分析!$D$6=4,IF($C21="银行间",$J21,$L21),$G21)))+AF$2/100,情景分析!$D$7,"",,,,"",)*IF($H21="",1,$H21))</f>
        <v/>
      </c>
      <c r="AG21" s="7" t="str">
        <f>IF($A21="","",[2]!B_CALC_PRICE($A21,$AC$1,IF(情景分析!$D$6=1,$J21,IF(情景分析!$D$6=2,$E21,IF(情景分析!$D$6=4,IF($C21="银行间",$J21,$L21),$G21)))+AG$2/100,情景分析!$D$7,"",,,,"",)*IF($H21="",1,$H21))</f>
        <v/>
      </c>
      <c r="AH21" s="7" t="str">
        <f>IF($A21="","",[2]!B_CALC_PRICE($A21,$AC$1,IF(情景分析!$D$6=1,$J21,IF(情景分析!$D$6=2,$E21,IF(情景分析!$D$6=4,IF($C21="银行间",$J21,$L21),$G21)))+AH$2/100,情景分析!$D$7,"",,,,"",)*IF($H21="",1,$H21))</f>
        <v/>
      </c>
      <c r="AI21" s="7" t="str">
        <f>IF($A21="","",[2]!B_CALC_PRICE($A21,$AC$1,IF(情景分析!$D$6=1,$J21,IF(情景分析!$D$6=2,$E21,IF(情景分析!$D$6=4,IF($C21="银行间",$J21,$L21),$G21)))+AI$2/100,情景分析!$D$7,"",,,,"",)*IF($H21="",1,$H21))</f>
        <v/>
      </c>
      <c r="AJ21" s="7" t="str">
        <f>IF($A21="","",[2]!B_CALC_PRICE($A21,$AJ$1,IF(情景分析!$D$6=1,$J21,IF(情景分析!$D$6=2,$E21,IF(情景分析!$D$6=4,IF($C21="银行间",$J21,$L21),$G21)))+AJ$2/100,情景分析!$D$7,"",,,,"",)*IF($H21="",1,$H21))</f>
        <v/>
      </c>
      <c r="AK21" s="7" t="str">
        <f>IF($A21="","",[2]!B_CALC_PRICE($A21,$AJ$1,IF(情景分析!$D$6=1,$J21,IF(情景分析!$D$6=2,$E21,IF(情景分析!$D$6=4,IF($C21="银行间",$J21,$L21),$G21)))+AK$2/100,情景分析!$D$7,"",,,,"",)*IF($H21="",1,$H21))</f>
        <v/>
      </c>
      <c r="AL21" s="7" t="str">
        <f>IF($A21="","",[2]!B_CALC_PRICE($A21,$AJ$1,IF(情景分析!$D$6=1,$J21,IF(情景分析!$D$6=2,$E21,IF(情景分析!$D$6=4,IF($C21="银行间",$J21,$L21),$G21)))+AL$2/100,情景分析!$D$7,"",,,,"",)*IF($H21="",1,$H21))</f>
        <v/>
      </c>
      <c r="AM21" s="7" t="str">
        <f>IF($A21="","",[2]!B_CALC_PRICE($A21,$AJ$1,IF(情景分析!$D$6=1,$J21,IF(情景分析!$D$6=2,$E21,IF(情景分析!$D$6=4,IF($C21="银行间",$J21,$L21),$G21)))+AM$2/100,情景分析!$D$7,"",,,,"",)*IF($H21="",1,$H21))</f>
        <v/>
      </c>
      <c r="AN21" s="7" t="str">
        <f>IF($A21="","",[2]!B_CALC_PRICE($A21,$AJ$1,IF(情景分析!$D$6=1,$J21,IF(情景分析!$D$6=2,$E21,IF(情景分析!$D$6=4,IF($C21="银行间",$J21,$L21),$G21)))+AN$2/100,情景分析!$D$7,"",,,,"",)*IF($H21="",1,$H21))</f>
        <v/>
      </c>
      <c r="AO21" s="7" t="str">
        <f>IF($A21="","",[2]!B_CALC_PRICE($A21,$AJ$1,IF(情景分析!$D$6=1,$J21,IF(情景分析!$D$6=2,$E21,IF(情景分析!$D$6=4,IF($C21="银行间",$J21,$L21),$G21)))+AO$2/100,情景分析!$D$7,"",,,,"",)*IF($H21="",1,$H21))</f>
        <v/>
      </c>
      <c r="AP21" s="7" t="str">
        <f>IF($A21="","",[2]!B_CALC_PRICE($A21,$AJ$1,IF(情景分析!$D$6=1,$J21,IF(情景分析!$D$6=2,$E21,IF(情景分析!$D$6=4,IF($C21="银行间",$J21,$L21),$G21)))+AP$2/100,情景分析!$D$7,"",,,,"",)*IF($H21="",1,$H21))</f>
        <v/>
      </c>
      <c r="AQ21" s="7" t="str">
        <f>IF($A21="","",[2]!B_CALC_PRICE($A21,$AQ$1,IF(情景分析!$D$6=1,$J21,IF(情景分析!$D$6=2,$E21,IF(情景分析!$D$6=4,IF($C21="银行间",$J21,$L21),$G21)))+AQ$2/100,情景分析!$D$7,"",,,,"",)*IF($H21="",1,$H21))</f>
        <v/>
      </c>
      <c r="AR21" s="7" t="str">
        <f>IF($A21="","",[2]!B_CALC_PRICE($A21,$AQ$1,IF(情景分析!$D$6=1,$J21,IF(情景分析!$D$6=2,$E21,IF(情景分析!$D$6=4,IF($C21="银行间",$J21,$L21),$G21)))+AR$2/100,情景分析!$D$7,"",,,,"",)*IF($H21="",1,$H21))</f>
        <v/>
      </c>
      <c r="AS21" s="7" t="str">
        <f>IF($A21="","",[2]!B_CALC_PRICE($A21,$AQ$1,IF(情景分析!$D$6=1,$J21,IF(情景分析!$D$6=2,$E21,IF(情景分析!$D$6=4,IF($C21="银行间",$J21,$L21),$G21)))+AS$2/100,情景分析!$D$7,"",,,,"",)*IF($H21="",1,$H21))</f>
        <v/>
      </c>
      <c r="AT21" s="7" t="str">
        <f>IF($A21="","",[2]!B_CALC_PRICE($A21,$AQ$1,IF(情景分析!$D$6=1,$J21,IF(情景分析!$D$6=2,$E21,IF(情景分析!$D$6=4,IF($C21="银行间",$J21,$L21),$G21)))+AT$2/100,情景分析!$D$7,"",,,,"",)*IF($H21="",1,$H21))</f>
        <v/>
      </c>
      <c r="AU21" s="7" t="str">
        <f>IF($A21="","",[2]!B_CALC_PRICE($A21,$AQ$1,IF(情景分析!$D$6=1,$J21,IF(情景分析!$D$6=2,$E21,IF(情景分析!$D$6=4,IF($C21="银行间",$J21,$L21),$G21)))+AU$2/100,情景分析!$D$7,"",,,,"",)*IF($H21="",1,$H21))</f>
        <v/>
      </c>
      <c r="AV21" s="7" t="str">
        <f>IF($A21="","",[2]!B_CALC_PRICE($A21,$AQ$1,IF(情景分析!$D$6=1,$J21,IF(情景分析!$D$6=2,$E21,IF(情景分析!$D$6=4,IF($C21="银行间",$J21,$L21),$G21)))+AV$2/100,情景分析!$D$7,"",,,,"",)*IF($H21="",1,$H21))</f>
        <v/>
      </c>
      <c r="AW21" s="7" t="str">
        <f>IF($A21="","",[2]!B_CALC_PRICE($A21,$AQ$1,IF(情景分析!$D$6=1,$J21,IF(情景分析!$D$6=2,$E21,IF(情景分析!$D$6=4,IF($C21="银行间",$J21,$L21),$G21)))+AW$2/100,情景分析!$D$7,"",,,,"",)*IF($H21="",1,$H21))</f>
        <v/>
      </c>
    </row>
    <row r="22" spans="1:49" x14ac:dyDescent="0.15">
      <c r="A22" s="20"/>
      <c r="B22" s="7" t="str">
        <f>IF(A22="","",[2]!b_info_name(A22))</f>
        <v/>
      </c>
      <c r="C22" s="7" t="str">
        <f>[2]!b_info_listedmkt(A22)</f>
        <v>#N/A</v>
      </c>
      <c r="D22" s="7" t="str">
        <f>IFERROR(IF(A22="","", [2]!b_dq_avgprice(A22, 情景分析!$D$5, 情景分析!$D$7) * IF($H22="",1,$H22)),0)</f>
        <v/>
      </c>
      <c r="E22" s="7" t="str">
        <f>IF(A22="","", N([2]!b_dq_avgprice(A22,情景分析!$D$5,3)))</f>
        <v/>
      </c>
      <c r="F22" s="29" t="str">
        <f>IF($G22 = "",
"",
IFERROR(
[2]!b_calc_pv(A22, 情景分析!$D$5,$G22, "1", 情景分析!$D$7),
[2]!b_calc_pv(A22, 情景分析!$D$5,$G22, "2", 情景分析!$D$7)
)
)</f>
        <v/>
      </c>
      <c r="G22" s="22"/>
      <c r="H22" s="21"/>
      <c r="I22" s="7" t="str">
        <f>IF(A22="","",IF(情景分析!$D$7=1,[2]!b_anal_net_cnbd(A22,情景分析!$D$5,1),[2]!b_anal_dirty_cnbd(A22,情景分析!$D$5,1))*IF($H22="",1,$H22))</f>
        <v/>
      </c>
      <c r="J22" s="7" t="str">
        <f>IF(A22="","",[2]!b_anal_yield_cnbd(A22,情景分析!$D$5,1))</f>
        <v/>
      </c>
      <c r="K22" s="29" t="str">
        <f>IF(A22="","",IF(情景分析!$D$7=1,[2]!b_anal_net_csi1(A22,情景分析!$D$5,1),[2]!b_anal_dirty_csi1(A22,情景分析!$D$5,1))*IF($H22="",1,$H22))</f>
        <v/>
      </c>
      <c r="L22" s="29" t="str">
        <f>IF(A22="","",[2]!b_anal_yield_csi1(A22,情景分析!$D$5,1))</f>
        <v/>
      </c>
      <c r="M22" s="29" t="str">
        <f t="shared" si="4"/>
        <v/>
      </c>
      <c r="N22" s="29" t="str">
        <f t="shared" si="5"/>
        <v/>
      </c>
      <c r="O22" s="7" t="str">
        <f>IF($A22="","",[2]!B_CALC_PRICE($A22,$O$1,IF(情景分析!$D$6=1,$J22,IF(情景分析!$D$6=2,$E22,IF(情景分析!$D$6=4,IF($C22="银行间",$J22,$L22),$G22)))+O$2/100,情景分析!$D$7,"",,,,"",)*IF($H22="",1,$H22))</f>
        <v/>
      </c>
      <c r="P22" s="7" t="str">
        <f>IF($A22="","",[2]!B_CALC_PRICE($A22,$O$1,IF(情景分析!$D$6=1,$J22,IF(情景分析!$D$6=2,$E22,IF(情景分析!$D$6=4,IF($C22="银行间",$J22,$L22),$G22)))+P$2/100,情景分析!$D$7,"",,,,"",)*IF($H22="",1,$H22))</f>
        <v/>
      </c>
      <c r="Q22" s="7" t="str">
        <f>IF($A22="","",[2]!B_CALC_PRICE($A22,$O$1,IF(情景分析!$D$6=1,$J22,IF(情景分析!$D$6=2,$E22,IF(情景分析!$D$6=4,IF($C22="银行间",$J22,$L22),$G22)))+Q$2/100,情景分析!$D$7,"",,,,"",)*IF($H22="",1,$H22))</f>
        <v/>
      </c>
      <c r="R22" s="7" t="str">
        <f>IF($A22="","",[2]!B_CALC_PRICE($A22,$O$1,IF(情景分析!$D$6=1,$J22,IF(情景分析!$D$6=2,$E22,IF(情景分析!$D$6=4,IF($C22="银行间",$J22,$L22),$G22)))+R$2/100,情景分析!$D$7,"",,,,"",)*IF($H22="",1,$H22))</f>
        <v/>
      </c>
      <c r="S22" s="7" t="str">
        <f>IF($A22="","",[2]!B_CALC_PRICE($A22,$O$1,IF(情景分析!$D$6=1,$J22,IF(情景分析!$D$6=2,$E22,IF(情景分析!$D$6=4,IF($C22="银行间",$J22,$L22),$G22)))+S$2/100,情景分析!$D$7,"",,,,"",)*IF($H22="",1,$H22))</f>
        <v/>
      </c>
      <c r="T22" s="7" t="str">
        <f>IF($A22="","",[2]!B_CALC_PRICE($A22,$O$1,IF(情景分析!$D$6=1,$J22,IF(情景分析!$D$6=2,$E22,IF(情景分析!$D$6=4,IF($C22="银行间",$J22,$L22),$G22)))+T$2/100,情景分析!$D$7,"",,,,"",)*IF($H22="",1,$H22))</f>
        <v/>
      </c>
      <c r="U22" s="7" t="str">
        <f>IF($A22="","",[2]!B_CALC_PRICE($A22,$O$1,IF(情景分析!$D$6=1,$J22,IF(情景分析!$D$6=2,$E22,IF(情景分析!$D$6=4,IF($C22="银行间",$J22,$L22),$G22)))+U$2/100,情景分析!$D$7,"",,,,"",)*IF($H22="",1,$H22))</f>
        <v/>
      </c>
      <c r="V22" s="7" t="str">
        <f>IF($A22="","",[2]!B_CALC_PRICE($A22,$V$1,IF(情景分析!$D$6=1,$J22,IF(情景分析!$D$6=2,$E22,IF(情景分析!$D$6=4,IF($C22="银行间",$J22,$L22),$G22)))+V$2/100,情景分析!$D$7,"",,,,"",)*IF($H22="",1,$H22))</f>
        <v/>
      </c>
      <c r="W22" s="7" t="str">
        <f>IF($A22="","",[2]!B_CALC_PRICE($A22,$V$1,IF(情景分析!$D$6=1,$J22,IF(情景分析!$D$6=2,$E22,IF(情景分析!$D$6=4,IF($C22="银行间",$J22,$L22),$G22)))+W$2/100,情景分析!$D$7,"",,,,"",)*IF($H22="",1,$H22))</f>
        <v/>
      </c>
      <c r="X22" s="7" t="str">
        <f>IF($A22="","",[2]!B_CALC_PRICE($A22,$V$1,IF(情景分析!$D$6=1,$J22,IF(情景分析!$D$6=2,$E22,IF(情景分析!$D$6=4,IF($C22="银行间",$J22,$L22),$G22)))+X$2/100,情景分析!$D$7,"",,,,"",)*IF($H22="",1,$H22))</f>
        <v/>
      </c>
      <c r="Y22" s="7" t="str">
        <f>IF($A22="","",[2]!B_CALC_PRICE($A22,$V$1,IF(情景分析!$D$6=1,$J22,IF(情景分析!$D$6=2,$E22,IF(情景分析!$D$6=4,IF($C22="银行间",$J22,$L22),$G22)))+Y$2/100,情景分析!$D$7,"",,,,"",)*IF($H22="",1,$H22))</f>
        <v/>
      </c>
      <c r="Z22" s="7" t="str">
        <f>IF($A22="","",[2]!B_CALC_PRICE($A22,$V$1,IF(情景分析!$D$6=1,$J22,IF(情景分析!$D$6=2,$E22,IF(情景分析!$D$6=4,IF($C22="银行间",$J22,$L22),$G22)))+Z$2/100,情景分析!$D$7,"",,,,"",)*IF($H22="",1,$H22))</f>
        <v/>
      </c>
      <c r="AA22" s="7" t="str">
        <f>IF($A22="","",[2]!B_CALC_PRICE($A22,$V$1,IF(情景分析!$D$6=1,$J22,IF(情景分析!$D$6=2,$E22,IF(情景分析!$D$6=4,IF($C22="银行间",$J22,$L22),$G22)))+AA$2/100,情景分析!$D$7,"",,,,"",)*IF($H22="",1,$H22))</f>
        <v/>
      </c>
      <c r="AB22" s="7" t="str">
        <f>IF($A22="","",[2]!B_CALC_PRICE($A22,$V$1,IF(情景分析!$D$6=1,$J22,IF(情景分析!$D$6=2,$E22,IF(情景分析!$D$6=4,IF($C22="银行间",$J22,$L22),$G22)))+AB$2/100,情景分析!$D$7,"",,,,"",)*IF($H22="",1,$H22))</f>
        <v/>
      </c>
      <c r="AC22" s="7" t="str">
        <f>IF($A22="","",[2]!B_CALC_PRICE($A22,$AC$1,IF(情景分析!$D$6=1,$J22,IF(情景分析!$D$6=2,$E22,IF(情景分析!$D$6=4,IF($C22="银行间",$J22,$L22),$G22)))+AC$2/100,情景分析!$D$7,"",,,,"",)*IF($H22="",1,$H22))</f>
        <v/>
      </c>
      <c r="AD22" s="7" t="str">
        <f>IF($A22="","",[2]!B_CALC_PRICE($A22,$AC$1,IF(情景分析!$D$6=1,$J22,IF(情景分析!$D$6=2,$E22,IF(情景分析!$D$6=4,IF($C22="银行间",$J22,$L22),$G22)))+AD$2/100,情景分析!$D$7,"",,,,"",)*IF($H22="",1,$H22))</f>
        <v/>
      </c>
      <c r="AE22" s="7" t="str">
        <f>IF($A22="","",[2]!B_CALC_PRICE($A22,$AC$1,IF(情景分析!$D$6=1,$J22,IF(情景分析!$D$6=2,$E22,IF(情景分析!$D$6=4,IF($C22="银行间",$J22,$L22),$G22)))+AE$2/100,情景分析!$D$7,"",,,,"",)*IF($H22="",1,$H22))</f>
        <v/>
      </c>
      <c r="AF22" s="7" t="str">
        <f>IF($A22="","",[2]!B_CALC_PRICE($A22,$AC$1,IF(情景分析!$D$6=1,$J22,IF(情景分析!$D$6=2,$E22,IF(情景分析!$D$6=4,IF($C22="银行间",$J22,$L22),$G22)))+AF$2/100,情景分析!$D$7,"",,,,"",)*IF($H22="",1,$H22))</f>
        <v/>
      </c>
      <c r="AG22" s="7" t="str">
        <f>IF($A22="","",[2]!B_CALC_PRICE($A22,$AC$1,IF(情景分析!$D$6=1,$J22,IF(情景分析!$D$6=2,$E22,IF(情景分析!$D$6=4,IF($C22="银行间",$J22,$L22),$G22)))+AG$2/100,情景分析!$D$7,"",,,,"",)*IF($H22="",1,$H22))</f>
        <v/>
      </c>
      <c r="AH22" s="7" t="str">
        <f>IF($A22="","",[2]!B_CALC_PRICE($A22,$AC$1,IF(情景分析!$D$6=1,$J22,IF(情景分析!$D$6=2,$E22,IF(情景分析!$D$6=4,IF($C22="银行间",$J22,$L22),$G22)))+AH$2/100,情景分析!$D$7,"",,,,"",)*IF($H22="",1,$H22))</f>
        <v/>
      </c>
      <c r="AI22" s="7" t="str">
        <f>IF($A22="","",[2]!B_CALC_PRICE($A22,$AC$1,IF(情景分析!$D$6=1,$J22,IF(情景分析!$D$6=2,$E22,IF(情景分析!$D$6=4,IF($C22="银行间",$J22,$L22),$G22)))+AI$2/100,情景分析!$D$7,"",,,,"",)*IF($H22="",1,$H22))</f>
        <v/>
      </c>
      <c r="AJ22" s="7" t="str">
        <f>IF($A22="","",[2]!B_CALC_PRICE($A22,$AJ$1,IF(情景分析!$D$6=1,$J22,IF(情景分析!$D$6=2,$E22,IF(情景分析!$D$6=4,IF($C22="银行间",$J22,$L22),$G22)))+AJ$2/100,情景分析!$D$7,"",,,,"",)*IF($H22="",1,$H22))</f>
        <v/>
      </c>
      <c r="AK22" s="7" t="str">
        <f>IF($A22="","",[2]!B_CALC_PRICE($A22,$AJ$1,IF(情景分析!$D$6=1,$J22,IF(情景分析!$D$6=2,$E22,IF(情景分析!$D$6=4,IF($C22="银行间",$J22,$L22),$G22)))+AK$2/100,情景分析!$D$7,"",,,,"",)*IF($H22="",1,$H22))</f>
        <v/>
      </c>
      <c r="AL22" s="7" t="str">
        <f>IF($A22="","",[2]!B_CALC_PRICE($A22,$AJ$1,IF(情景分析!$D$6=1,$J22,IF(情景分析!$D$6=2,$E22,IF(情景分析!$D$6=4,IF($C22="银行间",$J22,$L22),$G22)))+AL$2/100,情景分析!$D$7,"",,,,"",)*IF($H22="",1,$H22))</f>
        <v/>
      </c>
      <c r="AM22" s="7" t="str">
        <f>IF($A22="","",[2]!B_CALC_PRICE($A22,$AJ$1,IF(情景分析!$D$6=1,$J22,IF(情景分析!$D$6=2,$E22,IF(情景分析!$D$6=4,IF($C22="银行间",$J22,$L22),$G22)))+AM$2/100,情景分析!$D$7,"",,,,"",)*IF($H22="",1,$H22))</f>
        <v/>
      </c>
      <c r="AN22" s="7" t="str">
        <f>IF($A22="","",[2]!B_CALC_PRICE($A22,$AJ$1,IF(情景分析!$D$6=1,$J22,IF(情景分析!$D$6=2,$E22,IF(情景分析!$D$6=4,IF($C22="银行间",$J22,$L22),$G22)))+AN$2/100,情景分析!$D$7,"",,,,"",)*IF($H22="",1,$H22))</f>
        <v/>
      </c>
      <c r="AO22" s="7" t="str">
        <f>IF($A22="","",[2]!B_CALC_PRICE($A22,$AJ$1,IF(情景分析!$D$6=1,$J22,IF(情景分析!$D$6=2,$E22,IF(情景分析!$D$6=4,IF($C22="银行间",$J22,$L22),$G22)))+AO$2/100,情景分析!$D$7,"",,,,"",)*IF($H22="",1,$H22))</f>
        <v/>
      </c>
      <c r="AP22" s="7" t="str">
        <f>IF($A22="","",[2]!B_CALC_PRICE($A22,$AJ$1,IF(情景分析!$D$6=1,$J22,IF(情景分析!$D$6=2,$E22,IF(情景分析!$D$6=4,IF($C22="银行间",$J22,$L22),$G22)))+AP$2/100,情景分析!$D$7,"",,,,"",)*IF($H22="",1,$H22))</f>
        <v/>
      </c>
      <c r="AQ22" s="7" t="str">
        <f>IF($A22="","",[2]!B_CALC_PRICE($A22,$AQ$1,IF(情景分析!$D$6=1,$J22,IF(情景分析!$D$6=2,$E22,IF(情景分析!$D$6=4,IF($C22="银行间",$J22,$L22),$G22)))+AQ$2/100,情景分析!$D$7,"",,,,"",)*IF($H22="",1,$H22))</f>
        <v/>
      </c>
      <c r="AR22" s="7" t="str">
        <f>IF($A22="","",[2]!B_CALC_PRICE($A22,$AQ$1,IF(情景分析!$D$6=1,$J22,IF(情景分析!$D$6=2,$E22,IF(情景分析!$D$6=4,IF($C22="银行间",$J22,$L22),$G22)))+AR$2/100,情景分析!$D$7,"",,,,"",)*IF($H22="",1,$H22))</f>
        <v/>
      </c>
      <c r="AS22" s="7" t="str">
        <f>IF($A22="","",[2]!B_CALC_PRICE($A22,$AQ$1,IF(情景分析!$D$6=1,$J22,IF(情景分析!$D$6=2,$E22,IF(情景分析!$D$6=4,IF($C22="银行间",$J22,$L22),$G22)))+AS$2/100,情景分析!$D$7,"",,,,"",)*IF($H22="",1,$H22))</f>
        <v/>
      </c>
      <c r="AT22" s="7" t="str">
        <f>IF($A22="","",[2]!B_CALC_PRICE($A22,$AQ$1,IF(情景分析!$D$6=1,$J22,IF(情景分析!$D$6=2,$E22,IF(情景分析!$D$6=4,IF($C22="银行间",$J22,$L22),$G22)))+AT$2/100,情景分析!$D$7,"",,,,"",)*IF($H22="",1,$H22))</f>
        <v/>
      </c>
      <c r="AU22" s="7" t="str">
        <f>IF($A22="","",[2]!B_CALC_PRICE($A22,$AQ$1,IF(情景分析!$D$6=1,$J22,IF(情景分析!$D$6=2,$E22,IF(情景分析!$D$6=4,IF($C22="银行间",$J22,$L22),$G22)))+AU$2/100,情景分析!$D$7,"",,,,"",)*IF($H22="",1,$H22))</f>
        <v/>
      </c>
      <c r="AV22" s="7" t="str">
        <f>IF($A22="","",[2]!B_CALC_PRICE($A22,$AQ$1,IF(情景分析!$D$6=1,$J22,IF(情景分析!$D$6=2,$E22,IF(情景分析!$D$6=4,IF($C22="银行间",$J22,$L22),$G22)))+AV$2/100,情景分析!$D$7,"",,,,"",)*IF($H22="",1,$H22))</f>
        <v/>
      </c>
      <c r="AW22" s="7" t="str">
        <f>IF($A22="","",[2]!B_CALC_PRICE($A22,$AQ$1,IF(情景分析!$D$6=1,$J22,IF(情景分析!$D$6=2,$E22,IF(情景分析!$D$6=4,IF($C22="银行间",$J22,$L22),$G22)))+AW$2/100,情景分析!$D$7,"",,,,"",)*IF($H22="",1,$H22))</f>
        <v/>
      </c>
    </row>
    <row r="23" spans="1:49" x14ac:dyDescent="0.15">
      <c r="A23" s="20"/>
      <c r="B23" s="7" t="str">
        <f>IF(A23="","",[2]!b_info_name(A23))</f>
        <v/>
      </c>
      <c r="C23" s="7" t="str">
        <f>[2]!b_info_listedmkt(A23)</f>
        <v>#N/A</v>
      </c>
      <c r="D23" s="7" t="str">
        <f>IFERROR(IF(A23="","", [2]!b_dq_avgprice(A23, 情景分析!$D$5, 情景分析!$D$7) * IF($H23="",1,$H23)),0)</f>
        <v/>
      </c>
      <c r="E23" s="7" t="str">
        <f>IF(A23="","", N([2]!b_dq_avgprice(A23,情景分析!$D$5,3)))</f>
        <v/>
      </c>
      <c r="F23" s="29" t="str">
        <f>IF($G23 = "",
"",
IFERROR(
[2]!b_calc_pv(A23, 情景分析!$D$5,$G23, "1", 情景分析!$D$7),
[2]!b_calc_pv(A23, 情景分析!$D$5,$G23, "2", 情景分析!$D$7)
)
)</f>
        <v/>
      </c>
      <c r="G23" s="22"/>
      <c r="H23" s="21"/>
      <c r="I23" s="7" t="str">
        <f>IF(A23="","",IF(情景分析!$D$7=1,[2]!b_anal_net_cnbd(A23,情景分析!$D$5,1),[2]!b_anal_dirty_cnbd(A23,情景分析!$D$5,1))*IF($H23="",1,$H23))</f>
        <v/>
      </c>
      <c r="J23" s="7" t="str">
        <f>IF(A23="","",[2]!b_anal_yield_cnbd(A23,情景分析!$D$5,1))</f>
        <v/>
      </c>
      <c r="K23" s="29" t="str">
        <f>IF(A23="","",IF(情景分析!$D$7=1,[2]!b_anal_net_csi1(A23,情景分析!$D$5,1),[2]!b_anal_dirty_csi1(A23,情景分析!$D$5,1))*IF($H23="",1,$H23))</f>
        <v/>
      </c>
      <c r="L23" s="29" t="str">
        <f>IF(A23="","",[2]!b_anal_yield_csi1(A23,情景分析!$D$5,1))</f>
        <v/>
      </c>
      <c r="M23" s="29" t="str">
        <f t="shared" si="4"/>
        <v/>
      </c>
      <c r="N23" s="29" t="str">
        <f t="shared" si="5"/>
        <v/>
      </c>
      <c r="O23" s="7" t="str">
        <f>IF($A23="","",[2]!B_CALC_PRICE($A23,$O$1,IF(情景分析!$D$6=1,$J23,IF(情景分析!$D$6=2,$E23,IF(情景分析!$D$6=4,IF($C23="银行间",$J23,$L23),$G23)))+O$2/100,情景分析!$D$7,"",,,,"",)*IF($H23="",1,$H23))</f>
        <v/>
      </c>
      <c r="P23" s="7" t="str">
        <f>IF($A23="","",[2]!B_CALC_PRICE($A23,$O$1,IF(情景分析!$D$6=1,$J23,IF(情景分析!$D$6=2,$E23,IF(情景分析!$D$6=4,IF($C23="银行间",$J23,$L23),$G23)))+P$2/100,情景分析!$D$7,"",,,,"",)*IF($H23="",1,$H23))</f>
        <v/>
      </c>
      <c r="Q23" s="7" t="str">
        <f>IF($A23="","",[2]!B_CALC_PRICE($A23,$O$1,IF(情景分析!$D$6=1,$J23,IF(情景分析!$D$6=2,$E23,IF(情景分析!$D$6=4,IF($C23="银行间",$J23,$L23),$G23)))+Q$2/100,情景分析!$D$7,"",,,,"",)*IF($H23="",1,$H23))</f>
        <v/>
      </c>
      <c r="R23" s="7" t="str">
        <f>IF($A23="","",[2]!B_CALC_PRICE($A23,$O$1,IF(情景分析!$D$6=1,$J23,IF(情景分析!$D$6=2,$E23,IF(情景分析!$D$6=4,IF($C23="银行间",$J23,$L23),$G23)))+R$2/100,情景分析!$D$7,"",,,,"",)*IF($H23="",1,$H23))</f>
        <v/>
      </c>
      <c r="S23" s="7" t="str">
        <f>IF($A23="","",[2]!B_CALC_PRICE($A23,$O$1,IF(情景分析!$D$6=1,$J23,IF(情景分析!$D$6=2,$E23,IF(情景分析!$D$6=4,IF($C23="银行间",$J23,$L23),$G23)))+S$2/100,情景分析!$D$7,"",,,,"",)*IF($H23="",1,$H23))</f>
        <v/>
      </c>
      <c r="T23" s="7" t="str">
        <f>IF($A23="","",[2]!B_CALC_PRICE($A23,$O$1,IF(情景分析!$D$6=1,$J23,IF(情景分析!$D$6=2,$E23,IF(情景分析!$D$6=4,IF($C23="银行间",$J23,$L23),$G23)))+T$2/100,情景分析!$D$7,"",,,,"",)*IF($H23="",1,$H23))</f>
        <v/>
      </c>
      <c r="U23" s="7" t="str">
        <f>IF($A23="","",[2]!B_CALC_PRICE($A23,$O$1,IF(情景分析!$D$6=1,$J23,IF(情景分析!$D$6=2,$E23,IF(情景分析!$D$6=4,IF($C23="银行间",$J23,$L23),$G23)))+U$2/100,情景分析!$D$7,"",,,,"",)*IF($H23="",1,$H23))</f>
        <v/>
      </c>
      <c r="V23" s="7" t="str">
        <f>IF($A23="","",[2]!B_CALC_PRICE($A23,$V$1,IF(情景分析!$D$6=1,$J23,IF(情景分析!$D$6=2,$E23,IF(情景分析!$D$6=4,IF($C23="银行间",$J23,$L23),$G23)))+V$2/100,情景分析!$D$7,"",,,,"",)*IF($H23="",1,$H23))</f>
        <v/>
      </c>
      <c r="W23" s="7" t="str">
        <f>IF($A23="","",[2]!B_CALC_PRICE($A23,$V$1,IF(情景分析!$D$6=1,$J23,IF(情景分析!$D$6=2,$E23,IF(情景分析!$D$6=4,IF($C23="银行间",$J23,$L23),$G23)))+W$2/100,情景分析!$D$7,"",,,,"",)*IF($H23="",1,$H23))</f>
        <v/>
      </c>
      <c r="X23" s="7" t="str">
        <f>IF($A23="","",[2]!B_CALC_PRICE($A23,$V$1,IF(情景分析!$D$6=1,$J23,IF(情景分析!$D$6=2,$E23,IF(情景分析!$D$6=4,IF($C23="银行间",$J23,$L23),$G23)))+X$2/100,情景分析!$D$7,"",,,,"",)*IF($H23="",1,$H23))</f>
        <v/>
      </c>
      <c r="Y23" s="7" t="str">
        <f>IF($A23="","",[2]!B_CALC_PRICE($A23,$V$1,IF(情景分析!$D$6=1,$J23,IF(情景分析!$D$6=2,$E23,IF(情景分析!$D$6=4,IF($C23="银行间",$J23,$L23),$G23)))+Y$2/100,情景分析!$D$7,"",,,,"",)*IF($H23="",1,$H23))</f>
        <v/>
      </c>
      <c r="Z23" s="7" t="str">
        <f>IF($A23="","",[2]!B_CALC_PRICE($A23,$V$1,IF(情景分析!$D$6=1,$J23,IF(情景分析!$D$6=2,$E23,IF(情景分析!$D$6=4,IF($C23="银行间",$J23,$L23),$G23)))+Z$2/100,情景分析!$D$7,"",,,,"",)*IF($H23="",1,$H23))</f>
        <v/>
      </c>
      <c r="AA23" s="7" t="str">
        <f>IF($A23="","",[2]!B_CALC_PRICE($A23,$V$1,IF(情景分析!$D$6=1,$J23,IF(情景分析!$D$6=2,$E23,IF(情景分析!$D$6=4,IF($C23="银行间",$J23,$L23),$G23)))+AA$2/100,情景分析!$D$7,"",,,,"",)*IF($H23="",1,$H23))</f>
        <v/>
      </c>
      <c r="AB23" s="7" t="str">
        <f>IF($A23="","",[2]!B_CALC_PRICE($A23,$V$1,IF(情景分析!$D$6=1,$J23,IF(情景分析!$D$6=2,$E23,IF(情景分析!$D$6=4,IF($C23="银行间",$J23,$L23),$G23)))+AB$2/100,情景分析!$D$7,"",,,,"",)*IF($H23="",1,$H23))</f>
        <v/>
      </c>
      <c r="AC23" s="7" t="str">
        <f>IF($A23="","",[2]!B_CALC_PRICE($A23,$AC$1,IF(情景分析!$D$6=1,$J23,IF(情景分析!$D$6=2,$E23,IF(情景分析!$D$6=4,IF($C23="银行间",$J23,$L23),$G23)))+AC$2/100,情景分析!$D$7,"",,,,"",)*IF($H23="",1,$H23))</f>
        <v/>
      </c>
      <c r="AD23" s="7" t="str">
        <f>IF($A23="","",[2]!B_CALC_PRICE($A23,$AC$1,IF(情景分析!$D$6=1,$J23,IF(情景分析!$D$6=2,$E23,IF(情景分析!$D$6=4,IF($C23="银行间",$J23,$L23),$G23)))+AD$2/100,情景分析!$D$7,"",,,,"",)*IF($H23="",1,$H23))</f>
        <v/>
      </c>
      <c r="AE23" s="7" t="str">
        <f>IF($A23="","",[2]!B_CALC_PRICE($A23,$AC$1,IF(情景分析!$D$6=1,$J23,IF(情景分析!$D$6=2,$E23,IF(情景分析!$D$6=4,IF($C23="银行间",$J23,$L23),$G23)))+AE$2/100,情景分析!$D$7,"",,,,"",)*IF($H23="",1,$H23))</f>
        <v/>
      </c>
      <c r="AF23" s="7" t="str">
        <f>IF($A23="","",[2]!B_CALC_PRICE($A23,$AC$1,IF(情景分析!$D$6=1,$J23,IF(情景分析!$D$6=2,$E23,IF(情景分析!$D$6=4,IF($C23="银行间",$J23,$L23),$G23)))+AF$2/100,情景分析!$D$7,"",,,,"",)*IF($H23="",1,$H23))</f>
        <v/>
      </c>
      <c r="AG23" s="7" t="str">
        <f>IF($A23="","",[2]!B_CALC_PRICE($A23,$AC$1,IF(情景分析!$D$6=1,$J23,IF(情景分析!$D$6=2,$E23,IF(情景分析!$D$6=4,IF($C23="银行间",$J23,$L23),$G23)))+AG$2/100,情景分析!$D$7,"",,,,"",)*IF($H23="",1,$H23))</f>
        <v/>
      </c>
      <c r="AH23" s="7" t="str">
        <f>IF($A23="","",[2]!B_CALC_PRICE($A23,$AC$1,IF(情景分析!$D$6=1,$J23,IF(情景分析!$D$6=2,$E23,IF(情景分析!$D$6=4,IF($C23="银行间",$J23,$L23),$G23)))+AH$2/100,情景分析!$D$7,"",,,,"",)*IF($H23="",1,$H23))</f>
        <v/>
      </c>
      <c r="AI23" s="7" t="str">
        <f>IF($A23="","",[2]!B_CALC_PRICE($A23,$AC$1,IF(情景分析!$D$6=1,$J23,IF(情景分析!$D$6=2,$E23,IF(情景分析!$D$6=4,IF($C23="银行间",$J23,$L23),$G23)))+AI$2/100,情景分析!$D$7,"",,,,"",)*IF($H23="",1,$H23))</f>
        <v/>
      </c>
      <c r="AJ23" s="7" t="str">
        <f>IF($A23="","",[2]!B_CALC_PRICE($A23,$AJ$1,IF(情景分析!$D$6=1,$J23,IF(情景分析!$D$6=2,$E23,IF(情景分析!$D$6=4,IF($C23="银行间",$J23,$L23),$G23)))+AJ$2/100,情景分析!$D$7,"",,,,"",)*IF($H23="",1,$H23))</f>
        <v/>
      </c>
      <c r="AK23" s="7" t="str">
        <f>IF($A23="","",[2]!B_CALC_PRICE($A23,$AJ$1,IF(情景分析!$D$6=1,$J23,IF(情景分析!$D$6=2,$E23,IF(情景分析!$D$6=4,IF($C23="银行间",$J23,$L23),$G23)))+AK$2/100,情景分析!$D$7,"",,,,"",)*IF($H23="",1,$H23))</f>
        <v/>
      </c>
      <c r="AL23" s="7" t="str">
        <f>IF($A23="","",[2]!B_CALC_PRICE($A23,$AJ$1,IF(情景分析!$D$6=1,$J23,IF(情景分析!$D$6=2,$E23,IF(情景分析!$D$6=4,IF($C23="银行间",$J23,$L23),$G23)))+AL$2/100,情景分析!$D$7,"",,,,"",)*IF($H23="",1,$H23))</f>
        <v/>
      </c>
      <c r="AM23" s="7" t="str">
        <f>IF($A23="","",[2]!B_CALC_PRICE($A23,$AJ$1,IF(情景分析!$D$6=1,$J23,IF(情景分析!$D$6=2,$E23,IF(情景分析!$D$6=4,IF($C23="银行间",$J23,$L23),$G23)))+AM$2/100,情景分析!$D$7,"",,,,"",)*IF($H23="",1,$H23))</f>
        <v/>
      </c>
      <c r="AN23" s="7" t="str">
        <f>IF($A23="","",[2]!B_CALC_PRICE($A23,$AJ$1,IF(情景分析!$D$6=1,$J23,IF(情景分析!$D$6=2,$E23,IF(情景分析!$D$6=4,IF($C23="银行间",$J23,$L23),$G23)))+AN$2/100,情景分析!$D$7,"",,,,"",)*IF($H23="",1,$H23))</f>
        <v/>
      </c>
      <c r="AO23" s="7" t="str">
        <f>IF($A23="","",[2]!B_CALC_PRICE($A23,$AJ$1,IF(情景分析!$D$6=1,$J23,IF(情景分析!$D$6=2,$E23,IF(情景分析!$D$6=4,IF($C23="银行间",$J23,$L23),$G23)))+AO$2/100,情景分析!$D$7,"",,,,"",)*IF($H23="",1,$H23))</f>
        <v/>
      </c>
      <c r="AP23" s="7" t="str">
        <f>IF($A23="","",[2]!B_CALC_PRICE($A23,$AJ$1,IF(情景分析!$D$6=1,$J23,IF(情景分析!$D$6=2,$E23,IF(情景分析!$D$6=4,IF($C23="银行间",$J23,$L23),$G23)))+AP$2/100,情景分析!$D$7,"",,,,"",)*IF($H23="",1,$H23))</f>
        <v/>
      </c>
      <c r="AQ23" s="7" t="str">
        <f>IF($A23="","",[2]!B_CALC_PRICE($A23,$AQ$1,IF(情景分析!$D$6=1,$J23,IF(情景分析!$D$6=2,$E23,IF(情景分析!$D$6=4,IF($C23="银行间",$J23,$L23),$G23)))+AQ$2/100,情景分析!$D$7,"",,,,"",)*IF($H23="",1,$H23))</f>
        <v/>
      </c>
      <c r="AR23" s="7" t="str">
        <f>IF($A23="","",[2]!B_CALC_PRICE($A23,$AQ$1,IF(情景分析!$D$6=1,$J23,IF(情景分析!$D$6=2,$E23,IF(情景分析!$D$6=4,IF($C23="银行间",$J23,$L23),$G23)))+AR$2/100,情景分析!$D$7,"",,,,"",)*IF($H23="",1,$H23))</f>
        <v/>
      </c>
      <c r="AS23" s="7" t="str">
        <f>IF($A23="","",[2]!B_CALC_PRICE($A23,$AQ$1,IF(情景分析!$D$6=1,$J23,IF(情景分析!$D$6=2,$E23,IF(情景分析!$D$6=4,IF($C23="银行间",$J23,$L23),$G23)))+AS$2/100,情景分析!$D$7,"",,,,"",)*IF($H23="",1,$H23))</f>
        <v/>
      </c>
      <c r="AT23" s="7" t="str">
        <f>IF($A23="","",[2]!B_CALC_PRICE($A23,$AQ$1,IF(情景分析!$D$6=1,$J23,IF(情景分析!$D$6=2,$E23,IF(情景分析!$D$6=4,IF($C23="银行间",$J23,$L23),$G23)))+AT$2/100,情景分析!$D$7,"",,,,"",)*IF($H23="",1,$H23))</f>
        <v/>
      </c>
      <c r="AU23" s="7" t="str">
        <f>IF($A23="","",[2]!B_CALC_PRICE($A23,$AQ$1,IF(情景分析!$D$6=1,$J23,IF(情景分析!$D$6=2,$E23,IF(情景分析!$D$6=4,IF($C23="银行间",$J23,$L23),$G23)))+AU$2/100,情景分析!$D$7,"",,,,"",)*IF($H23="",1,$H23))</f>
        <v/>
      </c>
      <c r="AV23" s="7" t="str">
        <f>IF($A23="","",[2]!B_CALC_PRICE($A23,$AQ$1,IF(情景分析!$D$6=1,$J23,IF(情景分析!$D$6=2,$E23,IF(情景分析!$D$6=4,IF($C23="银行间",$J23,$L23),$G23)))+AV$2/100,情景分析!$D$7,"",,,,"",)*IF($H23="",1,$H23))</f>
        <v/>
      </c>
      <c r="AW23" s="7" t="str">
        <f>IF($A23="","",[2]!B_CALC_PRICE($A23,$AQ$1,IF(情景分析!$D$6=1,$J23,IF(情景分析!$D$6=2,$E23,IF(情景分析!$D$6=4,IF($C23="银行间",$J23,$L23),$G23)))+AW$2/100,情景分析!$D$7,"",,,,"",)*IF($H23="",1,$H23))</f>
        <v/>
      </c>
    </row>
    <row r="24" spans="1:49" x14ac:dyDescent="0.15">
      <c r="A24" s="20"/>
      <c r="B24" s="7" t="str">
        <f>IF(A24="","",[2]!b_info_name(A24))</f>
        <v/>
      </c>
      <c r="C24" s="7" t="str">
        <f>[2]!b_info_listedmkt(A24)</f>
        <v>#N/A</v>
      </c>
      <c r="D24" s="7" t="str">
        <f>IFERROR(IF(A24="","", [2]!b_dq_avgprice(A24, 情景分析!$D$5, 情景分析!$D$7) * IF($H24="",1,$H24)),0)</f>
        <v/>
      </c>
      <c r="E24" s="7" t="str">
        <f>IF(A24="","", N([2]!b_dq_avgprice(A24,情景分析!$D$5,3)))</f>
        <v/>
      </c>
      <c r="F24" s="29" t="str">
        <f>IF($G24 = "",
"",
IFERROR(
[2]!b_calc_pv(A24, 情景分析!$D$5,$G24, "1", 情景分析!$D$7),
[2]!b_calc_pv(A24, 情景分析!$D$5,$G24, "2", 情景分析!$D$7)
)
)</f>
        <v/>
      </c>
      <c r="G24" s="22"/>
      <c r="H24" s="21"/>
      <c r="I24" s="7" t="str">
        <f>IF(A24="","",IF(情景分析!$D$7=1,[2]!b_anal_net_cnbd(A24,情景分析!$D$5,1),[2]!b_anal_dirty_cnbd(A24,情景分析!$D$5,1))*IF($H24="",1,$H24))</f>
        <v/>
      </c>
      <c r="J24" s="7" t="str">
        <f>IF(A24="","",[2]!b_anal_yield_cnbd(A24,情景分析!$D$5,1))</f>
        <v/>
      </c>
      <c r="K24" s="29" t="str">
        <f>IF(A24="","",IF(情景分析!$D$7=1,[2]!b_anal_net_csi1(A24,情景分析!$D$5,1),[2]!b_anal_dirty_csi1(A24,情景分析!$D$5,1))*IF($H24="",1,$H24))</f>
        <v/>
      </c>
      <c r="L24" s="29" t="str">
        <f>IF(A24="","",[2]!b_anal_yield_csi1(A24,情景分析!$D$5,1))</f>
        <v/>
      </c>
      <c r="M24" s="29" t="str">
        <f t="shared" si="4"/>
        <v/>
      </c>
      <c r="N24" s="29" t="str">
        <f t="shared" si="5"/>
        <v/>
      </c>
      <c r="O24" s="7" t="str">
        <f>IF($A24="","",[2]!B_CALC_PRICE($A24,$O$1,IF(情景分析!$D$6=1,$J24,IF(情景分析!$D$6=2,$E24,IF(情景分析!$D$6=4,IF($C24="银行间",$J24,$L24),$G24)))+O$2/100,情景分析!$D$7,"",,,,"",)*IF($H24="",1,$H24))</f>
        <v/>
      </c>
      <c r="P24" s="7" t="str">
        <f>IF($A24="","",[2]!B_CALC_PRICE($A24,$O$1,IF(情景分析!$D$6=1,$J24,IF(情景分析!$D$6=2,$E24,IF(情景分析!$D$6=4,IF($C24="银行间",$J24,$L24),$G24)))+P$2/100,情景分析!$D$7,"",,,,"",)*IF($H24="",1,$H24))</f>
        <v/>
      </c>
      <c r="Q24" s="7" t="str">
        <f>IF($A24="","",[2]!B_CALC_PRICE($A24,$O$1,IF(情景分析!$D$6=1,$J24,IF(情景分析!$D$6=2,$E24,IF(情景分析!$D$6=4,IF($C24="银行间",$J24,$L24),$G24)))+Q$2/100,情景分析!$D$7,"",,,,"",)*IF($H24="",1,$H24))</f>
        <v/>
      </c>
      <c r="R24" s="7" t="str">
        <f>IF($A24="","",[2]!B_CALC_PRICE($A24,$O$1,IF(情景分析!$D$6=1,$J24,IF(情景分析!$D$6=2,$E24,IF(情景分析!$D$6=4,IF($C24="银行间",$J24,$L24),$G24)))+R$2/100,情景分析!$D$7,"",,,,"",)*IF($H24="",1,$H24))</f>
        <v/>
      </c>
      <c r="S24" s="7" t="str">
        <f>IF($A24="","",[2]!B_CALC_PRICE($A24,$O$1,IF(情景分析!$D$6=1,$J24,IF(情景分析!$D$6=2,$E24,IF(情景分析!$D$6=4,IF($C24="银行间",$J24,$L24),$G24)))+S$2/100,情景分析!$D$7,"",,,,"",)*IF($H24="",1,$H24))</f>
        <v/>
      </c>
      <c r="T24" s="7" t="str">
        <f>IF($A24="","",[2]!B_CALC_PRICE($A24,$O$1,IF(情景分析!$D$6=1,$J24,IF(情景分析!$D$6=2,$E24,IF(情景分析!$D$6=4,IF($C24="银行间",$J24,$L24),$G24)))+T$2/100,情景分析!$D$7,"",,,,"",)*IF($H24="",1,$H24))</f>
        <v/>
      </c>
      <c r="U24" s="7" t="str">
        <f>IF($A24="","",[2]!B_CALC_PRICE($A24,$O$1,IF(情景分析!$D$6=1,$J24,IF(情景分析!$D$6=2,$E24,IF(情景分析!$D$6=4,IF($C24="银行间",$J24,$L24),$G24)))+U$2/100,情景分析!$D$7,"",,,,"",)*IF($H24="",1,$H24))</f>
        <v/>
      </c>
      <c r="V24" s="7" t="str">
        <f>IF($A24="","",[2]!B_CALC_PRICE($A24,$V$1,IF(情景分析!$D$6=1,$J24,IF(情景分析!$D$6=2,$E24,IF(情景分析!$D$6=4,IF($C24="银行间",$J24,$L24),$G24)))+V$2/100,情景分析!$D$7,"",,,,"",)*IF($H24="",1,$H24))</f>
        <v/>
      </c>
      <c r="W24" s="7" t="str">
        <f>IF($A24="","",[2]!B_CALC_PRICE($A24,$V$1,IF(情景分析!$D$6=1,$J24,IF(情景分析!$D$6=2,$E24,IF(情景分析!$D$6=4,IF($C24="银行间",$J24,$L24),$G24)))+W$2/100,情景分析!$D$7,"",,,,"",)*IF($H24="",1,$H24))</f>
        <v/>
      </c>
      <c r="X24" s="7" t="str">
        <f>IF($A24="","",[2]!B_CALC_PRICE($A24,$V$1,IF(情景分析!$D$6=1,$J24,IF(情景分析!$D$6=2,$E24,IF(情景分析!$D$6=4,IF($C24="银行间",$J24,$L24),$G24)))+X$2/100,情景分析!$D$7,"",,,,"",)*IF($H24="",1,$H24))</f>
        <v/>
      </c>
      <c r="Y24" s="7" t="str">
        <f>IF($A24="","",[2]!B_CALC_PRICE($A24,$V$1,IF(情景分析!$D$6=1,$J24,IF(情景分析!$D$6=2,$E24,IF(情景分析!$D$6=4,IF($C24="银行间",$J24,$L24),$G24)))+Y$2/100,情景分析!$D$7,"",,,,"",)*IF($H24="",1,$H24))</f>
        <v/>
      </c>
      <c r="Z24" s="7" t="str">
        <f>IF($A24="","",[2]!B_CALC_PRICE($A24,$V$1,IF(情景分析!$D$6=1,$J24,IF(情景分析!$D$6=2,$E24,IF(情景分析!$D$6=4,IF($C24="银行间",$J24,$L24),$G24)))+Z$2/100,情景分析!$D$7,"",,,,"",)*IF($H24="",1,$H24))</f>
        <v/>
      </c>
      <c r="AA24" s="7" t="str">
        <f>IF($A24="","",[2]!B_CALC_PRICE($A24,$V$1,IF(情景分析!$D$6=1,$J24,IF(情景分析!$D$6=2,$E24,IF(情景分析!$D$6=4,IF($C24="银行间",$J24,$L24),$G24)))+AA$2/100,情景分析!$D$7,"",,,,"",)*IF($H24="",1,$H24))</f>
        <v/>
      </c>
      <c r="AB24" s="7" t="str">
        <f>IF($A24="","",[2]!B_CALC_PRICE($A24,$V$1,IF(情景分析!$D$6=1,$J24,IF(情景分析!$D$6=2,$E24,IF(情景分析!$D$6=4,IF($C24="银行间",$J24,$L24),$G24)))+AB$2/100,情景分析!$D$7,"",,,,"",)*IF($H24="",1,$H24))</f>
        <v/>
      </c>
      <c r="AC24" s="7" t="str">
        <f>IF($A24="","",[2]!B_CALC_PRICE($A24,$AC$1,IF(情景分析!$D$6=1,$J24,IF(情景分析!$D$6=2,$E24,IF(情景分析!$D$6=4,IF($C24="银行间",$J24,$L24),$G24)))+AC$2/100,情景分析!$D$7,"",,,,"",)*IF($H24="",1,$H24))</f>
        <v/>
      </c>
      <c r="AD24" s="7" t="str">
        <f>IF($A24="","",[2]!B_CALC_PRICE($A24,$AC$1,IF(情景分析!$D$6=1,$J24,IF(情景分析!$D$6=2,$E24,IF(情景分析!$D$6=4,IF($C24="银行间",$J24,$L24),$G24)))+AD$2/100,情景分析!$D$7,"",,,,"",)*IF($H24="",1,$H24))</f>
        <v/>
      </c>
      <c r="AE24" s="7" t="str">
        <f>IF($A24="","",[2]!B_CALC_PRICE($A24,$AC$1,IF(情景分析!$D$6=1,$J24,IF(情景分析!$D$6=2,$E24,IF(情景分析!$D$6=4,IF($C24="银行间",$J24,$L24),$G24)))+AE$2/100,情景分析!$D$7,"",,,,"",)*IF($H24="",1,$H24))</f>
        <v/>
      </c>
      <c r="AF24" s="7" t="str">
        <f>IF($A24="","",[2]!B_CALC_PRICE($A24,$AC$1,IF(情景分析!$D$6=1,$J24,IF(情景分析!$D$6=2,$E24,IF(情景分析!$D$6=4,IF($C24="银行间",$J24,$L24),$G24)))+AF$2/100,情景分析!$D$7,"",,,,"",)*IF($H24="",1,$H24))</f>
        <v/>
      </c>
      <c r="AG24" s="7" t="str">
        <f>IF($A24="","",[2]!B_CALC_PRICE($A24,$AC$1,IF(情景分析!$D$6=1,$J24,IF(情景分析!$D$6=2,$E24,IF(情景分析!$D$6=4,IF($C24="银行间",$J24,$L24),$G24)))+AG$2/100,情景分析!$D$7,"",,,,"",)*IF($H24="",1,$H24))</f>
        <v/>
      </c>
      <c r="AH24" s="7" t="str">
        <f>IF($A24="","",[2]!B_CALC_PRICE($A24,$AC$1,IF(情景分析!$D$6=1,$J24,IF(情景分析!$D$6=2,$E24,IF(情景分析!$D$6=4,IF($C24="银行间",$J24,$L24),$G24)))+AH$2/100,情景分析!$D$7,"",,,,"",)*IF($H24="",1,$H24))</f>
        <v/>
      </c>
      <c r="AI24" s="7" t="str">
        <f>IF($A24="","",[2]!B_CALC_PRICE($A24,$AC$1,IF(情景分析!$D$6=1,$J24,IF(情景分析!$D$6=2,$E24,IF(情景分析!$D$6=4,IF($C24="银行间",$J24,$L24),$G24)))+AI$2/100,情景分析!$D$7,"",,,,"",)*IF($H24="",1,$H24))</f>
        <v/>
      </c>
      <c r="AJ24" s="7" t="str">
        <f>IF($A24="","",[2]!B_CALC_PRICE($A24,$AJ$1,IF(情景分析!$D$6=1,$J24,IF(情景分析!$D$6=2,$E24,IF(情景分析!$D$6=4,IF($C24="银行间",$J24,$L24),$G24)))+AJ$2/100,情景分析!$D$7,"",,,,"",)*IF($H24="",1,$H24))</f>
        <v/>
      </c>
      <c r="AK24" s="7" t="str">
        <f>IF($A24="","",[2]!B_CALC_PRICE($A24,$AJ$1,IF(情景分析!$D$6=1,$J24,IF(情景分析!$D$6=2,$E24,IF(情景分析!$D$6=4,IF($C24="银行间",$J24,$L24),$G24)))+AK$2/100,情景分析!$D$7,"",,,,"",)*IF($H24="",1,$H24))</f>
        <v/>
      </c>
      <c r="AL24" s="7" t="str">
        <f>IF($A24="","",[2]!B_CALC_PRICE($A24,$AJ$1,IF(情景分析!$D$6=1,$J24,IF(情景分析!$D$6=2,$E24,IF(情景分析!$D$6=4,IF($C24="银行间",$J24,$L24),$G24)))+AL$2/100,情景分析!$D$7,"",,,,"",)*IF($H24="",1,$H24))</f>
        <v/>
      </c>
      <c r="AM24" s="7" t="str">
        <f>IF($A24="","",[2]!B_CALC_PRICE($A24,$AJ$1,IF(情景分析!$D$6=1,$J24,IF(情景分析!$D$6=2,$E24,IF(情景分析!$D$6=4,IF($C24="银行间",$J24,$L24),$G24)))+AM$2/100,情景分析!$D$7,"",,,,"",)*IF($H24="",1,$H24))</f>
        <v/>
      </c>
      <c r="AN24" s="7" t="str">
        <f>IF($A24="","",[2]!B_CALC_PRICE($A24,$AJ$1,IF(情景分析!$D$6=1,$J24,IF(情景分析!$D$6=2,$E24,IF(情景分析!$D$6=4,IF($C24="银行间",$J24,$L24),$G24)))+AN$2/100,情景分析!$D$7,"",,,,"",)*IF($H24="",1,$H24))</f>
        <v/>
      </c>
      <c r="AO24" s="7" t="str">
        <f>IF($A24="","",[2]!B_CALC_PRICE($A24,$AJ$1,IF(情景分析!$D$6=1,$J24,IF(情景分析!$D$6=2,$E24,IF(情景分析!$D$6=4,IF($C24="银行间",$J24,$L24),$G24)))+AO$2/100,情景分析!$D$7,"",,,,"",)*IF($H24="",1,$H24))</f>
        <v/>
      </c>
      <c r="AP24" s="7" t="str">
        <f>IF($A24="","",[2]!B_CALC_PRICE($A24,$AJ$1,IF(情景分析!$D$6=1,$J24,IF(情景分析!$D$6=2,$E24,IF(情景分析!$D$6=4,IF($C24="银行间",$J24,$L24),$G24)))+AP$2/100,情景分析!$D$7,"",,,,"",)*IF($H24="",1,$H24))</f>
        <v/>
      </c>
      <c r="AQ24" s="7" t="str">
        <f>IF($A24="","",[2]!B_CALC_PRICE($A24,$AQ$1,IF(情景分析!$D$6=1,$J24,IF(情景分析!$D$6=2,$E24,IF(情景分析!$D$6=4,IF($C24="银行间",$J24,$L24),$G24)))+AQ$2/100,情景分析!$D$7,"",,,,"",)*IF($H24="",1,$H24))</f>
        <v/>
      </c>
      <c r="AR24" s="7" t="str">
        <f>IF($A24="","",[2]!B_CALC_PRICE($A24,$AQ$1,IF(情景分析!$D$6=1,$J24,IF(情景分析!$D$6=2,$E24,IF(情景分析!$D$6=4,IF($C24="银行间",$J24,$L24),$G24)))+AR$2/100,情景分析!$D$7,"",,,,"",)*IF($H24="",1,$H24))</f>
        <v/>
      </c>
      <c r="AS24" s="7" t="str">
        <f>IF($A24="","",[2]!B_CALC_PRICE($A24,$AQ$1,IF(情景分析!$D$6=1,$J24,IF(情景分析!$D$6=2,$E24,IF(情景分析!$D$6=4,IF($C24="银行间",$J24,$L24),$G24)))+AS$2/100,情景分析!$D$7,"",,,,"",)*IF($H24="",1,$H24))</f>
        <v/>
      </c>
      <c r="AT24" s="7" t="str">
        <f>IF($A24="","",[2]!B_CALC_PRICE($A24,$AQ$1,IF(情景分析!$D$6=1,$J24,IF(情景分析!$D$6=2,$E24,IF(情景分析!$D$6=4,IF($C24="银行间",$J24,$L24),$G24)))+AT$2/100,情景分析!$D$7,"",,,,"",)*IF($H24="",1,$H24))</f>
        <v/>
      </c>
      <c r="AU24" s="7" t="str">
        <f>IF($A24="","",[2]!B_CALC_PRICE($A24,$AQ$1,IF(情景分析!$D$6=1,$J24,IF(情景分析!$D$6=2,$E24,IF(情景分析!$D$6=4,IF($C24="银行间",$J24,$L24),$G24)))+AU$2/100,情景分析!$D$7,"",,,,"",)*IF($H24="",1,$H24))</f>
        <v/>
      </c>
      <c r="AV24" s="7" t="str">
        <f>IF($A24="","",[2]!B_CALC_PRICE($A24,$AQ$1,IF(情景分析!$D$6=1,$J24,IF(情景分析!$D$6=2,$E24,IF(情景分析!$D$6=4,IF($C24="银行间",$J24,$L24),$G24)))+AV$2/100,情景分析!$D$7,"",,,,"",)*IF($H24="",1,$H24))</f>
        <v/>
      </c>
      <c r="AW24" s="7" t="str">
        <f>IF($A24="","",[2]!B_CALC_PRICE($A24,$AQ$1,IF(情景分析!$D$6=1,$J24,IF(情景分析!$D$6=2,$E24,IF(情景分析!$D$6=4,IF($C24="银行间",$J24,$L24),$G24)))+AW$2/100,情景分析!$D$7,"",,,,"",)*IF($H24="",1,$H24))</f>
        <v/>
      </c>
    </row>
    <row r="25" spans="1:49" x14ac:dyDescent="0.15">
      <c r="A25" s="20"/>
      <c r="B25" s="7" t="str">
        <f>IF(A25="","",[2]!b_info_name(A25))</f>
        <v/>
      </c>
      <c r="C25" s="7" t="str">
        <f>[2]!b_info_listedmkt(A25)</f>
        <v>#N/A</v>
      </c>
      <c r="D25" s="7" t="str">
        <f>IFERROR(IF(A25="","", [2]!b_dq_avgprice(A25, 情景分析!$D$5, 情景分析!$D$7) * IF($H25="",1,$H25)),0)</f>
        <v/>
      </c>
      <c r="E25" s="7" t="str">
        <f>IF(A25="","", N([2]!b_dq_avgprice(A25,情景分析!$D$5,3)))</f>
        <v/>
      </c>
      <c r="F25" s="29" t="str">
        <f>IF($G25 = "",
"",
IFERROR(
[2]!b_calc_pv(A25, 情景分析!$D$5,$G25, "1", 情景分析!$D$7),
[2]!b_calc_pv(A25, 情景分析!$D$5,$G25, "2", 情景分析!$D$7)
)
)</f>
        <v/>
      </c>
      <c r="G25" s="22"/>
      <c r="H25" s="21"/>
      <c r="I25" s="7" t="str">
        <f>IF(A25="","",IF(情景分析!$D$7=1,[2]!b_anal_net_cnbd(A25,情景分析!$D$5,1),[2]!b_anal_dirty_cnbd(A25,情景分析!$D$5,1))*IF($H25="",1,$H25))</f>
        <v/>
      </c>
      <c r="J25" s="7" t="str">
        <f>IF(A25="","",[2]!b_anal_yield_cnbd(A25,情景分析!$D$5,1))</f>
        <v/>
      </c>
      <c r="K25" s="29" t="str">
        <f>IF(A25="","",IF(情景分析!$D$7=1,[2]!b_anal_net_csi1(A25,情景分析!$D$5,1),[2]!b_anal_dirty_csi1(A25,情景分析!$D$5,1))*IF($H25="",1,$H25))</f>
        <v/>
      </c>
      <c r="L25" s="29" t="str">
        <f>IF(A25="","",[2]!b_anal_yield_csi1(A25,情景分析!$D$5,1))</f>
        <v/>
      </c>
      <c r="M25" s="29" t="str">
        <f t="shared" si="4"/>
        <v/>
      </c>
      <c r="N25" s="29" t="str">
        <f t="shared" si="5"/>
        <v/>
      </c>
      <c r="O25" s="7" t="str">
        <f>IF($A25="","",[2]!B_CALC_PRICE($A25,$O$1,IF(情景分析!$D$6=1,$J25,IF(情景分析!$D$6=2,$E25,IF(情景分析!$D$6=4,IF($C25="银行间",$J25,$L25),$G25)))+O$2/100,情景分析!$D$7,"",,,,"",)*IF($H25="",1,$H25))</f>
        <v/>
      </c>
      <c r="P25" s="7" t="str">
        <f>IF($A25="","",[2]!B_CALC_PRICE($A25,$O$1,IF(情景分析!$D$6=1,$J25,IF(情景分析!$D$6=2,$E25,IF(情景分析!$D$6=4,IF($C25="银行间",$J25,$L25),$G25)))+P$2/100,情景分析!$D$7,"",,,,"",)*IF($H25="",1,$H25))</f>
        <v/>
      </c>
      <c r="Q25" s="7" t="str">
        <f>IF($A25="","",[2]!B_CALC_PRICE($A25,$O$1,IF(情景分析!$D$6=1,$J25,IF(情景分析!$D$6=2,$E25,IF(情景分析!$D$6=4,IF($C25="银行间",$J25,$L25),$G25)))+Q$2/100,情景分析!$D$7,"",,,,"",)*IF($H25="",1,$H25))</f>
        <v/>
      </c>
      <c r="R25" s="7" t="str">
        <f>IF($A25="","",[2]!B_CALC_PRICE($A25,$O$1,IF(情景分析!$D$6=1,$J25,IF(情景分析!$D$6=2,$E25,IF(情景分析!$D$6=4,IF($C25="银行间",$J25,$L25),$G25)))+R$2/100,情景分析!$D$7,"",,,,"",)*IF($H25="",1,$H25))</f>
        <v/>
      </c>
      <c r="S25" s="7" t="str">
        <f>IF($A25="","",[2]!B_CALC_PRICE($A25,$O$1,IF(情景分析!$D$6=1,$J25,IF(情景分析!$D$6=2,$E25,IF(情景分析!$D$6=4,IF($C25="银行间",$J25,$L25),$G25)))+S$2/100,情景分析!$D$7,"",,,,"",)*IF($H25="",1,$H25))</f>
        <v/>
      </c>
      <c r="T25" s="7" t="str">
        <f>IF($A25="","",[2]!B_CALC_PRICE($A25,$O$1,IF(情景分析!$D$6=1,$J25,IF(情景分析!$D$6=2,$E25,IF(情景分析!$D$6=4,IF($C25="银行间",$J25,$L25),$G25)))+T$2/100,情景分析!$D$7,"",,,,"",)*IF($H25="",1,$H25))</f>
        <v/>
      </c>
      <c r="U25" s="7" t="str">
        <f>IF($A25="","",[2]!B_CALC_PRICE($A25,$O$1,IF(情景分析!$D$6=1,$J25,IF(情景分析!$D$6=2,$E25,IF(情景分析!$D$6=4,IF($C25="银行间",$J25,$L25),$G25)))+U$2/100,情景分析!$D$7,"",,,,"",)*IF($H25="",1,$H25))</f>
        <v/>
      </c>
      <c r="V25" s="7" t="str">
        <f>IF($A25="","",[2]!B_CALC_PRICE($A25,$V$1,IF(情景分析!$D$6=1,$J25,IF(情景分析!$D$6=2,$E25,IF(情景分析!$D$6=4,IF($C25="银行间",$J25,$L25),$G25)))+V$2/100,情景分析!$D$7,"",,,,"",)*IF($H25="",1,$H25))</f>
        <v/>
      </c>
      <c r="W25" s="7" t="str">
        <f>IF($A25="","",[2]!B_CALC_PRICE($A25,$V$1,IF(情景分析!$D$6=1,$J25,IF(情景分析!$D$6=2,$E25,IF(情景分析!$D$6=4,IF($C25="银行间",$J25,$L25),$G25)))+W$2/100,情景分析!$D$7,"",,,,"",)*IF($H25="",1,$H25))</f>
        <v/>
      </c>
      <c r="X25" s="7" t="str">
        <f>IF($A25="","",[2]!B_CALC_PRICE($A25,$V$1,IF(情景分析!$D$6=1,$J25,IF(情景分析!$D$6=2,$E25,IF(情景分析!$D$6=4,IF($C25="银行间",$J25,$L25),$G25)))+X$2/100,情景分析!$D$7,"",,,,"",)*IF($H25="",1,$H25))</f>
        <v/>
      </c>
      <c r="Y25" s="7" t="str">
        <f>IF($A25="","",[2]!B_CALC_PRICE($A25,$V$1,IF(情景分析!$D$6=1,$J25,IF(情景分析!$D$6=2,$E25,IF(情景分析!$D$6=4,IF($C25="银行间",$J25,$L25),$G25)))+Y$2/100,情景分析!$D$7,"",,,,"",)*IF($H25="",1,$H25))</f>
        <v/>
      </c>
      <c r="Z25" s="7" t="str">
        <f>IF($A25="","",[2]!B_CALC_PRICE($A25,$V$1,IF(情景分析!$D$6=1,$J25,IF(情景分析!$D$6=2,$E25,IF(情景分析!$D$6=4,IF($C25="银行间",$J25,$L25),$G25)))+Z$2/100,情景分析!$D$7,"",,,,"",)*IF($H25="",1,$H25))</f>
        <v/>
      </c>
      <c r="AA25" s="7" t="str">
        <f>IF($A25="","",[2]!B_CALC_PRICE($A25,$V$1,IF(情景分析!$D$6=1,$J25,IF(情景分析!$D$6=2,$E25,IF(情景分析!$D$6=4,IF($C25="银行间",$J25,$L25),$G25)))+AA$2/100,情景分析!$D$7,"",,,,"",)*IF($H25="",1,$H25))</f>
        <v/>
      </c>
      <c r="AB25" s="7" t="str">
        <f>IF($A25="","",[2]!B_CALC_PRICE($A25,$V$1,IF(情景分析!$D$6=1,$J25,IF(情景分析!$D$6=2,$E25,IF(情景分析!$D$6=4,IF($C25="银行间",$J25,$L25),$G25)))+AB$2/100,情景分析!$D$7,"",,,,"",)*IF($H25="",1,$H25))</f>
        <v/>
      </c>
      <c r="AC25" s="7" t="str">
        <f>IF($A25="","",[2]!B_CALC_PRICE($A25,$AC$1,IF(情景分析!$D$6=1,$J25,IF(情景分析!$D$6=2,$E25,IF(情景分析!$D$6=4,IF($C25="银行间",$J25,$L25),$G25)))+AC$2/100,情景分析!$D$7,"",,,,"",)*IF($H25="",1,$H25))</f>
        <v/>
      </c>
      <c r="AD25" s="7" t="str">
        <f>IF($A25="","",[2]!B_CALC_PRICE($A25,$AC$1,IF(情景分析!$D$6=1,$J25,IF(情景分析!$D$6=2,$E25,IF(情景分析!$D$6=4,IF($C25="银行间",$J25,$L25),$G25)))+AD$2/100,情景分析!$D$7,"",,,,"",)*IF($H25="",1,$H25))</f>
        <v/>
      </c>
      <c r="AE25" s="7" t="str">
        <f>IF($A25="","",[2]!B_CALC_PRICE($A25,$AC$1,IF(情景分析!$D$6=1,$J25,IF(情景分析!$D$6=2,$E25,IF(情景分析!$D$6=4,IF($C25="银行间",$J25,$L25),$G25)))+AE$2/100,情景分析!$D$7,"",,,,"",)*IF($H25="",1,$H25))</f>
        <v/>
      </c>
      <c r="AF25" s="7" t="str">
        <f>IF($A25="","",[2]!B_CALC_PRICE($A25,$AC$1,IF(情景分析!$D$6=1,$J25,IF(情景分析!$D$6=2,$E25,IF(情景分析!$D$6=4,IF($C25="银行间",$J25,$L25),$G25)))+AF$2/100,情景分析!$D$7,"",,,,"",)*IF($H25="",1,$H25))</f>
        <v/>
      </c>
      <c r="AG25" s="7" t="str">
        <f>IF($A25="","",[2]!B_CALC_PRICE($A25,$AC$1,IF(情景分析!$D$6=1,$J25,IF(情景分析!$D$6=2,$E25,IF(情景分析!$D$6=4,IF($C25="银行间",$J25,$L25),$G25)))+AG$2/100,情景分析!$D$7,"",,,,"",)*IF($H25="",1,$H25))</f>
        <v/>
      </c>
      <c r="AH25" s="7" t="str">
        <f>IF($A25="","",[2]!B_CALC_PRICE($A25,$AC$1,IF(情景分析!$D$6=1,$J25,IF(情景分析!$D$6=2,$E25,IF(情景分析!$D$6=4,IF($C25="银行间",$J25,$L25),$G25)))+AH$2/100,情景分析!$D$7,"",,,,"",)*IF($H25="",1,$H25))</f>
        <v/>
      </c>
      <c r="AI25" s="7" t="str">
        <f>IF($A25="","",[2]!B_CALC_PRICE($A25,$AC$1,IF(情景分析!$D$6=1,$J25,IF(情景分析!$D$6=2,$E25,IF(情景分析!$D$6=4,IF($C25="银行间",$J25,$L25),$G25)))+AI$2/100,情景分析!$D$7,"",,,,"",)*IF($H25="",1,$H25))</f>
        <v/>
      </c>
      <c r="AJ25" s="7" t="str">
        <f>IF($A25="","",[2]!B_CALC_PRICE($A25,$AJ$1,IF(情景分析!$D$6=1,$J25,IF(情景分析!$D$6=2,$E25,IF(情景分析!$D$6=4,IF($C25="银行间",$J25,$L25),$G25)))+AJ$2/100,情景分析!$D$7,"",,,,"",)*IF($H25="",1,$H25))</f>
        <v/>
      </c>
      <c r="AK25" s="7" t="str">
        <f>IF($A25="","",[2]!B_CALC_PRICE($A25,$AJ$1,IF(情景分析!$D$6=1,$J25,IF(情景分析!$D$6=2,$E25,IF(情景分析!$D$6=4,IF($C25="银行间",$J25,$L25),$G25)))+AK$2/100,情景分析!$D$7,"",,,,"",)*IF($H25="",1,$H25))</f>
        <v/>
      </c>
      <c r="AL25" s="7" t="str">
        <f>IF($A25="","",[2]!B_CALC_PRICE($A25,$AJ$1,IF(情景分析!$D$6=1,$J25,IF(情景分析!$D$6=2,$E25,IF(情景分析!$D$6=4,IF($C25="银行间",$J25,$L25),$G25)))+AL$2/100,情景分析!$D$7,"",,,,"",)*IF($H25="",1,$H25))</f>
        <v/>
      </c>
      <c r="AM25" s="7" t="str">
        <f>IF($A25="","",[2]!B_CALC_PRICE($A25,$AJ$1,IF(情景分析!$D$6=1,$J25,IF(情景分析!$D$6=2,$E25,IF(情景分析!$D$6=4,IF($C25="银行间",$J25,$L25),$G25)))+AM$2/100,情景分析!$D$7,"",,,,"",)*IF($H25="",1,$H25))</f>
        <v/>
      </c>
      <c r="AN25" s="7" t="str">
        <f>IF($A25="","",[2]!B_CALC_PRICE($A25,$AJ$1,IF(情景分析!$D$6=1,$J25,IF(情景分析!$D$6=2,$E25,IF(情景分析!$D$6=4,IF($C25="银行间",$J25,$L25),$G25)))+AN$2/100,情景分析!$D$7,"",,,,"",)*IF($H25="",1,$H25))</f>
        <v/>
      </c>
      <c r="AO25" s="7" t="str">
        <f>IF($A25="","",[2]!B_CALC_PRICE($A25,$AJ$1,IF(情景分析!$D$6=1,$J25,IF(情景分析!$D$6=2,$E25,IF(情景分析!$D$6=4,IF($C25="银行间",$J25,$L25),$G25)))+AO$2/100,情景分析!$D$7,"",,,,"",)*IF($H25="",1,$H25))</f>
        <v/>
      </c>
      <c r="AP25" s="7" t="str">
        <f>IF($A25="","",[2]!B_CALC_PRICE($A25,$AJ$1,IF(情景分析!$D$6=1,$J25,IF(情景分析!$D$6=2,$E25,IF(情景分析!$D$6=4,IF($C25="银行间",$J25,$L25),$G25)))+AP$2/100,情景分析!$D$7,"",,,,"",)*IF($H25="",1,$H25))</f>
        <v/>
      </c>
      <c r="AQ25" s="7" t="str">
        <f>IF($A25="","",[2]!B_CALC_PRICE($A25,$AQ$1,IF(情景分析!$D$6=1,$J25,IF(情景分析!$D$6=2,$E25,IF(情景分析!$D$6=4,IF($C25="银行间",$J25,$L25),$G25)))+AQ$2/100,情景分析!$D$7,"",,,,"",)*IF($H25="",1,$H25))</f>
        <v/>
      </c>
      <c r="AR25" s="7" t="str">
        <f>IF($A25="","",[2]!B_CALC_PRICE($A25,$AQ$1,IF(情景分析!$D$6=1,$J25,IF(情景分析!$D$6=2,$E25,IF(情景分析!$D$6=4,IF($C25="银行间",$J25,$L25),$G25)))+AR$2/100,情景分析!$D$7,"",,,,"",)*IF($H25="",1,$H25))</f>
        <v/>
      </c>
      <c r="AS25" s="7" t="str">
        <f>IF($A25="","",[2]!B_CALC_PRICE($A25,$AQ$1,IF(情景分析!$D$6=1,$J25,IF(情景分析!$D$6=2,$E25,IF(情景分析!$D$6=4,IF($C25="银行间",$J25,$L25),$G25)))+AS$2/100,情景分析!$D$7,"",,,,"",)*IF($H25="",1,$H25))</f>
        <v/>
      </c>
      <c r="AT25" s="7" t="str">
        <f>IF($A25="","",[2]!B_CALC_PRICE($A25,$AQ$1,IF(情景分析!$D$6=1,$J25,IF(情景分析!$D$6=2,$E25,IF(情景分析!$D$6=4,IF($C25="银行间",$J25,$L25),$G25)))+AT$2/100,情景分析!$D$7,"",,,,"",)*IF($H25="",1,$H25))</f>
        <v/>
      </c>
      <c r="AU25" s="7" t="str">
        <f>IF($A25="","",[2]!B_CALC_PRICE($A25,$AQ$1,IF(情景分析!$D$6=1,$J25,IF(情景分析!$D$6=2,$E25,IF(情景分析!$D$6=4,IF($C25="银行间",$J25,$L25),$G25)))+AU$2/100,情景分析!$D$7,"",,,,"",)*IF($H25="",1,$H25))</f>
        <v/>
      </c>
      <c r="AV25" s="7" t="str">
        <f>IF($A25="","",[2]!B_CALC_PRICE($A25,$AQ$1,IF(情景分析!$D$6=1,$J25,IF(情景分析!$D$6=2,$E25,IF(情景分析!$D$6=4,IF($C25="银行间",$J25,$L25),$G25)))+AV$2/100,情景分析!$D$7,"",,,,"",)*IF($H25="",1,$H25))</f>
        <v/>
      </c>
      <c r="AW25" s="7" t="str">
        <f>IF($A25="","",[2]!B_CALC_PRICE($A25,$AQ$1,IF(情景分析!$D$6=1,$J25,IF(情景分析!$D$6=2,$E25,IF(情景分析!$D$6=4,IF($C25="银行间",$J25,$L25),$G25)))+AW$2/100,情景分析!$D$7,"",,,,"",)*IF($H25="",1,$H25))</f>
        <v/>
      </c>
    </row>
    <row r="26" spans="1:49" x14ac:dyDescent="0.15">
      <c r="A26" s="20"/>
      <c r="B26" s="7" t="str">
        <f>IF(A26="","",[2]!b_info_name(A26))</f>
        <v/>
      </c>
      <c r="C26" s="7" t="str">
        <f>[2]!b_info_listedmkt(A26)</f>
        <v>#N/A</v>
      </c>
      <c r="D26" s="7" t="str">
        <f>IFERROR(IF(A26="","", [2]!b_dq_avgprice(A26, 情景分析!$D$5, 情景分析!$D$7) * IF($H26="",1,$H26)),0)</f>
        <v/>
      </c>
      <c r="E26" s="7" t="str">
        <f>IF(A26="","", N([2]!b_dq_avgprice(A26,情景分析!$D$5,3)))</f>
        <v/>
      </c>
      <c r="F26" s="29" t="str">
        <f>IF($G26 = "",
"",
IFERROR(
[2]!b_calc_pv(A26, 情景分析!$D$5,$G26, "1", 情景分析!$D$7),
[2]!b_calc_pv(A26, 情景分析!$D$5,$G26, "2", 情景分析!$D$7)
)
)</f>
        <v/>
      </c>
      <c r="G26" s="22"/>
      <c r="H26" s="21"/>
      <c r="I26" s="7" t="str">
        <f>IF(A26="","",IF(情景分析!$D$7=1,[2]!b_anal_net_cnbd(A26,情景分析!$D$5,1),[2]!b_anal_dirty_cnbd(A26,情景分析!$D$5,1))*IF($H26="",1,$H26))</f>
        <v/>
      </c>
      <c r="J26" s="7" t="str">
        <f>IF(A26="","",[2]!b_anal_yield_cnbd(A26,情景分析!$D$5,1))</f>
        <v/>
      </c>
      <c r="K26" s="29" t="str">
        <f>IF(A26="","",IF(情景分析!$D$7=1,[2]!b_anal_net_csi1(A26,情景分析!$D$5,1),[2]!b_anal_dirty_csi1(A26,情景分析!$D$5,1))*IF($H26="",1,$H26))</f>
        <v/>
      </c>
      <c r="L26" s="29" t="str">
        <f>IF(A26="","",[2]!b_anal_yield_csi1(A26,情景分析!$D$5,1))</f>
        <v/>
      </c>
      <c r="M26" s="29" t="str">
        <f t="shared" si="4"/>
        <v/>
      </c>
      <c r="N26" s="29" t="str">
        <f t="shared" si="5"/>
        <v/>
      </c>
      <c r="O26" s="7" t="str">
        <f>IF($A26="","",[2]!B_CALC_PRICE($A26,$O$1,IF(情景分析!$D$6=1,$J26,IF(情景分析!$D$6=2,$E26,IF(情景分析!$D$6=4,IF($C26="银行间",$J26,$L26),$G26)))+O$2/100,情景分析!$D$7,"",,,,"",)*IF($H26="",1,$H26))</f>
        <v/>
      </c>
      <c r="P26" s="7" t="str">
        <f>IF($A26="","",[2]!B_CALC_PRICE($A26,$O$1,IF(情景分析!$D$6=1,$J26,IF(情景分析!$D$6=2,$E26,IF(情景分析!$D$6=4,IF($C26="银行间",$J26,$L26),$G26)))+P$2/100,情景分析!$D$7,"",,,,"",)*IF($H26="",1,$H26))</f>
        <v/>
      </c>
      <c r="Q26" s="7" t="str">
        <f>IF($A26="","",[2]!B_CALC_PRICE($A26,$O$1,IF(情景分析!$D$6=1,$J26,IF(情景分析!$D$6=2,$E26,IF(情景分析!$D$6=4,IF($C26="银行间",$J26,$L26),$G26)))+Q$2/100,情景分析!$D$7,"",,,,"",)*IF($H26="",1,$H26))</f>
        <v/>
      </c>
      <c r="R26" s="7" t="str">
        <f>IF($A26="","",[2]!B_CALC_PRICE($A26,$O$1,IF(情景分析!$D$6=1,$J26,IF(情景分析!$D$6=2,$E26,IF(情景分析!$D$6=4,IF($C26="银行间",$J26,$L26),$G26)))+R$2/100,情景分析!$D$7,"",,,,"",)*IF($H26="",1,$H26))</f>
        <v/>
      </c>
      <c r="S26" s="7" t="str">
        <f>IF($A26="","",[2]!B_CALC_PRICE($A26,$O$1,IF(情景分析!$D$6=1,$J26,IF(情景分析!$D$6=2,$E26,IF(情景分析!$D$6=4,IF($C26="银行间",$J26,$L26),$G26)))+S$2/100,情景分析!$D$7,"",,,,"",)*IF($H26="",1,$H26))</f>
        <v/>
      </c>
      <c r="T26" s="7" t="str">
        <f>IF($A26="","",[2]!B_CALC_PRICE($A26,$O$1,IF(情景分析!$D$6=1,$J26,IF(情景分析!$D$6=2,$E26,IF(情景分析!$D$6=4,IF($C26="银行间",$J26,$L26),$G26)))+T$2/100,情景分析!$D$7,"",,,,"",)*IF($H26="",1,$H26))</f>
        <v/>
      </c>
      <c r="U26" s="7" t="str">
        <f>IF($A26="","",[2]!B_CALC_PRICE($A26,$O$1,IF(情景分析!$D$6=1,$J26,IF(情景分析!$D$6=2,$E26,IF(情景分析!$D$6=4,IF($C26="银行间",$J26,$L26),$G26)))+U$2/100,情景分析!$D$7,"",,,,"",)*IF($H26="",1,$H26))</f>
        <v/>
      </c>
      <c r="V26" s="7" t="str">
        <f>IF($A26="","",[2]!B_CALC_PRICE($A26,$V$1,IF(情景分析!$D$6=1,$J26,IF(情景分析!$D$6=2,$E26,IF(情景分析!$D$6=4,IF($C26="银行间",$J26,$L26),$G26)))+V$2/100,情景分析!$D$7,"",,,,"",)*IF($H26="",1,$H26))</f>
        <v/>
      </c>
      <c r="W26" s="7" t="str">
        <f>IF($A26="","",[2]!B_CALC_PRICE($A26,$V$1,IF(情景分析!$D$6=1,$J26,IF(情景分析!$D$6=2,$E26,IF(情景分析!$D$6=4,IF($C26="银行间",$J26,$L26),$G26)))+W$2/100,情景分析!$D$7,"",,,,"",)*IF($H26="",1,$H26))</f>
        <v/>
      </c>
      <c r="X26" s="7" t="str">
        <f>IF($A26="","",[2]!B_CALC_PRICE($A26,$V$1,IF(情景分析!$D$6=1,$J26,IF(情景分析!$D$6=2,$E26,IF(情景分析!$D$6=4,IF($C26="银行间",$J26,$L26),$G26)))+X$2/100,情景分析!$D$7,"",,,,"",)*IF($H26="",1,$H26))</f>
        <v/>
      </c>
      <c r="Y26" s="7" t="str">
        <f>IF($A26="","",[2]!B_CALC_PRICE($A26,$V$1,IF(情景分析!$D$6=1,$J26,IF(情景分析!$D$6=2,$E26,IF(情景分析!$D$6=4,IF($C26="银行间",$J26,$L26),$G26)))+Y$2/100,情景分析!$D$7,"",,,,"",)*IF($H26="",1,$H26))</f>
        <v/>
      </c>
      <c r="Z26" s="7" t="str">
        <f>IF($A26="","",[2]!B_CALC_PRICE($A26,$V$1,IF(情景分析!$D$6=1,$J26,IF(情景分析!$D$6=2,$E26,IF(情景分析!$D$6=4,IF($C26="银行间",$J26,$L26),$G26)))+Z$2/100,情景分析!$D$7,"",,,,"",)*IF($H26="",1,$H26))</f>
        <v/>
      </c>
      <c r="AA26" s="7" t="str">
        <f>IF($A26="","",[2]!B_CALC_PRICE($A26,$V$1,IF(情景分析!$D$6=1,$J26,IF(情景分析!$D$6=2,$E26,IF(情景分析!$D$6=4,IF($C26="银行间",$J26,$L26),$G26)))+AA$2/100,情景分析!$D$7,"",,,,"",)*IF($H26="",1,$H26))</f>
        <v/>
      </c>
      <c r="AB26" s="7" t="str">
        <f>IF($A26="","",[2]!B_CALC_PRICE($A26,$V$1,IF(情景分析!$D$6=1,$J26,IF(情景分析!$D$6=2,$E26,IF(情景分析!$D$6=4,IF($C26="银行间",$J26,$L26),$G26)))+AB$2/100,情景分析!$D$7,"",,,,"",)*IF($H26="",1,$H26))</f>
        <v/>
      </c>
      <c r="AC26" s="7" t="str">
        <f>IF($A26="","",[2]!B_CALC_PRICE($A26,$AC$1,IF(情景分析!$D$6=1,$J26,IF(情景分析!$D$6=2,$E26,IF(情景分析!$D$6=4,IF($C26="银行间",$J26,$L26),$G26)))+AC$2/100,情景分析!$D$7,"",,,,"",)*IF($H26="",1,$H26))</f>
        <v/>
      </c>
      <c r="AD26" s="7" t="str">
        <f>IF($A26="","",[2]!B_CALC_PRICE($A26,$AC$1,IF(情景分析!$D$6=1,$J26,IF(情景分析!$D$6=2,$E26,IF(情景分析!$D$6=4,IF($C26="银行间",$J26,$L26),$G26)))+AD$2/100,情景分析!$D$7,"",,,,"",)*IF($H26="",1,$H26))</f>
        <v/>
      </c>
      <c r="AE26" s="7" t="str">
        <f>IF($A26="","",[2]!B_CALC_PRICE($A26,$AC$1,IF(情景分析!$D$6=1,$J26,IF(情景分析!$D$6=2,$E26,IF(情景分析!$D$6=4,IF($C26="银行间",$J26,$L26),$G26)))+AE$2/100,情景分析!$D$7,"",,,,"",)*IF($H26="",1,$H26))</f>
        <v/>
      </c>
      <c r="AF26" s="7" t="str">
        <f>IF($A26="","",[2]!B_CALC_PRICE($A26,$AC$1,IF(情景分析!$D$6=1,$J26,IF(情景分析!$D$6=2,$E26,IF(情景分析!$D$6=4,IF($C26="银行间",$J26,$L26),$G26)))+AF$2/100,情景分析!$D$7,"",,,,"",)*IF($H26="",1,$H26))</f>
        <v/>
      </c>
      <c r="AG26" s="7" t="str">
        <f>IF($A26="","",[2]!B_CALC_PRICE($A26,$AC$1,IF(情景分析!$D$6=1,$J26,IF(情景分析!$D$6=2,$E26,IF(情景分析!$D$6=4,IF($C26="银行间",$J26,$L26),$G26)))+AG$2/100,情景分析!$D$7,"",,,,"",)*IF($H26="",1,$H26))</f>
        <v/>
      </c>
      <c r="AH26" s="7" t="str">
        <f>IF($A26="","",[2]!B_CALC_PRICE($A26,$AC$1,IF(情景分析!$D$6=1,$J26,IF(情景分析!$D$6=2,$E26,IF(情景分析!$D$6=4,IF($C26="银行间",$J26,$L26),$G26)))+AH$2/100,情景分析!$D$7,"",,,,"",)*IF($H26="",1,$H26))</f>
        <v/>
      </c>
      <c r="AI26" s="7" t="str">
        <f>IF($A26="","",[2]!B_CALC_PRICE($A26,$AC$1,IF(情景分析!$D$6=1,$J26,IF(情景分析!$D$6=2,$E26,IF(情景分析!$D$6=4,IF($C26="银行间",$J26,$L26),$G26)))+AI$2/100,情景分析!$D$7,"",,,,"",)*IF($H26="",1,$H26))</f>
        <v/>
      </c>
      <c r="AJ26" s="7" t="str">
        <f>IF($A26="","",[2]!B_CALC_PRICE($A26,$AJ$1,IF(情景分析!$D$6=1,$J26,IF(情景分析!$D$6=2,$E26,IF(情景分析!$D$6=4,IF($C26="银行间",$J26,$L26),$G26)))+AJ$2/100,情景分析!$D$7,"",,,,"",)*IF($H26="",1,$H26))</f>
        <v/>
      </c>
      <c r="AK26" s="7" t="str">
        <f>IF($A26="","",[2]!B_CALC_PRICE($A26,$AJ$1,IF(情景分析!$D$6=1,$J26,IF(情景分析!$D$6=2,$E26,IF(情景分析!$D$6=4,IF($C26="银行间",$J26,$L26),$G26)))+AK$2/100,情景分析!$D$7,"",,,,"",)*IF($H26="",1,$H26))</f>
        <v/>
      </c>
      <c r="AL26" s="7" t="str">
        <f>IF($A26="","",[2]!B_CALC_PRICE($A26,$AJ$1,IF(情景分析!$D$6=1,$J26,IF(情景分析!$D$6=2,$E26,IF(情景分析!$D$6=4,IF($C26="银行间",$J26,$L26),$G26)))+AL$2/100,情景分析!$D$7,"",,,,"",)*IF($H26="",1,$H26))</f>
        <v/>
      </c>
      <c r="AM26" s="7" t="str">
        <f>IF($A26="","",[2]!B_CALC_PRICE($A26,$AJ$1,IF(情景分析!$D$6=1,$J26,IF(情景分析!$D$6=2,$E26,IF(情景分析!$D$6=4,IF($C26="银行间",$J26,$L26),$G26)))+AM$2/100,情景分析!$D$7,"",,,,"",)*IF($H26="",1,$H26))</f>
        <v/>
      </c>
      <c r="AN26" s="7" t="str">
        <f>IF($A26="","",[2]!B_CALC_PRICE($A26,$AJ$1,IF(情景分析!$D$6=1,$J26,IF(情景分析!$D$6=2,$E26,IF(情景分析!$D$6=4,IF($C26="银行间",$J26,$L26),$G26)))+AN$2/100,情景分析!$D$7,"",,,,"",)*IF($H26="",1,$H26))</f>
        <v/>
      </c>
      <c r="AO26" s="7" t="str">
        <f>IF($A26="","",[2]!B_CALC_PRICE($A26,$AJ$1,IF(情景分析!$D$6=1,$J26,IF(情景分析!$D$6=2,$E26,IF(情景分析!$D$6=4,IF($C26="银行间",$J26,$L26),$G26)))+AO$2/100,情景分析!$D$7,"",,,,"",)*IF($H26="",1,$H26))</f>
        <v/>
      </c>
      <c r="AP26" s="7" t="str">
        <f>IF($A26="","",[2]!B_CALC_PRICE($A26,$AJ$1,IF(情景分析!$D$6=1,$J26,IF(情景分析!$D$6=2,$E26,IF(情景分析!$D$6=4,IF($C26="银行间",$J26,$L26),$G26)))+AP$2/100,情景分析!$D$7,"",,,,"",)*IF($H26="",1,$H26))</f>
        <v/>
      </c>
      <c r="AQ26" s="7" t="str">
        <f>IF($A26="","",[2]!B_CALC_PRICE($A26,$AQ$1,IF(情景分析!$D$6=1,$J26,IF(情景分析!$D$6=2,$E26,IF(情景分析!$D$6=4,IF($C26="银行间",$J26,$L26),$G26)))+AQ$2/100,情景分析!$D$7,"",,,,"",)*IF($H26="",1,$H26))</f>
        <v/>
      </c>
      <c r="AR26" s="7" t="str">
        <f>IF($A26="","",[2]!B_CALC_PRICE($A26,$AQ$1,IF(情景分析!$D$6=1,$J26,IF(情景分析!$D$6=2,$E26,IF(情景分析!$D$6=4,IF($C26="银行间",$J26,$L26),$G26)))+AR$2/100,情景分析!$D$7,"",,,,"",)*IF($H26="",1,$H26))</f>
        <v/>
      </c>
      <c r="AS26" s="7" t="str">
        <f>IF($A26="","",[2]!B_CALC_PRICE($A26,$AQ$1,IF(情景分析!$D$6=1,$J26,IF(情景分析!$D$6=2,$E26,IF(情景分析!$D$6=4,IF($C26="银行间",$J26,$L26),$G26)))+AS$2/100,情景分析!$D$7,"",,,,"",)*IF($H26="",1,$H26))</f>
        <v/>
      </c>
      <c r="AT26" s="7" t="str">
        <f>IF($A26="","",[2]!B_CALC_PRICE($A26,$AQ$1,IF(情景分析!$D$6=1,$J26,IF(情景分析!$D$6=2,$E26,IF(情景分析!$D$6=4,IF($C26="银行间",$J26,$L26),$G26)))+AT$2/100,情景分析!$D$7,"",,,,"",)*IF($H26="",1,$H26))</f>
        <v/>
      </c>
      <c r="AU26" s="7" t="str">
        <f>IF($A26="","",[2]!B_CALC_PRICE($A26,$AQ$1,IF(情景分析!$D$6=1,$J26,IF(情景分析!$D$6=2,$E26,IF(情景分析!$D$6=4,IF($C26="银行间",$J26,$L26),$G26)))+AU$2/100,情景分析!$D$7,"",,,,"",)*IF($H26="",1,$H26))</f>
        <v/>
      </c>
      <c r="AV26" s="7" t="str">
        <f>IF($A26="","",[2]!B_CALC_PRICE($A26,$AQ$1,IF(情景分析!$D$6=1,$J26,IF(情景分析!$D$6=2,$E26,IF(情景分析!$D$6=4,IF($C26="银行间",$J26,$L26),$G26)))+AV$2/100,情景分析!$D$7,"",,,,"",)*IF($H26="",1,$H26))</f>
        <v/>
      </c>
      <c r="AW26" s="7" t="str">
        <f>IF($A26="","",[2]!B_CALC_PRICE($A26,$AQ$1,IF(情景分析!$D$6=1,$J26,IF(情景分析!$D$6=2,$E26,IF(情景分析!$D$6=4,IF($C26="银行间",$J26,$L26),$G26)))+AW$2/100,情景分析!$D$7,"",,,,"",)*IF($H26="",1,$H26))</f>
        <v/>
      </c>
    </row>
    <row r="27" spans="1:49" x14ac:dyDescent="0.15">
      <c r="A27" s="20"/>
      <c r="B27" s="7" t="str">
        <f>IF(A27="","",[2]!b_info_name(A27))</f>
        <v/>
      </c>
      <c r="C27" s="7" t="str">
        <f>[2]!b_info_listedmkt(A27)</f>
        <v>#N/A</v>
      </c>
      <c r="D27" s="7" t="str">
        <f>IFERROR(IF(A27="","", [2]!b_dq_avgprice(A27, 情景分析!$D$5, 情景分析!$D$7) * IF($H27="",1,$H27)),0)</f>
        <v/>
      </c>
      <c r="E27" s="7" t="str">
        <f>IF(A27="","", N([2]!b_dq_avgprice(A27,情景分析!$D$5,3)))</f>
        <v/>
      </c>
      <c r="F27" s="29" t="str">
        <f>IF($G27 = "",
"",
IFERROR(
[2]!b_calc_pv(A27, 情景分析!$D$5,$G27, "1", 情景分析!$D$7),
[2]!b_calc_pv(A27, 情景分析!$D$5,$G27, "2", 情景分析!$D$7)
)
)</f>
        <v/>
      </c>
      <c r="G27" s="22"/>
      <c r="H27" s="21"/>
      <c r="I27" s="7" t="str">
        <f>IF(A27="","",IF(情景分析!$D$7=1,[2]!b_anal_net_cnbd(A27,情景分析!$D$5,1),[2]!b_anal_dirty_cnbd(A27,情景分析!$D$5,1))*IF($H27="",1,$H27))</f>
        <v/>
      </c>
      <c r="J27" s="7" t="str">
        <f>IF(A27="","",[2]!b_anal_yield_cnbd(A27,情景分析!$D$5,1))</f>
        <v/>
      </c>
      <c r="K27" s="29" t="str">
        <f>IF(A27="","",IF(情景分析!$D$7=1,[2]!b_anal_net_csi1(A27,情景分析!$D$5,1),[2]!b_anal_dirty_csi1(A27,情景分析!$D$5,1))*IF($H27="",1,$H27))</f>
        <v/>
      </c>
      <c r="L27" s="29" t="str">
        <f>IF(A27="","",[2]!b_anal_yield_csi1(A27,情景分析!$D$5,1))</f>
        <v/>
      </c>
      <c r="M27" s="29" t="str">
        <f t="shared" si="4"/>
        <v/>
      </c>
      <c r="N27" s="29" t="str">
        <f t="shared" si="5"/>
        <v/>
      </c>
      <c r="O27" s="7" t="str">
        <f>IF($A27="","",[2]!B_CALC_PRICE($A27,$O$1,IF(情景分析!$D$6=1,$J27,IF(情景分析!$D$6=2,$E27,IF(情景分析!$D$6=4,IF($C27="银行间",$J27,$L27),$G27)))+O$2/100,情景分析!$D$7,"",,,,"",)*IF($H27="",1,$H27))</f>
        <v/>
      </c>
      <c r="P27" s="7" t="str">
        <f>IF($A27="","",[2]!B_CALC_PRICE($A27,$O$1,IF(情景分析!$D$6=1,$J27,IF(情景分析!$D$6=2,$E27,IF(情景分析!$D$6=4,IF($C27="银行间",$J27,$L27),$G27)))+P$2/100,情景分析!$D$7,"",,,,"",)*IF($H27="",1,$H27))</f>
        <v/>
      </c>
      <c r="Q27" s="7" t="str">
        <f>IF($A27="","",[2]!B_CALC_PRICE($A27,$O$1,IF(情景分析!$D$6=1,$J27,IF(情景分析!$D$6=2,$E27,IF(情景分析!$D$6=4,IF($C27="银行间",$J27,$L27),$G27)))+Q$2/100,情景分析!$D$7,"",,,,"",)*IF($H27="",1,$H27))</f>
        <v/>
      </c>
      <c r="R27" s="7" t="str">
        <f>IF($A27="","",[2]!B_CALC_PRICE($A27,$O$1,IF(情景分析!$D$6=1,$J27,IF(情景分析!$D$6=2,$E27,IF(情景分析!$D$6=4,IF($C27="银行间",$J27,$L27),$G27)))+R$2/100,情景分析!$D$7,"",,,,"",)*IF($H27="",1,$H27))</f>
        <v/>
      </c>
      <c r="S27" s="7" t="str">
        <f>IF($A27="","",[2]!B_CALC_PRICE($A27,$O$1,IF(情景分析!$D$6=1,$J27,IF(情景分析!$D$6=2,$E27,IF(情景分析!$D$6=4,IF($C27="银行间",$J27,$L27),$G27)))+S$2/100,情景分析!$D$7,"",,,,"",)*IF($H27="",1,$H27))</f>
        <v/>
      </c>
      <c r="T27" s="7" t="str">
        <f>IF($A27="","",[2]!B_CALC_PRICE($A27,$O$1,IF(情景分析!$D$6=1,$J27,IF(情景分析!$D$6=2,$E27,IF(情景分析!$D$6=4,IF($C27="银行间",$J27,$L27),$G27)))+T$2/100,情景分析!$D$7,"",,,,"",)*IF($H27="",1,$H27))</f>
        <v/>
      </c>
      <c r="U27" s="7" t="str">
        <f>IF($A27="","",[2]!B_CALC_PRICE($A27,$O$1,IF(情景分析!$D$6=1,$J27,IF(情景分析!$D$6=2,$E27,IF(情景分析!$D$6=4,IF($C27="银行间",$J27,$L27),$G27)))+U$2/100,情景分析!$D$7,"",,,,"",)*IF($H27="",1,$H27))</f>
        <v/>
      </c>
      <c r="V27" s="7" t="str">
        <f>IF($A27="","",[2]!B_CALC_PRICE($A27,$V$1,IF(情景分析!$D$6=1,$J27,IF(情景分析!$D$6=2,$E27,IF(情景分析!$D$6=4,IF($C27="银行间",$J27,$L27),$G27)))+V$2/100,情景分析!$D$7,"",,,,"",)*IF($H27="",1,$H27))</f>
        <v/>
      </c>
      <c r="W27" s="7" t="str">
        <f>IF($A27="","",[2]!B_CALC_PRICE($A27,$V$1,IF(情景分析!$D$6=1,$J27,IF(情景分析!$D$6=2,$E27,IF(情景分析!$D$6=4,IF($C27="银行间",$J27,$L27),$G27)))+W$2/100,情景分析!$D$7,"",,,,"",)*IF($H27="",1,$H27))</f>
        <v/>
      </c>
      <c r="X27" s="7" t="str">
        <f>IF($A27="","",[2]!B_CALC_PRICE($A27,$V$1,IF(情景分析!$D$6=1,$J27,IF(情景分析!$D$6=2,$E27,IF(情景分析!$D$6=4,IF($C27="银行间",$J27,$L27),$G27)))+X$2/100,情景分析!$D$7,"",,,,"",)*IF($H27="",1,$H27))</f>
        <v/>
      </c>
      <c r="Y27" s="7" t="str">
        <f>IF($A27="","",[2]!B_CALC_PRICE($A27,$V$1,IF(情景分析!$D$6=1,$J27,IF(情景分析!$D$6=2,$E27,IF(情景分析!$D$6=4,IF($C27="银行间",$J27,$L27),$G27)))+Y$2/100,情景分析!$D$7,"",,,,"",)*IF($H27="",1,$H27))</f>
        <v/>
      </c>
      <c r="Z27" s="7" t="str">
        <f>IF($A27="","",[2]!B_CALC_PRICE($A27,$V$1,IF(情景分析!$D$6=1,$J27,IF(情景分析!$D$6=2,$E27,IF(情景分析!$D$6=4,IF($C27="银行间",$J27,$L27),$G27)))+Z$2/100,情景分析!$D$7,"",,,,"",)*IF($H27="",1,$H27))</f>
        <v/>
      </c>
      <c r="AA27" s="7" t="str">
        <f>IF($A27="","",[2]!B_CALC_PRICE($A27,$V$1,IF(情景分析!$D$6=1,$J27,IF(情景分析!$D$6=2,$E27,IF(情景分析!$D$6=4,IF($C27="银行间",$J27,$L27),$G27)))+AA$2/100,情景分析!$D$7,"",,,,"",)*IF($H27="",1,$H27))</f>
        <v/>
      </c>
      <c r="AB27" s="7" t="str">
        <f>IF($A27="","",[2]!B_CALC_PRICE($A27,$V$1,IF(情景分析!$D$6=1,$J27,IF(情景分析!$D$6=2,$E27,IF(情景分析!$D$6=4,IF($C27="银行间",$J27,$L27),$G27)))+AB$2/100,情景分析!$D$7,"",,,,"",)*IF($H27="",1,$H27))</f>
        <v/>
      </c>
      <c r="AC27" s="7" t="str">
        <f>IF($A27="","",[2]!B_CALC_PRICE($A27,$AC$1,IF(情景分析!$D$6=1,$J27,IF(情景分析!$D$6=2,$E27,IF(情景分析!$D$6=4,IF($C27="银行间",$J27,$L27),$G27)))+AC$2/100,情景分析!$D$7,"",,,,"",)*IF($H27="",1,$H27))</f>
        <v/>
      </c>
      <c r="AD27" s="7" t="str">
        <f>IF($A27="","",[2]!B_CALC_PRICE($A27,$AC$1,IF(情景分析!$D$6=1,$J27,IF(情景分析!$D$6=2,$E27,IF(情景分析!$D$6=4,IF($C27="银行间",$J27,$L27),$G27)))+AD$2/100,情景分析!$D$7,"",,,,"",)*IF($H27="",1,$H27))</f>
        <v/>
      </c>
      <c r="AE27" s="7" t="str">
        <f>IF($A27="","",[2]!B_CALC_PRICE($A27,$AC$1,IF(情景分析!$D$6=1,$J27,IF(情景分析!$D$6=2,$E27,IF(情景分析!$D$6=4,IF($C27="银行间",$J27,$L27),$G27)))+AE$2/100,情景分析!$D$7,"",,,,"",)*IF($H27="",1,$H27))</f>
        <v/>
      </c>
      <c r="AF27" s="7" t="str">
        <f>IF($A27="","",[2]!B_CALC_PRICE($A27,$AC$1,IF(情景分析!$D$6=1,$J27,IF(情景分析!$D$6=2,$E27,IF(情景分析!$D$6=4,IF($C27="银行间",$J27,$L27),$G27)))+AF$2/100,情景分析!$D$7,"",,,,"",)*IF($H27="",1,$H27))</f>
        <v/>
      </c>
      <c r="AG27" s="7" t="str">
        <f>IF($A27="","",[2]!B_CALC_PRICE($A27,$AC$1,IF(情景分析!$D$6=1,$J27,IF(情景分析!$D$6=2,$E27,IF(情景分析!$D$6=4,IF($C27="银行间",$J27,$L27),$G27)))+AG$2/100,情景分析!$D$7,"",,,,"",)*IF($H27="",1,$H27))</f>
        <v/>
      </c>
      <c r="AH27" s="7" t="str">
        <f>IF($A27="","",[2]!B_CALC_PRICE($A27,$AC$1,IF(情景分析!$D$6=1,$J27,IF(情景分析!$D$6=2,$E27,IF(情景分析!$D$6=4,IF($C27="银行间",$J27,$L27),$G27)))+AH$2/100,情景分析!$D$7,"",,,,"",)*IF($H27="",1,$H27))</f>
        <v/>
      </c>
      <c r="AI27" s="7" t="str">
        <f>IF($A27="","",[2]!B_CALC_PRICE($A27,$AC$1,IF(情景分析!$D$6=1,$J27,IF(情景分析!$D$6=2,$E27,IF(情景分析!$D$6=4,IF($C27="银行间",$J27,$L27),$G27)))+AI$2/100,情景分析!$D$7,"",,,,"",)*IF($H27="",1,$H27))</f>
        <v/>
      </c>
      <c r="AJ27" s="7" t="str">
        <f>IF($A27="","",[2]!B_CALC_PRICE($A27,$AJ$1,IF(情景分析!$D$6=1,$J27,IF(情景分析!$D$6=2,$E27,IF(情景分析!$D$6=4,IF($C27="银行间",$J27,$L27),$G27)))+AJ$2/100,情景分析!$D$7,"",,,,"",)*IF($H27="",1,$H27))</f>
        <v/>
      </c>
      <c r="AK27" s="7" t="str">
        <f>IF($A27="","",[2]!B_CALC_PRICE($A27,$AJ$1,IF(情景分析!$D$6=1,$J27,IF(情景分析!$D$6=2,$E27,IF(情景分析!$D$6=4,IF($C27="银行间",$J27,$L27),$G27)))+AK$2/100,情景分析!$D$7,"",,,,"",)*IF($H27="",1,$H27))</f>
        <v/>
      </c>
      <c r="AL27" s="7" t="str">
        <f>IF($A27="","",[2]!B_CALC_PRICE($A27,$AJ$1,IF(情景分析!$D$6=1,$J27,IF(情景分析!$D$6=2,$E27,IF(情景分析!$D$6=4,IF($C27="银行间",$J27,$L27),$G27)))+AL$2/100,情景分析!$D$7,"",,,,"",)*IF($H27="",1,$H27))</f>
        <v/>
      </c>
      <c r="AM27" s="7" t="str">
        <f>IF($A27="","",[2]!B_CALC_PRICE($A27,$AJ$1,IF(情景分析!$D$6=1,$J27,IF(情景分析!$D$6=2,$E27,IF(情景分析!$D$6=4,IF($C27="银行间",$J27,$L27),$G27)))+AM$2/100,情景分析!$D$7,"",,,,"",)*IF($H27="",1,$H27))</f>
        <v/>
      </c>
      <c r="AN27" s="7" t="str">
        <f>IF($A27="","",[2]!B_CALC_PRICE($A27,$AJ$1,IF(情景分析!$D$6=1,$J27,IF(情景分析!$D$6=2,$E27,IF(情景分析!$D$6=4,IF($C27="银行间",$J27,$L27),$G27)))+AN$2/100,情景分析!$D$7,"",,,,"",)*IF($H27="",1,$H27))</f>
        <v/>
      </c>
      <c r="AO27" s="7" t="str">
        <f>IF($A27="","",[2]!B_CALC_PRICE($A27,$AJ$1,IF(情景分析!$D$6=1,$J27,IF(情景分析!$D$6=2,$E27,IF(情景分析!$D$6=4,IF($C27="银行间",$J27,$L27),$G27)))+AO$2/100,情景分析!$D$7,"",,,,"",)*IF($H27="",1,$H27))</f>
        <v/>
      </c>
      <c r="AP27" s="7" t="str">
        <f>IF($A27="","",[2]!B_CALC_PRICE($A27,$AJ$1,IF(情景分析!$D$6=1,$J27,IF(情景分析!$D$6=2,$E27,IF(情景分析!$D$6=4,IF($C27="银行间",$J27,$L27),$G27)))+AP$2/100,情景分析!$D$7,"",,,,"",)*IF($H27="",1,$H27))</f>
        <v/>
      </c>
      <c r="AQ27" s="7" t="str">
        <f>IF($A27="","",[2]!B_CALC_PRICE($A27,$AQ$1,IF(情景分析!$D$6=1,$J27,IF(情景分析!$D$6=2,$E27,IF(情景分析!$D$6=4,IF($C27="银行间",$J27,$L27),$G27)))+AQ$2/100,情景分析!$D$7,"",,,,"",)*IF($H27="",1,$H27))</f>
        <v/>
      </c>
      <c r="AR27" s="7" t="str">
        <f>IF($A27="","",[2]!B_CALC_PRICE($A27,$AQ$1,IF(情景分析!$D$6=1,$J27,IF(情景分析!$D$6=2,$E27,IF(情景分析!$D$6=4,IF($C27="银行间",$J27,$L27),$G27)))+AR$2/100,情景分析!$D$7,"",,,,"",)*IF($H27="",1,$H27))</f>
        <v/>
      </c>
      <c r="AS27" s="7" t="str">
        <f>IF($A27="","",[2]!B_CALC_PRICE($A27,$AQ$1,IF(情景分析!$D$6=1,$J27,IF(情景分析!$D$6=2,$E27,IF(情景分析!$D$6=4,IF($C27="银行间",$J27,$L27),$G27)))+AS$2/100,情景分析!$D$7,"",,,,"",)*IF($H27="",1,$H27))</f>
        <v/>
      </c>
      <c r="AT27" s="7" t="str">
        <f>IF($A27="","",[2]!B_CALC_PRICE($A27,$AQ$1,IF(情景分析!$D$6=1,$J27,IF(情景分析!$D$6=2,$E27,IF(情景分析!$D$6=4,IF($C27="银行间",$J27,$L27),$G27)))+AT$2/100,情景分析!$D$7,"",,,,"",)*IF($H27="",1,$H27))</f>
        <v/>
      </c>
      <c r="AU27" s="7" t="str">
        <f>IF($A27="","",[2]!B_CALC_PRICE($A27,$AQ$1,IF(情景分析!$D$6=1,$J27,IF(情景分析!$D$6=2,$E27,IF(情景分析!$D$6=4,IF($C27="银行间",$J27,$L27),$G27)))+AU$2/100,情景分析!$D$7,"",,,,"",)*IF($H27="",1,$H27))</f>
        <v/>
      </c>
      <c r="AV27" s="7" t="str">
        <f>IF($A27="","",[2]!B_CALC_PRICE($A27,$AQ$1,IF(情景分析!$D$6=1,$J27,IF(情景分析!$D$6=2,$E27,IF(情景分析!$D$6=4,IF($C27="银行间",$J27,$L27),$G27)))+AV$2/100,情景分析!$D$7,"",,,,"",)*IF($H27="",1,$H27))</f>
        <v/>
      </c>
      <c r="AW27" s="7" t="str">
        <f>IF($A27="","",[2]!B_CALC_PRICE($A27,$AQ$1,IF(情景分析!$D$6=1,$J27,IF(情景分析!$D$6=2,$E27,IF(情景分析!$D$6=4,IF($C27="银行间",$J27,$L27),$G27)))+AW$2/100,情景分析!$D$7,"",,,,"",)*IF($H27="",1,$H27))</f>
        <v/>
      </c>
    </row>
    <row r="28" spans="1:49" x14ac:dyDescent="0.15">
      <c r="A28" s="20"/>
      <c r="B28" s="7" t="str">
        <f>IF(A28="","",[2]!b_info_name(A28))</f>
        <v/>
      </c>
      <c r="C28" s="7" t="str">
        <f>[2]!b_info_listedmkt(A28)</f>
        <v>#N/A</v>
      </c>
      <c r="D28" s="7" t="str">
        <f>IFERROR(IF(A28="","", [2]!b_dq_avgprice(A28, 情景分析!$D$5, 情景分析!$D$7) * IF($H28="",1,$H28)),0)</f>
        <v/>
      </c>
      <c r="E28" s="7" t="str">
        <f>IF(A28="","", N([2]!b_dq_avgprice(A28,情景分析!$D$5,3)))</f>
        <v/>
      </c>
      <c r="F28" s="29" t="str">
        <f>IF($G28 = "",
"",
IFERROR(
[2]!b_calc_pv(A28, 情景分析!$D$5,$G28, "1", 情景分析!$D$7),
[2]!b_calc_pv(A28, 情景分析!$D$5,$G28, "2", 情景分析!$D$7)
)
)</f>
        <v/>
      </c>
      <c r="G28" s="22"/>
      <c r="H28" s="21"/>
      <c r="I28" s="7" t="str">
        <f>IF(A28="","",IF(情景分析!$D$7=1,[2]!b_anal_net_cnbd(A28,情景分析!$D$5,1),[2]!b_anal_dirty_cnbd(A28,情景分析!$D$5,1))*IF($H28="",1,$H28))</f>
        <v/>
      </c>
      <c r="J28" s="7" t="str">
        <f>IF(A28="","",[2]!b_anal_yield_cnbd(A28,情景分析!$D$5,1))</f>
        <v/>
      </c>
      <c r="K28" s="29" t="str">
        <f>IF(A28="","",IF(情景分析!$D$7=1,[2]!b_anal_net_csi1(A28,情景分析!$D$5,1),[2]!b_anal_dirty_csi1(A28,情景分析!$D$5,1))*IF($H28="",1,$H28))</f>
        <v/>
      </c>
      <c r="L28" s="29" t="str">
        <f>IF(A28="","",[2]!b_anal_yield_csi1(A28,情景分析!$D$5,1))</f>
        <v/>
      </c>
      <c r="M28" s="29" t="str">
        <f t="shared" si="4"/>
        <v/>
      </c>
      <c r="N28" s="29" t="str">
        <f t="shared" si="5"/>
        <v/>
      </c>
      <c r="O28" s="7" t="str">
        <f>IF($A28="","",[2]!B_CALC_PRICE($A28,$O$1,IF(情景分析!$D$6=1,$J28,IF(情景分析!$D$6=2,$E28,IF(情景分析!$D$6=4,IF($C28="银行间",$J28,$L28),$G28)))+O$2/100,情景分析!$D$7,"",,,,"",)*IF($H28="",1,$H28))</f>
        <v/>
      </c>
      <c r="P28" s="7" t="str">
        <f>IF($A28="","",[2]!B_CALC_PRICE($A28,$O$1,IF(情景分析!$D$6=1,$J28,IF(情景分析!$D$6=2,$E28,IF(情景分析!$D$6=4,IF($C28="银行间",$J28,$L28),$G28)))+P$2/100,情景分析!$D$7,"",,,,"",)*IF($H28="",1,$H28))</f>
        <v/>
      </c>
      <c r="Q28" s="7" t="str">
        <f>IF($A28="","",[2]!B_CALC_PRICE($A28,$O$1,IF(情景分析!$D$6=1,$J28,IF(情景分析!$D$6=2,$E28,IF(情景分析!$D$6=4,IF($C28="银行间",$J28,$L28),$G28)))+Q$2/100,情景分析!$D$7,"",,,,"",)*IF($H28="",1,$H28))</f>
        <v/>
      </c>
      <c r="R28" s="7" t="str">
        <f>IF($A28="","",[2]!B_CALC_PRICE($A28,$O$1,IF(情景分析!$D$6=1,$J28,IF(情景分析!$D$6=2,$E28,IF(情景分析!$D$6=4,IF($C28="银行间",$J28,$L28),$G28)))+R$2/100,情景分析!$D$7,"",,,,"",)*IF($H28="",1,$H28))</f>
        <v/>
      </c>
      <c r="S28" s="7" t="str">
        <f>IF($A28="","",[2]!B_CALC_PRICE($A28,$O$1,IF(情景分析!$D$6=1,$J28,IF(情景分析!$D$6=2,$E28,IF(情景分析!$D$6=4,IF($C28="银行间",$J28,$L28),$G28)))+S$2/100,情景分析!$D$7,"",,,,"",)*IF($H28="",1,$H28))</f>
        <v/>
      </c>
      <c r="T28" s="7" t="str">
        <f>IF($A28="","",[2]!B_CALC_PRICE($A28,$O$1,IF(情景分析!$D$6=1,$J28,IF(情景分析!$D$6=2,$E28,IF(情景分析!$D$6=4,IF($C28="银行间",$J28,$L28),$G28)))+T$2/100,情景分析!$D$7,"",,,,"",)*IF($H28="",1,$H28))</f>
        <v/>
      </c>
      <c r="U28" s="7" t="str">
        <f>IF($A28="","",[2]!B_CALC_PRICE($A28,$O$1,IF(情景分析!$D$6=1,$J28,IF(情景分析!$D$6=2,$E28,IF(情景分析!$D$6=4,IF($C28="银行间",$J28,$L28),$G28)))+U$2/100,情景分析!$D$7,"",,,,"",)*IF($H28="",1,$H28))</f>
        <v/>
      </c>
      <c r="V28" s="7" t="str">
        <f>IF($A28="","",[2]!B_CALC_PRICE($A28,$V$1,IF(情景分析!$D$6=1,$J28,IF(情景分析!$D$6=2,$E28,IF(情景分析!$D$6=4,IF($C28="银行间",$J28,$L28),$G28)))+V$2/100,情景分析!$D$7,"",,,,"",)*IF($H28="",1,$H28))</f>
        <v/>
      </c>
      <c r="W28" s="7" t="str">
        <f>IF($A28="","",[2]!B_CALC_PRICE($A28,$V$1,IF(情景分析!$D$6=1,$J28,IF(情景分析!$D$6=2,$E28,IF(情景分析!$D$6=4,IF($C28="银行间",$J28,$L28),$G28)))+W$2/100,情景分析!$D$7,"",,,,"",)*IF($H28="",1,$H28))</f>
        <v/>
      </c>
      <c r="X28" s="7" t="str">
        <f>IF($A28="","",[2]!B_CALC_PRICE($A28,$V$1,IF(情景分析!$D$6=1,$J28,IF(情景分析!$D$6=2,$E28,IF(情景分析!$D$6=4,IF($C28="银行间",$J28,$L28),$G28)))+X$2/100,情景分析!$D$7,"",,,,"",)*IF($H28="",1,$H28))</f>
        <v/>
      </c>
      <c r="Y28" s="7" t="str">
        <f>IF($A28="","",[2]!B_CALC_PRICE($A28,$V$1,IF(情景分析!$D$6=1,$J28,IF(情景分析!$D$6=2,$E28,IF(情景分析!$D$6=4,IF($C28="银行间",$J28,$L28),$G28)))+Y$2/100,情景分析!$D$7,"",,,,"",)*IF($H28="",1,$H28))</f>
        <v/>
      </c>
      <c r="Z28" s="7" t="str">
        <f>IF($A28="","",[2]!B_CALC_PRICE($A28,$V$1,IF(情景分析!$D$6=1,$J28,IF(情景分析!$D$6=2,$E28,IF(情景分析!$D$6=4,IF($C28="银行间",$J28,$L28),$G28)))+Z$2/100,情景分析!$D$7,"",,,,"",)*IF($H28="",1,$H28))</f>
        <v/>
      </c>
      <c r="AA28" s="7" t="str">
        <f>IF($A28="","",[2]!B_CALC_PRICE($A28,$V$1,IF(情景分析!$D$6=1,$J28,IF(情景分析!$D$6=2,$E28,IF(情景分析!$D$6=4,IF($C28="银行间",$J28,$L28),$G28)))+AA$2/100,情景分析!$D$7,"",,,,"",)*IF($H28="",1,$H28))</f>
        <v/>
      </c>
      <c r="AB28" s="7" t="str">
        <f>IF($A28="","",[2]!B_CALC_PRICE($A28,$V$1,IF(情景分析!$D$6=1,$J28,IF(情景分析!$D$6=2,$E28,IF(情景分析!$D$6=4,IF($C28="银行间",$J28,$L28),$G28)))+AB$2/100,情景分析!$D$7,"",,,,"",)*IF($H28="",1,$H28))</f>
        <v/>
      </c>
      <c r="AC28" s="7" t="str">
        <f>IF($A28="","",[2]!B_CALC_PRICE($A28,$AC$1,IF(情景分析!$D$6=1,$J28,IF(情景分析!$D$6=2,$E28,IF(情景分析!$D$6=4,IF($C28="银行间",$J28,$L28),$G28)))+AC$2/100,情景分析!$D$7,"",,,,"",)*IF($H28="",1,$H28))</f>
        <v/>
      </c>
      <c r="AD28" s="7" t="str">
        <f>IF($A28="","",[2]!B_CALC_PRICE($A28,$AC$1,IF(情景分析!$D$6=1,$J28,IF(情景分析!$D$6=2,$E28,IF(情景分析!$D$6=4,IF($C28="银行间",$J28,$L28),$G28)))+AD$2/100,情景分析!$D$7,"",,,,"",)*IF($H28="",1,$H28))</f>
        <v/>
      </c>
      <c r="AE28" s="7" t="str">
        <f>IF($A28="","",[2]!B_CALC_PRICE($A28,$AC$1,IF(情景分析!$D$6=1,$J28,IF(情景分析!$D$6=2,$E28,IF(情景分析!$D$6=4,IF($C28="银行间",$J28,$L28),$G28)))+AE$2/100,情景分析!$D$7,"",,,,"",)*IF($H28="",1,$H28))</f>
        <v/>
      </c>
      <c r="AF28" s="7" t="str">
        <f>IF($A28="","",[2]!B_CALC_PRICE($A28,$AC$1,IF(情景分析!$D$6=1,$J28,IF(情景分析!$D$6=2,$E28,IF(情景分析!$D$6=4,IF($C28="银行间",$J28,$L28),$G28)))+AF$2/100,情景分析!$D$7,"",,,,"",)*IF($H28="",1,$H28))</f>
        <v/>
      </c>
      <c r="AG28" s="7" t="str">
        <f>IF($A28="","",[2]!B_CALC_PRICE($A28,$AC$1,IF(情景分析!$D$6=1,$J28,IF(情景分析!$D$6=2,$E28,IF(情景分析!$D$6=4,IF($C28="银行间",$J28,$L28),$G28)))+AG$2/100,情景分析!$D$7,"",,,,"",)*IF($H28="",1,$H28))</f>
        <v/>
      </c>
      <c r="AH28" s="7" t="str">
        <f>IF($A28="","",[2]!B_CALC_PRICE($A28,$AC$1,IF(情景分析!$D$6=1,$J28,IF(情景分析!$D$6=2,$E28,IF(情景分析!$D$6=4,IF($C28="银行间",$J28,$L28),$G28)))+AH$2/100,情景分析!$D$7,"",,,,"",)*IF($H28="",1,$H28))</f>
        <v/>
      </c>
      <c r="AI28" s="7" t="str">
        <f>IF($A28="","",[2]!B_CALC_PRICE($A28,$AC$1,IF(情景分析!$D$6=1,$J28,IF(情景分析!$D$6=2,$E28,IF(情景分析!$D$6=4,IF($C28="银行间",$J28,$L28),$G28)))+AI$2/100,情景分析!$D$7,"",,,,"",)*IF($H28="",1,$H28))</f>
        <v/>
      </c>
      <c r="AJ28" s="7" t="str">
        <f>IF($A28="","",[2]!B_CALC_PRICE($A28,$AJ$1,IF(情景分析!$D$6=1,$J28,IF(情景分析!$D$6=2,$E28,IF(情景分析!$D$6=4,IF($C28="银行间",$J28,$L28),$G28)))+AJ$2/100,情景分析!$D$7,"",,,,"",)*IF($H28="",1,$H28))</f>
        <v/>
      </c>
      <c r="AK28" s="7" t="str">
        <f>IF($A28="","",[2]!B_CALC_PRICE($A28,$AJ$1,IF(情景分析!$D$6=1,$J28,IF(情景分析!$D$6=2,$E28,IF(情景分析!$D$6=4,IF($C28="银行间",$J28,$L28),$G28)))+AK$2/100,情景分析!$D$7,"",,,,"",)*IF($H28="",1,$H28))</f>
        <v/>
      </c>
      <c r="AL28" s="7" t="str">
        <f>IF($A28="","",[2]!B_CALC_PRICE($A28,$AJ$1,IF(情景分析!$D$6=1,$J28,IF(情景分析!$D$6=2,$E28,IF(情景分析!$D$6=4,IF($C28="银行间",$J28,$L28),$G28)))+AL$2/100,情景分析!$D$7,"",,,,"",)*IF($H28="",1,$H28))</f>
        <v/>
      </c>
      <c r="AM28" s="7" t="str">
        <f>IF($A28="","",[2]!B_CALC_PRICE($A28,$AJ$1,IF(情景分析!$D$6=1,$J28,IF(情景分析!$D$6=2,$E28,IF(情景分析!$D$6=4,IF($C28="银行间",$J28,$L28),$G28)))+AM$2/100,情景分析!$D$7,"",,,,"",)*IF($H28="",1,$H28))</f>
        <v/>
      </c>
      <c r="AN28" s="7" t="str">
        <f>IF($A28="","",[2]!B_CALC_PRICE($A28,$AJ$1,IF(情景分析!$D$6=1,$J28,IF(情景分析!$D$6=2,$E28,IF(情景分析!$D$6=4,IF($C28="银行间",$J28,$L28),$G28)))+AN$2/100,情景分析!$D$7,"",,,,"",)*IF($H28="",1,$H28))</f>
        <v/>
      </c>
      <c r="AO28" s="7" t="str">
        <f>IF($A28="","",[2]!B_CALC_PRICE($A28,$AJ$1,IF(情景分析!$D$6=1,$J28,IF(情景分析!$D$6=2,$E28,IF(情景分析!$D$6=4,IF($C28="银行间",$J28,$L28),$G28)))+AO$2/100,情景分析!$D$7,"",,,,"",)*IF($H28="",1,$H28))</f>
        <v/>
      </c>
      <c r="AP28" s="7" t="str">
        <f>IF($A28="","",[2]!B_CALC_PRICE($A28,$AJ$1,IF(情景分析!$D$6=1,$J28,IF(情景分析!$D$6=2,$E28,IF(情景分析!$D$6=4,IF($C28="银行间",$J28,$L28),$G28)))+AP$2/100,情景分析!$D$7,"",,,,"",)*IF($H28="",1,$H28))</f>
        <v/>
      </c>
      <c r="AQ28" s="7" t="str">
        <f>IF($A28="","",[2]!B_CALC_PRICE($A28,$AQ$1,IF(情景分析!$D$6=1,$J28,IF(情景分析!$D$6=2,$E28,IF(情景分析!$D$6=4,IF($C28="银行间",$J28,$L28),$G28)))+AQ$2/100,情景分析!$D$7,"",,,,"",)*IF($H28="",1,$H28))</f>
        <v/>
      </c>
      <c r="AR28" s="7" t="str">
        <f>IF($A28="","",[2]!B_CALC_PRICE($A28,$AQ$1,IF(情景分析!$D$6=1,$J28,IF(情景分析!$D$6=2,$E28,IF(情景分析!$D$6=4,IF($C28="银行间",$J28,$L28),$G28)))+AR$2/100,情景分析!$D$7,"",,,,"",)*IF($H28="",1,$H28))</f>
        <v/>
      </c>
      <c r="AS28" s="7" t="str">
        <f>IF($A28="","",[2]!B_CALC_PRICE($A28,$AQ$1,IF(情景分析!$D$6=1,$J28,IF(情景分析!$D$6=2,$E28,IF(情景分析!$D$6=4,IF($C28="银行间",$J28,$L28),$G28)))+AS$2/100,情景分析!$D$7,"",,,,"",)*IF($H28="",1,$H28))</f>
        <v/>
      </c>
      <c r="AT28" s="7" t="str">
        <f>IF($A28="","",[2]!B_CALC_PRICE($A28,$AQ$1,IF(情景分析!$D$6=1,$J28,IF(情景分析!$D$6=2,$E28,IF(情景分析!$D$6=4,IF($C28="银行间",$J28,$L28),$G28)))+AT$2/100,情景分析!$D$7,"",,,,"",)*IF($H28="",1,$H28))</f>
        <v/>
      </c>
      <c r="AU28" s="7" t="str">
        <f>IF($A28="","",[2]!B_CALC_PRICE($A28,$AQ$1,IF(情景分析!$D$6=1,$J28,IF(情景分析!$D$6=2,$E28,IF(情景分析!$D$6=4,IF($C28="银行间",$J28,$L28),$G28)))+AU$2/100,情景分析!$D$7,"",,,,"",)*IF($H28="",1,$H28))</f>
        <v/>
      </c>
      <c r="AV28" s="7" t="str">
        <f>IF($A28="","",[2]!B_CALC_PRICE($A28,$AQ$1,IF(情景分析!$D$6=1,$J28,IF(情景分析!$D$6=2,$E28,IF(情景分析!$D$6=4,IF($C28="银行间",$J28,$L28),$G28)))+AV$2/100,情景分析!$D$7,"",,,,"",)*IF($H28="",1,$H28))</f>
        <v/>
      </c>
      <c r="AW28" s="7" t="str">
        <f>IF($A28="","",[2]!B_CALC_PRICE($A28,$AQ$1,IF(情景分析!$D$6=1,$J28,IF(情景分析!$D$6=2,$E28,IF(情景分析!$D$6=4,IF($C28="银行间",$J28,$L28),$G28)))+AW$2/100,情景分析!$D$7,"",,,,"",)*IF($H28="",1,$H28))</f>
        <v/>
      </c>
    </row>
    <row r="29" spans="1:49" x14ac:dyDescent="0.15">
      <c r="A29" s="20"/>
      <c r="B29" s="7" t="str">
        <f>IF(A29="","",[2]!b_info_name(A29))</f>
        <v/>
      </c>
      <c r="C29" s="7" t="str">
        <f>[2]!b_info_listedmkt(A29)</f>
        <v>#N/A</v>
      </c>
      <c r="D29" s="7" t="str">
        <f>IFERROR(IF(A29="","", [2]!b_dq_avgprice(A29, 情景分析!$D$5, 情景分析!$D$7) * IF($H29="",1,$H29)),0)</f>
        <v/>
      </c>
      <c r="E29" s="7" t="str">
        <f>IF(A29="","", N([2]!b_dq_avgprice(A29,情景分析!$D$5,3)))</f>
        <v/>
      </c>
      <c r="F29" s="29" t="str">
        <f>IF($G29 = "",
"",
IFERROR(
[2]!b_calc_pv(A29, 情景分析!$D$5,$G29, "1", 情景分析!$D$7),
[2]!b_calc_pv(A29, 情景分析!$D$5,$G29, "2", 情景分析!$D$7)
)
)</f>
        <v/>
      </c>
      <c r="G29" s="22"/>
      <c r="H29" s="21"/>
      <c r="I29" s="7" t="str">
        <f>IF(A29="","",IF(情景分析!$D$7=1,[2]!b_anal_net_cnbd(A29,情景分析!$D$5,1),[2]!b_anal_dirty_cnbd(A29,情景分析!$D$5,1))*IF($H29="",1,$H29))</f>
        <v/>
      </c>
      <c r="J29" s="7" t="str">
        <f>IF(A29="","",[2]!b_anal_yield_cnbd(A29,情景分析!$D$5,1))</f>
        <v/>
      </c>
      <c r="K29" s="29" t="str">
        <f>IF(A29="","",IF(情景分析!$D$7=1,[2]!b_anal_net_csi1(A29,情景分析!$D$5,1),[2]!b_anal_dirty_csi1(A29,情景分析!$D$5,1))*IF($H29="",1,$H29))</f>
        <v/>
      </c>
      <c r="L29" s="29" t="str">
        <f>IF(A29="","",[2]!b_anal_yield_csi1(A29,情景分析!$D$5,1))</f>
        <v/>
      </c>
      <c r="M29" s="29" t="str">
        <f t="shared" si="4"/>
        <v/>
      </c>
      <c r="N29" s="29" t="str">
        <f t="shared" si="5"/>
        <v/>
      </c>
      <c r="O29" s="7" t="str">
        <f>IF($A29="","",[2]!B_CALC_PRICE($A29,$O$1,IF(情景分析!$D$6=1,$J29,IF(情景分析!$D$6=2,$E29,IF(情景分析!$D$6=4,IF($C29="银行间",$J29,$L29),$G29)))+O$2/100,情景分析!$D$7,"",,,,"",)*IF($H29="",1,$H29))</f>
        <v/>
      </c>
      <c r="P29" s="7" t="str">
        <f>IF($A29="","",[2]!B_CALC_PRICE($A29,$O$1,IF(情景分析!$D$6=1,$J29,IF(情景分析!$D$6=2,$E29,IF(情景分析!$D$6=4,IF($C29="银行间",$J29,$L29),$G29)))+P$2/100,情景分析!$D$7,"",,,,"",)*IF($H29="",1,$H29))</f>
        <v/>
      </c>
      <c r="Q29" s="7" t="str">
        <f>IF($A29="","",[2]!B_CALC_PRICE($A29,$O$1,IF(情景分析!$D$6=1,$J29,IF(情景分析!$D$6=2,$E29,IF(情景分析!$D$6=4,IF($C29="银行间",$J29,$L29),$G29)))+Q$2/100,情景分析!$D$7,"",,,,"",)*IF($H29="",1,$H29))</f>
        <v/>
      </c>
      <c r="R29" s="7" t="str">
        <f>IF($A29="","",[2]!B_CALC_PRICE($A29,$O$1,IF(情景分析!$D$6=1,$J29,IF(情景分析!$D$6=2,$E29,IF(情景分析!$D$6=4,IF($C29="银行间",$J29,$L29),$G29)))+R$2/100,情景分析!$D$7,"",,,,"",)*IF($H29="",1,$H29))</f>
        <v/>
      </c>
      <c r="S29" s="7" t="str">
        <f>IF($A29="","",[2]!B_CALC_PRICE($A29,$O$1,IF(情景分析!$D$6=1,$J29,IF(情景分析!$D$6=2,$E29,IF(情景分析!$D$6=4,IF($C29="银行间",$J29,$L29),$G29)))+S$2/100,情景分析!$D$7,"",,,,"",)*IF($H29="",1,$H29))</f>
        <v/>
      </c>
      <c r="T29" s="7" t="str">
        <f>IF($A29="","",[2]!B_CALC_PRICE($A29,$O$1,IF(情景分析!$D$6=1,$J29,IF(情景分析!$D$6=2,$E29,IF(情景分析!$D$6=4,IF($C29="银行间",$J29,$L29),$G29)))+T$2/100,情景分析!$D$7,"",,,,"",)*IF($H29="",1,$H29))</f>
        <v/>
      </c>
      <c r="U29" s="7" t="str">
        <f>IF($A29="","",[2]!B_CALC_PRICE($A29,$O$1,IF(情景分析!$D$6=1,$J29,IF(情景分析!$D$6=2,$E29,IF(情景分析!$D$6=4,IF($C29="银行间",$J29,$L29),$G29)))+U$2/100,情景分析!$D$7,"",,,,"",)*IF($H29="",1,$H29))</f>
        <v/>
      </c>
      <c r="V29" s="7" t="str">
        <f>IF($A29="","",[2]!B_CALC_PRICE($A29,$V$1,IF(情景分析!$D$6=1,$J29,IF(情景分析!$D$6=2,$E29,IF(情景分析!$D$6=4,IF($C29="银行间",$J29,$L29),$G29)))+V$2/100,情景分析!$D$7,"",,,,"",)*IF($H29="",1,$H29))</f>
        <v/>
      </c>
      <c r="W29" s="7" t="str">
        <f>IF($A29="","",[2]!B_CALC_PRICE($A29,$V$1,IF(情景分析!$D$6=1,$J29,IF(情景分析!$D$6=2,$E29,IF(情景分析!$D$6=4,IF($C29="银行间",$J29,$L29),$G29)))+W$2/100,情景分析!$D$7,"",,,,"",)*IF($H29="",1,$H29))</f>
        <v/>
      </c>
      <c r="X29" s="7" t="str">
        <f>IF($A29="","",[2]!B_CALC_PRICE($A29,$V$1,IF(情景分析!$D$6=1,$J29,IF(情景分析!$D$6=2,$E29,IF(情景分析!$D$6=4,IF($C29="银行间",$J29,$L29),$G29)))+X$2/100,情景分析!$D$7,"",,,,"",)*IF($H29="",1,$H29))</f>
        <v/>
      </c>
      <c r="Y29" s="7" t="str">
        <f>IF($A29="","",[2]!B_CALC_PRICE($A29,$V$1,IF(情景分析!$D$6=1,$J29,IF(情景分析!$D$6=2,$E29,IF(情景分析!$D$6=4,IF($C29="银行间",$J29,$L29),$G29)))+Y$2/100,情景分析!$D$7,"",,,,"",)*IF($H29="",1,$H29))</f>
        <v/>
      </c>
      <c r="Z29" s="7" t="str">
        <f>IF($A29="","",[2]!B_CALC_PRICE($A29,$V$1,IF(情景分析!$D$6=1,$J29,IF(情景分析!$D$6=2,$E29,IF(情景分析!$D$6=4,IF($C29="银行间",$J29,$L29),$G29)))+Z$2/100,情景分析!$D$7,"",,,,"",)*IF($H29="",1,$H29))</f>
        <v/>
      </c>
      <c r="AA29" s="7" t="str">
        <f>IF($A29="","",[2]!B_CALC_PRICE($A29,$V$1,IF(情景分析!$D$6=1,$J29,IF(情景分析!$D$6=2,$E29,IF(情景分析!$D$6=4,IF($C29="银行间",$J29,$L29),$G29)))+AA$2/100,情景分析!$D$7,"",,,,"",)*IF($H29="",1,$H29))</f>
        <v/>
      </c>
      <c r="AB29" s="7" t="str">
        <f>IF($A29="","",[2]!B_CALC_PRICE($A29,$V$1,IF(情景分析!$D$6=1,$J29,IF(情景分析!$D$6=2,$E29,IF(情景分析!$D$6=4,IF($C29="银行间",$J29,$L29),$G29)))+AB$2/100,情景分析!$D$7,"",,,,"",)*IF($H29="",1,$H29))</f>
        <v/>
      </c>
      <c r="AC29" s="7" t="str">
        <f>IF($A29="","",[2]!B_CALC_PRICE($A29,$AC$1,IF(情景分析!$D$6=1,$J29,IF(情景分析!$D$6=2,$E29,IF(情景分析!$D$6=4,IF($C29="银行间",$J29,$L29),$G29)))+AC$2/100,情景分析!$D$7,"",,,,"",)*IF($H29="",1,$H29))</f>
        <v/>
      </c>
      <c r="AD29" s="7" t="str">
        <f>IF($A29="","",[2]!B_CALC_PRICE($A29,$AC$1,IF(情景分析!$D$6=1,$J29,IF(情景分析!$D$6=2,$E29,IF(情景分析!$D$6=4,IF($C29="银行间",$J29,$L29),$G29)))+AD$2/100,情景分析!$D$7,"",,,,"",)*IF($H29="",1,$H29))</f>
        <v/>
      </c>
      <c r="AE29" s="7" t="str">
        <f>IF($A29="","",[2]!B_CALC_PRICE($A29,$AC$1,IF(情景分析!$D$6=1,$J29,IF(情景分析!$D$6=2,$E29,IF(情景分析!$D$6=4,IF($C29="银行间",$J29,$L29),$G29)))+AE$2/100,情景分析!$D$7,"",,,,"",)*IF($H29="",1,$H29))</f>
        <v/>
      </c>
      <c r="AF29" s="7" t="str">
        <f>IF($A29="","",[2]!B_CALC_PRICE($A29,$AC$1,IF(情景分析!$D$6=1,$J29,IF(情景分析!$D$6=2,$E29,IF(情景分析!$D$6=4,IF($C29="银行间",$J29,$L29),$G29)))+AF$2/100,情景分析!$D$7,"",,,,"",)*IF($H29="",1,$H29))</f>
        <v/>
      </c>
      <c r="AG29" s="7" t="str">
        <f>IF($A29="","",[2]!B_CALC_PRICE($A29,$AC$1,IF(情景分析!$D$6=1,$J29,IF(情景分析!$D$6=2,$E29,IF(情景分析!$D$6=4,IF($C29="银行间",$J29,$L29),$G29)))+AG$2/100,情景分析!$D$7,"",,,,"",)*IF($H29="",1,$H29))</f>
        <v/>
      </c>
      <c r="AH29" s="7" t="str">
        <f>IF($A29="","",[2]!B_CALC_PRICE($A29,$AC$1,IF(情景分析!$D$6=1,$J29,IF(情景分析!$D$6=2,$E29,IF(情景分析!$D$6=4,IF($C29="银行间",$J29,$L29),$G29)))+AH$2/100,情景分析!$D$7,"",,,,"",)*IF($H29="",1,$H29))</f>
        <v/>
      </c>
      <c r="AI29" s="7" t="str">
        <f>IF($A29="","",[2]!B_CALC_PRICE($A29,$AC$1,IF(情景分析!$D$6=1,$J29,IF(情景分析!$D$6=2,$E29,IF(情景分析!$D$6=4,IF($C29="银行间",$J29,$L29),$G29)))+AI$2/100,情景分析!$D$7,"",,,,"",)*IF($H29="",1,$H29))</f>
        <v/>
      </c>
      <c r="AJ29" s="7" t="str">
        <f>IF($A29="","",[2]!B_CALC_PRICE($A29,$AJ$1,IF(情景分析!$D$6=1,$J29,IF(情景分析!$D$6=2,$E29,IF(情景分析!$D$6=4,IF($C29="银行间",$J29,$L29),$G29)))+AJ$2/100,情景分析!$D$7,"",,,,"",)*IF($H29="",1,$H29))</f>
        <v/>
      </c>
      <c r="AK29" s="7" t="str">
        <f>IF($A29="","",[2]!B_CALC_PRICE($A29,$AJ$1,IF(情景分析!$D$6=1,$J29,IF(情景分析!$D$6=2,$E29,IF(情景分析!$D$6=4,IF($C29="银行间",$J29,$L29),$G29)))+AK$2/100,情景分析!$D$7,"",,,,"",)*IF($H29="",1,$H29))</f>
        <v/>
      </c>
      <c r="AL29" s="7" t="str">
        <f>IF($A29="","",[2]!B_CALC_PRICE($A29,$AJ$1,IF(情景分析!$D$6=1,$J29,IF(情景分析!$D$6=2,$E29,IF(情景分析!$D$6=4,IF($C29="银行间",$J29,$L29),$G29)))+AL$2/100,情景分析!$D$7,"",,,,"",)*IF($H29="",1,$H29))</f>
        <v/>
      </c>
      <c r="AM29" s="7" t="str">
        <f>IF($A29="","",[2]!B_CALC_PRICE($A29,$AJ$1,IF(情景分析!$D$6=1,$J29,IF(情景分析!$D$6=2,$E29,IF(情景分析!$D$6=4,IF($C29="银行间",$J29,$L29),$G29)))+AM$2/100,情景分析!$D$7,"",,,,"",)*IF($H29="",1,$H29))</f>
        <v/>
      </c>
      <c r="AN29" s="7" t="str">
        <f>IF($A29="","",[2]!B_CALC_PRICE($A29,$AJ$1,IF(情景分析!$D$6=1,$J29,IF(情景分析!$D$6=2,$E29,IF(情景分析!$D$6=4,IF($C29="银行间",$J29,$L29),$G29)))+AN$2/100,情景分析!$D$7,"",,,,"",)*IF($H29="",1,$H29))</f>
        <v/>
      </c>
      <c r="AO29" s="7" t="str">
        <f>IF($A29="","",[2]!B_CALC_PRICE($A29,$AJ$1,IF(情景分析!$D$6=1,$J29,IF(情景分析!$D$6=2,$E29,IF(情景分析!$D$6=4,IF($C29="银行间",$J29,$L29),$G29)))+AO$2/100,情景分析!$D$7,"",,,,"",)*IF($H29="",1,$H29))</f>
        <v/>
      </c>
      <c r="AP29" s="7" t="str">
        <f>IF($A29="","",[2]!B_CALC_PRICE($A29,$AJ$1,IF(情景分析!$D$6=1,$J29,IF(情景分析!$D$6=2,$E29,IF(情景分析!$D$6=4,IF($C29="银行间",$J29,$L29),$G29)))+AP$2/100,情景分析!$D$7,"",,,,"",)*IF($H29="",1,$H29))</f>
        <v/>
      </c>
      <c r="AQ29" s="7" t="str">
        <f>IF($A29="","",[2]!B_CALC_PRICE($A29,$AQ$1,IF(情景分析!$D$6=1,$J29,IF(情景分析!$D$6=2,$E29,IF(情景分析!$D$6=4,IF($C29="银行间",$J29,$L29),$G29)))+AQ$2/100,情景分析!$D$7,"",,,,"",)*IF($H29="",1,$H29))</f>
        <v/>
      </c>
      <c r="AR29" s="7" t="str">
        <f>IF($A29="","",[2]!B_CALC_PRICE($A29,$AQ$1,IF(情景分析!$D$6=1,$J29,IF(情景分析!$D$6=2,$E29,IF(情景分析!$D$6=4,IF($C29="银行间",$J29,$L29),$G29)))+AR$2/100,情景分析!$D$7,"",,,,"",)*IF($H29="",1,$H29))</f>
        <v/>
      </c>
      <c r="AS29" s="7" t="str">
        <f>IF($A29="","",[2]!B_CALC_PRICE($A29,$AQ$1,IF(情景分析!$D$6=1,$J29,IF(情景分析!$D$6=2,$E29,IF(情景分析!$D$6=4,IF($C29="银行间",$J29,$L29),$G29)))+AS$2/100,情景分析!$D$7,"",,,,"",)*IF($H29="",1,$H29))</f>
        <v/>
      </c>
      <c r="AT29" s="7" t="str">
        <f>IF($A29="","",[2]!B_CALC_PRICE($A29,$AQ$1,IF(情景分析!$D$6=1,$J29,IF(情景分析!$D$6=2,$E29,IF(情景分析!$D$6=4,IF($C29="银行间",$J29,$L29),$G29)))+AT$2/100,情景分析!$D$7,"",,,,"",)*IF($H29="",1,$H29))</f>
        <v/>
      </c>
      <c r="AU29" s="7" t="str">
        <f>IF($A29="","",[2]!B_CALC_PRICE($A29,$AQ$1,IF(情景分析!$D$6=1,$J29,IF(情景分析!$D$6=2,$E29,IF(情景分析!$D$6=4,IF($C29="银行间",$J29,$L29),$G29)))+AU$2/100,情景分析!$D$7,"",,,,"",)*IF($H29="",1,$H29))</f>
        <v/>
      </c>
      <c r="AV29" s="7" t="str">
        <f>IF($A29="","",[2]!B_CALC_PRICE($A29,$AQ$1,IF(情景分析!$D$6=1,$J29,IF(情景分析!$D$6=2,$E29,IF(情景分析!$D$6=4,IF($C29="银行间",$J29,$L29),$G29)))+AV$2/100,情景分析!$D$7,"",,,,"",)*IF($H29="",1,$H29))</f>
        <v/>
      </c>
      <c r="AW29" s="7" t="str">
        <f>IF($A29="","",[2]!B_CALC_PRICE($A29,$AQ$1,IF(情景分析!$D$6=1,$J29,IF(情景分析!$D$6=2,$E29,IF(情景分析!$D$6=4,IF($C29="银行间",$J29,$L29),$G29)))+AW$2/100,情景分析!$D$7,"",,,,"",)*IF($H29="",1,$H29))</f>
        <v/>
      </c>
    </row>
    <row r="30" spans="1:49" x14ac:dyDescent="0.15">
      <c r="A30" s="20"/>
      <c r="B30" s="7" t="str">
        <f>IF(A30="","",[2]!b_info_name(A30))</f>
        <v/>
      </c>
      <c r="C30" s="7" t="str">
        <f>[2]!b_info_listedmkt(A30)</f>
        <v>#N/A</v>
      </c>
      <c r="D30" s="7" t="str">
        <f>IFERROR(IF(A30="","", [2]!b_dq_avgprice(A30, 情景分析!$D$5, 情景分析!$D$7) * IF($H30="",1,$H30)),0)</f>
        <v/>
      </c>
      <c r="E30" s="7" t="str">
        <f>IF(A30="","", N([2]!b_dq_avgprice(A30,情景分析!$D$5,3)))</f>
        <v/>
      </c>
      <c r="F30" s="29" t="str">
        <f>IF($G30 = "",
"",
IFERROR(
[2]!b_calc_pv(A30, 情景分析!$D$5,$G30, "1", 情景分析!$D$7),
[2]!b_calc_pv(A30, 情景分析!$D$5,$G30, "2", 情景分析!$D$7)
)
)</f>
        <v/>
      </c>
      <c r="G30" s="22"/>
      <c r="H30" s="21"/>
      <c r="I30" s="7" t="str">
        <f>IF(A30="","",IF(情景分析!$D$7=1,[2]!b_anal_net_cnbd(A30,情景分析!$D$5,1),[2]!b_anal_dirty_cnbd(A30,情景分析!$D$5,1))*IF($H30="",1,$H30))</f>
        <v/>
      </c>
      <c r="J30" s="7" t="str">
        <f>IF(A30="","",[2]!b_anal_yield_cnbd(A30,情景分析!$D$5,1))</f>
        <v/>
      </c>
      <c r="K30" s="29" t="str">
        <f>IF(A30="","",IF(情景分析!$D$7=1,[2]!b_anal_net_csi1(A30,情景分析!$D$5,1),[2]!b_anal_dirty_csi1(A30,情景分析!$D$5,1))*IF($H30="",1,$H30))</f>
        <v/>
      </c>
      <c r="L30" s="29" t="str">
        <f>IF(A30="","",[2]!b_anal_yield_csi1(A30,情景分析!$D$5,1))</f>
        <v/>
      </c>
      <c r="M30" s="29" t="str">
        <f t="shared" si="4"/>
        <v/>
      </c>
      <c r="N30" s="29" t="str">
        <f t="shared" si="5"/>
        <v/>
      </c>
      <c r="O30" s="7" t="str">
        <f>IF($A30="","",[2]!B_CALC_PRICE($A30,$O$1,IF(情景分析!$D$6=1,$J30,IF(情景分析!$D$6=2,$E30,IF(情景分析!$D$6=4,IF($C30="银行间",$J30,$L30),$G30)))+O$2/100,情景分析!$D$7,"",,,,"",)*IF($H30="",1,$H30))</f>
        <v/>
      </c>
      <c r="P30" s="7" t="str">
        <f>IF($A30="","",[2]!B_CALC_PRICE($A30,$O$1,IF(情景分析!$D$6=1,$J30,IF(情景分析!$D$6=2,$E30,IF(情景分析!$D$6=4,IF($C30="银行间",$J30,$L30),$G30)))+P$2/100,情景分析!$D$7,"",,,,"",)*IF($H30="",1,$H30))</f>
        <v/>
      </c>
      <c r="Q30" s="7" t="str">
        <f>IF($A30="","",[2]!B_CALC_PRICE($A30,$O$1,IF(情景分析!$D$6=1,$J30,IF(情景分析!$D$6=2,$E30,IF(情景分析!$D$6=4,IF($C30="银行间",$J30,$L30),$G30)))+Q$2/100,情景分析!$D$7,"",,,,"",)*IF($H30="",1,$H30))</f>
        <v/>
      </c>
      <c r="R30" s="7" t="str">
        <f>IF($A30="","",[2]!B_CALC_PRICE($A30,$O$1,IF(情景分析!$D$6=1,$J30,IF(情景分析!$D$6=2,$E30,IF(情景分析!$D$6=4,IF($C30="银行间",$J30,$L30),$G30)))+R$2/100,情景分析!$D$7,"",,,,"",)*IF($H30="",1,$H30))</f>
        <v/>
      </c>
      <c r="S30" s="7" t="str">
        <f>IF($A30="","",[2]!B_CALC_PRICE($A30,$O$1,IF(情景分析!$D$6=1,$J30,IF(情景分析!$D$6=2,$E30,IF(情景分析!$D$6=4,IF($C30="银行间",$J30,$L30),$G30)))+S$2/100,情景分析!$D$7,"",,,,"",)*IF($H30="",1,$H30))</f>
        <v/>
      </c>
      <c r="T30" s="7" t="str">
        <f>IF($A30="","",[2]!B_CALC_PRICE($A30,$O$1,IF(情景分析!$D$6=1,$J30,IF(情景分析!$D$6=2,$E30,IF(情景分析!$D$6=4,IF($C30="银行间",$J30,$L30),$G30)))+T$2/100,情景分析!$D$7,"",,,,"",)*IF($H30="",1,$H30))</f>
        <v/>
      </c>
      <c r="U30" s="7" t="str">
        <f>IF($A30="","",[2]!B_CALC_PRICE($A30,$O$1,IF(情景分析!$D$6=1,$J30,IF(情景分析!$D$6=2,$E30,IF(情景分析!$D$6=4,IF($C30="银行间",$J30,$L30),$G30)))+U$2/100,情景分析!$D$7,"",,,,"",)*IF($H30="",1,$H30))</f>
        <v/>
      </c>
      <c r="V30" s="7" t="str">
        <f>IF($A30="","",[2]!B_CALC_PRICE($A30,$V$1,IF(情景分析!$D$6=1,$J30,IF(情景分析!$D$6=2,$E30,IF(情景分析!$D$6=4,IF($C30="银行间",$J30,$L30),$G30)))+V$2/100,情景分析!$D$7,"",,,,"",)*IF($H30="",1,$H30))</f>
        <v/>
      </c>
      <c r="W30" s="7" t="str">
        <f>IF($A30="","",[2]!B_CALC_PRICE($A30,$V$1,IF(情景分析!$D$6=1,$J30,IF(情景分析!$D$6=2,$E30,IF(情景分析!$D$6=4,IF($C30="银行间",$J30,$L30),$G30)))+W$2/100,情景分析!$D$7,"",,,,"",)*IF($H30="",1,$H30))</f>
        <v/>
      </c>
      <c r="X30" s="7" t="str">
        <f>IF($A30="","",[2]!B_CALC_PRICE($A30,$V$1,IF(情景分析!$D$6=1,$J30,IF(情景分析!$D$6=2,$E30,IF(情景分析!$D$6=4,IF($C30="银行间",$J30,$L30),$G30)))+X$2/100,情景分析!$D$7,"",,,,"",)*IF($H30="",1,$H30))</f>
        <v/>
      </c>
      <c r="Y30" s="7" t="str">
        <f>IF($A30="","",[2]!B_CALC_PRICE($A30,$V$1,IF(情景分析!$D$6=1,$J30,IF(情景分析!$D$6=2,$E30,IF(情景分析!$D$6=4,IF($C30="银行间",$J30,$L30),$G30)))+Y$2/100,情景分析!$D$7,"",,,,"",)*IF($H30="",1,$H30))</f>
        <v/>
      </c>
      <c r="Z30" s="7" t="str">
        <f>IF($A30="","",[2]!B_CALC_PRICE($A30,$V$1,IF(情景分析!$D$6=1,$J30,IF(情景分析!$D$6=2,$E30,IF(情景分析!$D$6=4,IF($C30="银行间",$J30,$L30),$G30)))+Z$2/100,情景分析!$D$7,"",,,,"",)*IF($H30="",1,$H30))</f>
        <v/>
      </c>
      <c r="AA30" s="7" t="str">
        <f>IF($A30="","",[2]!B_CALC_PRICE($A30,$V$1,IF(情景分析!$D$6=1,$J30,IF(情景分析!$D$6=2,$E30,IF(情景分析!$D$6=4,IF($C30="银行间",$J30,$L30),$G30)))+AA$2/100,情景分析!$D$7,"",,,,"",)*IF($H30="",1,$H30))</f>
        <v/>
      </c>
      <c r="AB30" s="7" t="str">
        <f>IF($A30="","",[2]!B_CALC_PRICE($A30,$V$1,IF(情景分析!$D$6=1,$J30,IF(情景分析!$D$6=2,$E30,IF(情景分析!$D$6=4,IF($C30="银行间",$J30,$L30),$G30)))+AB$2/100,情景分析!$D$7,"",,,,"",)*IF($H30="",1,$H30))</f>
        <v/>
      </c>
      <c r="AC30" s="7" t="str">
        <f>IF($A30="","",[2]!B_CALC_PRICE($A30,$AC$1,IF(情景分析!$D$6=1,$J30,IF(情景分析!$D$6=2,$E30,IF(情景分析!$D$6=4,IF($C30="银行间",$J30,$L30),$G30)))+AC$2/100,情景分析!$D$7,"",,,,"",)*IF($H30="",1,$H30))</f>
        <v/>
      </c>
      <c r="AD30" s="7" t="str">
        <f>IF($A30="","",[2]!B_CALC_PRICE($A30,$AC$1,IF(情景分析!$D$6=1,$J30,IF(情景分析!$D$6=2,$E30,IF(情景分析!$D$6=4,IF($C30="银行间",$J30,$L30),$G30)))+AD$2/100,情景分析!$D$7,"",,,,"",)*IF($H30="",1,$H30))</f>
        <v/>
      </c>
      <c r="AE30" s="7" t="str">
        <f>IF($A30="","",[2]!B_CALC_PRICE($A30,$AC$1,IF(情景分析!$D$6=1,$J30,IF(情景分析!$D$6=2,$E30,IF(情景分析!$D$6=4,IF($C30="银行间",$J30,$L30),$G30)))+AE$2/100,情景分析!$D$7,"",,,,"",)*IF($H30="",1,$H30))</f>
        <v/>
      </c>
      <c r="AF30" s="7" t="str">
        <f>IF($A30="","",[2]!B_CALC_PRICE($A30,$AC$1,IF(情景分析!$D$6=1,$J30,IF(情景分析!$D$6=2,$E30,IF(情景分析!$D$6=4,IF($C30="银行间",$J30,$L30),$G30)))+AF$2/100,情景分析!$D$7,"",,,,"",)*IF($H30="",1,$H30))</f>
        <v/>
      </c>
      <c r="AG30" s="7" t="str">
        <f>IF($A30="","",[2]!B_CALC_PRICE($A30,$AC$1,IF(情景分析!$D$6=1,$J30,IF(情景分析!$D$6=2,$E30,IF(情景分析!$D$6=4,IF($C30="银行间",$J30,$L30),$G30)))+AG$2/100,情景分析!$D$7,"",,,,"",)*IF($H30="",1,$H30))</f>
        <v/>
      </c>
      <c r="AH30" s="7" t="str">
        <f>IF($A30="","",[2]!B_CALC_PRICE($A30,$AC$1,IF(情景分析!$D$6=1,$J30,IF(情景分析!$D$6=2,$E30,IF(情景分析!$D$6=4,IF($C30="银行间",$J30,$L30),$G30)))+AH$2/100,情景分析!$D$7,"",,,,"",)*IF($H30="",1,$H30))</f>
        <v/>
      </c>
      <c r="AI30" s="7" t="str">
        <f>IF($A30="","",[2]!B_CALC_PRICE($A30,$AC$1,IF(情景分析!$D$6=1,$J30,IF(情景分析!$D$6=2,$E30,IF(情景分析!$D$6=4,IF($C30="银行间",$J30,$L30),$G30)))+AI$2/100,情景分析!$D$7,"",,,,"",)*IF($H30="",1,$H30))</f>
        <v/>
      </c>
      <c r="AJ30" s="7" t="str">
        <f>IF($A30="","",[2]!B_CALC_PRICE($A30,$AJ$1,IF(情景分析!$D$6=1,$J30,IF(情景分析!$D$6=2,$E30,IF(情景分析!$D$6=4,IF($C30="银行间",$J30,$L30),$G30)))+AJ$2/100,情景分析!$D$7,"",,,,"",)*IF($H30="",1,$H30))</f>
        <v/>
      </c>
      <c r="AK30" s="7" t="str">
        <f>IF($A30="","",[2]!B_CALC_PRICE($A30,$AJ$1,IF(情景分析!$D$6=1,$J30,IF(情景分析!$D$6=2,$E30,IF(情景分析!$D$6=4,IF($C30="银行间",$J30,$L30),$G30)))+AK$2/100,情景分析!$D$7,"",,,,"",)*IF($H30="",1,$H30))</f>
        <v/>
      </c>
      <c r="AL30" s="7" t="str">
        <f>IF($A30="","",[2]!B_CALC_PRICE($A30,$AJ$1,IF(情景分析!$D$6=1,$J30,IF(情景分析!$D$6=2,$E30,IF(情景分析!$D$6=4,IF($C30="银行间",$J30,$L30),$G30)))+AL$2/100,情景分析!$D$7,"",,,,"",)*IF($H30="",1,$H30))</f>
        <v/>
      </c>
      <c r="AM30" s="7" t="str">
        <f>IF($A30="","",[2]!B_CALC_PRICE($A30,$AJ$1,IF(情景分析!$D$6=1,$J30,IF(情景分析!$D$6=2,$E30,IF(情景分析!$D$6=4,IF($C30="银行间",$J30,$L30),$G30)))+AM$2/100,情景分析!$D$7,"",,,,"",)*IF($H30="",1,$H30))</f>
        <v/>
      </c>
      <c r="AN30" s="7" t="str">
        <f>IF($A30="","",[2]!B_CALC_PRICE($A30,$AJ$1,IF(情景分析!$D$6=1,$J30,IF(情景分析!$D$6=2,$E30,IF(情景分析!$D$6=4,IF($C30="银行间",$J30,$L30),$G30)))+AN$2/100,情景分析!$D$7,"",,,,"",)*IF($H30="",1,$H30))</f>
        <v/>
      </c>
      <c r="AO30" s="7" t="str">
        <f>IF($A30="","",[2]!B_CALC_PRICE($A30,$AJ$1,IF(情景分析!$D$6=1,$J30,IF(情景分析!$D$6=2,$E30,IF(情景分析!$D$6=4,IF($C30="银行间",$J30,$L30),$G30)))+AO$2/100,情景分析!$D$7,"",,,,"",)*IF($H30="",1,$H30))</f>
        <v/>
      </c>
      <c r="AP30" s="7" t="str">
        <f>IF($A30="","",[2]!B_CALC_PRICE($A30,$AJ$1,IF(情景分析!$D$6=1,$J30,IF(情景分析!$D$6=2,$E30,IF(情景分析!$D$6=4,IF($C30="银行间",$J30,$L30),$G30)))+AP$2/100,情景分析!$D$7,"",,,,"",)*IF($H30="",1,$H30))</f>
        <v/>
      </c>
      <c r="AQ30" s="7" t="str">
        <f>IF($A30="","",[2]!B_CALC_PRICE($A30,$AQ$1,IF(情景分析!$D$6=1,$J30,IF(情景分析!$D$6=2,$E30,IF(情景分析!$D$6=4,IF($C30="银行间",$J30,$L30),$G30)))+AQ$2/100,情景分析!$D$7,"",,,,"",)*IF($H30="",1,$H30))</f>
        <v/>
      </c>
      <c r="AR30" s="7" t="str">
        <f>IF($A30="","",[2]!B_CALC_PRICE($A30,$AQ$1,IF(情景分析!$D$6=1,$J30,IF(情景分析!$D$6=2,$E30,IF(情景分析!$D$6=4,IF($C30="银行间",$J30,$L30),$G30)))+AR$2/100,情景分析!$D$7,"",,,,"",)*IF($H30="",1,$H30))</f>
        <v/>
      </c>
      <c r="AS30" s="7" t="str">
        <f>IF($A30="","",[2]!B_CALC_PRICE($A30,$AQ$1,IF(情景分析!$D$6=1,$J30,IF(情景分析!$D$6=2,$E30,IF(情景分析!$D$6=4,IF($C30="银行间",$J30,$L30),$G30)))+AS$2/100,情景分析!$D$7,"",,,,"",)*IF($H30="",1,$H30))</f>
        <v/>
      </c>
      <c r="AT30" s="7" t="str">
        <f>IF($A30="","",[2]!B_CALC_PRICE($A30,$AQ$1,IF(情景分析!$D$6=1,$J30,IF(情景分析!$D$6=2,$E30,IF(情景分析!$D$6=4,IF($C30="银行间",$J30,$L30),$G30)))+AT$2/100,情景分析!$D$7,"",,,,"",)*IF($H30="",1,$H30))</f>
        <v/>
      </c>
      <c r="AU30" s="7" t="str">
        <f>IF($A30="","",[2]!B_CALC_PRICE($A30,$AQ$1,IF(情景分析!$D$6=1,$J30,IF(情景分析!$D$6=2,$E30,IF(情景分析!$D$6=4,IF($C30="银行间",$J30,$L30),$G30)))+AU$2/100,情景分析!$D$7,"",,,,"",)*IF($H30="",1,$H30))</f>
        <v/>
      </c>
      <c r="AV30" s="7" t="str">
        <f>IF($A30="","",[2]!B_CALC_PRICE($A30,$AQ$1,IF(情景分析!$D$6=1,$J30,IF(情景分析!$D$6=2,$E30,IF(情景分析!$D$6=4,IF($C30="银行间",$J30,$L30),$G30)))+AV$2/100,情景分析!$D$7,"",,,,"",)*IF($H30="",1,$H30))</f>
        <v/>
      </c>
      <c r="AW30" s="7" t="str">
        <f>IF($A30="","",[2]!B_CALC_PRICE($A30,$AQ$1,IF(情景分析!$D$6=1,$J30,IF(情景分析!$D$6=2,$E30,IF(情景分析!$D$6=4,IF($C30="银行间",$J30,$L30),$G30)))+AW$2/100,情景分析!$D$7,"",,,,"",)*IF($H30="",1,$H30))</f>
        <v/>
      </c>
    </row>
    <row r="31" spans="1:49" x14ac:dyDescent="0.15">
      <c r="A31" s="20"/>
      <c r="B31" s="7" t="str">
        <f>IF(A31="","",[2]!b_info_name(A31))</f>
        <v/>
      </c>
      <c r="C31" s="7" t="str">
        <f>[2]!b_info_listedmkt(A31)</f>
        <v>#N/A</v>
      </c>
      <c r="D31" s="7" t="str">
        <f>IFERROR(IF(A31="","", [2]!b_dq_avgprice(A31, 情景分析!$D$5, 情景分析!$D$7) * IF($H31="",1,$H31)),0)</f>
        <v/>
      </c>
      <c r="E31" s="7" t="str">
        <f>IF(A31="","", N([2]!b_dq_avgprice(A31,情景分析!$D$5,3)))</f>
        <v/>
      </c>
      <c r="F31" s="29" t="str">
        <f>IF($G31 = "",
"",
IFERROR(
[2]!b_calc_pv(A31, 情景分析!$D$5,$G31, "1", 情景分析!$D$7),
[2]!b_calc_pv(A31, 情景分析!$D$5,$G31, "2", 情景分析!$D$7)
)
)</f>
        <v/>
      </c>
      <c r="G31" s="22"/>
      <c r="H31" s="21"/>
      <c r="I31" s="7" t="str">
        <f>IF(A31="","",IF(情景分析!$D$7=1,[2]!b_anal_net_cnbd(A31,情景分析!$D$5,1),[2]!b_anal_dirty_cnbd(A31,情景分析!$D$5,1))*IF($H31="",1,$H31))</f>
        <v/>
      </c>
      <c r="J31" s="7" t="str">
        <f>IF(A31="","",[2]!b_anal_yield_cnbd(A31,情景分析!$D$5,1))</f>
        <v/>
      </c>
      <c r="K31" s="29" t="str">
        <f>IF(A31="","",IF(情景分析!$D$7=1,[2]!b_anal_net_csi1(A31,情景分析!$D$5,1),[2]!b_anal_dirty_csi1(A31,情景分析!$D$5,1))*IF($H31="",1,$H31))</f>
        <v/>
      </c>
      <c r="L31" s="29" t="str">
        <f>IF(A31="","",[2]!b_anal_yield_csi1(A31,情景分析!$D$5,1))</f>
        <v/>
      </c>
      <c r="M31" s="29" t="str">
        <f t="shared" si="4"/>
        <v/>
      </c>
      <c r="N31" s="29" t="str">
        <f t="shared" si="5"/>
        <v/>
      </c>
      <c r="O31" s="7" t="str">
        <f>IF($A31="","",[2]!B_CALC_PRICE($A31,$O$1,IF(情景分析!$D$6=1,$J31,IF(情景分析!$D$6=2,$E31,IF(情景分析!$D$6=4,IF($C31="银行间",$J31,$L31),$G31)))+O$2/100,情景分析!$D$7,"",,,,"",)*IF($H31="",1,$H31))</f>
        <v/>
      </c>
      <c r="P31" s="7" t="str">
        <f>IF($A31="","",[2]!B_CALC_PRICE($A31,$O$1,IF(情景分析!$D$6=1,$J31,IF(情景分析!$D$6=2,$E31,IF(情景分析!$D$6=4,IF($C31="银行间",$J31,$L31),$G31)))+P$2/100,情景分析!$D$7,"",,,,"",)*IF($H31="",1,$H31))</f>
        <v/>
      </c>
      <c r="Q31" s="7" t="str">
        <f>IF($A31="","",[2]!B_CALC_PRICE($A31,$O$1,IF(情景分析!$D$6=1,$J31,IF(情景分析!$D$6=2,$E31,IF(情景分析!$D$6=4,IF($C31="银行间",$J31,$L31),$G31)))+Q$2/100,情景分析!$D$7,"",,,,"",)*IF($H31="",1,$H31))</f>
        <v/>
      </c>
      <c r="R31" s="7" t="str">
        <f>IF($A31="","",[2]!B_CALC_PRICE($A31,$O$1,IF(情景分析!$D$6=1,$J31,IF(情景分析!$D$6=2,$E31,IF(情景分析!$D$6=4,IF($C31="银行间",$J31,$L31),$G31)))+R$2/100,情景分析!$D$7,"",,,,"",)*IF($H31="",1,$H31))</f>
        <v/>
      </c>
      <c r="S31" s="7" t="str">
        <f>IF($A31="","",[2]!B_CALC_PRICE($A31,$O$1,IF(情景分析!$D$6=1,$J31,IF(情景分析!$D$6=2,$E31,IF(情景分析!$D$6=4,IF($C31="银行间",$J31,$L31),$G31)))+S$2/100,情景分析!$D$7,"",,,,"",)*IF($H31="",1,$H31))</f>
        <v/>
      </c>
      <c r="T31" s="7" t="str">
        <f>IF($A31="","",[2]!B_CALC_PRICE($A31,$O$1,IF(情景分析!$D$6=1,$J31,IF(情景分析!$D$6=2,$E31,IF(情景分析!$D$6=4,IF($C31="银行间",$J31,$L31),$G31)))+T$2/100,情景分析!$D$7,"",,,,"",)*IF($H31="",1,$H31))</f>
        <v/>
      </c>
      <c r="U31" s="7" t="str">
        <f>IF($A31="","",[2]!B_CALC_PRICE($A31,$O$1,IF(情景分析!$D$6=1,$J31,IF(情景分析!$D$6=2,$E31,IF(情景分析!$D$6=4,IF($C31="银行间",$J31,$L31),$G31)))+U$2/100,情景分析!$D$7,"",,,,"",)*IF($H31="",1,$H31))</f>
        <v/>
      </c>
      <c r="V31" s="7" t="str">
        <f>IF($A31="","",[2]!B_CALC_PRICE($A31,$V$1,IF(情景分析!$D$6=1,$J31,IF(情景分析!$D$6=2,$E31,IF(情景分析!$D$6=4,IF($C31="银行间",$J31,$L31),$G31)))+V$2/100,情景分析!$D$7,"",,,,"",)*IF($H31="",1,$H31))</f>
        <v/>
      </c>
      <c r="W31" s="7" t="str">
        <f>IF($A31="","",[2]!B_CALC_PRICE($A31,$V$1,IF(情景分析!$D$6=1,$J31,IF(情景分析!$D$6=2,$E31,IF(情景分析!$D$6=4,IF($C31="银行间",$J31,$L31),$G31)))+W$2/100,情景分析!$D$7,"",,,,"",)*IF($H31="",1,$H31))</f>
        <v/>
      </c>
      <c r="X31" s="7" t="str">
        <f>IF($A31="","",[2]!B_CALC_PRICE($A31,$V$1,IF(情景分析!$D$6=1,$J31,IF(情景分析!$D$6=2,$E31,IF(情景分析!$D$6=4,IF($C31="银行间",$J31,$L31),$G31)))+X$2/100,情景分析!$D$7,"",,,,"",)*IF($H31="",1,$H31))</f>
        <v/>
      </c>
      <c r="Y31" s="7" t="str">
        <f>IF($A31="","",[2]!B_CALC_PRICE($A31,$V$1,IF(情景分析!$D$6=1,$J31,IF(情景分析!$D$6=2,$E31,IF(情景分析!$D$6=4,IF($C31="银行间",$J31,$L31),$G31)))+Y$2/100,情景分析!$D$7,"",,,,"",)*IF($H31="",1,$H31))</f>
        <v/>
      </c>
      <c r="Z31" s="7" t="str">
        <f>IF($A31="","",[2]!B_CALC_PRICE($A31,$V$1,IF(情景分析!$D$6=1,$J31,IF(情景分析!$D$6=2,$E31,IF(情景分析!$D$6=4,IF($C31="银行间",$J31,$L31),$G31)))+Z$2/100,情景分析!$D$7,"",,,,"",)*IF($H31="",1,$H31))</f>
        <v/>
      </c>
      <c r="AA31" s="7" t="str">
        <f>IF($A31="","",[2]!B_CALC_PRICE($A31,$V$1,IF(情景分析!$D$6=1,$J31,IF(情景分析!$D$6=2,$E31,IF(情景分析!$D$6=4,IF($C31="银行间",$J31,$L31),$G31)))+AA$2/100,情景分析!$D$7,"",,,,"",)*IF($H31="",1,$H31))</f>
        <v/>
      </c>
      <c r="AB31" s="7" t="str">
        <f>IF($A31="","",[2]!B_CALC_PRICE($A31,$V$1,IF(情景分析!$D$6=1,$J31,IF(情景分析!$D$6=2,$E31,IF(情景分析!$D$6=4,IF($C31="银行间",$J31,$L31),$G31)))+AB$2/100,情景分析!$D$7,"",,,,"",)*IF($H31="",1,$H31))</f>
        <v/>
      </c>
      <c r="AC31" s="7" t="str">
        <f>IF($A31="","",[2]!B_CALC_PRICE($A31,$AC$1,IF(情景分析!$D$6=1,$J31,IF(情景分析!$D$6=2,$E31,IF(情景分析!$D$6=4,IF($C31="银行间",$J31,$L31),$G31)))+AC$2/100,情景分析!$D$7,"",,,,"",)*IF($H31="",1,$H31))</f>
        <v/>
      </c>
      <c r="AD31" s="7" t="str">
        <f>IF($A31="","",[2]!B_CALC_PRICE($A31,$AC$1,IF(情景分析!$D$6=1,$J31,IF(情景分析!$D$6=2,$E31,IF(情景分析!$D$6=4,IF($C31="银行间",$J31,$L31),$G31)))+AD$2/100,情景分析!$D$7,"",,,,"",)*IF($H31="",1,$H31))</f>
        <v/>
      </c>
      <c r="AE31" s="7" t="str">
        <f>IF($A31="","",[2]!B_CALC_PRICE($A31,$AC$1,IF(情景分析!$D$6=1,$J31,IF(情景分析!$D$6=2,$E31,IF(情景分析!$D$6=4,IF($C31="银行间",$J31,$L31),$G31)))+AE$2/100,情景分析!$D$7,"",,,,"",)*IF($H31="",1,$H31))</f>
        <v/>
      </c>
      <c r="AF31" s="7" t="str">
        <f>IF($A31="","",[2]!B_CALC_PRICE($A31,$AC$1,IF(情景分析!$D$6=1,$J31,IF(情景分析!$D$6=2,$E31,IF(情景分析!$D$6=4,IF($C31="银行间",$J31,$L31),$G31)))+AF$2/100,情景分析!$D$7,"",,,,"",)*IF($H31="",1,$H31))</f>
        <v/>
      </c>
      <c r="AG31" s="7" t="str">
        <f>IF($A31="","",[2]!B_CALC_PRICE($A31,$AC$1,IF(情景分析!$D$6=1,$J31,IF(情景分析!$D$6=2,$E31,IF(情景分析!$D$6=4,IF($C31="银行间",$J31,$L31),$G31)))+AG$2/100,情景分析!$D$7,"",,,,"",)*IF($H31="",1,$H31))</f>
        <v/>
      </c>
      <c r="AH31" s="7" t="str">
        <f>IF($A31="","",[2]!B_CALC_PRICE($A31,$AC$1,IF(情景分析!$D$6=1,$J31,IF(情景分析!$D$6=2,$E31,IF(情景分析!$D$6=4,IF($C31="银行间",$J31,$L31),$G31)))+AH$2/100,情景分析!$D$7,"",,,,"",)*IF($H31="",1,$H31))</f>
        <v/>
      </c>
      <c r="AI31" s="7" t="str">
        <f>IF($A31="","",[2]!B_CALC_PRICE($A31,$AC$1,IF(情景分析!$D$6=1,$J31,IF(情景分析!$D$6=2,$E31,IF(情景分析!$D$6=4,IF($C31="银行间",$J31,$L31),$G31)))+AI$2/100,情景分析!$D$7,"",,,,"",)*IF($H31="",1,$H31))</f>
        <v/>
      </c>
      <c r="AJ31" s="7" t="str">
        <f>IF($A31="","",[2]!B_CALC_PRICE($A31,$AJ$1,IF(情景分析!$D$6=1,$J31,IF(情景分析!$D$6=2,$E31,IF(情景分析!$D$6=4,IF($C31="银行间",$J31,$L31),$G31)))+AJ$2/100,情景分析!$D$7,"",,,,"",)*IF($H31="",1,$H31))</f>
        <v/>
      </c>
      <c r="AK31" s="7" t="str">
        <f>IF($A31="","",[2]!B_CALC_PRICE($A31,$AJ$1,IF(情景分析!$D$6=1,$J31,IF(情景分析!$D$6=2,$E31,IF(情景分析!$D$6=4,IF($C31="银行间",$J31,$L31),$G31)))+AK$2/100,情景分析!$D$7,"",,,,"",)*IF($H31="",1,$H31))</f>
        <v/>
      </c>
      <c r="AL31" s="7" t="str">
        <f>IF($A31="","",[2]!B_CALC_PRICE($A31,$AJ$1,IF(情景分析!$D$6=1,$J31,IF(情景分析!$D$6=2,$E31,IF(情景分析!$D$6=4,IF($C31="银行间",$J31,$L31),$G31)))+AL$2/100,情景分析!$D$7,"",,,,"",)*IF($H31="",1,$H31))</f>
        <v/>
      </c>
      <c r="AM31" s="7" t="str">
        <f>IF($A31="","",[2]!B_CALC_PRICE($A31,$AJ$1,IF(情景分析!$D$6=1,$J31,IF(情景分析!$D$6=2,$E31,IF(情景分析!$D$6=4,IF($C31="银行间",$J31,$L31),$G31)))+AM$2/100,情景分析!$D$7,"",,,,"",)*IF($H31="",1,$H31))</f>
        <v/>
      </c>
      <c r="AN31" s="7" t="str">
        <f>IF($A31="","",[2]!B_CALC_PRICE($A31,$AJ$1,IF(情景分析!$D$6=1,$J31,IF(情景分析!$D$6=2,$E31,IF(情景分析!$D$6=4,IF($C31="银行间",$J31,$L31),$G31)))+AN$2/100,情景分析!$D$7,"",,,,"",)*IF($H31="",1,$H31))</f>
        <v/>
      </c>
      <c r="AO31" s="7" t="str">
        <f>IF($A31="","",[2]!B_CALC_PRICE($A31,$AJ$1,IF(情景分析!$D$6=1,$J31,IF(情景分析!$D$6=2,$E31,IF(情景分析!$D$6=4,IF($C31="银行间",$J31,$L31),$G31)))+AO$2/100,情景分析!$D$7,"",,,,"",)*IF($H31="",1,$H31))</f>
        <v/>
      </c>
      <c r="AP31" s="7" t="str">
        <f>IF($A31="","",[2]!B_CALC_PRICE($A31,$AJ$1,IF(情景分析!$D$6=1,$J31,IF(情景分析!$D$6=2,$E31,IF(情景分析!$D$6=4,IF($C31="银行间",$J31,$L31),$G31)))+AP$2/100,情景分析!$D$7,"",,,,"",)*IF($H31="",1,$H31))</f>
        <v/>
      </c>
      <c r="AQ31" s="7" t="str">
        <f>IF($A31="","",[2]!B_CALC_PRICE($A31,$AQ$1,IF(情景分析!$D$6=1,$J31,IF(情景分析!$D$6=2,$E31,IF(情景分析!$D$6=4,IF($C31="银行间",$J31,$L31),$G31)))+AQ$2/100,情景分析!$D$7,"",,,,"",)*IF($H31="",1,$H31))</f>
        <v/>
      </c>
      <c r="AR31" s="7" t="str">
        <f>IF($A31="","",[2]!B_CALC_PRICE($A31,$AQ$1,IF(情景分析!$D$6=1,$J31,IF(情景分析!$D$6=2,$E31,IF(情景分析!$D$6=4,IF($C31="银行间",$J31,$L31),$G31)))+AR$2/100,情景分析!$D$7,"",,,,"",)*IF($H31="",1,$H31))</f>
        <v/>
      </c>
      <c r="AS31" s="7" t="str">
        <f>IF($A31="","",[2]!B_CALC_PRICE($A31,$AQ$1,IF(情景分析!$D$6=1,$J31,IF(情景分析!$D$6=2,$E31,IF(情景分析!$D$6=4,IF($C31="银行间",$J31,$L31),$G31)))+AS$2/100,情景分析!$D$7,"",,,,"",)*IF($H31="",1,$H31))</f>
        <v/>
      </c>
      <c r="AT31" s="7" t="str">
        <f>IF($A31="","",[2]!B_CALC_PRICE($A31,$AQ$1,IF(情景分析!$D$6=1,$J31,IF(情景分析!$D$6=2,$E31,IF(情景分析!$D$6=4,IF($C31="银行间",$J31,$L31),$G31)))+AT$2/100,情景分析!$D$7,"",,,,"",)*IF($H31="",1,$H31))</f>
        <v/>
      </c>
      <c r="AU31" s="7" t="str">
        <f>IF($A31="","",[2]!B_CALC_PRICE($A31,$AQ$1,IF(情景分析!$D$6=1,$J31,IF(情景分析!$D$6=2,$E31,IF(情景分析!$D$6=4,IF($C31="银行间",$J31,$L31),$G31)))+AU$2/100,情景分析!$D$7,"",,,,"",)*IF($H31="",1,$H31))</f>
        <v/>
      </c>
      <c r="AV31" s="7" t="str">
        <f>IF($A31="","",[2]!B_CALC_PRICE($A31,$AQ$1,IF(情景分析!$D$6=1,$J31,IF(情景分析!$D$6=2,$E31,IF(情景分析!$D$6=4,IF($C31="银行间",$J31,$L31),$G31)))+AV$2/100,情景分析!$D$7,"",,,,"",)*IF($H31="",1,$H31))</f>
        <v/>
      </c>
      <c r="AW31" s="7" t="str">
        <f>IF($A31="","",[2]!B_CALC_PRICE($A31,$AQ$1,IF(情景分析!$D$6=1,$J31,IF(情景分析!$D$6=2,$E31,IF(情景分析!$D$6=4,IF($C31="银行间",$J31,$L31),$G31)))+AW$2/100,情景分析!$D$7,"",,,,"",)*IF($H31="",1,$H31))</f>
        <v/>
      </c>
    </row>
    <row r="32" spans="1:49" x14ac:dyDescent="0.15">
      <c r="A32" s="20"/>
      <c r="B32" s="7" t="str">
        <f>IF(A32="","",[2]!b_info_name(A32))</f>
        <v/>
      </c>
      <c r="C32" s="7" t="str">
        <f>[2]!b_info_listedmkt(A32)</f>
        <v>#N/A</v>
      </c>
      <c r="D32" s="7" t="str">
        <f>IFERROR(IF(A32="","", [2]!b_dq_avgprice(A32, 情景分析!$D$5, 情景分析!$D$7) * IF($H32="",1,$H32)),0)</f>
        <v/>
      </c>
      <c r="E32" s="7" t="str">
        <f>IF(A32="","", N([2]!b_dq_avgprice(A32,情景分析!$D$5,3)))</f>
        <v/>
      </c>
      <c r="F32" s="29" t="str">
        <f>IF($G32 = "",
"",
IFERROR(
[2]!b_calc_pv(A32, 情景分析!$D$5,$G32, "1", 情景分析!$D$7),
[2]!b_calc_pv(A32, 情景分析!$D$5,$G32, "2", 情景分析!$D$7)
)
)</f>
        <v/>
      </c>
      <c r="G32" s="22"/>
      <c r="H32" s="21"/>
      <c r="I32" s="7" t="str">
        <f>IF(A32="","",IF(情景分析!$D$7=1,[2]!b_anal_net_cnbd(A32,情景分析!$D$5,1),[2]!b_anal_dirty_cnbd(A32,情景分析!$D$5,1))*IF($H32="",1,$H32))</f>
        <v/>
      </c>
      <c r="J32" s="7" t="str">
        <f>IF(A32="","",[2]!b_anal_yield_cnbd(A32,情景分析!$D$5,1))</f>
        <v/>
      </c>
      <c r="K32" s="29" t="str">
        <f>IF(A32="","",IF(情景分析!$D$7=1,[2]!b_anal_net_csi1(A32,情景分析!$D$5,1),[2]!b_anal_dirty_csi1(A32,情景分析!$D$5,1))*IF($H32="",1,$H32))</f>
        <v/>
      </c>
      <c r="L32" s="29" t="str">
        <f>IF(A32="","",[2]!b_anal_yield_csi1(A32,情景分析!$D$5,1))</f>
        <v/>
      </c>
      <c r="M32" s="29" t="str">
        <f t="shared" si="4"/>
        <v/>
      </c>
      <c r="N32" s="29" t="str">
        <f t="shared" si="5"/>
        <v/>
      </c>
      <c r="O32" s="7" t="str">
        <f>IF($A32="","",[2]!B_CALC_PRICE($A32,$O$1,IF(情景分析!$D$6=1,$J32,IF(情景分析!$D$6=2,$E32,IF(情景分析!$D$6=4,IF($C32="银行间",$J32,$L32),$G32)))+O$2/100,情景分析!$D$7,"",,,,"",)*IF($H32="",1,$H32))</f>
        <v/>
      </c>
      <c r="P32" s="7" t="str">
        <f>IF($A32="","",[2]!B_CALC_PRICE($A32,$O$1,IF(情景分析!$D$6=1,$J32,IF(情景分析!$D$6=2,$E32,IF(情景分析!$D$6=4,IF($C32="银行间",$J32,$L32),$G32)))+P$2/100,情景分析!$D$7,"",,,,"",)*IF($H32="",1,$H32))</f>
        <v/>
      </c>
      <c r="Q32" s="7" t="str">
        <f>IF($A32="","",[2]!B_CALC_PRICE($A32,$O$1,IF(情景分析!$D$6=1,$J32,IF(情景分析!$D$6=2,$E32,IF(情景分析!$D$6=4,IF($C32="银行间",$J32,$L32),$G32)))+Q$2/100,情景分析!$D$7,"",,,,"",)*IF($H32="",1,$H32))</f>
        <v/>
      </c>
      <c r="R32" s="7" t="str">
        <f>IF($A32="","",[2]!B_CALC_PRICE($A32,$O$1,IF(情景分析!$D$6=1,$J32,IF(情景分析!$D$6=2,$E32,IF(情景分析!$D$6=4,IF($C32="银行间",$J32,$L32),$G32)))+R$2/100,情景分析!$D$7,"",,,,"",)*IF($H32="",1,$H32))</f>
        <v/>
      </c>
      <c r="S32" s="7" t="str">
        <f>IF($A32="","",[2]!B_CALC_PRICE($A32,$O$1,IF(情景分析!$D$6=1,$J32,IF(情景分析!$D$6=2,$E32,IF(情景分析!$D$6=4,IF($C32="银行间",$J32,$L32),$G32)))+S$2/100,情景分析!$D$7,"",,,,"",)*IF($H32="",1,$H32))</f>
        <v/>
      </c>
      <c r="T32" s="7" t="str">
        <f>IF($A32="","",[2]!B_CALC_PRICE($A32,$O$1,IF(情景分析!$D$6=1,$J32,IF(情景分析!$D$6=2,$E32,IF(情景分析!$D$6=4,IF($C32="银行间",$J32,$L32),$G32)))+T$2/100,情景分析!$D$7,"",,,,"",)*IF($H32="",1,$H32))</f>
        <v/>
      </c>
      <c r="U32" s="7" t="str">
        <f>IF($A32="","",[2]!B_CALC_PRICE($A32,$O$1,IF(情景分析!$D$6=1,$J32,IF(情景分析!$D$6=2,$E32,IF(情景分析!$D$6=4,IF($C32="银行间",$J32,$L32),$G32)))+U$2/100,情景分析!$D$7,"",,,,"",)*IF($H32="",1,$H32))</f>
        <v/>
      </c>
      <c r="V32" s="7" t="str">
        <f>IF($A32="","",[2]!B_CALC_PRICE($A32,$V$1,IF(情景分析!$D$6=1,$J32,IF(情景分析!$D$6=2,$E32,IF(情景分析!$D$6=4,IF($C32="银行间",$J32,$L32),$G32)))+V$2/100,情景分析!$D$7,"",,,,"",)*IF($H32="",1,$H32))</f>
        <v/>
      </c>
      <c r="W32" s="7" t="str">
        <f>IF($A32="","",[2]!B_CALC_PRICE($A32,$V$1,IF(情景分析!$D$6=1,$J32,IF(情景分析!$D$6=2,$E32,IF(情景分析!$D$6=4,IF($C32="银行间",$J32,$L32),$G32)))+W$2/100,情景分析!$D$7,"",,,,"",)*IF($H32="",1,$H32))</f>
        <v/>
      </c>
      <c r="X32" s="7" t="str">
        <f>IF($A32="","",[2]!B_CALC_PRICE($A32,$V$1,IF(情景分析!$D$6=1,$J32,IF(情景分析!$D$6=2,$E32,IF(情景分析!$D$6=4,IF($C32="银行间",$J32,$L32),$G32)))+X$2/100,情景分析!$D$7,"",,,,"",)*IF($H32="",1,$H32))</f>
        <v/>
      </c>
      <c r="Y32" s="7" t="str">
        <f>IF($A32="","",[2]!B_CALC_PRICE($A32,$V$1,IF(情景分析!$D$6=1,$J32,IF(情景分析!$D$6=2,$E32,IF(情景分析!$D$6=4,IF($C32="银行间",$J32,$L32),$G32)))+Y$2/100,情景分析!$D$7,"",,,,"",)*IF($H32="",1,$H32))</f>
        <v/>
      </c>
      <c r="Z32" s="7" t="str">
        <f>IF($A32="","",[2]!B_CALC_PRICE($A32,$V$1,IF(情景分析!$D$6=1,$J32,IF(情景分析!$D$6=2,$E32,IF(情景分析!$D$6=4,IF($C32="银行间",$J32,$L32),$G32)))+Z$2/100,情景分析!$D$7,"",,,,"",)*IF($H32="",1,$H32))</f>
        <v/>
      </c>
      <c r="AA32" s="7" t="str">
        <f>IF($A32="","",[2]!B_CALC_PRICE($A32,$V$1,IF(情景分析!$D$6=1,$J32,IF(情景分析!$D$6=2,$E32,IF(情景分析!$D$6=4,IF($C32="银行间",$J32,$L32),$G32)))+AA$2/100,情景分析!$D$7,"",,,,"",)*IF($H32="",1,$H32))</f>
        <v/>
      </c>
      <c r="AB32" s="7" t="str">
        <f>IF($A32="","",[2]!B_CALC_PRICE($A32,$V$1,IF(情景分析!$D$6=1,$J32,IF(情景分析!$D$6=2,$E32,IF(情景分析!$D$6=4,IF($C32="银行间",$J32,$L32),$G32)))+AB$2/100,情景分析!$D$7,"",,,,"",)*IF($H32="",1,$H32))</f>
        <v/>
      </c>
      <c r="AC32" s="7" t="str">
        <f>IF($A32="","",[2]!B_CALC_PRICE($A32,$AC$1,IF(情景分析!$D$6=1,$J32,IF(情景分析!$D$6=2,$E32,IF(情景分析!$D$6=4,IF($C32="银行间",$J32,$L32),$G32)))+AC$2/100,情景分析!$D$7,"",,,,"",)*IF($H32="",1,$H32))</f>
        <v/>
      </c>
      <c r="AD32" s="7" t="str">
        <f>IF($A32="","",[2]!B_CALC_PRICE($A32,$AC$1,IF(情景分析!$D$6=1,$J32,IF(情景分析!$D$6=2,$E32,IF(情景分析!$D$6=4,IF($C32="银行间",$J32,$L32),$G32)))+AD$2/100,情景分析!$D$7,"",,,,"",)*IF($H32="",1,$H32))</f>
        <v/>
      </c>
      <c r="AE32" s="7" t="str">
        <f>IF($A32="","",[2]!B_CALC_PRICE($A32,$AC$1,IF(情景分析!$D$6=1,$J32,IF(情景分析!$D$6=2,$E32,IF(情景分析!$D$6=4,IF($C32="银行间",$J32,$L32),$G32)))+AE$2/100,情景分析!$D$7,"",,,,"",)*IF($H32="",1,$H32))</f>
        <v/>
      </c>
      <c r="AF32" s="7" t="str">
        <f>IF($A32="","",[2]!B_CALC_PRICE($A32,$AC$1,IF(情景分析!$D$6=1,$J32,IF(情景分析!$D$6=2,$E32,IF(情景分析!$D$6=4,IF($C32="银行间",$J32,$L32),$G32)))+AF$2/100,情景分析!$D$7,"",,,,"",)*IF($H32="",1,$H32))</f>
        <v/>
      </c>
      <c r="AG32" s="7" t="str">
        <f>IF($A32="","",[2]!B_CALC_PRICE($A32,$AC$1,IF(情景分析!$D$6=1,$J32,IF(情景分析!$D$6=2,$E32,IF(情景分析!$D$6=4,IF($C32="银行间",$J32,$L32),$G32)))+AG$2/100,情景分析!$D$7,"",,,,"",)*IF($H32="",1,$H32))</f>
        <v/>
      </c>
      <c r="AH32" s="7" t="str">
        <f>IF($A32="","",[2]!B_CALC_PRICE($A32,$AC$1,IF(情景分析!$D$6=1,$J32,IF(情景分析!$D$6=2,$E32,IF(情景分析!$D$6=4,IF($C32="银行间",$J32,$L32),$G32)))+AH$2/100,情景分析!$D$7,"",,,,"",)*IF($H32="",1,$H32))</f>
        <v/>
      </c>
      <c r="AI32" s="7" t="str">
        <f>IF($A32="","",[2]!B_CALC_PRICE($A32,$AC$1,IF(情景分析!$D$6=1,$J32,IF(情景分析!$D$6=2,$E32,IF(情景分析!$D$6=4,IF($C32="银行间",$J32,$L32),$G32)))+AI$2/100,情景分析!$D$7,"",,,,"",)*IF($H32="",1,$H32))</f>
        <v/>
      </c>
      <c r="AJ32" s="7" t="str">
        <f>IF($A32="","",[2]!B_CALC_PRICE($A32,$AJ$1,IF(情景分析!$D$6=1,$J32,IF(情景分析!$D$6=2,$E32,IF(情景分析!$D$6=4,IF($C32="银行间",$J32,$L32),$G32)))+AJ$2/100,情景分析!$D$7,"",,,,"",)*IF($H32="",1,$H32))</f>
        <v/>
      </c>
      <c r="AK32" s="7" t="str">
        <f>IF($A32="","",[2]!B_CALC_PRICE($A32,$AJ$1,IF(情景分析!$D$6=1,$J32,IF(情景分析!$D$6=2,$E32,IF(情景分析!$D$6=4,IF($C32="银行间",$J32,$L32),$G32)))+AK$2/100,情景分析!$D$7,"",,,,"",)*IF($H32="",1,$H32))</f>
        <v/>
      </c>
      <c r="AL32" s="7" t="str">
        <f>IF($A32="","",[2]!B_CALC_PRICE($A32,$AJ$1,IF(情景分析!$D$6=1,$J32,IF(情景分析!$D$6=2,$E32,IF(情景分析!$D$6=4,IF($C32="银行间",$J32,$L32),$G32)))+AL$2/100,情景分析!$D$7,"",,,,"",)*IF($H32="",1,$H32))</f>
        <v/>
      </c>
      <c r="AM32" s="7" t="str">
        <f>IF($A32="","",[2]!B_CALC_PRICE($A32,$AJ$1,IF(情景分析!$D$6=1,$J32,IF(情景分析!$D$6=2,$E32,IF(情景分析!$D$6=4,IF($C32="银行间",$J32,$L32),$G32)))+AM$2/100,情景分析!$D$7,"",,,,"",)*IF($H32="",1,$H32))</f>
        <v/>
      </c>
      <c r="AN32" s="7" t="str">
        <f>IF($A32="","",[2]!B_CALC_PRICE($A32,$AJ$1,IF(情景分析!$D$6=1,$J32,IF(情景分析!$D$6=2,$E32,IF(情景分析!$D$6=4,IF($C32="银行间",$J32,$L32),$G32)))+AN$2/100,情景分析!$D$7,"",,,,"",)*IF($H32="",1,$H32))</f>
        <v/>
      </c>
      <c r="AO32" s="7" t="str">
        <f>IF($A32="","",[2]!B_CALC_PRICE($A32,$AJ$1,IF(情景分析!$D$6=1,$J32,IF(情景分析!$D$6=2,$E32,IF(情景分析!$D$6=4,IF($C32="银行间",$J32,$L32),$G32)))+AO$2/100,情景分析!$D$7,"",,,,"",)*IF($H32="",1,$H32))</f>
        <v/>
      </c>
      <c r="AP32" s="7" t="str">
        <f>IF($A32="","",[2]!B_CALC_PRICE($A32,$AJ$1,IF(情景分析!$D$6=1,$J32,IF(情景分析!$D$6=2,$E32,IF(情景分析!$D$6=4,IF($C32="银行间",$J32,$L32),$G32)))+AP$2/100,情景分析!$D$7,"",,,,"",)*IF($H32="",1,$H32))</f>
        <v/>
      </c>
      <c r="AQ32" s="7" t="str">
        <f>IF($A32="","",[2]!B_CALC_PRICE($A32,$AQ$1,IF(情景分析!$D$6=1,$J32,IF(情景分析!$D$6=2,$E32,IF(情景分析!$D$6=4,IF($C32="银行间",$J32,$L32),$G32)))+AQ$2/100,情景分析!$D$7,"",,,,"",)*IF($H32="",1,$H32))</f>
        <v/>
      </c>
      <c r="AR32" s="7" t="str">
        <f>IF($A32="","",[2]!B_CALC_PRICE($A32,$AQ$1,IF(情景分析!$D$6=1,$J32,IF(情景分析!$D$6=2,$E32,IF(情景分析!$D$6=4,IF($C32="银行间",$J32,$L32),$G32)))+AR$2/100,情景分析!$D$7,"",,,,"",)*IF($H32="",1,$H32))</f>
        <v/>
      </c>
      <c r="AS32" s="7" t="str">
        <f>IF($A32="","",[2]!B_CALC_PRICE($A32,$AQ$1,IF(情景分析!$D$6=1,$J32,IF(情景分析!$D$6=2,$E32,IF(情景分析!$D$6=4,IF($C32="银行间",$J32,$L32),$G32)))+AS$2/100,情景分析!$D$7,"",,,,"",)*IF($H32="",1,$H32))</f>
        <v/>
      </c>
      <c r="AT32" s="7" t="str">
        <f>IF($A32="","",[2]!B_CALC_PRICE($A32,$AQ$1,IF(情景分析!$D$6=1,$J32,IF(情景分析!$D$6=2,$E32,IF(情景分析!$D$6=4,IF($C32="银行间",$J32,$L32),$G32)))+AT$2/100,情景分析!$D$7,"",,,,"",)*IF($H32="",1,$H32))</f>
        <v/>
      </c>
      <c r="AU32" s="7" t="str">
        <f>IF($A32="","",[2]!B_CALC_PRICE($A32,$AQ$1,IF(情景分析!$D$6=1,$J32,IF(情景分析!$D$6=2,$E32,IF(情景分析!$D$6=4,IF($C32="银行间",$J32,$L32),$G32)))+AU$2/100,情景分析!$D$7,"",,,,"",)*IF($H32="",1,$H32))</f>
        <v/>
      </c>
      <c r="AV32" s="7" t="str">
        <f>IF($A32="","",[2]!B_CALC_PRICE($A32,$AQ$1,IF(情景分析!$D$6=1,$J32,IF(情景分析!$D$6=2,$E32,IF(情景分析!$D$6=4,IF($C32="银行间",$J32,$L32),$G32)))+AV$2/100,情景分析!$D$7,"",,,,"",)*IF($H32="",1,$H32))</f>
        <v/>
      </c>
      <c r="AW32" s="7" t="str">
        <f>IF($A32="","",[2]!B_CALC_PRICE($A32,$AQ$1,IF(情景分析!$D$6=1,$J32,IF(情景分析!$D$6=2,$E32,IF(情景分析!$D$6=4,IF($C32="银行间",$J32,$L32),$G32)))+AW$2/100,情景分析!$D$7,"",,,,"",)*IF($H32="",1,$H32))</f>
        <v/>
      </c>
    </row>
    <row r="33" spans="1:49" x14ac:dyDescent="0.15">
      <c r="A33" s="20"/>
      <c r="B33" s="7" t="str">
        <f>IF(A33="","",[2]!b_info_name(A33))</f>
        <v/>
      </c>
      <c r="C33" s="7" t="str">
        <f>[2]!b_info_listedmkt(A33)</f>
        <v>#N/A</v>
      </c>
      <c r="D33" s="7" t="str">
        <f>IFERROR(IF(A33="","", [2]!b_dq_avgprice(A33, 情景分析!$D$5, 情景分析!$D$7) * IF($H33="",1,$H33)),0)</f>
        <v/>
      </c>
      <c r="E33" s="7" t="str">
        <f>IF(A33="","", N([2]!b_dq_avgprice(A33,情景分析!$D$5,3)))</f>
        <v/>
      </c>
      <c r="F33" s="29" t="str">
        <f>IF($G33 = "",
"",
IFERROR(
[2]!b_calc_pv(A33, 情景分析!$D$5,$G33, "1", 情景分析!$D$7),
[2]!b_calc_pv(A33, 情景分析!$D$5,$G33, "2", 情景分析!$D$7)
)
)</f>
        <v/>
      </c>
      <c r="G33" s="22"/>
      <c r="H33" s="21"/>
      <c r="I33" s="7" t="str">
        <f>IF(A33="","",IF(情景分析!$D$7=1,[2]!b_anal_net_cnbd(A33,情景分析!$D$5,1),[2]!b_anal_dirty_cnbd(A33,情景分析!$D$5,1))*IF($H33="",1,$H33))</f>
        <v/>
      </c>
      <c r="J33" s="7" t="str">
        <f>IF(A33="","",[2]!b_anal_yield_cnbd(A33,情景分析!$D$5,1))</f>
        <v/>
      </c>
      <c r="K33" s="29" t="str">
        <f>IF(A33="","",IF(情景分析!$D$7=1,[2]!b_anal_net_csi1(A33,情景分析!$D$5,1),[2]!b_anal_dirty_csi1(A33,情景分析!$D$5,1))*IF($H33="",1,$H33))</f>
        <v/>
      </c>
      <c r="L33" s="29" t="str">
        <f>IF(A33="","",[2]!b_anal_yield_csi1(A33,情景分析!$D$5,1))</f>
        <v/>
      </c>
      <c r="M33" s="29" t="str">
        <f t="shared" si="4"/>
        <v/>
      </c>
      <c r="N33" s="29" t="str">
        <f t="shared" si="5"/>
        <v/>
      </c>
      <c r="O33" s="7" t="str">
        <f>IF($A33="","",[2]!B_CALC_PRICE($A33,$O$1,IF(情景分析!$D$6=1,$J33,IF(情景分析!$D$6=2,$E33,IF(情景分析!$D$6=4,IF($C33="银行间",$J33,$L33),$G33)))+O$2/100,情景分析!$D$7,"",,,,"",)*IF($H33="",1,$H33))</f>
        <v/>
      </c>
      <c r="P33" s="7" t="str">
        <f>IF($A33="","",[2]!B_CALC_PRICE($A33,$O$1,IF(情景分析!$D$6=1,$J33,IF(情景分析!$D$6=2,$E33,IF(情景分析!$D$6=4,IF($C33="银行间",$J33,$L33),$G33)))+P$2/100,情景分析!$D$7,"",,,,"",)*IF($H33="",1,$H33))</f>
        <v/>
      </c>
      <c r="Q33" s="7" t="str">
        <f>IF($A33="","",[2]!B_CALC_PRICE($A33,$O$1,IF(情景分析!$D$6=1,$J33,IF(情景分析!$D$6=2,$E33,IF(情景分析!$D$6=4,IF($C33="银行间",$J33,$L33),$G33)))+Q$2/100,情景分析!$D$7,"",,,,"",)*IF($H33="",1,$H33))</f>
        <v/>
      </c>
      <c r="R33" s="7" t="str">
        <f>IF($A33="","",[2]!B_CALC_PRICE($A33,$O$1,IF(情景分析!$D$6=1,$J33,IF(情景分析!$D$6=2,$E33,IF(情景分析!$D$6=4,IF($C33="银行间",$J33,$L33),$G33)))+R$2/100,情景分析!$D$7,"",,,,"",)*IF($H33="",1,$H33))</f>
        <v/>
      </c>
      <c r="S33" s="7" t="str">
        <f>IF($A33="","",[2]!B_CALC_PRICE($A33,$O$1,IF(情景分析!$D$6=1,$J33,IF(情景分析!$D$6=2,$E33,IF(情景分析!$D$6=4,IF($C33="银行间",$J33,$L33),$G33)))+S$2/100,情景分析!$D$7,"",,,,"",)*IF($H33="",1,$H33))</f>
        <v/>
      </c>
      <c r="T33" s="7" t="str">
        <f>IF($A33="","",[2]!B_CALC_PRICE($A33,$O$1,IF(情景分析!$D$6=1,$J33,IF(情景分析!$D$6=2,$E33,IF(情景分析!$D$6=4,IF($C33="银行间",$J33,$L33),$G33)))+T$2/100,情景分析!$D$7,"",,,,"",)*IF($H33="",1,$H33))</f>
        <v/>
      </c>
      <c r="U33" s="7" t="str">
        <f>IF($A33="","",[2]!B_CALC_PRICE($A33,$O$1,IF(情景分析!$D$6=1,$J33,IF(情景分析!$D$6=2,$E33,IF(情景分析!$D$6=4,IF($C33="银行间",$J33,$L33),$G33)))+U$2/100,情景分析!$D$7,"",,,,"",)*IF($H33="",1,$H33))</f>
        <v/>
      </c>
      <c r="V33" s="7" t="str">
        <f>IF($A33="","",[2]!B_CALC_PRICE($A33,$V$1,IF(情景分析!$D$6=1,$J33,IF(情景分析!$D$6=2,$E33,IF(情景分析!$D$6=4,IF($C33="银行间",$J33,$L33),$G33)))+V$2/100,情景分析!$D$7,"",,,,"",)*IF($H33="",1,$H33))</f>
        <v/>
      </c>
      <c r="W33" s="7" t="str">
        <f>IF($A33="","",[2]!B_CALC_PRICE($A33,$V$1,IF(情景分析!$D$6=1,$J33,IF(情景分析!$D$6=2,$E33,IF(情景分析!$D$6=4,IF($C33="银行间",$J33,$L33),$G33)))+W$2/100,情景分析!$D$7,"",,,,"",)*IF($H33="",1,$H33))</f>
        <v/>
      </c>
      <c r="X33" s="7" t="str">
        <f>IF($A33="","",[2]!B_CALC_PRICE($A33,$V$1,IF(情景分析!$D$6=1,$J33,IF(情景分析!$D$6=2,$E33,IF(情景分析!$D$6=4,IF($C33="银行间",$J33,$L33),$G33)))+X$2/100,情景分析!$D$7,"",,,,"",)*IF($H33="",1,$H33))</f>
        <v/>
      </c>
      <c r="Y33" s="7" t="str">
        <f>IF($A33="","",[2]!B_CALC_PRICE($A33,$V$1,IF(情景分析!$D$6=1,$J33,IF(情景分析!$D$6=2,$E33,IF(情景分析!$D$6=4,IF($C33="银行间",$J33,$L33),$G33)))+Y$2/100,情景分析!$D$7,"",,,,"",)*IF($H33="",1,$H33))</f>
        <v/>
      </c>
      <c r="Z33" s="7" t="str">
        <f>IF($A33="","",[2]!B_CALC_PRICE($A33,$V$1,IF(情景分析!$D$6=1,$J33,IF(情景分析!$D$6=2,$E33,IF(情景分析!$D$6=4,IF($C33="银行间",$J33,$L33),$G33)))+Z$2/100,情景分析!$D$7,"",,,,"",)*IF($H33="",1,$H33))</f>
        <v/>
      </c>
      <c r="AA33" s="7" t="str">
        <f>IF($A33="","",[2]!B_CALC_PRICE($A33,$V$1,IF(情景分析!$D$6=1,$J33,IF(情景分析!$D$6=2,$E33,IF(情景分析!$D$6=4,IF($C33="银行间",$J33,$L33),$G33)))+AA$2/100,情景分析!$D$7,"",,,,"",)*IF($H33="",1,$H33))</f>
        <v/>
      </c>
      <c r="AB33" s="7" t="str">
        <f>IF($A33="","",[2]!B_CALC_PRICE($A33,$V$1,IF(情景分析!$D$6=1,$J33,IF(情景分析!$D$6=2,$E33,IF(情景分析!$D$6=4,IF($C33="银行间",$J33,$L33),$G33)))+AB$2/100,情景分析!$D$7,"",,,,"",)*IF($H33="",1,$H33))</f>
        <v/>
      </c>
      <c r="AC33" s="7" t="str">
        <f>IF($A33="","",[2]!B_CALC_PRICE($A33,$AC$1,IF(情景分析!$D$6=1,$J33,IF(情景分析!$D$6=2,$E33,IF(情景分析!$D$6=4,IF($C33="银行间",$J33,$L33),$G33)))+AC$2/100,情景分析!$D$7,"",,,,"",)*IF($H33="",1,$H33))</f>
        <v/>
      </c>
      <c r="AD33" s="7" t="str">
        <f>IF($A33="","",[2]!B_CALC_PRICE($A33,$AC$1,IF(情景分析!$D$6=1,$J33,IF(情景分析!$D$6=2,$E33,IF(情景分析!$D$6=4,IF($C33="银行间",$J33,$L33),$G33)))+AD$2/100,情景分析!$D$7,"",,,,"",)*IF($H33="",1,$H33))</f>
        <v/>
      </c>
      <c r="AE33" s="7" t="str">
        <f>IF($A33="","",[2]!B_CALC_PRICE($A33,$AC$1,IF(情景分析!$D$6=1,$J33,IF(情景分析!$D$6=2,$E33,IF(情景分析!$D$6=4,IF($C33="银行间",$J33,$L33),$G33)))+AE$2/100,情景分析!$D$7,"",,,,"",)*IF($H33="",1,$H33))</f>
        <v/>
      </c>
      <c r="AF33" s="7" t="str">
        <f>IF($A33="","",[2]!B_CALC_PRICE($A33,$AC$1,IF(情景分析!$D$6=1,$J33,IF(情景分析!$D$6=2,$E33,IF(情景分析!$D$6=4,IF($C33="银行间",$J33,$L33),$G33)))+AF$2/100,情景分析!$D$7,"",,,,"",)*IF($H33="",1,$H33))</f>
        <v/>
      </c>
      <c r="AG33" s="7" t="str">
        <f>IF($A33="","",[2]!B_CALC_PRICE($A33,$AC$1,IF(情景分析!$D$6=1,$J33,IF(情景分析!$D$6=2,$E33,IF(情景分析!$D$6=4,IF($C33="银行间",$J33,$L33),$G33)))+AG$2/100,情景分析!$D$7,"",,,,"",)*IF($H33="",1,$H33))</f>
        <v/>
      </c>
      <c r="AH33" s="7" t="str">
        <f>IF($A33="","",[2]!B_CALC_PRICE($A33,$AC$1,IF(情景分析!$D$6=1,$J33,IF(情景分析!$D$6=2,$E33,IF(情景分析!$D$6=4,IF($C33="银行间",$J33,$L33),$G33)))+AH$2/100,情景分析!$D$7,"",,,,"",)*IF($H33="",1,$H33))</f>
        <v/>
      </c>
      <c r="AI33" s="7" t="str">
        <f>IF($A33="","",[2]!B_CALC_PRICE($A33,$AC$1,IF(情景分析!$D$6=1,$J33,IF(情景分析!$D$6=2,$E33,IF(情景分析!$D$6=4,IF($C33="银行间",$J33,$L33),$G33)))+AI$2/100,情景分析!$D$7,"",,,,"",)*IF($H33="",1,$H33))</f>
        <v/>
      </c>
      <c r="AJ33" s="7" t="str">
        <f>IF($A33="","",[2]!B_CALC_PRICE($A33,$AJ$1,IF(情景分析!$D$6=1,$J33,IF(情景分析!$D$6=2,$E33,IF(情景分析!$D$6=4,IF($C33="银行间",$J33,$L33),$G33)))+AJ$2/100,情景分析!$D$7,"",,,,"",)*IF($H33="",1,$H33))</f>
        <v/>
      </c>
      <c r="AK33" s="7" t="str">
        <f>IF($A33="","",[2]!B_CALC_PRICE($A33,$AJ$1,IF(情景分析!$D$6=1,$J33,IF(情景分析!$D$6=2,$E33,IF(情景分析!$D$6=4,IF($C33="银行间",$J33,$L33),$G33)))+AK$2/100,情景分析!$D$7,"",,,,"",)*IF($H33="",1,$H33))</f>
        <v/>
      </c>
      <c r="AL33" s="7" t="str">
        <f>IF($A33="","",[2]!B_CALC_PRICE($A33,$AJ$1,IF(情景分析!$D$6=1,$J33,IF(情景分析!$D$6=2,$E33,IF(情景分析!$D$6=4,IF($C33="银行间",$J33,$L33),$G33)))+AL$2/100,情景分析!$D$7,"",,,,"",)*IF($H33="",1,$H33))</f>
        <v/>
      </c>
      <c r="AM33" s="7" t="str">
        <f>IF($A33="","",[2]!B_CALC_PRICE($A33,$AJ$1,IF(情景分析!$D$6=1,$J33,IF(情景分析!$D$6=2,$E33,IF(情景分析!$D$6=4,IF($C33="银行间",$J33,$L33),$G33)))+AM$2/100,情景分析!$D$7,"",,,,"",)*IF($H33="",1,$H33))</f>
        <v/>
      </c>
      <c r="AN33" s="7" t="str">
        <f>IF($A33="","",[2]!B_CALC_PRICE($A33,$AJ$1,IF(情景分析!$D$6=1,$J33,IF(情景分析!$D$6=2,$E33,IF(情景分析!$D$6=4,IF($C33="银行间",$J33,$L33),$G33)))+AN$2/100,情景分析!$D$7,"",,,,"",)*IF($H33="",1,$H33))</f>
        <v/>
      </c>
      <c r="AO33" s="7" t="str">
        <f>IF($A33="","",[2]!B_CALC_PRICE($A33,$AJ$1,IF(情景分析!$D$6=1,$J33,IF(情景分析!$D$6=2,$E33,IF(情景分析!$D$6=4,IF($C33="银行间",$J33,$L33),$G33)))+AO$2/100,情景分析!$D$7,"",,,,"",)*IF($H33="",1,$H33))</f>
        <v/>
      </c>
      <c r="AP33" s="7" t="str">
        <f>IF($A33="","",[2]!B_CALC_PRICE($A33,$AJ$1,IF(情景分析!$D$6=1,$J33,IF(情景分析!$D$6=2,$E33,IF(情景分析!$D$6=4,IF($C33="银行间",$J33,$L33),$G33)))+AP$2/100,情景分析!$D$7,"",,,,"",)*IF($H33="",1,$H33))</f>
        <v/>
      </c>
      <c r="AQ33" s="7" t="str">
        <f>IF($A33="","",[2]!B_CALC_PRICE($A33,$AQ$1,IF(情景分析!$D$6=1,$J33,IF(情景分析!$D$6=2,$E33,IF(情景分析!$D$6=4,IF($C33="银行间",$J33,$L33),$G33)))+AQ$2/100,情景分析!$D$7,"",,,,"",)*IF($H33="",1,$H33))</f>
        <v/>
      </c>
      <c r="AR33" s="7" t="str">
        <f>IF($A33="","",[2]!B_CALC_PRICE($A33,$AQ$1,IF(情景分析!$D$6=1,$J33,IF(情景分析!$D$6=2,$E33,IF(情景分析!$D$6=4,IF($C33="银行间",$J33,$L33),$G33)))+AR$2/100,情景分析!$D$7,"",,,,"",)*IF($H33="",1,$H33))</f>
        <v/>
      </c>
      <c r="AS33" s="7" t="str">
        <f>IF($A33="","",[2]!B_CALC_PRICE($A33,$AQ$1,IF(情景分析!$D$6=1,$J33,IF(情景分析!$D$6=2,$E33,IF(情景分析!$D$6=4,IF($C33="银行间",$J33,$L33),$G33)))+AS$2/100,情景分析!$D$7,"",,,,"",)*IF($H33="",1,$H33))</f>
        <v/>
      </c>
      <c r="AT33" s="7" t="str">
        <f>IF($A33="","",[2]!B_CALC_PRICE($A33,$AQ$1,IF(情景分析!$D$6=1,$J33,IF(情景分析!$D$6=2,$E33,IF(情景分析!$D$6=4,IF($C33="银行间",$J33,$L33),$G33)))+AT$2/100,情景分析!$D$7,"",,,,"",)*IF($H33="",1,$H33))</f>
        <v/>
      </c>
      <c r="AU33" s="7" t="str">
        <f>IF($A33="","",[2]!B_CALC_PRICE($A33,$AQ$1,IF(情景分析!$D$6=1,$J33,IF(情景分析!$D$6=2,$E33,IF(情景分析!$D$6=4,IF($C33="银行间",$J33,$L33),$G33)))+AU$2/100,情景分析!$D$7,"",,,,"",)*IF($H33="",1,$H33))</f>
        <v/>
      </c>
      <c r="AV33" s="7" t="str">
        <f>IF($A33="","",[2]!B_CALC_PRICE($A33,$AQ$1,IF(情景分析!$D$6=1,$J33,IF(情景分析!$D$6=2,$E33,IF(情景分析!$D$6=4,IF($C33="银行间",$J33,$L33),$G33)))+AV$2/100,情景分析!$D$7,"",,,,"",)*IF($H33="",1,$H33))</f>
        <v/>
      </c>
      <c r="AW33" s="7" t="str">
        <f>IF($A33="","",[2]!B_CALC_PRICE($A33,$AQ$1,IF(情景分析!$D$6=1,$J33,IF(情景分析!$D$6=2,$E33,IF(情景分析!$D$6=4,IF($C33="银行间",$J33,$L33),$G33)))+AW$2/100,情景分析!$D$7,"",,,,"",)*IF($H33="",1,$H33))</f>
        <v/>
      </c>
    </row>
    <row r="34" spans="1:49" x14ac:dyDescent="0.15">
      <c r="A34" s="20"/>
      <c r="B34" s="7" t="str">
        <f>IF(A34="","",[2]!b_info_name(A34))</f>
        <v/>
      </c>
      <c r="C34" s="7" t="str">
        <f>[2]!b_info_listedmkt(A34)</f>
        <v>#N/A</v>
      </c>
      <c r="D34" s="7" t="str">
        <f>IFERROR(IF(A34="","", [2]!b_dq_avgprice(A34, 情景分析!$D$5, 情景分析!$D$7) * IF($H34="",1,$H34)),0)</f>
        <v/>
      </c>
      <c r="E34" s="7" t="str">
        <f>IF(A34="","", N([2]!b_dq_avgprice(A34,情景分析!$D$5,3)))</f>
        <v/>
      </c>
      <c r="F34" s="29" t="str">
        <f>IF($G34 = "",
"",
IFERROR(
[2]!b_calc_pv(A34, 情景分析!$D$5,$G34, "1", 情景分析!$D$7),
[2]!b_calc_pv(A34, 情景分析!$D$5,$G34, "2", 情景分析!$D$7)
)
)</f>
        <v/>
      </c>
      <c r="G34" s="22"/>
      <c r="H34" s="21"/>
      <c r="I34" s="7" t="str">
        <f>IF(A34="","",IF(情景分析!$D$7=1,[2]!b_anal_net_cnbd(A34,情景分析!$D$5,1),[2]!b_anal_dirty_cnbd(A34,情景分析!$D$5,1))*IF($H34="",1,$H34))</f>
        <v/>
      </c>
      <c r="J34" s="7" t="str">
        <f>IF(A34="","",[2]!b_anal_yield_cnbd(A34,情景分析!$D$5,1))</f>
        <v/>
      </c>
      <c r="K34" s="29" t="str">
        <f>IF(A34="","",IF(情景分析!$D$7=1,[2]!b_anal_net_csi1(A34,情景分析!$D$5,1),[2]!b_anal_dirty_csi1(A34,情景分析!$D$5,1))*IF($H34="",1,$H34))</f>
        <v/>
      </c>
      <c r="L34" s="29" t="str">
        <f>IF(A34="","",[2]!b_anal_yield_csi1(A34,情景分析!$D$5,1))</f>
        <v/>
      </c>
      <c r="M34" s="29" t="str">
        <f t="shared" si="4"/>
        <v/>
      </c>
      <c r="N34" s="29" t="str">
        <f t="shared" si="5"/>
        <v/>
      </c>
      <c r="O34" s="7" t="str">
        <f>IF($A34="","",[2]!B_CALC_PRICE($A34,$O$1,IF(情景分析!$D$6=1,$J34,IF(情景分析!$D$6=2,$E34,IF(情景分析!$D$6=4,IF($C34="银行间",$J34,$L34),$G34)))+O$2/100,情景分析!$D$7,"",,,,"",)*IF($H34="",1,$H34))</f>
        <v/>
      </c>
      <c r="P34" s="7" t="str">
        <f>IF($A34="","",[2]!B_CALC_PRICE($A34,$O$1,IF(情景分析!$D$6=1,$J34,IF(情景分析!$D$6=2,$E34,IF(情景分析!$D$6=4,IF($C34="银行间",$J34,$L34),$G34)))+P$2/100,情景分析!$D$7,"",,,,"",)*IF($H34="",1,$H34))</f>
        <v/>
      </c>
      <c r="Q34" s="7" t="str">
        <f>IF($A34="","",[2]!B_CALC_PRICE($A34,$O$1,IF(情景分析!$D$6=1,$J34,IF(情景分析!$D$6=2,$E34,IF(情景分析!$D$6=4,IF($C34="银行间",$J34,$L34),$G34)))+Q$2/100,情景分析!$D$7,"",,,,"",)*IF($H34="",1,$H34))</f>
        <v/>
      </c>
      <c r="R34" s="7" t="str">
        <f>IF($A34="","",[2]!B_CALC_PRICE($A34,$O$1,IF(情景分析!$D$6=1,$J34,IF(情景分析!$D$6=2,$E34,IF(情景分析!$D$6=4,IF($C34="银行间",$J34,$L34),$G34)))+R$2/100,情景分析!$D$7,"",,,,"",)*IF($H34="",1,$H34))</f>
        <v/>
      </c>
      <c r="S34" s="7" t="str">
        <f>IF($A34="","",[2]!B_CALC_PRICE($A34,$O$1,IF(情景分析!$D$6=1,$J34,IF(情景分析!$D$6=2,$E34,IF(情景分析!$D$6=4,IF($C34="银行间",$J34,$L34),$G34)))+S$2/100,情景分析!$D$7,"",,,,"",)*IF($H34="",1,$H34))</f>
        <v/>
      </c>
      <c r="T34" s="7" t="str">
        <f>IF($A34="","",[2]!B_CALC_PRICE($A34,$O$1,IF(情景分析!$D$6=1,$J34,IF(情景分析!$D$6=2,$E34,IF(情景分析!$D$6=4,IF($C34="银行间",$J34,$L34),$G34)))+T$2/100,情景分析!$D$7,"",,,,"",)*IF($H34="",1,$H34))</f>
        <v/>
      </c>
      <c r="U34" s="7" t="str">
        <f>IF($A34="","",[2]!B_CALC_PRICE($A34,$O$1,IF(情景分析!$D$6=1,$J34,IF(情景分析!$D$6=2,$E34,IF(情景分析!$D$6=4,IF($C34="银行间",$J34,$L34),$G34)))+U$2/100,情景分析!$D$7,"",,,,"",)*IF($H34="",1,$H34))</f>
        <v/>
      </c>
      <c r="V34" s="7" t="str">
        <f>IF($A34="","",[2]!B_CALC_PRICE($A34,$V$1,IF(情景分析!$D$6=1,$J34,IF(情景分析!$D$6=2,$E34,IF(情景分析!$D$6=4,IF($C34="银行间",$J34,$L34),$G34)))+V$2/100,情景分析!$D$7,"",,,,"",)*IF($H34="",1,$H34))</f>
        <v/>
      </c>
      <c r="W34" s="7" t="str">
        <f>IF($A34="","",[2]!B_CALC_PRICE($A34,$V$1,IF(情景分析!$D$6=1,$J34,IF(情景分析!$D$6=2,$E34,IF(情景分析!$D$6=4,IF($C34="银行间",$J34,$L34),$G34)))+W$2/100,情景分析!$D$7,"",,,,"",)*IF($H34="",1,$H34))</f>
        <v/>
      </c>
      <c r="X34" s="7" t="str">
        <f>IF($A34="","",[2]!B_CALC_PRICE($A34,$V$1,IF(情景分析!$D$6=1,$J34,IF(情景分析!$D$6=2,$E34,IF(情景分析!$D$6=4,IF($C34="银行间",$J34,$L34),$G34)))+X$2/100,情景分析!$D$7,"",,,,"",)*IF($H34="",1,$H34))</f>
        <v/>
      </c>
      <c r="Y34" s="7" t="str">
        <f>IF($A34="","",[2]!B_CALC_PRICE($A34,$V$1,IF(情景分析!$D$6=1,$J34,IF(情景分析!$D$6=2,$E34,IF(情景分析!$D$6=4,IF($C34="银行间",$J34,$L34),$G34)))+Y$2/100,情景分析!$D$7,"",,,,"",)*IF($H34="",1,$H34))</f>
        <v/>
      </c>
      <c r="Z34" s="7" t="str">
        <f>IF($A34="","",[2]!B_CALC_PRICE($A34,$V$1,IF(情景分析!$D$6=1,$J34,IF(情景分析!$D$6=2,$E34,IF(情景分析!$D$6=4,IF($C34="银行间",$J34,$L34),$G34)))+Z$2/100,情景分析!$D$7,"",,,,"",)*IF($H34="",1,$H34))</f>
        <v/>
      </c>
      <c r="AA34" s="7" t="str">
        <f>IF($A34="","",[2]!B_CALC_PRICE($A34,$V$1,IF(情景分析!$D$6=1,$J34,IF(情景分析!$D$6=2,$E34,IF(情景分析!$D$6=4,IF($C34="银行间",$J34,$L34),$G34)))+AA$2/100,情景分析!$D$7,"",,,,"",)*IF($H34="",1,$H34))</f>
        <v/>
      </c>
      <c r="AB34" s="7" t="str">
        <f>IF($A34="","",[2]!B_CALC_PRICE($A34,$V$1,IF(情景分析!$D$6=1,$J34,IF(情景分析!$D$6=2,$E34,IF(情景分析!$D$6=4,IF($C34="银行间",$J34,$L34),$G34)))+AB$2/100,情景分析!$D$7,"",,,,"",)*IF($H34="",1,$H34))</f>
        <v/>
      </c>
      <c r="AC34" s="7" t="str">
        <f>IF($A34="","",[2]!B_CALC_PRICE($A34,$AC$1,IF(情景分析!$D$6=1,$J34,IF(情景分析!$D$6=2,$E34,IF(情景分析!$D$6=4,IF($C34="银行间",$J34,$L34),$G34)))+AC$2/100,情景分析!$D$7,"",,,,"",)*IF($H34="",1,$H34))</f>
        <v/>
      </c>
      <c r="AD34" s="7" t="str">
        <f>IF($A34="","",[2]!B_CALC_PRICE($A34,$AC$1,IF(情景分析!$D$6=1,$J34,IF(情景分析!$D$6=2,$E34,IF(情景分析!$D$6=4,IF($C34="银行间",$J34,$L34),$G34)))+AD$2/100,情景分析!$D$7,"",,,,"",)*IF($H34="",1,$H34))</f>
        <v/>
      </c>
      <c r="AE34" s="7" t="str">
        <f>IF($A34="","",[2]!B_CALC_PRICE($A34,$AC$1,IF(情景分析!$D$6=1,$J34,IF(情景分析!$D$6=2,$E34,IF(情景分析!$D$6=4,IF($C34="银行间",$J34,$L34),$G34)))+AE$2/100,情景分析!$D$7,"",,,,"",)*IF($H34="",1,$H34))</f>
        <v/>
      </c>
      <c r="AF34" s="7" t="str">
        <f>IF($A34="","",[2]!B_CALC_PRICE($A34,$AC$1,IF(情景分析!$D$6=1,$J34,IF(情景分析!$D$6=2,$E34,IF(情景分析!$D$6=4,IF($C34="银行间",$J34,$L34),$G34)))+AF$2/100,情景分析!$D$7,"",,,,"",)*IF($H34="",1,$H34))</f>
        <v/>
      </c>
      <c r="AG34" s="7" t="str">
        <f>IF($A34="","",[2]!B_CALC_PRICE($A34,$AC$1,IF(情景分析!$D$6=1,$J34,IF(情景分析!$D$6=2,$E34,IF(情景分析!$D$6=4,IF($C34="银行间",$J34,$L34),$G34)))+AG$2/100,情景分析!$D$7,"",,,,"",)*IF($H34="",1,$H34))</f>
        <v/>
      </c>
      <c r="AH34" s="7" t="str">
        <f>IF($A34="","",[2]!B_CALC_PRICE($A34,$AC$1,IF(情景分析!$D$6=1,$J34,IF(情景分析!$D$6=2,$E34,IF(情景分析!$D$6=4,IF($C34="银行间",$J34,$L34),$G34)))+AH$2/100,情景分析!$D$7,"",,,,"",)*IF($H34="",1,$H34))</f>
        <v/>
      </c>
      <c r="AI34" s="7" t="str">
        <f>IF($A34="","",[2]!B_CALC_PRICE($A34,$AC$1,IF(情景分析!$D$6=1,$J34,IF(情景分析!$D$6=2,$E34,IF(情景分析!$D$6=4,IF($C34="银行间",$J34,$L34),$G34)))+AI$2/100,情景分析!$D$7,"",,,,"",)*IF($H34="",1,$H34))</f>
        <v/>
      </c>
      <c r="AJ34" s="7" t="str">
        <f>IF($A34="","",[2]!B_CALC_PRICE($A34,$AJ$1,IF(情景分析!$D$6=1,$J34,IF(情景分析!$D$6=2,$E34,IF(情景分析!$D$6=4,IF($C34="银行间",$J34,$L34),$G34)))+AJ$2/100,情景分析!$D$7,"",,,,"",)*IF($H34="",1,$H34))</f>
        <v/>
      </c>
      <c r="AK34" s="7" t="str">
        <f>IF($A34="","",[2]!B_CALC_PRICE($A34,$AJ$1,IF(情景分析!$D$6=1,$J34,IF(情景分析!$D$6=2,$E34,IF(情景分析!$D$6=4,IF($C34="银行间",$J34,$L34),$G34)))+AK$2/100,情景分析!$D$7,"",,,,"",)*IF($H34="",1,$H34))</f>
        <v/>
      </c>
      <c r="AL34" s="7" t="str">
        <f>IF($A34="","",[2]!B_CALC_PRICE($A34,$AJ$1,IF(情景分析!$D$6=1,$J34,IF(情景分析!$D$6=2,$E34,IF(情景分析!$D$6=4,IF($C34="银行间",$J34,$L34),$G34)))+AL$2/100,情景分析!$D$7,"",,,,"",)*IF($H34="",1,$H34))</f>
        <v/>
      </c>
      <c r="AM34" s="7" t="str">
        <f>IF($A34="","",[2]!B_CALC_PRICE($A34,$AJ$1,IF(情景分析!$D$6=1,$J34,IF(情景分析!$D$6=2,$E34,IF(情景分析!$D$6=4,IF($C34="银行间",$J34,$L34),$G34)))+AM$2/100,情景分析!$D$7,"",,,,"",)*IF($H34="",1,$H34))</f>
        <v/>
      </c>
      <c r="AN34" s="7" t="str">
        <f>IF($A34="","",[2]!B_CALC_PRICE($A34,$AJ$1,IF(情景分析!$D$6=1,$J34,IF(情景分析!$D$6=2,$E34,IF(情景分析!$D$6=4,IF($C34="银行间",$J34,$L34),$G34)))+AN$2/100,情景分析!$D$7,"",,,,"",)*IF($H34="",1,$H34))</f>
        <v/>
      </c>
      <c r="AO34" s="7" t="str">
        <f>IF($A34="","",[2]!B_CALC_PRICE($A34,$AJ$1,IF(情景分析!$D$6=1,$J34,IF(情景分析!$D$6=2,$E34,IF(情景分析!$D$6=4,IF($C34="银行间",$J34,$L34),$G34)))+AO$2/100,情景分析!$D$7,"",,,,"",)*IF($H34="",1,$H34))</f>
        <v/>
      </c>
      <c r="AP34" s="7" t="str">
        <f>IF($A34="","",[2]!B_CALC_PRICE($A34,$AJ$1,IF(情景分析!$D$6=1,$J34,IF(情景分析!$D$6=2,$E34,IF(情景分析!$D$6=4,IF($C34="银行间",$J34,$L34),$G34)))+AP$2/100,情景分析!$D$7,"",,,,"",)*IF($H34="",1,$H34))</f>
        <v/>
      </c>
      <c r="AQ34" s="7" t="str">
        <f>IF($A34="","",[2]!B_CALC_PRICE($A34,$AQ$1,IF(情景分析!$D$6=1,$J34,IF(情景分析!$D$6=2,$E34,IF(情景分析!$D$6=4,IF($C34="银行间",$J34,$L34),$G34)))+AQ$2/100,情景分析!$D$7,"",,,,"",)*IF($H34="",1,$H34))</f>
        <v/>
      </c>
      <c r="AR34" s="7" t="str">
        <f>IF($A34="","",[2]!B_CALC_PRICE($A34,$AQ$1,IF(情景分析!$D$6=1,$J34,IF(情景分析!$D$6=2,$E34,IF(情景分析!$D$6=4,IF($C34="银行间",$J34,$L34),$G34)))+AR$2/100,情景分析!$D$7,"",,,,"",)*IF($H34="",1,$H34))</f>
        <v/>
      </c>
      <c r="AS34" s="7" t="str">
        <f>IF($A34="","",[2]!B_CALC_PRICE($A34,$AQ$1,IF(情景分析!$D$6=1,$J34,IF(情景分析!$D$6=2,$E34,IF(情景分析!$D$6=4,IF($C34="银行间",$J34,$L34),$G34)))+AS$2/100,情景分析!$D$7,"",,,,"",)*IF($H34="",1,$H34))</f>
        <v/>
      </c>
      <c r="AT34" s="7" t="str">
        <f>IF($A34="","",[2]!B_CALC_PRICE($A34,$AQ$1,IF(情景分析!$D$6=1,$J34,IF(情景分析!$D$6=2,$E34,IF(情景分析!$D$6=4,IF($C34="银行间",$J34,$L34),$G34)))+AT$2/100,情景分析!$D$7,"",,,,"",)*IF($H34="",1,$H34))</f>
        <v/>
      </c>
      <c r="AU34" s="7" t="str">
        <f>IF($A34="","",[2]!B_CALC_PRICE($A34,$AQ$1,IF(情景分析!$D$6=1,$J34,IF(情景分析!$D$6=2,$E34,IF(情景分析!$D$6=4,IF($C34="银行间",$J34,$L34),$G34)))+AU$2/100,情景分析!$D$7,"",,,,"",)*IF($H34="",1,$H34))</f>
        <v/>
      </c>
      <c r="AV34" s="7" t="str">
        <f>IF($A34="","",[2]!B_CALC_PRICE($A34,$AQ$1,IF(情景分析!$D$6=1,$J34,IF(情景分析!$D$6=2,$E34,IF(情景分析!$D$6=4,IF($C34="银行间",$J34,$L34),$G34)))+AV$2/100,情景分析!$D$7,"",,,,"",)*IF($H34="",1,$H34))</f>
        <v/>
      </c>
      <c r="AW34" s="7" t="str">
        <f>IF($A34="","",[2]!B_CALC_PRICE($A34,$AQ$1,IF(情景分析!$D$6=1,$J34,IF(情景分析!$D$6=2,$E34,IF(情景分析!$D$6=4,IF($C34="银行间",$J34,$L34),$G34)))+AW$2/100,情景分析!$D$7,"",,,,"",)*IF($H34="",1,$H34))</f>
        <v/>
      </c>
    </row>
    <row r="35" spans="1:49" x14ac:dyDescent="0.15">
      <c r="A35" s="20"/>
      <c r="B35" s="7" t="str">
        <f>IF(A35="","",[2]!b_info_name(A35))</f>
        <v/>
      </c>
      <c r="C35" s="7" t="str">
        <f>[2]!b_info_listedmkt(A35)</f>
        <v>#N/A</v>
      </c>
      <c r="D35" s="7" t="str">
        <f>IFERROR(IF(A35="","", [2]!b_dq_avgprice(A35, 情景分析!$D$5, 情景分析!$D$7) * IF($H35="",1,$H35)),0)</f>
        <v/>
      </c>
      <c r="E35" s="7" t="str">
        <f>IF(A35="","", N([2]!b_dq_avgprice(A35,情景分析!$D$5,3)))</f>
        <v/>
      </c>
      <c r="F35" s="29" t="str">
        <f>IF($G35 = "",
"",
IFERROR(
[2]!b_calc_pv(A35, 情景分析!$D$5,$G35, "1", 情景分析!$D$7),
[2]!b_calc_pv(A35, 情景分析!$D$5,$G35, "2", 情景分析!$D$7)
)
)</f>
        <v/>
      </c>
      <c r="G35" s="22"/>
      <c r="H35" s="21"/>
      <c r="I35" s="7" t="str">
        <f>IF(A35="","",IF(情景分析!$D$7=1,[2]!b_anal_net_cnbd(A35,情景分析!$D$5,1),[2]!b_anal_dirty_cnbd(A35,情景分析!$D$5,1))*IF($H35="",1,$H35))</f>
        <v/>
      </c>
      <c r="J35" s="7" t="str">
        <f>IF(A35="","",[2]!b_anal_yield_cnbd(A35,情景分析!$D$5,1))</f>
        <v/>
      </c>
      <c r="K35" s="29" t="str">
        <f>IF(A35="","",IF(情景分析!$D$7=1,[2]!b_anal_net_csi1(A35,情景分析!$D$5,1),[2]!b_anal_dirty_csi1(A35,情景分析!$D$5,1))*IF($H35="",1,$H35))</f>
        <v/>
      </c>
      <c r="L35" s="29" t="str">
        <f>IF(A35="","",[2]!b_anal_yield_csi1(A35,情景分析!$D$5,1))</f>
        <v/>
      </c>
      <c r="M35" s="29" t="str">
        <f t="shared" si="4"/>
        <v/>
      </c>
      <c r="N35" s="29" t="str">
        <f t="shared" si="5"/>
        <v/>
      </c>
      <c r="O35" s="7" t="str">
        <f>IF($A35="","",[2]!B_CALC_PRICE($A35,$O$1,IF(情景分析!$D$6=1,$J35,IF(情景分析!$D$6=2,$E35,IF(情景分析!$D$6=4,IF($C35="银行间",$J35,$L35),$G35)))+O$2/100,情景分析!$D$7,"",,,,"",)*IF($H35="",1,$H35))</f>
        <v/>
      </c>
      <c r="P35" s="7" t="str">
        <f>IF($A35="","",[2]!B_CALC_PRICE($A35,$O$1,IF(情景分析!$D$6=1,$J35,IF(情景分析!$D$6=2,$E35,IF(情景分析!$D$6=4,IF($C35="银行间",$J35,$L35),$G35)))+P$2/100,情景分析!$D$7,"",,,,"",)*IF($H35="",1,$H35))</f>
        <v/>
      </c>
      <c r="Q35" s="7" t="str">
        <f>IF($A35="","",[2]!B_CALC_PRICE($A35,$O$1,IF(情景分析!$D$6=1,$J35,IF(情景分析!$D$6=2,$E35,IF(情景分析!$D$6=4,IF($C35="银行间",$J35,$L35),$G35)))+Q$2/100,情景分析!$D$7,"",,,,"",)*IF($H35="",1,$H35))</f>
        <v/>
      </c>
      <c r="R35" s="7" t="str">
        <f>IF($A35="","",[2]!B_CALC_PRICE($A35,$O$1,IF(情景分析!$D$6=1,$J35,IF(情景分析!$D$6=2,$E35,IF(情景分析!$D$6=4,IF($C35="银行间",$J35,$L35),$G35)))+R$2/100,情景分析!$D$7,"",,,,"",)*IF($H35="",1,$H35))</f>
        <v/>
      </c>
      <c r="S35" s="7" t="str">
        <f>IF($A35="","",[2]!B_CALC_PRICE($A35,$O$1,IF(情景分析!$D$6=1,$J35,IF(情景分析!$D$6=2,$E35,IF(情景分析!$D$6=4,IF($C35="银行间",$J35,$L35),$G35)))+S$2/100,情景分析!$D$7,"",,,,"",)*IF($H35="",1,$H35))</f>
        <v/>
      </c>
      <c r="T35" s="7" t="str">
        <f>IF($A35="","",[2]!B_CALC_PRICE($A35,$O$1,IF(情景分析!$D$6=1,$J35,IF(情景分析!$D$6=2,$E35,IF(情景分析!$D$6=4,IF($C35="银行间",$J35,$L35),$G35)))+T$2/100,情景分析!$D$7,"",,,,"",)*IF($H35="",1,$H35))</f>
        <v/>
      </c>
      <c r="U35" s="7" t="str">
        <f>IF($A35="","",[2]!B_CALC_PRICE($A35,$O$1,IF(情景分析!$D$6=1,$J35,IF(情景分析!$D$6=2,$E35,IF(情景分析!$D$6=4,IF($C35="银行间",$J35,$L35),$G35)))+U$2/100,情景分析!$D$7,"",,,,"",)*IF($H35="",1,$H35))</f>
        <v/>
      </c>
      <c r="V35" s="7" t="str">
        <f>IF($A35="","",[2]!B_CALC_PRICE($A35,$V$1,IF(情景分析!$D$6=1,$J35,IF(情景分析!$D$6=2,$E35,IF(情景分析!$D$6=4,IF($C35="银行间",$J35,$L35),$G35)))+V$2/100,情景分析!$D$7,"",,,,"",)*IF($H35="",1,$H35))</f>
        <v/>
      </c>
      <c r="W35" s="7" t="str">
        <f>IF($A35="","",[2]!B_CALC_PRICE($A35,$V$1,IF(情景分析!$D$6=1,$J35,IF(情景分析!$D$6=2,$E35,IF(情景分析!$D$6=4,IF($C35="银行间",$J35,$L35),$G35)))+W$2/100,情景分析!$D$7,"",,,,"",)*IF($H35="",1,$H35))</f>
        <v/>
      </c>
      <c r="X35" s="7" t="str">
        <f>IF($A35="","",[2]!B_CALC_PRICE($A35,$V$1,IF(情景分析!$D$6=1,$J35,IF(情景分析!$D$6=2,$E35,IF(情景分析!$D$6=4,IF($C35="银行间",$J35,$L35),$G35)))+X$2/100,情景分析!$D$7,"",,,,"",)*IF($H35="",1,$H35))</f>
        <v/>
      </c>
      <c r="Y35" s="7" t="str">
        <f>IF($A35="","",[2]!B_CALC_PRICE($A35,$V$1,IF(情景分析!$D$6=1,$J35,IF(情景分析!$D$6=2,$E35,IF(情景分析!$D$6=4,IF($C35="银行间",$J35,$L35),$G35)))+Y$2/100,情景分析!$D$7,"",,,,"",)*IF($H35="",1,$H35))</f>
        <v/>
      </c>
      <c r="Z35" s="7" t="str">
        <f>IF($A35="","",[2]!B_CALC_PRICE($A35,$V$1,IF(情景分析!$D$6=1,$J35,IF(情景分析!$D$6=2,$E35,IF(情景分析!$D$6=4,IF($C35="银行间",$J35,$L35),$G35)))+Z$2/100,情景分析!$D$7,"",,,,"",)*IF($H35="",1,$H35))</f>
        <v/>
      </c>
      <c r="AA35" s="7" t="str">
        <f>IF($A35="","",[2]!B_CALC_PRICE($A35,$V$1,IF(情景分析!$D$6=1,$J35,IF(情景分析!$D$6=2,$E35,IF(情景分析!$D$6=4,IF($C35="银行间",$J35,$L35),$G35)))+AA$2/100,情景分析!$D$7,"",,,,"",)*IF($H35="",1,$H35))</f>
        <v/>
      </c>
      <c r="AB35" s="7" t="str">
        <f>IF($A35="","",[2]!B_CALC_PRICE($A35,$V$1,IF(情景分析!$D$6=1,$J35,IF(情景分析!$D$6=2,$E35,IF(情景分析!$D$6=4,IF($C35="银行间",$J35,$L35),$G35)))+AB$2/100,情景分析!$D$7,"",,,,"",)*IF($H35="",1,$H35))</f>
        <v/>
      </c>
      <c r="AC35" s="7" t="str">
        <f>IF($A35="","",[2]!B_CALC_PRICE($A35,$AC$1,IF(情景分析!$D$6=1,$J35,IF(情景分析!$D$6=2,$E35,IF(情景分析!$D$6=4,IF($C35="银行间",$J35,$L35),$G35)))+AC$2/100,情景分析!$D$7,"",,,,"",)*IF($H35="",1,$H35))</f>
        <v/>
      </c>
      <c r="AD35" s="7" t="str">
        <f>IF($A35="","",[2]!B_CALC_PRICE($A35,$AC$1,IF(情景分析!$D$6=1,$J35,IF(情景分析!$D$6=2,$E35,IF(情景分析!$D$6=4,IF($C35="银行间",$J35,$L35),$G35)))+AD$2/100,情景分析!$D$7,"",,,,"",)*IF($H35="",1,$H35))</f>
        <v/>
      </c>
      <c r="AE35" s="7" t="str">
        <f>IF($A35="","",[2]!B_CALC_PRICE($A35,$AC$1,IF(情景分析!$D$6=1,$J35,IF(情景分析!$D$6=2,$E35,IF(情景分析!$D$6=4,IF($C35="银行间",$J35,$L35),$G35)))+AE$2/100,情景分析!$D$7,"",,,,"",)*IF($H35="",1,$H35))</f>
        <v/>
      </c>
      <c r="AF35" s="7" t="str">
        <f>IF($A35="","",[2]!B_CALC_PRICE($A35,$AC$1,IF(情景分析!$D$6=1,$J35,IF(情景分析!$D$6=2,$E35,IF(情景分析!$D$6=4,IF($C35="银行间",$J35,$L35),$G35)))+AF$2/100,情景分析!$D$7,"",,,,"",)*IF($H35="",1,$H35))</f>
        <v/>
      </c>
      <c r="AG35" s="7" t="str">
        <f>IF($A35="","",[2]!B_CALC_PRICE($A35,$AC$1,IF(情景分析!$D$6=1,$J35,IF(情景分析!$D$6=2,$E35,IF(情景分析!$D$6=4,IF($C35="银行间",$J35,$L35),$G35)))+AG$2/100,情景分析!$D$7,"",,,,"",)*IF($H35="",1,$H35))</f>
        <v/>
      </c>
      <c r="AH35" s="7" t="str">
        <f>IF($A35="","",[2]!B_CALC_PRICE($A35,$AC$1,IF(情景分析!$D$6=1,$J35,IF(情景分析!$D$6=2,$E35,IF(情景分析!$D$6=4,IF($C35="银行间",$J35,$L35),$G35)))+AH$2/100,情景分析!$D$7,"",,,,"",)*IF($H35="",1,$H35))</f>
        <v/>
      </c>
      <c r="AI35" s="7" t="str">
        <f>IF($A35="","",[2]!B_CALC_PRICE($A35,$AC$1,IF(情景分析!$D$6=1,$J35,IF(情景分析!$D$6=2,$E35,IF(情景分析!$D$6=4,IF($C35="银行间",$J35,$L35),$G35)))+AI$2/100,情景分析!$D$7,"",,,,"",)*IF($H35="",1,$H35))</f>
        <v/>
      </c>
      <c r="AJ35" s="7" t="str">
        <f>IF($A35="","",[2]!B_CALC_PRICE($A35,$AJ$1,IF(情景分析!$D$6=1,$J35,IF(情景分析!$D$6=2,$E35,IF(情景分析!$D$6=4,IF($C35="银行间",$J35,$L35),$G35)))+AJ$2/100,情景分析!$D$7,"",,,,"",)*IF($H35="",1,$H35))</f>
        <v/>
      </c>
      <c r="AK35" s="7" t="str">
        <f>IF($A35="","",[2]!B_CALC_PRICE($A35,$AJ$1,IF(情景分析!$D$6=1,$J35,IF(情景分析!$D$6=2,$E35,IF(情景分析!$D$6=4,IF($C35="银行间",$J35,$L35),$G35)))+AK$2/100,情景分析!$D$7,"",,,,"",)*IF($H35="",1,$H35))</f>
        <v/>
      </c>
      <c r="AL35" s="7" t="str">
        <f>IF($A35="","",[2]!B_CALC_PRICE($A35,$AJ$1,IF(情景分析!$D$6=1,$J35,IF(情景分析!$D$6=2,$E35,IF(情景分析!$D$6=4,IF($C35="银行间",$J35,$L35),$G35)))+AL$2/100,情景分析!$D$7,"",,,,"",)*IF($H35="",1,$H35))</f>
        <v/>
      </c>
      <c r="AM35" s="7" t="str">
        <f>IF($A35="","",[2]!B_CALC_PRICE($A35,$AJ$1,IF(情景分析!$D$6=1,$J35,IF(情景分析!$D$6=2,$E35,IF(情景分析!$D$6=4,IF($C35="银行间",$J35,$L35),$G35)))+AM$2/100,情景分析!$D$7,"",,,,"",)*IF($H35="",1,$H35))</f>
        <v/>
      </c>
      <c r="AN35" s="7" t="str">
        <f>IF($A35="","",[2]!B_CALC_PRICE($A35,$AJ$1,IF(情景分析!$D$6=1,$J35,IF(情景分析!$D$6=2,$E35,IF(情景分析!$D$6=4,IF($C35="银行间",$J35,$L35),$G35)))+AN$2/100,情景分析!$D$7,"",,,,"",)*IF($H35="",1,$H35))</f>
        <v/>
      </c>
      <c r="AO35" s="7" t="str">
        <f>IF($A35="","",[2]!B_CALC_PRICE($A35,$AJ$1,IF(情景分析!$D$6=1,$J35,IF(情景分析!$D$6=2,$E35,IF(情景分析!$D$6=4,IF($C35="银行间",$J35,$L35),$G35)))+AO$2/100,情景分析!$D$7,"",,,,"",)*IF($H35="",1,$H35))</f>
        <v/>
      </c>
      <c r="AP35" s="7" t="str">
        <f>IF($A35="","",[2]!B_CALC_PRICE($A35,$AJ$1,IF(情景分析!$D$6=1,$J35,IF(情景分析!$D$6=2,$E35,IF(情景分析!$D$6=4,IF($C35="银行间",$J35,$L35),$G35)))+AP$2/100,情景分析!$D$7,"",,,,"",)*IF($H35="",1,$H35))</f>
        <v/>
      </c>
      <c r="AQ35" s="7" t="str">
        <f>IF($A35="","",[2]!B_CALC_PRICE($A35,$AQ$1,IF(情景分析!$D$6=1,$J35,IF(情景分析!$D$6=2,$E35,IF(情景分析!$D$6=4,IF($C35="银行间",$J35,$L35),$G35)))+AQ$2/100,情景分析!$D$7,"",,,,"",)*IF($H35="",1,$H35))</f>
        <v/>
      </c>
      <c r="AR35" s="7" t="str">
        <f>IF($A35="","",[2]!B_CALC_PRICE($A35,$AQ$1,IF(情景分析!$D$6=1,$J35,IF(情景分析!$D$6=2,$E35,IF(情景分析!$D$6=4,IF($C35="银行间",$J35,$L35),$G35)))+AR$2/100,情景分析!$D$7,"",,,,"",)*IF($H35="",1,$H35))</f>
        <v/>
      </c>
      <c r="AS35" s="7" t="str">
        <f>IF($A35="","",[2]!B_CALC_PRICE($A35,$AQ$1,IF(情景分析!$D$6=1,$J35,IF(情景分析!$D$6=2,$E35,IF(情景分析!$D$6=4,IF($C35="银行间",$J35,$L35),$G35)))+AS$2/100,情景分析!$D$7,"",,,,"",)*IF($H35="",1,$H35))</f>
        <v/>
      </c>
      <c r="AT35" s="7" t="str">
        <f>IF($A35="","",[2]!B_CALC_PRICE($A35,$AQ$1,IF(情景分析!$D$6=1,$J35,IF(情景分析!$D$6=2,$E35,IF(情景分析!$D$6=4,IF($C35="银行间",$J35,$L35),$G35)))+AT$2/100,情景分析!$D$7,"",,,,"",)*IF($H35="",1,$H35))</f>
        <v/>
      </c>
      <c r="AU35" s="7" t="str">
        <f>IF($A35="","",[2]!B_CALC_PRICE($A35,$AQ$1,IF(情景分析!$D$6=1,$J35,IF(情景分析!$D$6=2,$E35,IF(情景分析!$D$6=4,IF($C35="银行间",$J35,$L35),$G35)))+AU$2/100,情景分析!$D$7,"",,,,"",)*IF($H35="",1,$H35))</f>
        <v/>
      </c>
      <c r="AV35" s="7" t="str">
        <f>IF($A35="","",[2]!B_CALC_PRICE($A35,$AQ$1,IF(情景分析!$D$6=1,$J35,IF(情景分析!$D$6=2,$E35,IF(情景分析!$D$6=4,IF($C35="银行间",$J35,$L35),$G35)))+AV$2/100,情景分析!$D$7,"",,,,"",)*IF($H35="",1,$H35))</f>
        <v/>
      </c>
      <c r="AW35" s="7" t="str">
        <f>IF($A35="","",[2]!B_CALC_PRICE($A35,$AQ$1,IF(情景分析!$D$6=1,$J35,IF(情景分析!$D$6=2,$E35,IF(情景分析!$D$6=4,IF($C35="银行间",$J35,$L35),$G35)))+AW$2/100,情景分析!$D$7,"",,,,"",)*IF($H35="",1,$H35))</f>
        <v/>
      </c>
    </row>
    <row r="36" spans="1:49" x14ac:dyDescent="0.15">
      <c r="A36" s="20"/>
      <c r="B36" s="7" t="str">
        <f>IF(A36="","",[2]!b_info_name(A36))</f>
        <v/>
      </c>
      <c r="C36" s="7" t="str">
        <f>[2]!b_info_listedmkt(A36)</f>
        <v>#N/A</v>
      </c>
      <c r="D36" s="7" t="str">
        <f>IFERROR(IF(A36="","", [2]!b_dq_avgprice(A36, 情景分析!$D$5, 情景分析!$D$7) * IF($H36="",1,$H36)),0)</f>
        <v/>
      </c>
      <c r="E36" s="7" t="str">
        <f>IF(A36="","", N([2]!b_dq_avgprice(A36,情景分析!$D$5,3)))</f>
        <v/>
      </c>
      <c r="F36" s="29" t="str">
        <f>IF($G36 = "",
"",
IFERROR(
[2]!b_calc_pv(A36, 情景分析!$D$5,$G36, "1", 情景分析!$D$7),
[2]!b_calc_pv(A36, 情景分析!$D$5,$G36, "2", 情景分析!$D$7)
)
)</f>
        <v/>
      </c>
      <c r="G36" s="22"/>
      <c r="H36" s="21"/>
      <c r="I36" s="7" t="str">
        <f>IF(A36="","",IF(情景分析!$D$7=1,[2]!b_anal_net_cnbd(A36,情景分析!$D$5,1),[2]!b_anal_dirty_cnbd(A36,情景分析!$D$5,1))*IF($H36="",1,$H36))</f>
        <v/>
      </c>
      <c r="J36" s="7" t="str">
        <f>IF(A36="","",[2]!b_anal_yield_cnbd(A36,情景分析!$D$5,1))</f>
        <v/>
      </c>
      <c r="K36" s="29" t="str">
        <f>IF(A36="","",IF(情景分析!$D$7=1,[2]!b_anal_net_csi1(A36,情景分析!$D$5,1),[2]!b_anal_dirty_csi1(A36,情景分析!$D$5,1))*IF($H36="",1,$H36))</f>
        <v/>
      </c>
      <c r="L36" s="29" t="str">
        <f>IF(A36="","",[2]!b_anal_yield_csi1(A36,情景分析!$D$5,1))</f>
        <v/>
      </c>
      <c r="M36" s="29" t="str">
        <f t="shared" si="4"/>
        <v/>
      </c>
      <c r="N36" s="29" t="str">
        <f t="shared" si="5"/>
        <v/>
      </c>
      <c r="O36" s="7" t="str">
        <f>IF($A36="","",[2]!B_CALC_PRICE($A36,$O$1,IF(情景分析!$D$6=1,$J36,IF(情景分析!$D$6=2,$E36,IF(情景分析!$D$6=4,IF($C36="银行间",$J36,$L36),$G36)))+O$2/100,情景分析!$D$7,"",,,,"",)*IF($H36="",1,$H36))</f>
        <v/>
      </c>
      <c r="P36" s="7" t="str">
        <f>IF($A36="","",[2]!B_CALC_PRICE($A36,$O$1,IF(情景分析!$D$6=1,$J36,IF(情景分析!$D$6=2,$E36,IF(情景分析!$D$6=4,IF($C36="银行间",$J36,$L36),$G36)))+P$2/100,情景分析!$D$7,"",,,,"",)*IF($H36="",1,$H36))</f>
        <v/>
      </c>
      <c r="Q36" s="7" t="str">
        <f>IF($A36="","",[2]!B_CALC_PRICE($A36,$O$1,IF(情景分析!$D$6=1,$J36,IF(情景分析!$D$6=2,$E36,IF(情景分析!$D$6=4,IF($C36="银行间",$J36,$L36),$G36)))+Q$2/100,情景分析!$D$7,"",,,,"",)*IF($H36="",1,$H36))</f>
        <v/>
      </c>
      <c r="R36" s="7" t="str">
        <f>IF($A36="","",[2]!B_CALC_PRICE($A36,$O$1,IF(情景分析!$D$6=1,$J36,IF(情景分析!$D$6=2,$E36,IF(情景分析!$D$6=4,IF($C36="银行间",$J36,$L36),$G36)))+R$2/100,情景分析!$D$7,"",,,,"",)*IF($H36="",1,$H36))</f>
        <v/>
      </c>
      <c r="S36" s="7" t="str">
        <f>IF($A36="","",[2]!B_CALC_PRICE($A36,$O$1,IF(情景分析!$D$6=1,$J36,IF(情景分析!$D$6=2,$E36,IF(情景分析!$D$6=4,IF($C36="银行间",$J36,$L36),$G36)))+S$2/100,情景分析!$D$7,"",,,,"",)*IF($H36="",1,$H36))</f>
        <v/>
      </c>
      <c r="T36" s="7" t="str">
        <f>IF($A36="","",[2]!B_CALC_PRICE($A36,$O$1,IF(情景分析!$D$6=1,$J36,IF(情景分析!$D$6=2,$E36,IF(情景分析!$D$6=4,IF($C36="银行间",$J36,$L36),$G36)))+T$2/100,情景分析!$D$7,"",,,,"",)*IF($H36="",1,$H36))</f>
        <v/>
      </c>
      <c r="U36" s="7" t="str">
        <f>IF($A36="","",[2]!B_CALC_PRICE($A36,$O$1,IF(情景分析!$D$6=1,$J36,IF(情景分析!$D$6=2,$E36,IF(情景分析!$D$6=4,IF($C36="银行间",$J36,$L36),$G36)))+U$2/100,情景分析!$D$7,"",,,,"",)*IF($H36="",1,$H36))</f>
        <v/>
      </c>
      <c r="V36" s="7" t="str">
        <f>IF($A36="","",[2]!B_CALC_PRICE($A36,$V$1,IF(情景分析!$D$6=1,$J36,IF(情景分析!$D$6=2,$E36,IF(情景分析!$D$6=4,IF($C36="银行间",$J36,$L36),$G36)))+V$2/100,情景分析!$D$7,"",,,,"",)*IF($H36="",1,$H36))</f>
        <v/>
      </c>
      <c r="W36" s="7" t="str">
        <f>IF($A36="","",[2]!B_CALC_PRICE($A36,$V$1,IF(情景分析!$D$6=1,$J36,IF(情景分析!$D$6=2,$E36,IF(情景分析!$D$6=4,IF($C36="银行间",$J36,$L36),$G36)))+W$2/100,情景分析!$D$7,"",,,,"",)*IF($H36="",1,$H36))</f>
        <v/>
      </c>
      <c r="X36" s="7" t="str">
        <f>IF($A36="","",[2]!B_CALC_PRICE($A36,$V$1,IF(情景分析!$D$6=1,$J36,IF(情景分析!$D$6=2,$E36,IF(情景分析!$D$6=4,IF($C36="银行间",$J36,$L36),$G36)))+X$2/100,情景分析!$D$7,"",,,,"",)*IF($H36="",1,$H36))</f>
        <v/>
      </c>
      <c r="Y36" s="7" t="str">
        <f>IF($A36="","",[2]!B_CALC_PRICE($A36,$V$1,IF(情景分析!$D$6=1,$J36,IF(情景分析!$D$6=2,$E36,IF(情景分析!$D$6=4,IF($C36="银行间",$J36,$L36),$G36)))+Y$2/100,情景分析!$D$7,"",,,,"",)*IF($H36="",1,$H36))</f>
        <v/>
      </c>
      <c r="Z36" s="7" t="str">
        <f>IF($A36="","",[2]!B_CALC_PRICE($A36,$V$1,IF(情景分析!$D$6=1,$J36,IF(情景分析!$D$6=2,$E36,IF(情景分析!$D$6=4,IF($C36="银行间",$J36,$L36),$G36)))+Z$2/100,情景分析!$D$7,"",,,,"",)*IF($H36="",1,$H36))</f>
        <v/>
      </c>
      <c r="AA36" s="7" t="str">
        <f>IF($A36="","",[2]!B_CALC_PRICE($A36,$V$1,IF(情景分析!$D$6=1,$J36,IF(情景分析!$D$6=2,$E36,IF(情景分析!$D$6=4,IF($C36="银行间",$J36,$L36),$G36)))+AA$2/100,情景分析!$D$7,"",,,,"",)*IF($H36="",1,$H36))</f>
        <v/>
      </c>
      <c r="AB36" s="7" t="str">
        <f>IF($A36="","",[2]!B_CALC_PRICE($A36,$V$1,IF(情景分析!$D$6=1,$J36,IF(情景分析!$D$6=2,$E36,IF(情景分析!$D$6=4,IF($C36="银行间",$J36,$L36),$G36)))+AB$2/100,情景分析!$D$7,"",,,,"",)*IF($H36="",1,$H36))</f>
        <v/>
      </c>
      <c r="AC36" s="7" t="str">
        <f>IF($A36="","",[2]!B_CALC_PRICE($A36,$AC$1,IF(情景分析!$D$6=1,$J36,IF(情景分析!$D$6=2,$E36,IF(情景分析!$D$6=4,IF($C36="银行间",$J36,$L36),$G36)))+AC$2/100,情景分析!$D$7,"",,,,"",)*IF($H36="",1,$H36))</f>
        <v/>
      </c>
      <c r="AD36" s="7" t="str">
        <f>IF($A36="","",[2]!B_CALC_PRICE($A36,$AC$1,IF(情景分析!$D$6=1,$J36,IF(情景分析!$D$6=2,$E36,IF(情景分析!$D$6=4,IF($C36="银行间",$J36,$L36),$G36)))+AD$2/100,情景分析!$D$7,"",,,,"",)*IF($H36="",1,$H36))</f>
        <v/>
      </c>
      <c r="AE36" s="7" t="str">
        <f>IF($A36="","",[2]!B_CALC_PRICE($A36,$AC$1,IF(情景分析!$D$6=1,$J36,IF(情景分析!$D$6=2,$E36,IF(情景分析!$D$6=4,IF($C36="银行间",$J36,$L36),$G36)))+AE$2/100,情景分析!$D$7,"",,,,"",)*IF($H36="",1,$H36))</f>
        <v/>
      </c>
      <c r="AF36" s="7" t="str">
        <f>IF($A36="","",[2]!B_CALC_PRICE($A36,$AC$1,IF(情景分析!$D$6=1,$J36,IF(情景分析!$D$6=2,$E36,IF(情景分析!$D$6=4,IF($C36="银行间",$J36,$L36),$G36)))+AF$2/100,情景分析!$D$7,"",,,,"",)*IF($H36="",1,$H36))</f>
        <v/>
      </c>
      <c r="AG36" s="7" t="str">
        <f>IF($A36="","",[2]!B_CALC_PRICE($A36,$AC$1,IF(情景分析!$D$6=1,$J36,IF(情景分析!$D$6=2,$E36,IF(情景分析!$D$6=4,IF($C36="银行间",$J36,$L36),$G36)))+AG$2/100,情景分析!$D$7,"",,,,"",)*IF($H36="",1,$H36))</f>
        <v/>
      </c>
      <c r="AH36" s="7" t="str">
        <f>IF($A36="","",[2]!B_CALC_PRICE($A36,$AC$1,IF(情景分析!$D$6=1,$J36,IF(情景分析!$D$6=2,$E36,IF(情景分析!$D$6=4,IF($C36="银行间",$J36,$L36),$G36)))+AH$2/100,情景分析!$D$7,"",,,,"",)*IF($H36="",1,$H36))</f>
        <v/>
      </c>
      <c r="AI36" s="7" t="str">
        <f>IF($A36="","",[2]!B_CALC_PRICE($A36,$AC$1,IF(情景分析!$D$6=1,$J36,IF(情景分析!$D$6=2,$E36,IF(情景分析!$D$6=4,IF($C36="银行间",$J36,$L36),$G36)))+AI$2/100,情景分析!$D$7,"",,,,"",)*IF($H36="",1,$H36))</f>
        <v/>
      </c>
      <c r="AJ36" s="7" t="str">
        <f>IF($A36="","",[2]!B_CALC_PRICE($A36,$AJ$1,IF(情景分析!$D$6=1,$J36,IF(情景分析!$D$6=2,$E36,IF(情景分析!$D$6=4,IF($C36="银行间",$J36,$L36),$G36)))+AJ$2/100,情景分析!$D$7,"",,,,"",)*IF($H36="",1,$H36))</f>
        <v/>
      </c>
      <c r="AK36" s="7" t="str">
        <f>IF($A36="","",[2]!B_CALC_PRICE($A36,$AJ$1,IF(情景分析!$D$6=1,$J36,IF(情景分析!$D$6=2,$E36,IF(情景分析!$D$6=4,IF($C36="银行间",$J36,$L36),$G36)))+AK$2/100,情景分析!$D$7,"",,,,"",)*IF($H36="",1,$H36))</f>
        <v/>
      </c>
      <c r="AL36" s="7" t="str">
        <f>IF($A36="","",[2]!B_CALC_PRICE($A36,$AJ$1,IF(情景分析!$D$6=1,$J36,IF(情景分析!$D$6=2,$E36,IF(情景分析!$D$6=4,IF($C36="银行间",$J36,$L36),$G36)))+AL$2/100,情景分析!$D$7,"",,,,"",)*IF($H36="",1,$H36))</f>
        <v/>
      </c>
      <c r="AM36" s="7" t="str">
        <f>IF($A36="","",[2]!B_CALC_PRICE($A36,$AJ$1,IF(情景分析!$D$6=1,$J36,IF(情景分析!$D$6=2,$E36,IF(情景分析!$D$6=4,IF($C36="银行间",$J36,$L36),$G36)))+AM$2/100,情景分析!$D$7,"",,,,"",)*IF($H36="",1,$H36))</f>
        <v/>
      </c>
      <c r="AN36" s="7" t="str">
        <f>IF($A36="","",[2]!B_CALC_PRICE($A36,$AJ$1,IF(情景分析!$D$6=1,$J36,IF(情景分析!$D$6=2,$E36,IF(情景分析!$D$6=4,IF($C36="银行间",$J36,$L36),$G36)))+AN$2/100,情景分析!$D$7,"",,,,"",)*IF($H36="",1,$H36))</f>
        <v/>
      </c>
      <c r="AO36" s="7" t="str">
        <f>IF($A36="","",[2]!B_CALC_PRICE($A36,$AJ$1,IF(情景分析!$D$6=1,$J36,IF(情景分析!$D$6=2,$E36,IF(情景分析!$D$6=4,IF($C36="银行间",$J36,$L36),$G36)))+AO$2/100,情景分析!$D$7,"",,,,"",)*IF($H36="",1,$H36))</f>
        <v/>
      </c>
      <c r="AP36" s="7" t="str">
        <f>IF($A36="","",[2]!B_CALC_PRICE($A36,$AJ$1,IF(情景分析!$D$6=1,$J36,IF(情景分析!$D$6=2,$E36,IF(情景分析!$D$6=4,IF($C36="银行间",$J36,$L36),$G36)))+AP$2/100,情景分析!$D$7,"",,,,"",)*IF($H36="",1,$H36))</f>
        <v/>
      </c>
      <c r="AQ36" s="7" t="str">
        <f>IF($A36="","",[2]!B_CALC_PRICE($A36,$AQ$1,IF(情景分析!$D$6=1,$J36,IF(情景分析!$D$6=2,$E36,IF(情景分析!$D$6=4,IF($C36="银行间",$J36,$L36),$G36)))+AQ$2/100,情景分析!$D$7,"",,,,"",)*IF($H36="",1,$H36))</f>
        <v/>
      </c>
      <c r="AR36" s="7" t="str">
        <f>IF($A36="","",[2]!B_CALC_PRICE($A36,$AQ$1,IF(情景分析!$D$6=1,$J36,IF(情景分析!$D$6=2,$E36,IF(情景分析!$D$6=4,IF($C36="银行间",$J36,$L36),$G36)))+AR$2/100,情景分析!$D$7,"",,,,"",)*IF($H36="",1,$H36))</f>
        <v/>
      </c>
      <c r="AS36" s="7" t="str">
        <f>IF($A36="","",[2]!B_CALC_PRICE($A36,$AQ$1,IF(情景分析!$D$6=1,$J36,IF(情景分析!$D$6=2,$E36,IF(情景分析!$D$6=4,IF($C36="银行间",$J36,$L36),$G36)))+AS$2/100,情景分析!$D$7,"",,,,"",)*IF($H36="",1,$H36))</f>
        <v/>
      </c>
      <c r="AT36" s="7" t="str">
        <f>IF($A36="","",[2]!B_CALC_PRICE($A36,$AQ$1,IF(情景分析!$D$6=1,$J36,IF(情景分析!$D$6=2,$E36,IF(情景分析!$D$6=4,IF($C36="银行间",$J36,$L36),$G36)))+AT$2/100,情景分析!$D$7,"",,,,"",)*IF($H36="",1,$H36))</f>
        <v/>
      </c>
      <c r="AU36" s="7" t="str">
        <f>IF($A36="","",[2]!B_CALC_PRICE($A36,$AQ$1,IF(情景分析!$D$6=1,$J36,IF(情景分析!$D$6=2,$E36,IF(情景分析!$D$6=4,IF($C36="银行间",$J36,$L36),$G36)))+AU$2/100,情景分析!$D$7,"",,,,"",)*IF($H36="",1,$H36))</f>
        <v/>
      </c>
      <c r="AV36" s="7" t="str">
        <f>IF($A36="","",[2]!B_CALC_PRICE($A36,$AQ$1,IF(情景分析!$D$6=1,$J36,IF(情景分析!$D$6=2,$E36,IF(情景分析!$D$6=4,IF($C36="银行间",$J36,$L36),$G36)))+AV$2/100,情景分析!$D$7,"",,,,"",)*IF($H36="",1,$H36))</f>
        <v/>
      </c>
      <c r="AW36" s="7" t="str">
        <f>IF($A36="","",[2]!B_CALC_PRICE($A36,$AQ$1,IF(情景分析!$D$6=1,$J36,IF(情景分析!$D$6=2,$E36,IF(情景分析!$D$6=4,IF($C36="银行间",$J36,$L36),$G36)))+AW$2/100,情景分析!$D$7,"",,,,"",)*IF($H36="",1,$H36))</f>
        <v/>
      </c>
    </row>
    <row r="37" spans="1:49" x14ac:dyDescent="0.15">
      <c r="A37" s="20"/>
      <c r="B37" s="7" t="str">
        <f>IF(A37="","",[2]!b_info_name(A37))</f>
        <v/>
      </c>
      <c r="C37" s="7" t="str">
        <f>[2]!b_info_listedmkt(A37)</f>
        <v>#N/A</v>
      </c>
      <c r="D37" s="7" t="str">
        <f>IFERROR(IF(A37="","", [2]!b_dq_avgprice(A37, 情景分析!$D$5, 情景分析!$D$7) * IF($H37="",1,$H37)),0)</f>
        <v/>
      </c>
      <c r="E37" s="7" t="str">
        <f>IF(A37="","", N([2]!b_dq_avgprice(A37,情景分析!$D$5,3)))</f>
        <v/>
      </c>
      <c r="F37" s="29" t="str">
        <f>IF($G37 = "",
"",
IFERROR(
[2]!b_calc_pv(A37, 情景分析!$D$5,$G37, "1", 情景分析!$D$7),
[2]!b_calc_pv(A37, 情景分析!$D$5,$G37, "2", 情景分析!$D$7)
)
)</f>
        <v/>
      </c>
      <c r="G37" s="22"/>
      <c r="H37" s="21"/>
      <c r="I37" s="7" t="str">
        <f>IF(A37="","",IF(情景分析!$D$7=1,[2]!b_anal_net_cnbd(A37,情景分析!$D$5,1),[2]!b_anal_dirty_cnbd(A37,情景分析!$D$5,1))*IF($H37="",1,$H37))</f>
        <v/>
      </c>
      <c r="J37" s="7" t="str">
        <f>IF(A37="","",[2]!b_anal_yield_cnbd(A37,情景分析!$D$5,1))</f>
        <v/>
      </c>
      <c r="K37" s="29" t="str">
        <f>IF(A37="","",IF(情景分析!$D$7=1,[2]!b_anal_net_csi1(A37,情景分析!$D$5,1),[2]!b_anal_dirty_csi1(A37,情景分析!$D$5,1))*IF($H37="",1,$H37))</f>
        <v/>
      </c>
      <c r="L37" s="29" t="str">
        <f>IF(A37="","",[2]!b_anal_yield_csi1(A37,情景分析!$D$5,1))</f>
        <v/>
      </c>
      <c r="M37" s="29" t="str">
        <f t="shared" si="4"/>
        <v/>
      </c>
      <c r="N37" s="29" t="str">
        <f t="shared" si="5"/>
        <v/>
      </c>
      <c r="O37" s="7" t="str">
        <f>IF($A37="","",[2]!B_CALC_PRICE($A37,$O$1,IF(情景分析!$D$6=1,$J37,IF(情景分析!$D$6=2,$E37,IF(情景分析!$D$6=4,IF($C37="银行间",$J37,$L37),$G37)))+O$2/100,情景分析!$D$7,"",,,,"",)*IF($H37="",1,$H37))</f>
        <v/>
      </c>
      <c r="P37" s="7" t="str">
        <f>IF($A37="","",[2]!B_CALC_PRICE($A37,$O$1,IF(情景分析!$D$6=1,$J37,IF(情景分析!$D$6=2,$E37,IF(情景分析!$D$6=4,IF($C37="银行间",$J37,$L37),$G37)))+P$2/100,情景分析!$D$7,"",,,,"",)*IF($H37="",1,$H37))</f>
        <v/>
      </c>
      <c r="Q37" s="7" t="str">
        <f>IF($A37="","",[2]!B_CALC_PRICE($A37,$O$1,IF(情景分析!$D$6=1,$J37,IF(情景分析!$D$6=2,$E37,IF(情景分析!$D$6=4,IF($C37="银行间",$J37,$L37),$G37)))+Q$2/100,情景分析!$D$7,"",,,,"",)*IF($H37="",1,$H37))</f>
        <v/>
      </c>
      <c r="R37" s="7" t="str">
        <f>IF($A37="","",[2]!B_CALC_PRICE($A37,$O$1,IF(情景分析!$D$6=1,$J37,IF(情景分析!$D$6=2,$E37,IF(情景分析!$D$6=4,IF($C37="银行间",$J37,$L37),$G37)))+R$2/100,情景分析!$D$7,"",,,,"",)*IF($H37="",1,$H37))</f>
        <v/>
      </c>
      <c r="S37" s="7" t="str">
        <f>IF($A37="","",[2]!B_CALC_PRICE($A37,$O$1,IF(情景分析!$D$6=1,$J37,IF(情景分析!$D$6=2,$E37,IF(情景分析!$D$6=4,IF($C37="银行间",$J37,$L37),$G37)))+S$2/100,情景分析!$D$7,"",,,,"",)*IF($H37="",1,$H37))</f>
        <v/>
      </c>
      <c r="T37" s="7" t="str">
        <f>IF($A37="","",[2]!B_CALC_PRICE($A37,$O$1,IF(情景分析!$D$6=1,$J37,IF(情景分析!$D$6=2,$E37,IF(情景分析!$D$6=4,IF($C37="银行间",$J37,$L37),$G37)))+T$2/100,情景分析!$D$7,"",,,,"",)*IF($H37="",1,$H37))</f>
        <v/>
      </c>
      <c r="U37" s="7" t="str">
        <f>IF($A37="","",[2]!B_CALC_PRICE($A37,$O$1,IF(情景分析!$D$6=1,$J37,IF(情景分析!$D$6=2,$E37,IF(情景分析!$D$6=4,IF($C37="银行间",$J37,$L37),$G37)))+U$2/100,情景分析!$D$7,"",,,,"",)*IF($H37="",1,$H37))</f>
        <v/>
      </c>
      <c r="V37" s="7" t="str">
        <f>IF($A37="","",[2]!B_CALC_PRICE($A37,$V$1,IF(情景分析!$D$6=1,$J37,IF(情景分析!$D$6=2,$E37,IF(情景分析!$D$6=4,IF($C37="银行间",$J37,$L37),$G37)))+V$2/100,情景分析!$D$7,"",,,,"",)*IF($H37="",1,$H37))</f>
        <v/>
      </c>
      <c r="W37" s="7" t="str">
        <f>IF($A37="","",[2]!B_CALC_PRICE($A37,$V$1,IF(情景分析!$D$6=1,$J37,IF(情景分析!$D$6=2,$E37,IF(情景分析!$D$6=4,IF($C37="银行间",$J37,$L37),$G37)))+W$2/100,情景分析!$D$7,"",,,,"",)*IF($H37="",1,$H37))</f>
        <v/>
      </c>
      <c r="X37" s="7" t="str">
        <f>IF($A37="","",[2]!B_CALC_PRICE($A37,$V$1,IF(情景分析!$D$6=1,$J37,IF(情景分析!$D$6=2,$E37,IF(情景分析!$D$6=4,IF($C37="银行间",$J37,$L37),$G37)))+X$2/100,情景分析!$D$7,"",,,,"",)*IF($H37="",1,$H37))</f>
        <v/>
      </c>
      <c r="Y37" s="7" t="str">
        <f>IF($A37="","",[2]!B_CALC_PRICE($A37,$V$1,IF(情景分析!$D$6=1,$J37,IF(情景分析!$D$6=2,$E37,IF(情景分析!$D$6=4,IF($C37="银行间",$J37,$L37),$G37)))+Y$2/100,情景分析!$D$7,"",,,,"",)*IF($H37="",1,$H37))</f>
        <v/>
      </c>
      <c r="Z37" s="7" t="str">
        <f>IF($A37="","",[2]!B_CALC_PRICE($A37,$V$1,IF(情景分析!$D$6=1,$J37,IF(情景分析!$D$6=2,$E37,IF(情景分析!$D$6=4,IF($C37="银行间",$J37,$L37),$G37)))+Z$2/100,情景分析!$D$7,"",,,,"",)*IF($H37="",1,$H37))</f>
        <v/>
      </c>
      <c r="AA37" s="7" t="str">
        <f>IF($A37="","",[2]!B_CALC_PRICE($A37,$V$1,IF(情景分析!$D$6=1,$J37,IF(情景分析!$D$6=2,$E37,IF(情景分析!$D$6=4,IF($C37="银行间",$J37,$L37),$G37)))+AA$2/100,情景分析!$D$7,"",,,,"",)*IF($H37="",1,$H37))</f>
        <v/>
      </c>
      <c r="AB37" s="7" t="str">
        <f>IF($A37="","",[2]!B_CALC_PRICE($A37,$V$1,IF(情景分析!$D$6=1,$J37,IF(情景分析!$D$6=2,$E37,IF(情景分析!$D$6=4,IF($C37="银行间",$J37,$L37),$G37)))+AB$2/100,情景分析!$D$7,"",,,,"",)*IF($H37="",1,$H37))</f>
        <v/>
      </c>
      <c r="AC37" s="7" t="str">
        <f>IF($A37="","",[2]!B_CALC_PRICE($A37,$AC$1,IF(情景分析!$D$6=1,$J37,IF(情景分析!$D$6=2,$E37,IF(情景分析!$D$6=4,IF($C37="银行间",$J37,$L37),$G37)))+AC$2/100,情景分析!$D$7,"",,,,"",)*IF($H37="",1,$H37))</f>
        <v/>
      </c>
      <c r="AD37" s="7" t="str">
        <f>IF($A37="","",[2]!B_CALC_PRICE($A37,$AC$1,IF(情景分析!$D$6=1,$J37,IF(情景分析!$D$6=2,$E37,IF(情景分析!$D$6=4,IF($C37="银行间",$J37,$L37),$G37)))+AD$2/100,情景分析!$D$7,"",,,,"",)*IF($H37="",1,$H37))</f>
        <v/>
      </c>
      <c r="AE37" s="7" t="str">
        <f>IF($A37="","",[2]!B_CALC_PRICE($A37,$AC$1,IF(情景分析!$D$6=1,$J37,IF(情景分析!$D$6=2,$E37,IF(情景分析!$D$6=4,IF($C37="银行间",$J37,$L37),$G37)))+AE$2/100,情景分析!$D$7,"",,,,"",)*IF($H37="",1,$H37))</f>
        <v/>
      </c>
      <c r="AF37" s="7" t="str">
        <f>IF($A37="","",[2]!B_CALC_PRICE($A37,$AC$1,IF(情景分析!$D$6=1,$J37,IF(情景分析!$D$6=2,$E37,IF(情景分析!$D$6=4,IF($C37="银行间",$J37,$L37),$G37)))+AF$2/100,情景分析!$D$7,"",,,,"",)*IF($H37="",1,$H37))</f>
        <v/>
      </c>
      <c r="AG37" s="7" t="str">
        <f>IF($A37="","",[2]!B_CALC_PRICE($A37,$AC$1,IF(情景分析!$D$6=1,$J37,IF(情景分析!$D$6=2,$E37,IF(情景分析!$D$6=4,IF($C37="银行间",$J37,$L37),$G37)))+AG$2/100,情景分析!$D$7,"",,,,"",)*IF($H37="",1,$H37))</f>
        <v/>
      </c>
      <c r="AH37" s="7" t="str">
        <f>IF($A37="","",[2]!B_CALC_PRICE($A37,$AC$1,IF(情景分析!$D$6=1,$J37,IF(情景分析!$D$6=2,$E37,IF(情景分析!$D$6=4,IF($C37="银行间",$J37,$L37),$G37)))+AH$2/100,情景分析!$D$7,"",,,,"",)*IF($H37="",1,$H37))</f>
        <v/>
      </c>
      <c r="AI37" s="7" t="str">
        <f>IF($A37="","",[2]!B_CALC_PRICE($A37,$AC$1,IF(情景分析!$D$6=1,$J37,IF(情景分析!$D$6=2,$E37,IF(情景分析!$D$6=4,IF($C37="银行间",$J37,$L37),$G37)))+AI$2/100,情景分析!$D$7,"",,,,"",)*IF($H37="",1,$H37))</f>
        <v/>
      </c>
      <c r="AJ37" s="7" t="str">
        <f>IF($A37="","",[2]!B_CALC_PRICE($A37,$AJ$1,IF(情景分析!$D$6=1,$J37,IF(情景分析!$D$6=2,$E37,IF(情景分析!$D$6=4,IF($C37="银行间",$J37,$L37),$G37)))+AJ$2/100,情景分析!$D$7,"",,,,"",)*IF($H37="",1,$H37))</f>
        <v/>
      </c>
      <c r="AK37" s="7" t="str">
        <f>IF($A37="","",[2]!B_CALC_PRICE($A37,$AJ$1,IF(情景分析!$D$6=1,$J37,IF(情景分析!$D$6=2,$E37,IF(情景分析!$D$6=4,IF($C37="银行间",$J37,$L37),$G37)))+AK$2/100,情景分析!$D$7,"",,,,"",)*IF($H37="",1,$H37))</f>
        <v/>
      </c>
      <c r="AL37" s="7" t="str">
        <f>IF($A37="","",[2]!B_CALC_PRICE($A37,$AJ$1,IF(情景分析!$D$6=1,$J37,IF(情景分析!$D$6=2,$E37,IF(情景分析!$D$6=4,IF($C37="银行间",$J37,$L37),$G37)))+AL$2/100,情景分析!$D$7,"",,,,"",)*IF($H37="",1,$H37))</f>
        <v/>
      </c>
      <c r="AM37" s="7" t="str">
        <f>IF($A37="","",[2]!B_CALC_PRICE($A37,$AJ$1,IF(情景分析!$D$6=1,$J37,IF(情景分析!$D$6=2,$E37,IF(情景分析!$D$6=4,IF($C37="银行间",$J37,$L37),$G37)))+AM$2/100,情景分析!$D$7,"",,,,"",)*IF($H37="",1,$H37))</f>
        <v/>
      </c>
      <c r="AN37" s="7" t="str">
        <f>IF($A37="","",[2]!B_CALC_PRICE($A37,$AJ$1,IF(情景分析!$D$6=1,$J37,IF(情景分析!$D$6=2,$E37,IF(情景分析!$D$6=4,IF($C37="银行间",$J37,$L37),$G37)))+AN$2/100,情景分析!$D$7,"",,,,"",)*IF($H37="",1,$H37))</f>
        <v/>
      </c>
      <c r="AO37" s="7" t="str">
        <f>IF($A37="","",[2]!B_CALC_PRICE($A37,$AJ$1,IF(情景分析!$D$6=1,$J37,IF(情景分析!$D$6=2,$E37,IF(情景分析!$D$6=4,IF($C37="银行间",$J37,$L37),$G37)))+AO$2/100,情景分析!$D$7,"",,,,"",)*IF($H37="",1,$H37))</f>
        <v/>
      </c>
      <c r="AP37" s="7" t="str">
        <f>IF($A37="","",[2]!B_CALC_PRICE($A37,$AJ$1,IF(情景分析!$D$6=1,$J37,IF(情景分析!$D$6=2,$E37,IF(情景分析!$D$6=4,IF($C37="银行间",$J37,$L37),$G37)))+AP$2/100,情景分析!$D$7,"",,,,"",)*IF($H37="",1,$H37))</f>
        <v/>
      </c>
      <c r="AQ37" s="7" t="str">
        <f>IF($A37="","",[2]!B_CALC_PRICE($A37,$AQ$1,IF(情景分析!$D$6=1,$J37,IF(情景分析!$D$6=2,$E37,IF(情景分析!$D$6=4,IF($C37="银行间",$J37,$L37),$G37)))+AQ$2/100,情景分析!$D$7,"",,,,"",)*IF($H37="",1,$H37))</f>
        <v/>
      </c>
      <c r="AR37" s="7" t="str">
        <f>IF($A37="","",[2]!B_CALC_PRICE($A37,$AQ$1,IF(情景分析!$D$6=1,$J37,IF(情景分析!$D$6=2,$E37,IF(情景分析!$D$6=4,IF($C37="银行间",$J37,$L37),$G37)))+AR$2/100,情景分析!$D$7,"",,,,"",)*IF($H37="",1,$H37))</f>
        <v/>
      </c>
      <c r="AS37" s="7" t="str">
        <f>IF($A37="","",[2]!B_CALC_PRICE($A37,$AQ$1,IF(情景分析!$D$6=1,$J37,IF(情景分析!$D$6=2,$E37,IF(情景分析!$D$6=4,IF($C37="银行间",$J37,$L37),$G37)))+AS$2/100,情景分析!$D$7,"",,,,"",)*IF($H37="",1,$H37))</f>
        <v/>
      </c>
      <c r="AT37" s="7" t="str">
        <f>IF($A37="","",[2]!B_CALC_PRICE($A37,$AQ$1,IF(情景分析!$D$6=1,$J37,IF(情景分析!$D$6=2,$E37,IF(情景分析!$D$6=4,IF($C37="银行间",$J37,$L37),$G37)))+AT$2/100,情景分析!$D$7,"",,,,"",)*IF($H37="",1,$H37))</f>
        <v/>
      </c>
      <c r="AU37" s="7" t="str">
        <f>IF($A37="","",[2]!B_CALC_PRICE($A37,$AQ$1,IF(情景分析!$D$6=1,$J37,IF(情景分析!$D$6=2,$E37,IF(情景分析!$D$6=4,IF($C37="银行间",$J37,$L37),$G37)))+AU$2/100,情景分析!$D$7,"",,,,"",)*IF($H37="",1,$H37))</f>
        <v/>
      </c>
      <c r="AV37" s="7" t="str">
        <f>IF($A37="","",[2]!B_CALC_PRICE($A37,$AQ$1,IF(情景分析!$D$6=1,$J37,IF(情景分析!$D$6=2,$E37,IF(情景分析!$D$6=4,IF($C37="银行间",$J37,$L37),$G37)))+AV$2/100,情景分析!$D$7,"",,,,"",)*IF($H37="",1,$H37))</f>
        <v/>
      </c>
      <c r="AW37" s="7" t="str">
        <f>IF($A37="","",[2]!B_CALC_PRICE($A37,$AQ$1,IF(情景分析!$D$6=1,$J37,IF(情景分析!$D$6=2,$E37,IF(情景分析!$D$6=4,IF($C37="银行间",$J37,$L37),$G37)))+AW$2/100,情景分析!$D$7,"",,,,"",)*IF($H37="",1,$H37))</f>
        <v/>
      </c>
    </row>
    <row r="38" spans="1:49" x14ac:dyDescent="0.15">
      <c r="A38" s="20"/>
      <c r="B38" s="7" t="str">
        <f>IF(A38="","",[2]!b_info_name(A38))</f>
        <v/>
      </c>
      <c r="C38" s="7" t="str">
        <f>[2]!b_info_listedmkt(A38)</f>
        <v>#N/A</v>
      </c>
      <c r="D38" s="7" t="str">
        <f>IFERROR(IF(A38="","", [2]!b_dq_avgprice(A38, 情景分析!$D$5, 情景分析!$D$7) * IF($H38="",1,$H38)),0)</f>
        <v/>
      </c>
      <c r="E38" s="7" t="str">
        <f>IF(A38="","", N([2]!b_dq_avgprice(A38,情景分析!$D$5,3)))</f>
        <v/>
      </c>
      <c r="F38" s="29" t="str">
        <f>IF($G38 = "",
"",
IFERROR(
[2]!b_calc_pv(A38, 情景分析!$D$5,$G38, "1", 情景分析!$D$7),
[2]!b_calc_pv(A38, 情景分析!$D$5,$G38, "2", 情景分析!$D$7)
)
)</f>
        <v/>
      </c>
      <c r="G38" s="22"/>
      <c r="H38" s="21"/>
      <c r="I38" s="7" t="str">
        <f>IF(A38="","",IF(情景分析!$D$7=1,[2]!b_anal_net_cnbd(A38,情景分析!$D$5,1),[2]!b_anal_dirty_cnbd(A38,情景分析!$D$5,1))*IF($H38="",1,$H38))</f>
        <v/>
      </c>
      <c r="J38" s="7" t="str">
        <f>IF(A38="","",[2]!b_anal_yield_cnbd(A38,情景分析!$D$5,1))</f>
        <v/>
      </c>
      <c r="K38" s="29" t="str">
        <f>IF(A38="","",IF(情景分析!$D$7=1,[2]!b_anal_net_csi1(A38,情景分析!$D$5,1),[2]!b_anal_dirty_csi1(A38,情景分析!$D$5,1))*IF($H38="",1,$H38))</f>
        <v/>
      </c>
      <c r="L38" s="29" t="str">
        <f>IF(A38="","",[2]!b_anal_yield_csi1(A38,情景分析!$D$5,1))</f>
        <v/>
      </c>
      <c r="M38" s="29" t="str">
        <f t="shared" si="4"/>
        <v/>
      </c>
      <c r="N38" s="29" t="str">
        <f t="shared" si="5"/>
        <v/>
      </c>
      <c r="O38" s="7" t="str">
        <f>IF($A38="","",[2]!B_CALC_PRICE($A38,$O$1,IF(情景分析!$D$6=1,$J38,IF(情景分析!$D$6=2,$E38,IF(情景分析!$D$6=4,IF($C38="银行间",$J38,$L38),$G38)))+O$2/100,情景分析!$D$7,"",,,,"",)*IF($H38="",1,$H38))</f>
        <v/>
      </c>
      <c r="P38" s="7" t="str">
        <f>IF($A38="","",[2]!B_CALC_PRICE($A38,$O$1,IF(情景分析!$D$6=1,$J38,IF(情景分析!$D$6=2,$E38,IF(情景分析!$D$6=4,IF($C38="银行间",$J38,$L38),$G38)))+P$2/100,情景分析!$D$7,"",,,,"",)*IF($H38="",1,$H38))</f>
        <v/>
      </c>
      <c r="Q38" s="7" t="str">
        <f>IF($A38="","",[2]!B_CALC_PRICE($A38,$O$1,IF(情景分析!$D$6=1,$J38,IF(情景分析!$D$6=2,$E38,IF(情景分析!$D$6=4,IF($C38="银行间",$J38,$L38),$G38)))+Q$2/100,情景分析!$D$7,"",,,,"",)*IF($H38="",1,$H38))</f>
        <v/>
      </c>
      <c r="R38" s="7" t="str">
        <f>IF($A38="","",[2]!B_CALC_PRICE($A38,$O$1,IF(情景分析!$D$6=1,$J38,IF(情景分析!$D$6=2,$E38,IF(情景分析!$D$6=4,IF($C38="银行间",$J38,$L38),$G38)))+R$2/100,情景分析!$D$7,"",,,,"",)*IF($H38="",1,$H38))</f>
        <v/>
      </c>
      <c r="S38" s="7" t="str">
        <f>IF($A38="","",[2]!B_CALC_PRICE($A38,$O$1,IF(情景分析!$D$6=1,$J38,IF(情景分析!$D$6=2,$E38,IF(情景分析!$D$6=4,IF($C38="银行间",$J38,$L38),$G38)))+S$2/100,情景分析!$D$7,"",,,,"",)*IF($H38="",1,$H38))</f>
        <v/>
      </c>
      <c r="T38" s="7" t="str">
        <f>IF($A38="","",[2]!B_CALC_PRICE($A38,$O$1,IF(情景分析!$D$6=1,$J38,IF(情景分析!$D$6=2,$E38,IF(情景分析!$D$6=4,IF($C38="银行间",$J38,$L38),$G38)))+T$2/100,情景分析!$D$7,"",,,,"",)*IF($H38="",1,$H38))</f>
        <v/>
      </c>
      <c r="U38" s="7" t="str">
        <f>IF($A38="","",[2]!B_CALC_PRICE($A38,$O$1,IF(情景分析!$D$6=1,$J38,IF(情景分析!$D$6=2,$E38,IF(情景分析!$D$6=4,IF($C38="银行间",$J38,$L38),$G38)))+U$2/100,情景分析!$D$7,"",,,,"",)*IF($H38="",1,$H38))</f>
        <v/>
      </c>
      <c r="V38" s="7" t="str">
        <f>IF($A38="","",[2]!B_CALC_PRICE($A38,$V$1,IF(情景分析!$D$6=1,$J38,IF(情景分析!$D$6=2,$E38,IF(情景分析!$D$6=4,IF($C38="银行间",$J38,$L38),$G38)))+V$2/100,情景分析!$D$7,"",,,,"",)*IF($H38="",1,$H38))</f>
        <v/>
      </c>
      <c r="W38" s="7" t="str">
        <f>IF($A38="","",[2]!B_CALC_PRICE($A38,$V$1,IF(情景分析!$D$6=1,$J38,IF(情景分析!$D$6=2,$E38,IF(情景分析!$D$6=4,IF($C38="银行间",$J38,$L38),$G38)))+W$2/100,情景分析!$D$7,"",,,,"",)*IF($H38="",1,$H38))</f>
        <v/>
      </c>
      <c r="X38" s="7" t="str">
        <f>IF($A38="","",[2]!B_CALC_PRICE($A38,$V$1,IF(情景分析!$D$6=1,$J38,IF(情景分析!$D$6=2,$E38,IF(情景分析!$D$6=4,IF($C38="银行间",$J38,$L38),$G38)))+X$2/100,情景分析!$D$7,"",,,,"",)*IF($H38="",1,$H38))</f>
        <v/>
      </c>
      <c r="Y38" s="7" t="str">
        <f>IF($A38="","",[2]!B_CALC_PRICE($A38,$V$1,IF(情景分析!$D$6=1,$J38,IF(情景分析!$D$6=2,$E38,IF(情景分析!$D$6=4,IF($C38="银行间",$J38,$L38),$G38)))+Y$2/100,情景分析!$D$7,"",,,,"",)*IF($H38="",1,$H38))</f>
        <v/>
      </c>
      <c r="Z38" s="7" t="str">
        <f>IF($A38="","",[2]!B_CALC_PRICE($A38,$V$1,IF(情景分析!$D$6=1,$J38,IF(情景分析!$D$6=2,$E38,IF(情景分析!$D$6=4,IF($C38="银行间",$J38,$L38),$G38)))+Z$2/100,情景分析!$D$7,"",,,,"",)*IF($H38="",1,$H38))</f>
        <v/>
      </c>
      <c r="AA38" s="7" t="str">
        <f>IF($A38="","",[2]!B_CALC_PRICE($A38,$V$1,IF(情景分析!$D$6=1,$J38,IF(情景分析!$D$6=2,$E38,IF(情景分析!$D$6=4,IF($C38="银行间",$J38,$L38),$G38)))+AA$2/100,情景分析!$D$7,"",,,,"",)*IF($H38="",1,$H38))</f>
        <v/>
      </c>
      <c r="AB38" s="7" t="str">
        <f>IF($A38="","",[2]!B_CALC_PRICE($A38,$V$1,IF(情景分析!$D$6=1,$J38,IF(情景分析!$D$6=2,$E38,IF(情景分析!$D$6=4,IF($C38="银行间",$J38,$L38),$G38)))+AB$2/100,情景分析!$D$7,"",,,,"",)*IF($H38="",1,$H38))</f>
        <v/>
      </c>
      <c r="AC38" s="7" t="str">
        <f>IF($A38="","",[2]!B_CALC_PRICE($A38,$AC$1,IF(情景分析!$D$6=1,$J38,IF(情景分析!$D$6=2,$E38,IF(情景分析!$D$6=4,IF($C38="银行间",$J38,$L38),$G38)))+AC$2/100,情景分析!$D$7,"",,,,"",)*IF($H38="",1,$H38))</f>
        <v/>
      </c>
      <c r="AD38" s="7" t="str">
        <f>IF($A38="","",[2]!B_CALC_PRICE($A38,$AC$1,IF(情景分析!$D$6=1,$J38,IF(情景分析!$D$6=2,$E38,IF(情景分析!$D$6=4,IF($C38="银行间",$J38,$L38),$G38)))+AD$2/100,情景分析!$D$7,"",,,,"",)*IF($H38="",1,$H38))</f>
        <v/>
      </c>
      <c r="AE38" s="7" t="str">
        <f>IF($A38="","",[2]!B_CALC_PRICE($A38,$AC$1,IF(情景分析!$D$6=1,$J38,IF(情景分析!$D$6=2,$E38,IF(情景分析!$D$6=4,IF($C38="银行间",$J38,$L38),$G38)))+AE$2/100,情景分析!$D$7,"",,,,"",)*IF($H38="",1,$H38))</f>
        <v/>
      </c>
      <c r="AF38" s="7" t="str">
        <f>IF($A38="","",[2]!B_CALC_PRICE($A38,$AC$1,IF(情景分析!$D$6=1,$J38,IF(情景分析!$D$6=2,$E38,IF(情景分析!$D$6=4,IF($C38="银行间",$J38,$L38),$G38)))+AF$2/100,情景分析!$D$7,"",,,,"",)*IF($H38="",1,$H38))</f>
        <v/>
      </c>
      <c r="AG38" s="7" t="str">
        <f>IF($A38="","",[2]!B_CALC_PRICE($A38,$AC$1,IF(情景分析!$D$6=1,$J38,IF(情景分析!$D$6=2,$E38,IF(情景分析!$D$6=4,IF($C38="银行间",$J38,$L38),$G38)))+AG$2/100,情景分析!$D$7,"",,,,"",)*IF($H38="",1,$H38))</f>
        <v/>
      </c>
      <c r="AH38" s="7" t="str">
        <f>IF($A38="","",[2]!B_CALC_PRICE($A38,$AC$1,IF(情景分析!$D$6=1,$J38,IF(情景分析!$D$6=2,$E38,IF(情景分析!$D$6=4,IF($C38="银行间",$J38,$L38),$G38)))+AH$2/100,情景分析!$D$7,"",,,,"",)*IF($H38="",1,$H38))</f>
        <v/>
      </c>
      <c r="AI38" s="7" t="str">
        <f>IF($A38="","",[2]!B_CALC_PRICE($A38,$AC$1,IF(情景分析!$D$6=1,$J38,IF(情景分析!$D$6=2,$E38,IF(情景分析!$D$6=4,IF($C38="银行间",$J38,$L38),$G38)))+AI$2/100,情景分析!$D$7,"",,,,"",)*IF($H38="",1,$H38))</f>
        <v/>
      </c>
      <c r="AJ38" s="7" t="str">
        <f>IF($A38="","",[2]!B_CALC_PRICE($A38,$AJ$1,IF(情景分析!$D$6=1,$J38,IF(情景分析!$D$6=2,$E38,IF(情景分析!$D$6=4,IF($C38="银行间",$J38,$L38),$G38)))+AJ$2/100,情景分析!$D$7,"",,,,"",)*IF($H38="",1,$H38))</f>
        <v/>
      </c>
      <c r="AK38" s="7" t="str">
        <f>IF($A38="","",[2]!B_CALC_PRICE($A38,$AJ$1,IF(情景分析!$D$6=1,$J38,IF(情景分析!$D$6=2,$E38,IF(情景分析!$D$6=4,IF($C38="银行间",$J38,$L38),$G38)))+AK$2/100,情景分析!$D$7,"",,,,"",)*IF($H38="",1,$H38))</f>
        <v/>
      </c>
      <c r="AL38" s="7" t="str">
        <f>IF($A38="","",[2]!B_CALC_PRICE($A38,$AJ$1,IF(情景分析!$D$6=1,$J38,IF(情景分析!$D$6=2,$E38,IF(情景分析!$D$6=4,IF($C38="银行间",$J38,$L38),$G38)))+AL$2/100,情景分析!$D$7,"",,,,"",)*IF($H38="",1,$H38))</f>
        <v/>
      </c>
      <c r="AM38" s="7" t="str">
        <f>IF($A38="","",[2]!B_CALC_PRICE($A38,$AJ$1,IF(情景分析!$D$6=1,$J38,IF(情景分析!$D$6=2,$E38,IF(情景分析!$D$6=4,IF($C38="银行间",$J38,$L38),$G38)))+AM$2/100,情景分析!$D$7,"",,,,"",)*IF($H38="",1,$H38))</f>
        <v/>
      </c>
      <c r="AN38" s="7" t="str">
        <f>IF($A38="","",[2]!B_CALC_PRICE($A38,$AJ$1,IF(情景分析!$D$6=1,$J38,IF(情景分析!$D$6=2,$E38,IF(情景分析!$D$6=4,IF($C38="银行间",$J38,$L38),$G38)))+AN$2/100,情景分析!$D$7,"",,,,"",)*IF($H38="",1,$H38))</f>
        <v/>
      </c>
      <c r="AO38" s="7" t="str">
        <f>IF($A38="","",[2]!B_CALC_PRICE($A38,$AJ$1,IF(情景分析!$D$6=1,$J38,IF(情景分析!$D$6=2,$E38,IF(情景分析!$D$6=4,IF($C38="银行间",$J38,$L38),$G38)))+AO$2/100,情景分析!$D$7,"",,,,"",)*IF($H38="",1,$H38))</f>
        <v/>
      </c>
      <c r="AP38" s="7" t="str">
        <f>IF($A38="","",[2]!B_CALC_PRICE($A38,$AJ$1,IF(情景分析!$D$6=1,$J38,IF(情景分析!$D$6=2,$E38,IF(情景分析!$D$6=4,IF($C38="银行间",$J38,$L38),$G38)))+AP$2/100,情景分析!$D$7,"",,,,"",)*IF($H38="",1,$H38))</f>
        <v/>
      </c>
      <c r="AQ38" s="7" t="str">
        <f>IF($A38="","",[2]!B_CALC_PRICE($A38,$AQ$1,IF(情景分析!$D$6=1,$J38,IF(情景分析!$D$6=2,$E38,IF(情景分析!$D$6=4,IF($C38="银行间",$J38,$L38),$G38)))+AQ$2/100,情景分析!$D$7,"",,,,"",)*IF($H38="",1,$H38))</f>
        <v/>
      </c>
      <c r="AR38" s="7" t="str">
        <f>IF($A38="","",[2]!B_CALC_PRICE($A38,$AQ$1,IF(情景分析!$D$6=1,$J38,IF(情景分析!$D$6=2,$E38,IF(情景分析!$D$6=4,IF($C38="银行间",$J38,$L38),$G38)))+AR$2/100,情景分析!$D$7,"",,,,"",)*IF($H38="",1,$H38))</f>
        <v/>
      </c>
      <c r="AS38" s="7" t="str">
        <f>IF($A38="","",[2]!B_CALC_PRICE($A38,$AQ$1,IF(情景分析!$D$6=1,$J38,IF(情景分析!$D$6=2,$E38,IF(情景分析!$D$6=4,IF($C38="银行间",$J38,$L38),$G38)))+AS$2/100,情景分析!$D$7,"",,,,"",)*IF($H38="",1,$H38))</f>
        <v/>
      </c>
      <c r="AT38" s="7" t="str">
        <f>IF($A38="","",[2]!B_CALC_PRICE($A38,$AQ$1,IF(情景分析!$D$6=1,$J38,IF(情景分析!$D$6=2,$E38,IF(情景分析!$D$6=4,IF($C38="银行间",$J38,$L38),$G38)))+AT$2/100,情景分析!$D$7,"",,,,"",)*IF($H38="",1,$H38))</f>
        <v/>
      </c>
      <c r="AU38" s="7" t="str">
        <f>IF($A38="","",[2]!B_CALC_PRICE($A38,$AQ$1,IF(情景分析!$D$6=1,$J38,IF(情景分析!$D$6=2,$E38,IF(情景分析!$D$6=4,IF($C38="银行间",$J38,$L38),$G38)))+AU$2/100,情景分析!$D$7,"",,,,"",)*IF($H38="",1,$H38))</f>
        <v/>
      </c>
      <c r="AV38" s="7" t="str">
        <f>IF($A38="","",[2]!B_CALC_PRICE($A38,$AQ$1,IF(情景分析!$D$6=1,$J38,IF(情景分析!$D$6=2,$E38,IF(情景分析!$D$6=4,IF($C38="银行间",$J38,$L38),$G38)))+AV$2/100,情景分析!$D$7,"",,,,"",)*IF($H38="",1,$H38))</f>
        <v/>
      </c>
      <c r="AW38" s="7" t="str">
        <f>IF($A38="","",[2]!B_CALC_PRICE($A38,$AQ$1,IF(情景分析!$D$6=1,$J38,IF(情景分析!$D$6=2,$E38,IF(情景分析!$D$6=4,IF($C38="银行间",$J38,$L38),$G38)))+AW$2/100,情景分析!$D$7,"",,,,"",)*IF($H38="",1,$H38))</f>
        <v/>
      </c>
    </row>
    <row r="39" spans="1:49" x14ac:dyDescent="0.15">
      <c r="A39" s="20"/>
      <c r="B39" s="7" t="str">
        <f>IF(A39="","",[2]!b_info_name(A39))</f>
        <v/>
      </c>
      <c r="C39" s="7" t="str">
        <f>[2]!b_info_listedmkt(A39)</f>
        <v>#N/A</v>
      </c>
      <c r="D39" s="7" t="str">
        <f>IFERROR(IF(A39="","", [2]!b_dq_avgprice(A39, 情景分析!$D$5, 情景分析!$D$7) * IF($H39="",1,$H39)),0)</f>
        <v/>
      </c>
      <c r="E39" s="7" t="str">
        <f>IF(A39="","", N([2]!b_dq_avgprice(A39,情景分析!$D$5,3)))</f>
        <v/>
      </c>
      <c r="F39" s="29" t="str">
        <f>IF($G39 = "",
"",
IFERROR(
[2]!b_calc_pv(A39, 情景分析!$D$5,$G39, "1", 情景分析!$D$7),
[2]!b_calc_pv(A39, 情景分析!$D$5,$G39, "2", 情景分析!$D$7)
)
)</f>
        <v/>
      </c>
      <c r="G39" s="22"/>
      <c r="H39" s="21"/>
      <c r="I39" s="7" t="str">
        <f>IF(A39="","",IF(情景分析!$D$7=1,[2]!b_anal_net_cnbd(A39,情景分析!$D$5,1),[2]!b_anal_dirty_cnbd(A39,情景分析!$D$5,1))*IF($H39="",1,$H39))</f>
        <v/>
      </c>
      <c r="J39" s="7" t="str">
        <f>IF(A39="","",[2]!b_anal_yield_cnbd(A39,情景分析!$D$5,1))</f>
        <v/>
      </c>
      <c r="K39" s="29" t="str">
        <f>IF(A39="","",IF(情景分析!$D$7=1,[2]!b_anal_net_csi1(A39,情景分析!$D$5,1),[2]!b_anal_dirty_csi1(A39,情景分析!$D$5,1))*IF($H39="",1,$H39))</f>
        <v/>
      </c>
      <c r="L39" s="29" t="str">
        <f>IF(A39="","",[2]!b_anal_yield_csi1(A39,情景分析!$D$5,1))</f>
        <v/>
      </c>
      <c r="M39" s="29" t="str">
        <f t="shared" si="4"/>
        <v/>
      </c>
      <c r="N39" s="29" t="str">
        <f t="shared" si="5"/>
        <v/>
      </c>
      <c r="O39" s="7" t="str">
        <f>IF($A39="","",[2]!B_CALC_PRICE($A39,$O$1,IF(情景分析!$D$6=1,$J39,IF(情景分析!$D$6=2,$E39,IF(情景分析!$D$6=4,IF($C39="银行间",$J39,$L39),$G39)))+O$2/100,情景分析!$D$7,"",,,,"",)*IF($H39="",1,$H39))</f>
        <v/>
      </c>
      <c r="P39" s="7" t="str">
        <f>IF($A39="","",[2]!B_CALC_PRICE($A39,$O$1,IF(情景分析!$D$6=1,$J39,IF(情景分析!$D$6=2,$E39,IF(情景分析!$D$6=4,IF($C39="银行间",$J39,$L39),$G39)))+P$2/100,情景分析!$D$7,"",,,,"",)*IF($H39="",1,$H39))</f>
        <v/>
      </c>
      <c r="Q39" s="7" t="str">
        <f>IF($A39="","",[2]!B_CALC_PRICE($A39,$O$1,IF(情景分析!$D$6=1,$J39,IF(情景分析!$D$6=2,$E39,IF(情景分析!$D$6=4,IF($C39="银行间",$J39,$L39),$G39)))+Q$2/100,情景分析!$D$7,"",,,,"",)*IF($H39="",1,$H39))</f>
        <v/>
      </c>
      <c r="R39" s="7" t="str">
        <f>IF($A39="","",[2]!B_CALC_PRICE($A39,$O$1,IF(情景分析!$D$6=1,$J39,IF(情景分析!$D$6=2,$E39,IF(情景分析!$D$6=4,IF($C39="银行间",$J39,$L39),$G39)))+R$2/100,情景分析!$D$7,"",,,,"",)*IF($H39="",1,$H39))</f>
        <v/>
      </c>
      <c r="S39" s="7" t="str">
        <f>IF($A39="","",[2]!B_CALC_PRICE($A39,$O$1,IF(情景分析!$D$6=1,$J39,IF(情景分析!$D$6=2,$E39,IF(情景分析!$D$6=4,IF($C39="银行间",$J39,$L39),$G39)))+S$2/100,情景分析!$D$7,"",,,,"",)*IF($H39="",1,$H39))</f>
        <v/>
      </c>
      <c r="T39" s="7" t="str">
        <f>IF($A39="","",[2]!B_CALC_PRICE($A39,$O$1,IF(情景分析!$D$6=1,$J39,IF(情景分析!$D$6=2,$E39,IF(情景分析!$D$6=4,IF($C39="银行间",$J39,$L39),$G39)))+T$2/100,情景分析!$D$7,"",,,,"",)*IF($H39="",1,$H39))</f>
        <v/>
      </c>
      <c r="U39" s="7" t="str">
        <f>IF($A39="","",[2]!B_CALC_PRICE($A39,$O$1,IF(情景分析!$D$6=1,$J39,IF(情景分析!$D$6=2,$E39,IF(情景分析!$D$6=4,IF($C39="银行间",$J39,$L39),$G39)))+U$2/100,情景分析!$D$7,"",,,,"",)*IF($H39="",1,$H39))</f>
        <v/>
      </c>
      <c r="V39" s="7" t="str">
        <f>IF($A39="","",[2]!B_CALC_PRICE($A39,$V$1,IF(情景分析!$D$6=1,$J39,IF(情景分析!$D$6=2,$E39,IF(情景分析!$D$6=4,IF($C39="银行间",$J39,$L39),$G39)))+V$2/100,情景分析!$D$7,"",,,,"",)*IF($H39="",1,$H39))</f>
        <v/>
      </c>
      <c r="W39" s="7" t="str">
        <f>IF($A39="","",[2]!B_CALC_PRICE($A39,$V$1,IF(情景分析!$D$6=1,$J39,IF(情景分析!$D$6=2,$E39,IF(情景分析!$D$6=4,IF($C39="银行间",$J39,$L39),$G39)))+W$2/100,情景分析!$D$7,"",,,,"",)*IF($H39="",1,$H39))</f>
        <v/>
      </c>
      <c r="X39" s="7" t="str">
        <f>IF($A39="","",[2]!B_CALC_PRICE($A39,$V$1,IF(情景分析!$D$6=1,$J39,IF(情景分析!$D$6=2,$E39,IF(情景分析!$D$6=4,IF($C39="银行间",$J39,$L39),$G39)))+X$2/100,情景分析!$D$7,"",,,,"",)*IF($H39="",1,$H39))</f>
        <v/>
      </c>
      <c r="Y39" s="7" t="str">
        <f>IF($A39="","",[2]!B_CALC_PRICE($A39,$V$1,IF(情景分析!$D$6=1,$J39,IF(情景分析!$D$6=2,$E39,IF(情景分析!$D$6=4,IF($C39="银行间",$J39,$L39),$G39)))+Y$2/100,情景分析!$D$7,"",,,,"",)*IF($H39="",1,$H39))</f>
        <v/>
      </c>
      <c r="Z39" s="7" t="str">
        <f>IF($A39="","",[2]!B_CALC_PRICE($A39,$V$1,IF(情景分析!$D$6=1,$J39,IF(情景分析!$D$6=2,$E39,IF(情景分析!$D$6=4,IF($C39="银行间",$J39,$L39),$G39)))+Z$2/100,情景分析!$D$7,"",,,,"",)*IF($H39="",1,$H39))</f>
        <v/>
      </c>
      <c r="AA39" s="7" t="str">
        <f>IF($A39="","",[2]!B_CALC_PRICE($A39,$V$1,IF(情景分析!$D$6=1,$J39,IF(情景分析!$D$6=2,$E39,IF(情景分析!$D$6=4,IF($C39="银行间",$J39,$L39),$G39)))+AA$2/100,情景分析!$D$7,"",,,,"",)*IF($H39="",1,$H39))</f>
        <v/>
      </c>
      <c r="AB39" s="7" t="str">
        <f>IF($A39="","",[2]!B_CALC_PRICE($A39,$V$1,IF(情景分析!$D$6=1,$J39,IF(情景分析!$D$6=2,$E39,IF(情景分析!$D$6=4,IF($C39="银行间",$J39,$L39),$G39)))+AB$2/100,情景分析!$D$7,"",,,,"",)*IF($H39="",1,$H39))</f>
        <v/>
      </c>
      <c r="AC39" s="7" t="str">
        <f>IF($A39="","",[2]!B_CALC_PRICE($A39,$AC$1,IF(情景分析!$D$6=1,$J39,IF(情景分析!$D$6=2,$E39,IF(情景分析!$D$6=4,IF($C39="银行间",$J39,$L39),$G39)))+AC$2/100,情景分析!$D$7,"",,,,"",)*IF($H39="",1,$H39))</f>
        <v/>
      </c>
      <c r="AD39" s="7" t="str">
        <f>IF($A39="","",[2]!B_CALC_PRICE($A39,$AC$1,IF(情景分析!$D$6=1,$J39,IF(情景分析!$D$6=2,$E39,IF(情景分析!$D$6=4,IF($C39="银行间",$J39,$L39),$G39)))+AD$2/100,情景分析!$D$7,"",,,,"",)*IF($H39="",1,$H39))</f>
        <v/>
      </c>
      <c r="AE39" s="7" t="str">
        <f>IF($A39="","",[2]!B_CALC_PRICE($A39,$AC$1,IF(情景分析!$D$6=1,$J39,IF(情景分析!$D$6=2,$E39,IF(情景分析!$D$6=4,IF($C39="银行间",$J39,$L39),$G39)))+AE$2/100,情景分析!$D$7,"",,,,"",)*IF($H39="",1,$H39))</f>
        <v/>
      </c>
      <c r="AF39" s="7" t="str">
        <f>IF($A39="","",[2]!B_CALC_PRICE($A39,$AC$1,IF(情景分析!$D$6=1,$J39,IF(情景分析!$D$6=2,$E39,IF(情景分析!$D$6=4,IF($C39="银行间",$J39,$L39),$G39)))+AF$2/100,情景分析!$D$7,"",,,,"",)*IF($H39="",1,$H39))</f>
        <v/>
      </c>
      <c r="AG39" s="7" t="str">
        <f>IF($A39="","",[2]!B_CALC_PRICE($A39,$AC$1,IF(情景分析!$D$6=1,$J39,IF(情景分析!$D$6=2,$E39,IF(情景分析!$D$6=4,IF($C39="银行间",$J39,$L39),$G39)))+AG$2/100,情景分析!$D$7,"",,,,"",)*IF($H39="",1,$H39))</f>
        <v/>
      </c>
      <c r="AH39" s="7" t="str">
        <f>IF($A39="","",[2]!B_CALC_PRICE($A39,$AC$1,IF(情景分析!$D$6=1,$J39,IF(情景分析!$D$6=2,$E39,IF(情景分析!$D$6=4,IF($C39="银行间",$J39,$L39),$G39)))+AH$2/100,情景分析!$D$7,"",,,,"",)*IF($H39="",1,$H39))</f>
        <v/>
      </c>
      <c r="AI39" s="7" t="str">
        <f>IF($A39="","",[2]!B_CALC_PRICE($A39,$AC$1,IF(情景分析!$D$6=1,$J39,IF(情景分析!$D$6=2,$E39,IF(情景分析!$D$6=4,IF($C39="银行间",$J39,$L39),$G39)))+AI$2/100,情景分析!$D$7,"",,,,"",)*IF($H39="",1,$H39))</f>
        <v/>
      </c>
      <c r="AJ39" s="7" t="str">
        <f>IF($A39="","",[2]!B_CALC_PRICE($A39,$AJ$1,IF(情景分析!$D$6=1,$J39,IF(情景分析!$D$6=2,$E39,IF(情景分析!$D$6=4,IF($C39="银行间",$J39,$L39),$G39)))+AJ$2/100,情景分析!$D$7,"",,,,"",)*IF($H39="",1,$H39))</f>
        <v/>
      </c>
      <c r="AK39" s="7" t="str">
        <f>IF($A39="","",[2]!B_CALC_PRICE($A39,$AJ$1,IF(情景分析!$D$6=1,$J39,IF(情景分析!$D$6=2,$E39,IF(情景分析!$D$6=4,IF($C39="银行间",$J39,$L39),$G39)))+AK$2/100,情景分析!$D$7,"",,,,"",)*IF($H39="",1,$H39))</f>
        <v/>
      </c>
      <c r="AL39" s="7" t="str">
        <f>IF($A39="","",[2]!B_CALC_PRICE($A39,$AJ$1,IF(情景分析!$D$6=1,$J39,IF(情景分析!$D$6=2,$E39,IF(情景分析!$D$6=4,IF($C39="银行间",$J39,$L39),$G39)))+AL$2/100,情景分析!$D$7,"",,,,"",)*IF($H39="",1,$H39))</f>
        <v/>
      </c>
      <c r="AM39" s="7" t="str">
        <f>IF($A39="","",[2]!B_CALC_PRICE($A39,$AJ$1,IF(情景分析!$D$6=1,$J39,IF(情景分析!$D$6=2,$E39,IF(情景分析!$D$6=4,IF($C39="银行间",$J39,$L39),$G39)))+AM$2/100,情景分析!$D$7,"",,,,"",)*IF($H39="",1,$H39))</f>
        <v/>
      </c>
      <c r="AN39" s="7" t="str">
        <f>IF($A39="","",[2]!B_CALC_PRICE($A39,$AJ$1,IF(情景分析!$D$6=1,$J39,IF(情景分析!$D$6=2,$E39,IF(情景分析!$D$6=4,IF($C39="银行间",$J39,$L39),$G39)))+AN$2/100,情景分析!$D$7,"",,,,"",)*IF($H39="",1,$H39))</f>
        <v/>
      </c>
      <c r="AO39" s="7" t="str">
        <f>IF($A39="","",[2]!B_CALC_PRICE($A39,$AJ$1,IF(情景分析!$D$6=1,$J39,IF(情景分析!$D$6=2,$E39,IF(情景分析!$D$6=4,IF($C39="银行间",$J39,$L39),$G39)))+AO$2/100,情景分析!$D$7,"",,,,"",)*IF($H39="",1,$H39))</f>
        <v/>
      </c>
      <c r="AP39" s="7" t="str">
        <f>IF($A39="","",[2]!B_CALC_PRICE($A39,$AJ$1,IF(情景分析!$D$6=1,$J39,IF(情景分析!$D$6=2,$E39,IF(情景分析!$D$6=4,IF($C39="银行间",$J39,$L39),$G39)))+AP$2/100,情景分析!$D$7,"",,,,"",)*IF($H39="",1,$H39))</f>
        <v/>
      </c>
      <c r="AQ39" s="7" t="str">
        <f>IF($A39="","",[2]!B_CALC_PRICE($A39,$AQ$1,IF(情景分析!$D$6=1,$J39,IF(情景分析!$D$6=2,$E39,IF(情景分析!$D$6=4,IF($C39="银行间",$J39,$L39),$G39)))+AQ$2/100,情景分析!$D$7,"",,,,"",)*IF($H39="",1,$H39))</f>
        <v/>
      </c>
      <c r="AR39" s="7" t="str">
        <f>IF($A39="","",[2]!B_CALC_PRICE($A39,$AQ$1,IF(情景分析!$D$6=1,$J39,IF(情景分析!$D$6=2,$E39,IF(情景分析!$D$6=4,IF($C39="银行间",$J39,$L39),$G39)))+AR$2/100,情景分析!$D$7,"",,,,"",)*IF($H39="",1,$H39))</f>
        <v/>
      </c>
      <c r="AS39" s="7" t="str">
        <f>IF($A39="","",[2]!B_CALC_PRICE($A39,$AQ$1,IF(情景分析!$D$6=1,$J39,IF(情景分析!$D$6=2,$E39,IF(情景分析!$D$6=4,IF($C39="银行间",$J39,$L39),$G39)))+AS$2/100,情景分析!$D$7,"",,,,"",)*IF($H39="",1,$H39))</f>
        <v/>
      </c>
      <c r="AT39" s="7" t="str">
        <f>IF($A39="","",[2]!B_CALC_PRICE($A39,$AQ$1,IF(情景分析!$D$6=1,$J39,IF(情景分析!$D$6=2,$E39,IF(情景分析!$D$6=4,IF($C39="银行间",$J39,$L39),$G39)))+AT$2/100,情景分析!$D$7,"",,,,"",)*IF($H39="",1,$H39))</f>
        <v/>
      </c>
      <c r="AU39" s="7" t="str">
        <f>IF($A39="","",[2]!B_CALC_PRICE($A39,$AQ$1,IF(情景分析!$D$6=1,$J39,IF(情景分析!$D$6=2,$E39,IF(情景分析!$D$6=4,IF($C39="银行间",$J39,$L39),$G39)))+AU$2/100,情景分析!$D$7,"",,,,"",)*IF($H39="",1,$H39))</f>
        <v/>
      </c>
      <c r="AV39" s="7" t="str">
        <f>IF($A39="","",[2]!B_CALC_PRICE($A39,$AQ$1,IF(情景分析!$D$6=1,$J39,IF(情景分析!$D$6=2,$E39,IF(情景分析!$D$6=4,IF($C39="银行间",$J39,$L39),$G39)))+AV$2/100,情景分析!$D$7,"",,,,"",)*IF($H39="",1,$H39))</f>
        <v/>
      </c>
      <c r="AW39" s="7" t="str">
        <f>IF($A39="","",[2]!B_CALC_PRICE($A39,$AQ$1,IF(情景分析!$D$6=1,$J39,IF(情景分析!$D$6=2,$E39,IF(情景分析!$D$6=4,IF($C39="银行间",$J39,$L39),$G39)))+AW$2/100,情景分析!$D$7,"",,,,"",)*IF($H39="",1,$H39))</f>
        <v/>
      </c>
    </row>
    <row r="40" spans="1:49" x14ac:dyDescent="0.15">
      <c r="A40" s="20"/>
      <c r="B40" s="7" t="str">
        <f>IF(A40="","",[2]!b_info_name(A40))</f>
        <v/>
      </c>
      <c r="C40" s="7" t="str">
        <f>[2]!b_info_listedmkt(A40)</f>
        <v>#N/A</v>
      </c>
      <c r="D40" s="7" t="str">
        <f>IFERROR(IF(A40="","", [2]!b_dq_avgprice(A40, 情景分析!$D$5, 情景分析!$D$7) * IF($H40="",1,$H40)),0)</f>
        <v/>
      </c>
      <c r="E40" s="7" t="str">
        <f>IF(A40="","", N([2]!b_dq_avgprice(A40,情景分析!$D$5,3)))</f>
        <v/>
      </c>
      <c r="F40" s="29" t="str">
        <f>IF($G40 = "",
"",
IFERROR(
[2]!b_calc_pv(A40, 情景分析!$D$5,$G40, "1", 情景分析!$D$7),
[2]!b_calc_pv(A40, 情景分析!$D$5,$G40, "2", 情景分析!$D$7)
)
)</f>
        <v/>
      </c>
      <c r="G40" s="22"/>
      <c r="H40" s="21"/>
      <c r="I40" s="7" t="str">
        <f>IF(A40="","",IF(情景分析!$D$7=1,[2]!b_anal_net_cnbd(A40,情景分析!$D$5,1),[2]!b_anal_dirty_cnbd(A40,情景分析!$D$5,1))*IF($H40="",1,$H40))</f>
        <v/>
      </c>
      <c r="J40" s="7" t="str">
        <f>IF(A40="","",[2]!b_anal_yield_cnbd(A40,情景分析!$D$5,1))</f>
        <v/>
      </c>
      <c r="K40" s="29" t="str">
        <f>IF(A40="","",IF(情景分析!$D$7=1,[2]!b_anal_net_csi1(A40,情景分析!$D$5,1),[2]!b_anal_dirty_csi1(A40,情景分析!$D$5,1))*IF($H40="",1,$H40))</f>
        <v/>
      </c>
      <c r="L40" s="29" t="str">
        <f>IF(A40="","",[2]!b_anal_yield_csi1(A40,情景分析!$D$5,1))</f>
        <v/>
      </c>
      <c r="M40" s="29" t="str">
        <f t="shared" si="4"/>
        <v/>
      </c>
      <c r="N40" s="29" t="str">
        <f t="shared" si="5"/>
        <v/>
      </c>
      <c r="O40" s="7" t="str">
        <f>IF($A40="","",[2]!B_CALC_PRICE($A40,$O$1,IF(情景分析!$D$6=1,$J40,IF(情景分析!$D$6=2,$E40,IF(情景分析!$D$6=4,IF($C40="银行间",$J40,$L40),$G40)))+O$2/100,情景分析!$D$7,"",,,,"",)*IF($H40="",1,$H40))</f>
        <v/>
      </c>
      <c r="P40" s="7" t="str">
        <f>IF($A40="","",[2]!B_CALC_PRICE($A40,$O$1,IF(情景分析!$D$6=1,$J40,IF(情景分析!$D$6=2,$E40,IF(情景分析!$D$6=4,IF($C40="银行间",$J40,$L40),$G40)))+P$2/100,情景分析!$D$7,"",,,,"",)*IF($H40="",1,$H40))</f>
        <v/>
      </c>
      <c r="Q40" s="7" t="str">
        <f>IF($A40="","",[2]!B_CALC_PRICE($A40,$O$1,IF(情景分析!$D$6=1,$J40,IF(情景分析!$D$6=2,$E40,IF(情景分析!$D$6=4,IF($C40="银行间",$J40,$L40),$G40)))+Q$2/100,情景分析!$D$7,"",,,,"",)*IF($H40="",1,$H40))</f>
        <v/>
      </c>
      <c r="R40" s="7" t="str">
        <f>IF($A40="","",[2]!B_CALC_PRICE($A40,$O$1,IF(情景分析!$D$6=1,$J40,IF(情景分析!$D$6=2,$E40,IF(情景分析!$D$6=4,IF($C40="银行间",$J40,$L40),$G40)))+R$2/100,情景分析!$D$7,"",,,,"",)*IF($H40="",1,$H40))</f>
        <v/>
      </c>
      <c r="S40" s="7" t="str">
        <f>IF($A40="","",[2]!B_CALC_PRICE($A40,$O$1,IF(情景分析!$D$6=1,$J40,IF(情景分析!$D$6=2,$E40,IF(情景分析!$D$6=4,IF($C40="银行间",$J40,$L40),$G40)))+S$2/100,情景分析!$D$7,"",,,,"",)*IF($H40="",1,$H40))</f>
        <v/>
      </c>
      <c r="T40" s="7" t="str">
        <f>IF($A40="","",[2]!B_CALC_PRICE($A40,$O$1,IF(情景分析!$D$6=1,$J40,IF(情景分析!$D$6=2,$E40,IF(情景分析!$D$6=4,IF($C40="银行间",$J40,$L40),$G40)))+T$2/100,情景分析!$D$7,"",,,,"",)*IF($H40="",1,$H40))</f>
        <v/>
      </c>
      <c r="U40" s="7" t="str">
        <f>IF($A40="","",[2]!B_CALC_PRICE($A40,$O$1,IF(情景分析!$D$6=1,$J40,IF(情景分析!$D$6=2,$E40,IF(情景分析!$D$6=4,IF($C40="银行间",$J40,$L40),$G40)))+U$2/100,情景分析!$D$7,"",,,,"",)*IF($H40="",1,$H40))</f>
        <v/>
      </c>
      <c r="V40" s="7" t="str">
        <f>IF($A40="","",[2]!B_CALC_PRICE($A40,$V$1,IF(情景分析!$D$6=1,$J40,IF(情景分析!$D$6=2,$E40,IF(情景分析!$D$6=4,IF($C40="银行间",$J40,$L40),$G40)))+V$2/100,情景分析!$D$7,"",,,,"",)*IF($H40="",1,$H40))</f>
        <v/>
      </c>
      <c r="W40" s="7" t="str">
        <f>IF($A40="","",[2]!B_CALC_PRICE($A40,$V$1,IF(情景分析!$D$6=1,$J40,IF(情景分析!$D$6=2,$E40,IF(情景分析!$D$6=4,IF($C40="银行间",$J40,$L40),$G40)))+W$2/100,情景分析!$D$7,"",,,,"",)*IF($H40="",1,$H40))</f>
        <v/>
      </c>
      <c r="X40" s="7" t="str">
        <f>IF($A40="","",[2]!B_CALC_PRICE($A40,$V$1,IF(情景分析!$D$6=1,$J40,IF(情景分析!$D$6=2,$E40,IF(情景分析!$D$6=4,IF($C40="银行间",$J40,$L40),$G40)))+X$2/100,情景分析!$D$7,"",,,,"",)*IF($H40="",1,$H40))</f>
        <v/>
      </c>
      <c r="Y40" s="7" t="str">
        <f>IF($A40="","",[2]!B_CALC_PRICE($A40,$V$1,IF(情景分析!$D$6=1,$J40,IF(情景分析!$D$6=2,$E40,IF(情景分析!$D$6=4,IF($C40="银行间",$J40,$L40),$G40)))+Y$2/100,情景分析!$D$7,"",,,,"",)*IF($H40="",1,$H40))</f>
        <v/>
      </c>
      <c r="Z40" s="7" t="str">
        <f>IF($A40="","",[2]!B_CALC_PRICE($A40,$V$1,IF(情景分析!$D$6=1,$J40,IF(情景分析!$D$6=2,$E40,IF(情景分析!$D$6=4,IF($C40="银行间",$J40,$L40),$G40)))+Z$2/100,情景分析!$D$7,"",,,,"",)*IF($H40="",1,$H40))</f>
        <v/>
      </c>
      <c r="AA40" s="7" t="str">
        <f>IF($A40="","",[2]!B_CALC_PRICE($A40,$V$1,IF(情景分析!$D$6=1,$J40,IF(情景分析!$D$6=2,$E40,IF(情景分析!$D$6=4,IF($C40="银行间",$J40,$L40),$G40)))+AA$2/100,情景分析!$D$7,"",,,,"",)*IF($H40="",1,$H40))</f>
        <v/>
      </c>
      <c r="AB40" s="7" t="str">
        <f>IF($A40="","",[2]!B_CALC_PRICE($A40,$V$1,IF(情景分析!$D$6=1,$J40,IF(情景分析!$D$6=2,$E40,IF(情景分析!$D$6=4,IF($C40="银行间",$J40,$L40),$G40)))+AB$2/100,情景分析!$D$7,"",,,,"",)*IF($H40="",1,$H40))</f>
        <v/>
      </c>
      <c r="AC40" s="7" t="str">
        <f>IF($A40="","",[2]!B_CALC_PRICE($A40,$AC$1,IF(情景分析!$D$6=1,$J40,IF(情景分析!$D$6=2,$E40,IF(情景分析!$D$6=4,IF($C40="银行间",$J40,$L40),$G40)))+AC$2/100,情景分析!$D$7,"",,,,"",)*IF($H40="",1,$H40))</f>
        <v/>
      </c>
      <c r="AD40" s="7" t="str">
        <f>IF($A40="","",[2]!B_CALC_PRICE($A40,$AC$1,IF(情景分析!$D$6=1,$J40,IF(情景分析!$D$6=2,$E40,IF(情景分析!$D$6=4,IF($C40="银行间",$J40,$L40),$G40)))+AD$2/100,情景分析!$D$7,"",,,,"",)*IF($H40="",1,$H40))</f>
        <v/>
      </c>
      <c r="AE40" s="7" t="str">
        <f>IF($A40="","",[2]!B_CALC_PRICE($A40,$AC$1,IF(情景分析!$D$6=1,$J40,IF(情景分析!$D$6=2,$E40,IF(情景分析!$D$6=4,IF($C40="银行间",$J40,$L40),$G40)))+AE$2/100,情景分析!$D$7,"",,,,"",)*IF($H40="",1,$H40))</f>
        <v/>
      </c>
      <c r="AF40" s="7" t="str">
        <f>IF($A40="","",[2]!B_CALC_PRICE($A40,$AC$1,IF(情景分析!$D$6=1,$J40,IF(情景分析!$D$6=2,$E40,IF(情景分析!$D$6=4,IF($C40="银行间",$J40,$L40),$G40)))+AF$2/100,情景分析!$D$7,"",,,,"",)*IF($H40="",1,$H40))</f>
        <v/>
      </c>
      <c r="AG40" s="7" t="str">
        <f>IF($A40="","",[2]!B_CALC_PRICE($A40,$AC$1,IF(情景分析!$D$6=1,$J40,IF(情景分析!$D$6=2,$E40,IF(情景分析!$D$6=4,IF($C40="银行间",$J40,$L40),$G40)))+AG$2/100,情景分析!$D$7,"",,,,"",)*IF($H40="",1,$H40))</f>
        <v/>
      </c>
      <c r="AH40" s="7" t="str">
        <f>IF($A40="","",[2]!B_CALC_PRICE($A40,$AC$1,IF(情景分析!$D$6=1,$J40,IF(情景分析!$D$6=2,$E40,IF(情景分析!$D$6=4,IF($C40="银行间",$J40,$L40),$G40)))+AH$2/100,情景分析!$D$7,"",,,,"",)*IF($H40="",1,$H40))</f>
        <v/>
      </c>
      <c r="AI40" s="7" t="str">
        <f>IF($A40="","",[2]!B_CALC_PRICE($A40,$AC$1,IF(情景分析!$D$6=1,$J40,IF(情景分析!$D$6=2,$E40,IF(情景分析!$D$6=4,IF($C40="银行间",$J40,$L40),$G40)))+AI$2/100,情景分析!$D$7,"",,,,"",)*IF($H40="",1,$H40))</f>
        <v/>
      </c>
      <c r="AJ40" s="7" t="str">
        <f>IF($A40="","",[2]!B_CALC_PRICE($A40,$AJ$1,IF(情景分析!$D$6=1,$J40,IF(情景分析!$D$6=2,$E40,IF(情景分析!$D$6=4,IF($C40="银行间",$J40,$L40),$G40)))+AJ$2/100,情景分析!$D$7,"",,,,"",)*IF($H40="",1,$H40))</f>
        <v/>
      </c>
      <c r="AK40" s="7" t="str">
        <f>IF($A40="","",[2]!B_CALC_PRICE($A40,$AJ$1,IF(情景分析!$D$6=1,$J40,IF(情景分析!$D$6=2,$E40,IF(情景分析!$D$6=4,IF($C40="银行间",$J40,$L40),$G40)))+AK$2/100,情景分析!$D$7,"",,,,"",)*IF($H40="",1,$H40))</f>
        <v/>
      </c>
      <c r="AL40" s="7" t="str">
        <f>IF($A40="","",[2]!B_CALC_PRICE($A40,$AJ$1,IF(情景分析!$D$6=1,$J40,IF(情景分析!$D$6=2,$E40,IF(情景分析!$D$6=4,IF($C40="银行间",$J40,$L40),$G40)))+AL$2/100,情景分析!$D$7,"",,,,"",)*IF($H40="",1,$H40))</f>
        <v/>
      </c>
      <c r="AM40" s="7" t="str">
        <f>IF($A40="","",[2]!B_CALC_PRICE($A40,$AJ$1,IF(情景分析!$D$6=1,$J40,IF(情景分析!$D$6=2,$E40,IF(情景分析!$D$6=4,IF($C40="银行间",$J40,$L40),$G40)))+AM$2/100,情景分析!$D$7,"",,,,"",)*IF($H40="",1,$H40))</f>
        <v/>
      </c>
      <c r="AN40" s="7" t="str">
        <f>IF($A40="","",[2]!B_CALC_PRICE($A40,$AJ$1,IF(情景分析!$D$6=1,$J40,IF(情景分析!$D$6=2,$E40,IF(情景分析!$D$6=4,IF($C40="银行间",$J40,$L40),$G40)))+AN$2/100,情景分析!$D$7,"",,,,"",)*IF($H40="",1,$H40))</f>
        <v/>
      </c>
      <c r="AO40" s="7" t="str">
        <f>IF($A40="","",[2]!B_CALC_PRICE($A40,$AJ$1,IF(情景分析!$D$6=1,$J40,IF(情景分析!$D$6=2,$E40,IF(情景分析!$D$6=4,IF($C40="银行间",$J40,$L40),$G40)))+AO$2/100,情景分析!$D$7,"",,,,"",)*IF($H40="",1,$H40))</f>
        <v/>
      </c>
      <c r="AP40" s="7" t="str">
        <f>IF($A40="","",[2]!B_CALC_PRICE($A40,$AJ$1,IF(情景分析!$D$6=1,$J40,IF(情景分析!$D$6=2,$E40,IF(情景分析!$D$6=4,IF($C40="银行间",$J40,$L40),$G40)))+AP$2/100,情景分析!$D$7,"",,,,"",)*IF($H40="",1,$H40))</f>
        <v/>
      </c>
      <c r="AQ40" s="7" t="str">
        <f>IF($A40="","",[2]!B_CALC_PRICE($A40,$AQ$1,IF(情景分析!$D$6=1,$J40,IF(情景分析!$D$6=2,$E40,IF(情景分析!$D$6=4,IF($C40="银行间",$J40,$L40),$G40)))+AQ$2/100,情景分析!$D$7,"",,,,"",)*IF($H40="",1,$H40))</f>
        <v/>
      </c>
      <c r="AR40" s="7" t="str">
        <f>IF($A40="","",[2]!B_CALC_PRICE($A40,$AQ$1,IF(情景分析!$D$6=1,$J40,IF(情景分析!$D$6=2,$E40,IF(情景分析!$D$6=4,IF($C40="银行间",$J40,$L40),$G40)))+AR$2/100,情景分析!$D$7,"",,,,"",)*IF($H40="",1,$H40))</f>
        <v/>
      </c>
      <c r="AS40" s="7" t="str">
        <f>IF($A40="","",[2]!B_CALC_PRICE($A40,$AQ$1,IF(情景分析!$D$6=1,$J40,IF(情景分析!$D$6=2,$E40,IF(情景分析!$D$6=4,IF($C40="银行间",$J40,$L40),$G40)))+AS$2/100,情景分析!$D$7,"",,,,"",)*IF($H40="",1,$H40))</f>
        <v/>
      </c>
      <c r="AT40" s="7" t="str">
        <f>IF($A40="","",[2]!B_CALC_PRICE($A40,$AQ$1,IF(情景分析!$D$6=1,$J40,IF(情景分析!$D$6=2,$E40,IF(情景分析!$D$6=4,IF($C40="银行间",$J40,$L40),$G40)))+AT$2/100,情景分析!$D$7,"",,,,"",)*IF($H40="",1,$H40))</f>
        <v/>
      </c>
      <c r="AU40" s="7" t="str">
        <f>IF($A40="","",[2]!B_CALC_PRICE($A40,$AQ$1,IF(情景分析!$D$6=1,$J40,IF(情景分析!$D$6=2,$E40,IF(情景分析!$D$6=4,IF($C40="银行间",$J40,$L40),$G40)))+AU$2/100,情景分析!$D$7,"",,,,"",)*IF($H40="",1,$H40))</f>
        <v/>
      </c>
      <c r="AV40" s="7" t="str">
        <f>IF($A40="","",[2]!B_CALC_PRICE($A40,$AQ$1,IF(情景分析!$D$6=1,$J40,IF(情景分析!$D$6=2,$E40,IF(情景分析!$D$6=4,IF($C40="银行间",$J40,$L40),$G40)))+AV$2/100,情景分析!$D$7,"",,,,"",)*IF($H40="",1,$H40))</f>
        <v/>
      </c>
      <c r="AW40" s="7" t="str">
        <f>IF($A40="","",[2]!B_CALC_PRICE($A40,$AQ$1,IF(情景分析!$D$6=1,$J40,IF(情景分析!$D$6=2,$E40,IF(情景分析!$D$6=4,IF($C40="银行间",$J40,$L40),$G40)))+AW$2/100,情景分析!$D$7,"",,,,"",)*IF($H40="",1,$H40))</f>
        <v/>
      </c>
    </row>
    <row r="41" spans="1:49" x14ac:dyDescent="0.15">
      <c r="A41" s="20"/>
      <c r="B41" s="7" t="str">
        <f>IF(A41="","",[2]!b_info_name(A41))</f>
        <v/>
      </c>
      <c r="C41" s="7" t="str">
        <f>[2]!b_info_listedmkt(A41)</f>
        <v>#N/A</v>
      </c>
      <c r="D41" s="7" t="str">
        <f>IFERROR(IF(A41="","", [2]!b_dq_avgprice(A41, 情景分析!$D$5, 情景分析!$D$7) * IF($H41="",1,$H41)),0)</f>
        <v/>
      </c>
      <c r="E41" s="7" t="str">
        <f>IF(A41="","", N([2]!b_dq_avgprice(A41,情景分析!$D$5,3)))</f>
        <v/>
      </c>
      <c r="F41" s="29" t="str">
        <f>IF($G41 = "",
"",
IFERROR(
[2]!b_calc_pv(A41, 情景分析!$D$5,$G41, "1", 情景分析!$D$7),
[2]!b_calc_pv(A41, 情景分析!$D$5,$G41, "2", 情景分析!$D$7)
)
)</f>
        <v/>
      </c>
      <c r="G41" s="22"/>
      <c r="H41" s="21"/>
      <c r="I41" s="7" t="str">
        <f>IF(A41="","",IF(情景分析!$D$7=1,[2]!b_anal_net_cnbd(A41,情景分析!$D$5,1),[2]!b_anal_dirty_cnbd(A41,情景分析!$D$5,1))*IF($H41="",1,$H41))</f>
        <v/>
      </c>
      <c r="J41" s="7" t="str">
        <f>IF(A41="","",[2]!b_anal_yield_cnbd(A41,情景分析!$D$5,1))</f>
        <v/>
      </c>
      <c r="K41" s="29" t="str">
        <f>IF(A41="","",IF(情景分析!$D$7=1,[2]!b_anal_net_csi1(A41,情景分析!$D$5,1),[2]!b_anal_dirty_csi1(A41,情景分析!$D$5,1))*IF($H41="",1,$H41))</f>
        <v/>
      </c>
      <c r="L41" s="29" t="str">
        <f>IF(A41="","",[2]!b_anal_yield_csi1(A41,情景分析!$D$5,1))</f>
        <v/>
      </c>
      <c r="M41" s="29" t="str">
        <f t="shared" si="4"/>
        <v/>
      </c>
      <c r="N41" s="29" t="str">
        <f t="shared" si="5"/>
        <v/>
      </c>
      <c r="O41" s="7" t="str">
        <f>IF($A41="","",[2]!B_CALC_PRICE($A41,$O$1,IF(情景分析!$D$6=1,$J41,IF(情景分析!$D$6=2,$E41,IF(情景分析!$D$6=4,IF($C41="银行间",$J41,$L41),$G41)))+O$2/100,情景分析!$D$7,"",,,,"",)*IF($H41="",1,$H41))</f>
        <v/>
      </c>
      <c r="P41" s="7" t="str">
        <f>IF($A41="","",[2]!B_CALC_PRICE($A41,$O$1,IF(情景分析!$D$6=1,$J41,IF(情景分析!$D$6=2,$E41,IF(情景分析!$D$6=4,IF($C41="银行间",$J41,$L41),$G41)))+P$2/100,情景分析!$D$7,"",,,,"",)*IF($H41="",1,$H41))</f>
        <v/>
      </c>
      <c r="Q41" s="7" t="str">
        <f>IF($A41="","",[2]!B_CALC_PRICE($A41,$O$1,IF(情景分析!$D$6=1,$J41,IF(情景分析!$D$6=2,$E41,IF(情景分析!$D$6=4,IF($C41="银行间",$J41,$L41),$G41)))+Q$2/100,情景分析!$D$7,"",,,,"",)*IF($H41="",1,$H41))</f>
        <v/>
      </c>
      <c r="R41" s="7" t="str">
        <f>IF($A41="","",[2]!B_CALC_PRICE($A41,$O$1,IF(情景分析!$D$6=1,$J41,IF(情景分析!$D$6=2,$E41,IF(情景分析!$D$6=4,IF($C41="银行间",$J41,$L41),$G41)))+R$2/100,情景分析!$D$7,"",,,,"",)*IF($H41="",1,$H41))</f>
        <v/>
      </c>
      <c r="S41" s="7" t="str">
        <f>IF($A41="","",[2]!B_CALC_PRICE($A41,$O$1,IF(情景分析!$D$6=1,$J41,IF(情景分析!$D$6=2,$E41,IF(情景分析!$D$6=4,IF($C41="银行间",$J41,$L41),$G41)))+S$2/100,情景分析!$D$7,"",,,,"",)*IF($H41="",1,$H41))</f>
        <v/>
      </c>
      <c r="T41" s="7" t="str">
        <f>IF($A41="","",[2]!B_CALC_PRICE($A41,$O$1,IF(情景分析!$D$6=1,$J41,IF(情景分析!$D$6=2,$E41,IF(情景分析!$D$6=4,IF($C41="银行间",$J41,$L41),$G41)))+T$2/100,情景分析!$D$7,"",,,,"",)*IF($H41="",1,$H41))</f>
        <v/>
      </c>
      <c r="U41" s="7" t="str">
        <f>IF($A41="","",[2]!B_CALC_PRICE($A41,$O$1,IF(情景分析!$D$6=1,$J41,IF(情景分析!$D$6=2,$E41,IF(情景分析!$D$6=4,IF($C41="银行间",$J41,$L41),$G41)))+U$2/100,情景分析!$D$7,"",,,,"",)*IF($H41="",1,$H41))</f>
        <v/>
      </c>
      <c r="V41" s="7" t="str">
        <f>IF($A41="","",[2]!B_CALC_PRICE($A41,$V$1,IF(情景分析!$D$6=1,$J41,IF(情景分析!$D$6=2,$E41,IF(情景分析!$D$6=4,IF($C41="银行间",$J41,$L41),$G41)))+V$2/100,情景分析!$D$7,"",,,,"",)*IF($H41="",1,$H41))</f>
        <v/>
      </c>
      <c r="W41" s="7" t="str">
        <f>IF($A41="","",[2]!B_CALC_PRICE($A41,$V$1,IF(情景分析!$D$6=1,$J41,IF(情景分析!$D$6=2,$E41,IF(情景分析!$D$6=4,IF($C41="银行间",$J41,$L41),$G41)))+W$2/100,情景分析!$D$7,"",,,,"",)*IF($H41="",1,$H41))</f>
        <v/>
      </c>
      <c r="X41" s="7" t="str">
        <f>IF($A41="","",[2]!B_CALC_PRICE($A41,$V$1,IF(情景分析!$D$6=1,$J41,IF(情景分析!$D$6=2,$E41,IF(情景分析!$D$6=4,IF($C41="银行间",$J41,$L41),$G41)))+X$2/100,情景分析!$D$7,"",,,,"",)*IF($H41="",1,$H41))</f>
        <v/>
      </c>
      <c r="Y41" s="7" t="str">
        <f>IF($A41="","",[2]!B_CALC_PRICE($A41,$V$1,IF(情景分析!$D$6=1,$J41,IF(情景分析!$D$6=2,$E41,IF(情景分析!$D$6=4,IF($C41="银行间",$J41,$L41),$G41)))+Y$2/100,情景分析!$D$7,"",,,,"",)*IF($H41="",1,$H41))</f>
        <v/>
      </c>
      <c r="Z41" s="7" t="str">
        <f>IF($A41="","",[2]!B_CALC_PRICE($A41,$V$1,IF(情景分析!$D$6=1,$J41,IF(情景分析!$D$6=2,$E41,IF(情景分析!$D$6=4,IF($C41="银行间",$J41,$L41),$G41)))+Z$2/100,情景分析!$D$7,"",,,,"",)*IF($H41="",1,$H41))</f>
        <v/>
      </c>
      <c r="AA41" s="7" t="str">
        <f>IF($A41="","",[2]!B_CALC_PRICE($A41,$V$1,IF(情景分析!$D$6=1,$J41,IF(情景分析!$D$6=2,$E41,IF(情景分析!$D$6=4,IF($C41="银行间",$J41,$L41),$G41)))+AA$2/100,情景分析!$D$7,"",,,,"",)*IF($H41="",1,$H41))</f>
        <v/>
      </c>
      <c r="AB41" s="7" t="str">
        <f>IF($A41="","",[2]!B_CALC_PRICE($A41,$V$1,IF(情景分析!$D$6=1,$J41,IF(情景分析!$D$6=2,$E41,IF(情景分析!$D$6=4,IF($C41="银行间",$J41,$L41),$G41)))+AB$2/100,情景分析!$D$7,"",,,,"",)*IF($H41="",1,$H41))</f>
        <v/>
      </c>
      <c r="AC41" s="7" t="str">
        <f>IF($A41="","",[2]!B_CALC_PRICE($A41,$AC$1,IF(情景分析!$D$6=1,$J41,IF(情景分析!$D$6=2,$E41,IF(情景分析!$D$6=4,IF($C41="银行间",$J41,$L41),$G41)))+AC$2/100,情景分析!$D$7,"",,,,"",)*IF($H41="",1,$H41))</f>
        <v/>
      </c>
      <c r="AD41" s="7" t="str">
        <f>IF($A41="","",[2]!B_CALC_PRICE($A41,$AC$1,IF(情景分析!$D$6=1,$J41,IF(情景分析!$D$6=2,$E41,IF(情景分析!$D$6=4,IF($C41="银行间",$J41,$L41),$G41)))+AD$2/100,情景分析!$D$7,"",,,,"",)*IF($H41="",1,$H41))</f>
        <v/>
      </c>
      <c r="AE41" s="7" t="str">
        <f>IF($A41="","",[2]!B_CALC_PRICE($A41,$AC$1,IF(情景分析!$D$6=1,$J41,IF(情景分析!$D$6=2,$E41,IF(情景分析!$D$6=4,IF($C41="银行间",$J41,$L41),$G41)))+AE$2/100,情景分析!$D$7,"",,,,"",)*IF($H41="",1,$H41))</f>
        <v/>
      </c>
      <c r="AF41" s="7" t="str">
        <f>IF($A41="","",[2]!B_CALC_PRICE($A41,$AC$1,IF(情景分析!$D$6=1,$J41,IF(情景分析!$D$6=2,$E41,IF(情景分析!$D$6=4,IF($C41="银行间",$J41,$L41),$G41)))+AF$2/100,情景分析!$D$7,"",,,,"",)*IF($H41="",1,$H41))</f>
        <v/>
      </c>
      <c r="AG41" s="7" t="str">
        <f>IF($A41="","",[2]!B_CALC_PRICE($A41,$AC$1,IF(情景分析!$D$6=1,$J41,IF(情景分析!$D$6=2,$E41,IF(情景分析!$D$6=4,IF($C41="银行间",$J41,$L41),$G41)))+AG$2/100,情景分析!$D$7,"",,,,"",)*IF($H41="",1,$H41))</f>
        <v/>
      </c>
      <c r="AH41" s="7" t="str">
        <f>IF($A41="","",[2]!B_CALC_PRICE($A41,$AC$1,IF(情景分析!$D$6=1,$J41,IF(情景分析!$D$6=2,$E41,IF(情景分析!$D$6=4,IF($C41="银行间",$J41,$L41),$G41)))+AH$2/100,情景分析!$D$7,"",,,,"",)*IF($H41="",1,$H41))</f>
        <v/>
      </c>
      <c r="AI41" s="7" t="str">
        <f>IF($A41="","",[2]!B_CALC_PRICE($A41,$AC$1,IF(情景分析!$D$6=1,$J41,IF(情景分析!$D$6=2,$E41,IF(情景分析!$D$6=4,IF($C41="银行间",$J41,$L41),$G41)))+AI$2/100,情景分析!$D$7,"",,,,"",)*IF($H41="",1,$H41))</f>
        <v/>
      </c>
      <c r="AJ41" s="7" t="str">
        <f>IF($A41="","",[2]!B_CALC_PRICE($A41,$AJ$1,IF(情景分析!$D$6=1,$J41,IF(情景分析!$D$6=2,$E41,IF(情景分析!$D$6=4,IF($C41="银行间",$J41,$L41),$G41)))+AJ$2/100,情景分析!$D$7,"",,,,"",)*IF($H41="",1,$H41))</f>
        <v/>
      </c>
      <c r="AK41" s="7" t="str">
        <f>IF($A41="","",[2]!B_CALC_PRICE($A41,$AJ$1,IF(情景分析!$D$6=1,$J41,IF(情景分析!$D$6=2,$E41,IF(情景分析!$D$6=4,IF($C41="银行间",$J41,$L41),$G41)))+AK$2/100,情景分析!$D$7,"",,,,"",)*IF($H41="",1,$H41))</f>
        <v/>
      </c>
      <c r="AL41" s="7" t="str">
        <f>IF($A41="","",[2]!B_CALC_PRICE($A41,$AJ$1,IF(情景分析!$D$6=1,$J41,IF(情景分析!$D$6=2,$E41,IF(情景分析!$D$6=4,IF($C41="银行间",$J41,$L41),$G41)))+AL$2/100,情景分析!$D$7,"",,,,"",)*IF($H41="",1,$H41))</f>
        <v/>
      </c>
      <c r="AM41" s="7" t="str">
        <f>IF($A41="","",[2]!B_CALC_PRICE($A41,$AJ$1,IF(情景分析!$D$6=1,$J41,IF(情景分析!$D$6=2,$E41,IF(情景分析!$D$6=4,IF($C41="银行间",$J41,$L41),$G41)))+AM$2/100,情景分析!$D$7,"",,,,"",)*IF($H41="",1,$H41))</f>
        <v/>
      </c>
      <c r="AN41" s="7" t="str">
        <f>IF($A41="","",[2]!B_CALC_PRICE($A41,$AJ$1,IF(情景分析!$D$6=1,$J41,IF(情景分析!$D$6=2,$E41,IF(情景分析!$D$6=4,IF($C41="银行间",$J41,$L41),$G41)))+AN$2/100,情景分析!$D$7,"",,,,"",)*IF($H41="",1,$H41))</f>
        <v/>
      </c>
      <c r="AO41" s="7" t="str">
        <f>IF($A41="","",[2]!B_CALC_PRICE($A41,$AJ$1,IF(情景分析!$D$6=1,$J41,IF(情景分析!$D$6=2,$E41,IF(情景分析!$D$6=4,IF($C41="银行间",$J41,$L41),$G41)))+AO$2/100,情景分析!$D$7,"",,,,"",)*IF($H41="",1,$H41))</f>
        <v/>
      </c>
      <c r="AP41" s="7" t="str">
        <f>IF($A41="","",[2]!B_CALC_PRICE($A41,$AJ$1,IF(情景分析!$D$6=1,$J41,IF(情景分析!$D$6=2,$E41,IF(情景分析!$D$6=4,IF($C41="银行间",$J41,$L41),$G41)))+AP$2/100,情景分析!$D$7,"",,,,"",)*IF($H41="",1,$H41))</f>
        <v/>
      </c>
      <c r="AQ41" s="7" t="str">
        <f>IF($A41="","",[2]!B_CALC_PRICE($A41,$AQ$1,IF(情景分析!$D$6=1,$J41,IF(情景分析!$D$6=2,$E41,IF(情景分析!$D$6=4,IF($C41="银行间",$J41,$L41),$G41)))+AQ$2/100,情景分析!$D$7,"",,,,"",)*IF($H41="",1,$H41))</f>
        <v/>
      </c>
      <c r="AR41" s="7" t="str">
        <f>IF($A41="","",[2]!B_CALC_PRICE($A41,$AQ$1,IF(情景分析!$D$6=1,$J41,IF(情景分析!$D$6=2,$E41,IF(情景分析!$D$6=4,IF($C41="银行间",$J41,$L41),$G41)))+AR$2/100,情景分析!$D$7,"",,,,"",)*IF($H41="",1,$H41))</f>
        <v/>
      </c>
      <c r="AS41" s="7" t="str">
        <f>IF($A41="","",[2]!B_CALC_PRICE($A41,$AQ$1,IF(情景分析!$D$6=1,$J41,IF(情景分析!$D$6=2,$E41,IF(情景分析!$D$6=4,IF($C41="银行间",$J41,$L41),$G41)))+AS$2/100,情景分析!$D$7,"",,,,"",)*IF($H41="",1,$H41))</f>
        <v/>
      </c>
      <c r="AT41" s="7" t="str">
        <f>IF($A41="","",[2]!B_CALC_PRICE($A41,$AQ$1,IF(情景分析!$D$6=1,$J41,IF(情景分析!$D$6=2,$E41,IF(情景分析!$D$6=4,IF($C41="银行间",$J41,$L41),$G41)))+AT$2/100,情景分析!$D$7,"",,,,"",)*IF($H41="",1,$H41))</f>
        <v/>
      </c>
      <c r="AU41" s="7" t="str">
        <f>IF($A41="","",[2]!B_CALC_PRICE($A41,$AQ$1,IF(情景分析!$D$6=1,$J41,IF(情景分析!$D$6=2,$E41,IF(情景分析!$D$6=4,IF($C41="银行间",$J41,$L41),$G41)))+AU$2/100,情景分析!$D$7,"",,,,"",)*IF($H41="",1,$H41))</f>
        <v/>
      </c>
      <c r="AV41" s="7" t="str">
        <f>IF($A41="","",[2]!B_CALC_PRICE($A41,$AQ$1,IF(情景分析!$D$6=1,$J41,IF(情景分析!$D$6=2,$E41,IF(情景分析!$D$6=4,IF($C41="银行间",$J41,$L41),$G41)))+AV$2/100,情景分析!$D$7,"",,,,"",)*IF($H41="",1,$H41))</f>
        <v/>
      </c>
      <c r="AW41" s="7" t="str">
        <f>IF($A41="","",[2]!B_CALC_PRICE($A41,$AQ$1,IF(情景分析!$D$6=1,$J41,IF(情景分析!$D$6=2,$E41,IF(情景分析!$D$6=4,IF($C41="银行间",$J41,$L41),$G41)))+AW$2/100,情景分析!$D$7,"",,,,"",)*IF($H41="",1,$H41))</f>
        <v/>
      </c>
    </row>
    <row r="42" spans="1:49" x14ac:dyDescent="0.15">
      <c r="A42" s="20"/>
      <c r="B42" s="7" t="str">
        <f>IF(A42="","",[2]!b_info_name(A42))</f>
        <v/>
      </c>
      <c r="C42" s="7" t="str">
        <f>[2]!b_info_listedmkt(A42)</f>
        <v>#N/A</v>
      </c>
      <c r="D42" s="7" t="str">
        <f>IFERROR(IF(A42="","", [2]!b_dq_avgprice(A42, 情景分析!$D$5, 情景分析!$D$7) * IF($H42="",1,$H42)),0)</f>
        <v/>
      </c>
      <c r="E42" s="7" t="str">
        <f>IF(A42="","", N([2]!b_dq_avgprice(A42,情景分析!$D$5,3)))</f>
        <v/>
      </c>
      <c r="F42" s="29" t="str">
        <f>IF($G42 = "",
"",
IFERROR(
[2]!b_calc_pv(A42, 情景分析!$D$5,$G42, "1", 情景分析!$D$7),
[2]!b_calc_pv(A42, 情景分析!$D$5,$G42, "2", 情景分析!$D$7)
)
)</f>
        <v/>
      </c>
      <c r="G42" s="22"/>
      <c r="H42" s="21"/>
      <c r="I42" s="7" t="str">
        <f>IF(A42="","",IF(情景分析!$D$7=1,[2]!b_anal_net_cnbd(A42,情景分析!$D$5,1),[2]!b_anal_dirty_cnbd(A42,情景分析!$D$5,1))*IF($H42="",1,$H42))</f>
        <v/>
      </c>
      <c r="J42" s="7" t="str">
        <f>IF(A42="","",[2]!b_anal_yield_cnbd(A42,情景分析!$D$5,1))</f>
        <v/>
      </c>
      <c r="K42" s="29" t="str">
        <f>IF(A42="","",IF(情景分析!$D$7=1,[2]!b_anal_net_csi1(A42,情景分析!$D$5,1),[2]!b_anal_dirty_csi1(A42,情景分析!$D$5,1))*IF($H42="",1,$H42))</f>
        <v/>
      </c>
      <c r="L42" s="29" t="str">
        <f>IF(A42="","",[2]!b_anal_yield_csi1(A42,情景分析!$D$5,1))</f>
        <v/>
      </c>
      <c r="M42" s="29" t="str">
        <f t="shared" si="4"/>
        <v/>
      </c>
      <c r="N42" s="29" t="str">
        <f t="shared" si="5"/>
        <v/>
      </c>
      <c r="O42" s="7" t="str">
        <f>IF($A42="","",[2]!B_CALC_PRICE($A42,$O$1,IF(情景分析!$D$6=1,$J42,IF(情景分析!$D$6=2,$E42,IF(情景分析!$D$6=4,IF($C42="银行间",$J42,$L42),$G42)))+O$2/100,情景分析!$D$7,"",,,,"",)*IF($H42="",1,$H42))</f>
        <v/>
      </c>
      <c r="P42" s="7" t="str">
        <f>IF($A42="","",[2]!B_CALC_PRICE($A42,$O$1,IF(情景分析!$D$6=1,$J42,IF(情景分析!$D$6=2,$E42,IF(情景分析!$D$6=4,IF($C42="银行间",$J42,$L42),$G42)))+P$2/100,情景分析!$D$7,"",,,,"",)*IF($H42="",1,$H42))</f>
        <v/>
      </c>
      <c r="Q42" s="7" t="str">
        <f>IF($A42="","",[2]!B_CALC_PRICE($A42,$O$1,IF(情景分析!$D$6=1,$J42,IF(情景分析!$D$6=2,$E42,IF(情景分析!$D$6=4,IF($C42="银行间",$J42,$L42),$G42)))+Q$2/100,情景分析!$D$7,"",,,,"",)*IF($H42="",1,$H42))</f>
        <v/>
      </c>
      <c r="R42" s="7" t="str">
        <f>IF($A42="","",[2]!B_CALC_PRICE($A42,$O$1,IF(情景分析!$D$6=1,$J42,IF(情景分析!$D$6=2,$E42,IF(情景分析!$D$6=4,IF($C42="银行间",$J42,$L42),$G42)))+R$2/100,情景分析!$D$7,"",,,,"",)*IF($H42="",1,$H42))</f>
        <v/>
      </c>
      <c r="S42" s="7" t="str">
        <f>IF($A42="","",[2]!B_CALC_PRICE($A42,$O$1,IF(情景分析!$D$6=1,$J42,IF(情景分析!$D$6=2,$E42,IF(情景分析!$D$6=4,IF($C42="银行间",$J42,$L42),$G42)))+S$2/100,情景分析!$D$7,"",,,,"",)*IF($H42="",1,$H42))</f>
        <v/>
      </c>
      <c r="T42" s="7" t="str">
        <f>IF($A42="","",[2]!B_CALC_PRICE($A42,$O$1,IF(情景分析!$D$6=1,$J42,IF(情景分析!$D$6=2,$E42,IF(情景分析!$D$6=4,IF($C42="银行间",$J42,$L42),$G42)))+T$2/100,情景分析!$D$7,"",,,,"",)*IF($H42="",1,$H42))</f>
        <v/>
      </c>
      <c r="U42" s="7" t="str">
        <f>IF($A42="","",[2]!B_CALC_PRICE($A42,$O$1,IF(情景分析!$D$6=1,$J42,IF(情景分析!$D$6=2,$E42,IF(情景分析!$D$6=4,IF($C42="银行间",$J42,$L42),$G42)))+U$2/100,情景分析!$D$7,"",,,,"",)*IF($H42="",1,$H42))</f>
        <v/>
      </c>
      <c r="V42" s="7" t="str">
        <f>IF($A42="","",[2]!B_CALC_PRICE($A42,$V$1,IF(情景分析!$D$6=1,$J42,IF(情景分析!$D$6=2,$E42,IF(情景分析!$D$6=4,IF($C42="银行间",$J42,$L42),$G42)))+V$2/100,情景分析!$D$7,"",,,,"",)*IF($H42="",1,$H42))</f>
        <v/>
      </c>
      <c r="W42" s="7" t="str">
        <f>IF($A42="","",[2]!B_CALC_PRICE($A42,$V$1,IF(情景分析!$D$6=1,$J42,IF(情景分析!$D$6=2,$E42,IF(情景分析!$D$6=4,IF($C42="银行间",$J42,$L42),$G42)))+W$2/100,情景分析!$D$7,"",,,,"",)*IF($H42="",1,$H42))</f>
        <v/>
      </c>
      <c r="X42" s="7" t="str">
        <f>IF($A42="","",[2]!B_CALC_PRICE($A42,$V$1,IF(情景分析!$D$6=1,$J42,IF(情景分析!$D$6=2,$E42,IF(情景分析!$D$6=4,IF($C42="银行间",$J42,$L42),$G42)))+X$2/100,情景分析!$D$7,"",,,,"",)*IF($H42="",1,$H42))</f>
        <v/>
      </c>
      <c r="Y42" s="7" t="str">
        <f>IF($A42="","",[2]!B_CALC_PRICE($A42,$V$1,IF(情景分析!$D$6=1,$J42,IF(情景分析!$D$6=2,$E42,IF(情景分析!$D$6=4,IF($C42="银行间",$J42,$L42),$G42)))+Y$2/100,情景分析!$D$7,"",,,,"",)*IF($H42="",1,$H42))</f>
        <v/>
      </c>
      <c r="Z42" s="7" t="str">
        <f>IF($A42="","",[2]!B_CALC_PRICE($A42,$V$1,IF(情景分析!$D$6=1,$J42,IF(情景分析!$D$6=2,$E42,IF(情景分析!$D$6=4,IF($C42="银行间",$J42,$L42),$G42)))+Z$2/100,情景分析!$D$7,"",,,,"",)*IF($H42="",1,$H42))</f>
        <v/>
      </c>
      <c r="AA42" s="7" t="str">
        <f>IF($A42="","",[2]!B_CALC_PRICE($A42,$V$1,IF(情景分析!$D$6=1,$J42,IF(情景分析!$D$6=2,$E42,IF(情景分析!$D$6=4,IF($C42="银行间",$J42,$L42),$G42)))+AA$2/100,情景分析!$D$7,"",,,,"",)*IF($H42="",1,$H42))</f>
        <v/>
      </c>
      <c r="AB42" s="7" t="str">
        <f>IF($A42="","",[2]!B_CALC_PRICE($A42,$V$1,IF(情景分析!$D$6=1,$J42,IF(情景分析!$D$6=2,$E42,IF(情景分析!$D$6=4,IF($C42="银行间",$J42,$L42),$G42)))+AB$2/100,情景分析!$D$7,"",,,,"",)*IF($H42="",1,$H42))</f>
        <v/>
      </c>
      <c r="AC42" s="7" t="str">
        <f>IF($A42="","",[2]!B_CALC_PRICE($A42,$AC$1,IF(情景分析!$D$6=1,$J42,IF(情景分析!$D$6=2,$E42,IF(情景分析!$D$6=4,IF($C42="银行间",$J42,$L42),$G42)))+AC$2/100,情景分析!$D$7,"",,,,"",)*IF($H42="",1,$H42))</f>
        <v/>
      </c>
      <c r="AD42" s="7" t="str">
        <f>IF($A42="","",[2]!B_CALC_PRICE($A42,$AC$1,IF(情景分析!$D$6=1,$J42,IF(情景分析!$D$6=2,$E42,IF(情景分析!$D$6=4,IF($C42="银行间",$J42,$L42),$G42)))+AD$2/100,情景分析!$D$7,"",,,,"",)*IF($H42="",1,$H42))</f>
        <v/>
      </c>
      <c r="AE42" s="7" t="str">
        <f>IF($A42="","",[2]!B_CALC_PRICE($A42,$AC$1,IF(情景分析!$D$6=1,$J42,IF(情景分析!$D$6=2,$E42,IF(情景分析!$D$6=4,IF($C42="银行间",$J42,$L42),$G42)))+AE$2/100,情景分析!$D$7,"",,,,"",)*IF($H42="",1,$H42))</f>
        <v/>
      </c>
      <c r="AF42" s="7" t="str">
        <f>IF($A42="","",[2]!B_CALC_PRICE($A42,$AC$1,IF(情景分析!$D$6=1,$J42,IF(情景分析!$D$6=2,$E42,IF(情景分析!$D$6=4,IF($C42="银行间",$J42,$L42),$G42)))+AF$2/100,情景分析!$D$7,"",,,,"",)*IF($H42="",1,$H42))</f>
        <v/>
      </c>
      <c r="AG42" s="7" t="str">
        <f>IF($A42="","",[2]!B_CALC_PRICE($A42,$AC$1,IF(情景分析!$D$6=1,$J42,IF(情景分析!$D$6=2,$E42,IF(情景分析!$D$6=4,IF($C42="银行间",$J42,$L42),$G42)))+AG$2/100,情景分析!$D$7,"",,,,"",)*IF($H42="",1,$H42))</f>
        <v/>
      </c>
      <c r="AH42" s="7" t="str">
        <f>IF($A42="","",[2]!B_CALC_PRICE($A42,$AC$1,IF(情景分析!$D$6=1,$J42,IF(情景分析!$D$6=2,$E42,IF(情景分析!$D$6=4,IF($C42="银行间",$J42,$L42),$G42)))+AH$2/100,情景分析!$D$7,"",,,,"",)*IF($H42="",1,$H42))</f>
        <v/>
      </c>
      <c r="AI42" s="7" t="str">
        <f>IF($A42="","",[2]!B_CALC_PRICE($A42,$AC$1,IF(情景分析!$D$6=1,$J42,IF(情景分析!$D$6=2,$E42,IF(情景分析!$D$6=4,IF($C42="银行间",$J42,$L42),$G42)))+AI$2/100,情景分析!$D$7,"",,,,"",)*IF($H42="",1,$H42))</f>
        <v/>
      </c>
      <c r="AJ42" s="7" t="str">
        <f>IF($A42="","",[2]!B_CALC_PRICE($A42,$AJ$1,IF(情景分析!$D$6=1,$J42,IF(情景分析!$D$6=2,$E42,IF(情景分析!$D$6=4,IF($C42="银行间",$J42,$L42),$G42)))+AJ$2/100,情景分析!$D$7,"",,,,"",)*IF($H42="",1,$H42))</f>
        <v/>
      </c>
      <c r="AK42" s="7" t="str">
        <f>IF($A42="","",[2]!B_CALC_PRICE($A42,$AJ$1,IF(情景分析!$D$6=1,$J42,IF(情景分析!$D$6=2,$E42,IF(情景分析!$D$6=4,IF($C42="银行间",$J42,$L42),$G42)))+AK$2/100,情景分析!$D$7,"",,,,"",)*IF($H42="",1,$H42))</f>
        <v/>
      </c>
      <c r="AL42" s="7" t="str">
        <f>IF($A42="","",[2]!B_CALC_PRICE($A42,$AJ$1,IF(情景分析!$D$6=1,$J42,IF(情景分析!$D$6=2,$E42,IF(情景分析!$D$6=4,IF($C42="银行间",$J42,$L42),$G42)))+AL$2/100,情景分析!$D$7,"",,,,"",)*IF($H42="",1,$H42))</f>
        <v/>
      </c>
      <c r="AM42" s="7" t="str">
        <f>IF($A42="","",[2]!B_CALC_PRICE($A42,$AJ$1,IF(情景分析!$D$6=1,$J42,IF(情景分析!$D$6=2,$E42,IF(情景分析!$D$6=4,IF($C42="银行间",$J42,$L42),$G42)))+AM$2/100,情景分析!$D$7,"",,,,"",)*IF($H42="",1,$H42))</f>
        <v/>
      </c>
      <c r="AN42" s="7" t="str">
        <f>IF($A42="","",[2]!B_CALC_PRICE($A42,$AJ$1,IF(情景分析!$D$6=1,$J42,IF(情景分析!$D$6=2,$E42,IF(情景分析!$D$6=4,IF($C42="银行间",$J42,$L42),$G42)))+AN$2/100,情景分析!$D$7,"",,,,"",)*IF($H42="",1,$H42))</f>
        <v/>
      </c>
      <c r="AO42" s="7" t="str">
        <f>IF($A42="","",[2]!B_CALC_PRICE($A42,$AJ$1,IF(情景分析!$D$6=1,$J42,IF(情景分析!$D$6=2,$E42,IF(情景分析!$D$6=4,IF($C42="银行间",$J42,$L42),$G42)))+AO$2/100,情景分析!$D$7,"",,,,"",)*IF($H42="",1,$H42))</f>
        <v/>
      </c>
      <c r="AP42" s="7" t="str">
        <f>IF($A42="","",[2]!B_CALC_PRICE($A42,$AJ$1,IF(情景分析!$D$6=1,$J42,IF(情景分析!$D$6=2,$E42,IF(情景分析!$D$6=4,IF($C42="银行间",$J42,$L42),$G42)))+AP$2/100,情景分析!$D$7,"",,,,"",)*IF($H42="",1,$H42))</f>
        <v/>
      </c>
      <c r="AQ42" s="7" t="str">
        <f>IF($A42="","",[2]!B_CALC_PRICE($A42,$AQ$1,IF(情景分析!$D$6=1,$J42,IF(情景分析!$D$6=2,$E42,IF(情景分析!$D$6=4,IF($C42="银行间",$J42,$L42),$G42)))+AQ$2/100,情景分析!$D$7,"",,,,"",)*IF($H42="",1,$H42))</f>
        <v/>
      </c>
      <c r="AR42" s="7" t="str">
        <f>IF($A42="","",[2]!B_CALC_PRICE($A42,$AQ$1,IF(情景分析!$D$6=1,$J42,IF(情景分析!$D$6=2,$E42,IF(情景分析!$D$6=4,IF($C42="银行间",$J42,$L42),$G42)))+AR$2/100,情景分析!$D$7,"",,,,"",)*IF($H42="",1,$H42))</f>
        <v/>
      </c>
      <c r="AS42" s="7" t="str">
        <f>IF($A42="","",[2]!B_CALC_PRICE($A42,$AQ$1,IF(情景分析!$D$6=1,$J42,IF(情景分析!$D$6=2,$E42,IF(情景分析!$D$6=4,IF($C42="银行间",$J42,$L42),$G42)))+AS$2/100,情景分析!$D$7,"",,,,"",)*IF($H42="",1,$H42))</f>
        <v/>
      </c>
      <c r="AT42" s="7" t="str">
        <f>IF($A42="","",[2]!B_CALC_PRICE($A42,$AQ$1,IF(情景分析!$D$6=1,$J42,IF(情景分析!$D$6=2,$E42,IF(情景分析!$D$6=4,IF($C42="银行间",$J42,$L42),$G42)))+AT$2/100,情景分析!$D$7,"",,,,"",)*IF($H42="",1,$H42))</f>
        <v/>
      </c>
      <c r="AU42" s="7" t="str">
        <f>IF($A42="","",[2]!B_CALC_PRICE($A42,$AQ$1,IF(情景分析!$D$6=1,$J42,IF(情景分析!$D$6=2,$E42,IF(情景分析!$D$6=4,IF($C42="银行间",$J42,$L42),$G42)))+AU$2/100,情景分析!$D$7,"",,,,"",)*IF($H42="",1,$H42))</f>
        <v/>
      </c>
      <c r="AV42" s="7" t="str">
        <f>IF($A42="","",[2]!B_CALC_PRICE($A42,$AQ$1,IF(情景分析!$D$6=1,$J42,IF(情景分析!$D$6=2,$E42,IF(情景分析!$D$6=4,IF($C42="银行间",$J42,$L42),$G42)))+AV$2/100,情景分析!$D$7,"",,,,"",)*IF($H42="",1,$H42))</f>
        <v/>
      </c>
      <c r="AW42" s="7" t="str">
        <f>IF($A42="","",[2]!B_CALC_PRICE($A42,$AQ$1,IF(情景分析!$D$6=1,$J42,IF(情景分析!$D$6=2,$E42,IF(情景分析!$D$6=4,IF($C42="银行间",$J42,$L42),$G42)))+AW$2/100,情景分析!$D$7,"",,,,"",)*IF($H42="",1,$H42))</f>
        <v/>
      </c>
    </row>
    <row r="43" spans="1:49" x14ac:dyDescent="0.15">
      <c r="A43" s="20"/>
      <c r="B43" s="7" t="str">
        <f>IF(A43="","",[2]!b_info_name(A43))</f>
        <v/>
      </c>
      <c r="C43" s="7" t="str">
        <f>[2]!b_info_listedmkt(A43)</f>
        <v>#N/A</v>
      </c>
      <c r="D43" s="7" t="str">
        <f>IFERROR(IF(A43="","", [2]!b_dq_avgprice(A43, 情景分析!$D$5, 情景分析!$D$7) * IF($H43="",1,$H43)),0)</f>
        <v/>
      </c>
      <c r="E43" s="7" t="str">
        <f>IF(A43="","", N([2]!b_dq_avgprice(A43,情景分析!$D$5,3)))</f>
        <v/>
      </c>
      <c r="F43" s="29" t="str">
        <f>IF($G43 = "",
"",
IFERROR(
[2]!b_calc_pv(A43, 情景分析!$D$5,$G43, "1", 情景分析!$D$7),
[2]!b_calc_pv(A43, 情景分析!$D$5,$G43, "2", 情景分析!$D$7)
)
)</f>
        <v/>
      </c>
      <c r="G43" s="22"/>
      <c r="H43" s="21"/>
      <c r="I43" s="7" t="str">
        <f>IF(A43="","",IF(情景分析!$D$7=1,[2]!b_anal_net_cnbd(A43,情景分析!$D$5,1),[2]!b_anal_dirty_cnbd(A43,情景分析!$D$5,1))*IF($H43="",1,$H43))</f>
        <v/>
      </c>
      <c r="J43" s="7" t="str">
        <f>IF(A43="","",[2]!b_anal_yield_cnbd(A43,情景分析!$D$5,1))</f>
        <v/>
      </c>
      <c r="K43" s="29" t="str">
        <f>IF(A43="","",IF(情景分析!$D$7=1,[2]!b_anal_net_csi1(A43,情景分析!$D$5,1),[2]!b_anal_dirty_csi1(A43,情景分析!$D$5,1))*IF($H43="",1,$H43))</f>
        <v/>
      </c>
      <c r="L43" s="29" t="str">
        <f>IF(A43="","",[2]!b_anal_yield_csi1(A43,情景分析!$D$5,1))</f>
        <v/>
      </c>
      <c r="M43" s="29" t="str">
        <f t="shared" si="4"/>
        <v/>
      </c>
      <c r="N43" s="29" t="str">
        <f t="shared" si="5"/>
        <v/>
      </c>
      <c r="O43" s="7" t="str">
        <f>IF($A43="","",[2]!B_CALC_PRICE($A43,$O$1,IF(情景分析!$D$6=1,$J43,IF(情景分析!$D$6=2,$E43,IF(情景分析!$D$6=4,IF($C43="银行间",$J43,$L43),$G43)))+O$2/100,情景分析!$D$7,"",,,,"",)*IF($H43="",1,$H43))</f>
        <v/>
      </c>
      <c r="P43" s="7" t="str">
        <f>IF($A43="","",[2]!B_CALC_PRICE($A43,$O$1,IF(情景分析!$D$6=1,$J43,IF(情景分析!$D$6=2,$E43,IF(情景分析!$D$6=4,IF($C43="银行间",$J43,$L43),$G43)))+P$2/100,情景分析!$D$7,"",,,,"",)*IF($H43="",1,$H43))</f>
        <v/>
      </c>
      <c r="Q43" s="7" t="str">
        <f>IF($A43="","",[2]!B_CALC_PRICE($A43,$O$1,IF(情景分析!$D$6=1,$J43,IF(情景分析!$D$6=2,$E43,IF(情景分析!$D$6=4,IF($C43="银行间",$J43,$L43),$G43)))+Q$2/100,情景分析!$D$7,"",,,,"",)*IF($H43="",1,$H43))</f>
        <v/>
      </c>
      <c r="R43" s="7" t="str">
        <f>IF($A43="","",[2]!B_CALC_PRICE($A43,$O$1,IF(情景分析!$D$6=1,$J43,IF(情景分析!$D$6=2,$E43,IF(情景分析!$D$6=4,IF($C43="银行间",$J43,$L43),$G43)))+R$2/100,情景分析!$D$7,"",,,,"",)*IF($H43="",1,$H43))</f>
        <v/>
      </c>
      <c r="S43" s="7" t="str">
        <f>IF($A43="","",[2]!B_CALC_PRICE($A43,$O$1,IF(情景分析!$D$6=1,$J43,IF(情景分析!$D$6=2,$E43,IF(情景分析!$D$6=4,IF($C43="银行间",$J43,$L43),$G43)))+S$2/100,情景分析!$D$7,"",,,,"",)*IF($H43="",1,$H43))</f>
        <v/>
      </c>
      <c r="T43" s="7" t="str">
        <f>IF($A43="","",[2]!B_CALC_PRICE($A43,$O$1,IF(情景分析!$D$6=1,$J43,IF(情景分析!$D$6=2,$E43,IF(情景分析!$D$6=4,IF($C43="银行间",$J43,$L43),$G43)))+T$2/100,情景分析!$D$7,"",,,,"",)*IF($H43="",1,$H43))</f>
        <v/>
      </c>
      <c r="U43" s="7" t="str">
        <f>IF($A43="","",[2]!B_CALC_PRICE($A43,$O$1,IF(情景分析!$D$6=1,$J43,IF(情景分析!$D$6=2,$E43,IF(情景分析!$D$6=4,IF($C43="银行间",$J43,$L43),$G43)))+U$2/100,情景分析!$D$7,"",,,,"",)*IF($H43="",1,$H43))</f>
        <v/>
      </c>
      <c r="V43" s="7" t="str">
        <f>IF($A43="","",[2]!B_CALC_PRICE($A43,$V$1,IF(情景分析!$D$6=1,$J43,IF(情景分析!$D$6=2,$E43,IF(情景分析!$D$6=4,IF($C43="银行间",$J43,$L43),$G43)))+V$2/100,情景分析!$D$7,"",,,,"",)*IF($H43="",1,$H43))</f>
        <v/>
      </c>
      <c r="W43" s="7" t="str">
        <f>IF($A43="","",[2]!B_CALC_PRICE($A43,$V$1,IF(情景分析!$D$6=1,$J43,IF(情景分析!$D$6=2,$E43,IF(情景分析!$D$6=4,IF($C43="银行间",$J43,$L43),$G43)))+W$2/100,情景分析!$D$7,"",,,,"",)*IF($H43="",1,$H43))</f>
        <v/>
      </c>
      <c r="X43" s="7" t="str">
        <f>IF($A43="","",[2]!B_CALC_PRICE($A43,$V$1,IF(情景分析!$D$6=1,$J43,IF(情景分析!$D$6=2,$E43,IF(情景分析!$D$6=4,IF($C43="银行间",$J43,$L43),$G43)))+X$2/100,情景分析!$D$7,"",,,,"",)*IF($H43="",1,$H43))</f>
        <v/>
      </c>
      <c r="Y43" s="7" t="str">
        <f>IF($A43="","",[2]!B_CALC_PRICE($A43,$V$1,IF(情景分析!$D$6=1,$J43,IF(情景分析!$D$6=2,$E43,IF(情景分析!$D$6=4,IF($C43="银行间",$J43,$L43),$G43)))+Y$2/100,情景分析!$D$7,"",,,,"",)*IF($H43="",1,$H43))</f>
        <v/>
      </c>
      <c r="Z43" s="7" t="str">
        <f>IF($A43="","",[2]!B_CALC_PRICE($A43,$V$1,IF(情景分析!$D$6=1,$J43,IF(情景分析!$D$6=2,$E43,IF(情景分析!$D$6=4,IF($C43="银行间",$J43,$L43),$G43)))+Z$2/100,情景分析!$D$7,"",,,,"",)*IF($H43="",1,$H43))</f>
        <v/>
      </c>
      <c r="AA43" s="7" t="str">
        <f>IF($A43="","",[2]!B_CALC_PRICE($A43,$V$1,IF(情景分析!$D$6=1,$J43,IF(情景分析!$D$6=2,$E43,IF(情景分析!$D$6=4,IF($C43="银行间",$J43,$L43),$G43)))+AA$2/100,情景分析!$D$7,"",,,,"",)*IF($H43="",1,$H43))</f>
        <v/>
      </c>
      <c r="AB43" s="7" t="str">
        <f>IF($A43="","",[2]!B_CALC_PRICE($A43,$V$1,IF(情景分析!$D$6=1,$J43,IF(情景分析!$D$6=2,$E43,IF(情景分析!$D$6=4,IF($C43="银行间",$J43,$L43),$G43)))+AB$2/100,情景分析!$D$7,"",,,,"",)*IF($H43="",1,$H43))</f>
        <v/>
      </c>
      <c r="AC43" s="7" t="str">
        <f>IF($A43="","",[2]!B_CALC_PRICE($A43,$AC$1,IF(情景分析!$D$6=1,$J43,IF(情景分析!$D$6=2,$E43,IF(情景分析!$D$6=4,IF($C43="银行间",$J43,$L43),$G43)))+AC$2/100,情景分析!$D$7,"",,,,"",)*IF($H43="",1,$H43))</f>
        <v/>
      </c>
      <c r="AD43" s="7" t="str">
        <f>IF($A43="","",[2]!B_CALC_PRICE($A43,$AC$1,IF(情景分析!$D$6=1,$J43,IF(情景分析!$D$6=2,$E43,IF(情景分析!$D$6=4,IF($C43="银行间",$J43,$L43),$G43)))+AD$2/100,情景分析!$D$7,"",,,,"",)*IF($H43="",1,$H43))</f>
        <v/>
      </c>
      <c r="AE43" s="7" t="str">
        <f>IF($A43="","",[2]!B_CALC_PRICE($A43,$AC$1,IF(情景分析!$D$6=1,$J43,IF(情景分析!$D$6=2,$E43,IF(情景分析!$D$6=4,IF($C43="银行间",$J43,$L43),$G43)))+AE$2/100,情景分析!$D$7,"",,,,"",)*IF($H43="",1,$H43))</f>
        <v/>
      </c>
      <c r="AF43" s="7" t="str">
        <f>IF($A43="","",[2]!B_CALC_PRICE($A43,$AC$1,IF(情景分析!$D$6=1,$J43,IF(情景分析!$D$6=2,$E43,IF(情景分析!$D$6=4,IF($C43="银行间",$J43,$L43),$G43)))+AF$2/100,情景分析!$D$7,"",,,,"",)*IF($H43="",1,$H43))</f>
        <v/>
      </c>
      <c r="AG43" s="7" t="str">
        <f>IF($A43="","",[2]!B_CALC_PRICE($A43,$AC$1,IF(情景分析!$D$6=1,$J43,IF(情景分析!$D$6=2,$E43,IF(情景分析!$D$6=4,IF($C43="银行间",$J43,$L43),$G43)))+AG$2/100,情景分析!$D$7,"",,,,"",)*IF($H43="",1,$H43))</f>
        <v/>
      </c>
      <c r="AH43" s="7" t="str">
        <f>IF($A43="","",[2]!B_CALC_PRICE($A43,$AC$1,IF(情景分析!$D$6=1,$J43,IF(情景分析!$D$6=2,$E43,IF(情景分析!$D$6=4,IF($C43="银行间",$J43,$L43),$G43)))+AH$2/100,情景分析!$D$7,"",,,,"",)*IF($H43="",1,$H43))</f>
        <v/>
      </c>
      <c r="AI43" s="7" t="str">
        <f>IF($A43="","",[2]!B_CALC_PRICE($A43,$AC$1,IF(情景分析!$D$6=1,$J43,IF(情景分析!$D$6=2,$E43,IF(情景分析!$D$6=4,IF($C43="银行间",$J43,$L43),$G43)))+AI$2/100,情景分析!$D$7,"",,,,"",)*IF($H43="",1,$H43))</f>
        <v/>
      </c>
      <c r="AJ43" s="7" t="str">
        <f>IF($A43="","",[2]!B_CALC_PRICE($A43,$AJ$1,IF(情景分析!$D$6=1,$J43,IF(情景分析!$D$6=2,$E43,IF(情景分析!$D$6=4,IF($C43="银行间",$J43,$L43),$G43)))+AJ$2/100,情景分析!$D$7,"",,,,"",)*IF($H43="",1,$H43))</f>
        <v/>
      </c>
      <c r="AK43" s="7" t="str">
        <f>IF($A43="","",[2]!B_CALC_PRICE($A43,$AJ$1,IF(情景分析!$D$6=1,$J43,IF(情景分析!$D$6=2,$E43,IF(情景分析!$D$6=4,IF($C43="银行间",$J43,$L43),$G43)))+AK$2/100,情景分析!$D$7,"",,,,"",)*IF($H43="",1,$H43))</f>
        <v/>
      </c>
      <c r="AL43" s="7" t="str">
        <f>IF($A43="","",[2]!B_CALC_PRICE($A43,$AJ$1,IF(情景分析!$D$6=1,$J43,IF(情景分析!$D$6=2,$E43,IF(情景分析!$D$6=4,IF($C43="银行间",$J43,$L43),$G43)))+AL$2/100,情景分析!$D$7,"",,,,"",)*IF($H43="",1,$H43))</f>
        <v/>
      </c>
      <c r="AM43" s="7" t="str">
        <f>IF($A43="","",[2]!B_CALC_PRICE($A43,$AJ$1,IF(情景分析!$D$6=1,$J43,IF(情景分析!$D$6=2,$E43,IF(情景分析!$D$6=4,IF($C43="银行间",$J43,$L43),$G43)))+AM$2/100,情景分析!$D$7,"",,,,"",)*IF($H43="",1,$H43))</f>
        <v/>
      </c>
      <c r="AN43" s="7" t="str">
        <f>IF($A43="","",[2]!B_CALC_PRICE($A43,$AJ$1,IF(情景分析!$D$6=1,$J43,IF(情景分析!$D$6=2,$E43,IF(情景分析!$D$6=4,IF($C43="银行间",$J43,$L43),$G43)))+AN$2/100,情景分析!$D$7,"",,,,"",)*IF($H43="",1,$H43))</f>
        <v/>
      </c>
      <c r="AO43" s="7" t="str">
        <f>IF($A43="","",[2]!B_CALC_PRICE($A43,$AJ$1,IF(情景分析!$D$6=1,$J43,IF(情景分析!$D$6=2,$E43,IF(情景分析!$D$6=4,IF($C43="银行间",$J43,$L43),$G43)))+AO$2/100,情景分析!$D$7,"",,,,"",)*IF($H43="",1,$H43))</f>
        <v/>
      </c>
      <c r="AP43" s="7" t="str">
        <f>IF($A43="","",[2]!B_CALC_PRICE($A43,$AJ$1,IF(情景分析!$D$6=1,$J43,IF(情景分析!$D$6=2,$E43,IF(情景分析!$D$6=4,IF($C43="银行间",$J43,$L43),$G43)))+AP$2/100,情景分析!$D$7,"",,,,"",)*IF($H43="",1,$H43))</f>
        <v/>
      </c>
      <c r="AQ43" s="7" t="str">
        <f>IF($A43="","",[2]!B_CALC_PRICE($A43,$AQ$1,IF(情景分析!$D$6=1,$J43,IF(情景分析!$D$6=2,$E43,IF(情景分析!$D$6=4,IF($C43="银行间",$J43,$L43),$G43)))+AQ$2/100,情景分析!$D$7,"",,,,"",)*IF($H43="",1,$H43))</f>
        <v/>
      </c>
      <c r="AR43" s="7" t="str">
        <f>IF($A43="","",[2]!B_CALC_PRICE($A43,$AQ$1,IF(情景分析!$D$6=1,$J43,IF(情景分析!$D$6=2,$E43,IF(情景分析!$D$6=4,IF($C43="银行间",$J43,$L43),$G43)))+AR$2/100,情景分析!$D$7,"",,,,"",)*IF($H43="",1,$H43))</f>
        <v/>
      </c>
      <c r="AS43" s="7" t="str">
        <f>IF($A43="","",[2]!B_CALC_PRICE($A43,$AQ$1,IF(情景分析!$D$6=1,$J43,IF(情景分析!$D$6=2,$E43,IF(情景分析!$D$6=4,IF($C43="银行间",$J43,$L43),$G43)))+AS$2/100,情景分析!$D$7,"",,,,"",)*IF($H43="",1,$H43))</f>
        <v/>
      </c>
      <c r="AT43" s="7" t="str">
        <f>IF($A43="","",[2]!B_CALC_PRICE($A43,$AQ$1,IF(情景分析!$D$6=1,$J43,IF(情景分析!$D$6=2,$E43,IF(情景分析!$D$6=4,IF($C43="银行间",$J43,$L43),$G43)))+AT$2/100,情景分析!$D$7,"",,,,"",)*IF($H43="",1,$H43))</f>
        <v/>
      </c>
      <c r="AU43" s="7" t="str">
        <f>IF($A43="","",[2]!B_CALC_PRICE($A43,$AQ$1,IF(情景分析!$D$6=1,$J43,IF(情景分析!$D$6=2,$E43,IF(情景分析!$D$6=4,IF($C43="银行间",$J43,$L43),$G43)))+AU$2/100,情景分析!$D$7,"",,,,"",)*IF($H43="",1,$H43))</f>
        <v/>
      </c>
      <c r="AV43" s="7" t="str">
        <f>IF($A43="","",[2]!B_CALC_PRICE($A43,$AQ$1,IF(情景分析!$D$6=1,$J43,IF(情景分析!$D$6=2,$E43,IF(情景分析!$D$6=4,IF($C43="银行间",$J43,$L43),$G43)))+AV$2/100,情景分析!$D$7,"",,,,"",)*IF($H43="",1,$H43))</f>
        <v/>
      </c>
      <c r="AW43" s="7" t="str">
        <f>IF($A43="","",[2]!B_CALC_PRICE($A43,$AQ$1,IF(情景分析!$D$6=1,$J43,IF(情景分析!$D$6=2,$E43,IF(情景分析!$D$6=4,IF($C43="银行间",$J43,$L43),$G43)))+AW$2/100,情景分析!$D$7,"",,,,"",)*IF($H43="",1,$H43))</f>
        <v/>
      </c>
    </row>
    <row r="44" spans="1:49" x14ac:dyDescent="0.15">
      <c r="A44" s="20"/>
      <c r="B44" s="7" t="str">
        <f>IF(A44="","",[2]!b_info_name(A44))</f>
        <v/>
      </c>
      <c r="C44" s="7" t="str">
        <f>[2]!b_info_listedmkt(A44)</f>
        <v>#N/A</v>
      </c>
      <c r="D44" s="7" t="str">
        <f>IFERROR(IF(A44="","", [2]!b_dq_avgprice(A44, 情景分析!$D$5, 情景分析!$D$7) * IF($H44="",1,$H44)),0)</f>
        <v/>
      </c>
      <c r="E44" s="7" t="str">
        <f>IF(A44="","", N([2]!b_dq_avgprice(A44,情景分析!$D$5,3)))</f>
        <v/>
      </c>
      <c r="F44" s="29" t="str">
        <f>IF($G44 = "",
"",
IFERROR(
[2]!b_calc_pv(A44, 情景分析!$D$5,$G44, "1", 情景分析!$D$7),
[2]!b_calc_pv(A44, 情景分析!$D$5,$G44, "2", 情景分析!$D$7)
)
)</f>
        <v/>
      </c>
      <c r="G44" s="22"/>
      <c r="H44" s="21"/>
      <c r="I44" s="7" t="str">
        <f>IF(A44="","",IF(情景分析!$D$7=1,[2]!b_anal_net_cnbd(A44,情景分析!$D$5,1),[2]!b_anal_dirty_cnbd(A44,情景分析!$D$5,1))*IF($H44="",1,$H44))</f>
        <v/>
      </c>
      <c r="J44" s="7" t="str">
        <f>IF(A44="","",[2]!b_anal_yield_cnbd(A44,情景分析!$D$5,1))</f>
        <v/>
      </c>
      <c r="K44" s="29" t="str">
        <f>IF(A44="","",IF(情景分析!$D$7=1,[2]!b_anal_net_csi1(A44,情景分析!$D$5,1),[2]!b_anal_dirty_csi1(A44,情景分析!$D$5,1))*IF($H44="",1,$H44))</f>
        <v/>
      </c>
      <c r="L44" s="29" t="str">
        <f>IF(A44="","",[2]!b_anal_yield_csi1(A44,情景分析!$D$5,1))</f>
        <v/>
      </c>
      <c r="M44" s="29" t="str">
        <f t="shared" si="4"/>
        <v/>
      </c>
      <c r="N44" s="29" t="str">
        <f t="shared" si="5"/>
        <v/>
      </c>
      <c r="O44" s="7" t="str">
        <f>IF($A44="","",[2]!B_CALC_PRICE($A44,$O$1,IF(情景分析!$D$6=1,$J44,IF(情景分析!$D$6=2,$E44,IF(情景分析!$D$6=4,IF($C44="银行间",$J44,$L44),$G44)))+O$2/100,情景分析!$D$7,"",,,,"",)*IF($H44="",1,$H44))</f>
        <v/>
      </c>
      <c r="P44" s="7" t="str">
        <f>IF($A44="","",[2]!B_CALC_PRICE($A44,$O$1,IF(情景分析!$D$6=1,$J44,IF(情景分析!$D$6=2,$E44,IF(情景分析!$D$6=4,IF($C44="银行间",$J44,$L44),$G44)))+P$2/100,情景分析!$D$7,"",,,,"",)*IF($H44="",1,$H44))</f>
        <v/>
      </c>
      <c r="Q44" s="7" t="str">
        <f>IF($A44="","",[2]!B_CALC_PRICE($A44,$O$1,IF(情景分析!$D$6=1,$J44,IF(情景分析!$D$6=2,$E44,IF(情景分析!$D$6=4,IF($C44="银行间",$J44,$L44),$G44)))+Q$2/100,情景分析!$D$7,"",,,,"",)*IF($H44="",1,$H44))</f>
        <v/>
      </c>
      <c r="R44" s="7" t="str">
        <f>IF($A44="","",[2]!B_CALC_PRICE($A44,$O$1,IF(情景分析!$D$6=1,$J44,IF(情景分析!$D$6=2,$E44,IF(情景分析!$D$6=4,IF($C44="银行间",$J44,$L44),$G44)))+R$2/100,情景分析!$D$7,"",,,,"",)*IF($H44="",1,$H44))</f>
        <v/>
      </c>
      <c r="S44" s="7" t="str">
        <f>IF($A44="","",[2]!B_CALC_PRICE($A44,$O$1,IF(情景分析!$D$6=1,$J44,IF(情景分析!$D$6=2,$E44,IF(情景分析!$D$6=4,IF($C44="银行间",$J44,$L44),$G44)))+S$2/100,情景分析!$D$7,"",,,,"",)*IF($H44="",1,$H44))</f>
        <v/>
      </c>
      <c r="T44" s="7" t="str">
        <f>IF($A44="","",[2]!B_CALC_PRICE($A44,$O$1,IF(情景分析!$D$6=1,$J44,IF(情景分析!$D$6=2,$E44,IF(情景分析!$D$6=4,IF($C44="银行间",$J44,$L44),$G44)))+T$2/100,情景分析!$D$7,"",,,,"",)*IF($H44="",1,$H44))</f>
        <v/>
      </c>
      <c r="U44" s="7" t="str">
        <f>IF($A44="","",[2]!B_CALC_PRICE($A44,$O$1,IF(情景分析!$D$6=1,$J44,IF(情景分析!$D$6=2,$E44,IF(情景分析!$D$6=4,IF($C44="银行间",$J44,$L44),$G44)))+U$2/100,情景分析!$D$7,"",,,,"",)*IF($H44="",1,$H44))</f>
        <v/>
      </c>
      <c r="V44" s="7" t="str">
        <f>IF($A44="","",[2]!B_CALC_PRICE($A44,$V$1,IF(情景分析!$D$6=1,$J44,IF(情景分析!$D$6=2,$E44,IF(情景分析!$D$6=4,IF($C44="银行间",$J44,$L44),$G44)))+V$2/100,情景分析!$D$7,"",,,,"",)*IF($H44="",1,$H44))</f>
        <v/>
      </c>
      <c r="W44" s="7" t="str">
        <f>IF($A44="","",[2]!B_CALC_PRICE($A44,$V$1,IF(情景分析!$D$6=1,$J44,IF(情景分析!$D$6=2,$E44,IF(情景分析!$D$6=4,IF($C44="银行间",$J44,$L44),$G44)))+W$2/100,情景分析!$D$7,"",,,,"",)*IF($H44="",1,$H44))</f>
        <v/>
      </c>
      <c r="X44" s="7" t="str">
        <f>IF($A44="","",[2]!B_CALC_PRICE($A44,$V$1,IF(情景分析!$D$6=1,$J44,IF(情景分析!$D$6=2,$E44,IF(情景分析!$D$6=4,IF($C44="银行间",$J44,$L44),$G44)))+X$2/100,情景分析!$D$7,"",,,,"",)*IF($H44="",1,$H44))</f>
        <v/>
      </c>
      <c r="Y44" s="7" t="str">
        <f>IF($A44="","",[2]!B_CALC_PRICE($A44,$V$1,IF(情景分析!$D$6=1,$J44,IF(情景分析!$D$6=2,$E44,IF(情景分析!$D$6=4,IF($C44="银行间",$J44,$L44),$G44)))+Y$2/100,情景分析!$D$7,"",,,,"",)*IF($H44="",1,$H44))</f>
        <v/>
      </c>
      <c r="Z44" s="7" t="str">
        <f>IF($A44="","",[2]!B_CALC_PRICE($A44,$V$1,IF(情景分析!$D$6=1,$J44,IF(情景分析!$D$6=2,$E44,IF(情景分析!$D$6=4,IF($C44="银行间",$J44,$L44),$G44)))+Z$2/100,情景分析!$D$7,"",,,,"",)*IF($H44="",1,$H44))</f>
        <v/>
      </c>
      <c r="AA44" s="7" t="str">
        <f>IF($A44="","",[2]!B_CALC_PRICE($A44,$V$1,IF(情景分析!$D$6=1,$J44,IF(情景分析!$D$6=2,$E44,IF(情景分析!$D$6=4,IF($C44="银行间",$J44,$L44),$G44)))+AA$2/100,情景分析!$D$7,"",,,,"",)*IF($H44="",1,$H44))</f>
        <v/>
      </c>
      <c r="AB44" s="7" t="str">
        <f>IF($A44="","",[2]!B_CALC_PRICE($A44,$V$1,IF(情景分析!$D$6=1,$J44,IF(情景分析!$D$6=2,$E44,IF(情景分析!$D$6=4,IF($C44="银行间",$J44,$L44),$G44)))+AB$2/100,情景分析!$D$7,"",,,,"",)*IF($H44="",1,$H44))</f>
        <v/>
      </c>
      <c r="AC44" s="7" t="str">
        <f>IF($A44="","",[2]!B_CALC_PRICE($A44,$AC$1,IF(情景分析!$D$6=1,$J44,IF(情景分析!$D$6=2,$E44,IF(情景分析!$D$6=4,IF($C44="银行间",$J44,$L44),$G44)))+AC$2/100,情景分析!$D$7,"",,,,"",)*IF($H44="",1,$H44))</f>
        <v/>
      </c>
      <c r="AD44" s="7" t="str">
        <f>IF($A44="","",[2]!B_CALC_PRICE($A44,$AC$1,IF(情景分析!$D$6=1,$J44,IF(情景分析!$D$6=2,$E44,IF(情景分析!$D$6=4,IF($C44="银行间",$J44,$L44),$G44)))+AD$2/100,情景分析!$D$7,"",,,,"",)*IF($H44="",1,$H44))</f>
        <v/>
      </c>
      <c r="AE44" s="7" t="str">
        <f>IF($A44="","",[2]!B_CALC_PRICE($A44,$AC$1,IF(情景分析!$D$6=1,$J44,IF(情景分析!$D$6=2,$E44,IF(情景分析!$D$6=4,IF($C44="银行间",$J44,$L44),$G44)))+AE$2/100,情景分析!$D$7,"",,,,"",)*IF($H44="",1,$H44))</f>
        <v/>
      </c>
      <c r="AF44" s="7" t="str">
        <f>IF($A44="","",[2]!B_CALC_PRICE($A44,$AC$1,IF(情景分析!$D$6=1,$J44,IF(情景分析!$D$6=2,$E44,IF(情景分析!$D$6=4,IF($C44="银行间",$J44,$L44),$G44)))+AF$2/100,情景分析!$D$7,"",,,,"",)*IF($H44="",1,$H44))</f>
        <v/>
      </c>
      <c r="AG44" s="7" t="str">
        <f>IF($A44="","",[2]!B_CALC_PRICE($A44,$AC$1,IF(情景分析!$D$6=1,$J44,IF(情景分析!$D$6=2,$E44,IF(情景分析!$D$6=4,IF($C44="银行间",$J44,$L44),$G44)))+AG$2/100,情景分析!$D$7,"",,,,"",)*IF($H44="",1,$H44))</f>
        <v/>
      </c>
      <c r="AH44" s="7" t="str">
        <f>IF($A44="","",[2]!B_CALC_PRICE($A44,$AC$1,IF(情景分析!$D$6=1,$J44,IF(情景分析!$D$6=2,$E44,IF(情景分析!$D$6=4,IF($C44="银行间",$J44,$L44),$G44)))+AH$2/100,情景分析!$D$7,"",,,,"",)*IF($H44="",1,$H44))</f>
        <v/>
      </c>
      <c r="AI44" s="7" t="str">
        <f>IF($A44="","",[2]!B_CALC_PRICE($A44,$AC$1,IF(情景分析!$D$6=1,$J44,IF(情景分析!$D$6=2,$E44,IF(情景分析!$D$6=4,IF($C44="银行间",$J44,$L44),$G44)))+AI$2/100,情景分析!$D$7,"",,,,"",)*IF($H44="",1,$H44))</f>
        <v/>
      </c>
      <c r="AJ44" s="7" t="str">
        <f>IF($A44="","",[2]!B_CALC_PRICE($A44,$AJ$1,IF(情景分析!$D$6=1,$J44,IF(情景分析!$D$6=2,$E44,IF(情景分析!$D$6=4,IF($C44="银行间",$J44,$L44),$G44)))+AJ$2/100,情景分析!$D$7,"",,,,"",)*IF($H44="",1,$H44))</f>
        <v/>
      </c>
      <c r="AK44" s="7" t="str">
        <f>IF($A44="","",[2]!B_CALC_PRICE($A44,$AJ$1,IF(情景分析!$D$6=1,$J44,IF(情景分析!$D$6=2,$E44,IF(情景分析!$D$6=4,IF($C44="银行间",$J44,$L44),$G44)))+AK$2/100,情景分析!$D$7,"",,,,"",)*IF($H44="",1,$H44))</f>
        <v/>
      </c>
      <c r="AL44" s="7" t="str">
        <f>IF($A44="","",[2]!B_CALC_PRICE($A44,$AJ$1,IF(情景分析!$D$6=1,$J44,IF(情景分析!$D$6=2,$E44,IF(情景分析!$D$6=4,IF($C44="银行间",$J44,$L44),$G44)))+AL$2/100,情景分析!$D$7,"",,,,"",)*IF($H44="",1,$H44))</f>
        <v/>
      </c>
      <c r="AM44" s="7" t="str">
        <f>IF($A44="","",[2]!B_CALC_PRICE($A44,$AJ$1,IF(情景分析!$D$6=1,$J44,IF(情景分析!$D$6=2,$E44,IF(情景分析!$D$6=4,IF($C44="银行间",$J44,$L44),$G44)))+AM$2/100,情景分析!$D$7,"",,,,"",)*IF($H44="",1,$H44))</f>
        <v/>
      </c>
      <c r="AN44" s="7" t="str">
        <f>IF($A44="","",[2]!B_CALC_PRICE($A44,$AJ$1,IF(情景分析!$D$6=1,$J44,IF(情景分析!$D$6=2,$E44,IF(情景分析!$D$6=4,IF($C44="银行间",$J44,$L44),$G44)))+AN$2/100,情景分析!$D$7,"",,,,"",)*IF($H44="",1,$H44))</f>
        <v/>
      </c>
      <c r="AO44" s="7" t="str">
        <f>IF($A44="","",[2]!B_CALC_PRICE($A44,$AJ$1,IF(情景分析!$D$6=1,$J44,IF(情景分析!$D$6=2,$E44,IF(情景分析!$D$6=4,IF($C44="银行间",$J44,$L44),$G44)))+AO$2/100,情景分析!$D$7,"",,,,"",)*IF($H44="",1,$H44))</f>
        <v/>
      </c>
      <c r="AP44" s="7" t="str">
        <f>IF($A44="","",[2]!B_CALC_PRICE($A44,$AJ$1,IF(情景分析!$D$6=1,$J44,IF(情景分析!$D$6=2,$E44,IF(情景分析!$D$6=4,IF($C44="银行间",$J44,$L44),$G44)))+AP$2/100,情景分析!$D$7,"",,,,"",)*IF($H44="",1,$H44))</f>
        <v/>
      </c>
      <c r="AQ44" s="7" t="str">
        <f>IF($A44="","",[2]!B_CALC_PRICE($A44,$AQ$1,IF(情景分析!$D$6=1,$J44,IF(情景分析!$D$6=2,$E44,IF(情景分析!$D$6=4,IF($C44="银行间",$J44,$L44),$G44)))+AQ$2/100,情景分析!$D$7,"",,,,"",)*IF($H44="",1,$H44))</f>
        <v/>
      </c>
      <c r="AR44" s="7" t="str">
        <f>IF($A44="","",[2]!B_CALC_PRICE($A44,$AQ$1,IF(情景分析!$D$6=1,$J44,IF(情景分析!$D$6=2,$E44,IF(情景分析!$D$6=4,IF($C44="银行间",$J44,$L44),$G44)))+AR$2/100,情景分析!$D$7,"",,,,"",)*IF($H44="",1,$H44))</f>
        <v/>
      </c>
      <c r="AS44" s="7" t="str">
        <f>IF($A44="","",[2]!B_CALC_PRICE($A44,$AQ$1,IF(情景分析!$D$6=1,$J44,IF(情景分析!$D$6=2,$E44,IF(情景分析!$D$6=4,IF($C44="银行间",$J44,$L44),$G44)))+AS$2/100,情景分析!$D$7,"",,,,"",)*IF($H44="",1,$H44))</f>
        <v/>
      </c>
      <c r="AT44" s="7" t="str">
        <f>IF($A44="","",[2]!B_CALC_PRICE($A44,$AQ$1,IF(情景分析!$D$6=1,$J44,IF(情景分析!$D$6=2,$E44,IF(情景分析!$D$6=4,IF($C44="银行间",$J44,$L44),$G44)))+AT$2/100,情景分析!$D$7,"",,,,"",)*IF($H44="",1,$H44))</f>
        <v/>
      </c>
      <c r="AU44" s="7" t="str">
        <f>IF($A44="","",[2]!B_CALC_PRICE($A44,$AQ$1,IF(情景分析!$D$6=1,$J44,IF(情景分析!$D$6=2,$E44,IF(情景分析!$D$6=4,IF($C44="银行间",$J44,$L44),$G44)))+AU$2/100,情景分析!$D$7,"",,,,"",)*IF($H44="",1,$H44))</f>
        <v/>
      </c>
      <c r="AV44" s="7" t="str">
        <f>IF($A44="","",[2]!B_CALC_PRICE($A44,$AQ$1,IF(情景分析!$D$6=1,$J44,IF(情景分析!$D$6=2,$E44,IF(情景分析!$D$6=4,IF($C44="银行间",$J44,$L44),$G44)))+AV$2/100,情景分析!$D$7,"",,,,"",)*IF($H44="",1,$H44))</f>
        <v/>
      </c>
      <c r="AW44" s="7" t="str">
        <f>IF($A44="","",[2]!B_CALC_PRICE($A44,$AQ$1,IF(情景分析!$D$6=1,$J44,IF(情景分析!$D$6=2,$E44,IF(情景分析!$D$6=4,IF($C44="银行间",$J44,$L44),$G44)))+AW$2/100,情景分析!$D$7,"",,,,"",)*IF($H44="",1,$H44))</f>
        <v/>
      </c>
    </row>
    <row r="45" spans="1:49" x14ac:dyDescent="0.15">
      <c r="A45" s="20"/>
      <c r="B45" s="7" t="str">
        <f>IF(A45="","",[2]!b_info_name(A45))</f>
        <v/>
      </c>
      <c r="C45" s="7" t="str">
        <f>[2]!b_info_listedmkt(A45)</f>
        <v>#N/A</v>
      </c>
      <c r="D45" s="7" t="str">
        <f>IFERROR(IF(A45="","", [2]!b_dq_avgprice(A45, 情景分析!$D$5, 情景分析!$D$7) * IF($H45="",1,$H45)),0)</f>
        <v/>
      </c>
      <c r="E45" s="7" t="str">
        <f>IF(A45="","", N([2]!b_dq_avgprice(A45,情景分析!$D$5,3)))</f>
        <v/>
      </c>
      <c r="F45" s="29" t="str">
        <f>IF($G45 = "",
"",
IFERROR(
[2]!b_calc_pv(A45, 情景分析!$D$5,$G45, "1", 情景分析!$D$7),
[2]!b_calc_pv(A45, 情景分析!$D$5,$G45, "2", 情景分析!$D$7)
)
)</f>
        <v/>
      </c>
      <c r="G45" s="22"/>
      <c r="H45" s="21"/>
      <c r="I45" s="7" t="str">
        <f>IF(A45="","",IF(情景分析!$D$7=1,[2]!b_anal_net_cnbd(A45,情景分析!$D$5,1),[2]!b_anal_dirty_cnbd(A45,情景分析!$D$5,1))*IF($H45="",1,$H45))</f>
        <v/>
      </c>
      <c r="J45" s="7" t="str">
        <f>IF(A45="","",[2]!b_anal_yield_cnbd(A45,情景分析!$D$5,1))</f>
        <v/>
      </c>
      <c r="K45" s="29" t="str">
        <f>IF(A45="","",IF(情景分析!$D$7=1,[2]!b_anal_net_csi1(A45,情景分析!$D$5,1),[2]!b_anal_dirty_csi1(A45,情景分析!$D$5,1))*IF($H45="",1,$H45))</f>
        <v/>
      </c>
      <c r="L45" s="29" t="str">
        <f>IF(A45="","",[2]!b_anal_yield_csi1(A45,情景分析!$D$5,1))</f>
        <v/>
      </c>
      <c r="M45" s="29" t="str">
        <f t="shared" si="4"/>
        <v/>
      </c>
      <c r="N45" s="29" t="str">
        <f t="shared" si="5"/>
        <v/>
      </c>
      <c r="O45" s="7" t="str">
        <f>IF($A45="","",[2]!B_CALC_PRICE($A45,$O$1,IF(情景分析!$D$6=1,$J45,IF(情景分析!$D$6=2,$E45,IF(情景分析!$D$6=4,IF($C45="银行间",$J45,$L45),$G45)))+O$2/100,情景分析!$D$7,"",,,,"",)*IF($H45="",1,$H45))</f>
        <v/>
      </c>
      <c r="P45" s="7" t="str">
        <f>IF($A45="","",[2]!B_CALC_PRICE($A45,$O$1,IF(情景分析!$D$6=1,$J45,IF(情景分析!$D$6=2,$E45,IF(情景分析!$D$6=4,IF($C45="银行间",$J45,$L45),$G45)))+P$2/100,情景分析!$D$7,"",,,,"",)*IF($H45="",1,$H45))</f>
        <v/>
      </c>
      <c r="Q45" s="7" t="str">
        <f>IF($A45="","",[2]!B_CALC_PRICE($A45,$O$1,IF(情景分析!$D$6=1,$J45,IF(情景分析!$D$6=2,$E45,IF(情景分析!$D$6=4,IF($C45="银行间",$J45,$L45),$G45)))+Q$2/100,情景分析!$D$7,"",,,,"",)*IF($H45="",1,$H45))</f>
        <v/>
      </c>
      <c r="R45" s="7" t="str">
        <f>IF($A45="","",[2]!B_CALC_PRICE($A45,$O$1,IF(情景分析!$D$6=1,$J45,IF(情景分析!$D$6=2,$E45,IF(情景分析!$D$6=4,IF($C45="银行间",$J45,$L45),$G45)))+R$2/100,情景分析!$D$7,"",,,,"",)*IF($H45="",1,$H45))</f>
        <v/>
      </c>
      <c r="S45" s="7" t="str">
        <f>IF($A45="","",[2]!B_CALC_PRICE($A45,$O$1,IF(情景分析!$D$6=1,$J45,IF(情景分析!$D$6=2,$E45,IF(情景分析!$D$6=4,IF($C45="银行间",$J45,$L45),$G45)))+S$2/100,情景分析!$D$7,"",,,,"",)*IF($H45="",1,$H45))</f>
        <v/>
      </c>
      <c r="T45" s="7" t="str">
        <f>IF($A45="","",[2]!B_CALC_PRICE($A45,$O$1,IF(情景分析!$D$6=1,$J45,IF(情景分析!$D$6=2,$E45,IF(情景分析!$D$6=4,IF($C45="银行间",$J45,$L45),$G45)))+T$2/100,情景分析!$D$7,"",,,,"",)*IF($H45="",1,$H45))</f>
        <v/>
      </c>
      <c r="U45" s="7" t="str">
        <f>IF($A45="","",[2]!B_CALC_PRICE($A45,$O$1,IF(情景分析!$D$6=1,$J45,IF(情景分析!$D$6=2,$E45,IF(情景分析!$D$6=4,IF($C45="银行间",$J45,$L45),$G45)))+U$2/100,情景分析!$D$7,"",,,,"",)*IF($H45="",1,$H45))</f>
        <v/>
      </c>
      <c r="V45" s="7" t="str">
        <f>IF($A45="","",[2]!B_CALC_PRICE($A45,$V$1,IF(情景分析!$D$6=1,$J45,IF(情景分析!$D$6=2,$E45,IF(情景分析!$D$6=4,IF($C45="银行间",$J45,$L45),$G45)))+V$2/100,情景分析!$D$7,"",,,,"",)*IF($H45="",1,$H45))</f>
        <v/>
      </c>
      <c r="W45" s="7" t="str">
        <f>IF($A45="","",[2]!B_CALC_PRICE($A45,$V$1,IF(情景分析!$D$6=1,$J45,IF(情景分析!$D$6=2,$E45,IF(情景分析!$D$6=4,IF($C45="银行间",$J45,$L45),$G45)))+W$2/100,情景分析!$D$7,"",,,,"",)*IF($H45="",1,$H45))</f>
        <v/>
      </c>
      <c r="X45" s="7" t="str">
        <f>IF($A45="","",[2]!B_CALC_PRICE($A45,$V$1,IF(情景分析!$D$6=1,$J45,IF(情景分析!$D$6=2,$E45,IF(情景分析!$D$6=4,IF($C45="银行间",$J45,$L45),$G45)))+X$2/100,情景分析!$D$7,"",,,,"",)*IF($H45="",1,$H45))</f>
        <v/>
      </c>
      <c r="Y45" s="7" t="str">
        <f>IF($A45="","",[2]!B_CALC_PRICE($A45,$V$1,IF(情景分析!$D$6=1,$J45,IF(情景分析!$D$6=2,$E45,IF(情景分析!$D$6=4,IF($C45="银行间",$J45,$L45),$G45)))+Y$2/100,情景分析!$D$7,"",,,,"",)*IF($H45="",1,$H45))</f>
        <v/>
      </c>
      <c r="Z45" s="7" t="str">
        <f>IF($A45="","",[2]!B_CALC_PRICE($A45,$V$1,IF(情景分析!$D$6=1,$J45,IF(情景分析!$D$6=2,$E45,IF(情景分析!$D$6=4,IF($C45="银行间",$J45,$L45),$G45)))+Z$2/100,情景分析!$D$7,"",,,,"",)*IF($H45="",1,$H45))</f>
        <v/>
      </c>
      <c r="AA45" s="7" t="str">
        <f>IF($A45="","",[2]!B_CALC_PRICE($A45,$V$1,IF(情景分析!$D$6=1,$J45,IF(情景分析!$D$6=2,$E45,IF(情景分析!$D$6=4,IF($C45="银行间",$J45,$L45),$G45)))+AA$2/100,情景分析!$D$7,"",,,,"",)*IF($H45="",1,$H45))</f>
        <v/>
      </c>
      <c r="AB45" s="7" t="str">
        <f>IF($A45="","",[2]!B_CALC_PRICE($A45,$V$1,IF(情景分析!$D$6=1,$J45,IF(情景分析!$D$6=2,$E45,IF(情景分析!$D$6=4,IF($C45="银行间",$J45,$L45),$G45)))+AB$2/100,情景分析!$D$7,"",,,,"",)*IF($H45="",1,$H45))</f>
        <v/>
      </c>
      <c r="AC45" s="7" t="str">
        <f>IF($A45="","",[2]!B_CALC_PRICE($A45,$AC$1,IF(情景分析!$D$6=1,$J45,IF(情景分析!$D$6=2,$E45,IF(情景分析!$D$6=4,IF($C45="银行间",$J45,$L45),$G45)))+AC$2/100,情景分析!$D$7,"",,,,"",)*IF($H45="",1,$H45))</f>
        <v/>
      </c>
      <c r="AD45" s="7" t="str">
        <f>IF($A45="","",[2]!B_CALC_PRICE($A45,$AC$1,IF(情景分析!$D$6=1,$J45,IF(情景分析!$D$6=2,$E45,IF(情景分析!$D$6=4,IF($C45="银行间",$J45,$L45),$G45)))+AD$2/100,情景分析!$D$7,"",,,,"",)*IF($H45="",1,$H45))</f>
        <v/>
      </c>
      <c r="AE45" s="7" t="str">
        <f>IF($A45="","",[2]!B_CALC_PRICE($A45,$AC$1,IF(情景分析!$D$6=1,$J45,IF(情景分析!$D$6=2,$E45,IF(情景分析!$D$6=4,IF($C45="银行间",$J45,$L45),$G45)))+AE$2/100,情景分析!$D$7,"",,,,"",)*IF($H45="",1,$H45))</f>
        <v/>
      </c>
      <c r="AF45" s="7" t="str">
        <f>IF($A45="","",[2]!B_CALC_PRICE($A45,$AC$1,IF(情景分析!$D$6=1,$J45,IF(情景分析!$D$6=2,$E45,IF(情景分析!$D$6=4,IF($C45="银行间",$J45,$L45),$G45)))+AF$2/100,情景分析!$D$7,"",,,,"",)*IF($H45="",1,$H45))</f>
        <v/>
      </c>
      <c r="AG45" s="7" t="str">
        <f>IF($A45="","",[2]!B_CALC_PRICE($A45,$AC$1,IF(情景分析!$D$6=1,$J45,IF(情景分析!$D$6=2,$E45,IF(情景分析!$D$6=4,IF($C45="银行间",$J45,$L45),$G45)))+AG$2/100,情景分析!$D$7,"",,,,"",)*IF($H45="",1,$H45))</f>
        <v/>
      </c>
      <c r="AH45" s="7" t="str">
        <f>IF($A45="","",[2]!B_CALC_PRICE($A45,$AC$1,IF(情景分析!$D$6=1,$J45,IF(情景分析!$D$6=2,$E45,IF(情景分析!$D$6=4,IF($C45="银行间",$J45,$L45),$G45)))+AH$2/100,情景分析!$D$7,"",,,,"",)*IF($H45="",1,$H45))</f>
        <v/>
      </c>
      <c r="AI45" s="7" t="str">
        <f>IF($A45="","",[2]!B_CALC_PRICE($A45,$AC$1,IF(情景分析!$D$6=1,$J45,IF(情景分析!$D$6=2,$E45,IF(情景分析!$D$6=4,IF($C45="银行间",$J45,$L45),$G45)))+AI$2/100,情景分析!$D$7,"",,,,"",)*IF($H45="",1,$H45))</f>
        <v/>
      </c>
      <c r="AJ45" s="7" t="str">
        <f>IF($A45="","",[2]!B_CALC_PRICE($A45,$AJ$1,IF(情景分析!$D$6=1,$J45,IF(情景分析!$D$6=2,$E45,IF(情景分析!$D$6=4,IF($C45="银行间",$J45,$L45),$G45)))+AJ$2/100,情景分析!$D$7,"",,,,"",)*IF($H45="",1,$H45))</f>
        <v/>
      </c>
      <c r="AK45" s="7" t="str">
        <f>IF($A45="","",[2]!B_CALC_PRICE($A45,$AJ$1,IF(情景分析!$D$6=1,$J45,IF(情景分析!$D$6=2,$E45,IF(情景分析!$D$6=4,IF($C45="银行间",$J45,$L45),$G45)))+AK$2/100,情景分析!$D$7,"",,,,"",)*IF($H45="",1,$H45))</f>
        <v/>
      </c>
      <c r="AL45" s="7" t="str">
        <f>IF($A45="","",[2]!B_CALC_PRICE($A45,$AJ$1,IF(情景分析!$D$6=1,$J45,IF(情景分析!$D$6=2,$E45,IF(情景分析!$D$6=4,IF($C45="银行间",$J45,$L45),$G45)))+AL$2/100,情景分析!$D$7,"",,,,"",)*IF($H45="",1,$H45))</f>
        <v/>
      </c>
      <c r="AM45" s="7" t="str">
        <f>IF($A45="","",[2]!B_CALC_PRICE($A45,$AJ$1,IF(情景分析!$D$6=1,$J45,IF(情景分析!$D$6=2,$E45,IF(情景分析!$D$6=4,IF($C45="银行间",$J45,$L45),$G45)))+AM$2/100,情景分析!$D$7,"",,,,"",)*IF($H45="",1,$H45))</f>
        <v/>
      </c>
      <c r="AN45" s="7" t="str">
        <f>IF($A45="","",[2]!B_CALC_PRICE($A45,$AJ$1,IF(情景分析!$D$6=1,$J45,IF(情景分析!$D$6=2,$E45,IF(情景分析!$D$6=4,IF($C45="银行间",$J45,$L45),$G45)))+AN$2/100,情景分析!$D$7,"",,,,"",)*IF($H45="",1,$H45))</f>
        <v/>
      </c>
      <c r="AO45" s="7" t="str">
        <f>IF($A45="","",[2]!B_CALC_PRICE($A45,$AJ$1,IF(情景分析!$D$6=1,$J45,IF(情景分析!$D$6=2,$E45,IF(情景分析!$D$6=4,IF($C45="银行间",$J45,$L45),$G45)))+AO$2/100,情景分析!$D$7,"",,,,"",)*IF($H45="",1,$H45))</f>
        <v/>
      </c>
      <c r="AP45" s="7" t="str">
        <f>IF($A45="","",[2]!B_CALC_PRICE($A45,$AJ$1,IF(情景分析!$D$6=1,$J45,IF(情景分析!$D$6=2,$E45,IF(情景分析!$D$6=4,IF($C45="银行间",$J45,$L45),$G45)))+AP$2/100,情景分析!$D$7,"",,,,"",)*IF($H45="",1,$H45))</f>
        <v/>
      </c>
      <c r="AQ45" s="7" t="str">
        <f>IF($A45="","",[2]!B_CALC_PRICE($A45,$AQ$1,IF(情景分析!$D$6=1,$J45,IF(情景分析!$D$6=2,$E45,IF(情景分析!$D$6=4,IF($C45="银行间",$J45,$L45),$G45)))+AQ$2/100,情景分析!$D$7,"",,,,"",)*IF($H45="",1,$H45))</f>
        <v/>
      </c>
      <c r="AR45" s="7" t="str">
        <f>IF($A45="","",[2]!B_CALC_PRICE($A45,$AQ$1,IF(情景分析!$D$6=1,$J45,IF(情景分析!$D$6=2,$E45,IF(情景分析!$D$6=4,IF($C45="银行间",$J45,$L45),$G45)))+AR$2/100,情景分析!$D$7,"",,,,"",)*IF($H45="",1,$H45))</f>
        <v/>
      </c>
      <c r="AS45" s="7" t="str">
        <f>IF($A45="","",[2]!B_CALC_PRICE($A45,$AQ$1,IF(情景分析!$D$6=1,$J45,IF(情景分析!$D$6=2,$E45,IF(情景分析!$D$6=4,IF($C45="银行间",$J45,$L45),$G45)))+AS$2/100,情景分析!$D$7,"",,,,"",)*IF($H45="",1,$H45))</f>
        <v/>
      </c>
      <c r="AT45" s="7" t="str">
        <f>IF($A45="","",[2]!B_CALC_PRICE($A45,$AQ$1,IF(情景分析!$D$6=1,$J45,IF(情景分析!$D$6=2,$E45,IF(情景分析!$D$6=4,IF($C45="银行间",$J45,$L45),$G45)))+AT$2/100,情景分析!$D$7,"",,,,"",)*IF($H45="",1,$H45))</f>
        <v/>
      </c>
      <c r="AU45" s="7" t="str">
        <f>IF($A45="","",[2]!B_CALC_PRICE($A45,$AQ$1,IF(情景分析!$D$6=1,$J45,IF(情景分析!$D$6=2,$E45,IF(情景分析!$D$6=4,IF($C45="银行间",$J45,$L45),$G45)))+AU$2/100,情景分析!$D$7,"",,,,"",)*IF($H45="",1,$H45))</f>
        <v/>
      </c>
      <c r="AV45" s="7" t="str">
        <f>IF($A45="","",[2]!B_CALC_PRICE($A45,$AQ$1,IF(情景分析!$D$6=1,$J45,IF(情景分析!$D$6=2,$E45,IF(情景分析!$D$6=4,IF($C45="银行间",$J45,$L45),$G45)))+AV$2/100,情景分析!$D$7,"",,,,"",)*IF($H45="",1,$H45))</f>
        <v/>
      </c>
      <c r="AW45" s="7" t="str">
        <f>IF($A45="","",[2]!B_CALC_PRICE($A45,$AQ$1,IF(情景分析!$D$6=1,$J45,IF(情景分析!$D$6=2,$E45,IF(情景分析!$D$6=4,IF($C45="银行间",$J45,$L45),$G45)))+AW$2/100,情景分析!$D$7,"",,,,"",)*IF($H45="",1,$H45))</f>
        <v/>
      </c>
    </row>
    <row r="46" spans="1:49" x14ac:dyDescent="0.15">
      <c r="A46" s="20"/>
      <c r="B46" s="7" t="str">
        <f>IF(A46="","",[2]!b_info_name(A46))</f>
        <v/>
      </c>
      <c r="C46" s="7" t="str">
        <f>[2]!b_info_listedmkt(A46)</f>
        <v>#N/A</v>
      </c>
      <c r="D46" s="7" t="str">
        <f>IFERROR(IF(A46="","", [2]!b_dq_avgprice(A46, 情景分析!$D$5, 情景分析!$D$7) * IF($H46="",1,$H46)),0)</f>
        <v/>
      </c>
      <c r="E46" s="7" t="str">
        <f>IF(A46="","", N([2]!b_dq_avgprice(A46,情景分析!$D$5,3)))</f>
        <v/>
      </c>
      <c r="F46" s="29" t="str">
        <f>IF($G46 = "",
"",
IFERROR(
[2]!b_calc_pv(A46, 情景分析!$D$5,$G46, "1", 情景分析!$D$7),
[2]!b_calc_pv(A46, 情景分析!$D$5,$G46, "2", 情景分析!$D$7)
)
)</f>
        <v/>
      </c>
      <c r="G46" s="22"/>
      <c r="H46" s="21"/>
      <c r="I46" s="7" t="str">
        <f>IF(A46="","",IF(情景分析!$D$7=1,[2]!b_anal_net_cnbd(A46,情景分析!$D$5,1),[2]!b_anal_dirty_cnbd(A46,情景分析!$D$5,1))*IF($H46="",1,$H46))</f>
        <v/>
      </c>
      <c r="J46" s="7" t="str">
        <f>IF(A46="","",[2]!b_anal_yield_cnbd(A46,情景分析!$D$5,1))</f>
        <v/>
      </c>
      <c r="K46" s="29" t="str">
        <f>IF(A46="","",IF(情景分析!$D$7=1,[2]!b_anal_net_csi1(A46,情景分析!$D$5,1),[2]!b_anal_dirty_csi1(A46,情景分析!$D$5,1))*IF($H46="",1,$H46))</f>
        <v/>
      </c>
      <c r="L46" s="29" t="str">
        <f>IF(A46="","",[2]!b_anal_yield_csi1(A46,情景分析!$D$5,1))</f>
        <v/>
      </c>
      <c r="M46" s="29" t="str">
        <f t="shared" si="4"/>
        <v/>
      </c>
      <c r="N46" s="29" t="str">
        <f t="shared" si="5"/>
        <v/>
      </c>
      <c r="O46" s="7" t="str">
        <f>IF($A46="","",[2]!B_CALC_PRICE($A46,$O$1,IF(情景分析!$D$6=1,$J46,IF(情景分析!$D$6=2,$E46,IF(情景分析!$D$6=4,IF($C46="银行间",$J46,$L46),$G46)))+O$2/100,情景分析!$D$7,"",,,,"",)*IF($H46="",1,$H46))</f>
        <v/>
      </c>
      <c r="P46" s="7" t="str">
        <f>IF($A46="","",[2]!B_CALC_PRICE($A46,$O$1,IF(情景分析!$D$6=1,$J46,IF(情景分析!$D$6=2,$E46,IF(情景分析!$D$6=4,IF($C46="银行间",$J46,$L46),$G46)))+P$2/100,情景分析!$D$7,"",,,,"",)*IF($H46="",1,$H46))</f>
        <v/>
      </c>
      <c r="Q46" s="7" t="str">
        <f>IF($A46="","",[2]!B_CALC_PRICE($A46,$O$1,IF(情景分析!$D$6=1,$J46,IF(情景分析!$D$6=2,$E46,IF(情景分析!$D$6=4,IF($C46="银行间",$J46,$L46),$G46)))+Q$2/100,情景分析!$D$7,"",,,,"",)*IF($H46="",1,$H46))</f>
        <v/>
      </c>
      <c r="R46" s="7" t="str">
        <f>IF($A46="","",[2]!B_CALC_PRICE($A46,$O$1,IF(情景分析!$D$6=1,$J46,IF(情景分析!$D$6=2,$E46,IF(情景分析!$D$6=4,IF($C46="银行间",$J46,$L46),$G46)))+R$2/100,情景分析!$D$7,"",,,,"",)*IF($H46="",1,$H46))</f>
        <v/>
      </c>
      <c r="S46" s="7" t="str">
        <f>IF($A46="","",[2]!B_CALC_PRICE($A46,$O$1,IF(情景分析!$D$6=1,$J46,IF(情景分析!$D$6=2,$E46,IF(情景分析!$D$6=4,IF($C46="银行间",$J46,$L46),$G46)))+S$2/100,情景分析!$D$7,"",,,,"",)*IF($H46="",1,$H46))</f>
        <v/>
      </c>
      <c r="T46" s="7" t="str">
        <f>IF($A46="","",[2]!B_CALC_PRICE($A46,$O$1,IF(情景分析!$D$6=1,$J46,IF(情景分析!$D$6=2,$E46,IF(情景分析!$D$6=4,IF($C46="银行间",$J46,$L46),$G46)))+T$2/100,情景分析!$D$7,"",,,,"",)*IF($H46="",1,$H46))</f>
        <v/>
      </c>
      <c r="U46" s="7" t="str">
        <f>IF($A46="","",[2]!B_CALC_PRICE($A46,$O$1,IF(情景分析!$D$6=1,$J46,IF(情景分析!$D$6=2,$E46,IF(情景分析!$D$6=4,IF($C46="银行间",$J46,$L46),$G46)))+U$2/100,情景分析!$D$7,"",,,,"",)*IF($H46="",1,$H46))</f>
        <v/>
      </c>
      <c r="V46" s="7" t="str">
        <f>IF($A46="","",[2]!B_CALC_PRICE($A46,$V$1,IF(情景分析!$D$6=1,$J46,IF(情景分析!$D$6=2,$E46,IF(情景分析!$D$6=4,IF($C46="银行间",$J46,$L46),$G46)))+V$2/100,情景分析!$D$7,"",,,,"",)*IF($H46="",1,$H46))</f>
        <v/>
      </c>
      <c r="W46" s="7" t="str">
        <f>IF($A46="","",[2]!B_CALC_PRICE($A46,$V$1,IF(情景分析!$D$6=1,$J46,IF(情景分析!$D$6=2,$E46,IF(情景分析!$D$6=4,IF($C46="银行间",$J46,$L46),$G46)))+W$2/100,情景分析!$D$7,"",,,,"",)*IF($H46="",1,$H46))</f>
        <v/>
      </c>
      <c r="X46" s="7" t="str">
        <f>IF($A46="","",[2]!B_CALC_PRICE($A46,$V$1,IF(情景分析!$D$6=1,$J46,IF(情景分析!$D$6=2,$E46,IF(情景分析!$D$6=4,IF($C46="银行间",$J46,$L46),$G46)))+X$2/100,情景分析!$D$7,"",,,,"",)*IF($H46="",1,$H46))</f>
        <v/>
      </c>
      <c r="Y46" s="7" t="str">
        <f>IF($A46="","",[2]!B_CALC_PRICE($A46,$V$1,IF(情景分析!$D$6=1,$J46,IF(情景分析!$D$6=2,$E46,IF(情景分析!$D$6=4,IF($C46="银行间",$J46,$L46),$G46)))+Y$2/100,情景分析!$D$7,"",,,,"",)*IF($H46="",1,$H46))</f>
        <v/>
      </c>
      <c r="Z46" s="7" t="str">
        <f>IF($A46="","",[2]!B_CALC_PRICE($A46,$V$1,IF(情景分析!$D$6=1,$J46,IF(情景分析!$D$6=2,$E46,IF(情景分析!$D$6=4,IF($C46="银行间",$J46,$L46),$G46)))+Z$2/100,情景分析!$D$7,"",,,,"",)*IF($H46="",1,$H46))</f>
        <v/>
      </c>
      <c r="AA46" s="7" t="str">
        <f>IF($A46="","",[2]!B_CALC_PRICE($A46,$V$1,IF(情景分析!$D$6=1,$J46,IF(情景分析!$D$6=2,$E46,IF(情景分析!$D$6=4,IF($C46="银行间",$J46,$L46),$G46)))+AA$2/100,情景分析!$D$7,"",,,,"",)*IF($H46="",1,$H46))</f>
        <v/>
      </c>
      <c r="AB46" s="7" t="str">
        <f>IF($A46="","",[2]!B_CALC_PRICE($A46,$V$1,IF(情景分析!$D$6=1,$J46,IF(情景分析!$D$6=2,$E46,IF(情景分析!$D$6=4,IF($C46="银行间",$J46,$L46),$G46)))+AB$2/100,情景分析!$D$7,"",,,,"",)*IF($H46="",1,$H46))</f>
        <v/>
      </c>
      <c r="AC46" s="7" t="str">
        <f>IF($A46="","",[2]!B_CALC_PRICE($A46,$AC$1,IF(情景分析!$D$6=1,$J46,IF(情景分析!$D$6=2,$E46,IF(情景分析!$D$6=4,IF($C46="银行间",$J46,$L46),$G46)))+AC$2/100,情景分析!$D$7,"",,,,"",)*IF($H46="",1,$H46))</f>
        <v/>
      </c>
      <c r="AD46" s="7" t="str">
        <f>IF($A46="","",[2]!B_CALC_PRICE($A46,$AC$1,IF(情景分析!$D$6=1,$J46,IF(情景分析!$D$6=2,$E46,IF(情景分析!$D$6=4,IF($C46="银行间",$J46,$L46),$G46)))+AD$2/100,情景分析!$D$7,"",,,,"",)*IF($H46="",1,$H46))</f>
        <v/>
      </c>
      <c r="AE46" s="7" t="str">
        <f>IF($A46="","",[2]!B_CALC_PRICE($A46,$AC$1,IF(情景分析!$D$6=1,$J46,IF(情景分析!$D$6=2,$E46,IF(情景分析!$D$6=4,IF($C46="银行间",$J46,$L46),$G46)))+AE$2/100,情景分析!$D$7,"",,,,"",)*IF($H46="",1,$H46))</f>
        <v/>
      </c>
      <c r="AF46" s="7" t="str">
        <f>IF($A46="","",[2]!B_CALC_PRICE($A46,$AC$1,IF(情景分析!$D$6=1,$J46,IF(情景分析!$D$6=2,$E46,IF(情景分析!$D$6=4,IF($C46="银行间",$J46,$L46),$G46)))+AF$2/100,情景分析!$D$7,"",,,,"",)*IF($H46="",1,$H46))</f>
        <v/>
      </c>
      <c r="AG46" s="7" t="str">
        <f>IF($A46="","",[2]!B_CALC_PRICE($A46,$AC$1,IF(情景分析!$D$6=1,$J46,IF(情景分析!$D$6=2,$E46,IF(情景分析!$D$6=4,IF($C46="银行间",$J46,$L46),$G46)))+AG$2/100,情景分析!$D$7,"",,,,"",)*IF($H46="",1,$H46))</f>
        <v/>
      </c>
      <c r="AH46" s="7" t="str">
        <f>IF($A46="","",[2]!B_CALC_PRICE($A46,$AC$1,IF(情景分析!$D$6=1,$J46,IF(情景分析!$D$6=2,$E46,IF(情景分析!$D$6=4,IF($C46="银行间",$J46,$L46),$G46)))+AH$2/100,情景分析!$D$7,"",,,,"",)*IF($H46="",1,$H46))</f>
        <v/>
      </c>
      <c r="AI46" s="7" t="str">
        <f>IF($A46="","",[2]!B_CALC_PRICE($A46,$AC$1,IF(情景分析!$D$6=1,$J46,IF(情景分析!$D$6=2,$E46,IF(情景分析!$D$6=4,IF($C46="银行间",$J46,$L46),$G46)))+AI$2/100,情景分析!$D$7,"",,,,"",)*IF($H46="",1,$H46))</f>
        <v/>
      </c>
      <c r="AJ46" s="7" t="str">
        <f>IF($A46="","",[2]!B_CALC_PRICE($A46,$AJ$1,IF(情景分析!$D$6=1,$J46,IF(情景分析!$D$6=2,$E46,IF(情景分析!$D$6=4,IF($C46="银行间",$J46,$L46),$G46)))+AJ$2/100,情景分析!$D$7,"",,,,"",)*IF($H46="",1,$H46))</f>
        <v/>
      </c>
      <c r="AK46" s="7" t="str">
        <f>IF($A46="","",[2]!B_CALC_PRICE($A46,$AJ$1,IF(情景分析!$D$6=1,$J46,IF(情景分析!$D$6=2,$E46,IF(情景分析!$D$6=4,IF($C46="银行间",$J46,$L46),$G46)))+AK$2/100,情景分析!$D$7,"",,,,"",)*IF($H46="",1,$H46))</f>
        <v/>
      </c>
      <c r="AL46" s="7" t="str">
        <f>IF($A46="","",[2]!B_CALC_PRICE($A46,$AJ$1,IF(情景分析!$D$6=1,$J46,IF(情景分析!$D$6=2,$E46,IF(情景分析!$D$6=4,IF($C46="银行间",$J46,$L46),$G46)))+AL$2/100,情景分析!$D$7,"",,,,"",)*IF($H46="",1,$H46))</f>
        <v/>
      </c>
      <c r="AM46" s="7" t="str">
        <f>IF($A46="","",[2]!B_CALC_PRICE($A46,$AJ$1,IF(情景分析!$D$6=1,$J46,IF(情景分析!$D$6=2,$E46,IF(情景分析!$D$6=4,IF($C46="银行间",$J46,$L46),$G46)))+AM$2/100,情景分析!$D$7,"",,,,"",)*IF($H46="",1,$H46))</f>
        <v/>
      </c>
      <c r="AN46" s="7" t="str">
        <f>IF($A46="","",[2]!B_CALC_PRICE($A46,$AJ$1,IF(情景分析!$D$6=1,$J46,IF(情景分析!$D$6=2,$E46,IF(情景分析!$D$6=4,IF($C46="银行间",$J46,$L46),$G46)))+AN$2/100,情景分析!$D$7,"",,,,"",)*IF($H46="",1,$H46))</f>
        <v/>
      </c>
      <c r="AO46" s="7" t="str">
        <f>IF($A46="","",[2]!B_CALC_PRICE($A46,$AJ$1,IF(情景分析!$D$6=1,$J46,IF(情景分析!$D$6=2,$E46,IF(情景分析!$D$6=4,IF($C46="银行间",$J46,$L46),$G46)))+AO$2/100,情景分析!$D$7,"",,,,"",)*IF($H46="",1,$H46))</f>
        <v/>
      </c>
      <c r="AP46" s="7" t="str">
        <f>IF($A46="","",[2]!B_CALC_PRICE($A46,$AJ$1,IF(情景分析!$D$6=1,$J46,IF(情景分析!$D$6=2,$E46,IF(情景分析!$D$6=4,IF($C46="银行间",$J46,$L46),$G46)))+AP$2/100,情景分析!$D$7,"",,,,"",)*IF($H46="",1,$H46))</f>
        <v/>
      </c>
      <c r="AQ46" s="7" t="str">
        <f>IF($A46="","",[2]!B_CALC_PRICE($A46,$AQ$1,IF(情景分析!$D$6=1,$J46,IF(情景分析!$D$6=2,$E46,IF(情景分析!$D$6=4,IF($C46="银行间",$J46,$L46),$G46)))+AQ$2/100,情景分析!$D$7,"",,,,"",)*IF($H46="",1,$H46))</f>
        <v/>
      </c>
      <c r="AR46" s="7" t="str">
        <f>IF($A46="","",[2]!B_CALC_PRICE($A46,$AQ$1,IF(情景分析!$D$6=1,$J46,IF(情景分析!$D$6=2,$E46,IF(情景分析!$D$6=4,IF($C46="银行间",$J46,$L46),$G46)))+AR$2/100,情景分析!$D$7,"",,,,"",)*IF($H46="",1,$H46))</f>
        <v/>
      </c>
      <c r="AS46" s="7" t="str">
        <f>IF($A46="","",[2]!B_CALC_PRICE($A46,$AQ$1,IF(情景分析!$D$6=1,$J46,IF(情景分析!$D$6=2,$E46,IF(情景分析!$D$6=4,IF($C46="银行间",$J46,$L46),$G46)))+AS$2/100,情景分析!$D$7,"",,,,"",)*IF($H46="",1,$H46))</f>
        <v/>
      </c>
      <c r="AT46" s="7" t="str">
        <f>IF($A46="","",[2]!B_CALC_PRICE($A46,$AQ$1,IF(情景分析!$D$6=1,$J46,IF(情景分析!$D$6=2,$E46,IF(情景分析!$D$6=4,IF($C46="银行间",$J46,$L46),$G46)))+AT$2/100,情景分析!$D$7,"",,,,"",)*IF($H46="",1,$H46))</f>
        <v/>
      </c>
      <c r="AU46" s="7" t="str">
        <f>IF($A46="","",[2]!B_CALC_PRICE($A46,$AQ$1,IF(情景分析!$D$6=1,$J46,IF(情景分析!$D$6=2,$E46,IF(情景分析!$D$6=4,IF($C46="银行间",$J46,$L46),$G46)))+AU$2/100,情景分析!$D$7,"",,,,"",)*IF($H46="",1,$H46))</f>
        <v/>
      </c>
      <c r="AV46" s="7" t="str">
        <f>IF($A46="","",[2]!B_CALC_PRICE($A46,$AQ$1,IF(情景分析!$D$6=1,$J46,IF(情景分析!$D$6=2,$E46,IF(情景分析!$D$6=4,IF($C46="银行间",$J46,$L46),$G46)))+AV$2/100,情景分析!$D$7,"",,,,"",)*IF($H46="",1,$H46))</f>
        <v/>
      </c>
      <c r="AW46" s="7" t="str">
        <f>IF($A46="","",[2]!B_CALC_PRICE($A46,$AQ$1,IF(情景分析!$D$6=1,$J46,IF(情景分析!$D$6=2,$E46,IF(情景分析!$D$6=4,IF($C46="银行间",$J46,$L46),$G46)))+AW$2/100,情景分析!$D$7,"",,,,"",)*IF($H46="",1,$H46))</f>
        <v/>
      </c>
    </row>
    <row r="47" spans="1:49" x14ac:dyDescent="0.15">
      <c r="A47" s="20"/>
      <c r="B47" s="7" t="str">
        <f>IF(A47="","",[2]!b_info_name(A47))</f>
        <v/>
      </c>
      <c r="C47" s="7" t="str">
        <f>[2]!b_info_listedmkt(A47)</f>
        <v>#N/A</v>
      </c>
      <c r="D47" s="7" t="str">
        <f>IFERROR(IF(A47="","", [2]!b_dq_avgprice(A47, 情景分析!$D$5, 情景分析!$D$7) * IF($H47="",1,$H47)),0)</f>
        <v/>
      </c>
      <c r="E47" s="7" t="str">
        <f>IF(A47="","", N([2]!b_dq_avgprice(A47,情景分析!$D$5,3)))</f>
        <v/>
      </c>
      <c r="F47" s="29" t="str">
        <f>IF($G47 = "",
"",
IFERROR(
[2]!b_calc_pv(A47, 情景分析!$D$5,$G47, "1", 情景分析!$D$7),
[2]!b_calc_pv(A47, 情景分析!$D$5,$G47, "2", 情景分析!$D$7)
)
)</f>
        <v/>
      </c>
      <c r="G47" s="22"/>
      <c r="H47" s="21"/>
      <c r="I47" s="7" t="str">
        <f>IF(A47="","",IF(情景分析!$D$7=1,[2]!b_anal_net_cnbd(A47,情景分析!$D$5,1),[2]!b_anal_dirty_cnbd(A47,情景分析!$D$5,1))*IF($H47="",1,$H47))</f>
        <v/>
      </c>
      <c r="J47" s="7" t="str">
        <f>IF(A47="","",[2]!b_anal_yield_cnbd(A47,情景分析!$D$5,1))</f>
        <v/>
      </c>
      <c r="K47" s="29" t="str">
        <f>IF(A47="","",IF(情景分析!$D$7=1,[2]!b_anal_net_csi1(A47,情景分析!$D$5,1),[2]!b_anal_dirty_csi1(A47,情景分析!$D$5,1))*IF($H47="",1,$H47))</f>
        <v/>
      </c>
      <c r="L47" s="29" t="str">
        <f>IF(A47="","",[2]!b_anal_yield_csi1(A47,情景分析!$D$5,1))</f>
        <v/>
      </c>
      <c r="M47" s="29" t="str">
        <f t="shared" si="4"/>
        <v/>
      </c>
      <c r="N47" s="29" t="str">
        <f t="shared" si="5"/>
        <v/>
      </c>
      <c r="O47" s="7" t="str">
        <f>IF($A47="","",[2]!B_CALC_PRICE($A47,$O$1,IF(情景分析!$D$6=1,$J47,IF(情景分析!$D$6=2,$E47,IF(情景分析!$D$6=4,IF($C47="银行间",$J47,$L47),$G47)))+O$2/100,情景分析!$D$7,"",,,,"",)*IF($H47="",1,$H47))</f>
        <v/>
      </c>
      <c r="P47" s="7" t="str">
        <f>IF($A47="","",[2]!B_CALC_PRICE($A47,$O$1,IF(情景分析!$D$6=1,$J47,IF(情景分析!$D$6=2,$E47,IF(情景分析!$D$6=4,IF($C47="银行间",$J47,$L47),$G47)))+P$2/100,情景分析!$D$7,"",,,,"",)*IF($H47="",1,$H47))</f>
        <v/>
      </c>
      <c r="Q47" s="7" t="str">
        <f>IF($A47="","",[2]!B_CALC_PRICE($A47,$O$1,IF(情景分析!$D$6=1,$J47,IF(情景分析!$D$6=2,$E47,IF(情景分析!$D$6=4,IF($C47="银行间",$J47,$L47),$G47)))+Q$2/100,情景分析!$D$7,"",,,,"",)*IF($H47="",1,$H47))</f>
        <v/>
      </c>
      <c r="R47" s="7" t="str">
        <f>IF($A47="","",[2]!B_CALC_PRICE($A47,$O$1,IF(情景分析!$D$6=1,$J47,IF(情景分析!$D$6=2,$E47,IF(情景分析!$D$6=4,IF($C47="银行间",$J47,$L47),$G47)))+R$2/100,情景分析!$D$7,"",,,,"",)*IF($H47="",1,$H47))</f>
        <v/>
      </c>
      <c r="S47" s="7" t="str">
        <f>IF($A47="","",[2]!B_CALC_PRICE($A47,$O$1,IF(情景分析!$D$6=1,$J47,IF(情景分析!$D$6=2,$E47,IF(情景分析!$D$6=4,IF($C47="银行间",$J47,$L47),$G47)))+S$2/100,情景分析!$D$7,"",,,,"",)*IF($H47="",1,$H47))</f>
        <v/>
      </c>
      <c r="T47" s="7" t="str">
        <f>IF($A47="","",[2]!B_CALC_PRICE($A47,$O$1,IF(情景分析!$D$6=1,$J47,IF(情景分析!$D$6=2,$E47,IF(情景分析!$D$6=4,IF($C47="银行间",$J47,$L47),$G47)))+T$2/100,情景分析!$D$7,"",,,,"",)*IF($H47="",1,$H47))</f>
        <v/>
      </c>
      <c r="U47" s="7" t="str">
        <f>IF($A47="","",[2]!B_CALC_PRICE($A47,$O$1,IF(情景分析!$D$6=1,$J47,IF(情景分析!$D$6=2,$E47,IF(情景分析!$D$6=4,IF($C47="银行间",$J47,$L47),$G47)))+U$2/100,情景分析!$D$7,"",,,,"",)*IF($H47="",1,$H47))</f>
        <v/>
      </c>
      <c r="V47" s="7" t="str">
        <f>IF($A47="","",[2]!B_CALC_PRICE($A47,$V$1,IF(情景分析!$D$6=1,$J47,IF(情景分析!$D$6=2,$E47,IF(情景分析!$D$6=4,IF($C47="银行间",$J47,$L47),$G47)))+V$2/100,情景分析!$D$7,"",,,,"",)*IF($H47="",1,$H47))</f>
        <v/>
      </c>
      <c r="W47" s="7" t="str">
        <f>IF($A47="","",[2]!B_CALC_PRICE($A47,$V$1,IF(情景分析!$D$6=1,$J47,IF(情景分析!$D$6=2,$E47,IF(情景分析!$D$6=4,IF($C47="银行间",$J47,$L47),$G47)))+W$2/100,情景分析!$D$7,"",,,,"",)*IF($H47="",1,$H47))</f>
        <v/>
      </c>
      <c r="X47" s="7" t="str">
        <f>IF($A47="","",[2]!B_CALC_PRICE($A47,$V$1,IF(情景分析!$D$6=1,$J47,IF(情景分析!$D$6=2,$E47,IF(情景分析!$D$6=4,IF($C47="银行间",$J47,$L47),$G47)))+X$2/100,情景分析!$D$7,"",,,,"",)*IF($H47="",1,$H47))</f>
        <v/>
      </c>
      <c r="Y47" s="7" t="str">
        <f>IF($A47="","",[2]!B_CALC_PRICE($A47,$V$1,IF(情景分析!$D$6=1,$J47,IF(情景分析!$D$6=2,$E47,IF(情景分析!$D$6=4,IF($C47="银行间",$J47,$L47),$G47)))+Y$2/100,情景分析!$D$7,"",,,,"",)*IF($H47="",1,$H47))</f>
        <v/>
      </c>
      <c r="Z47" s="7" t="str">
        <f>IF($A47="","",[2]!B_CALC_PRICE($A47,$V$1,IF(情景分析!$D$6=1,$J47,IF(情景分析!$D$6=2,$E47,IF(情景分析!$D$6=4,IF($C47="银行间",$J47,$L47),$G47)))+Z$2/100,情景分析!$D$7,"",,,,"",)*IF($H47="",1,$H47))</f>
        <v/>
      </c>
      <c r="AA47" s="7" t="str">
        <f>IF($A47="","",[2]!B_CALC_PRICE($A47,$V$1,IF(情景分析!$D$6=1,$J47,IF(情景分析!$D$6=2,$E47,IF(情景分析!$D$6=4,IF($C47="银行间",$J47,$L47),$G47)))+AA$2/100,情景分析!$D$7,"",,,,"",)*IF($H47="",1,$H47))</f>
        <v/>
      </c>
      <c r="AB47" s="7" t="str">
        <f>IF($A47="","",[2]!B_CALC_PRICE($A47,$V$1,IF(情景分析!$D$6=1,$J47,IF(情景分析!$D$6=2,$E47,IF(情景分析!$D$6=4,IF($C47="银行间",$J47,$L47),$G47)))+AB$2/100,情景分析!$D$7,"",,,,"",)*IF($H47="",1,$H47))</f>
        <v/>
      </c>
      <c r="AC47" s="7" t="str">
        <f>IF($A47="","",[2]!B_CALC_PRICE($A47,$AC$1,IF(情景分析!$D$6=1,$J47,IF(情景分析!$D$6=2,$E47,IF(情景分析!$D$6=4,IF($C47="银行间",$J47,$L47),$G47)))+AC$2/100,情景分析!$D$7,"",,,,"",)*IF($H47="",1,$H47))</f>
        <v/>
      </c>
      <c r="AD47" s="7" t="str">
        <f>IF($A47="","",[2]!B_CALC_PRICE($A47,$AC$1,IF(情景分析!$D$6=1,$J47,IF(情景分析!$D$6=2,$E47,IF(情景分析!$D$6=4,IF($C47="银行间",$J47,$L47),$G47)))+AD$2/100,情景分析!$D$7,"",,,,"",)*IF($H47="",1,$H47))</f>
        <v/>
      </c>
      <c r="AE47" s="7" t="str">
        <f>IF($A47="","",[2]!B_CALC_PRICE($A47,$AC$1,IF(情景分析!$D$6=1,$J47,IF(情景分析!$D$6=2,$E47,IF(情景分析!$D$6=4,IF($C47="银行间",$J47,$L47),$G47)))+AE$2/100,情景分析!$D$7,"",,,,"",)*IF($H47="",1,$H47))</f>
        <v/>
      </c>
      <c r="AF47" s="7" t="str">
        <f>IF($A47="","",[2]!B_CALC_PRICE($A47,$AC$1,IF(情景分析!$D$6=1,$J47,IF(情景分析!$D$6=2,$E47,IF(情景分析!$D$6=4,IF($C47="银行间",$J47,$L47),$G47)))+AF$2/100,情景分析!$D$7,"",,,,"",)*IF($H47="",1,$H47))</f>
        <v/>
      </c>
      <c r="AG47" s="7" t="str">
        <f>IF($A47="","",[2]!B_CALC_PRICE($A47,$AC$1,IF(情景分析!$D$6=1,$J47,IF(情景分析!$D$6=2,$E47,IF(情景分析!$D$6=4,IF($C47="银行间",$J47,$L47),$G47)))+AG$2/100,情景分析!$D$7,"",,,,"",)*IF($H47="",1,$H47))</f>
        <v/>
      </c>
      <c r="AH47" s="7" t="str">
        <f>IF($A47="","",[2]!B_CALC_PRICE($A47,$AC$1,IF(情景分析!$D$6=1,$J47,IF(情景分析!$D$6=2,$E47,IF(情景分析!$D$6=4,IF($C47="银行间",$J47,$L47),$G47)))+AH$2/100,情景分析!$D$7,"",,,,"",)*IF($H47="",1,$H47))</f>
        <v/>
      </c>
      <c r="AI47" s="7" t="str">
        <f>IF($A47="","",[2]!B_CALC_PRICE($A47,$AC$1,IF(情景分析!$D$6=1,$J47,IF(情景分析!$D$6=2,$E47,IF(情景分析!$D$6=4,IF($C47="银行间",$J47,$L47),$G47)))+AI$2/100,情景分析!$D$7,"",,,,"",)*IF($H47="",1,$H47))</f>
        <v/>
      </c>
      <c r="AJ47" s="7" t="str">
        <f>IF($A47="","",[2]!B_CALC_PRICE($A47,$AJ$1,IF(情景分析!$D$6=1,$J47,IF(情景分析!$D$6=2,$E47,IF(情景分析!$D$6=4,IF($C47="银行间",$J47,$L47),$G47)))+AJ$2/100,情景分析!$D$7,"",,,,"",)*IF($H47="",1,$H47))</f>
        <v/>
      </c>
      <c r="AK47" s="7" t="str">
        <f>IF($A47="","",[2]!B_CALC_PRICE($A47,$AJ$1,IF(情景分析!$D$6=1,$J47,IF(情景分析!$D$6=2,$E47,IF(情景分析!$D$6=4,IF($C47="银行间",$J47,$L47),$G47)))+AK$2/100,情景分析!$D$7,"",,,,"",)*IF($H47="",1,$H47))</f>
        <v/>
      </c>
      <c r="AL47" s="7" t="str">
        <f>IF($A47="","",[2]!B_CALC_PRICE($A47,$AJ$1,IF(情景分析!$D$6=1,$J47,IF(情景分析!$D$6=2,$E47,IF(情景分析!$D$6=4,IF($C47="银行间",$J47,$L47),$G47)))+AL$2/100,情景分析!$D$7,"",,,,"",)*IF($H47="",1,$H47))</f>
        <v/>
      </c>
      <c r="AM47" s="7" t="str">
        <f>IF($A47="","",[2]!B_CALC_PRICE($A47,$AJ$1,IF(情景分析!$D$6=1,$J47,IF(情景分析!$D$6=2,$E47,IF(情景分析!$D$6=4,IF($C47="银行间",$J47,$L47),$G47)))+AM$2/100,情景分析!$D$7,"",,,,"",)*IF($H47="",1,$H47))</f>
        <v/>
      </c>
      <c r="AN47" s="7" t="str">
        <f>IF($A47="","",[2]!B_CALC_PRICE($A47,$AJ$1,IF(情景分析!$D$6=1,$J47,IF(情景分析!$D$6=2,$E47,IF(情景分析!$D$6=4,IF($C47="银行间",$J47,$L47),$G47)))+AN$2/100,情景分析!$D$7,"",,,,"",)*IF($H47="",1,$H47))</f>
        <v/>
      </c>
      <c r="AO47" s="7" t="str">
        <f>IF($A47="","",[2]!B_CALC_PRICE($A47,$AJ$1,IF(情景分析!$D$6=1,$J47,IF(情景分析!$D$6=2,$E47,IF(情景分析!$D$6=4,IF($C47="银行间",$J47,$L47),$G47)))+AO$2/100,情景分析!$D$7,"",,,,"",)*IF($H47="",1,$H47))</f>
        <v/>
      </c>
      <c r="AP47" s="7" t="str">
        <f>IF($A47="","",[2]!B_CALC_PRICE($A47,$AJ$1,IF(情景分析!$D$6=1,$J47,IF(情景分析!$D$6=2,$E47,IF(情景分析!$D$6=4,IF($C47="银行间",$J47,$L47),$G47)))+AP$2/100,情景分析!$D$7,"",,,,"",)*IF($H47="",1,$H47))</f>
        <v/>
      </c>
      <c r="AQ47" s="7" t="str">
        <f>IF($A47="","",[2]!B_CALC_PRICE($A47,$AQ$1,IF(情景分析!$D$6=1,$J47,IF(情景分析!$D$6=2,$E47,IF(情景分析!$D$6=4,IF($C47="银行间",$J47,$L47),$G47)))+AQ$2/100,情景分析!$D$7,"",,,,"",)*IF($H47="",1,$H47))</f>
        <v/>
      </c>
      <c r="AR47" s="7" t="str">
        <f>IF($A47="","",[2]!B_CALC_PRICE($A47,$AQ$1,IF(情景分析!$D$6=1,$J47,IF(情景分析!$D$6=2,$E47,IF(情景分析!$D$6=4,IF($C47="银行间",$J47,$L47),$G47)))+AR$2/100,情景分析!$D$7,"",,,,"",)*IF($H47="",1,$H47))</f>
        <v/>
      </c>
      <c r="AS47" s="7" t="str">
        <f>IF($A47="","",[2]!B_CALC_PRICE($A47,$AQ$1,IF(情景分析!$D$6=1,$J47,IF(情景分析!$D$6=2,$E47,IF(情景分析!$D$6=4,IF($C47="银行间",$J47,$L47),$G47)))+AS$2/100,情景分析!$D$7,"",,,,"",)*IF($H47="",1,$H47))</f>
        <v/>
      </c>
      <c r="AT47" s="7" t="str">
        <f>IF($A47="","",[2]!B_CALC_PRICE($A47,$AQ$1,IF(情景分析!$D$6=1,$J47,IF(情景分析!$D$6=2,$E47,IF(情景分析!$D$6=4,IF($C47="银行间",$J47,$L47),$G47)))+AT$2/100,情景分析!$D$7,"",,,,"",)*IF($H47="",1,$H47))</f>
        <v/>
      </c>
      <c r="AU47" s="7" t="str">
        <f>IF($A47="","",[2]!B_CALC_PRICE($A47,$AQ$1,IF(情景分析!$D$6=1,$J47,IF(情景分析!$D$6=2,$E47,IF(情景分析!$D$6=4,IF($C47="银行间",$J47,$L47),$G47)))+AU$2/100,情景分析!$D$7,"",,,,"",)*IF($H47="",1,$H47))</f>
        <v/>
      </c>
      <c r="AV47" s="7" t="str">
        <f>IF($A47="","",[2]!B_CALC_PRICE($A47,$AQ$1,IF(情景分析!$D$6=1,$J47,IF(情景分析!$D$6=2,$E47,IF(情景分析!$D$6=4,IF($C47="银行间",$J47,$L47),$G47)))+AV$2/100,情景分析!$D$7,"",,,,"",)*IF($H47="",1,$H47))</f>
        <v/>
      </c>
      <c r="AW47" s="7" t="str">
        <f>IF($A47="","",[2]!B_CALC_PRICE($A47,$AQ$1,IF(情景分析!$D$6=1,$J47,IF(情景分析!$D$6=2,$E47,IF(情景分析!$D$6=4,IF($C47="银行间",$J47,$L47),$G47)))+AW$2/100,情景分析!$D$7,"",,,,"",)*IF($H47="",1,$H47))</f>
        <v/>
      </c>
    </row>
    <row r="48" spans="1:49" x14ac:dyDescent="0.15">
      <c r="A48" s="20"/>
      <c r="B48" s="7" t="str">
        <f>IF(A48="","",[2]!b_info_name(A48))</f>
        <v/>
      </c>
      <c r="C48" s="7" t="str">
        <f>[2]!b_info_listedmkt(A48)</f>
        <v>#N/A</v>
      </c>
      <c r="D48" s="7" t="str">
        <f>IFERROR(IF(A48="","", [2]!b_dq_avgprice(A48, 情景分析!$D$5, 情景分析!$D$7) * IF($H48="",1,$H48)),0)</f>
        <v/>
      </c>
      <c r="E48" s="7" t="str">
        <f>IF(A48="","", N([2]!b_dq_avgprice(A48,情景分析!$D$5,3)))</f>
        <v/>
      </c>
      <c r="F48" s="29" t="str">
        <f>IF($G48 = "",
"",
IFERROR(
[2]!b_calc_pv(A48, 情景分析!$D$5,$G48, "1", 情景分析!$D$7),
[2]!b_calc_pv(A48, 情景分析!$D$5,$G48, "2", 情景分析!$D$7)
)
)</f>
        <v/>
      </c>
      <c r="G48" s="22"/>
      <c r="H48" s="21"/>
      <c r="I48" s="7" t="str">
        <f>IF(A48="","",IF(情景分析!$D$7=1,[2]!b_anal_net_cnbd(A48,情景分析!$D$5,1),[2]!b_anal_dirty_cnbd(A48,情景分析!$D$5,1))*IF($H48="",1,$H48))</f>
        <v/>
      </c>
      <c r="J48" s="7" t="str">
        <f>IF(A48="","",[2]!b_anal_yield_cnbd(A48,情景分析!$D$5,1))</f>
        <v/>
      </c>
      <c r="K48" s="29" t="str">
        <f>IF(A48="","",IF(情景分析!$D$7=1,[2]!b_anal_net_csi1(A48,情景分析!$D$5,1),[2]!b_anal_dirty_csi1(A48,情景分析!$D$5,1))*IF($H48="",1,$H48))</f>
        <v/>
      </c>
      <c r="L48" s="29" t="str">
        <f>IF(A48="","",[2]!b_anal_yield_csi1(A48,情景分析!$D$5,1))</f>
        <v/>
      </c>
      <c r="M48" s="29" t="str">
        <f t="shared" si="4"/>
        <v/>
      </c>
      <c r="N48" s="29" t="str">
        <f t="shared" si="5"/>
        <v/>
      </c>
      <c r="O48" s="7" t="str">
        <f>IF($A48="","",[2]!B_CALC_PRICE($A48,$O$1,IF(情景分析!$D$6=1,$J48,IF(情景分析!$D$6=2,$E48,IF(情景分析!$D$6=4,IF($C48="银行间",$J48,$L48),$G48)))+O$2/100,情景分析!$D$7,"",,,,"",)*IF($H48="",1,$H48))</f>
        <v/>
      </c>
      <c r="P48" s="7" t="str">
        <f>IF($A48="","",[2]!B_CALC_PRICE($A48,$O$1,IF(情景分析!$D$6=1,$J48,IF(情景分析!$D$6=2,$E48,IF(情景分析!$D$6=4,IF($C48="银行间",$J48,$L48),$G48)))+P$2/100,情景分析!$D$7,"",,,,"",)*IF($H48="",1,$H48))</f>
        <v/>
      </c>
      <c r="Q48" s="7" t="str">
        <f>IF($A48="","",[2]!B_CALC_PRICE($A48,$O$1,IF(情景分析!$D$6=1,$J48,IF(情景分析!$D$6=2,$E48,IF(情景分析!$D$6=4,IF($C48="银行间",$J48,$L48),$G48)))+Q$2/100,情景分析!$D$7,"",,,,"",)*IF($H48="",1,$H48))</f>
        <v/>
      </c>
      <c r="R48" s="7" t="str">
        <f>IF($A48="","",[2]!B_CALC_PRICE($A48,$O$1,IF(情景分析!$D$6=1,$J48,IF(情景分析!$D$6=2,$E48,IF(情景分析!$D$6=4,IF($C48="银行间",$J48,$L48),$G48)))+R$2/100,情景分析!$D$7,"",,,,"",)*IF($H48="",1,$H48))</f>
        <v/>
      </c>
      <c r="S48" s="7" t="str">
        <f>IF($A48="","",[2]!B_CALC_PRICE($A48,$O$1,IF(情景分析!$D$6=1,$J48,IF(情景分析!$D$6=2,$E48,IF(情景分析!$D$6=4,IF($C48="银行间",$J48,$L48),$G48)))+S$2/100,情景分析!$D$7,"",,,,"",)*IF($H48="",1,$H48))</f>
        <v/>
      </c>
      <c r="T48" s="7" t="str">
        <f>IF($A48="","",[2]!B_CALC_PRICE($A48,$O$1,IF(情景分析!$D$6=1,$J48,IF(情景分析!$D$6=2,$E48,IF(情景分析!$D$6=4,IF($C48="银行间",$J48,$L48),$G48)))+T$2/100,情景分析!$D$7,"",,,,"",)*IF($H48="",1,$H48))</f>
        <v/>
      </c>
      <c r="U48" s="7" t="str">
        <f>IF($A48="","",[2]!B_CALC_PRICE($A48,$O$1,IF(情景分析!$D$6=1,$J48,IF(情景分析!$D$6=2,$E48,IF(情景分析!$D$6=4,IF($C48="银行间",$J48,$L48),$G48)))+U$2/100,情景分析!$D$7,"",,,,"",)*IF($H48="",1,$H48))</f>
        <v/>
      </c>
      <c r="V48" s="7" t="str">
        <f>IF($A48="","",[2]!B_CALC_PRICE($A48,$V$1,IF(情景分析!$D$6=1,$J48,IF(情景分析!$D$6=2,$E48,IF(情景分析!$D$6=4,IF($C48="银行间",$J48,$L48),$G48)))+V$2/100,情景分析!$D$7,"",,,,"",)*IF($H48="",1,$H48))</f>
        <v/>
      </c>
      <c r="W48" s="7" t="str">
        <f>IF($A48="","",[2]!B_CALC_PRICE($A48,$V$1,IF(情景分析!$D$6=1,$J48,IF(情景分析!$D$6=2,$E48,IF(情景分析!$D$6=4,IF($C48="银行间",$J48,$L48),$G48)))+W$2/100,情景分析!$D$7,"",,,,"",)*IF($H48="",1,$H48))</f>
        <v/>
      </c>
      <c r="X48" s="7" t="str">
        <f>IF($A48="","",[2]!B_CALC_PRICE($A48,$V$1,IF(情景分析!$D$6=1,$J48,IF(情景分析!$D$6=2,$E48,IF(情景分析!$D$6=4,IF($C48="银行间",$J48,$L48),$G48)))+X$2/100,情景分析!$D$7,"",,,,"",)*IF($H48="",1,$H48))</f>
        <v/>
      </c>
      <c r="Y48" s="7" t="str">
        <f>IF($A48="","",[2]!B_CALC_PRICE($A48,$V$1,IF(情景分析!$D$6=1,$J48,IF(情景分析!$D$6=2,$E48,IF(情景分析!$D$6=4,IF($C48="银行间",$J48,$L48),$G48)))+Y$2/100,情景分析!$D$7,"",,,,"",)*IF($H48="",1,$H48))</f>
        <v/>
      </c>
      <c r="Z48" s="7" t="str">
        <f>IF($A48="","",[2]!B_CALC_PRICE($A48,$V$1,IF(情景分析!$D$6=1,$J48,IF(情景分析!$D$6=2,$E48,IF(情景分析!$D$6=4,IF($C48="银行间",$J48,$L48),$G48)))+Z$2/100,情景分析!$D$7,"",,,,"",)*IF($H48="",1,$H48))</f>
        <v/>
      </c>
      <c r="AA48" s="7" t="str">
        <f>IF($A48="","",[2]!B_CALC_PRICE($A48,$V$1,IF(情景分析!$D$6=1,$J48,IF(情景分析!$D$6=2,$E48,IF(情景分析!$D$6=4,IF($C48="银行间",$J48,$L48),$G48)))+AA$2/100,情景分析!$D$7,"",,,,"",)*IF($H48="",1,$H48))</f>
        <v/>
      </c>
      <c r="AB48" s="7" t="str">
        <f>IF($A48="","",[2]!B_CALC_PRICE($A48,$V$1,IF(情景分析!$D$6=1,$J48,IF(情景分析!$D$6=2,$E48,IF(情景分析!$D$6=4,IF($C48="银行间",$J48,$L48),$G48)))+AB$2/100,情景分析!$D$7,"",,,,"",)*IF($H48="",1,$H48))</f>
        <v/>
      </c>
      <c r="AC48" s="7" t="str">
        <f>IF($A48="","",[2]!B_CALC_PRICE($A48,$AC$1,IF(情景分析!$D$6=1,$J48,IF(情景分析!$D$6=2,$E48,IF(情景分析!$D$6=4,IF($C48="银行间",$J48,$L48),$G48)))+AC$2/100,情景分析!$D$7,"",,,,"",)*IF($H48="",1,$H48))</f>
        <v/>
      </c>
      <c r="AD48" s="7" t="str">
        <f>IF($A48="","",[2]!B_CALC_PRICE($A48,$AC$1,IF(情景分析!$D$6=1,$J48,IF(情景分析!$D$6=2,$E48,IF(情景分析!$D$6=4,IF($C48="银行间",$J48,$L48),$G48)))+AD$2/100,情景分析!$D$7,"",,,,"",)*IF($H48="",1,$H48))</f>
        <v/>
      </c>
      <c r="AE48" s="7" t="str">
        <f>IF($A48="","",[2]!B_CALC_PRICE($A48,$AC$1,IF(情景分析!$D$6=1,$J48,IF(情景分析!$D$6=2,$E48,IF(情景分析!$D$6=4,IF($C48="银行间",$J48,$L48),$G48)))+AE$2/100,情景分析!$D$7,"",,,,"",)*IF($H48="",1,$H48))</f>
        <v/>
      </c>
      <c r="AF48" s="7" t="str">
        <f>IF($A48="","",[2]!B_CALC_PRICE($A48,$AC$1,IF(情景分析!$D$6=1,$J48,IF(情景分析!$D$6=2,$E48,IF(情景分析!$D$6=4,IF($C48="银行间",$J48,$L48),$G48)))+AF$2/100,情景分析!$D$7,"",,,,"",)*IF($H48="",1,$H48))</f>
        <v/>
      </c>
      <c r="AG48" s="7" t="str">
        <f>IF($A48="","",[2]!B_CALC_PRICE($A48,$AC$1,IF(情景分析!$D$6=1,$J48,IF(情景分析!$D$6=2,$E48,IF(情景分析!$D$6=4,IF($C48="银行间",$J48,$L48),$G48)))+AG$2/100,情景分析!$D$7,"",,,,"",)*IF($H48="",1,$H48))</f>
        <v/>
      </c>
      <c r="AH48" s="7" t="str">
        <f>IF($A48="","",[2]!B_CALC_PRICE($A48,$AC$1,IF(情景分析!$D$6=1,$J48,IF(情景分析!$D$6=2,$E48,IF(情景分析!$D$6=4,IF($C48="银行间",$J48,$L48),$G48)))+AH$2/100,情景分析!$D$7,"",,,,"",)*IF($H48="",1,$H48))</f>
        <v/>
      </c>
      <c r="AI48" s="7" t="str">
        <f>IF($A48="","",[2]!B_CALC_PRICE($A48,$AC$1,IF(情景分析!$D$6=1,$J48,IF(情景分析!$D$6=2,$E48,IF(情景分析!$D$6=4,IF($C48="银行间",$J48,$L48),$G48)))+AI$2/100,情景分析!$D$7,"",,,,"",)*IF($H48="",1,$H48))</f>
        <v/>
      </c>
      <c r="AJ48" s="7" t="str">
        <f>IF($A48="","",[2]!B_CALC_PRICE($A48,$AJ$1,IF(情景分析!$D$6=1,$J48,IF(情景分析!$D$6=2,$E48,IF(情景分析!$D$6=4,IF($C48="银行间",$J48,$L48),$G48)))+AJ$2/100,情景分析!$D$7,"",,,,"",)*IF($H48="",1,$H48))</f>
        <v/>
      </c>
      <c r="AK48" s="7" t="str">
        <f>IF($A48="","",[2]!B_CALC_PRICE($A48,$AJ$1,IF(情景分析!$D$6=1,$J48,IF(情景分析!$D$6=2,$E48,IF(情景分析!$D$6=4,IF($C48="银行间",$J48,$L48),$G48)))+AK$2/100,情景分析!$D$7,"",,,,"",)*IF($H48="",1,$H48))</f>
        <v/>
      </c>
      <c r="AL48" s="7" t="str">
        <f>IF($A48="","",[2]!B_CALC_PRICE($A48,$AJ$1,IF(情景分析!$D$6=1,$J48,IF(情景分析!$D$6=2,$E48,IF(情景分析!$D$6=4,IF($C48="银行间",$J48,$L48),$G48)))+AL$2/100,情景分析!$D$7,"",,,,"",)*IF($H48="",1,$H48))</f>
        <v/>
      </c>
      <c r="AM48" s="7" t="str">
        <f>IF($A48="","",[2]!B_CALC_PRICE($A48,$AJ$1,IF(情景分析!$D$6=1,$J48,IF(情景分析!$D$6=2,$E48,IF(情景分析!$D$6=4,IF($C48="银行间",$J48,$L48),$G48)))+AM$2/100,情景分析!$D$7,"",,,,"",)*IF($H48="",1,$H48))</f>
        <v/>
      </c>
      <c r="AN48" s="7" t="str">
        <f>IF($A48="","",[2]!B_CALC_PRICE($A48,$AJ$1,IF(情景分析!$D$6=1,$J48,IF(情景分析!$D$6=2,$E48,IF(情景分析!$D$6=4,IF($C48="银行间",$J48,$L48),$G48)))+AN$2/100,情景分析!$D$7,"",,,,"",)*IF($H48="",1,$H48))</f>
        <v/>
      </c>
      <c r="AO48" s="7" t="str">
        <f>IF($A48="","",[2]!B_CALC_PRICE($A48,$AJ$1,IF(情景分析!$D$6=1,$J48,IF(情景分析!$D$6=2,$E48,IF(情景分析!$D$6=4,IF($C48="银行间",$J48,$L48),$G48)))+AO$2/100,情景分析!$D$7,"",,,,"",)*IF($H48="",1,$H48))</f>
        <v/>
      </c>
      <c r="AP48" s="7" t="str">
        <f>IF($A48="","",[2]!B_CALC_PRICE($A48,$AJ$1,IF(情景分析!$D$6=1,$J48,IF(情景分析!$D$6=2,$E48,IF(情景分析!$D$6=4,IF($C48="银行间",$J48,$L48),$G48)))+AP$2/100,情景分析!$D$7,"",,,,"",)*IF($H48="",1,$H48))</f>
        <v/>
      </c>
      <c r="AQ48" s="7" t="str">
        <f>IF($A48="","",[2]!B_CALC_PRICE($A48,$AQ$1,IF(情景分析!$D$6=1,$J48,IF(情景分析!$D$6=2,$E48,IF(情景分析!$D$6=4,IF($C48="银行间",$J48,$L48),$G48)))+AQ$2/100,情景分析!$D$7,"",,,,"",)*IF($H48="",1,$H48))</f>
        <v/>
      </c>
      <c r="AR48" s="7" t="str">
        <f>IF($A48="","",[2]!B_CALC_PRICE($A48,$AQ$1,IF(情景分析!$D$6=1,$J48,IF(情景分析!$D$6=2,$E48,IF(情景分析!$D$6=4,IF($C48="银行间",$J48,$L48),$G48)))+AR$2/100,情景分析!$D$7,"",,,,"",)*IF($H48="",1,$H48))</f>
        <v/>
      </c>
      <c r="AS48" s="7" t="str">
        <f>IF($A48="","",[2]!B_CALC_PRICE($A48,$AQ$1,IF(情景分析!$D$6=1,$J48,IF(情景分析!$D$6=2,$E48,IF(情景分析!$D$6=4,IF($C48="银行间",$J48,$L48),$G48)))+AS$2/100,情景分析!$D$7,"",,,,"",)*IF($H48="",1,$H48))</f>
        <v/>
      </c>
      <c r="AT48" s="7" t="str">
        <f>IF($A48="","",[2]!B_CALC_PRICE($A48,$AQ$1,IF(情景分析!$D$6=1,$J48,IF(情景分析!$D$6=2,$E48,IF(情景分析!$D$6=4,IF($C48="银行间",$J48,$L48),$G48)))+AT$2/100,情景分析!$D$7,"",,,,"",)*IF($H48="",1,$H48))</f>
        <v/>
      </c>
      <c r="AU48" s="7" t="str">
        <f>IF($A48="","",[2]!B_CALC_PRICE($A48,$AQ$1,IF(情景分析!$D$6=1,$J48,IF(情景分析!$D$6=2,$E48,IF(情景分析!$D$6=4,IF($C48="银行间",$J48,$L48),$G48)))+AU$2/100,情景分析!$D$7,"",,,,"",)*IF($H48="",1,$H48))</f>
        <v/>
      </c>
      <c r="AV48" s="7" t="str">
        <f>IF($A48="","",[2]!B_CALC_PRICE($A48,$AQ$1,IF(情景分析!$D$6=1,$J48,IF(情景分析!$D$6=2,$E48,IF(情景分析!$D$6=4,IF($C48="银行间",$J48,$L48),$G48)))+AV$2/100,情景分析!$D$7,"",,,,"",)*IF($H48="",1,$H48))</f>
        <v/>
      </c>
      <c r="AW48" s="7" t="str">
        <f>IF($A48="","",[2]!B_CALC_PRICE($A48,$AQ$1,IF(情景分析!$D$6=1,$J48,IF(情景分析!$D$6=2,$E48,IF(情景分析!$D$6=4,IF($C48="银行间",$J48,$L48),$G48)))+AW$2/100,情景分析!$D$7,"",,,,"",)*IF($H48="",1,$H48))</f>
        <v/>
      </c>
    </row>
    <row r="49" spans="1:49" x14ac:dyDescent="0.15">
      <c r="A49" s="20"/>
      <c r="B49" s="7" t="str">
        <f>IF(A49="","",[2]!b_info_name(A49))</f>
        <v/>
      </c>
      <c r="C49" s="7" t="str">
        <f>[2]!b_info_listedmkt(A49)</f>
        <v>#N/A</v>
      </c>
      <c r="D49" s="7" t="str">
        <f>IFERROR(IF(A49="","", [2]!b_dq_avgprice(A49, 情景分析!$D$5, 情景分析!$D$7) * IF($H49="",1,$H49)),0)</f>
        <v/>
      </c>
      <c r="E49" s="7" t="str">
        <f>IF(A49="","", N([2]!b_dq_avgprice(A49,情景分析!$D$5,3)))</f>
        <v/>
      </c>
      <c r="F49" s="29" t="str">
        <f>IF($G49 = "",
"",
IFERROR(
[2]!b_calc_pv(A49, 情景分析!$D$5,$G49, "1", 情景分析!$D$7),
[2]!b_calc_pv(A49, 情景分析!$D$5,$G49, "2", 情景分析!$D$7)
)
)</f>
        <v/>
      </c>
      <c r="G49" s="22"/>
      <c r="H49" s="21"/>
      <c r="I49" s="7" t="str">
        <f>IF(A49="","",IF(情景分析!$D$7=1,[2]!b_anal_net_cnbd(A49,情景分析!$D$5,1),[2]!b_anal_dirty_cnbd(A49,情景分析!$D$5,1))*IF($H49="",1,$H49))</f>
        <v/>
      </c>
      <c r="J49" s="7" t="str">
        <f>IF(A49="","",[2]!b_anal_yield_cnbd(A49,情景分析!$D$5,1))</f>
        <v/>
      </c>
      <c r="K49" s="29" t="str">
        <f>IF(A49="","",IF(情景分析!$D$7=1,[2]!b_anal_net_csi1(A49,情景分析!$D$5,1),[2]!b_anal_dirty_csi1(A49,情景分析!$D$5,1))*IF($H49="",1,$H49))</f>
        <v/>
      </c>
      <c r="L49" s="29" t="str">
        <f>IF(A49="","",[2]!b_anal_yield_csi1(A49,情景分析!$D$5,1))</f>
        <v/>
      </c>
      <c r="M49" s="29" t="str">
        <f t="shared" si="4"/>
        <v/>
      </c>
      <c r="N49" s="29" t="str">
        <f t="shared" si="5"/>
        <v/>
      </c>
      <c r="O49" s="7" t="str">
        <f>IF($A49="","",[2]!B_CALC_PRICE($A49,$O$1,IF(情景分析!$D$6=1,$J49,IF(情景分析!$D$6=2,$E49,IF(情景分析!$D$6=4,IF($C49="银行间",$J49,$L49),$G49)))+O$2/100,情景分析!$D$7,"",,,,"",)*IF($H49="",1,$H49))</f>
        <v/>
      </c>
      <c r="P49" s="7" t="str">
        <f>IF($A49="","",[2]!B_CALC_PRICE($A49,$O$1,IF(情景分析!$D$6=1,$J49,IF(情景分析!$D$6=2,$E49,IF(情景分析!$D$6=4,IF($C49="银行间",$J49,$L49),$G49)))+P$2/100,情景分析!$D$7,"",,,,"",)*IF($H49="",1,$H49))</f>
        <v/>
      </c>
      <c r="Q49" s="7" t="str">
        <f>IF($A49="","",[2]!B_CALC_PRICE($A49,$O$1,IF(情景分析!$D$6=1,$J49,IF(情景分析!$D$6=2,$E49,IF(情景分析!$D$6=4,IF($C49="银行间",$J49,$L49),$G49)))+Q$2/100,情景分析!$D$7,"",,,,"",)*IF($H49="",1,$H49))</f>
        <v/>
      </c>
      <c r="R49" s="7" t="str">
        <f>IF($A49="","",[2]!B_CALC_PRICE($A49,$O$1,IF(情景分析!$D$6=1,$J49,IF(情景分析!$D$6=2,$E49,IF(情景分析!$D$6=4,IF($C49="银行间",$J49,$L49),$G49)))+R$2/100,情景分析!$D$7,"",,,,"",)*IF($H49="",1,$H49))</f>
        <v/>
      </c>
      <c r="S49" s="7" t="str">
        <f>IF($A49="","",[2]!B_CALC_PRICE($A49,$O$1,IF(情景分析!$D$6=1,$J49,IF(情景分析!$D$6=2,$E49,IF(情景分析!$D$6=4,IF($C49="银行间",$J49,$L49),$G49)))+S$2/100,情景分析!$D$7,"",,,,"",)*IF($H49="",1,$H49))</f>
        <v/>
      </c>
      <c r="T49" s="7" t="str">
        <f>IF($A49="","",[2]!B_CALC_PRICE($A49,$O$1,IF(情景分析!$D$6=1,$J49,IF(情景分析!$D$6=2,$E49,IF(情景分析!$D$6=4,IF($C49="银行间",$J49,$L49),$G49)))+T$2/100,情景分析!$D$7,"",,,,"",)*IF($H49="",1,$H49))</f>
        <v/>
      </c>
      <c r="U49" s="7" t="str">
        <f>IF($A49="","",[2]!B_CALC_PRICE($A49,$O$1,IF(情景分析!$D$6=1,$J49,IF(情景分析!$D$6=2,$E49,IF(情景分析!$D$6=4,IF($C49="银行间",$J49,$L49),$G49)))+U$2/100,情景分析!$D$7,"",,,,"",)*IF($H49="",1,$H49))</f>
        <v/>
      </c>
      <c r="V49" s="7" t="str">
        <f>IF($A49="","",[2]!B_CALC_PRICE($A49,$V$1,IF(情景分析!$D$6=1,$J49,IF(情景分析!$D$6=2,$E49,IF(情景分析!$D$6=4,IF($C49="银行间",$J49,$L49),$G49)))+V$2/100,情景分析!$D$7,"",,,,"",)*IF($H49="",1,$H49))</f>
        <v/>
      </c>
      <c r="W49" s="7" t="str">
        <f>IF($A49="","",[2]!B_CALC_PRICE($A49,$V$1,IF(情景分析!$D$6=1,$J49,IF(情景分析!$D$6=2,$E49,IF(情景分析!$D$6=4,IF($C49="银行间",$J49,$L49),$G49)))+W$2/100,情景分析!$D$7,"",,,,"",)*IF($H49="",1,$H49))</f>
        <v/>
      </c>
      <c r="X49" s="7" t="str">
        <f>IF($A49="","",[2]!B_CALC_PRICE($A49,$V$1,IF(情景分析!$D$6=1,$J49,IF(情景分析!$D$6=2,$E49,IF(情景分析!$D$6=4,IF($C49="银行间",$J49,$L49),$G49)))+X$2/100,情景分析!$D$7,"",,,,"",)*IF($H49="",1,$H49))</f>
        <v/>
      </c>
      <c r="Y49" s="7" t="str">
        <f>IF($A49="","",[2]!B_CALC_PRICE($A49,$V$1,IF(情景分析!$D$6=1,$J49,IF(情景分析!$D$6=2,$E49,IF(情景分析!$D$6=4,IF($C49="银行间",$J49,$L49),$G49)))+Y$2/100,情景分析!$D$7,"",,,,"",)*IF($H49="",1,$H49))</f>
        <v/>
      </c>
      <c r="Z49" s="7" t="str">
        <f>IF($A49="","",[2]!B_CALC_PRICE($A49,$V$1,IF(情景分析!$D$6=1,$J49,IF(情景分析!$D$6=2,$E49,IF(情景分析!$D$6=4,IF($C49="银行间",$J49,$L49),$G49)))+Z$2/100,情景分析!$D$7,"",,,,"",)*IF($H49="",1,$H49))</f>
        <v/>
      </c>
      <c r="AA49" s="7" t="str">
        <f>IF($A49="","",[2]!B_CALC_PRICE($A49,$V$1,IF(情景分析!$D$6=1,$J49,IF(情景分析!$D$6=2,$E49,IF(情景分析!$D$6=4,IF($C49="银行间",$J49,$L49),$G49)))+AA$2/100,情景分析!$D$7,"",,,,"",)*IF($H49="",1,$H49))</f>
        <v/>
      </c>
      <c r="AB49" s="7" t="str">
        <f>IF($A49="","",[2]!B_CALC_PRICE($A49,$V$1,IF(情景分析!$D$6=1,$J49,IF(情景分析!$D$6=2,$E49,IF(情景分析!$D$6=4,IF($C49="银行间",$J49,$L49),$G49)))+AB$2/100,情景分析!$D$7,"",,,,"",)*IF($H49="",1,$H49))</f>
        <v/>
      </c>
      <c r="AC49" s="7" t="str">
        <f>IF($A49="","",[2]!B_CALC_PRICE($A49,$AC$1,IF(情景分析!$D$6=1,$J49,IF(情景分析!$D$6=2,$E49,IF(情景分析!$D$6=4,IF($C49="银行间",$J49,$L49),$G49)))+AC$2/100,情景分析!$D$7,"",,,,"",)*IF($H49="",1,$H49))</f>
        <v/>
      </c>
      <c r="AD49" s="7" t="str">
        <f>IF($A49="","",[2]!B_CALC_PRICE($A49,$AC$1,IF(情景分析!$D$6=1,$J49,IF(情景分析!$D$6=2,$E49,IF(情景分析!$D$6=4,IF($C49="银行间",$J49,$L49),$G49)))+AD$2/100,情景分析!$D$7,"",,,,"",)*IF($H49="",1,$H49))</f>
        <v/>
      </c>
      <c r="AE49" s="7" t="str">
        <f>IF($A49="","",[2]!B_CALC_PRICE($A49,$AC$1,IF(情景分析!$D$6=1,$J49,IF(情景分析!$D$6=2,$E49,IF(情景分析!$D$6=4,IF($C49="银行间",$J49,$L49),$G49)))+AE$2/100,情景分析!$D$7,"",,,,"",)*IF($H49="",1,$H49))</f>
        <v/>
      </c>
      <c r="AF49" s="7" t="str">
        <f>IF($A49="","",[2]!B_CALC_PRICE($A49,$AC$1,IF(情景分析!$D$6=1,$J49,IF(情景分析!$D$6=2,$E49,IF(情景分析!$D$6=4,IF($C49="银行间",$J49,$L49),$G49)))+AF$2/100,情景分析!$D$7,"",,,,"",)*IF($H49="",1,$H49))</f>
        <v/>
      </c>
      <c r="AG49" s="7" t="str">
        <f>IF($A49="","",[2]!B_CALC_PRICE($A49,$AC$1,IF(情景分析!$D$6=1,$J49,IF(情景分析!$D$6=2,$E49,IF(情景分析!$D$6=4,IF($C49="银行间",$J49,$L49),$G49)))+AG$2/100,情景分析!$D$7,"",,,,"",)*IF($H49="",1,$H49))</f>
        <v/>
      </c>
      <c r="AH49" s="7" t="str">
        <f>IF($A49="","",[2]!B_CALC_PRICE($A49,$AC$1,IF(情景分析!$D$6=1,$J49,IF(情景分析!$D$6=2,$E49,IF(情景分析!$D$6=4,IF($C49="银行间",$J49,$L49),$G49)))+AH$2/100,情景分析!$D$7,"",,,,"",)*IF($H49="",1,$H49))</f>
        <v/>
      </c>
      <c r="AI49" s="7" t="str">
        <f>IF($A49="","",[2]!B_CALC_PRICE($A49,$AC$1,IF(情景分析!$D$6=1,$J49,IF(情景分析!$D$6=2,$E49,IF(情景分析!$D$6=4,IF($C49="银行间",$J49,$L49),$G49)))+AI$2/100,情景分析!$D$7,"",,,,"",)*IF($H49="",1,$H49))</f>
        <v/>
      </c>
      <c r="AJ49" s="7" t="str">
        <f>IF($A49="","",[2]!B_CALC_PRICE($A49,$AJ$1,IF(情景分析!$D$6=1,$J49,IF(情景分析!$D$6=2,$E49,IF(情景分析!$D$6=4,IF($C49="银行间",$J49,$L49),$G49)))+AJ$2/100,情景分析!$D$7,"",,,,"",)*IF($H49="",1,$H49))</f>
        <v/>
      </c>
      <c r="AK49" s="7" t="str">
        <f>IF($A49="","",[2]!B_CALC_PRICE($A49,$AJ$1,IF(情景分析!$D$6=1,$J49,IF(情景分析!$D$6=2,$E49,IF(情景分析!$D$6=4,IF($C49="银行间",$J49,$L49),$G49)))+AK$2/100,情景分析!$D$7,"",,,,"",)*IF($H49="",1,$H49))</f>
        <v/>
      </c>
      <c r="AL49" s="7" t="str">
        <f>IF($A49="","",[2]!B_CALC_PRICE($A49,$AJ$1,IF(情景分析!$D$6=1,$J49,IF(情景分析!$D$6=2,$E49,IF(情景分析!$D$6=4,IF($C49="银行间",$J49,$L49),$G49)))+AL$2/100,情景分析!$D$7,"",,,,"",)*IF($H49="",1,$H49))</f>
        <v/>
      </c>
      <c r="AM49" s="7" t="str">
        <f>IF($A49="","",[2]!B_CALC_PRICE($A49,$AJ$1,IF(情景分析!$D$6=1,$J49,IF(情景分析!$D$6=2,$E49,IF(情景分析!$D$6=4,IF($C49="银行间",$J49,$L49),$G49)))+AM$2/100,情景分析!$D$7,"",,,,"",)*IF($H49="",1,$H49))</f>
        <v/>
      </c>
      <c r="AN49" s="7" t="str">
        <f>IF($A49="","",[2]!B_CALC_PRICE($A49,$AJ$1,IF(情景分析!$D$6=1,$J49,IF(情景分析!$D$6=2,$E49,IF(情景分析!$D$6=4,IF($C49="银行间",$J49,$L49),$G49)))+AN$2/100,情景分析!$D$7,"",,,,"",)*IF($H49="",1,$H49))</f>
        <v/>
      </c>
      <c r="AO49" s="7" t="str">
        <f>IF($A49="","",[2]!B_CALC_PRICE($A49,$AJ$1,IF(情景分析!$D$6=1,$J49,IF(情景分析!$D$6=2,$E49,IF(情景分析!$D$6=4,IF($C49="银行间",$J49,$L49),$G49)))+AO$2/100,情景分析!$D$7,"",,,,"",)*IF($H49="",1,$H49))</f>
        <v/>
      </c>
      <c r="AP49" s="7" t="str">
        <f>IF($A49="","",[2]!B_CALC_PRICE($A49,$AJ$1,IF(情景分析!$D$6=1,$J49,IF(情景分析!$D$6=2,$E49,IF(情景分析!$D$6=4,IF($C49="银行间",$J49,$L49),$G49)))+AP$2/100,情景分析!$D$7,"",,,,"",)*IF($H49="",1,$H49))</f>
        <v/>
      </c>
      <c r="AQ49" s="7" t="str">
        <f>IF($A49="","",[2]!B_CALC_PRICE($A49,$AQ$1,IF(情景分析!$D$6=1,$J49,IF(情景分析!$D$6=2,$E49,IF(情景分析!$D$6=4,IF($C49="银行间",$J49,$L49),$G49)))+AQ$2/100,情景分析!$D$7,"",,,,"",)*IF($H49="",1,$H49))</f>
        <v/>
      </c>
      <c r="AR49" s="7" t="str">
        <f>IF($A49="","",[2]!B_CALC_PRICE($A49,$AQ$1,IF(情景分析!$D$6=1,$J49,IF(情景分析!$D$6=2,$E49,IF(情景分析!$D$6=4,IF($C49="银行间",$J49,$L49),$G49)))+AR$2/100,情景分析!$D$7,"",,,,"",)*IF($H49="",1,$H49))</f>
        <v/>
      </c>
      <c r="AS49" s="7" t="str">
        <f>IF($A49="","",[2]!B_CALC_PRICE($A49,$AQ$1,IF(情景分析!$D$6=1,$J49,IF(情景分析!$D$6=2,$E49,IF(情景分析!$D$6=4,IF($C49="银行间",$J49,$L49),$G49)))+AS$2/100,情景分析!$D$7,"",,,,"",)*IF($H49="",1,$H49))</f>
        <v/>
      </c>
      <c r="AT49" s="7" t="str">
        <f>IF($A49="","",[2]!B_CALC_PRICE($A49,$AQ$1,IF(情景分析!$D$6=1,$J49,IF(情景分析!$D$6=2,$E49,IF(情景分析!$D$6=4,IF($C49="银行间",$J49,$L49),$G49)))+AT$2/100,情景分析!$D$7,"",,,,"",)*IF($H49="",1,$H49))</f>
        <v/>
      </c>
      <c r="AU49" s="7" t="str">
        <f>IF($A49="","",[2]!B_CALC_PRICE($A49,$AQ$1,IF(情景分析!$D$6=1,$J49,IF(情景分析!$D$6=2,$E49,IF(情景分析!$D$6=4,IF($C49="银行间",$J49,$L49),$G49)))+AU$2/100,情景分析!$D$7,"",,,,"",)*IF($H49="",1,$H49))</f>
        <v/>
      </c>
      <c r="AV49" s="7" t="str">
        <f>IF($A49="","",[2]!B_CALC_PRICE($A49,$AQ$1,IF(情景分析!$D$6=1,$J49,IF(情景分析!$D$6=2,$E49,IF(情景分析!$D$6=4,IF($C49="银行间",$J49,$L49),$G49)))+AV$2/100,情景分析!$D$7,"",,,,"",)*IF($H49="",1,$H49))</f>
        <v/>
      </c>
      <c r="AW49" s="7" t="str">
        <f>IF($A49="","",[2]!B_CALC_PRICE($A49,$AQ$1,IF(情景分析!$D$6=1,$J49,IF(情景分析!$D$6=2,$E49,IF(情景分析!$D$6=4,IF($C49="银行间",$J49,$L49),$G49)))+AW$2/100,情景分析!$D$7,"",,,,"",)*IF($H49="",1,$H49))</f>
        <v/>
      </c>
    </row>
    <row r="50" spans="1:49" x14ac:dyDescent="0.15">
      <c r="A50" s="20"/>
      <c r="B50" s="7" t="str">
        <f>IF(A50="","",[2]!b_info_name(A50))</f>
        <v/>
      </c>
      <c r="C50" s="7" t="str">
        <f>[2]!b_info_listedmkt(A50)</f>
        <v>#N/A</v>
      </c>
      <c r="D50" s="7" t="str">
        <f>IFERROR(IF(A50="","", [2]!b_dq_avgprice(A50, 情景分析!$D$5, 情景分析!$D$7) * IF($H50="",1,$H50)),0)</f>
        <v/>
      </c>
      <c r="E50" s="7" t="str">
        <f>IF(A50="","", N([2]!b_dq_avgprice(A50,情景分析!$D$5,3)))</f>
        <v/>
      </c>
      <c r="F50" s="29" t="str">
        <f>IF($G50 = "",
"",
IFERROR(
[2]!b_calc_pv(A50, 情景分析!$D$5,$G50, "1", 情景分析!$D$7),
[2]!b_calc_pv(A50, 情景分析!$D$5,$G50, "2", 情景分析!$D$7)
)
)</f>
        <v/>
      </c>
      <c r="G50" s="22"/>
      <c r="H50" s="21"/>
      <c r="I50" s="7" t="str">
        <f>IF(A50="","",IF(情景分析!$D$7=1,[2]!b_anal_net_cnbd(A50,情景分析!$D$5,1),[2]!b_anal_dirty_cnbd(A50,情景分析!$D$5,1))*IF($H50="",1,$H50))</f>
        <v/>
      </c>
      <c r="J50" s="7" t="str">
        <f>IF(A50="","",[2]!b_anal_yield_cnbd(A50,情景分析!$D$5,1))</f>
        <v/>
      </c>
      <c r="K50" s="29" t="str">
        <f>IF(A50="","",IF(情景分析!$D$7=1,[2]!b_anal_net_csi1(A50,情景分析!$D$5,1),[2]!b_anal_dirty_csi1(A50,情景分析!$D$5,1))*IF($H50="",1,$H50))</f>
        <v/>
      </c>
      <c r="L50" s="29" t="str">
        <f>IF(A50="","",[2]!b_anal_yield_csi1(A50,情景分析!$D$5,1))</f>
        <v/>
      </c>
      <c r="M50" s="29" t="str">
        <f t="shared" si="4"/>
        <v/>
      </c>
      <c r="N50" s="29" t="str">
        <f t="shared" si="5"/>
        <v/>
      </c>
      <c r="O50" s="7" t="str">
        <f>IF($A50="","",[2]!B_CALC_PRICE($A50,$O$1,IF(情景分析!$D$6=1,$J50,IF(情景分析!$D$6=2,$E50,IF(情景分析!$D$6=4,IF($C50="银行间",$J50,$L50),$G50)))+O$2/100,情景分析!$D$7,"",,,,"",)*IF($H50="",1,$H50))</f>
        <v/>
      </c>
      <c r="P50" s="7" t="str">
        <f>IF($A50="","",[2]!B_CALC_PRICE($A50,$O$1,IF(情景分析!$D$6=1,$J50,IF(情景分析!$D$6=2,$E50,IF(情景分析!$D$6=4,IF($C50="银行间",$J50,$L50),$G50)))+P$2/100,情景分析!$D$7,"",,,,"",)*IF($H50="",1,$H50))</f>
        <v/>
      </c>
      <c r="Q50" s="7" t="str">
        <f>IF($A50="","",[2]!B_CALC_PRICE($A50,$O$1,IF(情景分析!$D$6=1,$J50,IF(情景分析!$D$6=2,$E50,IF(情景分析!$D$6=4,IF($C50="银行间",$J50,$L50),$G50)))+Q$2/100,情景分析!$D$7,"",,,,"",)*IF($H50="",1,$H50))</f>
        <v/>
      </c>
      <c r="R50" s="7" t="str">
        <f>IF($A50="","",[2]!B_CALC_PRICE($A50,$O$1,IF(情景分析!$D$6=1,$J50,IF(情景分析!$D$6=2,$E50,IF(情景分析!$D$6=4,IF($C50="银行间",$J50,$L50),$G50)))+R$2/100,情景分析!$D$7,"",,,,"",)*IF($H50="",1,$H50))</f>
        <v/>
      </c>
      <c r="S50" s="7" t="str">
        <f>IF($A50="","",[2]!B_CALC_PRICE($A50,$O$1,IF(情景分析!$D$6=1,$J50,IF(情景分析!$D$6=2,$E50,IF(情景分析!$D$6=4,IF($C50="银行间",$J50,$L50),$G50)))+S$2/100,情景分析!$D$7,"",,,,"",)*IF($H50="",1,$H50))</f>
        <v/>
      </c>
      <c r="T50" s="7" t="str">
        <f>IF($A50="","",[2]!B_CALC_PRICE($A50,$O$1,IF(情景分析!$D$6=1,$J50,IF(情景分析!$D$6=2,$E50,IF(情景分析!$D$6=4,IF($C50="银行间",$J50,$L50),$G50)))+T$2/100,情景分析!$D$7,"",,,,"",)*IF($H50="",1,$H50))</f>
        <v/>
      </c>
      <c r="U50" s="7" t="str">
        <f>IF($A50="","",[2]!B_CALC_PRICE($A50,$O$1,IF(情景分析!$D$6=1,$J50,IF(情景分析!$D$6=2,$E50,IF(情景分析!$D$6=4,IF($C50="银行间",$J50,$L50),$G50)))+U$2/100,情景分析!$D$7,"",,,,"",)*IF($H50="",1,$H50))</f>
        <v/>
      </c>
      <c r="V50" s="7" t="str">
        <f>IF($A50="","",[2]!B_CALC_PRICE($A50,$V$1,IF(情景分析!$D$6=1,$J50,IF(情景分析!$D$6=2,$E50,IF(情景分析!$D$6=4,IF($C50="银行间",$J50,$L50),$G50)))+V$2/100,情景分析!$D$7,"",,,,"",)*IF($H50="",1,$H50))</f>
        <v/>
      </c>
      <c r="W50" s="7" t="str">
        <f>IF($A50="","",[2]!B_CALC_PRICE($A50,$V$1,IF(情景分析!$D$6=1,$J50,IF(情景分析!$D$6=2,$E50,IF(情景分析!$D$6=4,IF($C50="银行间",$J50,$L50),$G50)))+W$2/100,情景分析!$D$7,"",,,,"",)*IF($H50="",1,$H50))</f>
        <v/>
      </c>
      <c r="X50" s="7" t="str">
        <f>IF($A50="","",[2]!B_CALC_PRICE($A50,$V$1,IF(情景分析!$D$6=1,$J50,IF(情景分析!$D$6=2,$E50,IF(情景分析!$D$6=4,IF($C50="银行间",$J50,$L50),$G50)))+X$2/100,情景分析!$D$7,"",,,,"",)*IF($H50="",1,$H50))</f>
        <v/>
      </c>
      <c r="Y50" s="7" t="str">
        <f>IF($A50="","",[2]!B_CALC_PRICE($A50,$V$1,IF(情景分析!$D$6=1,$J50,IF(情景分析!$D$6=2,$E50,IF(情景分析!$D$6=4,IF($C50="银行间",$J50,$L50),$G50)))+Y$2/100,情景分析!$D$7,"",,,,"",)*IF($H50="",1,$H50))</f>
        <v/>
      </c>
      <c r="Z50" s="7" t="str">
        <f>IF($A50="","",[2]!B_CALC_PRICE($A50,$V$1,IF(情景分析!$D$6=1,$J50,IF(情景分析!$D$6=2,$E50,IF(情景分析!$D$6=4,IF($C50="银行间",$J50,$L50),$G50)))+Z$2/100,情景分析!$D$7,"",,,,"",)*IF($H50="",1,$H50))</f>
        <v/>
      </c>
      <c r="AA50" s="7" t="str">
        <f>IF($A50="","",[2]!B_CALC_PRICE($A50,$V$1,IF(情景分析!$D$6=1,$J50,IF(情景分析!$D$6=2,$E50,IF(情景分析!$D$6=4,IF($C50="银行间",$J50,$L50),$G50)))+AA$2/100,情景分析!$D$7,"",,,,"",)*IF($H50="",1,$H50))</f>
        <v/>
      </c>
      <c r="AB50" s="7" t="str">
        <f>IF($A50="","",[2]!B_CALC_PRICE($A50,$V$1,IF(情景分析!$D$6=1,$J50,IF(情景分析!$D$6=2,$E50,IF(情景分析!$D$6=4,IF($C50="银行间",$J50,$L50),$G50)))+AB$2/100,情景分析!$D$7,"",,,,"",)*IF($H50="",1,$H50))</f>
        <v/>
      </c>
      <c r="AC50" s="7" t="str">
        <f>IF($A50="","",[2]!B_CALC_PRICE($A50,$AC$1,IF(情景分析!$D$6=1,$J50,IF(情景分析!$D$6=2,$E50,IF(情景分析!$D$6=4,IF($C50="银行间",$J50,$L50),$G50)))+AC$2/100,情景分析!$D$7,"",,,,"",)*IF($H50="",1,$H50))</f>
        <v/>
      </c>
      <c r="AD50" s="7" t="str">
        <f>IF($A50="","",[2]!B_CALC_PRICE($A50,$AC$1,IF(情景分析!$D$6=1,$J50,IF(情景分析!$D$6=2,$E50,IF(情景分析!$D$6=4,IF($C50="银行间",$J50,$L50),$G50)))+AD$2/100,情景分析!$D$7,"",,,,"",)*IF($H50="",1,$H50))</f>
        <v/>
      </c>
      <c r="AE50" s="7" t="str">
        <f>IF($A50="","",[2]!B_CALC_PRICE($A50,$AC$1,IF(情景分析!$D$6=1,$J50,IF(情景分析!$D$6=2,$E50,IF(情景分析!$D$6=4,IF($C50="银行间",$J50,$L50),$G50)))+AE$2/100,情景分析!$D$7,"",,,,"",)*IF($H50="",1,$H50))</f>
        <v/>
      </c>
      <c r="AF50" s="7" t="str">
        <f>IF($A50="","",[2]!B_CALC_PRICE($A50,$AC$1,IF(情景分析!$D$6=1,$J50,IF(情景分析!$D$6=2,$E50,IF(情景分析!$D$6=4,IF($C50="银行间",$J50,$L50),$G50)))+AF$2/100,情景分析!$D$7,"",,,,"",)*IF($H50="",1,$H50))</f>
        <v/>
      </c>
      <c r="AG50" s="7" t="str">
        <f>IF($A50="","",[2]!B_CALC_PRICE($A50,$AC$1,IF(情景分析!$D$6=1,$J50,IF(情景分析!$D$6=2,$E50,IF(情景分析!$D$6=4,IF($C50="银行间",$J50,$L50),$G50)))+AG$2/100,情景分析!$D$7,"",,,,"",)*IF($H50="",1,$H50))</f>
        <v/>
      </c>
      <c r="AH50" s="7" t="str">
        <f>IF($A50="","",[2]!B_CALC_PRICE($A50,$AC$1,IF(情景分析!$D$6=1,$J50,IF(情景分析!$D$6=2,$E50,IF(情景分析!$D$6=4,IF($C50="银行间",$J50,$L50),$G50)))+AH$2/100,情景分析!$D$7,"",,,,"",)*IF($H50="",1,$H50))</f>
        <v/>
      </c>
      <c r="AI50" s="7" t="str">
        <f>IF($A50="","",[2]!B_CALC_PRICE($A50,$AC$1,IF(情景分析!$D$6=1,$J50,IF(情景分析!$D$6=2,$E50,IF(情景分析!$D$6=4,IF($C50="银行间",$J50,$L50),$G50)))+AI$2/100,情景分析!$D$7,"",,,,"",)*IF($H50="",1,$H50))</f>
        <v/>
      </c>
      <c r="AJ50" s="7" t="str">
        <f>IF($A50="","",[2]!B_CALC_PRICE($A50,$AJ$1,IF(情景分析!$D$6=1,$J50,IF(情景分析!$D$6=2,$E50,IF(情景分析!$D$6=4,IF($C50="银行间",$J50,$L50),$G50)))+AJ$2/100,情景分析!$D$7,"",,,,"",)*IF($H50="",1,$H50))</f>
        <v/>
      </c>
      <c r="AK50" s="7" t="str">
        <f>IF($A50="","",[2]!B_CALC_PRICE($A50,$AJ$1,IF(情景分析!$D$6=1,$J50,IF(情景分析!$D$6=2,$E50,IF(情景分析!$D$6=4,IF($C50="银行间",$J50,$L50),$G50)))+AK$2/100,情景分析!$D$7,"",,,,"",)*IF($H50="",1,$H50))</f>
        <v/>
      </c>
      <c r="AL50" s="7" t="str">
        <f>IF($A50="","",[2]!B_CALC_PRICE($A50,$AJ$1,IF(情景分析!$D$6=1,$J50,IF(情景分析!$D$6=2,$E50,IF(情景分析!$D$6=4,IF($C50="银行间",$J50,$L50),$G50)))+AL$2/100,情景分析!$D$7,"",,,,"",)*IF($H50="",1,$H50))</f>
        <v/>
      </c>
      <c r="AM50" s="7" t="str">
        <f>IF($A50="","",[2]!B_CALC_PRICE($A50,$AJ$1,IF(情景分析!$D$6=1,$J50,IF(情景分析!$D$6=2,$E50,IF(情景分析!$D$6=4,IF($C50="银行间",$J50,$L50),$G50)))+AM$2/100,情景分析!$D$7,"",,,,"",)*IF($H50="",1,$H50))</f>
        <v/>
      </c>
      <c r="AN50" s="7" t="str">
        <f>IF($A50="","",[2]!B_CALC_PRICE($A50,$AJ$1,IF(情景分析!$D$6=1,$J50,IF(情景分析!$D$6=2,$E50,IF(情景分析!$D$6=4,IF($C50="银行间",$J50,$L50),$G50)))+AN$2/100,情景分析!$D$7,"",,,,"",)*IF($H50="",1,$H50))</f>
        <v/>
      </c>
      <c r="AO50" s="7" t="str">
        <f>IF($A50="","",[2]!B_CALC_PRICE($A50,$AJ$1,IF(情景分析!$D$6=1,$J50,IF(情景分析!$D$6=2,$E50,IF(情景分析!$D$6=4,IF($C50="银行间",$J50,$L50),$G50)))+AO$2/100,情景分析!$D$7,"",,,,"",)*IF($H50="",1,$H50))</f>
        <v/>
      </c>
      <c r="AP50" s="7" t="str">
        <f>IF($A50="","",[2]!B_CALC_PRICE($A50,$AJ$1,IF(情景分析!$D$6=1,$J50,IF(情景分析!$D$6=2,$E50,IF(情景分析!$D$6=4,IF($C50="银行间",$J50,$L50),$G50)))+AP$2/100,情景分析!$D$7,"",,,,"",)*IF($H50="",1,$H50))</f>
        <v/>
      </c>
      <c r="AQ50" s="7" t="str">
        <f>IF($A50="","",[2]!B_CALC_PRICE($A50,$AQ$1,IF(情景分析!$D$6=1,$J50,IF(情景分析!$D$6=2,$E50,IF(情景分析!$D$6=4,IF($C50="银行间",$J50,$L50),$G50)))+AQ$2/100,情景分析!$D$7,"",,,,"",)*IF($H50="",1,$H50))</f>
        <v/>
      </c>
      <c r="AR50" s="7" t="str">
        <f>IF($A50="","",[2]!B_CALC_PRICE($A50,$AQ$1,IF(情景分析!$D$6=1,$J50,IF(情景分析!$D$6=2,$E50,IF(情景分析!$D$6=4,IF($C50="银行间",$J50,$L50),$G50)))+AR$2/100,情景分析!$D$7,"",,,,"",)*IF($H50="",1,$H50))</f>
        <v/>
      </c>
      <c r="AS50" s="7" t="str">
        <f>IF($A50="","",[2]!B_CALC_PRICE($A50,$AQ$1,IF(情景分析!$D$6=1,$J50,IF(情景分析!$D$6=2,$E50,IF(情景分析!$D$6=4,IF($C50="银行间",$J50,$L50),$G50)))+AS$2/100,情景分析!$D$7,"",,,,"",)*IF($H50="",1,$H50))</f>
        <v/>
      </c>
      <c r="AT50" s="7" t="str">
        <f>IF($A50="","",[2]!B_CALC_PRICE($A50,$AQ$1,IF(情景分析!$D$6=1,$J50,IF(情景分析!$D$6=2,$E50,IF(情景分析!$D$6=4,IF($C50="银行间",$J50,$L50),$G50)))+AT$2/100,情景分析!$D$7,"",,,,"",)*IF($H50="",1,$H50))</f>
        <v/>
      </c>
      <c r="AU50" s="7" t="str">
        <f>IF($A50="","",[2]!B_CALC_PRICE($A50,$AQ$1,IF(情景分析!$D$6=1,$J50,IF(情景分析!$D$6=2,$E50,IF(情景分析!$D$6=4,IF($C50="银行间",$J50,$L50),$G50)))+AU$2/100,情景分析!$D$7,"",,,,"",)*IF($H50="",1,$H50))</f>
        <v/>
      </c>
      <c r="AV50" s="7" t="str">
        <f>IF($A50="","",[2]!B_CALC_PRICE($A50,$AQ$1,IF(情景分析!$D$6=1,$J50,IF(情景分析!$D$6=2,$E50,IF(情景分析!$D$6=4,IF($C50="银行间",$J50,$L50),$G50)))+AV$2/100,情景分析!$D$7,"",,,,"",)*IF($H50="",1,$H50))</f>
        <v/>
      </c>
      <c r="AW50" s="7" t="str">
        <f>IF($A50="","",[2]!B_CALC_PRICE($A50,$AQ$1,IF(情景分析!$D$6=1,$J50,IF(情景分析!$D$6=2,$E50,IF(情景分析!$D$6=4,IF($C50="银行间",$J50,$L50),$G50)))+AW$2/100,情景分析!$D$7,"",,,,"",)*IF($H50="",1,$H50))</f>
        <v/>
      </c>
    </row>
    <row r="51" spans="1:49" x14ac:dyDescent="0.15">
      <c r="A51" s="20"/>
      <c r="B51" s="7" t="str">
        <f>IF(A51="","",[2]!b_info_name(A51))</f>
        <v/>
      </c>
      <c r="C51" s="7" t="str">
        <f>[2]!b_info_listedmkt(A51)</f>
        <v>#N/A</v>
      </c>
      <c r="D51" s="7" t="str">
        <f>IFERROR(IF(A51="","", [2]!b_dq_avgprice(A51, 情景分析!$D$5, 情景分析!$D$7) * IF($H51="",1,$H51)),0)</f>
        <v/>
      </c>
      <c r="E51" s="7" t="str">
        <f>IF(A51="","", N([2]!b_dq_avgprice(A51,情景分析!$D$5,3)))</f>
        <v/>
      </c>
      <c r="F51" s="29" t="str">
        <f>IF($G51 = "",
"",
IFERROR(
[2]!b_calc_pv(A51, 情景分析!$D$5,$G51, "1", 情景分析!$D$7),
[2]!b_calc_pv(A51, 情景分析!$D$5,$G51, "2", 情景分析!$D$7)
)
)</f>
        <v/>
      </c>
      <c r="G51" s="22"/>
      <c r="H51" s="21"/>
      <c r="I51" s="7" t="str">
        <f>IF(A51="","",IF(情景分析!$D$7=1,[2]!b_anal_net_cnbd(A51,情景分析!$D$5,1),[2]!b_anal_dirty_cnbd(A51,情景分析!$D$5,1))*IF($H51="",1,$H51))</f>
        <v/>
      </c>
      <c r="J51" s="7" t="str">
        <f>IF(A51="","",[2]!b_anal_yield_cnbd(A51,情景分析!$D$5,1))</f>
        <v/>
      </c>
      <c r="K51" s="29" t="str">
        <f>IF(A51="","",IF(情景分析!$D$7=1,[2]!b_anal_net_csi1(A51,情景分析!$D$5,1),[2]!b_anal_dirty_csi1(A51,情景分析!$D$5,1))*IF($H51="",1,$H51))</f>
        <v/>
      </c>
      <c r="L51" s="29" t="str">
        <f>IF(A51="","",[2]!b_anal_yield_csi1(A51,情景分析!$D$5,1))</f>
        <v/>
      </c>
      <c r="M51" s="29" t="str">
        <f t="shared" si="4"/>
        <v/>
      </c>
      <c r="N51" s="29" t="str">
        <f t="shared" si="5"/>
        <v/>
      </c>
      <c r="O51" s="7" t="str">
        <f>IF($A51="","",[2]!B_CALC_PRICE($A51,$O$1,IF(情景分析!$D$6=1,$J51,IF(情景分析!$D$6=2,$E51,IF(情景分析!$D$6=4,IF($C51="银行间",$J51,$L51),$G51)))+O$2/100,情景分析!$D$7,"",,,,"",)*IF($H51="",1,$H51))</f>
        <v/>
      </c>
      <c r="P51" s="7" t="str">
        <f>IF($A51="","",[2]!B_CALC_PRICE($A51,$O$1,IF(情景分析!$D$6=1,$J51,IF(情景分析!$D$6=2,$E51,IF(情景分析!$D$6=4,IF($C51="银行间",$J51,$L51),$G51)))+P$2/100,情景分析!$D$7,"",,,,"",)*IF($H51="",1,$H51))</f>
        <v/>
      </c>
      <c r="Q51" s="7" t="str">
        <f>IF($A51="","",[2]!B_CALC_PRICE($A51,$O$1,IF(情景分析!$D$6=1,$J51,IF(情景分析!$D$6=2,$E51,IF(情景分析!$D$6=4,IF($C51="银行间",$J51,$L51),$G51)))+Q$2/100,情景分析!$D$7,"",,,,"",)*IF($H51="",1,$H51))</f>
        <v/>
      </c>
      <c r="R51" s="7" t="str">
        <f>IF($A51="","",[2]!B_CALC_PRICE($A51,$O$1,IF(情景分析!$D$6=1,$J51,IF(情景分析!$D$6=2,$E51,IF(情景分析!$D$6=4,IF($C51="银行间",$J51,$L51),$G51)))+R$2/100,情景分析!$D$7,"",,,,"",)*IF($H51="",1,$H51))</f>
        <v/>
      </c>
      <c r="S51" s="7" t="str">
        <f>IF($A51="","",[2]!B_CALC_PRICE($A51,$O$1,IF(情景分析!$D$6=1,$J51,IF(情景分析!$D$6=2,$E51,IF(情景分析!$D$6=4,IF($C51="银行间",$J51,$L51),$G51)))+S$2/100,情景分析!$D$7,"",,,,"",)*IF($H51="",1,$H51))</f>
        <v/>
      </c>
      <c r="T51" s="7" t="str">
        <f>IF($A51="","",[2]!B_CALC_PRICE($A51,$O$1,IF(情景分析!$D$6=1,$J51,IF(情景分析!$D$6=2,$E51,IF(情景分析!$D$6=4,IF($C51="银行间",$J51,$L51),$G51)))+T$2/100,情景分析!$D$7,"",,,,"",)*IF($H51="",1,$H51))</f>
        <v/>
      </c>
      <c r="U51" s="7" t="str">
        <f>IF($A51="","",[2]!B_CALC_PRICE($A51,$O$1,IF(情景分析!$D$6=1,$J51,IF(情景分析!$D$6=2,$E51,IF(情景分析!$D$6=4,IF($C51="银行间",$J51,$L51),$G51)))+U$2/100,情景分析!$D$7,"",,,,"",)*IF($H51="",1,$H51))</f>
        <v/>
      </c>
      <c r="V51" s="7" t="str">
        <f>IF($A51="","",[2]!B_CALC_PRICE($A51,$V$1,IF(情景分析!$D$6=1,$J51,IF(情景分析!$D$6=2,$E51,IF(情景分析!$D$6=4,IF($C51="银行间",$J51,$L51),$G51)))+V$2/100,情景分析!$D$7,"",,,,"",)*IF($H51="",1,$H51))</f>
        <v/>
      </c>
      <c r="W51" s="7" t="str">
        <f>IF($A51="","",[2]!B_CALC_PRICE($A51,$V$1,IF(情景分析!$D$6=1,$J51,IF(情景分析!$D$6=2,$E51,IF(情景分析!$D$6=4,IF($C51="银行间",$J51,$L51),$G51)))+W$2/100,情景分析!$D$7,"",,,,"",)*IF($H51="",1,$H51))</f>
        <v/>
      </c>
      <c r="X51" s="7" t="str">
        <f>IF($A51="","",[2]!B_CALC_PRICE($A51,$V$1,IF(情景分析!$D$6=1,$J51,IF(情景分析!$D$6=2,$E51,IF(情景分析!$D$6=4,IF($C51="银行间",$J51,$L51),$G51)))+X$2/100,情景分析!$D$7,"",,,,"",)*IF($H51="",1,$H51))</f>
        <v/>
      </c>
      <c r="Y51" s="7" t="str">
        <f>IF($A51="","",[2]!B_CALC_PRICE($A51,$V$1,IF(情景分析!$D$6=1,$J51,IF(情景分析!$D$6=2,$E51,IF(情景分析!$D$6=4,IF($C51="银行间",$J51,$L51),$G51)))+Y$2/100,情景分析!$D$7,"",,,,"",)*IF($H51="",1,$H51))</f>
        <v/>
      </c>
      <c r="Z51" s="7" t="str">
        <f>IF($A51="","",[2]!B_CALC_PRICE($A51,$V$1,IF(情景分析!$D$6=1,$J51,IF(情景分析!$D$6=2,$E51,IF(情景分析!$D$6=4,IF($C51="银行间",$J51,$L51),$G51)))+Z$2/100,情景分析!$D$7,"",,,,"",)*IF($H51="",1,$H51))</f>
        <v/>
      </c>
      <c r="AA51" s="7" t="str">
        <f>IF($A51="","",[2]!B_CALC_PRICE($A51,$V$1,IF(情景分析!$D$6=1,$J51,IF(情景分析!$D$6=2,$E51,IF(情景分析!$D$6=4,IF($C51="银行间",$J51,$L51),$G51)))+AA$2/100,情景分析!$D$7,"",,,,"",)*IF($H51="",1,$H51))</f>
        <v/>
      </c>
      <c r="AB51" s="7" t="str">
        <f>IF($A51="","",[2]!B_CALC_PRICE($A51,$V$1,IF(情景分析!$D$6=1,$J51,IF(情景分析!$D$6=2,$E51,IF(情景分析!$D$6=4,IF($C51="银行间",$J51,$L51),$G51)))+AB$2/100,情景分析!$D$7,"",,,,"",)*IF($H51="",1,$H51))</f>
        <v/>
      </c>
      <c r="AC51" s="7" t="str">
        <f>IF($A51="","",[2]!B_CALC_PRICE($A51,$AC$1,IF(情景分析!$D$6=1,$J51,IF(情景分析!$D$6=2,$E51,IF(情景分析!$D$6=4,IF($C51="银行间",$J51,$L51),$G51)))+AC$2/100,情景分析!$D$7,"",,,,"",)*IF($H51="",1,$H51))</f>
        <v/>
      </c>
      <c r="AD51" s="7" t="str">
        <f>IF($A51="","",[2]!B_CALC_PRICE($A51,$AC$1,IF(情景分析!$D$6=1,$J51,IF(情景分析!$D$6=2,$E51,IF(情景分析!$D$6=4,IF($C51="银行间",$J51,$L51),$G51)))+AD$2/100,情景分析!$D$7,"",,,,"",)*IF($H51="",1,$H51))</f>
        <v/>
      </c>
      <c r="AE51" s="7" t="str">
        <f>IF($A51="","",[2]!B_CALC_PRICE($A51,$AC$1,IF(情景分析!$D$6=1,$J51,IF(情景分析!$D$6=2,$E51,IF(情景分析!$D$6=4,IF($C51="银行间",$J51,$L51),$G51)))+AE$2/100,情景分析!$D$7,"",,,,"",)*IF($H51="",1,$H51))</f>
        <v/>
      </c>
      <c r="AF51" s="7" t="str">
        <f>IF($A51="","",[2]!B_CALC_PRICE($A51,$AC$1,IF(情景分析!$D$6=1,$J51,IF(情景分析!$D$6=2,$E51,IF(情景分析!$D$6=4,IF($C51="银行间",$J51,$L51),$G51)))+AF$2/100,情景分析!$D$7,"",,,,"",)*IF($H51="",1,$H51))</f>
        <v/>
      </c>
      <c r="AG51" s="7" t="str">
        <f>IF($A51="","",[2]!B_CALC_PRICE($A51,$AC$1,IF(情景分析!$D$6=1,$J51,IF(情景分析!$D$6=2,$E51,IF(情景分析!$D$6=4,IF($C51="银行间",$J51,$L51),$G51)))+AG$2/100,情景分析!$D$7,"",,,,"",)*IF($H51="",1,$H51))</f>
        <v/>
      </c>
      <c r="AH51" s="7" t="str">
        <f>IF($A51="","",[2]!B_CALC_PRICE($A51,$AC$1,IF(情景分析!$D$6=1,$J51,IF(情景分析!$D$6=2,$E51,IF(情景分析!$D$6=4,IF($C51="银行间",$J51,$L51),$G51)))+AH$2/100,情景分析!$D$7,"",,,,"",)*IF($H51="",1,$H51))</f>
        <v/>
      </c>
      <c r="AI51" s="7" t="str">
        <f>IF($A51="","",[2]!B_CALC_PRICE($A51,$AC$1,IF(情景分析!$D$6=1,$J51,IF(情景分析!$D$6=2,$E51,IF(情景分析!$D$6=4,IF($C51="银行间",$J51,$L51),$G51)))+AI$2/100,情景分析!$D$7,"",,,,"",)*IF($H51="",1,$H51))</f>
        <v/>
      </c>
      <c r="AJ51" s="7" t="str">
        <f>IF($A51="","",[2]!B_CALC_PRICE($A51,$AJ$1,IF(情景分析!$D$6=1,$J51,IF(情景分析!$D$6=2,$E51,IF(情景分析!$D$6=4,IF($C51="银行间",$J51,$L51),$G51)))+AJ$2/100,情景分析!$D$7,"",,,,"",)*IF($H51="",1,$H51))</f>
        <v/>
      </c>
      <c r="AK51" s="7" t="str">
        <f>IF($A51="","",[2]!B_CALC_PRICE($A51,$AJ$1,IF(情景分析!$D$6=1,$J51,IF(情景分析!$D$6=2,$E51,IF(情景分析!$D$6=4,IF($C51="银行间",$J51,$L51),$G51)))+AK$2/100,情景分析!$D$7,"",,,,"",)*IF($H51="",1,$H51))</f>
        <v/>
      </c>
      <c r="AL51" s="7" t="str">
        <f>IF($A51="","",[2]!B_CALC_PRICE($A51,$AJ$1,IF(情景分析!$D$6=1,$J51,IF(情景分析!$D$6=2,$E51,IF(情景分析!$D$6=4,IF($C51="银行间",$J51,$L51),$G51)))+AL$2/100,情景分析!$D$7,"",,,,"",)*IF($H51="",1,$H51))</f>
        <v/>
      </c>
      <c r="AM51" s="7" t="str">
        <f>IF($A51="","",[2]!B_CALC_PRICE($A51,$AJ$1,IF(情景分析!$D$6=1,$J51,IF(情景分析!$D$6=2,$E51,IF(情景分析!$D$6=4,IF($C51="银行间",$J51,$L51),$G51)))+AM$2/100,情景分析!$D$7,"",,,,"",)*IF($H51="",1,$H51))</f>
        <v/>
      </c>
      <c r="AN51" s="7" t="str">
        <f>IF($A51="","",[2]!B_CALC_PRICE($A51,$AJ$1,IF(情景分析!$D$6=1,$J51,IF(情景分析!$D$6=2,$E51,IF(情景分析!$D$6=4,IF($C51="银行间",$J51,$L51),$G51)))+AN$2/100,情景分析!$D$7,"",,,,"",)*IF($H51="",1,$H51))</f>
        <v/>
      </c>
      <c r="AO51" s="7" t="str">
        <f>IF($A51="","",[2]!B_CALC_PRICE($A51,$AJ$1,IF(情景分析!$D$6=1,$J51,IF(情景分析!$D$6=2,$E51,IF(情景分析!$D$6=4,IF($C51="银行间",$J51,$L51),$G51)))+AO$2/100,情景分析!$D$7,"",,,,"",)*IF($H51="",1,$H51))</f>
        <v/>
      </c>
      <c r="AP51" s="7" t="str">
        <f>IF($A51="","",[2]!B_CALC_PRICE($A51,$AJ$1,IF(情景分析!$D$6=1,$J51,IF(情景分析!$D$6=2,$E51,IF(情景分析!$D$6=4,IF($C51="银行间",$J51,$L51),$G51)))+AP$2/100,情景分析!$D$7,"",,,,"",)*IF($H51="",1,$H51))</f>
        <v/>
      </c>
      <c r="AQ51" s="7" t="str">
        <f>IF($A51="","",[2]!B_CALC_PRICE($A51,$AQ$1,IF(情景分析!$D$6=1,$J51,IF(情景分析!$D$6=2,$E51,IF(情景分析!$D$6=4,IF($C51="银行间",$J51,$L51),$G51)))+AQ$2/100,情景分析!$D$7,"",,,,"",)*IF($H51="",1,$H51))</f>
        <v/>
      </c>
      <c r="AR51" s="7" t="str">
        <f>IF($A51="","",[2]!B_CALC_PRICE($A51,$AQ$1,IF(情景分析!$D$6=1,$J51,IF(情景分析!$D$6=2,$E51,IF(情景分析!$D$6=4,IF($C51="银行间",$J51,$L51),$G51)))+AR$2/100,情景分析!$D$7,"",,,,"",)*IF($H51="",1,$H51))</f>
        <v/>
      </c>
      <c r="AS51" s="7" t="str">
        <f>IF($A51="","",[2]!B_CALC_PRICE($A51,$AQ$1,IF(情景分析!$D$6=1,$J51,IF(情景分析!$D$6=2,$E51,IF(情景分析!$D$6=4,IF($C51="银行间",$J51,$L51),$G51)))+AS$2/100,情景分析!$D$7,"",,,,"",)*IF($H51="",1,$H51))</f>
        <v/>
      </c>
      <c r="AT51" s="7" t="str">
        <f>IF($A51="","",[2]!B_CALC_PRICE($A51,$AQ$1,IF(情景分析!$D$6=1,$J51,IF(情景分析!$D$6=2,$E51,IF(情景分析!$D$6=4,IF($C51="银行间",$J51,$L51),$G51)))+AT$2/100,情景分析!$D$7,"",,,,"",)*IF($H51="",1,$H51))</f>
        <v/>
      </c>
      <c r="AU51" s="7" t="str">
        <f>IF($A51="","",[2]!B_CALC_PRICE($A51,$AQ$1,IF(情景分析!$D$6=1,$J51,IF(情景分析!$D$6=2,$E51,IF(情景分析!$D$6=4,IF($C51="银行间",$J51,$L51),$G51)))+AU$2/100,情景分析!$D$7,"",,,,"",)*IF($H51="",1,$H51))</f>
        <v/>
      </c>
      <c r="AV51" s="7" t="str">
        <f>IF($A51="","",[2]!B_CALC_PRICE($A51,$AQ$1,IF(情景分析!$D$6=1,$J51,IF(情景分析!$D$6=2,$E51,IF(情景分析!$D$6=4,IF($C51="银行间",$J51,$L51),$G51)))+AV$2/100,情景分析!$D$7,"",,,,"",)*IF($H51="",1,$H51))</f>
        <v/>
      </c>
      <c r="AW51" s="7" t="str">
        <f>IF($A51="","",[2]!B_CALC_PRICE($A51,$AQ$1,IF(情景分析!$D$6=1,$J51,IF(情景分析!$D$6=2,$E51,IF(情景分析!$D$6=4,IF($C51="银行间",$J51,$L51),$G51)))+AW$2/100,情景分析!$D$7,"",,,,"",)*IF($H51="",1,$H51))</f>
        <v/>
      </c>
    </row>
    <row r="52" spans="1:49" x14ac:dyDescent="0.15">
      <c r="A52" s="20"/>
      <c r="B52" s="7" t="str">
        <f>IF(A52="","",[2]!b_info_name(A52))</f>
        <v/>
      </c>
      <c r="C52" s="7" t="str">
        <f>[2]!b_info_listedmkt(A52)</f>
        <v>#N/A</v>
      </c>
      <c r="D52" s="7" t="str">
        <f>IFERROR(IF(A52="","", [2]!b_dq_avgprice(A52, 情景分析!$D$5, 情景分析!$D$7) * IF($H52="",1,$H52)),0)</f>
        <v/>
      </c>
      <c r="E52" s="7" t="str">
        <f>IF(A52="","", N([2]!b_dq_avgprice(A52,情景分析!$D$5,3)))</f>
        <v/>
      </c>
      <c r="F52" s="29" t="str">
        <f>IF($G52 = "",
"",
IFERROR(
[2]!b_calc_pv(A52, 情景分析!$D$5,$G52, "1", 情景分析!$D$7),
[2]!b_calc_pv(A52, 情景分析!$D$5,$G52, "2", 情景分析!$D$7)
)
)</f>
        <v/>
      </c>
      <c r="G52" s="22"/>
      <c r="H52" s="21"/>
      <c r="I52" s="7" t="str">
        <f>IF(A52="","",IF(情景分析!$D$7=1,[2]!b_anal_net_cnbd(A52,情景分析!$D$5,1),[2]!b_anal_dirty_cnbd(A52,情景分析!$D$5,1))*IF($H52="",1,$H52))</f>
        <v/>
      </c>
      <c r="J52" s="7" t="str">
        <f>IF(A52="","",[2]!b_anal_yield_cnbd(A52,情景分析!$D$5,1))</f>
        <v/>
      </c>
      <c r="K52" s="29" t="str">
        <f>IF(A52="","",IF(情景分析!$D$7=1,[2]!b_anal_net_csi1(A52,情景分析!$D$5,1),[2]!b_anal_dirty_csi1(A52,情景分析!$D$5,1))*IF($H52="",1,$H52))</f>
        <v/>
      </c>
      <c r="L52" s="29" t="str">
        <f>IF(A52="","",[2]!b_anal_yield_csi1(A52,情景分析!$D$5,1))</f>
        <v/>
      </c>
      <c r="M52" s="29" t="str">
        <f t="shared" si="4"/>
        <v/>
      </c>
      <c r="N52" s="29" t="str">
        <f t="shared" si="5"/>
        <v/>
      </c>
      <c r="O52" s="7" t="str">
        <f>IF($A52="","",[2]!B_CALC_PRICE($A52,$O$1,IF(情景分析!$D$6=1,$J52,IF(情景分析!$D$6=2,$E52,IF(情景分析!$D$6=4,IF($C52="银行间",$J52,$L52),$G52)))+O$2/100,情景分析!$D$7,"",,,,"",)*IF($H52="",1,$H52))</f>
        <v/>
      </c>
      <c r="P52" s="7" t="str">
        <f>IF($A52="","",[2]!B_CALC_PRICE($A52,$O$1,IF(情景分析!$D$6=1,$J52,IF(情景分析!$D$6=2,$E52,IF(情景分析!$D$6=4,IF($C52="银行间",$J52,$L52),$G52)))+P$2/100,情景分析!$D$7,"",,,,"",)*IF($H52="",1,$H52))</f>
        <v/>
      </c>
      <c r="Q52" s="7" t="str">
        <f>IF($A52="","",[2]!B_CALC_PRICE($A52,$O$1,IF(情景分析!$D$6=1,$J52,IF(情景分析!$D$6=2,$E52,IF(情景分析!$D$6=4,IF($C52="银行间",$J52,$L52),$G52)))+Q$2/100,情景分析!$D$7,"",,,,"",)*IF($H52="",1,$H52))</f>
        <v/>
      </c>
      <c r="R52" s="7" t="str">
        <f>IF($A52="","",[2]!B_CALC_PRICE($A52,$O$1,IF(情景分析!$D$6=1,$J52,IF(情景分析!$D$6=2,$E52,IF(情景分析!$D$6=4,IF($C52="银行间",$J52,$L52),$G52)))+R$2/100,情景分析!$D$7,"",,,,"",)*IF($H52="",1,$H52))</f>
        <v/>
      </c>
      <c r="S52" s="7" t="str">
        <f>IF($A52="","",[2]!B_CALC_PRICE($A52,$O$1,IF(情景分析!$D$6=1,$J52,IF(情景分析!$D$6=2,$E52,IF(情景分析!$D$6=4,IF($C52="银行间",$J52,$L52),$G52)))+S$2/100,情景分析!$D$7,"",,,,"",)*IF($H52="",1,$H52))</f>
        <v/>
      </c>
      <c r="T52" s="7" t="str">
        <f>IF($A52="","",[2]!B_CALC_PRICE($A52,$O$1,IF(情景分析!$D$6=1,$J52,IF(情景分析!$D$6=2,$E52,IF(情景分析!$D$6=4,IF($C52="银行间",$J52,$L52),$G52)))+T$2/100,情景分析!$D$7,"",,,,"",)*IF($H52="",1,$H52))</f>
        <v/>
      </c>
      <c r="U52" s="7" t="str">
        <f>IF($A52="","",[2]!B_CALC_PRICE($A52,$O$1,IF(情景分析!$D$6=1,$J52,IF(情景分析!$D$6=2,$E52,IF(情景分析!$D$6=4,IF($C52="银行间",$J52,$L52),$G52)))+U$2/100,情景分析!$D$7,"",,,,"",)*IF($H52="",1,$H52))</f>
        <v/>
      </c>
      <c r="V52" s="7" t="str">
        <f>IF($A52="","",[2]!B_CALC_PRICE($A52,$V$1,IF(情景分析!$D$6=1,$J52,IF(情景分析!$D$6=2,$E52,IF(情景分析!$D$6=4,IF($C52="银行间",$J52,$L52),$G52)))+V$2/100,情景分析!$D$7,"",,,,"",)*IF($H52="",1,$H52))</f>
        <v/>
      </c>
      <c r="W52" s="7" t="str">
        <f>IF($A52="","",[2]!B_CALC_PRICE($A52,$V$1,IF(情景分析!$D$6=1,$J52,IF(情景分析!$D$6=2,$E52,IF(情景分析!$D$6=4,IF($C52="银行间",$J52,$L52),$G52)))+W$2/100,情景分析!$D$7,"",,,,"",)*IF($H52="",1,$H52))</f>
        <v/>
      </c>
      <c r="X52" s="7" t="str">
        <f>IF($A52="","",[2]!B_CALC_PRICE($A52,$V$1,IF(情景分析!$D$6=1,$J52,IF(情景分析!$D$6=2,$E52,IF(情景分析!$D$6=4,IF($C52="银行间",$J52,$L52),$G52)))+X$2/100,情景分析!$D$7,"",,,,"",)*IF($H52="",1,$H52))</f>
        <v/>
      </c>
      <c r="Y52" s="7" t="str">
        <f>IF($A52="","",[2]!B_CALC_PRICE($A52,$V$1,IF(情景分析!$D$6=1,$J52,IF(情景分析!$D$6=2,$E52,IF(情景分析!$D$6=4,IF($C52="银行间",$J52,$L52),$G52)))+Y$2/100,情景分析!$D$7,"",,,,"",)*IF($H52="",1,$H52))</f>
        <v/>
      </c>
      <c r="Z52" s="7" t="str">
        <f>IF($A52="","",[2]!B_CALC_PRICE($A52,$V$1,IF(情景分析!$D$6=1,$J52,IF(情景分析!$D$6=2,$E52,IF(情景分析!$D$6=4,IF($C52="银行间",$J52,$L52),$G52)))+Z$2/100,情景分析!$D$7,"",,,,"",)*IF($H52="",1,$H52))</f>
        <v/>
      </c>
      <c r="AA52" s="7" t="str">
        <f>IF($A52="","",[2]!B_CALC_PRICE($A52,$V$1,IF(情景分析!$D$6=1,$J52,IF(情景分析!$D$6=2,$E52,IF(情景分析!$D$6=4,IF($C52="银行间",$J52,$L52),$G52)))+AA$2/100,情景分析!$D$7,"",,,,"",)*IF($H52="",1,$H52))</f>
        <v/>
      </c>
      <c r="AB52" s="7" t="str">
        <f>IF($A52="","",[2]!B_CALC_PRICE($A52,$V$1,IF(情景分析!$D$6=1,$J52,IF(情景分析!$D$6=2,$E52,IF(情景分析!$D$6=4,IF($C52="银行间",$J52,$L52),$G52)))+AB$2/100,情景分析!$D$7,"",,,,"",)*IF($H52="",1,$H52))</f>
        <v/>
      </c>
      <c r="AC52" s="7" t="str">
        <f>IF($A52="","",[2]!B_CALC_PRICE($A52,$AC$1,IF(情景分析!$D$6=1,$J52,IF(情景分析!$D$6=2,$E52,IF(情景分析!$D$6=4,IF($C52="银行间",$J52,$L52),$G52)))+AC$2/100,情景分析!$D$7,"",,,,"",)*IF($H52="",1,$H52))</f>
        <v/>
      </c>
      <c r="AD52" s="7" t="str">
        <f>IF($A52="","",[2]!B_CALC_PRICE($A52,$AC$1,IF(情景分析!$D$6=1,$J52,IF(情景分析!$D$6=2,$E52,IF(情景分析!$D$6=4,IF($C52="银行间",$J52,$L52),$G52)))+AD$2/100,情景分析!$D$7,"",,,,"",)*IF($H52="",1,$H52))</f>
        <v/>
      </c>
      <c r="AE52" s="7" t="str">
        <f>IF($A52="","",[2]!B_CALC_PRICE($A52,$AC$1,IF(情景分析!$D$6=1,$J52,IF(情景分析!$D$6=2,$E52,IF(情景分析!$D$6=4,IF($C52="银行间",$J52,$L52),$G52)))+AE$2/100,情景分析!$D$7,"",,,,"",)*IF($H52="",1,$H52))</f>
        <v/>
      </c>
      <c r="AF52" s="7" t="str">
        <f>IF($A52="","",[2]!B_CALC_PRICE($A52,$AC$1,IF(情景分析!$D$6=1,$J52,IF(情景分析!$D$6=2,$E52,IF(情景分析!$D$6=4,IF($C52="银行间",$J52,$L52),$G52)))+AF$2/100,情景分析!$D$7,"",,,,"",)*IF($H52="",1,$H52))</f>
        <v/>
      </c>
      <c r="AG52" s="7" t="str">
        <f>IF($A52="","",[2]!B_CALC_PRICE($A52,$AC$1,IF(情景分析!$D$6=1,$J52,IF(情景分析!$D$6=2,$E52,IF(情景分析!$D$6=4,IF($C52="银行间",$J52,$L52),$G52)))+AG$2/100,情景分析!$D$7,"",,,,"",)*IF($H52="",1,$H52))</f>
        <v/>
      </c>
      <c r="AH52" s="7" t="str">
        <f>IF($A52="","",[2]!B_CALC_PRICE($A52,$AC$1,IF(情景分析!$D$6=1,$J52,IF(情景分析!$D$6=2,$E52,IF(情景分析!$D$6=4,IF($C52="银行间",$J52,$L52),$G52)))+AH$2/100,情景分析!$D$7,"",,,,"",)*IF($H52="",1,$H52))</f>
        <v/>
      </c>
      <c r="AI52" s="7" t="str">
        <f>IF($A52="","",[2]!B_CALC_PRICE($A52,$AC$1,IF(情景分析!$D$6=1,$J52,IF(情景分析!$D$6=2,$E52,IF(情景分析!$D$6=4,IF($C52="银行间",$J52,$L52),$G52)))+AI$2/100,情景分析!$D$7,"",,,,"",)*IF($H52="",1,$H52))</f>
        <v/>
      </c>
      <c r="AJ52" s="7" t="str">
        <f>IF($A52="","",[2]!B_CALC_PRICE($A52,$AJ$1,IF(情景分析!$D$6=1,$J52,IF(情景分析!$D$6=2,$E52,IF(情景分析!$D$6=4,IF($C52="银行间",$J52,$L52),$G52)))+AJ$2/100,情景分析!$D$7,"",,,,"",)*IF($H52="",1,$H52))</f>
        <v/>
      </c>
      <c r="AK52" s="7" t="str">
        <f>IF($A52="","",[2]!B_CALC_PRICE($A52,$AJ$1,IF(情景分析!$D$6=1,$J52,IF(情景分析!$D$6=2,$E52,IF(情景分析!$D$6=4,IF($C52="银行间",$J52,$L52),$G52)))+AK$2/100,情景分析!$D$7,"",,,,"",)*IF($H52="",1,$H52))</f>
        <v/>
      </c>
      <c r="AL52" s="7" t="str">
        <f>IF($A52="","",[2]!B_CALC_PRICE($A52,$AJ$1,IF(情景分析!$D$6=1,$J52,IF(情景分析!$D$6=2,$E52,IF(情景分析!$D$6=4,IF($C52="银行间",$J52,$L52),$G52)))+AL$2/100,情景分析!$D$7,"",,,,"",)*IF($H52="",1,$H52))</f>
        <v/>
      </c>
      <c r="AM52" s="7" t="str">
        <f>IF($A52="","",[2]!B_CALC_PRICE($A52,$AJ$1,IF(情景分析!$D$6=1,$J52,IF(情景分析!$D$6=2,$E52,IF(情景分析!$D$6=4,IF($C52="银行间",$J52,$L52),$G52)))+AM$2/100,情景分析!$D$7,"",,,,"",)*IF($H52="",1,$H52))</f>
        <v/>
      </c>
      <c r="AN52" s="7" t="str">
        <f>IF($A52="","",[2]!B_CALC_PRICE($A52,$AJ$1,IF(情景分析!$D$6=1,$J52,IF(情景分析!$D$6=2,$E52,IF(情景分析!$D$6=4,IF($C52="银行间",$J52,$L52),$G52)))+AN$2/100,情景分析!$D$7,"",,,,"",)*IF($H52="",1,$H52))</f>
        <v/>
      </c>
      <c r="AO52" s="7" t="str">
        <f>IF($A52="","",[2]!B_CALC_PRICE($A52,$AJ$1,IF(情景分析!$D$6=1,$J52,IF(情景分析!$D$6=2,$E52,IF(情景分析!$D$6=4,IF($C52="银行间",$J52,$L52),$G52)))+AO$2/100,情景分析!$D$7,"",,,,"",)*IF($H52="",1,$H52))</f>
        <v/>
      </c>
      <c r="AP52" s="7" t="str">
        <f>IF($A52="","",[2]!B_CALC_PRICE($A52,$AJ$1,IF(情景分析!$D$6=1,$J52,IF(情景分析!$D$6=2,$E52,IF(情景分析!$D$6=4,IF($C52="银行间",$J52,$L52),$G52)))+AP$2/100,情景分析!$D$7,"",,,,"",)*IF($H52="",1,$H52))</f>
        <v/>
      </c>
      <c r="AQ52" s="7" t="str">
        <f>IF($A52="","",[2]!B_CALC_PRICE($A52,$AQ$1,IF(情景分析!$D$6=1,$J52,IF(情景分析!$D$6=2,$E52,IF(情景分析!$D$6=4,IF($C52="银行间",$J52,$L52),$G52)))+AQ$2/100,情景分析!$D$7,"",,,,"",)*IF($H52="",1,$H52))</f>
        <v/>
      </c>
      <c r="AR52" s="7" t="str">
        <f>IF($A52="","",[2]!B_CALC_PRICE($A52,$AQ$1,IF(情景分析!$D$6=1,$J52,IF(情景分析!$D$6=2,$E52,IF(情景分析!$D$6=4,IF($C52="银行间",$J52,$L52),$G52)))+AR$2/100,情景分析!$D$7,"",,,,"",)*IF($H52="",1,$H52))</f>
        <v/>
      </c>
      <c r="AS52" s="7" t="str">
        <f>IF($A52="","",[2]!B_CALC_PRICE($A52,$AQ$1,IF(情景分析!$D$6=1,$J52,IF(情景分析!$D$6=2,$E52,IF(情景分析!$D$6=4,IF($C52="银行间",$J52,$L52),$G52)))+AS$2/100,情景分析!$D$7,"",,,,"",)*IF($H52="",1,$H52))</f>
        <v/>
      </c>
      <c r="AT52" s="7" t="str">
        <f>IF($A52="","",[2]!B_CALC_PRICE($A52,$AQ$1,IF(情景分析!$D$6=1,$J52,IF(情景分析!$D$6=2,$E52,IF(情景分析!$D$6=4,IF($C52="银行间",$J52,$L52),$G52)))+AT$2/100,情景分析!$D$7,"",,,,"",)*IF($H52="",1,$H52))</f>
        <v/>
      </c>
      <c r="AU52" s="7" t="str">
        <f>IF($A52="","",[2]!B_CALC_PRICE($A52,$AQ$1,IF(情景分析!$D$6=1,$J52,IF(情景分析!$D$6=2,$E52,IF(情景分析!$D$6=4,IF($C52="银行间",$J52,$L52),$G52)))+AU$2/100,情景分析!$D$7,"",,,,"",)*IF($H52="",1,$H52))</f>
        <v/>
      </c>
      <c r="AV52" s="7" t="str">
        <f>IF($A52="","",[2]!B_CALC_PRICE($A52,$AQ$1,IF(情景分析!$D$6=1,$J52,IF(情景分析!$D$6=2,$E52,IF(情景分析!$D$6=4,IF($C52="银行间",$J52,$L52),$G52)))+AV$2/100,情景分析!$D$7,"",,,,"",)*IF($H52="",1,$H52))</f>
        <v/>
      </c>
      <c r="AW52" s="7" t="str">
        <f>IF($A52="","",[2]!B_CALC_PRICE($A52,$AQ$1,IF(情景分析!$D$6=1,$J52,IF(情景分析!$D$6=2,$E52,IF(情景分析!$D$6=4,IF($C52="银行间",$J52,$L52),$G52)))+AW$2/100,情景分析!$D$7,"",,,,"",)*IF($H52="",1,$H52))</f>
        <v/>
      </c>
    </row>
    <row r="53" spans="1:49" x14ac:dyDescent="0.15">
      <c r="A53" s="20"/>
      <c r="B53" s="7" t="str">
        <f>IF(A53="","",[2]!b_info_name(A53))</f>
        <v/>
      </c>
      <c r="C53" s="7" t="str">
        <f>[2]!b_info_listedmkt(A53)</f>
        <v>#N/A</v>
      </c>
      <c r="D53" s="7" t="str">
        <f>IFERROR(IF(A53="","", [2]!b_dq_avgprice(A53, 情景分析!$D$5, 情景分析!$D$7) * IF($H53="",1,$H53)),0)</f>
        <v/>
      </c>
      <c r="E53" s="7" t="str">
        <f>IF(A53="","", N([2]!b_dq_avgprice(A53,情景分析!$D$5,3)))</f>
        <v/>
      </c>
      <c r="F53" s="29" t="str">
        <f>IF($G53 = "",
"",
IFERROR(
[2]!b_calc_pv(A53, 情景分析!$D$5,$G53, "1", 情景分析!$D$7),
[2]!b_calc_pv(A53, 情景分析!$D$5,$G53, "2", 情景分析!$D$7)
)
)</f>
        <v/>
      </c>
      <c r="G53" s="22"/>
      <c r="H53" s="21"/>
      <c r="I53" s="7" t="str">
        <f>IF(A53="","",IF(情景分析!$D$7=1,[2]!b_anal_net_cnbd(A53,情景分析!$D$5,1),[2]!b_anal_dirty_cnbd(A53,情景分析!$D$5,1))*IF($H53="",1,$H53))</f>
        <v/>
      </c>
      <c r="J53" s="7" t="str">
        <f>IF(A53="","",[2]!b_anal_yield_cnbd(A53,情景分析!$D$5,1))</f>
        <v/>
      </c>
      <c r="K53" s="29" t="str">
        <f>IF(A53="","",IF(情景分析!$D$7=1,[2]!b_anal_net_csi1(A53,情景分析!$D$5,1),[2]!b_anal_dirty_csi1(A53,情景分析!$D$5,1))*IF($H53="",1,$H53))</f>
        <v/>
      </c>
      <c r="L53" s="29" t="str">
        <f>IF(A53="","",[2]!b_anal_yield_csi1(A53,情景分析!$D$5,1))</f>
        <v/>
      </c>
      <c r="M53" s="29" t="str">
        <f t="shared" si="4"/>
        <v/>
      </c>
      <c r="N53" s="29" t="str">
        <f t="shared" si="5"/>
        <v/>
      </c>
      <c r="O53" s="7" t="str">
        <f>IF($A53="","",[2]!B_CALC_PRICE($A53,$O$1,IF(情景分析!$D$6=1,$J53,IF(情景分析!$D$6=2,$E53,IF(情景分析!$D$6=4,IF($C53="银行间",$J53,$L53),$G53)))+O$2/100,情景分析!$D$7,"",,,,"",)*IF($H53="",1,$H53))</f>
        <v/>
      </c>
      <c r="P53" s="7" t="str">
        <f>IF($A53="","",[2]!B_CALC_PRICE($A53,$O$1,IF(情景分析!$D$6=1,$J53,IF(情景分析!$D$6=2,$E53,IF(情景分析!$D$6=4,IF($C53="银行间",$J53,$L53),$G53)))+P$2/100,情景分析!$D$7,"",,,,"",)*IF($H53="",1,$H53))</f>
        <v/>
      </c>
      <c r="Q53" s="7" t="str">
        <f>IF($A53="","",[2]!B_CALC_PRICE($A53,$O$1,IF(情景分析!$D$6=1,$J53,IF(情景分析!$D$6=2,$E53,IF(情景分析!$D$6=4,IF($C53="银行间",$J53,$L53),$G53)))+Q$2/100,情景分析!$D$7,"",,,,"",)*IF($H53="",1,$H53))</f>
        <v/>
      </c>
      <c r="R53" s="7" t="str">
        <f>IF($A53="","",[2]!B_CALC_PRICE($A53,$O$1,IF(情景分析!$D$6=1,$J53,IF(情景分析!$D$6=2,$E53,IF(情景分析!$D$6=4,IF($C53="银行间",$J53,$L53),$G53)))+R$2/100,情景分析!$D$7,"",,,,"",)*IF($H53="",1,$H53))</f>
        <v/>
      </c>
      <c r="S53" s="7" t="str">
        <f>IF($A53="","",[2]!B_CALC_PRICE($A53,$O$1,IF(情景分析!$D$6=1,$J53,IF(情景分析!$D$6=2,$E53,IF(情景分析!$D$6=4,IF($C53="银行间",$J53,$L53),$G53)))+S$2/100,情景分析!$D$7,"",,,,"",)*IF($H53="",1,$H53))</f>
        <v/>
      </c>
      <c r="T53" s="7" t="str">
        <f>IF($A53="","",[2]!B_CALC_PRICE($A53,$O$1,IF(情景分析!$D$6=1,$J53,IF(情景分析!$D$6=2,$E53,IF(情景分析!$D$6=4,IF($C53="银行间",$J53,$L53),$G53)))+T$2/100,情景分析!$D$7,"",,,,"",)*IF($H53="",1,$H53))</f>
        <v/>
      </c>
      <c r="U53" s="7" t="str">
        <f>IF($A53="","",[2]!B_CALC_PRICE($A53,$O$1,IF(情景分析!$D$6=1,$J53,IF(情景分析!$D$6=2,$E53,IF(情景分析!$D$6=4,IF($C53="银行间",$J53,$L53),$G53)))+U$2/100,情景分析!$D$7,"",,,,"",)*IF($H53="",1,$H53))</f>
        <v/>
      </c>
      <c r="V53" s="7" t="str">
        <f>IF($A53="","",[2]!B_CALC_PRICE($A53,$V$1,IF(情景分析!$D$6=1,$J53,IF(情景分析!$D$6=2,$E53,IF(情景分析!$D$6=4,IF($C53="银行间",$J53,$L53),$G53)))+V$2/100,情景分析!$D$7,"",,,,"",)*IF($H53="",1,$H53))</f>
        <v/>
      </c>
      <c r="W53" s="7" t="str">
        <f>IF($A53="","",[2]!B_CALC_PRICE($A53,$V$1,IF(情景分析!$D$6=1,$J53,IF(情景分析!$D$6=2,$E53,IF(情景分析!$D$6=4,IF($C53="银行间",$J53,$L53),$G53)))+W$2/100,情景分析!$D$7,"",,,,"",)*IF($H53="",1,$H53))</f>
        <v/>
      </c>
      <c r="X53" s="7" t="str">
        <f>IF($A53="","",[2]!B_CALC_PRICE($A53,$V$1,IF(情景分析!$D$6=1,$J53,IF(情景分析!$D$6=2,$E53,IF(情景分析!$D$6=4,IF($C53="银行间",$J53,$L53),$G53)))+X$2/100,情景分析!$D$7,"",,,,"",)*IF($H53="",1,$H53))</f>
        <v/>
      </c>
      <c r="Y53" s="7" t="str">
        <f>IF($A53="","",[2]!B_CALC_PRICE($A53,$V$1,IF(情景分析!$D$6=1,$J53,IF(情景分析!$D$6=2,$E53,IF(情景分析!$D$6=4,IF($C53="银行间",$J53,$L53),$G53)))+Y$2/100,情景分析!$D$7,"",,,,"",)*IF($H53="",1,$H53))</f>
        <v/>
      </c>
      <c r="Z53" s="7" t="str">
        <f>IF($A53="","",[2]!B_CALC_PRICE($A53,$V$1,IF(情景分析!$D$6=1,$J53,IF(情景分析!$D$6=2,$E53,IF(情景分析!$D$6=4,IF($C53="银行间",$J53,$L53),$G53)))+Z$2/100,情景分析!$D$7,"",,,,"",)*IF($H53="",1,$H53))</f>
        <v/>
      </c>
      <c r="AA53" s="7" t="str">
        <f>IF($A53="","",[2]!B_CALC_PRICE($A53,$V$1,IF(情景分析!$D$6=1,$J53,IF(情景分析!$D$6=2,$E53,IF(情景分析!$D$6=4,IF($C53="银行间",$J53,$L53),$G53)))+AA$2/100,情景分析!$D$7,"",,,,"",)*IF($H53="",1,$H53))</f>
        <v/>
      </c>
      <c r="AB53" s="7" t="str">
        <f>IF($A53="","",[2]!B_CALC_PRICE($A53,$V$1,IF(情景分析!$D$6=1,$J53,IF(情景分析!$D$6=2,$E53,IF(情景分析!$D$6=4,IF($C53="银行间",$J53,$L53),$G53)))+AB$2/100,情景分析!$D$7,"",,,,"",)*IF($H53="",1,$H53))</f>
        <v/>
      </c>
      <c r="AC53" s="7" t="str">
        <f>IF($A53="","",[2]!B_CALC_PRICE($A53,$AC$1,IF(情景分析!$D$6=1,$J53,IF(情景分析!$D$6=2,$E53,IF(情景分析!$D$6=4,IF($C53="银行间",$J53,$L53),$G53)))+AC$2/100,情景分析!$D$7,"",,,,"",)*IF($H53="",1,$H53))</f>
        <v/>
      </c>
      <c r="AD53" s="7" t="str">
        <f>IF($A53="","",[2]!B_CALC_PRICE($A53,$AC$1,IF(情景分析!$D$6=1,$J53,IF(情景分析!$D$6=2,$E53,IF(情景分析!$D$6=4,IF($C53="银行间",$J53,$L53),$G53)))+AD$2/100,情景分析!$D$7,"",,,,"",)*IF($H53="",1,$H53))</f>
        <v/>
      </c>
      <c r="AE53" s="7" t="str">
        <f>IF($A53="","",[2]!B_CALC_PRICE($A53,$AC$1,IF(情景分析!$D$6=1,$J53,IF(情景分析!$D$6=2,$E53,IF(情景分析!$D$6=4,IF($C53="银行间",$J53,$L53),$G53)))+AE$2/100,情景分析!$D$7,"",,,,"",)*IF($H53="",1,$H53))</f>
        <v/>
      </c>
      <c r="AF53" s="7" t="str">
        <f>IF($A53="","",[2]!B_CALC_PRICE($A53,$AC$1,IF(情景分析!$D$6=1,$J53,IF(情景分析!$D$6=2,$E53,IF(情景分析!$D$6=4,IF($C53="银行间",$J53,$L53),$G53)))+AF$2/100,情景分析!$D$7,"",,,,"",)*IF($H53="",1,$H53))</f>
        <v/>
      </c>
      <c r="AG53" s="7" t="str">
        <f>IF($A53="","",[2]!B_CALC_PRICE($A53,$AC$1,IF(情景分析!$D$6=1,$J53,IF(情景分析!$D$6=2,$E53,IF(情景分析!$D$6=4,IF($C53="银行间",$J53,$L53),$G53)))+AG$2/100,情景分析!$D$7,"",,,,"",)*IF($H53="",1,$H53))</f>
        <v/>
      </c>
      <c r="AH53" s="7" t="str">
        <f>IF($A53="","",[2]!B_CALC_PRICE($A53,$AC$1,IF(情景分析!$D$6=1,$J53,IF(情景分析!$D$6=2,$E53,IF(情景分析!$D$6=4,IF($C53="银行间",$J53,$L53),$G53)))+AH$2/100,情景分析!$D$7,"",,,,"",)*IF($H53="",1,$H53))</f>
        <v/>
      </c>
      <c r="AI53" s="7" t="str">
        <f>IF($A53="","",[2]!B_CALC_PRICE($A53,$AC$1,IF(情景分析!$D$6=1,$J53,IF(情景分析!$D$6=2,$E53,IF(情景分析!$D$6=4,IF($C53="银行间",$J53,$L53),$G53)))+AI$2/100,情景分析!$D$7,"",,,,"",)*IF($H53="",1,$H53))</f>
        <v/>
      </c>
      <c r="AJ53" s="7" t="str">
        <f>IF($A53="","",[2]!B_CALC_PRICE($A53,$AJ$1,IF(情景分析!$D$6=1,$J53,IF(情景分析!$D$6=2,$E53,IF(情景分析!$D$6=4,IF($C53="银行间",$J53,$L53),$G53)))+AJ$2/100,情景分析!$D$7,"",,,,"",)*IF($H53="",1,$H53))</f>
        <v/>
      </c>
      <c r="AK53" s="7" t="str">
        <f>IF($A53="","",[2]!B_CALC_PRICE($A53,$AJ$1,IF(情景分析!$D$6=1,$J53,IF(情景分析!$D$6=2,$E53,IF(情景分析!$D$6=4,IF($C53="银行间",$J53,$L53),$G53)))+AK$2/100,情景分析!$D$7,"",,,,"",)*IF($H53="",1,$H53))</f>
        <v/>
      </c>
      <c r="AL53" s="7" t="str">
        <f>IF($A53="","",[2]!B_CALC_PRICE($A53,$AJ$1,IF(情景分析!$D$6=1,$J53,IF(情景分析!$D$6=2,$E53,IF(情景分析!$D$6=4,IF($C53="银行间",$J53,$L53),$G53)))+AL$2/100,情景分析!$D$7,"",,,,"",)*IF($H53="",1,$H53))</f>
        <v/>
      </c>
      <c r="AM53" s="7" t="str">
        <f>IF($A53="","",[2]!B_CALC_PRICE($A53,$AJ$1,IF(情景分析!$D$6=1,$J53,IF(情景分析!$D$6=2,$E53,IF(情景分析!$D$6=4,IF($C53="银行间",$J53,$L53),$G53)))+AM$2/100,情景分析!$D$7,"",,,,"",)*IF($H53="",1,$H53))</f>
        <v/>
      </c>
      <c r="AN53" s="7" t="str">
        <f>IF($A53="","",[2]!B_CALC_PRICE($A53,$AJ$1,IF(情景分析!$D$6=1,$J53,IF(情景分析!$D$6=2,$E53,IF(情景分析!$D$6=4,IF($C53="银行间",$J53,$L53),$G53)))+AN$2/100,情景分析!$D$7,"",,,,"",)*IF($H53="",1,$H53))</f>
        <v/>
      </c>
      <c r="AO53" s="7" t="str">
        <f>IF($A53="","",[2]!B_CALC_PRICE($A53,$AJ$1,IF(情景分析!$D$6=1,$J53,IF(情景分析!$D$6=2,$E53,IF(情景分析!$D$6=4,IF($C53="银行间",$J53,$L53),$G53)))+AO$2/100,情景分析!$D$7,"",,,,"",)*IF($H53="",1,$H53))</f>
        <v/>
      </c>
      <c r="AP53" s="7" t="str">
        <f>IF($A53="","",[2]!B_CALC_PRICE($A53,$AJ$1,IF(情景分析!$D$6=1,$J53,IF(情景分析!$D$6=2,$E53,IF(情景分析!$D$6=4,IF($C53="银行间",$J53,$L53),$G53)))+AP$2/100,情景分析!$D$7,"",,,,"",)*IF($H53="",1,$H53))</f>
        <v/>
      </c>
      <c r="AQ53" s="7" t="str">
        <f>IF($A53="","",[2]!B_CALC_PRICE($A53,$AQ$1,IF(情景分析!$D$6=1,$J53,IF(情景分析!$D$6=2,$E53,IF(情景分析!$D$6=4,IF($C53="银行间",$J53,$L53),$G53)))+AQ$2/100,情景分析!$D$7,"",,,,"",)*IF($H53="",1,$H53))</f>
        <v/>
      </c>
      <c r="AR53" s="7" t="str">
        <f>IF($A53="","",[2]!B_CALC_PRICE($A53,$AQ$1,IF(情景分析!$D$6=1,$J53,IF(情景分析!$D$6=2,$E53,IF(情景分析!$D$6=4,IF($C53="银行间",$J53,$L53),$G53)))+AR$2/100,情景分析!$D$7,"",,,,"",)*IF($H53="",1,$H53))</f>
        <v/>
      </c>
      <c r="AS53" s="7" t="str">
        <f>IF($A53="","",[2]!B_CALC_PRICE($A53,$AQ$1,IF(情景分析!$D$6=1,$J53,IF(情景分析!$D$6=2,$E53,IF(情景分析!$D$6=4,IF($C53="银行间",$J53,$L53),$G53)))+AS$2/100,情景分析!$D$7,"",,,,"",)*IF($H53="",1,$H53))</f>
        <v/>
      </c>
      <c r="AT53" s="7" t="str">
        <f>IF($A53="","",[2]!B_CALC_PRICE($A53,$AQ$1,IF(情景分析!$D$6=1,$J53,IF(情景分析!$D$6=2,$E53,IF(情景分析!$D$6=4,IF($C53="银行间",$J53,$L53),$G53)))+AT$2/100,情景分析!$D$7,"",,,,"",)*IF($H53="",1,$H53))</f>
        <v/>
      </c>
      <c r="AU53" s="7" t="str">
        <f>IF($A53="","",[2]!B_CALC_PRICE($A53,$AQ$1,IF(情景分析!$D$6=1,$J53,IF(情景分析!$D$6=2,$E53,IF(情景分析!$D$6=4,IF($C53="银行间",$J53,$L53),$G53)))+AU$2/100,情景分析!$D$7,"",,,,"",)*IF($H53="",1,$H53))</f>
        <v/>
      </c>
      <c r="AV53" s="7" t="str">
        <f>IF($A53="","",[2]!B_CALC_PRICE($A53,$AQ$1,IF(情景分析!$D$6=1,$J53,IF(情景分析!$D$6=2,$E53,IF(情景分析!$D$6=4,IF($C53="银行间",$J53,$L53),$G53)))+AV$2/100,情景分析!$D$7,"",,,,"",)*IF($H53="",1,$H53))</f>
        <v/>
      </c>
      <c r="AW53" s="7" t="str">
        <f>IF($A53="","",[2]!B_CALC_PRICE($A53,$AQ$1,IF(情景分析!$D$6=1,$J53,IF(情景分析!$D$6=2,$E53,IF(情景分析!$D$6=4,IF($C53="银行间",$J53,$L53),$G53)))+AW$2/100,情景分析!$D$7,"",,,,"",)*IF($H53="",1,$H53))</f>
        <v/>
      </c>
    </row>
    <row r="54" spans="1:49" x14ac:dyDescent="0.15">
      <c r="A54" s="20"/>
      <c r="B54" s="7" t="str">
        <f>IF(A54="","",[2]!b_info_name(A54))</f>
        <v/>
      </c>
      <c r="C54" s="7" t="str">
        <f>[2]!b_info_listedmkt(A54)</f>
        <v>#N/A</v>
      </c>
      <c r="D54" s="7" t="str">
        <f>IFERROR(IF(A54="","", [2]!b_dq_avgprice(A54, 情景分析!$D$5, 情景分析!$D$7) * IF($H54="",1,$H54)),0)</f>
        <v/>
      </c>
      <c r="E54" s="7" t="str">
        <f>IF(A54="","", N([2]!b_dq_avgprice(A54,情景分析!$D$5,3)))</f>
        <v/>
      </c>
      <c r="F54" s="29" t="str">
        <f>IF($G54 = "",
"",
IFERROR(
[2]!b_calc_pv(A54, 情景分析!$D$5,$G54, "1", 情景分析!$D$7),
[2]!b_calc_pv(A54, 情景分析!$D$5,$G54, "2", 情景分析!$D$7)
)
)</f>
        <v/>
      </c>
      <c r="G54" s="22"/>
      <c r="H54" s="21"/>
      <c r="I54" s="7" t="str">
        <f>IF(A54="","",IF(情景分析!$D$7=1,[2]!b_anal_net_cnbd(A54,情景分析!$D$5,1),[2]!b_anal_dirty_cnbd(A54,情景分析!$D$5,1))*IF($H54="",1,$H54))</f>
        <v/>
      </c>
      <c r="J54" s="7" t="str">
        <f>IF(A54="","",[2]!b_anal_yield_cnbd(A54,情景分析!$D$5,1))</f>
        <v/>
      </c>
      <c r="K54" s="29" t="str">
        <f>IF(A54="","",IF(情景分析!$D$7=1,[2]!b_anal_net_csi1(A54,情景分析!$D$5,1),[2]!b_anal_dirty_csi1(A54,情景分析!$D$5,1))*IF($H54="",1,$H54))</f>
        <v/>
      </c>
      <c r="L54" s="29" t="str">
        <f>IF(A54="","",[2]!b_anal_yield_csi1(A54,情景分析!$D$5,1))</f>
        <v/>
      </c>
      <c r="M54" s="29" t="str">
        <f t="shared" si="4"/>
        <v/>
      </c>
      <c r="N54" s="29" t="str">
        <f t="shared" si="5"/>
        <v/>
      </c>
      <c r="O54" s="7" t="str">
        <f>IF($A54="","",[2]!B_CALC_PRICE($A54,$O$1,IF(情景分析!$D$6=1,$J54,IF(情景分析!$D$6=2,$E54,IF(情景分析!$D$6=4,IF($C54="银行间",$J54,$L54),$G54)))+O$2/100,情景分析!$D$7,"",,,,"",)*IF($H54="",1,$H54))</f>
        <v/>
      </c>
      <c r="P54" s="7" t="str">
        <f>IF($A54="","",[2]!B_CALC_PRICE($A54,$O$1,IF(情景分析!$D$6=1,$J54,IF(情景分析!$D$6=2,$E54,IF(情景分析!$D$6=4,IF($C54="银行间",$J54,$L54),$G54)))+P$2/100,情景分析!$D$7,"",,,,"",)*IF($H54="",1,$H54))</f>
        <v/>
      </c>
      <c r="Q54" s="7" t="str">
        <f>IF($A54="","",[2]!B_CALC_PRICE($A54,$O$1,IF(情景分析!$D$6=1,$J54,IF(情景分析!$D$6=2,$E54,IF(情景分析!$D$6=4,IF($C54="银行间",$J54,$L54),$G54)))+Q$2/100,情景分析!$D$7,"",,,,"",)*IF($H54="",1,$H54))</f>
        <v/>
      </c>
      <c r="R54" s="7" t="str">
        <f>IF($A54="","",[2]!B_CALC_PRICE($A54,$O$1,IF(情景分析!$D$6=1,$J54,IF(情景分析!$D$6=2,$E54,IF(情景分析!$D$6=4,IF($C54="银行间",$J54,$L54),$G54)))+R$2/100,情景分析!$D$7,"",,,,"",)*IF($H54="",1,$H54))</f>
        <v/>
      </c>
      <c r="S54" s="7" t="str">
        <f>IF($A54="","",[2]!B_CALC_PRICE($A54,$O$1,IF(情景分析!$D$6=1,$J54,IF(情景分析!$D$6=2,$E54,IF(情景分析!$D$6=4,IF($C54="银行间",$J54,$L54),$G54)))+S$2/100,情景分析!$D$7,"",,,,"",)*IF($H54="",1,$H54))</f>
        <v/>
      </c>
      <c r="T54" s="7" t="str">
        <f>IF($A54="","",[2]!B_CALC_PRICE($A54,$O$1,IF(情景分析!$D$6=1,$J54,IF(情景分析!$D$6=2,$E54,IF(情景分析!$D$6=4,IF($C54="银行间",$J54,$L54),$G54)))+T$2/100,情景分析!$D$7,"",,,,"",)*IF($H54="",1,$H54))</f>
        <v/>
      </c>
      <c r="U54" s="7" t="str">
        <f>IF($A54="","",[2]!B_CALC_PRICE($A54,$O$1,IF(情景分析!$D$6=1,$J54,IF(情景分析!$D$6=2,$E54,IF(情景分析!$D$6=4,IF($C54="银行间",$J54,$L54),$G54)))+U$2/100,情景分析!$D$7,"",,,,"",)*IF($H54="",1,$H54))</f>
        <v/>
      </c>
      <c r="V54" s="7" t="str">
        <f>IF($A54="","",[2]!B_CALC_PRICE($A54,$V$1,IF(情景分析!$D$6=1,$J54,IF(情景分析!$D$6=2,$E54,IF(情景分析!$D$6=4,IF($C54="银行间",$J54,$L54),$G54)))+V$2/100,情景分析!$D$7,"",,,,"",)*IF($H54="",1,$H54))</f>
        <v/>
      </c>
      <c r="W54" s="7" t="str">
        <f>IF($A54="","",[2]!B_CALC_PRICE($A54,$V$1,IF(情景分析!$D$6=1,$J54,IF(情景分析!$D$6=2,$E54,IF(情景分析!$D$6=4,IF($C54="银行间",$J54,$L54),$G54)))+W$2/100,情景分析!$D$7,"",,,,"",)*IF($H54="",1,$H54))</f>
        <v/>
      </c>
      <c r="X54" s="7" t="str">
        <f>IF($A54="","",[2]!B_CALC_PRICE($A54,$V$1,IF(情景分析!$D$6=1,$J54,IF(情景分析!$D$6=2,$E54,IF(情景分析!$D$6=4,IF($C54="银行间",$J54,$L54),$G54)))+X$2/100,情景分析!$D$7,"",,,,"",)*IF($H54="",1,$H54))</f>
        <v/>
      </c>
      <c r="Y54" s="7" t="str">
        <f>IF($A54="","",[2]!B_CALC_PRICE($A54,$V$1,IF(情景分析!$D$6=1,$J54,IF(情景分析!$D$6=2,$E54,IF(情景分析!$D$6=4,IF($C54="银行间",$J54,$L54),$G54)))+Y$2/100,情景分析!$D$7,"",,,,"",)*IF($H54="",1,$H54))</f>
        <v/>
      </c>
      <c r="Z54" s="7" t="str">
        <f>IF($A54="","",[2]!B_CALC_PRICE($A54,$V$1,IF(情景分析!$D$6=1,$J54,IF(情景分析!$D$6=2,$E54,IF(情景分析!$D$6=4,IF($C54="银行间",$J54,$L54),$G54)))+Z$2/100,情景分析!$D$7,"",,,,"",)*IF($H54="",1,$H54))</f>
        <v/>
      </c>
      <c r="AA54" s="7" t="str">
        <f>IF($A54="","",[2]!B_CALC_PRICE($A54,$V$1,IF(情景分析!$D$6=1,$J54,IF(情景分析!$D$6=2,$E54,IF(情景分析!$D$6=4,IF($C54="银行间",$J54,$L54),$G54)))+AA$2/100,情景分析!$D$7,"",,,,"",)*IF($H54="",1,$H54))</f>
        <v/>
      </c>
      <c r="AB54" s="7" t="str">
        <f>IF($A54="","",[2]!B_CALC_PRICE($A54,$V$1,IF(情景分析!$D$6=1,$J54,IF(情景分析!$D$6=2,$E54,IF(情景分析!$D$6=4,IF($C54="银行间",$J54,$L54),$G54)))+AB$2/100,情景分析!$D$7,"",,,,"",)*IF($H54="",1,$H54))</f>
        <v/>
      </c>
      <c r="AC54" s="7" t="str">
        <f>IF($A54="","",[2]!B_CALC_PRICE($A54,$AC$1,IF(情景分析!$D$6=1,$J54,IF(情景分析!$D$6=2,$E54,IF(情景分析!$D$6=4,IF($C54="银行间",$J54,$L54),$G54)))+AC$2/100,情景分析!$D$7,"",,,,"",)*IF($H54="",1,$H54))</f>
        <v/>
      </c>
      <c r="AD54" s="7" t="str">
        <f>IF($A54="","",[2]!B_CALC_PRICE($A54,$AC$1,IF(情景分析!$D$6=1,$J54,IF(情景分析!$D$6=2,$E54,IF(情景分析!$D$6=4,IF($C54="银行间",$J54,$L54),$G54)))+AD$2/100,情景分析!$D$7,"",,,,"",)*IF($H54="",1,$H54))</f>
        <v/>
      </c>
      <c r="AE54" s="7" t="str">
        <f>IF($A54="","",[2]!B_CALC_PRICE($A54,$AC$1,IF(情景分析!$D$6=1,$J54,IF(情景分析!$D$6=2,$E54,IF(情景分析!$D$6=4,IF($C54="银行间",$J54,$L54),$G54)))+AE$2/100,情景分析!$D$7,"",,,,"",)*IF($H54="",1,$H54))</f>
        <v/>
      </c>
      <c r="AF54" s="7" t="str">
        <f>IF($A54="","",[2]!B_CALC_PRICE($A54,$AC$1,IF(情景分析!$D$6=1,$J54,IF(情景分析!$D$6=2,$E54,IF(情景分析!$D$6=4,IF($C54="银行间",$J54,$L54),$G54)))+AF$2/100,情景分析!$D$7,"",,,,"",)*IF($H54="",1,$H54))</f>
        <v/>
      </c>
      <c r="AG54" s="7" t="str">
        <f>IF($A54="","",[2]!B_CALC_PRICE($A54,$AC$1,IF(情景分析!$D$6=1,$J54,IF(情景分析!$D$6=2,$E54,IF(情景分析!$D$6=4,IF($C54="银行间",$J54,$L54),$G54)))+AG$2/100,情景分析!$D$7,"",,,,"",)*IF($H54="",1,$H54))</f>
        <v/>
      </c>
      <c r="AH54" s="7" t="str">
        <f>IF($A54="","",[2]!B_CALC_PRICE($A54,$AC$1,IF(情景分析!$D$6=1,$J54,IF(情景分析!$D$6=2,$E54,IF(情景分析!$D$6=4,IF($C54="银行间",$J54,$L54),$G54)))+AH$2/100,情景分析!$D$7,"",,,,"",)*IF($H54="",1,$H54))</f>
        <v/>
      </c>
      <c r="AI54" s="7" t="str">
        <f>IF($A54="","",[2]!B_CALC_PRICE($A54,$AC$1,IF(情景分析!$D$6=1,$J54,IF(情景分析!$D$6=2,$E54,IF(情景分析!$D$6=4,IF($C54="银行间",$J54,$L54),$G54)))+AI$2/100,情景分析!$D$7,"",,,,"",)*IF($H54="",1,$H54))</f>
        <v/>
      </c>
      <c r="AJ54" s="7" t="str">
        <f>IF($A54="","",[2]!B_CALC_PRICE($A54,$AJ$1,IF(情景分析!$D$6=1,$J54,IF(情景分析!$D$6=2,$E54,IF(情景分析!$D$6=4,IF($C54="银行间",$J54,$L54),$G54)))+AJ$2/100,情景分析!$D$7,"",,,,"",)*IF($H54="",1,$H54))</f>
        <v/>
      </c>
      <c r="AK54" s="7" t="str">
        <f>IF($A54="","",[2]!B_CALC_PRICE($A54,$AJ$1,IF(情景分析!$D$6=1,$J54,IF(情景分析!$D$6=2,$E54,IF(情景分析!$D$6=4,IF($C54="银行间",$J54,$L54),$G54)))+AK$2/100,情景分析!$D$7,"",,,,"",)*IF($H54="",1,$H54))</f>
        <v/>
      </c>
      <c r="AL54" s="7" t="str">
        <f>IF($A54="","",[2]!B_CALC_PRICE($A54,$AJ$1,IF(情景分析!$D$6=1,$J54,IF(情景分析!$D$6=2,$E54,IF(情景分析!$D$6=4,IF($C54="银行间",$J54,$L54),$G54)))+AL$2/100,情景分析!$D$7,"",,,,"",)*IF($H54="",1,$H54))</f>
        <v/>
      </c>
      <c r="AM54" s="7" t="str">
        <f>IF($A54="","",[2]!B_CALC_PRICE($A54,$AJ$1,IF(情景分析!$D$6=1,$J54,IF(情景分析!$D$6=2,$E54,IF(情景分析!$D$6=4,IF($C54="银行间",$J54,$L54),$G54)))+AM$2/100,情景分析!$D$7,"",,,,"",)*IF($H54="",1,$H54))</f>
        <v/>
      </c>
      <c r="AN54" s="7" t="str">
        <f>IF($A54="","",[2]!B_CALC_PRICE($A54,$AJ$1,IF(情景分析!$D$6=1,$J54,IF(情景分析!$D$6=2,$E54,IF(情景分析!$D$6=4,IF($C54="银行间",$J54,$L54),$G54)))+AN$2/100,情景分析!$D$7,"",,,,"",)*IF($H54="",1,$H54))</f>
        <v/>
      </c>
      <c r="AO54" s="7" t="str">
        <f>IF($A54="","",[2]!B_CALC_PRICE($A54,$AJ$1,IF(情景分析!$D$6=1,$J54,IF(情景分析!$D$6=2,$E54,IF(情景分析!$D$6=4,IF($C54="银行间",$J54,$L54),$G54)))+AO$2/100,情景分析!$D$7,"",,,,"",)*IF($H54="",1,$H54))</f>
        <v/>
      </c>
      <c r="AP54" s="7" t="str">
        <f>IF($A54="","",[2]!B_CALC_PRICE($A54,$AJ$1,IF(情景分析!$D$6=1,$J54,IF(情景分析!$D$6=2,$E54,IF(情景分析!$D$6=4,IF($C54="银行间",$J54,$L54),$G54)))+AP$2/100,情景分析!$D$7,"",,,,"",)*IF($H54="",1,$H54))</f>
        <v/>
      </c>
      <c r="AQ54" s="7" t="str">
        <f>IF($A54="","",[2]!B_CALC_PRICE($A54,$AQ$1,IF(情景分析!$D$6=1,$J54,IF(情景分析!$D$6=2,$E54,IF(情景分析!$D$6=4,IF($C54="银行间",$J54,$L54),$G54)))+AQ$2/100,情景分析!$D$7,"",,,,"",)*IF($H54="",1,$H54))</f>
        <v/>
      </c>
      <c r="AR54" s="7" t="str">
        <f>IF($A54="","",[2]!B_CALC_PRICE($A54,$AQ$1,IF(情景分析!$D$6=1,$J54,IF(情景分析!$D$6=2,$E54,IF(情景分析!$D$6=4,IF($C54="银行间",$J54,$L54),$G54)))+AR$2/100,情景分析!$D$7,"",,,,"",)*IF($H54="",1,$H54))</f>
        <v/>
      </c>
      <c r="AS54" s="7" t="str">
        <f>IF($A54="","",[2]!B_CALC_PRICE($A54,$AQ$1,IF(情景分析!$D$6=1,$J54,IF(情景分析!$D$6=2,$E54,IF(情景分析!$D$6=4,IF($C54="银行间",$J54,$L54),$G54)))+AS$2/100,情景分析!$D$7,"",,,,"",)*IF($H54="",1,$H54))</f>
        <v/>
      </c>
      <c r="AT54" s="7" t="str">
        <f>IF($A54="","",[2]!B_CALC_PRICE($A54,$AQ$1,IF(情景分析!$D$6=1,$J54,IF(情景分析!$D$6=2,$E54,IF(情景分析!$D$6=4,IF($C54="银行间",$J54,$L54),$G54)))+AT$2/100,情景分析!$D$7,"",,,,"",)*IF($H54="",1,$H54))</f>
        <v/>
      </c>
      <c r="AU54" s="7" t="str">
        <f>IF($A54="","",[2]!B_CALC_PRICE($A54,$AQ$1,IF(情景分析!$D$6=1,$J54,IF(情景分析!$D$6=2,$E54,IF(情景分析!$D$6=4,IF($C54="银行间",$J54,$L54),$G54)))+AU$2/100,情景分析!$D$7,"",,,,"",)*IF($H54="",1,$H54))</f>
        <v/>
      </c>
      <c r="AV54" s="7" t="str">
        <f>IF($A54="","",[2]!B_CALC_PRICE($A54,$AQ$1,IF(情景分析!$D$6=1,$J54,IF(情景分析!$D$6=2,$E54,IF(情景分析!$D$6=4,IF($C54="银行间",$J54,$L54),$G54)))+AV$2/100,情景分析!$D$7,"",,,,"",)*IF($H54="",1,$H54))</f>
        <v/>
      </c>
      <c r="AW54" s="7" t="str">
        <f>IF($A54="","",[2]!B_CALC_PRICE($A54,$AQ$1,IF(情景分析!$D$6=1,$J54,IF(情景分析!$D$6=2,$E54,IF(情景分析!$D$6=4,IF($C54="银行间",$J54,$L54),$G54)))+AW$2/100,情景分析!$D$7,"",,,,"",)*IF($H54="",1,$H54))</f>
        <v/>
      </c>
    </row>
    <row r="55" spans="1:49" x14ac:dyDescent="0.15">
      <c r="A55" s="20"/>
      <c r="B55" s="7" t="str">
        <f>IF(A55="","",[2]!b_info_name(A55))</f>
        <v/>
      </c>
      <c r="C55" s="7" t="str">
        <f>[2]!b_info_listedmkt(A55)</f>
        <v>#N/A</v>
      </c>
      <c r="D55" s="7" t="str">
        <f>IFERROR(IF(A55="","", [2]!b_dq_avgprice(A55, 情景分析!$D$5, 情景分析!$D$7) * IF($H55="",1,$H55)),0)</f>
        <v/>
      </c>
      <c r="E55" s="7" t="str">
        <f>IF(A55="","", N([2]!b_dq_avgprice(A55,情景分析!$D$5,3)))</f>
        <v/>
      </c>
      <c r="F55" s="29" t="str">
        <f>IF($G55 = "",
"",
IFERROR(
[2]!b_calc_pv(A55, 情景分析!$D$5,$G55, "1", 情景分析!$D$7),
[2]!b_calc_pv(A55, 情景分析!$D$5,$G55, "2", 情景分析!$D$7)
)
)</f>
        <v/>
      </c>
      <c r="G55" s="22"/>
      <c r="H55" s="21"/>
      <c r="I55" s="7" t="str">
        <f>IF(A55="","",IF(情景分析!$D$7=1,[2]!b_anal_net_cnbd(A55,情景分析!$D$5,1),[2]!b_anal_dirty_cnbd(A55,情景分析!$D$5,1))*IF($H55="",1,$H55))</f>
        <v/>
      </c>
      <c r="J55" s="7" t="str">
        <f>IF(A55="","",[2]!b_anal_yield_cnbd(A55,情景分析!$D$5,1))</f>
        <v/>
      </c>
      <c r="K55" s="29" t="str">
        <f>IF(A55="","",IF(情景分析!$D$7=1,[2]!b_anal_net_csi1(A55,情景分析!$D$5,1),[2]!b_anal_dirty_csi1(A55,情景分析!$D$5,1))*IF($H55="",1,$H55))</f>
        <v/>
      </c>
      <c r="L55" s="29" t="str">
        <f>IF(A55="","",[2]!b_anal_yield_csi1(A55,情景分析!$D$5,1))</f>
        <v/>
      </c>
      <c r="M55" s="29" t="str">
        <f t="shared" si="4"/>
        <v/>
      </c>
      <c r="N55" s="29" t="str">
        <f t="shared" si="5"/>
        <v/>
      </c>
      <c r="O55" s="7" t="str">
        <f>IF($A55="","",[2]!B_CALC_PRICE($A55,$O$1,IF(情景分析!$D$6=1,$J55,IF(情景分析!$D$6=2,$E55,IF(情景分析!$D$6=4,IF($C55="银行间",$J55,$L55),$G55)))+O$2/100,情景分析!$D$7,"",,,,"",)*IF($H55="",1,$H55))</f>
        <v/>
      </c>
      <c r="P55" s="7" t="str">
        <f>IF($A55="","",[2]!B_CALC_PRICE($A55,$O$1,IF(情景分析!$D$6=1,$J55,IF(情景分析!$D$6=2,$E55,IF(情景分析!$D$6=4,IF($C55="银行间",$J55,$L55),$G55)))+P$2/100,情景分析!$D$7,"",,,,"",)*IF($H55="",1,$H55))</f>
        <v/>
      </c>
      <c r="Q55" s="7" t="str">
        <f>IF($A55="","",[2]!B_CALC_PRICE($A55,$O$1,IF(情景分析!$D$6=1,$J55,IF(情景分析!$D$6=2,$E55,IF(情景分析!$D$6=4,IF($C55="银行间",$J55,$L55),$G55)))+Q$2/100,情景分析!$D$7,"",,,,"",)*IF($H55="",1,$H55))</f>
        <v/>
      </c>
      <c r="R55" s="7" t="str">
        <f>IF($A55="","",[2]!B_CALC_PRICE($A55,$O$1,IF(情景分析!$D$6=1,$J55,IF(情景分析!$D$6=2,$E55,IF(情景分析!$D$6=4,IF($C55="银行间",$J55,$L55),$G55)))+R$2/100,情景分析!$D$7,"",,,,"",)*IF($H55="",1,$H55))</f>
        <v/>
      </c>
      <c r="S55" s="7" t="str">
        <f>IF($A55="","",[2]!B_CALC_PRICE($A55,$O$1,IF(情景分析!$D$6=1,$J55,IF(情景分析!$D$6=2,$E55,IF(情景分析!$D$6=4,IF($C55="银行间",$J55,$L55),$G55)))+S$2/100,情景分析!$D$7,"",,,,"",)*IF($H55="",1,$H55))</f>
        <v/>
      </c>
      <c r="T55" s="7" t="str">
        <f>IF($A55="","",[2]!B_CALC_PRICE($A55,$O$1,IF(情景分析!$D$6=1,$J55,IF(情景分析!$D$6=2,$E55,IF(情景分析!$D$6=4,IF($C55="银行间",$J55,$L55),$G55)))+T$2/100,情景分析!$D$7,"",,,,"",)*IF($H55="",1,$H55))</f>
        <v/>
      </c>
      <c r="U55" s="7" t="str">
        <f>IF($A55="","",[2]!B_CALC_PRICE($A55,$O$1,IF(情景分析!$D$6=1,$J55,IF(情景分析!$D$6=2,$E55,IF(情景分析!$D$6=4,IF($C55="银行间",$J55,$L55),$G55)))+U$2/100,情景分析!$D$7,"",,,,"",)*IF($H55="",1,$H55))</f>
        <v/>
      </c>
      <c r="V55" s="7" t="str">
        <f>IF($A55="","",[2]!B_CALC_PRICE($A55,$V$1,IF(情景分析!$D$6=1,$J55,IF(情景分析!$D$6=2,$E55,IF(情景分析!$D$6=4,IF($C55="银行间",$J55,$L55),$G55)))+V$2/100,情景分析!$D$7,"",,,,"",)*IF($H55="",1,$H55))</f>
        <v/>
      </c>
      <c r="W55" s="7" t="str">
        <f>IF($A55="","",[2]!B_CALC_PRICE($A55,$V$1,IF(情景分析!$D$6=1,$J55,IF(情景分析!$D$6=2,$E55,IF(情景分析!$D$6=4,IF($C55="银行间",$J55,$L55),$G55)))+W$2/100,情景分析!$D$7,"",,,,"",)*IF($H55="",1,$H55))</f>
        <v/>
      </c>
      <c r="X55" s="7" t="str">
        <f>IF($A55="","",[2]!B_CALC_PRICE($A55,$V$1,IF(情景分析!$D$6=1,$J55,IF(情景分析!$D$6=2,$E55,IF(情景分析!$D$6=4,IF($C55="银行间",$J55,$L55),$G55)))+X$2/100,情景分析!$D$7,"",,,,"",)*IF($H55="",1,$H55))</f>
        <v/>
      </c>
      <c r="Y55" s="7" t="str">
        <f>IF($A55="","",[2]!B_CALC_PRICE($A55,$V$1,IF(情景分析!$D$6=1,$J55,IF(情景分析!$D$6=2,$E55,IF(情景分析!$D$6=4,IF($C55="银行间",$J55,$L55),$G55)))+Y$2/100,情景分析!$D$7,"",,,,"",)*IF($H55="",1,$H55))</f>
        <v/>
      </c>
      <c r="Z55" s="7" t="str">
        <f>IF($A55="","",[2]!B_CALC_PRICE($A55,$V$1,IF(情景分析!$D$6=1,$J55,IF(情景分析!$D$6=2,$E55,IF(情景分析!$D$6=4,IF($C55="银行间",$J55,$L55),$G55)))+Z$2/100,情景分析!$D$7,"",,,,"",)*IF($H55="",1,$H55))</f>
        <v/>
      </c>
      <c r="AA55" s="7" t="str">
        <f>IF($A55="","",[2]!B_CALC_PRICE($A55,$V$1,IF(情景分析!$D$6=1,$J55,IF(情景分析!$D$6=2,$E55,IF(情景分析!$D$6=4,IF($C55="银行间",$J55,$L55),$G55)))+AA$2/100,情景分析!$D$7,"",,,,"",)*IF($H55="",1,$H55))</f>
        <v/>
      </c>
      <c r="AB55" s="7" t="str">
        <f>IF($A55="","",[2]!B_CALC_PRICE($A55,$V$1,IF(情景分析!$D$6=1,$J55,IF(情景分析!$D$6=2,$E55,IF(情景分析!$D$6=4,IF($C55="银行间",$J55,$L55),$G55)))+AB$2/100,情景分析!$D$7,"",,,,"",)*IF($H55="",1,$H55))</f>
        <v/>
      </c>
      <c r="AC55" s="7" t="str">
        <f>IF($A55="","",[2]!B_CALC_PRICE($A55,$AC$1,IF(情景分析!$D$6=1,$J55,IF(情景分析!$D$6=2,$E55,IF(情景分析!$D$6=4,IF($C55="银行间",$J55,$L55),$G55)))+AC$2/100,情景分析!$D$7,"",,,,"",)*IF($H55="",1,$H55))</f>
        <v/>
      </c>
      <c r="AD55" s="7" t="str">
        <f>IF($A55="","",[2]!B_CALC_PRICE($A55,$AC$1,IF(情景分析!$D$6=1,$J55,IF(情景分析!$D$6=2,$E55,IF(情景分析!$D$6=4,IF($C55="银行间",$J55,$L55),$G55)))+AD$2/100,情景分析!$D$7,"",,,,"",)*IF($H55="",1,$H55))</f>
        <v/>
      </c>
      <c r="AE55" s="7" t="str">
        <f>IF($A55="","",[2]!B_CALC_PRICE($A55,$AC$1,IF(情景分析!$D$6=1,$J55,IF(情景分析!$D$6=2,$E55,IF(情景分析!$D$6=4,IF($C55="银行间",$J55,$L55),$G55)))+AE$2/100,情景分析!$D$7,"",,,,"",)*IF($H55="",1,$H55))</f>
        <v/>
      </c>
      <c r="AF55" s="7" t="str">
        <f>IF($A55="","",[2]!B_CALC_PRICE($A55,$AC$1,IF(情景分析!$D$6=1,$J55,IF(情景分析!$D$6=2,$E55,IF(情景分析!$D$6=4,IF($C55="银行间",$J55,$L55),$G55)))+AF$2/100,情景分析!$D$7,"",,,,"",)*IF($H55="",1,$H55))</f>
        <v/>
      </c>
      <c r="AG55" s="7" t="str">
        <f>IF($A55="","",[2]!B_CALC_PRICE($A55,$AC$1,IF(情景分析!$D$6=1,$J55,IF(情景分析!$D$6=2,$E55,IF(情景分析!$D$6=4,IF($C55="银行间",$J55,$L55),$G55)))+AG$2/100,情景分析!$D$7,"",,,,"",)*IF($H55="",1,$H55))</f>
        <v/>
      </c>
      <c r="AH55" s="7" t="str">
        <f>IF($A55="","",[2]!B_CALC_PRICE($A55,$AC$1,IF(情景分析!$D$6=1,$J55,IF(情景分析!$D$6=2,$E55,IF(情景分析!$D$6=4,IF($C55="银行间",$J55,$L55),$G55)))+AH$2/100,情景分析!$D$7,"",,,,"",)*IF($H55="",1,$H55))</f>
        <v/>
      </c>
      <c r="AI55" s="7" t="str">
        <f>IF($A55="","",[2]!B_CALC_PRICE($A55,$AC$1,IF(情景分析!$D$6=1,$J55,IF(情景分析!$D$6=2,$E55,IF(情景分析!$D$6=4,IF($C55="银行间",$J55,$L55),$G55)))+AI$2/100,情景分析!$D$7,"",,,,"",)*IF($H55="",1,$H55))</f>
        <v/>
      </c>
      <c r="AJ55" s="7" t="str">
        <f>IF($A55="","",[2]!B_CALC_PRICE($A55,$AJ$1,IF(情景分析!$D$6=1,$J55,IF(情景分析!$D$6=2,$E55,IF(情景分析!$D$6=4,IF($C55="银行间",$J55,$L55),$G55)))+AJ$2/100,情景分析!$D$7,"",,,,"",)*IF($H55="",1,$H55))</f>
        <v/>
      </c>
      <c r="AK55" s="7" t="str">
        <f>IF($A55="","",[2]!B_CALC_PRICE($A55,$AJ$1,IF(情景分析!$D$6=1,$J55,IF(情景分析!$D$6=2,$E55,IF(情景分析!$D$6=4,IF($C55="银行间",$J55,$L55),$G55)))+AK$2/100,情景分析!$D$7,"",,,,"",)*IF($H55="",1,$H55))</f>
        <v/>
      </c>
      <c r="AL55" s="7" t="str">
        <f>IF($A55="","",[2]!B_CALC_PRICE($A55,$AJ$1,IF(情景分析!$D$6=1,$J55,IF(情景分析!$D$6=2,$E55,IF(情景分析!$D$6=4,IF($C55="银行间",$J55,$L55),$G55)))+AL$2/100,情景分析!$D$7,"",,,,"",)*IF($H55="",1,$H55))</f>
        <v/>
      </c>
      <c r="AM55" s="7" t="str">
        <f>IF($A55="","",[2]!B_CALC_PRICE($A55,$AJ$1,IF(情景分析!$D$6=1,$J55,IF(情景分析!$D$6=2,$E55,IF(情景分析!$D$6=4,IF($C55="银行间",$J55,$L55),$G55)))+AM$2/100,情景分析!$D$7,"",,,,"",)*IF($H55="",1,$H55))</f>
        <v/>
      </c>
      <c r="AN55" s="7" t="str">
        <f>IF($A55="","",[2]!B_CALC_PRICE($A55,$AJ$1,IF(情景分析!$D$6=1,$J55,IF(情景分析!$D$6=2,$E55,IF(情景分析!$D$6=4,IF($C55="银行间",$J55,$L55),$G55)))+AN$2/100,情景分析!$D$7,"",,,,"",)*IF($H55="",1,$H55))</f>
        <v/>
      </c>
      <c r="AO55" s="7" t="str">
        <f>IF($A55="","",[2]!B_CALC_PRICE($A55,$AJ$1,IF(情景分析!$D$6=1,$J55,IF(情景分析!$D$6=2,$E55,IF(情景分析!$D$6=4,IF($C55="银行间",$J55,$L55),$G55)))+AO$2/100,情景分析!$D$7,"",,,,"",)*IF($H55="",1,$H55))</f>
        <v/>
      </c>
      <c r="AP55" s="7" t="str">
        <f>IF($A55="","",[2]!B_CALC_PRICE($A55,$AJ$1,IF(情景分析!$D$6=1,$J55,IF(情景分析!$D$6=2,$E55,IF(情景分析!$D$6=4,IF($C55="银行间",$J55,$L55),$G55)))+AP$2/100,情景分析!$D$7,"",,,,"",)*IF($H55="",1,$H55))</f>
        <v/>
      </c>
      <c r="AQ55" s="7" t="str">
        <f>IF($A55="","",[2]!B_CALC_PRICE($A55,$AQ$1,IF(情景分析!$D$6=1,$J55,IF(情景分析!$D$6=2,$E55,IF(情景分析!$D$6=4,IF($C55="银行间",$J55,$L55),$G55)))+AQ$2/100,情景分析!$D$7,"",,,,"",)*IF($H55="",1,$H55))</f>
        <v/>
      </c>
      <c r="AR55" s="7" t="str">
        <f>IF($A55="","",[2]!B_CALC_PRICE($A55,$AQ$1,IF(情景分析!$D$6=1,$J55,IF(情景分析!$D$6=2,$E55,IF(情景分析!$D$6=4,IF($C55="银行间",$J55,$L55),$G55)))+AR$2/100,情景分析!$D$7,"",,,,"",)*IF($H55="",1,$H55))</f>
        <v/>
      </c>
      <c r="AS55" s="7" t="str">
        <f>IF($A55="","",[2]!B_CALC_PRICE($A55,$AQ$1,IF(情景分析!$D$6=1,$J55,IF(情景分析!$D$6=2,$E55,IF(情景分析!$D$6=4,IF($C55="银行间",$J55,$L55),$G55)))+AS$2/100,情景分析!$D$7,"",,,,"",)*IF($H55="",1,$H55))</f>
        <v/>
      </c>
      <c r="AT55" s="7" t="str">
        <f>IF($A55="","",[2]!B_CALC_PRICE($A55,$AQ$1,IF(情景分析!$D$6=1,$J55,IF(情景分析!$D$6=2,$E55,IF(情景分析!$D$6=4,IF($C55="银行间",$J55,$L55),$G55)))+AT$2/100,情景分析!$D$7,"",,,,"",)*IF($H55="",1,$H55))</f>
        <v/>
      </c>
      <c r="AU55" s="7" t="str">
        <f>IF($A55="","",[2]!B_CALC_PRICE($A55,$AQ$1,IF(情景分析!$D$6=1,$J55,IF(情景分析!$D$6=2,$E55,IF(情景分析!$D$6=4,IF($C55="银行间",$J55,$L55),$G55)))+AU$2/100,情景分析!$D$7,"",,,,"",)*IF($H55="",1,$H55))</f>
        <v/>
      </c>
      <c r="AV55" s="7" t="str">
        <f>IF($A55="","",[2]!B_CALC_PRICE($A55,$AQ$1,IF(情景分析!$D$6=1,$J55,IF(情景分析!$D$6=2,$E55,IF(情景分析!$D$6=4,IF($C55="银行间",$J55,$L55),$G55)))+AV$2/100,情景分析!$D$7,"",,,,"",)*IF($H55="",1,$H55))</f>
        <v/>
      </c>
      <c r="AW55" s="7" t="str">
        <f>IF($A55="","",[2]!B_CALC_PRICE($A55,$AQ$1,IF(情景分析!$D$6=1,$J55,IF(情景分析!$D$6=2,$E55,IF(情景分析!$D$6=4,IF($C55="银行间",$J55,$L55),$G55)))+AW$2/100,情景分析!$D$7,"",,,,"",)*IF($H55="",1,$H55))</f>
        <v/>
      </c>
    </row>
    <row r="56" spans="1:49" x14ac:dyDescent="0.15">
      <c r="A56" s="20"/>
      <c r="B56" s="7" t="str">
        <f>IF(A56="","",[2]!b_info_name(A56))</f>
        <v/>
      </c>
      <c r="C56" s="7" t="str">
        <f>[2]!b_info_listedmkt(A56)</f>
        <v>#N/A</v>
      </c>
      <c r="D56" s="7" t="str">
        <f>IFERROR(IF(A56="","", [2]!b_dq_avgprice(A56, 情景分析!$D$5, 情景分析!$D$7) * IF($H56="",1,$H56)),0)</f>
        <v/>
      </c>
      <c r="E56" s="7" t="str">
        <f>IF(A56="","", N([2]!b_dq_avgprice(A56,情景分析!$D$5,3)))</f>
        <v/>
      </c>
      <c r="F56" s="29" t="str">
        <f>IF($G56 = "",
"",
IFERROR(
[2]!b_calc_pv(A56, 情景分析!$D$5,$G56, "1", 情景分析!$D$7),
[2]!b_calc_pv(A56, 情景分析!$D$5,$G56, "2", 情景分析!$D$7)
)
)</f>
        <v/>
      </c>
      <c r="G56" s="22"/>
      <c r="H56" s="21"/>
      <c r="I56" s="7" t="str">
        <f>IF(A56="","",IF(情景分析!$D$7=1,[2]!b_anal_net_cnbd(A56,情景分析!$D$5,1),[2]!b_anal_dirty_cnbd(A56,情景分析!$D$5,1))*IF($H56="",1,$H56))</f>
        <v/>
      </c>
      <c r="J56" s="7" t="str">
        <f>IF(A56="","",[2]!b_anal_yield_cnbd(A56,情景分析!$D$5,1))</f>
        <v/>
      </c>
      <c r="K56" s="29" t="str">
        <f>IF(A56="","",IF(情景分析!$D$7=1,[2]!b_anal_net_csi1(A56,情景分析!$D$5,1),[2]!b_anal_dirty_csi1(A56,情景分析!$D$5,1))*IF($H56="",1,$H56))</f>
        <v/>
      </c>
      <c r="L56" s="29" t="str">
        <f>IF(A56="","",[2]!b_anal_yield_csi1(A56,情景分析!$D$5,1))</f>
        <v/>
      </c>
      <c r="M56" s="29" t="str">
        <f t="shared" si="4"/>
        <v/>
      </c>
      <c r="N56" s="29" t="str">
        <f t="shared" si="5"/>
        <v/>
      </c>
      <c r="O56" s="7" t="str">
        <f>IF($A56="","",[2]!B_CALC_PRICE($A56,$O$1,IF(情景分析!$D$6=1,$J56,IF(情景分析!$D$6=2,$E56,IF(情景分析!$D$6=4,IF($C56="银行间",$J56,$L56),$G56)))+O$2/100,情景分析!$D$7,"",,,,"",)*IF($H56="",1,$H56))</f>
        <v/>
      </c>
      <c r="P56" s="7" t="str">
        <f>IF($A56="","",[2]!B_CALC_PRICE($A56,$O$1,IF(情景分析!$D$6=1,$J56,IF(情景分析!$D$6=2,$E56,IF(情景分析!$D$6=4,IF($C56="银行间",$J56,$L56),$G56)))+P$2/100,情景分析!$D$7,"",,,,"",)*IF($H56="",1,$H56))</f>
        <v/>
      </c>
      <c r="Q56" s="7" t="str">
        <f>IF($A56="","",[2]!B_CALC_PRICE($A56,$O$1,IF(情景分析!$D$6=1,$J56,IF(情景分析!$D$6=2,$E56,IF(情景分析!$D$6=4,IF($C56="银行间",$J56,$L56),$G56)))+Q$2/100,情景分析!$D$7,"",,,,"",)*IF($H56="",1,$H56))</f>
        <v/>
      </c>
      <c r="R56" s="7" t="str">
        <f>IF($A56="","",[2]!B_CALC_PRICE($A56,$O$1,IF(情景分析!$D$6=1,$J56,IF(情景分析!$D$6=2,$E56,IF(情景分析!$D$6=4,IF($C56="银行间",$J56,$L56),$G56)))+R$2/100,情景分析!$D$7,"",,,,"",)*IF($H56="",1,$H56))</f>
        <v/>
      </c>
      <c r="S56" s="7" t="str">
        <f>IF($A56="","",[2]!B_CALC_PRICE($A56,$O$1,IF(情景分析!$D$6=1,$J56,IF(情景分析!$D$6=2,$E56,IF(情景分析!$D$6=4,IF($C56="银行间",$J56,$L56),$G56)))+S$2/100,情景分析!$D$7,"",,,,"",)*IF($H56="",1,$H56))</f>
        <v/>
      </c>
      <c r="T56" s="7" t="str">
        <f>IF($A56="","",[2]!B_CALC_PRICE($A56,$O$1,IF(情景分析!$D$6=1,$J56,IF(情景分析!$D$6=2,$E56,IF(情景分析!$D$6=4,IF($C56="银行间",$J56,$L56),$G56)))+T$2/100,情景分析!$D$7,"",,,,"",)*IF($H56="",1,$H56))</f>
        <v/>
      </c>
      <c r="U56" s="7" t="str">
        <f>IF($A56="","",[2]!B_CALC_PRICE($A56,$O$1,IF(情景分析!$D$6=1,$J56,IF(情景分析!$D$6=2,$E56,IF(情景分析!$D$6=4,IF($C56="银行间",$J56,$L56),$G56)))+U$2/100,情景分析!$D$7,"",,,,"",)*IF($H56="",1,$H56))</f>
        <v/>
      </c>
      <c r="V56" s="7" t="str">
        <f>IF($A56="","",[2]!B_CALC_PRICE($A56,$V$1,IF(情景分析!$D$6=1,$J56,IF(情景分析!$D$6=2,$E56,IF(情景分析!$D$6=4,IF($C56="银行间",$J56,$L56),$G56)))+V$2/100,情景分析!$D$7,"",,,,"",)*IF($H56="",1,$H56))</f>
        <v/>
      </c>
      <c r="W56" s="7" t="str">
        <f>IF($A56="","",[2]!B_CALC_PRICE($A56,$V$1,IF(情景分析!$D$6=1,$J56,IF(情景分析!$D$6=2,$E56,IF(情景分析!$D$6=4,IF($C56="银行间",$J56,$L56),$G56)))+W$2/100,情景分析!$D$7,"",,,,"",)*IF($H56="",1,$H56))</f>
        <v/>
      </c>
      <c r="X56" s="7" t="str">
        <f>IF($A56="","",[2]!B_CALC_PRICE($A56,$V$1,IF(情景分析!$D$6=1,$J56,IF(情景分析!$D$6=2,$E56,IF(情景分析!$D$6=4,IF($C56="银行间",$J56,$L56),$G56)))+X$2/100,情景分析!$D$7,"",,,,"",)*IF($H56="",1,$H56))</f>
        <v/>
      </c>
      <c r="Y56" s="7" t="str">
        <f>IF($A56="","",[2]!B_CALC_PRICE($A56,$V$1,IF(情景分析!$D$6=1,$J56,IF(情景分析!$D$6=2,$E56,IF(情景分析!$D$6=4,IF($C56="银行间",$J56,$L56),$G56)))+Y$2/100,情景分析!$D$7,"",,,,"",)*IF($H56="",1,$H56))</f>
        <v/>
      </c>
      <c r="Z56" s="7" t="str">
        <f>IF($A56="","",[2]!B_CALC_PRICE($A56,$V$1,IF(情景分析!$D$6=1,$J56,IF(情景分析!$D$6=2,$E56,IF(情景分析!$D$6=4,IF($C56="银行间",$J56,$L56),$G56)))+Z$2/100,情景分析!$D$7,"",,,,"",)*IF($H56="",1,$H56))</f>
        <v/>
      </c>
      <c r="AA56" s="7" t="str">
        <f>IF($A56="","",[2]!B_CALC_PRICE($A56,$V$1,IF(情景分析!$D$6=1,$J56,IF(情景分析!$D$6=2,$E56,IF(情景分析!$D$6=4,IF($C56="银行间",$J56,$L56),$G56)))+AA$2/100,情景分析!$D$7,"",,,,"",)*IF($H56="",1,$H56))</f>
        <v/>
      </c>
      <c r="AB56" s="7" t="str">
        <f>IF($A56="","",[2]!B_CALC_PRICE($A56,$V$1,IF(情景分析!$D$6=1,$J56,IF(情景分析!$D$6=2,$E56,IF(情景分析!$D$6=4,IF($C56="银行间",$J56,$L56),$G56)))+AB$2/100,情景分析!$D$7,"",,,,"",)*IF($H56="",1,$H56))</f>
        <v/>
      </c>
      <c r="AC56" s="7" t="str">
        <f>IF($A56="","",[2]!B_CALC_PRICE($A56,$AC$1,IF(情景分析!$D$6=1,$J56,IF(情景分析!$D$6=2,$E56,IF(情景分析!$D$6=4,IF($C56="银行间",$J56,$L56),$G56)))+AC$2/100,情景分析!$D$7,"",,,,"",)*IF($H56="",1,$H56))</f>
        <v/>
      </c>
      <c r="AD56" s="7" t="str">
        <f>IF($A56="","",[2]!B_CALC_PRICE($A56,$AC$1,IF(情景分析!$D$6=1,$J56,IF(情景分析!$D$6=2,$E56,IF(情景分析!$D$6=4,IF($C56="银行间",$J56,$L56),$G56)))+AD$2/100,情景分析!$D$7,"",,,,"",)*IF($H56="",1,$H56))</f>
        <v/>
      </c>
      <c r="AE56" s="7" t="str">
        <f>IF($A56="","",[2]!B_CALC_PRICE($A56,$AC$1,IF(情景分析!$D$6=1,$J56,IF(情景分析!$D$6=2,$E56,IF(情景分析!$D$6=4,IF($C56="银行间",$J56,$L56),$G56)))+AE$2/100,情景分析!$D$7,"",,,,"",)*IF($H56="",1,$H56))</f>
        <v/>
      </c>
      <c r="AF56" s="7" t="str">
        <f>IF($A56="","",[2]!B_CALC_PRICE($A56,$AC$1,IF(情景分析!$D$6=1,$J56,IF(情景分析!$D$6=2,$E56,IF(情景分析!$D$6=4,IF($C56="银行间",$J56,$L56),$G56)))+AF$2/100,情景分析!$D$7,"",,,,"",)*IF($H56="",1,$H56))</f>
        <v/>
      </c>
      <c r="AG56" s="7" t="str">
        <f>IF($A56="","",[2]!B_CALC_PRICE($A56,$AC$1,IF(情景分析!$D$6=1,$J56,IF(情景分析!$D$6=2,$E56,IF(情景分析!$D$6=4,IF($C56="银行间",$J56,$L56),$G56)))+AG$2/100,情景分析!$D$7,"",,,,"",)*IF($H56="",1,$H56))</f>
        <v/>
      </c>
      <c r="AH56" s="7" t="str">
        <f>IF($A56="","",[2]!B_CALC_PRICE($A56,$AC$1,IF(情景分析!$D$6=1,$J56,IF(情景分析!$D$6=2,$E56,IF(情景分析!$D$6=4,IF($C56="银行间",$J56,$L56),$G56)))+AH$2/100,情景分析!$D$7,"",,,,"",)*IF($H56="",1,$H56))</f>
        <v/>
      </c>
      <c r="AI56" s="7" t="str">
        <f>IF($A56="","",[2]!B_CALC_PRICE($A56,$AC$1,IF(情景分析!$D$6=1,$J56,IF(情景分析!$D$6=2,$E56,IF(情景分析!$D$6=4,IF($C56="银行间",$J56,$L56),$G56)))+AI$2/100,情景分析!$D$7,"",,,,"",)*IF($H56="",1,$H56))</f>
        <v/>
      </c>
      <c r="AJ56" s="7" t="str">
        <f>IF($A56="","",[2]!B_CALC_PRICE($A56,$AJ$1,IF(情景分析!$D$6=1,$J56,IF(情景分析!$D$6=2,$E56,IF(情景分析!$D$6=4,IF($C56="银行间",$J56,$L56),$G56)))+AJ$2/100,情景分析!$D$7,"",,,,"",)*IF($H56="",1,$H56))</f>
        <v/>
      </c>
      <c r="AK56" s="7" t="str">
        <f>IF($A56="","",[2]!B_CALC_PRICE($A56,$AJ$1,IF(情景分析!$D$6=1,$J56,IF(情景分析!$D$6=2,$E56,IF(情景分析!$D$6=4,IF($C56="银行间",$J56,$L56),$G56)))+AK$2/100,情景分析!$D$7,"",,,,"",)*IF($H56="",1,$H56))</f>
        <v/>
      </c>
      <c r="AL56" s="7" t="str">
        <f>IF($A56="","",[2]!B_CALC_PRICE($A56,$AJ$1,IF(情景分析!$D$6=1,$J56,IF(情景分析!$D$6=2,$E56,IF(情景分析!$D$6=4,IF($C56="银行间",$J56,$L56),$G56)))+AL$2/100,情景分析!$D$7,"",,,,"",)*IF($H56="",1,$H56))</f>
        <v/>
      </c>
      <c r="AM56" s="7" t="str">
        <f>IF($A56="","",[2]!B_CALC_PRICE($A56,$AJ$1,IF(情景分析!$D$6=1,$J56,IF(情景分析!$D$6=2,$E56,IF(情景分析!$D$6=4,IF($C56="银行间",$J56,$L56),$G56)))+AM$2/100,情景分析!$D$7,"",,,,"",)*IF($H56="",1,$H56))</f>
        <v/>
      </c>
      <c r="AN56" s="7" t="str">
        <f>IF($A56="","",[2]!B_CALC_PRICE($A56,$AJ$1,IF(情景分析!$D$6=1,$J56,IF(情景分析!$D$6=2,$E56,IF(情景分析!$D$6=4,IF($C56="银行间",$J56,$L56),$G56)))+AN$2/100,情景分析!$D$7,"",,,,"",)*IF($H56="",1,$H56))</f>
        <v/>
      </c>
      <c r="AO56" s="7" t="str">
        <f>IF($A56="","",[2]!B_CALC_PRICE($A56,$AJ$1,IF(情景分析!$D$6=1,$J56,IF(情景分析!$D$6=2,$E56,IF(情景分析!$D$6=4,IF($C56="银行间",$J56,$L56),$G56)))+AO$2/100,情景分析!$D$7,"",,,,"",)*IF($H56="",1,$H56))</f>
        <v/>
      </c>
      <c r="AP56" s="7" t="str">
        <f>IF($A56="","",[2]!B_CALC_PRICE($A56,$AJ$1,IF(情景分析!$D$6=1,$J56,IF(情景分析!$D$6=2,$E56,IF(情景分析!$D$6=4,IF($C56="银行间",$J56,$L56),$G56)))+AP$2/100,情景分析!$D$7,"",,,,"",)*IF($H56="",1,$H56))</f>
        <v/>
      </c>
      <c r="AQ56" s="7" t="str">
        <f>IF($A56="","",[2]!B_CALC_PRICE($A56,$AQ$1,IF(情景分析!$D$6=1,$J56,IF(情景分析!$D$6=2,$E56,IF(情景分析!$D$6=4,IF($C56="银行间",$J56,$L56),$G56)))+AQ$2/100,情景分析!$D$7,"",,,,"",)*IF($H56="",1,$H56))</f>
        <v/>
      </c>
      <c r="AR56" s="7" t="str">
        <f>IF($A56="","",[2]!B_CALC_PRICE($A56,$AQ$1,IF(情景分析!$D$6=1,$J56,IF(情景分析!$D$6=2,$E56,IF(情景分析!$D$6=4,IF($C56="银行间",$J56,$L56),$G56)))+AR$2/100,情景分析!$D$7,"",,,,"",)*IF($H56="",1,$H56))</f>
        <v/>
      </c>
      <c r="AS56" s="7" t="str">
        <f>IF($A56="","",[2]!B_CALC_PRICE($A56,$AQ$1,IF(情景分析!$D$6=1,$J56,IF(情景分析!$D$6=2,$E56,IF(情景分析!$D$6=4,IF($C56="银行间",$J56,$L56),$G56)))+AS$2/100,情景分析!$D$7,"",,,,"",)*IF($H56="",1,$H56))</f>
        <v/>
      </c>
      <c r="AT56" s="7" t="str">
        <f>IF($A56="","",[2]!B_CALC_PRICE($A56,$AQ$1,IF(情景分析!$D$6=1,$J56,IF(情景分析!$D$6=2,$E56,IF(情景分析!$D$6=4,IF($C56="银行间",$J56,$L56),$G56)))+AT$2/100,情景分析!$D$7,"",,,,"",)*IF($H56="",1,$H56))</f>
        <v/>
      </c>
      <c r="AU56" s="7" t="str">
        <f>IF($A56="","",[2]!B_CALC_PRICE($A56,$AQ$1,IF(情景分析!$D$6=1,$J56,IF(情景分析!$D$6=2,$E56,IF(情景分析!$D$6=4,IF($C56="银行间",$J56,$L56),$G56)))+AU$2/100,情景分析!$D$7,"",,,,"",)*IF($H56="",1,$H56))</f>
        <v/>
      </c>
      <c r="AV56" s="7" t="str">
        <f>IF($A56="","",[2]!B_CALC_PRICE($A56,$AQ$1,IF(情景分析!$D$6=1,$J56,IF(情景分析!$D$6=2,$E56,IF(情景分析!$D$6=4,IF($C56="银行间",$J56,$L56),$G56)))+AV$2/100,情景分析!$D$7,"",,,,"",)*IF($H56="",1,$H56))</f>
        <v/>
      </c>
      <c r="AW56" s="7" t="str">
        <f>IF($A56="","",[2]!B_CALC_PRICE($A56,$AQ$1,IF(情景分析!$D$6=1,$J56,IF(情景分析!$D$6=2,$E56,IF(情景分析!$D$6=4,IF($C56="银行间",$J56,$L56),$G56)))+AW$2/100,情景分析!$D$7,"",,,,"",)*IF($H56="",1,$H56))</f>
        <v/>
      </c>
    </row>
    <row r="57" spans="1:49" x14ac:dyDescent="0.15">
      <c r="A57" s="20"/>
      <c r="B57" s="7" t="str">
        <f>IF(A57="","",[2]!b_info_name(A57))</f>
        <v/>
      </c>
      <c r="C57" s="7" t="str">
        <f>[2]!b_info_listedmkt(A57)</f>
        <v>#N/A</v>
      </c>
      <c r="D57" s="7" t="str">
        <f>IFERROR(IF(A57="","", [2]!b_dq_avgprice(A57, 情景分析!$D$5, 情景分析!$D$7) * IF($H57="",1,$H57)),0)</f>
        <v/>
      </c>
      <c r="E57" s="7" t="str">
        <f>IF(A57="","", N([2]!b_dq_avgprice(A57,情景分析!$D$5,3)))</f>
        <v/>
      </c>
      <c r="F57" s="29" t="str">
        <f>IF($G57 = "",
"",
IFERROR(
[2]!b_calc_pv(A57, 情景分析!$D$5,$G57, "1", 情景分析!$D$7),
[2]!b_calc_pv(A57, 情景分析!$D$5,$G57, "2", 情景分析!$D$7)
)
)</f>
        <v/>
      </c>
      <c r="G57" s="22"/>
      <c r="H57" s="21"/>
      <c r="I57" s="7" t="str">
        <f>IF(A57="","",IF(情景分析!$D$7=1,[2]!b_anal_net_cnbd(A57,情景分析!$D$5,1),[2]!b_anal_dirty_cnbd(A57,情景分析!$D$5,1))*IF($H57="",1,$H57))</f>
        <v/>
      </c>
      <c r="J57" s="7" t="str">
        <f>IF(A57="","",[2]!b_anal_yield_cnbd(A57,情景分析!$D$5,1))</f>
        <v/>
      </c>
      <c r="K57" s="29" t="str">
        <f>IF(A57="","",IF(情景分析!$D$7=1,[2]!b_anal_net_csi1(A57,情景分析!$D$5,1),[2]!b_anal_dirty_csi1(A57,情景分析!$D$5,1))*IF($H57="",1,$H57))</f>
        <v/>
      </c>
      <c r="L57" s="29" t="str">
        <f>IF(A57="","",[2]!b_anal_yield_csi1(A57,情景分析!$D$5,1))</f>
        <v/>
      </c>
      <c r="M57" s="29" t="str">
        <f t="shared" si="4"/>
        <v/>
      </c>
      <c r="N57" s="29" t="str">
        <f t="shared" si="5"/>
        <v/>
      </c>
      <c r="O57" s="7" t="str">
        <f>IF($A57="","",[2]!B_CALC_PRICE($A57,$O$1,IF(情景分析!$D$6=1,$J57,IF(情景分析!$D$6=2,$E57,IF(情景分析!$D$6=4,IF($C57="银行间",$J57,$L57),$G57)))+O$2/100,情景分析!$D$7,"",,,,"",)*IF($H57="",1,$H57))</f>
        <v/>
      </c>
      <c r="P57" s="7" t="str">
        <f>IF($A57="","",[2]!B_CALC_PRICE($A57,$O$1,IF(情景分析!$D$6=1,$J57,IF(情景分析!$D$6=2,$E57,IF(情景分析!$D$6=4,IF($C57="银行间",$J57,$L57),$G57)))+P$2/100,情景分析!$D$7,"",,,,"",)*IF($H57="",1,$H57))</f>
        <v/>
      </c>
      <c r="Q57" s="7" t="str">
        <f>IF($A57="","",[2]!B_CALC_PRICE($A57,$O$1,IF(情景分析!$D$6=1,$J57,IF(情景分析!$D$6=2,$E57,IF(情景分析!$D$6=4,IF($C57="银行间",$J57,$L57),$G57)))+Q$2/100,情景分析!$D$7,"",,,,"",)*IF($H57="",1,$H57))</f>
        <v/>
      </c>
      <c r="R57" s="7" t="str">
        <f>IF($A57="","",[2]!B_CALC_PRICE($A57,$O$1,IF(情景分析!$D$6=1,$J57,IF(情景分析!$D$6=2,$E57,IF(情景分析!$D$6=4,IF($C57="银行间",$J57,$L57),$G57)))+R$2/100,情景分析!$D$7,"",,,,"",)*IF($H57="",1,$H57))</f>
        <v/>
      </c>
      <c r="S57" s="7" t="str">
        <f>IF($A57="","",[2]!B_CALC_PRICE($A57,$O$1,IF(情景分析!$D$6=1,$J57,IF(情景分析!$D$6=2,$E57,IF(情景分析!$D$6=4,IF($C57="银行间",$J57,$L57),$G57)))+S$2/100,情景分析!$D$7,"",,,,"",)*IF($H57="",1,$H57))</f>
        <v/>
      </c>
      <c r="T57" s="7" t="str">
        <f>IF($A57="","",[2]!B_CALC_PRICE($A57,$O$1,IF(情景分析!$D$6=1,$J57,IF(情景分析!$D$6=2,$E57,IF(情景分析!$D$6=4,IF($C57="银行间",$J57,$L57),$G57)))+T$2/100,情景分析!$D$7,"",,,,"",)*IF($H57="",1,$H57))</f>
        <v/>
      </c>
      <c r="U57" s="7" t="str">
        <f>IF($A57="","",[2]!B_CALC_PRICE($A57,$O$1,IF(情景分析!$D$6=1,$J57,IF(情景分析!$D$6=2,$E57,IF(情景分析!$D$6=4,IF($C57="银行间",$J57,$L57),$G57)))+U$2/100,情景分析!$D$7,"",,,,"",)*IF($H57="",1,$H57))</f>
        <v/>
      </c>
      <c r="V57" s="7" t="str">
        <f>IF($A57="","",[2]!B_CALC_PRICE($A57,$V$1,IF(情景分析!$D$6=1,$J57,IF(情景分析!$D$6=2,$E57,IF(情景分析!$D$6=4,IF($C57="银行间",$J57,$L57),$G57)))+V$2/100,情景分析!$D$7,"",,,,"",)*IF($H57="",1,$H57))</f>
        <v/>
      </c>
      <c r="W57" s="7" t="str">
        <f>IF($A57="","",[2]!B_CALC_PRICE($A57,$V$1,IF(情景分析!$D$6=1,$J57,IF(情景分析!$D$6=2,$E57,IF(情景分析!$D$6=4,IF($C57="银行间",$J57,$L57),$G57)))+W$2/100,情景分析!$D$7,"",,,,"",)*IF($H57="",1,$H57))</f>
        <v/>
      </c>
      <c r="X57" s="7" t="str">
        <f>IF($A57="","",[2]!B_CALC_PRICE($A57,$V$1,IF(情景分析!$D$6=1,$J57,IF(情景分析!$D$6=2,$E57,IF(情景分析!$D$6=4,IF($C57="银行间",$J57,$L57),$G57)))+X$2/100,情景分析!$D$7,"",,,,"",)*IF($H57="",1,$H57))</f>
        <v/>
      </c>
      <c r="Y57" s="7" t="str">
        <f>IF($A57="","",[2]!B_CALC_PRICE($A57,$V$1,IF(情景分析!$D$6=1,$J57,IF(情景分析!$D$6=2,$E57,IF(情景分析!$D$6=4,IF($C57="银行间",$J57,$L57),$G57)))+Y$2/100,情景分析!$D$7,"",,,,"",)*IF($H57="",1,$H57))</f>
        <v/>
      </c>
      <c r="Z57" s="7" t="str">
        <f>IF($A57="","",[2]!B_CALC_PRICE($A57,$V$1,IF(情景分析!$D$6=1,$J57,IF(情景分析!$D$6=2,$E57,IF(情景分析!$D$6=4,IF($C57="银行间",$J57,$L57),$G57)))+Z$2/100,情景分析!$D$7,"",,,,"",)*IF($H57="",1,$H57))</f>
        <v/>
      </c>
      <c r="AA57" s="7" t="str">
        <f>IF($A57="","",[2]!B_CALC_PRICE($A57,$V$1,IF(情景分析!$D$6=1,$J57,IF(情景分析!$D$6=2,$E57,IF(情景分析!$D$6=4,IF($C57="银行间",$J57,$L57),$G57)))+AA$2/100,情景分析!$D$7,"",,,,"",)*IF($H57="",1,$H57))</f>
        <v/>
      </c>
      <c r="AB57" s="7" t="str">
        <f>IF($A57="","",[2]!B_CALC_PRICE($A57,$V$1,IF(情景分析!$D$6=1,$J57,IF(情景分析!$D$6=2,$E57,IF(情景分析!$D$6=4,IF($C57="银行间",$J57,$L57),$G57)))+AB$2/100,情景分析!$D$7,"",,,,"",)*IF($H57="",1,$H57))</f>
        <v/>
      </c>
      <c r="AC57" s="7" t="str">
        <f>IF($A57="","",[2]!B_CALC_PRICE($A57,$AC$1,IF(情景分析!$D$6=1,$J57,IF(情景分析!$D$6=2,$E57,IF(情景分析!$D$6=4,IF($C57="银行间",$J57,$L57),$G57)))+AC$2/100,情景分析!$D$7,"",,,,"",)*IF($H57="",1,$H57))</f>
        <v/>
      </c>
      <c r="AD57" s="7" t="str">
        <f>IF($A57="","",[2]!B_CALC_PRICE($A57,$AC$1,IF(情景分析!$D$6=1,$J57,IF(情景分析!$D$6=2,$E57,IF(情景分析!$D$6=4,IF($C57="银行间",$J57,$L57),$G57)))+AD$2/100,情景分析!$D$7,"",,,,"",)*IF($H57="",1,$H57))</f>
        <v/>
      </c>
      <c r="AE57" s="7" t="str">
        <f>IF($A57="","",[2]!B_CALC_PRICE($A57,$AC$1,IF(情景分析!$D$6=1,$J57,IF(情景分析!$D$6=2,$E57,IF(情景分析!$D$6=4,IF($C57="银行间",$J57,$L57),$G57)))+AE$2/100,情景分析!$D$7,"",,,,"",)*IF($H57="",1,$H57))</f>
        <v/>
      </c>
      <c r="AF57" s="7" t="str">
        <f>IF($A57="","",[2]!B_CALC_PRICE($A57,$AC$1,IF(情景分析!$D$6=1,$J57,IF(情景分析!$D$6=2,$E57,IF(情景分析!$D$6=4,IF($C57="银行间",$J57,$L57),$G57)))+AF$2/100,情景分析!$D$7,"",,,,"",)*IF($H57="",1,$H57))</f>
        <v/>
      </c>
      <c r="AG57" s="7" t="str">
        <f>IF($A57="","",[2]!B_CALC_PRICE($A57,$AC$1,IF(情景分析!$D$6=1,$J57,IF(情景分析!$D$6=2,$E57,IF(情景分析!$D$6=4,IF($C57="银行间",$J57,$L57),$G57)))+AG$2/100,情景分析!$D$7,"",,,,"",)*IF($H57="",1,$H57))</f>
        <v/>
      </c>
      <c r="AH57" s="7" t="str">
        <f>IF($A57="","",[2]!B_CALC_PRICE($A57,$AC$1,IF(情景分析!$D$6=1,$J57,IF(情景分析!$D$6=2,$E57,IF(情景分析!$D$6=4,IF($C57="银行间",$J57,$L57),$G57)))+AH$2/100,情景分析!$D$7,"",,,,"",)*IF($H57="",1,$H57))</f>
        <v/>
      </c>
      <c r="AI57" s="7" t="str">
        <f>IF($A57="","",[2]!B_CALC_PRICE($A57,$AC$1,IF(情景分析!$D$6=1,$J57,IF(情景分析!$D$6=2,$E57,IF(情景分析!$D$6=4,IF($C57="银行间",$J57,$L57),$G57)))+AI$2/100,情景分析!$D$7,"",,,,"",)*IF($H57="",1,$H57))</f>
        <v/>
      </c>
      <c r="AJ57" s="7" t="str">
        <f>IF($A57="","",[2]!B_CALC_PRICE($A57,$AJ$1,IF(情景分析!$D$6=1,$J57,IF(情景分析!$D$6=2,$E57,IF(情景分析!$D$6=4,IF($C57="银行间",$J57,$L57),$G57)))+AJ$2/100,情景分析!$D$7,"",,,,"",)*IF($H57="",1,$H57))</f>
        <v/>
      </c>
      <c r="AK57" s="7" t="str">
        <f>IF($A57="","",[2]!B_CALC_PRICE($A57,$AJ$1,IF(情景分析!$D$6=1,$J57,IF(情景分析!$D$6=2,$E57,IF(情景分析!$D$6=4,IF($C57="银行间",$J57,$L57),$G57)))+AK$2/100,情景分析!$D$7,"",,,,"",)*IF($H57="",1,$H57))</f>
        <v/>
      </c>
      <c r="AL57" s="7" t="str">
        <f>IF($A57="","",[2]!B_CALC_PRICE($A57,$AJ$1,IF(情景分析!$D$6=1,$J57,IF(情景分析!$D$6=2,$E57,IF(情景分析!$D$6=4,IF($C57="银行间",$J57,$L57),$G57)))+AL$2/100,情景分析!$D$7,"",,,,"",)*IF($H57="",1,$H57))</f>
        <v/>
      </c>
      <c r="AM57" s="7" t="str">
        <f>IF($A57="","",[2]!B_CALC_PRICE($A57,$AJ$1,IF(情景分析!$D$6=1,$J57,IF(情景分析!$D$6=2,$E57,IF(情景分析!$D$6=4,IF($C57="银行间",$J57,$L57),$G57)))+AM$2/100,情景分析!$D$7,"",,,,"",)*IF($H57="",1,$H57))</f>
        <v/>
      </c>
      <c r="AN57" s="7" t="str">
        <f>IF($A57="","",[2]!B_CALC_PRICE($A57,$AJ$1,IF(情景分析!$D$6=1,$J57,IF(情景分析!$D$6=2,$E57,IF(情景分析!$D$6=4,IF($C57="银行间",$J57,$L57),$G57)))+AN$2/100,情景分析!$D$7,"",,,,"",)*IF($H57="",1,$H57))</f>
        <v/>
      </c>
      <c r="AO57" s="7" t="str">
        <f>IF($A57="","",[2]!B_CALC_PRICE($A57,$AJ$1,IF(情景分析!$D$6=1,$J57,IF(情景分析!$D$6=2,$E57,IF(情景分析!$D$6=4,IF($C57="银行间",$J57,$L57),$G57)))+AO$2/100,情景分析!$D$7,"",,,,"",)*IF($H57="",1,$H57))</f>
        <v/>
      </c>
      <c r="AP57" s="7" t="str">
        <f>IF($A57="","",[2]!B_CALC_PRICE($A57,$AJ$1,IF(情景分析!$D$6=1,$J57,IF(情景分析!$D$6=2,$E57,IF(情景分析!$D$6=4,IF($C57="银行间",$J57,$L57),$G57)))+AP$2/100,情景分析!$D$7,"",,,,"",)*IF($H57="",1,$H57))</f>
        <v/>
      </c>
      <c r="AQ57" s="7" t="str">
        <f>IF($A57="","",[2]!B_CALC_PRICE($A57,$AQ$1,IF(情景分析!$D$6=1,$J57,IF(情景分析!$D$6=2,$E57,IF(情景分析!$D$6=4,IF($C57="银行间",$J57,$L57),$G57)))+AQ$2/100,情景分析!$D$7,"",,,,"",)*IF($H57="",1,$H57))</f>
        <v/>
      </c>
      <c r="AR57" s="7" t="str">
        <f>IF($A57="","",[2]!B_CALC_PRICE($A57,$AQ$1,IF(情景分析!$D$6=1,$J57,IF(情景分析!$D$6=2,$E57,IF(情景分析!$D$6=4,IF($C57="银行间",$J57,$L57),$G57)))+AR$2/100,情景分析!$D$7,"",,,,"",)*IF($H57="",1,$H57))</f>
        <v/>
      </c>
      <c r="AS57" s="7" t="str">
        <f>IF($A57="","",[2]!B_CALC_PRICE($A57,$AQ$1,IF(情景分析!$D$6=1,$J57,IF(情景分析!$D$6=2,$E57,IF(情景分析!$D$6=4,IF($C57="银行间",$J57,$L57),$G57)))+AS$2/100,情景分析!$D$7,"",,,,"",)*IF($H57="",1,$H57))</f>
        <v/>
      </c>
      <c r="AT57" s="7" t="str">
        <f>IF($A57="","",[2]!B_CALC_PRICE($A57,$AQ$1,IF(情景分析!$D$6=1,$J57,IF(情景分析!$D$6=2,$E57,IF(情景分析!$D$6=4,IF($C57="银行间",$J57,$L57),$G57)))+AT$2/100,情景分析!$D$7,"",,,,"",)*IF($H57="",1,$H57))</f>
        <v/>
      </c>
      <c r="AU57" s="7" t="str">
        <f>IF($A57="","",[2]!B_CALC_PRICE($A57,$AQ$1,IF(情景分析!$D$6=1,$J57,IF(情景分析!$D$6=2,$E57,IF(情景分析!$D$6=4,IF($C57="银行间",$J57,$L57),$G57)))+AU$2/100,情景分析!$D$7,"",,,,"",)*IF($H57="",1,$H57))</f>
        <v/>
      </c>
      <c r="AV57" s="7" t="str">
        <f>IF($A57="","",[2]!B_CALC_PRICE($A57,$AQ$1,IF(情景分析!$D$6=1,$J57,IF(情景分析!$D$6=2,$E57,IF(情景分析!$D$6=4,IF($C57="银行间",$J57,$L57),$G57)))+AV$2/100,情景分析!$D$7,"",,,,"",)*IF($H57="",1,$H57))</f>
        <v/>
      </c>
      <c r="AW57" s="7" t="str">
        <f>IF($A57="","",[2]!B_CALC_PRICE($A57,$AQ$1,IF(情景分析!$D$6=1,$J57,IF(情景分析!$D$6=2,$E57,IF(情景分析!$D$6=4,IF($C57="银行间",$J57,$L57),$G57)))+AW$2/100,情景分析!$D$7,"",,,,"",)*IF($H57="",1,$H57))</f>
        <v/>
      </c>
    </row>
    <row r="58" spans="1:49" x14ac:dyDescent="0.15">
      <c r="A58" s="20"/>
      <c r="B58" s="7" t="str">
        <f>IF(A58="","",[2]!b_info_name(A58))</f>
        <v/>
      </c>
      <c r="C58" s="7" t="str">
        <f>[2]!b_info_listedmkt(A58)</f>
        <v>#N/A</v>
      </c>
      <c r="D58" s="7" t="str">
        <f>IFERROR(IF(A58="","", [2]!b_dq_avgprice(A58, 情景分析!$D$5, 情景分析!$D$7) * IF($H58="",1,$H58)),0)</f>
        <v/>
      </c>
      <c r="E58" s="7" t="str">
        <f>IF(A58="","", N([2]!b_dq_avgprice(A58,情景分析!$D$5,3)))</f>
        <v/>
      </c>
      <c r="F58" s="29" t="str">
        <f>IF($G58 = "",
"",
IFERROR(
[2]!b_calc_pv(A58, 情景分析!$D$5,$G58, "1", 情景分析!$D$7),
[2]!b_calc_pv(A58, 情景分析!$D$5,$G58, "2", 情景分析!$D$7)
)
)</f>
        <v/>
      </c>
      <c r="G58" s="22"/>
      <c r="H58" s="21"/>
      <c r="I58" s="7" t="str">
        <f>IF(A58="","",IF(情景分析!$D$7=1,[2]!b_anal_net_cnbd(A58,情景分析!$D$5,1),[2]!b_anal_dirty_cnbd(A58,情景分析!$D$5,1))*IF($H58="",1,$H58))</f>
        <v/>
      </c>
      <c r="J58" s="7" t="str">
        <f>IF(A58="","",[2]!b_anal_yield_cnbd(A58,情景分析!$D$5,1))</f>
        <v/>
      </c>
      <c r="K58" s="29" t="str">
        <f>IF(A58="","",IF(情景分析!$D$7=1,[2]!b_anal_net_csi1(A58,情景分析!$D$5,1),[2]!b_anal_dirty_csi1(A58,情景分析!$D$5,1))*IF($H58="",1,$H58))</f>
        <v/>
      </c>
      <c r="L58" s="29" t="str">
        <f>IF(A58="","",[2]!b_anal_yield_csi1(A58,情景分析!$D$5,1))</f>
        <v/>
      </c>
      <c r="M58" s="29" t="str">
        <f t="shared" si="4"/>
        <v/>
      </c>
      <c r="N58" s="29" t="str">
        <f t="shared" si="5"/>
        <v/>
      </c>
      <c r="O58" s="7" t="str">
        <f>IF($A58="","",[2]!B_CALC_PRICE($A58,$O$1,IF(情景分析!$D$6=1,$J58,IF(情景分析!$D$6=2,$E58,IF(情景分析!$D$6=4,IF($C58="银行间",$J58,$L58),$G58)))+O$2/100,情景分析!$D$7,"",,,,"",)*IF($H58="",1,$H58))</f>
        <v/>
      </c>
      <c r="P58" s="7" t="str">
        <f>IF($A58="","",[2]!B_CALC_PRICE($A58,$O$1,IF(情景分析!$D$6=1,$J58,IF(情景分析!$D$6=2,$E58,IF(情景分析!$D$6=4,IF($C58="银行间",$J58,$L58),$G58)))+P$2/100,情景分析!$D$7,"",,,,"",)*IF($H58="",1,$H58))</f>
        <v/>
      </c>
      <c r="Q58" s="7" t="str">
        <f>IF($A58="","",[2]!B_CALC_PRICE($A58,$O$1,IF(情景分析!$D$6=1,$J58,IF(情景分析!$D$6=2,$E58,IF(情景分析!$D$6=4,IF($C58="银行间",$J58,$L58),$G58)))+Q$2/100,情景分析!$D$7,"",,,,"",)*IF($H58="",1,$H58))</f>
        <v/>
      </c>
      <c r="R58" s="7" t="str">
        <f>IF($A58="","",[2]!B_CALC_PRICE($A58,$O$1,IF(情景分析!$D$6=1,$J58,IF(情景分析!$D$6=2,$E58,IF(情景分析!$D$6=4,IF($C58="银行间",$J58,$L58),$G58)))+R$2/100,情景分析!$D$7,"",,,,"",)*IF($H58="",1,$H58))</f>
        <v/>
      </c>
      <c r="S58" s="7" t="str">
        <f>IF($A58="","",[2]!B_CALC_PRICE($A58,$O$1,IF(情景分析!$D$6=1,$J58,IF(情景分析!$D$6=2,$E58,IF(情景分析!$D$6=4,IF($C58="银行间",$J58,$L58),$G58)))+S$2/100,情景分析!$D$7,"",,,,"",)*IF($H58="",1,$H58))</f>
        <v/>
      </c>
      <c r="T58" s="7" t="str">
        <f>IF($A58="","",[2]!B_CALC_PRICE($A58,$O$1,IF(情景分析!$D$6=1,$J58,IF(情景分析!$D$6=2,$E58,IF(情景分析!$D$6=4,IF($C58="银行间",$J58,$L58),$G58)))+T$2/100,情景分析!$D$7,"",,,,"",)*IF($H58="",1,$H58))</f>
        <v/>
      </c>
      <c r="U58" s="7" t="str">
        <f>IF($A58="","",[2]!B_CALC_PRICE($A58,$O$1,IF(情景分析!$D$6=1,$J58,IF(情景分析!$D$6=2,$E58,IF(情景分析!$D$6=4,IF($C58="银行间",$J58,$L58),$G58)))+U$2/100,情景分析!$D$7,"",,,,"",)*IF($H58="",1,$H58))</f>
        <v/>
      </c>
      <c r="V58" s="7" t="str">
        <f>IF($A58="","",[2]!B_CALC_PRICE($A58,$V$1,IF(情景分析!$D$6=1,$J58,IF(情景分析!$D$6=2,$E58,IF(情景分析!$D$6=4,IF($C58="银行间",$J58,$L58),$G58)))+V$2/100,情景分析!$D$7,"",,,,"",)*IF($H58="",1,$H58))</f>
        <v/>
      </c>
      <c r="W58" s="7" t="str">
        <f>IF($A58="","",[2]!B_CALC_PRICE($A58,$V$1,IF(情景分析!$D$6=1,$J58,IF(情景分析!$D$6=2,$E58,IF(情景分析!$D$6=4,IF($C58="银行间",$J58,$L58),$G58)))+W$2/100,情景分析!$D$7,"",,,,"",)*IF($H58="",1,$H58))</f>
        <v/>
      </c>
      <c r="X58" s="7" t="str">
        <f>IF($A58="","",[2]!B_CALC_PRICE($A58,$V$1,IF(情景分析!$D$6=1,$J58,IF(情景分析!$D$6=2,$E58,IF(情景分析!$D$6=4,IF($C58="银行间",$J58,$L58),$G58)))+X$2/100,情景分析!$D$7,"",,,,"",)*IF($H58="",1,$H58))</f>
        <v/>
      </c>
      <c r="Y58" s="7" t="str">
        <f>IF($A58="","",[2]!B_CALC_PRICE($A58,$V$1,IF(情景分析!$D$6=1,$J58,IF(情景分析!$D$6=2,$E58,IF(情景分析!$D$6=4,IF($C58="银行间",$J58,$L58),$G58)))+Y$2/100,情景分析!$D$7,"",,,,"",)*IF($H58="",1,$H58))</f>
        <v/>
      </c>
      <c r="Z58" s="7" t="str">
        <f>IF($A58="","",[2]!B_CALC_PRICE($A58,$V$1,IF(情景分析!$D$6=1,$J58,IF(情景分析!$D$6=2,$E58,IF(情景分析!$D$6=4,IF($C58="银行间",$J58,$L58),$G58)))+Z$2/100,情景分析!$D$7,"",,,,"",)*IF($H58="",1,$H58))</f>
        <v/>
      </c>
      <c r="AA58" s="7" t="str">
        <f>IF($A58="","",[2]!B_CALC_PRICE($A58,$V$1,IF(情景分析!$D$6=1,$J58,IF(情景分析!$D$6=2,$E58,IF(情景分析!$D$6=4,IF($C58="银行间",$J58,$L58),$G58)))+AA$2/100,情景分析!$D$7,"",,,,"",)*IF($H58="",1,$H58))</f>
        <v/>
      </c>
      <c r="AB58" s="7" t="str">
        <f>IF($A58="","",[2]!B_CALC_PRICE($A58,$V$1,IF(情景分析!$D$6=1,$J58,IF(情景分析!$D$6=2,$E58,IF(情景分析!$D$6=4,IF($C58="银行间",$J58,$L58),$G58)))+AB$2/100,情景分析!$D$7,"",,,,"",)*IF($H58="",1,$H58))</f>
        <v/>
      </c>
      <c r="AC58" s="7" t="str">
        <f>IF($A58="","",[2]!B_CALC_PRICE($A58,$AC$1,IF(情景分析!$D$6=1,$J58,IF(情景分析!$D$6=2,$E58,IF(情景分析!$D$6=4,IF($C58="银行间",$J58,$L58),$G58)))+AC$2/100,情景分析!$D$7,"",,,,"",)*IF($H58="",1,$H58))</f>
        <v/>
      </c>
      <c r="AD58" s="7" t="str">
        <f>IF($A58="","",[2]!B_CALC_PRICE($A58,$AC$1,IF(情景分析!$D$6=1,$J58,IF(情景分析!$D$6=2,$E58,IF(情景分析!$D$6=4,IF($C58="银行间",$J58,$L58),$G58)))+AD$2/100,情景分析!$D$7,"",,,,"",)*IF($H58="",1,$H58))</f>
        <v/>
      </c>
      <c r="AE58" s="7" t="str">
        <f>IF($A58="","",[2]!B_CALC_PRICE($A58,$AC$1,IF(情景分析!$D$6=1,$J58,IF(情景分析!$D$6=2,$E58,IF(情景分析!$D$6=4,IF($C58="银行间",$J58,$L58),$G58)))+AE$2/100,情景分析!$D$7,"",,,,"",)*IF($H58="",1,$H58))</f>
        <v/>
      </c>
      <c r="AF58" s="7" t="str">
        <f>IF($A58="","",[2]!B_CALC_PRICE($A58,$AC$1,IF(情景分析!$D$6=1,$J58,IF(情景分析!$D$6=2,$E58,IF(情景分析!$D$6=4,IF($C58="银行间",$J58,$L58),$G58)))+AF$2/100,情景分析!$D$7,"",,,,"",)*IF($H58="",1,$H58))</f>
        <v/>
      </c>
      <c r="AG58" s="7" t="str">
        <f>IF($A58="","",[2]!B_CALC_PRICE($A58,$AC$1,IF(情景分析!$D$6=1,$J58,IF(情景分析!$D$6=2,$E58,IF(情景分析!$D$6=4,IF($C58="银行间",$J58,$L58),$G58)))+AG$2/100,情景分析!$D$7,"",,,,"",)*IF($H58="",1,$H58))</f>
        <v/>
      </c>
      <c r="AH58" s="7" t="str">
        <f>IF($A58="","",[2]!B_CALC_PRICE($A58,$AC$1,IF(情景分析!$D$6=1,$J58,IF(情景分析!$D$6=2,$E58,IF(情景分析!$D$6=4,IF($C58="银行间",$J58,$L58),$G58)))+AH$2/100,情景分析!$D$7,"",,,,"",)*IF($H58="",1,$H58))</f>
        <v/>
      </c>
      <c r="AI58" s="7" t="str">
        <f>IF($A58="","",[2]!B_CALC_PRICE($A58,$AC$1,IF(情景分析!$D$6=1,$J58,IF(情景分析!$D$6=2,$E58,IF(情景分析!$D$6=4,IF($C58="银行间",$J58,$L58),$G58)))+AI$2/100,情景分析!$D$7,"",,,,"",)*IF($H58="",1,$H58))</f>
        <v/>
      </c>
      <c r="AJ58" s="7" t="str">
        <f>IF($A58="","",[2]!B_CALC_PRICE($A58,$AJ$1,IF(情景分析!$D$6=1,$J58,IF(情景分析!$D$6=2,$E58,IF(情景分析!$D$6=4,IF($C58="银行间",$J58,$L58),$G58)))+AJ$2/100,情景分析!$D$7,"",,,,"",)*IF($H58="",1,$H58))</f>
        <v/>
      </c>
      <c r="AK58" s="7" t="str">
        <f>IF($A58="","",[2]!B_CALC_PRICE($A58,$AJ$1,IF(情景分析!$D$6=1,$J58,IF(情景分析!$D$6=2,$E58,IF(情景分析!$D$6=4,IF($C58="银行间",$J58,$L58),$G58)))+AK$2/100,情景分析!$D$7,"",,,,"",)*IF($H58="",1,$H58))</f>
        <v/>
      </c>
      <c r="AL58" s="7" t="str">
        <f>IF($A58="","",[2]!B_CALC_PRICE($A58,$AJ$1,IF(情景分析!$D$6=1,$J58,IF(情景分析!$D$6=2,$E58,IF(情景分析!$D$6=4,IF($C58="银行间",$J58,$L58),$G58)))+AL$2/100,情景分析!$D$7,"",,,,"",)*IF($H58="",1,$H58))</f>
        <v/>
      </c>
      <c r="AM58" s="7" t="str">
        <f>IF($A58="","",[2]!B_CALC_PRICE($A58,$AJ$1,IF(情景分析!$D$6=1,$J58,IF(情景分析!$D$6=2,$E58,IF(情景分析!$D$6=4,IF($C58="银行间",$J58,$L58),$G58)))+AM$2/100,情景分析!$D$7,"",,,,"",)*IF($H58="",1,$H58))</f>
        <v/>
      </c>
      <c r="AN58" s="7" t="str">
        <f>IF($A58="","",[2]!B_CALC_PRICE($A58,$AJ$1,IF(情景分析!$D$6=1,$J58,IF(情景分析!$D$6=2,$E58,IF(情景分析!$D$6=4,IF($C58="银行间",$J58,$L58),$G58)))+AN$2/100,情景分析!$D$7,"",,,,"",)*IF($H58="",1,$H58))</f>
        <v/>
      </c>
      <c r="AO58" s="7" t="str">
        <f>IF($A58="","",[2]!B_CALC_PRICE($A58,$AJ$1,IF(情景分析!$D$6=1,$J58,IF(情景分析!$D$6=2,$E58,IF(情景分析!$D$6=4,IF($C58="银行间",$J58,$L58),$G58)))+AO$2/100,情景分析!$D$7,"",,,,"",)*IF($H58="",1,$H58))</f>
        <v/>
      </c>
      <c r="AP58" s="7" t="str">
        <f>IF($A58="","",[2]!B_CALC_PRICE($A58,$AJ$1,IF(情景分析!$D$6=1,$J58,IF(情景分析!$D$6=2,$E58,IF(情景分析!$D$6=4,IF($C58="银行间",$J58,$L58),$G58)))+AP$2/100,情景分析!$D$7,"",,,,"",)*IF($H58="",1,$H58))</f>
        <v/>
      </c>
      <c r="AQ58" s="7" t="str">
        <f>IF($A58="","",[2]!B_CALC_PRICE($A58,$AQ$1,IF(情景分析!$D$6=1,$J58,IF(情景分析!$D$6=2,$E58,IF(情景分析!$D$6=4,IF($C58="银行间",$J58,$L58),$G58)))+AQ$2/100,情景分析!$D$7,"",,,,"",)*IF($H58="",1,$H58))</f>
        <v/>
      </c>
      <c r="AR58" s="7" t="str">
        <f>IF($A58="","",[2]!B_CALC_PRICE($A58,$AQ$1,IF(情景分析!$D$6=1,$J58,IF(情景分析!$D$6=2,$E58,IF(情景分析!$D$6=4,IF($C58="银行间",$J58,$L58),$G58)))+AR$2/100,情景分析!$D$7,"",,,,"",)*IF($H58="",1,$H58))</f>
        <v/>
      </c>
      <c r="AS58" s="7" t="str">
        <f>IF($A58="","",[2]!B_CALC_PRICE($A58,$AQ$1,IF(情景分析!$D$6=1,$J58,IF(情景分析!$D$6=2,$E58,IF(情景分析!$D$6=4,IF($C58="银行间",$J58,$L58),$G58)))+AS$2/100,情景分析!$D$7,"",,,,"",)*IF($H58="",1,$H58))</f>
        <v/>
      </c>
      <c r="AT58" s="7" t="str">
        <f>IF($A58="","",[2]!B_CALC_PRICE($A58,$AQ$1,IF(情景分析!$D$6=1,$J58,IF(情景分析!$D$6=2,$E58,IF(情景分析!$D$6=4,IF($C58="银行间",$J58,$L58),$G58)))+AT$2/100,情景分析!$D$7,"",,,,"",)*IF($H58="",1,$H58))</f>
        <v/>
      </c>
      <c r="AU58" s="7" t="str">
        <f>IF($A58="","",[2]!B_CALC_PRICE($A58,$AQ$1,IF(情景分析!$D$6=1,$J58,IF(情景分析!$D$6=2,$E58,IF(情景分析!$D$6=4,IF($C58="银行间",$J58,$L58),$G58)))+AU$2/100,情景分析!$D$7,"",,,,"",)*IF($H58="",1,$H58))</f>
        <v/>
      </c>
      <c r="AV58" s="7" t="str">
        <f>IF($A58="","",[2]!B_CALC_PRICE($A58,$AQ$1,IF(情景分析!$D$6=1,$J58,IF(情景分析!$D$6=2,$E58,IF(情景分析!$D$6=4,IF($C58="银行间",$J58,$L58),$G58)))+AV$2/100,情景分析!$D$7,"",,,,"",)*IF($H58="",1,$H58))</f>
        <v/>
      </c>
      <c r="AW58" s="7" t="str">
        <f>IF($A58="","",[2]!B_CALC_PRICE($A58,$AQ$1,IF(情景分析!$D$6=1,$J58,IF(情景分析!$D$6=2,$E58,IF(情景分析!$D$6=4,IF($C58="银行间",$J58,$L58),$G58)))+AW$2/100,情景分析!$D$7,"",,,,"",)*IF($H58="",1,$H58))</f>
        <v/>
      </c>
    </row>
    <row r="59" spans="1:49" x14ac:dyDescent="0.15">
      <c r="A59" s="20"/>
      <c r="B59" s="7" t="str">
        <f>IF(A59="","",[2]!b_info_name(A59))</f>
        <v/>
      </c>
      <c r="C59" s="7" t="str">
        <f>[2]!b_info_listedmkt(A59)</f>
        <v>#N/A</v>
      </c>
      <c r="D59" s="7" t="str">
        <f>IFERROR(IF(A59="","", [2]!b_dq_avgprice(A59, 情景分析!$D$5, 情景分析!$D$7) * IF($H59="",1,$H59)),0)</f>
        <v/>
      </c>
      <c r="E59" s="7" t="str">
        <f>IF(A59="","", N([2]!b_dq_avgprice(A59,情景分析!$D$5,3)))</f>
        <v/>
      </c>
      <c r="F59" s="29" t="str">
        <f>IF($G59 = "",
"",
IFERROR(
[2]!b_calc_pv(A59, 情景分析!$D$5,$G59, "1", 情景分析!$D$7),
[2]!b_calc_pv(A59, 情景分析!$D$5,$G59, "2", 情景分析!$D$7)
)
)</f>
        <v/>
      </c>
      <c r="G59" s="22"/>
      <c r="H59" s="21"/>
      <c r="I59" s="7" t="str">
        <f>IF(A59="","",IF(情景分析!$D$7=1,[2]!b_anal_net_cnbd(A59,情景分析!$D$5,1),[2]!b_anal_dirty_cnbd(A59,情景分析!$D$5,1))*IF($H59="",1,$H59))</f>
        <v/>
      </c>
      <c r="J59" s="7" t="str">
        <f>IF(A59="","",[2]!b_anal_yield_cnbd(A59,情景分析!$D$5,1))</f>
        <v/>
      </c>
      <c r="K59" s="29" t="str">
        <f>IF(A59="","",IF(情景分析!$D$7=1,[2]!b_anal_net_csi1(A59,情景分析!$D$5,1),[2]!b_anal_dirty_csi1(A59,情景分析!$D$5,1))*IF($H59="",1,$H59))</f>
        <v/>
      </c>
      <c r="L59" s="29" t="str">
        <f>IF(A59="","",[2]!b_anal_yield_csi1(A59,情景分析!$D$5,1))</f>
        <v/>
      </c>
      <c r="M59" s="29" t="str">
        <f t="shared" si="4"/>
        <v/>
      </c>
      <c r="N59" s="29" t="str">
        <f t="shared" si="5"/>
        <v/>
      </c>
      <c r="O59" s="7" t="str">
        <f>IF($A59="","",[2]!B_CALC_PRICE($A59,$O$1,IF(情景分析!$D$6=1,$J59,IF(情景分析!$D$6=2,$E59,IF(情景分析!$D$6=4,IF($C59="银行间",$J59,$L59),$G59)))+O$2/100,情景分析!$D$7,"",,,,"",)*IF($H59="",1,$H59))</f>
        <v/>
      </c>
      <c r="P59" s="7" t="str">
        <f>IF($A59="","",[2]!B_CALC_PRICE($A59,$O$1,IF(情景分析!$D$6=1,$J59,IF(情景分析!$D$6=2,$E59,IF(情景分析!$D$6=4,IF($C59="银行间",$J59,$L59),$G59)))+P$2/100,情景分析!$D$7,"",,,,"",)*IF($H59="",1,$H59))</f>
        <v/>
      </c>
      <c r="Q59" s="7" t="str">
        <f>IF($A59="","",[2]!B_CALC_PRICE($A59,$O$1,IF(情景分析!$D$6=1,$J59,IF(情景分析!$D$6=2,$E59,IF(情景分析!$D$6=4,IF($C59="银行间",$J59,$L59),$G59)))+Q$2/100,情景分析!$D$7,"",,,,"",)*IF($H59="",1,$H59))</f>
        <v/>
      </c>
      <c r="R59" s="7" t="str">
        <f>IF($A59="","",[2]!B_CALC_PRICE($A59,$O$1,IF(情景分析!$D$6=1,$J59,IF(情景分析!$D$6=2,$E59,IF(情景分析!$D$6=4,IF($C59="银行间",$J59,$L59),$G59)))+R$2/100,情景分析!$D$7,"",,,,"",)*IF($H59="",1,$H59))</f>
        <v/>
      </c>
      <c r="S59" s="7" t="str">
        <f>IF($A59="","",[2]!B_CALC_PRICE($A59,$O$1,IF(情景分析!$D$6=1,$J59,IF(情景分析!$D$6=2,$E59,IF(情景分析!$D$6=4,IF($C59="银行间",$J59,$L59),$G59)))+S$2/100,情景分析!$D$7,"",,,,"",)*IF($H59="",1,$H59))</f>
        <v/>
      </c>
      <c r="T59" s="7" t="str">
        <f>IF($A59="","",[2]!B_CALC_PRICE($A59,$O$1,IF(情景分析!$D$6=1,$J59,IF(情景分析!$D$6=2,$E59,IF(情景分析!$D$6=4,IF($C59="银行间",$J59,$L59),$G59)))+T$2/100,情景分析!$D$7,"",,,,"",)*IF($H59="",1,$H59))</f>
        <v/>
      </c>
      <c r="U59" s="7" t="str">
        <f>IF($A59="","",[2]!B_CALC_PRICE($A59,$O$1,IF(情景分析!$D$6=1,$J59,IF(情景分析!$D$6=2,$E59,IF(情景分析!$D$6=4,IF($C59="银行间",$J59,$L59),$G59)))+U$2/100,情景分析!$D$7,"",,,,"",)*IF($H59="",1,$H59))</f>
        <v/>
      </c>
      <c r="V59" s="7" t="str">
        <f>IF($A59="","",[2]!B_CALC_PRICE($A59,$V$1,IF(情景分析!$D$6=1,$J59,IF(情景分析!$D$6=2,$E59,IF(情景分析!$D$6=4,IF($C59="银行间",$J59,$L59),$G59)))+V$2/100,情景分析!$D$7,"",,,,"",)*IF($H59="",1,$H59))</f>
        <v/>
      </c>
      <c r="W59" s="7" t="str">
        <f>IF($A59="","",[2]!B_CALC_PRICE($A59,$V$1,IF(情景分析!$D$6=1,$J59,IF(情景分析!$D$6=2,$E59,IF(情景分析!$D$6=4,IF($C59="银行间",$J59,$L59),$G59)))+W$2/100,情景分析!$D$7,"",,,,"",)*IF($H59="",1,$H59))</f>
        <v/>
      </c>
      <c r="X59" s="7" t="str">
        <f>IF($A59="","",[2]!B_CALC_PRICE($A59,$V$1,IF(情景分析!$D$6=1,$J59,IF(情景分析!$D$6=2,$E59,IF(情景分析!$D$6=4,IF($C59="银行间",$J59,$L59),$G59)))+X$2/100,情景分析!$D$7,"",,,,"",)*IF($H59="",1,$H59))</f>
        <v/>
      </c>
      <c r="Y59" s="7" t="str">
        <f>IF($A59="","",[2]!B_CALC_PRICE($A59,$V$1,IF(情景分析!$D$6=1,$J59,IF(情景分析!$D$6=2,$E59,IF(情景分析!$D$6=4,IF($C59="银行间",$J59,$L59),$G59)))+Y$2/100,情景分析!$D$7,"",,,,"",)*IF($H59="",1,$H59))</f>
        <v/>
      </c>
      <c r="Z59" s="7" t="str">
        <f>IF($A59="","",[2]!B_CALC_PRICE($A59,$V$1,IF(情景分析!$D$6=1,$J59,IF(情景分析!$D$6=2,$E59,IF(情景分析!$D$6=4,IF($C59="银行间",$J59,$L59),$G59)))+Z$2/100,情景分析!$D$7,"",,,,"",)*IF($H59="",1,$H59))</f>
        <v/>
      </c>
      <c r="AA59" s="7" t="str">
        <f>IF($A59="","",[2]!B_CALC_PRICE($A59,$V$1,IF(情景分析!$D$6=1,$J59,IF(情景分析!$D$6=2,$E59,IF(情景分析!$D$6=4,IF($C59="银行间",$J59,$L59),$G59)))+AA$2/100,情景分析!$D$7,"",,,,"",)*IF($H59="",1,$H59))</f>
        <v/>
      </c>
      <c r="AB59" s="7" t="str">
        <f>IF($A59="","",[2]!B_CALC_PRICE($A59,$V$1,IF(情景分析!$D$6=1,$J59,IF(情景分析!$D$6=2,$E59,IF(情景分析!$D$6=4,IF($C59="银行间",$J59,$L59),$G59)))+AB$2/100,情景分析!$D$7,"",,,,"",)*IF($H59="",1,$H59))</f>
        <v/>
      </c>
      <c r="AC59" s="7" t="str">
        <f>IF($A59="","",[2]!B_CALC_PRICE($A59,$AC$1,IF(情景分析!$D$6=1,$J59,IF(情景分析!$D$6=2,$E59,IF(情景分析!$D$6=4,IF($C59="银行间",$J59,$L59),$G59)))+AC$2/100,情景分析!$D$7,"",,,,"",)*IF($H59="",1,$H59))</f>
        <v/>
      </c>
      <c r="AD59" s="7" t="str">
        <f>IF($A59="","",[2]!B_CALC_PRICE($A59,$AC$1,IF(情景分析!$D$6=1,$J59,IF(情景分析!$D$6=2,$E59,IF(情景分析!$D$6=4,IF($C59="银行间",$J59,$L59),$G59)))+AD$2/100,情景分析!$D$7,"",,,,"",)*IF($H59="",1,$H59))</f>
        <v/>
      </c>
      <c r="AE59" s="7" t="str">
        <f>IF($A59="","",[2]!B_CALC_PRICE($A59,$AC$1,IF(情景分析!$D$6=1,$J59,IF(情景分析!$D$6=2,$E59,IF(情景分析!$D$6=4,IF($C59="银行间",$J59,$L59),$G59)))+AE$2/100,情景分析!$D$7,"",,,,"",)*IF($H59="",1,$H59))</f>
        <v/>
      </c>
      <c r="AF59" s="7" t="str">
        <f>IF($A59="","",[2]!B_CALC_PRICE($A59,$AC$1,IF(情景分析!$D$6=1,$J59,IF(情景分析!$D$6=2,$E59,IF(情景分析!$D$6=4,IF($C59="银行间",$J59,$L59),$G59)))+AF$2/100,情景分析!$D$7,"",,,,"",)*IF($H59="",1,$H59))</f>
        <v/>
      </c>
      <c r="AG59" s="7" t="str">
        <f>IF($A59="","",[2]!B_CALC_PRICE($A59,$AC$1,IF(情景分析!$D$6=1,$J59,IF(情景分析!$D$6=2,$E59,IF(情景分析!$D$6=4,IF($C59="银行间",$J59,$L59),$G59)))+AG$2/100,情景分析!$D$7,"",,,,"",)*IF($H59="",1,$H59))</f>
        <v/>
      </c>
      <c r="AH59" s="7" t="str">
        <f>IF($A59="","",[2]!B_CALC_PRICE($A59,$AC$1,IF(情景分析!$D$6=1,$J59,IF(情景分析!$D$6=2,$E59,IF(情景分析!$D$6=4,IF($C59="银行间",$J59,$L59),$G59)))+AH$2/100,情景分析!$D$7,"",,,,"",)*IF($H59="",1,$H59))</f>
        <v/>
      </c>
      <c r="AI59" s="7" t="str">
        <f>IF($A59="","",[2]!B_CALC_PRICE($A59,$AC$1,IF(情景分析!$D$6=1,$J59,IF(情景分析!$D$6=2,$E59,IF(情景分析!$D$6=4,IF($C59="银行间",$J59,$L59),$G59)))+AI$2/100,情景分析!$D$7,"",,,,"",)*IF($H59="",1,$H59))</f>
        <v/>
      </c>
      <c r="AJ59" s="7" t="str">
        <f>IF($A59="","",[2]!B_CALC_PRICE($A59,$AJ$1,IF(情景分析!$D$6=1,$J59,IF(情景分析!$D$6=2,$E59,IF(情景分析!$D$6=4,IF($C59="银行间",$J59,$L59),$G59)))+AJ$2/100,情景分析!$D$7,"",,,,"",)*IF($H59="",1,$H59))</f>
        <v/>
      </c>
      <c r="AK59" s="7" t="str">
        <f>IF($A59="","",[2]!B_CALC_PRICE($A59,$AJ$1,IF(情景分析!$D$6=1,$J59,IF(情景分析!$D$6=2,$E59,IF(情景分析!$D$6=4,IF($C59="银行间",$J59,$L59),$G59)))+AK$2/100,情景分析!$D$7,"",,,,"",)*IF($H59="",1,$H59))</f>
        <v/>
      </c>
      <c r="AL59" s="7" t="str">
        <f>IF($A59="","",[2]!B_CALC_PRICE($A59,$AJ$1,IF(情景分析!$D$6=1,$J59,IF(情景分析!$D$6=2,$E59,IF(情景分析!$D$6=4,IF($C59="银行间",$J59,$L59),$G59)))+AL$2/100,情景分析!$D$7,"",,,,"",)*IF($H59="",1,$H59))</f>
        <v/>
      </c>
      <c r="AM59" s="7" t="str">
        <f>IF($A59="","",[2]!B_CALC_PRICE($A59,$AJ$1,IF(情景分析!$D$6=1,$J59,IF(情景分析!$D$6=2,$E59,IF(情景分析!$D$6=4,IF($C59="银行间",$J59,$L59),$G59)))+AM$2/100,情景分析!$D$7,"",,,,"",)*IF($H59="",1,$H59))</f>
        <v/>
      </c>
      <c r="AN59" s="7" t="str">
        <f>IF($A59="","",[2]!B_CALC_PRICE($A59,$AJ$1,IF(情景分析!$D$6=1,$J59,IF(情景分析!$D$6=2,$E59,IF(情景分析!$D$6=4,IF($C59="银行间",$J59,$L59),$G59)))+AN$2/100,情景分析!$D$7,"",,,,"",)*IF($H59="",1,$H59))</f>
        <v/>
      </c>
      <c r="AO59" s="7" t="str">
        <f>IF($A59="","",[2]!B_CALC_PRICE($A59,$AJ$1,IF(情景分析!$D$6=1,$J59,IF(情景分析!$D$6=2,$E59,IF(情景分析!$D$6=4,IF($C59="银行间",$J59,$L59),$G59)))+AO$2/100,情景分析!$D$7,"",,,,"",)*IF($H59="",1,$H59))</f>
        <v/>
      </c>
      <c r="AP59" s="7" t="str">
        <f>IF($A59="","",[2]!B_CALC_PRICE($A59,$AJ$1,IF(情景分析!$D$6=1,$J59,IF(情景分析!$D$6=2,$E59,IF(情景分析!$D$6=4,IF($C59="银行间",$J59,$L59),$G59)))+AP$2/100,情景分析!$D$7,"",,,,"",)*IF($H59="",1,$H59))</f>
        <v/>
      </c>
      <c r="AQ59" s="7" t="str">
        <f>IF($A59="","",[2]!B_CALC_PRICE($A59,$AQ$1,IF(情景分析!$D$6=1,$J59,IF(情景分析!$D$6=2,$E59,IF(情景分析!$D$6=4,IF($C59="银行间",$J59,$L59),$G59)))+AQ$2/100,情景分析!$D$7,"",,,,"",)*IF($H59="",1,$H59))</f>
        <v/>
      </c>
      <c r="AR59" s="7" t="str">
        <f>IF($A59="","",[2]!B_CALC_PRICE($A59,$AQ$1,IF(情景分析!$D$6=1,$J59,IF(情景分析!$D$6=2,$E59,IF(情景分析!$D$6=4,IF($C59="银行间",$J59,$L59),$G59)))+AR$2/100,情景分析!$D$7,"",,,,"",)*IF($H59="",1,$H59))</f>
        <v/>
      </c>
      <c r="AS59" s="7" t="str">
        <f>IF($A59="","",[2]!B_CALC_PRICE($A59,$AQ$1,IF(情景分析!$D$6=1,$J59,IF(情景分析!$D$6=2,$E59,IF(情景分析!$D$6=4,IF($C59="银行间",$J59,$L59),$G59)))+AS$2/100,情景分析!$D$7,"",,,,"",)*IF($H59="",1,$H59))</f>
        <v/>
      </c>
      <c r="AT59" s="7" t="str">
        <f>IF($A59="","",[2]!B_CALC_PRICE($A59,$AQ$1,IF(情景分析!$D$6=1,$J59,IF(情景分析!$D$6=2,$E59,IF(情景分析!$D$6=4,IF($C59="银行间",$J59,$L59),$G59)))+AT$2/100,情景分析!$D$7,"",,,,"",)*IF($H59="",1,$H59))</f>
        <v/>
      </c>
      <c r="AU59" s="7" t="str">
        <f>IF($A59="","",[2]!B_CALC_PRICE($A59,$AQ$1,IF(情景分析!$D$6=1,$J59,IF(情景分析!$D$6=2,$E59,IF(情景分析!$D$6=4,IF($C59="银行间",$J59,$L59),$G59)))+AU$2/100,情景分析!$D$7,"",,,,"",)*IF($H59="",1,$H59))</f>
        <v/>
      </c>
      <c r="AV59" s="7" t="str">
        <f>IF($A59="","",[2]!B_CALC_PRICE($A59,$AQ$1,IF(情景分析!$D$6=1,$J59,IF(情景分析!$D$6=2,$E59,IF(情景分析!$D$6=4,IF($C59="银行间",$J59,$L59),$G59)))+AV$2/100,情景分析!$D$7,"",,,,"",)*IF($H59="",1,$H59))</f>
        <v/>
      </c>
      <c r="AW59" s="7" t="str">
        <f>IF($A59="","",[2]!B_CALC_PRICE($A59,$AQ$1,IF(情景分析!$D$6=1,$J59,IF(情景分析!$D$6=2,$E59,IF(情景分析!$D$6=4,IF($C59="银行间",$J59,$L59),$G59)))+AW$2/100,情景分析!$D$7,"",,,,"",)*IF($H59="",1,$H59))</f>
        <v/>
      </c>
    </row>
    <row r="60" spans="1:49" x14ac:dyDescent="0.15">
      <c r="A60" s="20"/>
      <c r="B60" s="7" t="str">
        <f>IF(A60="","",[2]!b_info_name(A60))</f>
        <v/>
      </c>
      <c r="C60" s="7" t="str">
        <f>[2]!b_info_listedmkt(A60)</f>
        <v>#N/A</v>
      </c>
      <c r="D60" s="7" t="str">
        <f>IFERROR(IF(A60="","", [2]!b_dq_avgprice(A60, 情景分析!$D$5, 情景分析!$D$7) * IF($H60="",1,$H60)),0)</f>
        <v/>
      </c>
      <c r="E60" s="7" t="str">
        <f>IF(A60="","", N([2]!b_dq_avgprice(A60,情景分析!$D$5,3)))</f>
        <v/>
      </c>
      <c r="F60" s="29" t="str">
        <f>IF($G60 = "",
"",
IFERROR(
[2]!b_calc_pv(A60, 情景分析!$D$5,$G60, "1", 情景分析!$D$7),
[2]!b_calc_pv(A60, 情景分析!$D$5,$G60, "2", 情景分析!$D$7)
)
)</f>
        <v/>
      </c>
      <c r="G60" s="22"/>
      <c r="H60" s="21"/>
      <c r="I60" s="7" t="str">
        <f>IF(A60="","",IF(情景分析!$D$7=1,[2]!b_anal_net_cnbd(A60,情景分析!$D$5,1),[2]!b_anal_dirty_cnbd(A60,情景分析!$D$5,1))*IF($H60="",1,$H60))</f>
        <v/>
      </c>
      <c r="J60" s="7" t="str">
        <f>IF(A60="","",[2]!b_anal_yield_cnbd(A60,情景分析!$D$5,1))</f>
        <v/>
      </c>
      <c r="K60" s="29" t="str">
        <f>IF(A60="","",IF(情景分析!$D$7=1,[2]!b_anal_net_csi1(A60,情景分析!$D$5,1),[2]!b_anal_dirty_csi1(A60,情景分析!$D$5,1))*IF($H60="",1,$H60))</f>
        <v/>
      </c>
      <c r="L60" s="29" t="str">
        <f>IF(A60="","",[2]!b_anal_yield_csi1(A60,情景分析!$D$5,1))</f>
        <v/>
      </c>
      <c r="M60" s="29" t="str">
        <f t="shared" si="4"/>
        <v/>
      </c>
      <c r="N60" s="29" t="str">
        <f t="shared" si="5"/>
        <v/>
      </c>
      <c r="O60" s="7" t="str">
        <f>IF($A60="","",[2]!B_CALC_PRICE($A60,$O$1,IF(情景分析!$D$6=1,$J60,IF(情景分析!$D$6=2,$E60,IF(情景分析!$D$6=4,IF($C60="银行间",$J60,$L60),$G60)))+O$2/100,情景分析!$D$7,"",,,,"",)*IF($H60="",1,$H60))</f>
        <v/>
      </c>
      <c r="P60" s="7" t="str">
        <f>IF($A60="","",[2]!B_CALC_PRICE($A60,$O$1,IF(情景分析!$D$6=1,$J60,IF(情景分析!$D$6=2,$E60,IF(情景分析!$D$6=4,IF($C60="银行间",$J60,$L60),$G60)))+P$2/100,情景分析!$D$7,"",,,,"",)*IF($H60="",1,$H60))</f>
        <v/>
      </c>
      <c r="Q60" s="7" t="str">
        <f>IF($A60="","",[2]!B_CALC_PRICE($A60,$O$1,IF(情景分析!$D$6=1,$J60,IF(情景分析!$D$6=2,$E60,IF(情景分析!$D$6=4,IF($C60="银行间",$J60,$L60),$G60)))+Q$2/100,情景分析!$D$7,"",,,,"",)*IF($H60="",1,$H60))</f>
        <v/>
      </c>
      <c r="R60" s="7" t="str">
        <f>IF($A60="","",[2]!B_CALC_PRICE($A60,$O$1,IF(情景分析!$D$6=1,$J60,IF(情景分析!$D$6=2,$E60,IF(情景分析!$D$6=4,IF($C60="银行间",$J60,$L60),$G60)))+R$2/100,情景分析!$D$7,"",,,,"",)*IF($H60="",1,$H60))</f>
        <v/>
      </c>
      <c r="S60" s="7" t="str">
        <f>IF($A60="","",[2]!B_CALC_PRICE($A60,$O$1,IF(情景分析!$D$6=1,$J60,IF(情景分析!$D$6=2,$E60,IF(情景分析!$D$6=4,IF($C60="银行间",$J60,$L60),$G60)))+S$2/100,情景分析!$D$7,"",,,,"",)*IF($H60="",1,$H60))</f>
        <v/>
      </c>
      <c r="T60" s="7" t="str">
        <f>IF($A60="","",[2]!B_CALC_PRICE($A60,$O$1,IF(情景分析!$D$6=1,$J60,IF(情景分析!$D$6=2,$E60,IF(情景分析!$D$6=4,IF($C60="银行间",$J60,$L60),$G60)))+T$2/100,情景分析!$D$7,"",,,,"",)*IF($H60="",1,$H60))</f>
        <v/>
      </c>
      <c r="U60" s="7" t="str">
        <f>IF($A60="","",[2]!B_CALC_PRICE($A60,$O$1,IF(情景分析!$D$6=1,$J60,IF(情景分析!$D$6=2,$E60,IF(情景分析!$D$6=4,IF($C60="银行间",$J60,$L60),$G60)))+U$2/100,情景分析!$D$7,"",,,,"",)*IF($H60="",1,$H60))</f>
        <v/>
      </c>
      <c r="V60" s="7" t="str">
        <f>IF($A60="","",[2]!B_CALC_PRICE($A60,$V$1,IF(情景分析!$D$6=1,$J60,IF(情景分析!$D$6=2,$E60,IF(情景分析!$D$6=4,IF($C60="银行间",$J60,$L60),$G60)))+V$2/100,情景分析!$D$7,"",,,,"",)*IF($H60="",1,$H60))</f>
        <v/>
      </c>
      <c r="W60" s="7" t="str">
        <f>IF($A60="","",[2]!B_CALC_PRICE($A60,$V$1,IF(情景分析!$D$6=1,$J60,IF(情景分析!$D$6=2,$E60,IF(情景分析!$D$6=4,IF($C60="银行间",$J60,$L60),$G60)))+W$2/100,情景分析!$D$7,"",,,,"",)*IF($H60="",1,$H60))</f>
        <v/>
      </c>
      <c r="X60" s="7" t="str">
        <f>IF($A60="","",[2]!B_CALC_PRICE($A60,$V$1,IF(情景分析!$D$6=1,$J60,IF(情景分析!$D$6=2,$E60,IF(情景分析!$D$6=4,IF($C60="银行间",$J60,$L60),$G60)))+X$2/100,情景分析!$D$7,"",,,,"",)*IF($H60="",1,$H60))</f>
        <v/>
      </c>
      <c r="Y60" s="7" t="str">
        <f>IF($A60="","",[2]!B_CALC_PRICE($A60,$V$1,IF(情景分析!$D$6=1,$J60,IF(情景分析!$D$6=2,$E60,IF(情景分析!$D$6=4,IF($C60="银行间",$J60,$L60),$G60)))+Y$2/100,情景分析!$D$7,"",,,,"",)*IF($H60="",1,$H60))</f>
        <v/>
      </c>
      <c r="Z60" s="7" t="str">
        <f>IF($A60="","",[2]!B_CALC_PRICE($A60,$V$1,IF(情景分析!$D$6=1,$J60,IF(情景分析!$D$6=2,$E60,IF(情景分析!$D$6=4,IF($C60="银行间",$J60,$L60),$G60)))+Z$2/100,情景分析!$D$7,"",,,,"",)*IF($H60="",1,$H60))</f>
        <v/>
      </c>
      <c r="AA60" s="7" t="str">
        <f>IF($A60="","",[2]!B_CALC_PRICE($A60,$V$1,IF(情景分析!$D$6=1,$J60,IF(情景分析!$D$6=2,$E60,IF(情景分析!$D$6=4,IF($C60="银行间",$J60,$L60),$G60)))+AA$2/100,情景分析!$D$7,"",,,,"",)*IF($H60="",1,$H60))</f>
        <v/>
      </c>
      <c r="AB60" s="7" t="str">
        <f>IF($A60="","",[2]!B_CALC_PRICE($A60,$V$1,IF(情景分析!$D$6=1,$J60,IF(情景分析!$D$6=2,$E60,IF(情景分析!$D$6=4,IF($C60="银行间",$J60,$L60),$G60)))+AB$2/100,情景分析!$D$7,"",,,,"",)*IF($H60="",1,$H60))</f>
        <v/>
      </c>
      <c r="AC60" s="7" t="str">
        <f>IF($A60="","",[2]!B_CALC_PRICE($A60,$AC$1,IF(情景分析!$D$6=1,$J60,IF(情景分析!$D$6=2,$E60,IF(情景分析!$D$6=4,IF($C60="银行间",$J60,$L60),$G60)))+AC$2/100,情景分析!$D$7,"",,,,"",)*IF($H60="",1,$H60))</f>
        <v/>
      </c>
      <c r="AD60" s="7" t="str">
        <f>IF($A60="","",[2]!B_CALC_PRICE($A60,$AC$1,IF(情景分析!$D$6=1,$J60,IF(情景分析!$D$6=2,$E60,IF(情景分析!$D$6=4,IF($C60="银行间",$J60,$L60),$G60)))+AD$2/100,情景分析!$D$7,"",,,,"",)*IF($H60="",1,$H60))</f>
        <v/>
      </c>
      <c r="AE60" s="7" t="str">
        <f>IF($A60="","",[2]!B_CALC_PRICE($A60,$AC$1,IF(情景分析!$D$6=1,$J60,IF(情景分析!$D$6=2,$E60,IF(情景分析!$D$6=4,IF($C60="银行间",$J60,$L60),$G60)))+AE$2/100,情景分析!$D$7,"",,,,"",)*IF($H60="",1,$H60))</f>
        <v/>
      </c>
      <c r="AF60" s="7" t="str">
        <f>IF($A60="","",[2]!B_CALC_PRICE($A60,$AC$1,IF(情景分析!$D$6=1,$J60,IF(情景分析!$D$6=2,$E60,IF(情景分析!$D$6=4,IF($C60="银行间",$J60,$L60),$G60)))+AF$2/100,情景分析!$D$7,"",,,,"",)*IF($H60="",1,$H60))</f>
        <v/>
      </c>
      <c r="AG60" s="7" t="str">
        <f>IF($A60="","",[2]!B_CALC_PRICE($A60,$AC$1,IF(情景分析!$D$6=1,$J60,IF(情景分析!$D$6=2,$E60,IF(情景分析!$D$6=4,IF($C60="银行间",$J60,$L60),$G60)))+AG$2/100,情景分析!$D$7,"",,,,"",)*IF($H60="",1,$H60))</f>
        <v/>
      </c>
      <c r="AH60" s="7" t="str">
        <f>IF($A60="","",[2]!B_CALC_PRICE($A60,$AC$1,IF(情景分析!$D$6=1,$J60,IF(情景分析!$D$6=2,$E60,IF(情景分析!$D$6=4,IF($C60="银行间",$J60,$L60),$G60)))+AH$2/100,情景分析!$D$7,"",,,,"",)*IF($H60="",1,$H60))</f>
        <v/>
      </c>
      <c r="AI60" s="7" t="str">
        <f>IF($A60="","",[2]!B_CALC_PRICE($A60,$AC$1,IF(情景分析!$D$6=1,$J60,IF(情景分析!$D$6=2,$E60,IF(情景分析!$D$6=4,IF($C60="银行间",$J60,$L60),$G60)))+AI$2/100,情景分析!$D$7,"",,,,"",)*IF($H60="",1,$H60))</f>
        <v/>
      </c>
      <c r="AJ60" s="7" t="str">
        <f>IF($A60="","",[2]!B_CALC_PRICE($A60,$AJ$1,IF(情景分析!$D$6=1,$J60,IF(情景分析!$D$6=2,$E60,IF(情景分析!$D$6=4,IF($C60="银行间",$J60,$L60),$G60)))+AJ$2/100,情景分析!$D$7,"",,,,"",)*IF($H60="",1,$H60))</f>
        <v/>
      </c>
      <c r="AK60" s="7" t="str">
        <f>IF($A60="","",[2]!B_CALC_PRICE($A60,$AJ$1,IF(情景分析!$D$6=1,$J60,IF(情景分析!$D$6=2,$E60,IF(情景分析!$D$6=4,IF($C60="银行间",$J60,$L60),$G60)))+AK$2/100,情景分析!$D$7,"",,,,"",)*IF($H60="",1,$H60))</f>
        <v/>
      </c>
      <c r="AL60" s="7" t="str">
        <f>IF($A60="","",[2]!B_CALC_PRICE($A60,$AJ$1,IF(情景分析!$D$6=1,$J60,IF(情景分析!$D$6=2,$E60,IF(情景分析!$D$6=4,IF($C60="银行间",$J60,$L60),$G60)))+AL$2/100,情景分析!$D$7,"",,,,"",)*IF($H60="",1,$H60))</f>
        <v/>
      </c>
      <c r="AM60" s="7" t="str">
        <f>IF($A60="","",[2]!B_CALC_PRICE($A60,$AJ$1,IF(情景分析!$D$6=1,$J60,IF(情景分析!$D$6=2,$E60,IF(情景分析!$D$6=4,IF($C60="银行间",$J60,$L60),$G60)))+AM$2/100,情景分析!$D$7,"",,,,"",)*IF($H60="",1,$H60))</f>
        <v/>
      </c>
      <c r="AN60" s="7" t="str">
        <f>IF($A60="","",[2]!B_CALC_PRICE($A60,$AJ$1,IF(情景分析!$D$6=1,$J60,IF(情景分析!$D$6=2,$E60,IF(情景分析!$D$6=4,IF($C60="银行间",$J60,$L60),$G60)))+AN$2/100,情景分析!$D$7,"",,,,"",)*IF($H60="",1,$H60))</f>
        <v/>
      </c>
      <c r="AO60" s="7" t="str">
        <f>IF($A60="","",[2]!B_CALC_PRICE($A60,$AJ$1,IF(情景分析!$D$6=1,$J60,IF(情景分析!$D$6=2,$E60,IF(情景分析!$D$6=4,IF($C60="银行间",$J60,$L60),$G60)))+AO$2/100,情景分析!$D$7,"",,,,"",)*IF($H60="",1,$H60))</f>
        <v/>
      </c>
      <c r="AP60" s="7" t="str">
        <f>IF($A60="","",[2]!B_CALC_PRICE($A60,$AJ$1,IF(情景分析!$D$6=1,$J60,IF(情景分析!$D$6=2,$E60,IF(情景分析!$D$6=4,IF($C60="银行间",$J60,$L60),$G60)))+AP$2/100,情景分析!$D$7,"",,,,"",)*IF($H60="",1,$H60))</f>
        <v/>
      </c>
      <c r="AQ60" s="7" t="str">
        <f>IF($A60="","",[2]!B_CALC_PRICE($A60,$AQ$1,IF(情景分析!$D$6=1,$J60,IF(情景分析!$D$6=2,$E60,IF(情景分析!$D$6=4,IF($C60="银行间",$J60,$L60),$G60)))+AQ$2/100,情景分析!$D$7,"",,,,"",)*IF($H60="",1,$H60))</f>
        <v/>
      </c>
      <c r="AR60" s="7" t="str">
        <f>IF($A60="","",[2]!B_CALC_PRICE($A60,$AQ$1,IF(情景分析!$D$6=1,$J60,IF(情景分析!$D$6=2,$E60,IF(情景分析!$D$6=4,IF($C60="银行间",$J60,$L60),$G60)))+AR$2/100,情景分析!$D$7,"",,,,"",)*IF($H60="",1,$H60))</f>
        <v/>
      </c>
      <c r="AS60" s="7" t="str">
        <f>IF($A60="","",[2]!B_CALC_PRICE($A60,$AQ$1,IF(情景分析!$D$6=1,$J60,IF(情景分析!$D$6=2,$E60,IF(情景分析!$D$6=4,IF($C60="银行间",$J60,$L60),$G60)))+AS$2/100,情景分析!$D$7,"",,,,"",)*IF($H60="",1,$H60))</f>
        <v/>
      </c>
      <c r="AT60" s="7" t="str">
        <f>IF($A60="","",[2]!B_CALC_PRICE($A60,$AQ$1,IF(情景分析!$D$6=1,$J60,IF(情景分析!$D$6=2,$E60,IF(情景分析!$D$6=4,IF($C60="银行间",$J60,$L60),$G60)))+AT$2/100,情景分析!$D$7,"",,,,"",)*IF($H60="",1,$H60))</f>
        <v/>
      </c>
      <c r="AU60" s="7" t="str">
        <f>IF($A60="","",[2]!B_CALC_PRICE($A60,$AQ$1,IF(情景分析!$D$6=1,$J60,IF(情景分析!$D$6=2,$E60,IF(情景分析!$D$6=4,IF($C60="银行间",$J60,$L60),$G60)))+AU$2/100,情景分析!$D$7,"",,,,"",)*IF($H60="",1,$H60))</f>
        <v/>
      </c>
      <c r="AV60" s="7" t="str">
        <f>IF($A60="","",[2]!B_CALC_PRICE($A60,$AQ$1,IF(情景分析!$D$6=1,$J60,IF(情景分析!$D$6=2,$E60,IF(情景分析!$D$6=4,IF($C60="银行间",$J60,$L60),$G60)))+AV$2/100,情景分析!$D$7,"",,,,"",)*IF($H60="",1,$H60))</f>
        <v/>
      </c>
      <c r="AW60" s="7" t="str">
        <f>IF($A60="","",[2]!B_CALC_PRICE($A60,$AQ$1,IF(情景分析!$D$6=1,$J60,IF(情景分析!$D$6=2,$E60,IF(情景分析!$D$6=4,IF($C60="银行间",$J60,$L60),$G60)))+AW$2/100,情景分析!$D$7,"",,,,"",)*IF($H60="",1,$H60))</f>
        <v/>
      </c>
    </row>
    <row r="61" spans="1:49" x14ac:dyDescent="0.15">
      <c r="A61" s="20"/>
      <c r="B61" s="7" t="str">
        <f>IF(A61="","",[2]!b_info_name(A61))</f>
        <v/>
      </c>
      <c r="C61" s="7" t="str">
        <f>[2]!b_info_listedmkt(A61)</f>
        <v>#N/A</v>
      </c>
      <c r="D61" s="7" t="str">
        <f>IFERROR(IF(A61="","", [2]!b_dq_avgprice(A61, 情景分析!$D$5, 情景分析!$D$7) * IF($H61="",1,$H61)),0)</f>
        <v/>
      </c>
      <c r="E61" s="7" t="str">
        <f>IF(A61="","", N([2]!b_dq_avgprice(A61,情景分析!$D$5,3)))</f>
        <v/>
      </c>
      <c r="F61" s="29" t="str">
        <f>IF($G61 = "",
"",
IFERROR(
[2]!b_calc_pv(A61, 情景分析!$D$5,$G61, "1", 情景分析!$D$7),
[2]!b_calc_pv(A61, 情景分析!$D$5,$G61, "2", 情景分析!$D$7)
)
)</f>
        <v/>
      </c>
      <c r="G61" s="22"/>
      <c r="H61" s="21"/>
      <c r="I61" s="7" t="str">
        <f>IF(A61="","",IF(情景分析!$D$7=1,[2]!b_anal_net_cnbd(A61,情景分析!$D$5,1),[2]!b_anal_dirty_cnbd(A61,情景分析!$D$5,1))*IF($H61="",1,$H61))</f>
        <v/>
      </c>
      <c r="J61" s="7" t="str">
        <f>IF(A61="","",[2]!b_anal_yield_cnbd(A61,情景分析!$D$5,1))</f>
        <v/>
      </c>
      <c r="K61" s="29" t="str">
        <f>IF(A61="","",IF(情景分析!$D$7=1,[2]!b_anal_net_csi1(A61,情景分析!$D$5,1),[2]!b_anal_dirty_csi1(A61,情景分析!$D$5,1))*IF($H61="",1,$H61))</f>
        <v/>
      </c>
      <c r="L61" s="29" t="str">
        <f>IF(A61="","",[2]!b_anal_yield_csi1(A61,情景分析!$D$5,1))</f>
        <v/>
      </c>
      <c r="M61" s="29" t="str">
        <f t="shared" si="4"/>
        <v/>
      </c>
      <c r="N61" s="29" t="str">
        <f t="shared" si="5"/>
        <v/>
      </c>
      <c r="O61" s="7" t="str">
        <f>IF($A61="","",[2]!B_CALC_PRICE($A61,$O$1,IF(情景分析!$D$6=1,$J61,IF(情景分析!$D$6=2,$E61,IF(情景分析!$D$6=4,IF($C61="银行间",$J61,$L61),$G61)))+O$2/100,情景分析!$D$7,"",,,,"",)*IF($H61="",1,$H61))</f>
        <v/>
      </c>
      <c r="P61" s="7" t="str">
        <f>IF($A61="","",[2]!B_CALC_PRICE($A61,$O$1,IF(情景分析!$D$6=1,$J61,IF(情景分析!$D$6=2,$E61,IF(情景分析!$D$6=4,IF($C61="银行间",$J61,$L61),$G61)))+P$2/100,情景分析!$D$7,"",,,,"",)*IF($H61="",1,$H61))</f>
        <v/>
      </c>
      <c r="Q61" s="7" t="str">
        <f>IF($A61="","",[2]!B_CALC_PRICE($A61,$O$1,IF(情景分析!$D$6=1,$J61,IF(情景分析!$D$6=2,$E61,IF(情景分析!$D$6=4,IF($C61="银行间",$J61,$L61),$G61)))+Q$2/100,情景分析!$D$7,"",,,,"",)*IF($H61="",1,$H61))</f>
        <v/>
      </c>
      <c r="R61" s="7" t="str">
        <f>IF($A61="","",[2]!B_CALC_PRICE($A61,$O$1,IF(情景分析!$D$6=1,$J61,IF(情景分析!$D$6=2,$E61,IF(情景分析!$D$6=4,IF($C61="银行间",$J61,$L61),$G61)))+R$2/100,情景分析!$D$7,"",,,,"",)*IF($H61="",1,$H61))</f>
        <v/>
      </c>
      <c r="S61" s="7" t="str">
        <f>IF($A61="","",[2]!B_CALC_PRICE($A61,$O$1,IF(情景分析!$D$6=1,$J61,IF(情景分析!$D$6=2,$E61,IF(情景分析!$D$6=4,IF($C61="银行间",$J61,$L61),$G61)))+S$2/100,情景分析!$D$7,"",,,,"",)*IF($H61="",1,$H61))</f>
        <v/>
      </c>
      <c r="T61" s="7" t="str">
        <f>IF($A61="","",[2]!B_CALC_PRICE($A61,$O$1,IF(情景分析!$D$6=1,$J61,IF(情景分析!$D$6=2,$E61,IF(情景分析!$D$6=4,IF($C61="银行间",$J61,$L61),$G61)))+T$2/100,情景分析!$D$7,"",,,,"",)*IF($H61="",1,$H61))</f>
        <v/>
      </c>
      <c r="U61" s="7" t="str">
        <f>IF($A61="","",[2]!B_CALC_PRICE($A61,$O$1,IF(情景分析!$D$6=1,$J61,IF(情景分析!$D$6=2,$E61,IF(情景分析!$D$6=4,IF($C61="银行间",$J61,$L61),$G61)))+U$2/100,情景分析!$D$7,"",,,,"",)*IF($H61="",1,$H61))</f>
        <v/>
      </c>
      <c r="V61" s="7" t="str">
        <f>IF($A61="","",[2]!B_CALC_PRICE($A61,$V$1,IF(情景分析!$D$6=1,$J61,IF(情景分析!$D$6=2,$E61,IF(情景分析!$D$6=4,IF($C61="银行间",$J61,$L61),$G61)))+V$2/100,情景分析!$D$7,"",,,,"",)*IF($H61="",1,$H61))</f>
        <v/>
      </c>
      <c r="W61" s="7" t="str">
        <f>IF($A61="","",[2]!B_CALC_PRICE($A61,$V$1,IF(情景分析!$D$6=1,$J61,IF(情景分析!$D$6=2,$E61,IF(情景分析!$D$6=4,IF($C61="银行间",$J61,$L61),$G61)))+W$2/100,情景分析!$D$7,"",,,,"",)*IF($H61="",1,$H61))</f>
        <v/>
      </c>
      <c r="X61" s="7" t="str">
        <f>IF($A61="","",[2]!B_CALC_PRICE($A61,$V$1,IF(情景分析!$D$6=1,$J61,IF(情景分析!$D$6=2,$E61,IF(情景分析!$D$6=4,IF($C61="银行间",$J61,$L61),$G61)))+X$2/100,情景分析!$D$7,"",,,,"",)*IF($H61="",1,$H61))</f>
        <v/>
      </c>
      <c r="Y61" s="7" t="str">
        <f>IF($A61="","",[2]!B_CALC_PRICE($A61,$V$1,IF(情景分析!$D$6=1,$J61,IF(情景分析!$D$6=2,$E61,IF(情景分析!$D$6=4,IF($C61="银行间",$J61,$L61),$G61)))+Y$2/100,情景分析!$D$7,"",,,,"",)*IF($H61="",1,$H61))</f>
        <v/>
      </c>
      <c r="Z61" s="7" t="str">
        <f>IF($A61="","",[2]!B_CALC_PRICE($A61,$V$1,IF(情景分析!$D$6=1,$J61,IF(情景分析!$D$6=2,$E61,IF(情景分析!$D$6=4,IF($C61="银行间",$J61,$L61),$G61)))+Z$2/100,情景分析!$D$7,"",,,,"",)*IF($H61="",1,$H61))</f>
        <v/>
      </c>
      <c r="AA61" s="7" t="str">
        <f>IF($A61="","",[2]!B_CALC_PRICE($A61,$V$1,IF(情景分析!$D$6=1,$J61,IF(情景分析!$D$6=2,$E61,IF(情景分析!$D$6=4,IF($C61="银行间",$J61,$L61),$G61)))+AA$2/100,情景分析!$D$7,"",,,,"",)*IF($H61="",1,$H61))</f>
        <v/>
      </c>
      <c r="AB61" s="7" t="str">
        <f>IF($A61="","",[2]!B_CALC_PRICE($A61,$V$1,IF(情景分析!$D$6=1,$J61,IF(情景分析!$D$6=2,$E61,IF(情景分析!$D$6=4,IF($C61="银行间",$J61,$L61),$G61)))+AB$2/100,情景分析!$D$7,"",,,,"",)*IF($H61="",1,$H61))</f>
        <v/>
      </c>
      <c r="AC61" s="7" t="str">
        <f>IF($A61="","",[2]!B_CALC_PRICE($A61,$AC$1,IF(情景分析!$D$6=1,$J61,IF(情景分析!$D$6=2,$E61,IF(情景分析!$D$6=4,IF($C61="银行间",$J61,$L61),$G61)))+AC$2/100,情景分析!$D$7,"",,,,"",)*IF($H61="",1,$H61))</f>
        <v/>
      </c>
      <c r="AD61" s="7" t="str">
        <f>IF($A61="","",[2]!B_CALC_PRICE($A61,$AC$1,IF(情景分析!$D$6=1,$J61,IF(情景分析!$D$6=2,$E61,IF(情景分析!$D$6=4,IF($C61="银行间",$J61,$L61),$G61)))+AD$2/100,情景分析!$D$7,"",,,,"",)*IF($H61="",1,$H61))</f>
        <v/>
      </c>
      <c r="AE61" s="7" t="str">
        <f>IF($A61="","",[2]!B_CALC_PRICE($A61,$AC$1,IF(情景分析!$D$6=1,$J61,IF(情景分析!$D$6=2,$E61,IF(情景分析!$D$6=4,IF($C61="银行间",$J61,$L61),$G61)))+AE$2/100,情景分析!$D$7,"",,,,"",)*IF($H61="",1,$H61))</f>
        <v/>
      </c>
      <c r="AF61" s="7" t="str">
        <f>IF($A61="","",[2]!B_CALC_PRICE($A61,$AC$1,IF(情景分析!$D$6=1,$J61,IF(情景分析!$D$6=2,$E61,IF(情景分析!$D$6=4,IF($C61="银行间",$J61,$L61),$G61)))+AF$2/100,情景分析!$D$7,"",,,,"",)*IF($H61="",1,$H61))</f>
        <v/>
      </c>
      <c r="AG61" s="7" t="str">
        <f>IF($A61="","",[2]!B_CALC_PRICE($A61,$AC$1,IF(情景分析!$D$6=1,$J61,IF(情景分析!$D$6=2,$E61,IF(情景分析!$D$6=4,IF($C61="银行间",$J61,$L61),$G61)))+AG$2/100,情景分析!$D$7,"",,,,"",)*IF($H61="",1,$H61))</f>
        <v/>
      </c>
      <c r="AH61" s="7" t="str">
        <f>IF($A61="","",[2]!B_CALC_PRICE($A61,$AC$1,IF(情景分析!$D$6=1,$J61,IF(情景分析!$D$6=2,$E61,IF(情景分析!$D$6=4,IF($C61="银行间",$J61,$L61),$G61)))+AH$2/100,情景分析!$D$7,"",,,,"",)*IF($H61="",1,$H61))</f>
        <v/>
      </c>
      <c r="AI61" s="7" t="str">
        <f>IF($A61="","",[2]!B_CALC_PRICE($A61,$AC$1,IF(情景分析!$D$6=1,$J61,IF(情景分析!$D$6=2,$E61,IF(情景分析!$D$6=4,IF($C61="银行间",$J61,$L61),$G61)))+AI$2/100,情景分析!$D$7,"",,,,"",)*IF($H61="",1,$H61))</f>
        <v/>
      </c>
      <c r="AJ61" s="7" t="str">
        <f>IF($A61="","",[2]!B_CALC_PRICE($A61,$AJ$1,IF(情景分析!$D$6=1,$J61,IF(情景分析!$D$6=2,$E61,IF(情景分析!$D$6=4,IF($C61="银行间",$J61,$L61),$G61)))+AJ$2/100,情景分析!$D$7,"",,,,"",)*IF($H61="",1,$H61))</f>
        <v/>
      </c>
      <c r="AK61" s="7" t="str">
        <f>IF($A61="","",[2]!B_CALC_PRICE($A61,$AJ$1,IF(情景分析!$D$6=1,$J61,IF(情景分析!$D$6=2,$E61,IF(情景分析!$D$6=4,IF($C61="银行间",$J61,$L61),$G61)))+AK$2/100,情景分析!$D$7,"",,,,"",)*IF($H61="",1,$H61))</f>
        <v/>
      </c>
      <c r="AL61" s="7" t="str">
        <f>IF($A61="","",[2]!B_CALC_PRICE($A61,$AJ$1,IF(情景分析!$D$6=1,$J61,IF(情景分析!$D$6=2,$E61,IF(情景分析!$D$6=4,IF($C61="银行间",$J61,$L61),$G61)))+AL$2/100,情景分析!$D$7,"",,,,"",)*IF($H61="",1,$H61))</f>
        <v/>
      </c>
      <c r="AM61" s="7" t="str">
        <f>IF($A61="","",[2]!B_CALC_PRICE($A61,$AJ$1,IF(情景分析!$D$6=1,$J61,IF(情景分析!$D$6=2,$E61,IF(情景分析!$D$6=4,IF($C61="银行间",$J61,$L61),$G61)))+AM$2/100,情景分析!$D$7,"",,,,"",)*IF($H61="",1,$H61))</f>
        <v/>
      </c>
      <c r="AN61" s="7" t="str">
        <f>IF($A61="","",[2]!B_CALC_PRICE($A61,$AJ$1,IF(情景分析!$D$6=1,$J61,IF(情景分析!$D$6=2,$E61,IF(情景分析!$D$6=4,IF($C61="银行间",$J61,$L61),$G61)))+AN$2/100,情景分析!$D$7,"",,,,"",)*IF($H61="",1,$H61))</f>
        <v/>
      </c>
      <c r="AO61" s="7" t="str">
        <f>IF($A61="","",[2]!B_CALC_PRICE($A61,$AJ$1,IF(情景分析!$D$6=1,$J61,IF(情景分析!$D$6=2,$E61,IF(情景分析!$D$6=4,IF($C61="银行间",$J61,$L61),$G61)))+AO$2/100,情景分析!$D$7,"",,,,"",)*IF($H61="",1,$H61))</f>
        <v/>
      </c>
      <c r="AP61" s="7" t="str">
        <f>IF($A61="","",[2]!B_CALC_PRICE($A61,$AJ$1,IF(情景分析!$D$6=1,$J61,IF(情景分析!$D$6=2,$E61,IF(情景分析!$D$6=4,IF($C61="银行间",$J61,$L61),$G61)))+AP$2/100,情景分析!$D$7,"",,,,"",)*IF($H61="",1,$H61))</f>
        <v/>
      </c>
      <c r="AQ61" s="7" t="str">
        <f>IF($A61="","",[2]!B_CALC_PRICE($A61,$AQ$1,IF(情景分析!$D$6=1,$J61,IF(情景分析!$D$6=2,$E61,IF(情景分析!$D$6=4,IF($C61="银行间",$J61,$L61),$G61)))+AQ$2/100,情景分析!$D$7,"",,,,"",)*IF($H61="",1,$H61))</f>
        <v/>
      </c>
      <c r="AR61" s="7" t="str">
        <f>IF($A61="","",[2]!B_CALC_PRICE($A61,$AQ$1,IF(情景分析!$D$6=1,$J61,IF(情景分析!$D$6=2,$E61,IF(情景分析!$D$6=4,IF($C61="银行间",$J61,$L61),$G61)))+AR$2/100,情景分析!$D$7,"",,,,"",)*IF($H61="",1,$H61))</f>
        <v/>
      </c>
      <c r="AS61" s="7" t="str">
        <f>IF($A61="","",[2]!B_CALC_PRICE($A61,$AQ$1,IF(情景分析!$D$6=1,$J61,IF(情景分析!$D$6=2,$E61,IF(情景分析!$D$6=4,IF($C61="银行间",$J61,$L61),$G61)))+AS$2/100,情景分析!$D$7,"",,,,"",)*IF($H61="",1,$H61))</f>
        <v/>
      </c>
      <c r="AT61" s="7" t="str">
        <f>IF($A61="","",[2]!B_CALC_PRICE($A61,$AQ$1,IF(情景分析!$D$6=1,$J61,IF(情景分析!$D$6=2,$E61,IF(情景分析!$D$6=4,IF($C61="银行间",$J61,$L61),$G61)))+AT$2/100,情景分析!$D$7,"",,,,"",)*IF($H61="",1,$H61))</f>
        <v/>
      </c>
      <c r="AU61" s="7" t="str">
        <f>IF($A61="","",[2]!B_CALC_PRICE($A61,$AQ$1,IF(情景分析!$D$6=1,$J61,IF(情景分析!$D$6=2,$E61,IF(情景分析!$D$6=4,IF($C61="银行间",$J61,$L61),$G61)))+AU$2/100,情景分析!$D$7,"",,,,"",)*IF($H61="",1,$H61))</f>
        <v/>
      </c>
      <c r="AV61" s="7" t="str">
        <f>IF($A61="","",[2]!B_CALC_PRICE($A61,$AQ$1,IF(情景分析!$D$6=1,$J61,IF(情景分析!$D$6=2,$E61,IF(情景分析!$D$6=4,IF($C61="银行间",$J61,$L61),$G61)))+AV$2/100,情景分析!$D$7,"",,,,"",)*IF($H61="",1,$H61))</f>
        <v/>
      </c>
      <c r="AW61" s="7" t="str">
        <f>IF($A61="","",[2]!B_CALC_PRICE($A61,$AQ$1,IF(情景分析!$D$6=1,$J61,IF(情景分析!$D$6=2,$E61,IF(情景分析!$D$6=4,IF($C61="银行间",$J61,$L61),$G61)))+AW$2/100,情景分析!$D$7,"",,,,"",)*IF($H61="",1,$H61))</f>
        <v/>
      </c>
    </row>
    <row r="62" spans="1:49" x14ac:dyDescent="0.15">
      <c r="A62" s="20"/>
      <c r="B62" s="7" t="str">
        <f>IF(A62="","",[2]!b_info_name(A62))</f>
        <v/>
      </c>
      <c r="C62" s="7" t="str">
        <f>[2]!b_info_listedmkt(A62)</f>
        <v>#N/A</v>
      </c>
      <c r="D62" s="7" t="str">
        <f>IFERROR(IF(A62="","", [2]!b_dq_avgprice(A62, 情景分析!$D$5, 情景分析!$D$7) * IF($H62="",1,$H62)),0)</f>
        <v/>
      </c>
      <c r="E62" s="7" t="str">
        <f>IF(A62="","", N([2]!b_dq_avgprice(A62,情景分析!$D$5,3)))</f>
        <v/>
      </c>
      <c r="F62" s="29" t="str">
        <f>IF($G62 = "",
"",
IFERROR(
[2]!b_calc_pv(A62, 情景分析!$D$5,$G62, "1", 情景分析!$D$7),
[2]!b_calc_pv(A62, 情景分析!$D$5,$G62, "2", 情景分析!$D$7)
)
)</f>
        <v/>
      </c>
      <c r="G62" s="22"/>
      <c r="H62" s="21"/>
      <c r="I62" s="7" t="str">
        <f>IF(A62="","",IF(情景分析!$D$7=1,[2]!b_anal_net_cnbd(A62,情景分析!$D$5,1),[2]!b_anal_dirty_cnbd(A62,情景分析!$D$5,1))*IF($H62="",1,$H62))</f>
        <v/>
      </c>
      <c r="J62" s="7" t="str">
        <f>IF(A62="","",[2]!b_anal_yield_cnbd(A62,情景分析!$D$5,1))</f>
        <v/>
      </c>
      <c r="K62" s="29" t="str">
        <f>IF(A62="","",IF(情景分析!$D$7=1,[2]!b_anal_net_csi1(A62,情景分析!$D$5,1),[2]!b_anal_dirty_csi1(A62,情景分析!$D$5,1))*IF($H62="",1,$H62))</f>
        <v/>
      </c>
      <c r="L62" s="29" t="str">
        <f>IF(A62="","",[2]!b_anal_yield_csi1(A62,情景分析!$D$5,1))</f>
        <v/>
      </c>
      <c r="M62" s="29" t="str">
        <f t="shared" si="4"/>
        <v/>
      </c>
      <c r="N62" s="29" t="str">
        <f t="shared" si="5"/>
        <v/>
      </c>
      <c r="O62" s="7" t="str">
        <f>IF($A62="","",[2]!B_CALC_PRICE($A62,$O$1,IF(情景分析!$D$6=1,$J62,IF(情景分析!$D$6=2,$E62,IF(情景分析!$D$6=4,IF($C62="银行间",$J62,$L62),$G62)))+O$2/100,情景分析!$D$7,"",,,,"",)*IF($H62="",1,$H62))</f>
        <v/>
      </c>
      <c r="P62" s="7" t="str">
        <f>IF($A62="","",[2]!B_CALC_PRICE($A62,$O$1,IF(情景分析!$D$6=1,$J62,IF(情景分析!$D$6=2,$E62,IF(情景分析!$D$6=4,IF($C62="银行间",$J62,$L62),$G62)))+P$2/100,情景分析!$D$7,"",,,,"",)*IF($H62="",1,$H62))</f>
        <v/>
      </c>
      <c r="Q62" s="7" t="str">
        <f>IF($A62="","",[2]!B_CALC_PRICE($A62,$O$1,IF(情景分析!$D$6=1,$J62,IF(情景分析!$D$6=2,$E62,IF(情景分析!$D$6=4,IF($C62="银行间",$J62,$L62),$G62)))+Q$2/100,情景分析!$D$7,"",,,,"",)*IF($H62="",1,$H62))</f>
        <v/>
      </c>
      <c r="R62" s="7" t="str">
        <f>IF($A62="","",[2]!B_CALC_PRICE($A62,$O$1,IF(情景分析!$D$6=1,$J62,IF(情景分析!$D$6=2,$E62,IF(情景分析!$D$6=4,IF($C62="银行间",$J62,$L62),$G62)))+R$2/100,情景分析!$D$7,"",,,,"",)*IF($H62="",1,$H62))</f>
        <v/>
      </c>
      <c r="S62" s="7" t="str">
        <f>IF($A62="","",[2]!B_CALC_PRICE($A62,$O$1,IF(情景分析!$D$6=1,$J62,IF(情景分析!$D$6=2,$E62,IF(情景分析!$D$6=4,IF($C62="银行间",$J62,$L62),$G62)))+S$2/100,情景分析!$D$7,"",,,,"",)*IF($H62="",1,$H62))</f>
        <v/>
      </c>
      <c r="T62" s="7" t="str">
        <f>IF($A62="","",[2]!B_CALC_PRICE($A62,$O$1,IF(情景分析!$D$6=1,$J62,IF(情景分析!$D$6=2,$E62,IF(情景分析!$D$6=4,IF($C62="银行间",$J62,$L62),$G62)))+T$2/100,情景分析!$D$7,"",,,,"",)*IF($H62="",1,$H62))</f>
        <v/>
      </c>
      <c r="U62" s="7" t="str">
        <f>IF($A62="","",[2]!B_CALC_PRICE($A62,$O$1,IF(情景分析!$D$6=1,$J62,IF(情景分析!$D$6=2,$E62,IF(情景分析!$D$6=4,IF($C62="银行间",$J62,$L62),$G62)))+U$2/100,情景分析!$D$7,"",,,,"",)*IF($H62="",1,$H62))</f>
        <v/>
      </c>
      <c r="V62" s="7" t="str">
        <f>IF($A62="","",[2]!B_CALC_PRICE($A62,$V$1,IF(情景分析!$D$6=1,$J62,IF(情景分析!$D$6=2,$E62,IF(情景分析!$D$6=4,IF($C62="银行间",$J62,$L62),$G62)))+V$2/100,情景分析!$D$7,"",,,,"",)*IF($H62="",1,$H62))</f>
        <v/>
      </c>
      <c r="W62" s="7" t="str">
        <f>IF($A62="","",[2]!B_CALC_PRICE($A62,$V$1,IF(情景分析!$D$6=1,$J62,IF(情景分析!$D$6=2,$E62,IF(情景分析!$D$6=4,IF($C62="银行间",$J62,$L62),$G62)))+W$2/100,情景分析!$D$7,"",,,,"",)*IF($H62="",1,$H62))</f>
        <v/>
      </c>
      <c r="X62" s="7" t="str">
        <f>IF($A62="","",[2]!B_CALC_PRICE($A62,$V$1,IF(情景分析!$D$6=1,$J62,IF(情景分析!$D$6=2,$E62,IF(情景分析!$D$6=4,IF($C62="银行间",$J62,$L62),$G62)))+X$2/100,情景分析!$D$7,"",,,,"",)*IF($H62="",1,$H62))</f>
        <v/>
      </c>
      <c r="Y62" s="7" t="str">
        <f>IF($A62="","",[2]!B_CALC_PRICE($A62,$V$1,IF(情景分析!$D$6=1,$J62,IF(情景分析!$D$6=2,$E62,IF(情景分析!$D$6=4,IF($C62="银行间",$J62,$L62),$G62)))+Y$2/100,情景分析!$D$7,"",,,,"",)*IF($H62="",1,$H62))</f>
        <v/>
      </c>
      <c r="Z62" s="7" t="str">
        <f>IF($A62="","",[2]!B_CALC_PRICE($A62,$V$1,IF(情景分析!$D$6=1,$J62,IF(情景分析!$D$6=2,$E62,IF(情景分析!$D$6=4,IF($C62="银行间",$J62,$L62),$G62)))+Z$2/100,情景分析!$D$7,"",,,,"",)*IF($H62="",1,$H62))</f>
        <v/>
      </c>
      <c r="AA62" s="7" t="str">
        <f>IF($A62="","",[2]!B_CALC_PRICE($A62,$V$1,IF(情景分析!$D$6=1,$J62,IF(情景分析!$D$6=2,$E62,IF(情景分析!$D$6=4,IF($C62="银行间",$J62,$L62),$G62)))+AA$2/100,情景分析!$D$7,"",,,,"",)*IF($H62="",1,$H62))</f>
        <v/>
      </c>
      <c r="AB62" s="7" t="str">
        <f>IF($A62="","",[2]!B_CALC_PRICE($A62,$V$1,IF(情景分析!$D$6=1,$J62,IF(情景分析!$D$6=2,$E62,IF(情景分析!$D$6=4,IF($C62="银行间",$J62,$L62),$G62)))+AB$2/100,情景分析!$D$7,"",,,,"",)*IF($H62="",1,$H62))</f>
        <v/>
      </c>
      <c r="AC62" s="7" t="str">
        <f>IF($A62="","",[2]!B_CALC_PRICE($A62,$AC$1,IF(情景分析!$D$6=1,$J62,IF(情景分析!$D$6=2,$E62,IF(情景分析!$D$6=4,IF($C62="银行间",$J62,$L62),$G62)))+AC$2/100,情景分析!$D$7,"",,,,"",)*IF($H62="",1,$H62))</f>
        <v/>
      </c>
      <c r="AD62" s="7" t="str">
        <f>IF($A62="","",[2]!B_CALC_PRICE($A62,$AC$1,IF(情景分析!$D$6=1,$J62,IF(情景分析!$D$6=2,$E62,IF(情景分析!$D$6=4,IF($C62="银行间",$J62,$L62),$G62)))+AD$2/100,情景分析!$D$7,"",,,,"",)*IF($H62="",1,$H62))</f>
        <v/>
      </c>
      <c r="AE62" s="7" t="str">
        <f>IF($A62="","",[2]!B_CALC_PRICE($A62,$AC$1,IF(情景分析!$D$6=1,$J62,IF(情景分析!$D$6=2,$E62,IF(情景分析!$D$6=4,IF($C62="银行间",$J62,$L62),$G62)))+AE$2/100,情景分析!$D$7,"",,,,"",)*IF($H62="",1,$H62))</f>
        <v/>
      </c>
      <c r="AF62" s="7" t="str">
        <f>IF($A62="","",[2]!B_CALC_PRICE($A62,$AC$1,IF(情景分析!$D$6=1,$J62,IF(情景分析!$D$6=2,$E62,IF(情景分析!$D$6=4,IF($C62="银行间",$J62,$L62),$G62)))+AF$2/100,情景分析!$D$7,"",,,,"",)*IF($H62="",1,$H62))</f>
        <v/>
      </c>
      <c r="AG62" s="7" t="str">
        <f>IF($A62="","",[2]!B_CALC_PRICE($A62,$AC$1,IF(情景分析!$D$6=1,$J62,IF(情景分析!$D$6=2,$E62,IF(情景分析!$D$6=4,IF($C62="银行间",$J62,$L62),$G62)))+AG$2/100,情景分析!$D$7,"",,,,"",)*IF($H62="",1,$H62))</f>
        <v/>
      </c>
      <c r="AH62" s="7" t="str">
        <f>IF($A62="","",[2]!B_CALC_PRICE($A62,$AC$1,IF(情景分析!$D$6=1,$J62,IF(情景分析!$D$6=2,$E62,IF(情景分析!$D$6=4,IF($C62="银行间",$J62,$L62),$G62)))+AH$2/100,情景分析!$D$7,"",,,,"",)*IF($H62="",1,$H62))</f>
        <v/>
      </c>
      <c r="AI62" s="7" t="str">
        <f>IF($A62="","",[2]!B_CALC_PRICE($A62,$AC$1,IF(情景分析!$D$6=1,$J62,IF(情景分析!$D$6=2,$E62,IF(情景分析!$D$6=4,IF($C62="银行间",$J62,$L62),$G62)))+AI$2/100,情景分析!$D$7,"",,,,"",)*IF($H62="",1,$H62))</f>
        <v/>
      </c>
      <c r="AJ62" s="7" t="str">
        <f>IF($A62="","",[2]!B_CALC_PRICE($A62,$AJ$1,IF(情景分析!$D$6=1,$J62,IF(情景分析!$D$6=2,$E62,IF(情景分析!$D$6=4,IF($C62="银行间",$J62,$L62),$G62)))+AJ$2/100,情景分析!$D$7,"",,,,"",)*IF($H62="",1,$H62))</f>
        <v/>
      </c>
      <c r="AK62" s="7" t="str">
        <f>IF($A62="","",[2]!B_CALC_PRICE($A62,$AJ$1,IF(情景分析!$D$6=1,$J62,IF(情景分析!$D$6=2,$E62,IF(情景分析!$D$6=4,IF($C62="银行间",$J62,$L62),$G62)))+AK$2/100,情景分析!$D$7,"",,,,"",)*IF($H62="",1,$H62))</f>
        <v/>
      </c>
      <c r="AL62" s="7" t="str">
        <f>IF($A62="","",[2]!B_CALC_PRICE($A62,$AJ$1,IF(情景分析!$D$6=1,$J62,IF(情景分析!$D$6=2,$E62,IF(情景分析!$D$6=4,IF($C62="银行间",$J62,$L62),$G62)))+AL$2/100,情景分析!$D$7,"",,,,"",)*IF($H62="",1,$H62))</f>
        <v/>
      </c>
      <c r="AM62" s="7" t="str">
        <f>IF($A62="","",[2]!B_CALC_PRICE($A62,$AJ$1,IF(情景分析!$D$6=1,$J62,IF(情景分析!$D$6=2,$E62,IF(情景分析!$D$6=4,IF($C62="银行间",$J62,$L62),$G62)))+AM$2/100,情景分析!$D$7,"",,,,"",)*IF($H62="",1,$H62))</f>
        <v/>
      </c>
      <c r="AN62" s="7" t="str">
        <f>IF($A62="","",[2]!B_CALC_PRICE($A62,$AJ$1,IF(情景分析!$D$6=1,$J62,IF(情景分析!$D$6=2,$E62,IF(情景分析!$D$6=4,IF($C62="银行间",$J62,$L62),$G62)))+AN$2/100,情景分析!$D$7,"",,,,"",)*IF($H62="",1,$H62))</f>
        <v/>
      </c>
      <c r="AO62" s="7" t="str">
        <f>IF($A62="","",[2]!B_CALC_PRICE($A62,$AJ$1,IF(情景分析!$D$6=1,$J62,IF(情景分析!$D$6=2,$E62,IF(情景分析!$D$6=4,IF($C62="银行间",$J62,$L62),$G62)))+AO$2/100,情景分析!$D$7,"",,,,"",)*IF($H62="",1,$H62))</f>
        <v/>
      </c>
      <c r="AP62" s="7" t="str">
        <f>IF($A62="","",[2]!B_CALC_PRICE($A62,$AJ$1,IF(情景分析!$D$6=1,$J62,IF(情景分析!$D$6=2,$E62,IF(情景分析!$D$6=4,IF($C62="银行间",$J62,$L62),$G62)))+AP$2/100,情景分析!$D$7,"",,,,"",)*IF($H62="",1,$H62))</f>
        <v/>
      </c>
      <c r="AQ62" s="7" t="str">
        <f>IF($A62="","",[2]!B_CALC_PRICE($A62,$AQ$1,IF(情景分析!$D$6=1,$J62,IF(情景分析!$D$6=2,$E62,IF(情景分析!$D$6=4,IF($C62="银行间",$J62,$L62),$G62)))+AQ$2/100,情景分析!$D$7,"",,,,"",)*IF($H62="",1,$H62))</f>
        <v/>
      </c>
      <c r="AR62" s="7" t="str">
        <f>IF($A62="","",[2]!B_CALC_PRICE($A62,$AQ$1,IF(情景分析!$D$6=1,$J62,IF(情景分析!$D$6=2,$E62,IF(情景分析!$D$6=4,IF($C62="银行间",$J62,$L62),$G62)))+AR$2/100,情景分析!$D$7,"",,,,"",)*IF($H62="",1,$H62))</f>
        <v/>
      </c>
      <c r="AS62" s="7" t="str">
        <f>IF($A62="","",[2]!B_CALC_PRICE($A62,$AQ$1,IF(情景分析!$D$6=1,$J62,IF(情景分析!$D$6=2,$E62,IF(情景分析!$D$6=4,IF($C62="银行间",$J62,$L62),$G62)))+AS$2/100,情景分析!$D$7,"",,,,"",)*IF($H62="",1,$H62))</f>
        <v/>
      </c>
      <c r="AT62" s="7" t="str">
        <f>IF($A62="","",[2]!B_CALC_PRICE($A62,$AQ$1,IF(情景分析!$D$6=1,$J62,IF(情景分析!$D$6=2,$E62,IF(情景分析!$D$6=4,IF($C62="银行间",$J62,$L62),$G62)))+AT$2/100,情景分析!$D$7,"",,,,"",)*IF($H62="",1,$H62))</f>
        <v/>
      </c>
      <c r="AU62" s="7" t="str">
        <f>IF($A62="","",[2]!B_CALC_PRICE($A62,$AQ$1,IF(情景分析!$D$6=1,$J62,IF(情景分析!$D$6=2,$E62,IF(情景分析!$D$6=4,IF($C62="银行间",$J62,$L62),$G62)))+AU$2/100,情景分析!$D$7,"",,,,"",)*IF($H62="",1,$H62))</f>
        <v/>
      </c>
      <c r="AV62" s="7" t="str">
        <f>IF($A62="","",[2]!B_CALC_PRICE($A62,$AQ$1,IF(情景分析!$D$6=1,$J62,IF(情景分析!$D$6=2,$E62,IF(情景分析!$D$6=4,IF($C62="银行间",$J62,$L62),$G62)))+AV$2/100,情景分析!$D$7,"",,,,"",)*IF($H62="",1,$H62))</f>
        <v/>
      </c>
      <c r="AW62" s="7" t="str">
        <f>IF($A62="","",[2]!B_CALC_PRICE($A62,$AQ$1,IF(情景分析!$D$6=1,$J62,IF(情景分析!$D$6=2,$E62,IF(情景分析!$D$6=4,IF($C62="银行间",$J62,$L62),$G62)))+AW$2/100,情景分析!$D$7,"",,,,"",)*IF($H62="",1,$H62))</f>
        <v/>
      </c>
    </row>
    <row r="63" spans="1:49" x14ac:dyDescent="0.15">
      <c r="A63" s="20"/>
      <c r="B63" s="7" t="str">
        <f>IF(A63="","",[2]!b_info_name(A63))</f>
        <v/>
      </c>
      <c r="C63" s="7" t="str">
        <f>[2]!b_info_listedmkt(A63)</f>
        <v>#N/A</v>
      </c>
      <c r="D63" s="7" t="str">
        <f>IFERROR(IF(A63="","", [2]!b_dq_avgprice(A63, 情景分析!$D$5, 情景分析!$D$7) * IF($H63="",1,$H63)),0)</f>
        <v/>
      </c>
      <c r="E63" s="7" t="str">
        <f>IF(A63="","", N([2]!b_dq_avgprice(A63,情景分析!$D$5,3)))</f>
        <v/>
      </c>
      <c r="F63" s="29" t="str">
        <f>IF($G63 = "",
"",
IFERROR(
[2]!b_calc_pv(A63, 情景分析!$D$5,$G63, "1", 情景分析!$D$7),
[2]!b_calc_pv(A63, 情景分析!$D$5,$G63, "2", 情景分析!$D$7)
)
)</f>
        <v/>
      </c>
      <c r="G63" s="22"/>
      <c r="H63" s="21"/>
      <c r="I63" s="7" t="str">
        <f>IF(A63="","",IF(情景分析!$D$7=1,[2]!b_anal_net_cnbd(A63,情景分析!$D$5,1),[2]!b_anal_dirty_cnbd(A63,情景分析!$D$5,1))*IF($H63="",1,$H63))</f>
        <v/>
      </c>
      <c r="J63" s="7" t="str">
        <f>IF(A63="","",[2]!b_anal_yield_cnbd(A63,情景分析!$D$5,1))</f>
        <v/>
      </c>
      <c r="K63" s="29" t="str">
        <f>IF(A63="","",IF(情景分析!$D$7=1,[2]!b_anal_net_csi1(A63,情景分析!$D$5,1),[2]!b_anal_dirty_csi1(A63,情景分析!$D$5,1))*IF($H63="",1,$H63))</f>
        <v/>
      </c>
      <c r="L63" s="29" t="str">
        <f>IF(A63="","",[2]!b_anal_yield_csi1(A63,情景分析!$D$5,1))</f>
        <v/>
      </c>
      <c r="M63" s="29" t="str">
        <f t="shared" si="4"/>
        <v/>
      </c>
      <c r="N63" s="29" t="str">
        <f t="shared" si="5"/>
        <v/>
      </c>
      <c r="O63" s="7" t="str">
        <f>IF($A63="","",[2]!B_CALC_PRICE($A63,$O$1,IF(情景分析!$D$6=1,$J63,IF(情景分析!$D$6=2,$E63,IF(情景分析!$D$6=4,IF($C63="银行间",$J63,$L63),$G63)))+O$2/100,情景分析!$D$7,"",,,,"",)*IF($H63="",1,$H63))</f>
        <v/>
      </c>
      <c r="P63" s="7" t="str">
        <f>IF($A63="","",[2]!B_CALC_PRICE($A63,$O$1,IF(情景分析!$D$6=1,$J63,IF(情景分析!$D$6=2,$E63,IF(情景分析!$D$6=4,IF($C63="银行间",$J63,$L63),$G63)))+P$2/100,情景分析!$D$7,"",,,,"",)*IF($H63="",1,$H63))</f>
        <v/>
      </c>
      <c r="Q63" s="7" t="str">
        <f>IF($A63="","",[2]!B_CALC_PRICE($A63,$O$1,IF(情景分析!$D$6=1,$J63,IF(情景分析!$D$6=2,$E63,IF(情景分析!$D$6=4,IF($C63="银行间",$J63,$L63),$G63)))+Q$2/100,情景分析!$D$7,"",,,,"",)*IF($H63="",1,$H63))</f>
        <v/>
      </c>
      <c r="R63" s="7" t="str">
        <f>IF($A63="","",[2]!B_CALC_PRICE($A63,$O$1,IF(情景分析!$D$6=1,$J63,IF(情景分析!$D$6=2,$E63,IF(情景分析!$D$6=4,IF($C63="银行间",$J63,$L63),$G63)))+R$2/100,情景分析!$D$7,"",,,,"",)*IF($H63="",1,$H63))</f>
        <v/>
      </c>
      <c r="S63" s="7" t="str">
        <f>IF($A63="","",[2]!B_CALC_PRICE($A63,$O$1,IF(情景分析!$D$6=1,$J63,IF(情景分析!$D$6=2,$E63,IF(情景分析!$D$6=4,IF($C63="银行间",$J63,$L63),$G63)))+S$2/100,情景分析!$D$7,"",,,,"",)*IF($H63="",1,$H63))</f>
        <v/>
      </c>
      <c r="T63" s="7" t="str">
        <f>IF($A63="","",[2]!B_CALC_PRICE($A63,$O$1,IF(情景分析!$D$6=1,$J63,IF(情景分析!$D$6=2,$E63,IF(情景分析!$D$6=4,IF($C63="银行间",$J63,$L63),$G63)))+T$2/100,情景分析!$D$7,"",,,,"",)*IF($H63="",1,$H63))</f>
        <v/>
      </c>
      <c r="U63" s="7" t="str">
        <f>IF($A63="","",[2]!B_CALC_PRICE($A63,$O$1,IF(情景分析!$D$6=1,$J63,IF(情景分析!$D$6=2,$E63,IF(情景分析!$D$6=4,IF($C63="银行间",$J63,$L63),$G63)))+U$2/100,情景分析!$D$7,"",,,,"",)*IF($H63="",1,$H63))</f>
        <v/>
      </c>
      <c r="V63" s="7" t="str">
        <f>IF($A63="","",[2]!B_CALC_PRICE($A63,$V$1,IF(情景分析!$D$6=1,$J63,IF(情景分析!$D$6=2,$E63,IF(情景分析!$D$6=4,IF($C63="银行间",$J63,$L63),$G63)))+V$2/100,情景分析!$D$7,"",,,,"",)*IF($H63="",1,$H63))</f>
        <v/>
      </c>
      <c r="W63" s="7" t="str">
        <f>IF($A63="","",[2]!B_CALC_PRICE($A63,$V$1,IF(情景分析!$D$6=1,$J63,IF(情景分析!$D$6=2,$E63,IF(情景分析!$D$6=4,IF($C63="银行间",$J63,$L63),$G63)))+W$2/100,情景分析!$D$7,"",,,,"",)*IF($H63="",1,$H63))</f>
        <v/>
      </c>
      <c r="X63" s="7" t="str">
        <f>IF($A63="","",[2]!B_CALC_PRICE($A63,$V$1,IF(情景分析!$D$6=1,$J63,IF(情景分析!$D$6=2,$E63,IF(情景分析!$D$6=4,IF($C63="银行间",$J63,$L63),$G63)))+X$2/100,情景分析!$D$7,"",,,,"",)*IF($H63="",1,$H63))</f>
        <v/>
      </c>
      <c r="Y63" s="7" t="str">
        <f>IF($A63="","",[2]!B_CALC_PRICE($A63,$V$1,IF(情景分析!$D$6=1,$J63,IF(情景分析!$D$6=2,$E63,IF(情景分析!$D$6=4,IF($C63="银行间",$J63,$L63),$G63)))+Y$2/100,情景分析!$D$7,"",,,,"",)*IF($H63="",1,$H63))</f>
        <v/>
      </c>
      <c r="Z63" s="7" t="str">
        <f>IF($A63="","",[2]!B_CALC_PRICE($A63,$V$1,IF(情景分析!$D$6=1,$J63,IF(情景分析!$D$6=2,$E63,IF(情景分析!$D$6=4,IF($C63="银行间",$J63,$L63),$G63)))+Z$2/100,情景分析!$D$7,"",,,,"",)*IF($H63="",1,$H63))</f>
        <v/>
      </c>
      <c r="AA63" s="7" t="str">
        <f>IF($A63="","",[2]!B_CALC_PRICE($A63,$V$1,IF(情景分析!$D$6=1,$J63,IF(情景分析!$D$6=2,$E63,IF(情景分析!$D$6=4,IF($C63="银行间",$J63,$L63),$G63)))+AA$2/100,情景分析!$D$7,"",,,,"",)*IF($H63="",1,$H63))</f>
        <v/>
      </c>
      <c r="AB63" s="7" t="str">
        <f>IF($A63="","",[2]!B_CALC_PRICE($A63,$V$1,IF(情景分析!$D$6=1,$J63,IF(情景分析!$D$6=2,$E63,IF(情景分析!$D$6=4,IF($C63="银行间",$J63,$L63),$G63)))+AB$2/100,情景分析!$D$7,"",,,,"",)*IF($H63="",1,$H63))</f>
        <v/>
      </c>
      <c r="AC63" s="7" t="str">
        <f>IF($A63="","",[2]!B_CALC_PRICE($A63,$AC$1,IF(情景分析!$D$6=1,$J63,IF(情景分析!$D$6=2,$E63,IF(情景分析!$D$6=4,IF($C63="银行间",$J63,$L63),$G63)))+AC$2/100,情景分析!$D$7,"",,,,"",)*IF($H63="",1,$H63))</f>
        <v/>
      </c>
      <c r="AD63" s="7" t="str">
        <f>IF($A63="","",[2]!B_CALC_PRICE($A63,$AC$1,IF(情景分析!$D$6=1,$J63,IF(情景分析!$D$6=2,$E63,IF(情景分析!$D$6=4,IF($C63="银行间",$J63,$L63),$G63)))+AD$2/100,情景分析!$D$7,"",,,,"",)*IF($H63="",1,$H63))</f>
        <v/>
      </c>
      <c r="AE63" s="7" t="str">
        <f>IF($A63="","",[2]!B_CALC_PRICE($A63,$AC$1,IF(情景分析!$D$6=1,$J63,IF(情景分析!$D$6=2,$E63,IF(情景分析!$D$6=4,IF($C63="银行间",$J63,$L63),$G63)))+AE$2/100,情景分析!$D$7,"",,,,"",)*IF($H63="",1,$H63))</f>
        <v/>
      </c>
      <c r="AF63" s="7" t="str">
        <f>IF($A63="","",[2]!B_CALC_PRICE($A63,$AC$1,IF(情景分析!$D$6=1,$J63,IF(情景分析!$D$6=2,$E63,IF(情景分析!$D$6=4,IF($C63="银行间",$J63,$L63),$G63)))+AF$2/100,情景分析!$D$7,"",,,,"",)*IF($H63="",1,$H63))</f>
        <v/>
      </c>
      <c r="AG63" s="7" t="str">
        <f>IF($A63="","",[2]!B_CALC_PRICE($A63,$AC$1,IF(情景分析!$D$6=1,$J63,IF(情景分析!$D$6=2,$E63,IF(情景分析!$D$6=4,IF($C63="银行间",$J63,$L63),$G63)))+AG$2/100,情景分析!$D$7,"",,,,"",)*IF($H63="",1,$H63))</f>
        <v/>
      </c>
      <c r="AH63" s="7" t="str">
        <f>IF($A63="","",[2]!B_CALC_PRICE($A63,$AC$1,IF(情景分析!$D$6=1,$J63,IF(情景分析!$D$6=2,$E63,IF(情景分析!$D$6=4,IF($C63="银行间",$J63,$L63),$G63)))+AH$2/100,情景分析!$D$7,"",,,,"",)*IF($H63="",1,$H63))</f>
        <v/>
      </c>
      <c r="AI63" s="7" t="str">
        <f>IF($A63="","",[2]!B_CALC_PRICE($A63,$AC$1,IF(情景分析!$D$6=1,$J63,IF(情景分析!$D$6=2,$E63,IF(情景分析!$D$6=4,IF($C63="银行间",$J63,$L63),$G63)))+AI$2/100,情景分析!$D$7,"",,,,"",)*IF($H63="",1,$H63))</f>
        <v/>
      </c>
      <c r="AJ63" s="7" t="str">
        <f>IF($A63="","",[2]!B_CALC_PRICE($A63,$AJ$1,IF(情景分析!$D$6=1,$J63,IF(情景分析!$D$6=2,$E63,IF(情景分析!$D$6=4,IF($C63="银行间",$J63,$L63),$G63)))+AJ$2/100,情景分析!$D$7,"",,,,"",)*IF($H63="",1,$H63))</f>
        <v/>
      </c>
      <c r="AK63" s="7" t="str">
        <f>IF($A63="","",[2]!B_CALC_PRICE($A63,$AJ$1,IF(情景分析!$D$6=1,$J63,IF(情景分析!$D$6=2,$E63,IF(情景分析!$D$6=4,IF($C63="银行间",$J63,$L63),$G63)))+AK$2/100,情景分析!$D$7,"",,,,"",)*IF($H63="",1,$H63))</f>
        <v/>
      </c>
      <c r="AL63" s="7" t="str">
        <f>IF($A63="","",[2]!B_CALC_PRICE($A63,$AJ$1,IF(情景分析!$D$6=1,$J63,IF(情景分析!$D$6=2,$E63,IF(情景分析!$D$6=4,IF($C63="银行间",$J63,$L63),$G63)))+AL$2/100,情景分析!$D$7,"",,,,"",)*IF($H63="",1,$H63))</f>
        <v/>
      </c>
      <c r="AM63" s="7" t="str">
        <f>IF($A63="","",[2]!B_CALC_PRICE($A63,$AJ$1,IF(情景分析!$D$6=1,$J63,IF(情景分析!$D$6=2,$E63,IF(情景分析!$D$6=4,IF($C63="银行间",$J63,$L63),$G63)))+AM$2/100,情景分析!$D$7,"",,,,"",)*IF($H63="",1,$H63))</f>
        <v/>
      </c>
      <c r="AN63" s="7" t="str">
        <f>IF($A63="","",[2]!B_CALC_PRICE($A63,$AJ$1,IF(情景分析!$D$6=1,$J63,IF(情景分析!$D$6=2,$E63,IF(情景分析!$D$6=4,IF($C63="银行间",$J63,$L63),$G63)))+AN$2/100,情景分析!$D$7,"",,,,"",)*IF($H63="",1,$H63))</f>
        <v/>
      </c>
      <c r="AO63" s="7" t="str">
        <f>IF($A63="","",[2]!B_CALC_PRICE($A63,$AJ$1,IF(情景分析!$D$6=1,$J63,IF(情景分析!$D$6=2,$E63,IF(情景分析!$D$6=4,IF($C63="银行间",$J63,$L63),$G63)))+AO$2/100,情景分析!$D$7,"",,,,"",)*IF($H63="",1,$H63))</f>
        <v/>
      </c>
      <c r="AP63" s="7" t="str">
        <f>IF($A63="","",[2]!B_CALC_PRICE($A63,$AJ$1,IF(情景分析!$D$6=1,$J63,IF(情景分析!$D$6=2,$E63,IF(情景分析!$D$6=4,IF($C63="银行间",$J63,$L63),$G63)))+AP$2/100,情景分析!$D$7,"",,,,"",)*IF($H63="",1,$H63))</f>
        <v/>
      </c>
      <c r="AQ63" s="7" t="str">
        <f>IF($A63="","",[2]!B_CALC_PRICE($A63,$AQ$1,IF(情景分析!$D$6=1,$J63,IF(情景分析!$D$6=2,$E63,IF(情景分析!$D$6=4,IF($C63="银行间",$J63,$L63),$G63)))+AQ$2/100,情景分析!$D$7,"",,,,"",)*IF($H63="",1,$H63))</f>
        <v/>
      </c>
      <c r="AR63" s="7" t="str">
        <f>IF($A63="","",[2]!B_CALC_PRICE($A63,$AQ$1,IF(情景分析!$D$6=1,$J63,IF(情景分析!$D$6=2,$E63,IF(情景分析!$D$6=4,IF($C63="银行间",$J63,$L63),$G63)))+AR$2/100,情景分析!$D$7,"",,,,"",)*IF($H63="",1,$H63))</f>
        <v/>
      </c>
      <c r="AS63" s="7" t="str">
        <f>IF($A63="","",[2]!B_CALC_PRICE($A63,$AQ$1,IF(情景分析!$D$6=1,$J63,IF(情景分析!$D$6=2,$E63,IF(情景分析!$D$6=4,IF($C63="银行间",$J63,$L63),$G63)))+AS$2/100,情景分析!$D$7,"",,,,"",)*IF($H63="",1,$H63))</f>
        <v/>
      </c>
      <c r="AT63" s="7" t="str">
        <f>IF($A63="","",[2]!B_CALC_PRICE($A63,$AQ$1,IF(情景分析!$D$6=1,$J63,IF(情景分析!$D$6=2,$E63,IF(情景分析!$D$6=4,IF($C63="银行间",$J63,$L63),$G63)))+AT$2/100,情景分析!$D$7,"",,,,"",)*IF($H63="",1,$H63))</f>
        <v/>
      </c>
      <c r="AU63" s="7" t="str">
        <f>IF($A63="","",[2]!B_CALC_PRICE($A63,$AQ$1,IF(情景分析!$D$6=1,$J63,IF(情景分析!$D$6=2,$E63,IF(情景分析!$D$6=4,IF($C63="银行间",$J63,$L63),$G63)))+AU$2/100,情景分析!$D$7,"",,,,"",)*IF($H63="",1,$H63))</f>
        <v/>
      </c>
      <c r="AV63" s="7" t="str">
        <f>IF($A63="","",[2]!B_CALC_PRICE($A63,$AQ$1,IF(情景分析!$D$6=1,$J63,IF(情景分析!$D$6=2,$E63,IF(情景分析!$D$6=4,IF($C63="银行间",$J63,$L63),$G63)))+AV$2/100,情景分析!$D$7,"",,,,"",)*IF($H63="",1,$H63))</f>
        <v/>
      </c>
      <c r="AW63" s="7" t="str">
        <f>IF($A63="","",[2]!B_CALC_PRICE($A63,$AQ$1,IF(情景分析!$D$6=1,$J63,IF(情景分析!$D$6=2,$E63,IF(情景分析!$D$6=4,IF($C63="银行间",$J63,$L63),$G63)))+AW$2/100,情景分析!$D$7,"",,,,"",)*IF($H63="",1,$H63))</f>
        <v/>
      </c>
    </row>
    <row r="64" spans="1:49" x14ac:dyDescent="0.15">
      <c r="A64" s="20"/>
      <c r="B64" s="7" t="str">
        <f>IF(A64="","",[2]!b_info_name(A64))</f>
        <v/>
      </c>
      <c r="C64" s="7" t="str">
        <f>[2]!b_info_listedmkt(A64)</f>
        <v>#N/A</v>
      </c>
      <c r="D64" s="7" t="str">
        <f>IFERROR(IF(A64="","", [2]!b_dq_avgprice(A64, 情景分析!$D$5, 情景分析!$D$7) * IF($H64="",1,$H64)),0)</f>
        <v/>
      </c>
      <c r="E64" s="7" t="str">
        <f>IF(A64="","", N([2]!b_dq_avgprice(A64,情景分析!$D$5,3)))</f>
        <v/>
      </c>
      <c r="F64" s="29" t="str">
        <f>IF($G64 = "",
"",
IFERROR(
[2]!b_calc_pv(A64, 情景分析!$D$5,$G64, "1", 情景分析!$D$7),
[2]!b_calc_pv(A64, 情景分析!$D$5,$G64, "2", 情景分析!$D$7)
)
)</f>
        <v/>
      </c>
      <c r="G64" s="22"/>
      <c r="H64" s="21"/>
      <c r="I64" s="7" t="str">
        <f>IF(A64="","",IF(情景分析!$D$7=1,[2]!b_anal_net_cnbd(A64,情景分析!$D$5,1),[2]!b_anal_dirty_cnbd(A64,情景分析!$D$5,1))*IF($H64="",1,$H64))</f>
        <v/>
      </c>
      <c r="J64" s="7" t="str">
        <f>IF(A64="","",[2]!b_anal_yield_cnbd(A64,情景分析!$D$5,1))</f>
        <v/>
      </c>
      <c r="K64" s="29" t="str">
        <f>IF(A64="","",IF(情景分析!$D$7=1,[2]!b_anal_net_csi1(A64,情景分析!$D$5,1),[2]!b_anal_dirty_csi1(A64,情景分析!$D$5,1))*IF($H64="",1,$H64))</f>
        <v/>
      </c>
      <c r="L64" s="29" t="str">
        <f>IF(A64="","",[2]!b_anal_yield_csi1(A64,情景分析!$D$5,1))</f>
        <v/>
      </c>
      <c r="M64" s="29" t="str">
        <f t="shared" si="4"/>
        <v/>
      </c>
      <c r="N64" s="29" t="str">
        <f t="shared" si="5"/>
        <v/>
      </c>
      <c r="O64" s="7" t="str">
        <f>IF($A64="","",[2]!B_CALC_PRICE($A64,$O$1,IF(情景分析!$D$6=1,$J64,IF(情景分析!$D$6=2,$E64,IF(情景分析!$D$6=4,IF($C64="银行间",$J64,$L64),$G64)))+O$2/100,情景分析!$D$7,"",,,,"",)*IF($H64="",1,$H64))</f>
        <v/>
      </c>
      <c r="P64" s="7" t="str">
        <f>IF($A64="","",[2]!B_CALC_PRICE($A64,$O$1,IF(情景分析!$D$6=1,$J64,IF(情景分析!$D$6=2,$E64,IF(情景分析!$D$6=4,IF($C64="银行间",$J64,$L64),$G64)))+P$2/100,情景分析!$D$7,"",,,,"",)*IF($H64="",1,$H64))</f>
        <v/>
      </c>
      <c r="Q64" s="7" t="str">
        <f>IF($A64="","",[2]!B_CALC_PRICE($A64,$O$1,IF(情景分析!$D$6=1,$J64,IF(情景分析!$D$6=2,$E64,IF(情景分析!$D$6=4,IF($C64="银行间",$J64,$L64),$G64)))+Q$2/100,情景分析!$D$7,"",,,,"",)*IF($H64="",1,$H64))</f>
        <v/>
      </c>
      <c r="R64" s="7" t="str">
        <f>IF($A64="","",[2]!B_CALC_PRICE($A64,$O$1,IF(情景分析!$D$6=1,$J64,IF(情景分析!$D$6=2,$E64,IF(情景分析!$D$6=4,IF($C64="银行间",$J64,$L64),$G64)))+R$2/100,情景分析!$D$7,"",,,,"",)*IF($H64="",1,$H64))</f>
        <v/>
      </c>
      <c r="S64" s="7" t="str">
        <f>IF($A64="","",[2]!B_CALC_PRICE($A64,$O$1,IF(情景分析!$D$6=1,$J64,IF(情景分析!$D$6=2,$E64,IF(情景分析!$D$6=4,IF($C64="银行间",$J64,$L64),$G64)))+S$2/100,情景分析!$D$7,"",,,,"",)*IF($H64="",1,$H64))</f>
        <v/>
      </c>
      <c r="T64" s="7" t="str">
        <f>IF($A64="","",[2]!B_CALC_PRICE($A64,$O$1,IF(情景分析!$D$6=1,$J64,IF(情景分析!$D$6=2,$E64,IF(情景分析!$D$6=4,IF($C64="银行间",$J64,$L64),$G64)))+T$2/100,情景分析!$D$7,"",,,,"",)*IF($H64="",1,$H64))</f>
        <v/>
      </c>
      <c r="U64" s="7" t="str">
        <f>IF($A64="","",[2]!B_CALC_PRICE($A64,$O$1,IF(情景分析!$D$6=1,$J64,IF(情景分析!$D$6=2,$E64,IF(情景分析!$D$6=4,IF($C64="银行间",$J64,$L64),$G64)))+U$2/100,情景分析!$D$7,"",,,,"",)*IF($H64="",1,$H64))</f>
        <v/>
      </c>
      <c r="V64" s="7" t="str">
        <f>IF($A64="","",[2]!B_CALC_PRICE($A64,$V$1,IF(情景分析!$D$6=1,$J64,IF(情景分析!$D$6=2,$E64,IF(情景分析!$D$6=4,IF($C64="银行间",$J64,$L64),$G64)))+V$2/100,情景分析!$D$7,"",,,,"",)*IF($H64="",1,$H64))</f>
        <v/>
      </c>
      <c r="W64" s="7" t="str">
        <f>IF($A64="","",[2]!B_CALC_PRICE($A64,$V$1,IF(情景分析!$D$6=1,$J64,IF(情景分析!$D$6=2,$E64,IF(情景分析!$D$6=4,IF($C64="银行间",$J64,$L64),$G64)))+W$2/100,情景分析!$D$7,"",,,,"",)*IF($H64="",1,$H64))</f>
        <v/>
      </c>
      <c r="X64" s="7" t="str">
        <f>IF($A64="","",[2]!B_CALC_PRICE($A64,$V$1,IF(情景分析!$D$6=1,$J64,IF(情景分析!$D$6=2,$E64,IF(情景分析!$D$6=4,IF($C64="银行间",$J64,$L64),$G64)))+X$2/100,情景分析!$D$7,"",,,,"",)*IF($H64="",1,$H64))</f>
        <v/>
      </c>
      <c r="Y64" s="7" t="str">
        <f>IF($A64="","",[2]!B_CALC_PRICE($A64,$V$1,IF(情景分析!$D$6=1,$J64,IF(情景分析!$D$6=2,$E64,IF(情景分析!$D$6=4,IF($C64="银行间",$J64,$L64),$G64)))+Y$2/100,情景分析!$D$7,"",,,,"",)*IF($H64="",1,$H64))</f>
        <v/>
      </c>
      <c r="Z64" s="7" t="str">
        <f>IF($A64="","",[2]!B_CALC_PRICE($A64,$V$1,IF(情景分析!$D$6=1,$J64,IF(情景分析!$D$6=2,$E64,IF(情景分析!$D$6=4,IF($C64="银行间",$J64,$L64),$G64)))+Z$2/100,情景分析!$D$7,"",,,,"",)*IF($H64="",1,$H64))</f>
        <v/>
      </c>
      <c r="AA64" s="7" t="str">
        <f>IF($A64="","",[2]!B_CALC_PRICE($A64,$V$1,IF(情景分析!$D$6=1,$J64,IF(情景分析!$D$6=2,$E64,IF(情景分析!$D$6=4,IF($C64="银行间",$J64,$L64),$G64)))+AA$2/100,情景分析!$D$7,"",,,,"",)*IF($H64="",1,$H64))</f>
        <v/>
      </c>
      <c r="AB64" s="7" t="str">
        <f>IF($A64="","",[2]!B_CALC_PRICE($A64,$V$1,IF(情景分析!$D$6=1,$J64,IF(情景分析!$D$6=2,$E64,IF(情景分析!$D$6=4,IF($C64="银行间",$J64,$L64),$G64)))+AB$2/100,情景分析!$D$7,"",,,,"",)*IF($H64="",1,$H64))</f>
        <v/>
      </c>
      <c r="AC64" s="7" t="str">
        <f>IF($A64="","",[2]!B_CALC_PRICE($A64,$AC$1,IF(情景分析!$D$6=1,$J64,IF(情景分析!$D$6=2,$E64,IF(情景分析!$D$6=4,IF($C64="银行间",$J64,$L64),$G64)))+AC$2/100,情景分析!$D$7,"",,,,"",)*IF($H64="",1,$H64))</f>
        <v/>
      </c>
      <c r="AD64" s="7" t="str">
        <f>IF($A64="","",[2]!B_CALC_PRICE($A64,$AC$1,IF(情景分析!$D$6=1,$J64,IF(情景分析!$D$6=2,$E64,IF(情景分析!$D$6=4,IF($C64="银行间",$J64,$L64),$G64)))+AD$2/100,情景分析!$D$7,"",,,,"",)*IF($H64="",1,$H64))</f>
        <v/>
      </c>
      <c r="AE64" s="7" t="str">
        <f>IF($A64="","",[2]!B_CALC_PRICE($A64,$AC$1,IF(情景分析!$D$6=1,$J64,IF(情景分析!$D$6=2,$E64,IF(情景分析!$D$6=4,IF($C64="银行间",$J64,$L64),$G64)))+AE$2/100,情景分析!$D$7,"",,,,"",)*IF($H64="",1,$H64))</f>
        <v/>
      </c>
      <c r="AF64" s="7" t="str">
        <f>IF($A64="","",[2]!B_CALC_PRICE($A64,$AC$1,IF(情景分析!$D$6=1,$J64,IF(情景分析!$D$6=2,$E64,IF(情景分析!$D$6=4,IF($C64="银行间",$J64,$L64),$G64)))+AF$2/100,情景分析!$D$7,"",,,,"",)*IF($H64="",1,$H64))</f>
        <v/>
      </c>
      <c r="AG64" s="7" t="str">
        <f>IF($A64="","",[2]!B_CALC_PRICE($A64,$AC$1,IF(情景分析!$D$6=1,$J64,IF(情景分析!$D$6=2,$E64,IF(情景分析!$D$6=4,IF($C64="银行间",$J64,$L64),$G64)))+AG$2/100,情景分析!$D$7,"",,,,"",)*IF($H64="",1,$H64))</f>
        <v/>
      </c>
      <c r="AH64" s="7" t="str">
        <f>IF($A64="","",[2]!B_CALC_PRICE($A64,$AC$1,IF(情景分析!$D$6=1,$J64,IF(情景分析!$D$6=2,$E64,IF(情景分析!$D$6=4,IF($C64="银行间",$J64,$L64),$G64)))+AH$2/100,情景分析!$D$7,"",,,,"",)*IF($H64="",1,$H64))</f>
        <v/>
      </c>
      <c r="AI64" s="7" t="str">
        <f>IF($A64="","",[2]!B_CALC_PRICE($A64,$AC$1,IF(情景分析!$D$6=1,$J64,IF(情景分析!$D$6=2,$E64,IF(情景分析!$D$6=4,IF($C64="银行间",$J64,$L64),$G64)))+AI$2/100,情景分析!$D$7,"",,,,"",)*IF($H64="",1,$H64))</f>
        <v/>
      </c>
      <c r="AJ64" s="7" t="str">
        <f>IF($A64="","",[2]!B_CALC_PRICE($A64,$AJ$1,IF(情景分析!$D$6=1,$J64,IF(情景分析!$D$6=2,$E64,IF(情景分析!$D$6=4,IF($C64="银行间",$J64,$L64),$G64)))+AJ$2/100,情景分析!$D$7,"",,,,"",)*IF($H64="",1,$H64))</f>
        <v/>
      </c>
      <c r="AK64" s="7" t="str">
        <f>IF($A64="","",[2]!B_CALC_PRICE($A64,$AJ$1,IF(情景分析!$D$6=1,$J64,IF(情景分析!$D$6=2,$E64,IF(情景分析!$D$6=4,IF($C64="银行间",$J64,$L64),$G64)))+AK$2/100,情景分析!$D$7,"",,,,"",)*IF($H64="",1,$H64))</f>
        <v/>
      </c>
      <c r="AL64" s="7" t="str">
        <f>IF($A64="","",[2]!B_CALC_PRICE($A64,$AJ$1,IF(情景分析!$D$6=1,$J64,IF(情景分析!$D$6=2,$E64,IF(情景分析!$D$6=4,IF($C64="银行间",$J64,$L64),$G64)))+AL$2/100,情景分析!$D$7,"",,,,"",)*IF($H64="",1,$H64))</f>
        <v/>
      </c>
      <c r="AM64" s="7" t="str">
        <f>IF($A64="","",[2]!B_CALC_PRICE($A64,$AJ$1,IF(情景分析!$D$6=1,$J64,IF(情景分析!$D$6=2,$E64,IF(情景分析!$D$6=4,IF($C64="银行间",$J64,$L64),$G64)))+AM$2/100,情景分析!$D$7,"",,,,"",)*IF($H64="",1,$H64))</f>
        <v/>
      </c>
      <c r="AN64" s="7" t="str">
        <f>IF($A64="","",[2]!B_CALC_PRICE($A64,$AJ$1,IF(情景分析!$D$6=1,$J64,IF(情景分析!$D$6=2,$E64,IF(情景分析!$D$6=4,IF($C64="银行间",$J64,$L64),$G64)))+AN$2/100,情景分析!$D$7,"",,,,"",)*IF($H64="",1,$H64))</f>
        <v/>
      </c>
      <c r="AO64" s="7" t="str">
        <f>IF($A64="","",[2]!B_CALC_PRICE($A64,$AJ$1,IF(情景分析!$D$6=1,$J64,IF(情景分析!$D$6=2,$E64,IF(情景分析!$D$6=4,IF($C64="银行间",$J64,$L64),$G64)))+AO$2/100,情景分析!$D$7,"",,,,"",)*IF($H64="",1,$H64))</f>
        <v/>
      </c>
      <c r="AP64" s="7" t="str">
        <f>IF($A64="","",[2]!B_CALC_PRICE($A64,$AJ$1,IF(情景分析!$D$6=1,$J64,IF(情景分析!$D$6=2,$E64,IF(情景分析!$D$6=4,IF($C64="银行间",$J64,$L64),$G64)))+AP$2/100,情景分析!$D$7,"",,,,"",)*IF($H64="",1,$H64))</f>
        <v/>
      </c>
      <c r="AQ64" s="7" t="str">
        <f>IF($A64="","",[2]!B_CALC_PRICE($A64,$AQ$1,IF(情景分析!$D$6=1,$J64,IF(情景分析!$D$6=2,$E64,IF(情景分析!$D$6=4,IF($C64="银行间",$J64,$L64),$G64)))+AQ$2/100,情景分析!$D$7,"",,,,"",)*IF($H64="",1,$H64))</f>
        <v/>
      </c>
      <c r="AR64" s="7" t="str">
        <f>IF($A64="","",[2]!B_CALC_PRICE($A64,$AQ$1,IF(情景分析!$D$6=1,$J64,IF(情景分析!$D$6=2,$E64,IF(情景分析!$D$6=4,IF($C64="银行间",$J64,$L64),$G64)))+AR$2/100,情景分析!$D$7,"",,,,"",)*IF($H64="",1,$H64))</f>
        <v/>
      </c>
      <c r="AS64" s="7" t="str">
        <f>IF($A64="","",[2]!B_CALC_PRICE($A64,$AQ$1,IF(情景分析!$D$6=1,$J64,IF(情景分析!$D$6=2,$E64,IF(情景分析!$D$6=4,IF($C64="银行间",$J64,$L64),$G64)))+AS$2/100,情景分析!$D$7,"",,,,"",)*IF($H64="",1,$H64))</f>
        <v/>
      </c>
      <c r="AT64" s="7" t="str">
        <f>IF($A64="","",[2]!B_CALC_PRICE($A64,$AQ$1,IF(情景分析!$D$6=1,$J64,IF(情景分析!$D$6=2,$E64,IF(情景分析!$D$6=4,IF($C64="银行间",$J64,$L64),$G64)))+AT$2/100,情景分析!$D$7,"",,,,"",)*IF($H64="",1,$H64))</f>
        <v/>
      </c>
      <c r="AU64" s="7" t="str">
        <f>IF($A64="","",[2]!B_CALC_PRICE($A64,$AQ$1,IF(情景分析!$D$6=1,$J64,IF(情景分析!$D$6=2,$E64,IF(情景分析!$D$6=4,IF($C64="银行间",$J64,$L64),$G64)))+AU$2/100,情景分析!$D$7,"",,,,"",)*IF($H64="",1,$H64))</f>
        <v/>
      </c>
      <c r="AV64" s="7" t="str">
        <f>IF($A64="","",[2]!B_CALC_PRICE($A64,$AQ$1,IF(情景分析!$D$6=1,$J64,IF(情景分析!$D$6=2,$E64,IF(情景分析!$D$6=4,IF($C64="银行间",$J64,$L64),$G64)))+AV$2/100,情景分析!$D$7,"",,,,"",)*IF($H64="",1,$H64))</f>
        <v/>
      </c>
      <c r="AW64" s="7" t="str">
        <f>IF($A64="","",[2]!B_CALC_PRICE($A64,$AQ$1,IF(情景分析!$D$6=1,$J64,IF(情景分析!$D$6=2,$E64,IF(情景分析!$D$6=4,IF($C64="银行间",$J64,$L64),$G64)))+AW$2/100,情景分析!$D$7,"",,,,"",)*IF($H64="",1,$H64))</f>
        <v/>
      </c>
    </row>
    <row r="65" spans="1:49" x14ac:dyDescent="0.15">
      <c r="A65" s="20"/>
      <c r="B65" s="7" t="str">
        <f>IF(A65="","",[2]!b_info_name(A65))</f>
        <v/>
      </c>
      <c r="C65" s="7" t="str">
        <f>[2]!b_info_listedmkt(A65)</f>
        <v>#N/A</v>
      </c>
      <c r="D65" s="7" t="str">
        <f>IFERROR(IF(A65="","", [2]!b_dq_avgprice(A65, 情景分析!$D$5, 情景分析!$D$7) * IF($H65="",1,$H65)),0)</f>
        <v/>
      </c>
      <c r="E65" s="7" t="str">
        <f>IF(A65="","", N([2]!b_dq_avgprice(A65,情景分析!$D$5,3)))</f>
        <v/>
      </c>
      <c r="F65" s="29" t="str">
        <f>IF($G65 = "",
"",
IFERROR(
[2]!b_calc_pv(A65, 情景分析!$D$5,$G65, "1", 情景分析!$D$7),
[2]!b_calc_pv(A65, 情景分析!$D$5,$G65, "2", 情景分析!$D$7)
)
)</f>
        <v/>
      </c>
      <c r="G65" s="22"/>
      <c r="H65" s="21"/>
      <c r="I65" s="7" t="str">
        <f>IF(A65="","",IF(情景分析!$D$7=1,[2]!b_anal_net_cnbd(A65,情景分析!$D$5,1),[2]!b_anal_dirty_cnbd(A65,情景分析!$D$5,1))*IF($H65="",1,$H65))</f>
        <v/>
      </c>
      <c r="J65" s="7" t="str">
        <f>IF(A65="","",[2]!b_anal_yield_cnbd(A65,情景分析!$D$5,1))</f>
        <v/>
      </c>
      <c r="K65" s="29" t="str">
        <f>IF(A65="","",IF(情景分析!$D$7=1,[2]!b_anal_net_csi1(A65,情景分析!$D$5,1),[2]!b_anal_dirty_csi1(A65,情景分析!$D$5,1))*IF($H65="",1,$H65))</f>
        <v/>
      </c>
      <c r="L65" s="29" t="str">
        <f>IF(A65="","",[2]!b_anal_yield_csi1(A65,情景分析!$D$5,1))</f>
        <v/>
      </c>
      <c r="M65" s="29" t="str">
        <f t="shared" si="4"/>
        <v/>
      </c>
      <c r="N65" s="29" t="str">
        <f t="shared" si="5"/>
        <v/>
      </c>
      <c r="O65" s="7" t="str">
        <f>IF($A65="","",[2]!B_CALC_PRICE($A65,$O$1,IF(情景分析!$D$6=1,$J65,IF(情景分析!$D$6=2,$E65,IF(情景分析!$D$6=4,IF($C65="银行间",$J65,$L65),$G65)))+O$2/100,情景分析!$D$7,"",,,,"",)*IF($H65="",1,$H65))</f>
        <v/>
      </c>
      <c r="P65" s="7" t="str">
        <f>IF($A65="","",[2]!B_CALC_PRICE($A65,$O$1,IF(情景分析!$D$6=1,$J65,IF(情景分析!$D$6=2,$E65,IF(情景分析!$D$6=4,IF($C65="银行间",$J65,$L65),$G65)))+P$2/100,情景分析!$D$7,"",,,,"",)*IF($H65="",1,$H65))</f>
        <v/>
      </c>
      <c r="Q65" s="7" t="str">
        <f>IF($A65="","",[2]!B_CALC_PRICE($A65,$O$1,IF(情景分析!$D$6=1,$J65,IF(情景分析!$D$6=2,$E65,IF(情景分析!$D$6=4,IF($C65="银行间",$J65,$L65),$G65)))+Q$2/100,情景分析!$D$7,"",,,,"",)*IF($H65="",1,$H65))</f>
        <v/>
      </c>
      <c r="R65" s="7" t="str">
        <f>IF($A65="","",[2]!B_CALC_PRICE($A65,$O$1,IF(情景分析!$D$6=1,$J65,IF(情景分析!$D$6=2,$E65,IF(情景分析!$D$6=4,IF($C65="银行间",$J65,$L65),$G65)))+R$2/100,情景分析!$D$7,"",,,,"",)*IF($H65="",1,$H65))</f>
        <v/>
      </c>
      <c r="S65" s="7" t="str">
        <f>IF($A65="","",[2]!B_CALC_PRICE($A65,$O$1,IF(情景分析!$D$6=1,$J65,IF(情景分析!$D$6=2,$E65,IF(情景分析!$D$6=4,IF($C65="银行间",$J65,$L65),$G65)))+S$2/100,情景分析!$D$7,"",,,,"",)*IF($H65="",1,$H65))</f>
        <v/>
      </c>
      <c r="T65" s="7" t="str">
        <f>IF($A65="","",[2]!B_CALC_PRICE($A65,$O$1,IF(情景分析!$D$6=1,$J65,IF(情景分析!$D$6=2,$E65,IF(情景分析!$D$6=4,IF($C65="银行间",$J65,$L65),$G65)))+T$2/100,情景分析!$D$7,"",,,,"",)*IF($H65="",1,$H65))</f>
        <v/>
      </c>
      <c r="U65" s="7" t="str">
        <f>IF($A65="","",[2]!B_CALC_PRICE($A65,$O$1,IF(情景分析!$D$6=1,$J65,IF(情景分析!$D$6=2,$E65,IF(情景分析!$D$6=4,IF($C65="银行间",$J65,$L65),$G65)))+U$2/100,情景分析!$D$7,"",,,,"",)*IF($H65="",1,$H65))</f>
        <v/>
      </c>
      <c r="V65" s="7" t="str">
        <f>IF($A65="","",[2]!B_CALC_PRICE($A65,$V$1,IF(情景分析!$D$6=1,$J65,IF(情景分析!$D$6=2,$E65,IF(情景分析!$D$6=4,IF($C65="银行间",$J65,$L65),$G65)))+V$2/100,情景分析!$D$7,"",,,,"",)*IF($H65="",1,$H65))</f>
        <v/>
      </c>
      <c r="W65" s="7" t="str">
        <f>IF($A65="","",[2]!B_CALC_PRICE($A65,$V$1,IF(情景分析!$D$6=1,$J65,IF(情景分析!$D$6=2,$E65,IF(情景分析!$D$6=4,IF($C65="银行间",$J65,$L65),$G65)))+W$2/100,情景分析!$D$7,"",,,,"",)*IF($H65="",1,$H65))</f>
        <v/>
      </c>
      <c r="X65" s="7" t="str">
        <f>IF($A65="","",[2]!B_CALC_PRICE($A65,$V$1,IF(情景分析!$D$6=1,$J65,IF(情景分析!$D$6=2,$E65,IF(情景分析!$D$6=4,IF($C65="银行间",$J65,$L65),$G65)))+X$2/100,情景分析!$D$7,"",,,,"",)*IF($H65="",1,$H65))</f>
        <v/>
      </c>
      <c r="Y65" s="7" t="str">
        <f>IF($A65="","",[2]!B_CALC_PRICE($A65,$V$1,IF(情景分析!$D$6=1,$J65,IF(情景分析!$D$6=2,$E65,IF(情景分析!$D$6=4,IF($C65="银行间",$J65,$L65),$G65)))+Y$2/100,情景分析!$D$7,"",,,,"",)*IF($H65="",1,$H65))</f>
        <v/>
      </c>
      <c r="Z65" s="7" t="str">
        <f>IF($A65="","",[2]!B_CALC_PRICE($A65,$V$1,IF(情景分析!$D$6=1,$J65,IF(情景分析!$D$6=2,$E65,IF(情景分析!$D$6=4,IF($C65="银行间",$J65,$L65),$G65)))+Z$2/100,情景分析!$D$7,"",,,,"",)*IF($H65="",1,$H65))</f>
        <v/>
      </c>
      <c r="AA65" s="7" t="str">
        <f>IF($A65="","",[2]!B_CALC_PRICE($A65,$V$1,IF(情景分析!$D$6=1,$J65,IF(情景分析!$D$6=2,$E65,IF(情景分析!$D$6=4,IF($C65="银行间",$J65,$L65),$G65)))+AA$2/100,情景分析!$D$7,"",,,,"",)*IF($H65="",1,$H65))</f>
        <v/>
      </c>
      <c r="AB65" s="7" t="str">
        <f>IF($A65="","",[2]!B_CALC_PRICE($A65,$V$1,IF(情景分析!$D$6=1,$J65,IF(情景分析!$D$6=2,$E65,IF(情景分析!$D$6=4,IF($C65="银行间",$J65,$L65),$G65)))+AB$2/100,情景分析!$D$7,"",,,,"",)*IF($H65="",1,$H65))</f>
        <v/>
      </c>
      <c r="AC65" s="7" t="str">
        <f>IF($A65="","",[2]!B_CALC_PRICE($A65,$AC$1,IF(情景分析!$D$6=1,$J65,IF(情景分析!$D$6=2,$E65,IF(情景分析!$D$6=4,IF($C65="银行间",$J65,$L65),$G65)))+AC$2/100,情景分析!$D$7,"",,,,"",)*IF($H65="",1,$H65))</f>
        <v/>
      </c>
      <c r="AD65" s="7" t="str">
        <f>IF($A65="","",[2]!B_CALC_PRICE($A65,$AC$1,IF(情景分析!$D$6=1,$J65,IF(情景分析!$D$6=2,$E65,IF(情景分析!$D$6=4,IF($C65="银行间",$J65,$L65),$G65)))+AD$2/100,情景分析!$D$7,"",,,,"",)*IF($H65="",1,$H65))</f>
        <v/>
      </c>
      <c r="AE65" s="7" t="str">
        <f>IF($A65="","",[2]!B_CALC_PRICE($A65,$AC$1,IF(情景分析!$D$6=1,$J65,IF(情景分析!$D$6=2,$E65,IF(情景分析!$D$6=4,IF($C65="银行间",$J65,$L65),$G65)))+AE$2/100,情景分析!$D$7,"",,,,"",)*IF($H65="",1,$H65))</f>
        <v/>
      </c>
      <c r="AF65" s="7" t="str">
        <f>IF($A65="","",[2]!B_CALC_PRICE($A65,$AC$1,IF(情景分析!$D$6=1,$J65,IF(情景分析!$D$6=2,$E65,IF(情景分析!$D$6=4,IF($C65="银行间",$J65,$L65),$G65)))+AF$2/100,情景分析!$D$7,"",,,,"",)*IF($H65="",1,$H65))</f>
        <v/>
      </c>
      <c r="AG65" s="7" t="str">
        <f>IF($A65="","",[2]!B_CALC_PRICE($A65,$AC$1,IF(情景分析!$D$6=1,$J65,IF(情景分析!$D$6=2,$E65,IF(情景分析!$D$6=4,IF($C65="银行间",$J65,$L65),$G65)))+AG$2/100,情景分析!$D$7,"",,,,"",)*IF($H65="",1,$H65))</f>
        <v/>
      </c>
      <c r="AH65" s="7" t="str">
        <f>IF($A65="","",[2]!B_CALC_PRICE($A65,$AC$1,IF(情景分析!$D$6=1,$J65,IF(情景分析!$D$6=2,$E65,IF(情景分析!$D$6=4,IF($C65="银行间",$J65,$L65),$G65)))+AH$2/100,情景分析!$D$7,"",,,,"",)*IF($H65="",1,$H65))</f>
        <v/>
      </c>
      <c r="AI65" s="7" t="str">
        <f>IF($A65="","",[2]!B_CALC_PRICE($A65,$AC$1,IF(情景分析!$D$6=1,$J65,IF(情景分析!$D$6=2,$E65,IF(情景分析!$D$6=4,IF($C65="银行间",$J65,$L65),$G65)))+AI$2/100,情景分析!$D$7,"",,,,"",)*IF($H65="",1,$H65))</f>
        <v/>
      </c>
      <c r="AJ65" s="7" t="str">
        <f>IF($A65="","",[2]!B_CALC_PRICE($A65,$AJ$1,IF(情景分析!$D$6=1,$J65,IF(情景分析!$D$6=2,$E65,IF(情景分析!$D$6=4,IF($C65="银行间",$J65,$L65),$G65)))+AJ$2/100,情景分析!$D$7,"",,,,"",)*IF($H65="",1,$H65))</f>
        <v/>
      </c>
      <c r="AK65" s="7" t="str">
        <f>IF($A65="","",[2]!B_CALC_PRICE($A65,$AJ$1,IF(情景分析!$D$6=1,$J65,IF(情景分析!$D$6=2,$E65,IF(情景分析!$D$6=4,IF($C65="银行间",$J65,$L65),$G65)))+AK$2/100,情景分析!$D$7,"",,,,"",)*IF($H65="",1,$H65))</f>
        <v/>
      </c>
      <c r="AL65" s="7" t="str">
        <f>IF($A65="","",[2]!B_CALC_PRICE($A65,$AJ$1,IF(情景分析!$D$6=1,$J65,IF(情景分析!$D$6=2,$E65,IF(情景分析!$D$6=4,IF($C65="银行间",$J65,$L65),$G65)))+AL$2/100,情景分析!$D$7,"",,,,"",)*IF($H65="",1,$H65))</f>
        <v/>
      </c>
      <c r="AM65" s="7" t="str">
        <f>IF($A65="","",[2]!B_CALC_PRICE($A65,$AJ$1,IF(情景分析!$D$6=1,$J65,IF(情景分析!$D$6=2,$E65,IF(情景分析!$D$6=4,IF($C65="银行间",$J65,$L65),$G65)))+AM$2/100,情景分析!$D$7,"",,,,"",)*IF($H65="",1,$H65))</f>
        <v/>
      </c>
      <c r="AN65" s="7" t="str">
        <f>IF($A65="","",[2]!B_CALC_PRICE($A65,$AJ$1,IF(情景分析!$D$6=1,$J65,IF(情景分析!$D$6=2,$E65,IF(情景分析!$D$6=4,IF($C65="银行间",$J65,$L65),$G65)))+AN$2/100,情景分析!$D$7,"",,,,"",)*IF($H65="",1,$H65))</f>
        <v/>
      </c>
      <c r="AO65" s="7" t="str">
        <f>IF($A65="","",[2]!B_CALC_PRICE($A65,$AJ$1,IF(情景分析!$D$6=1,$J65,IF(情景分析!$D$6=2,$E65,IF(情景分析!$D$6=4,IF($C65="银行间",$J65,$L65),$G65)))+AO$2/100,情景分析!$D$7,"",,,,"",)*IF($H65="",1,$H65))</f>
        <v/>
      </c>
      <c r="AP65" s="7" t="str">
        <f>IF($A65="","",[2]!B_CALC_PRICE($A65,$AJ$1,IF(情景分析!$D$6=1,$J65,IF(情景分析!$D$6=2,$E65,IF(情景分析!$D$6=4,IF($C65="银行间",$J65,$L65),$G65)))+AP$2/100,情景分析!$D$7,"",,,,"",)*IF($H65="",1,$H65))</f>
        <v/>
      </c>
      <c r="AQ65" s="7" t="str">
        <f>IF($A65="","",[2]!B_CALC_PRICE($A65,$AQ$1,IF(情景分析!$D$6=1,$J65,IF(情景分析!$D$6=2,$E65,IF(情景分析!$D$6=4,IF($C65="银行间",$J65,$L65),$G65)))+AQ$2/100,情景分析!$D$7,"",,,,"",)*IF($H65="",1,$H65))</f>
        <v/>
      </c>
      <c r="AR65" s="7" t="str">
        <f>IF($A65="","",[2]!B_CALC_PRICE($A65,$AQ$1,IF(情景分析!$D$6=1,$J65,IF(情景分析!$D$6=2,$E65,IF(情景分析!$D$6=4,IF($C65="银行间",$J65,$L65),$G65)))+AR$2/100,情景分析!$D$7,"",,,,"",)*IF($H65="",1,$H65))</f>
        <v/>
      </c>
      <c r="AS65" s="7" t="str">
        <f>IF($A65="","",[2]!B_CALC_PRICE($A65,$AQ$1,IF(情景分析!$D$6=1,$J65,IF(情景分析!$D$6=2,$E65,IF(情景分析!$D$6=4,IF($C65="银行间",$J65,$L65),$G65)))+AS$2/100,情景分析!$D$7,"",,,,"",)*IF($H65="",1,$H65))</f>
        <v/>
      </c>
      <c r="AT65" s="7" t="str">
        <f>IF($A65="","",[2]!B_CALC_PRICE($A65,$AQ$1,IF(情景分析!$D$6=1,$J65,IF(情景分析!$D$6=2,$E65,IF(情景分析!$D$6=4,IF($C65="银行间",$J65,$L65),$G65)))+AT$2/100,情景分析!$D$7,"",,,,"",)*IF($H65="",1,$H65))</f>
        <v/>
      </c>
      <c r="AU65" s="7" t="str">
        <f>IF($A65="","",[2]!B_CALC_PRICE($A65,$AQ$1,IF(情景分析!$D$6=1,$J65,IF(情景分析!$D$6=2,$E65,IF(情景分析!$D$6=4,IF($C65="银行间",$J65,$L65),$G65)))+AU$2/100,情景分析!$D$7,"",,,,"",)*IF($H65="",1,$H65))</f>
        <v/>
      </c>
      <c r="AV65" s="7" t="str">
        <f>IF($A65="","",[2]!B_CALC_PRICE($A65,$AQ$1,IF(情景分析!$D$6=1,$J65,IF(情景分析!$D$6=2,$E65,IF(情景分析!$D$6=4,IF($C65="银行间",$J65,$L65),$G65)))+AV$2/100,情景分析!$D$7,"",,,,"",)*IF($H65="",1,$H65))</f>
        <v/>
      </c>
      <c r="AW65" s="7" t="str">
        <f>IF($A65="","",[2]!B_CALC_PRICE($A65,$AQ$1,IF(情景分析!$D$6=1,$J65,IF(情景分析!$D$6=2,$E65,IF(情景分析!$D$6=4,IF($C65="银行间",$J65,$L65),$G65)))+AW$2/100,情景分析!$D$7,"",,,,"",)*IF($H65="",1,$H65))</f>
        <v/>
      </c>
    </row>
    <row r="66" spans="1:49" x14ac:dyDescent="0.15">
      <c r="A66" s="20"/>
      <c r="B66" s="7" t="str">
        <f>IF(A66="","",[2]!b_info_name(A66))</f>
        <v/>
      </c>
      <c r="C66" s="7" t="str">
        <f>[2]!b_info_listedmkt(A66)</f>
        <v>#N/A</v>
      </c>
      <c r="D66" s="7" t="str">
        <f>IFERROR(IF(A66="","", [2]!b_dq_avgprice(A66, 情景分析!$D$5, 情景分析!$D$7) * IF($H66="",1,$H66)),0)</f>
        <v/>
      </c>
      <c r="E66" s="7" t="str">
        <f>IF(A66="","", N([2]!b_dq_avgprice(A66,情景分析!$D$5,3)))</f>
        <v/>
      </c>
      <c r="F66" s="29" t="str">
        <f>IF($G66 = "",
"",
IFERROR(
[2]!b_calc_pv(A66, 情景分析!$D$5,$G66, "1", 情景分析!$D$7),
[2]!b_calc_pv(A66, 情景分析!$D$5,$G66, "2", 情景分析!$D$7)
)
)</f>
        <v/>
      </c>
      <c r="G66" s="22"/>
      <c r="H66" s="21"/>
      <c r="I66" s="7" t="str">
        <f>IF(A66="","",IF(情景分析!$D$7=1,[2]!b_anal_net_cnbd(A66,情景分析!$D$5,1),[2]!b_anal_dirty_cnbd(A66,情景分析!$D$5,1))*IF($H66="",1,$H66))</f>
        <v/>
      </c>
      <c r="J66" s="7" t="str">
        <f>IF(A66="","",[2]!b_anal_yield_cnbd(A66,情景分析!$D$5,1))</f>
        <v/>
      </c>
      <c r="K66" s="29" t="str">
        <f>IF(A66="","",IF(情景分析!$D$7=1,[2]!b_anal_net_csi1(A66,情景分析!$D$5,1),[2]!b_anal_dirty_csi1(A66,情景分析!$D$5,1))*IF($H66="",1,$H66))</f>
        <v/>
      </c>
      <c r="L66" s="29" t="str">
        <f>IF(A66="","",[2]!b_anal_yield_csi1(A66,情景分析!$D$5,1))</f>
        <v/>
      </c>
      <c r="M66" s="29" t="str">
        <f t="shared" si="4"/>
        <v/>
      </c>
      <c r="N66" s="29" t="str">
        <f t="shared" si="5"/>
        <v/>
      </c>
      <c r="O66" s="7" t="str">
        <f>IF($A66="","",[2]!B_CALC_PRICE($A66,$O$1,IF(情景分析!$D$6=1,$J66,IF(情景分析!$D$6=2,$E66,IF(情景分析!$D$6=4,IF($C66="银行间",$J66,$L66),$G66)))+O$2/100,情景分析!$D$7,"",,,,"",)*IF($H66="",1,$H66))</f>
        <v/>
      </c>
      <c r="P66" s="7" t="str">
        <f>IF($A66="","",[2]!B_CALC_PRICE($A66,$O$1,IF(情景分析!$D$6=1,$J66,IF(情景分析!$D$6=2,$E66,IF(情景分析!$D$6=4,IF($C66="银行间",$J66,$L66),$G66)))+P$2/100,情景分析!$D$7,"",,,,"",)*IF($H66="",1,$H66))</f>
        <v/>
      </c>
      <c r="Q66" s="7" t="str">
        <f>IF($A66="","",[2]!B_CALC_PRICE($A66,$O$1,IF(情景分析!$D$6=1,$J66,IF(情景分析!$D$6=2,$E66,IF(情景分析!$D$6=4,IF($C66="银行间",$J66,$L66),$G66)))+Q$2/100,情景分析!$D$7,"",,,,"",)*IF($H66="",1,$H66))</f>
        <v/>
      </c>
      <c r="R66" s="7" t="str">
        <f>IF($A66="","",[2]!B_CALC_PRICE($A66,$O$1,IF(情景分析!$D$6=1,$J66,IF(情景分析!$D$6=2,$E66,IF(情景分析!$D$6=4,IF($C66="银行间",$J66,$L66),$G66)))+R$2/100,情景分析!$D$7,"",,,,"",)*IF($H66="",1,$H66))</f>
        <v/>
      </c>
      <c r="S66" s="7" t="str">
        <f>IF($A66="","",[2]!B_CALC_PRICE($A66,$O$1,IF(情景分析!$D$6=1,$J66,IF(情景分析!$D$6=2,$E66,IF(情景分析!$D$6=4,IF($C66="银行间",$J66,$L66),$G66)))+S$2/100,情景分析!$D$7,"",,,,"",)*IF($H66="",1,$H66))</f>
        <v/>
      </c>
      <c r="T66" s="7" t="str">
        <f>IF($A66="","",[2]!B_CALC_PRICE($A66,$O$1,IF(情景分析!$D$6=1,$J66,IF(情景分析!$D$6=2,$E66,IF(情景分析!$D$6=4,IF($C66="银行间",$J66,$L66),$G66)))+T$2/100,情景分析!$D$7,"",,,,"",)*IF($H66="",1,$H66))</f>
        <v/>
      </c>
      <c r="U66" s="7" t="str">
        <f>IF($A66="","",[2]!B_CALC_PRICE($A66,$O$1,IF(情景分析!$D$6=1,$J66,IF(情景分析!$D$6=2,$E66,IF(情景分析!$D$6=4,IF($C66="银行间",$J66,$L66),$G66)))+U$2/100,情景分析!$D$7,"",,,,"",)*IF($H66="",1,$H66))</f>
        <v/>
      </c>
      <c r="V66" s="7" t="str">
        <f>IF($A66="","",[2]!B_CALC_PRICE($A66,$V$1,IF(情景分析!$D$6=1,$J66,IF(情景分析!$D$6=2,$E66,IF(情景分析!$D$6=4,IF($C66="银行间",$J66,$L66),$G66)))+V$2/100,情景分析!$D$7,"",,,,"",)*IF($H66="",1,$H66))</f>
        <v/>
      </c>
      <c r="W66" s="7" t="str">
        <f>IF($A66="","",[2]!B_CALC_PRICE($A66,$V$1,IF(情景分析!$D$6=1,$J66,IF(情景分析!$D$6=2,$E66,IF(情景分析!$D$6=4,IF($C66="银行间",$J66,$L66),$G66)))+W$2/100,情景分析!$D$7,"",,,,"",)*IF($H66="",1,$H66))</f>
        <v/>
      </c>
      <c r="X66" s="7" t="str">
        <f>IF($A66="","",[2]!B_CALC_PRICE($A66,$V$1,IF(情景分析!$D$6=1,$J66,IF(情景分析!$D$6=2,$E66,IF(情景分析!$D$6=4,IF($C66="银行间",$J66,$L66),$G66)))+X$2/100,情景分析!$D$7,"",,,,"",)*IF($H66="",1,$H66))</f>
        <v/>
      </c>
      <c r="Y66" s="7" t="str">
        <f>IF($A66="","",[2]!B_CALC_PRICE($A66,$V$1,IF(情景分析!$D$6=1,$J66,IF(情景分析!$D$6=2,$E66,IF(情景分析!$D$6=4,IF($C66="银行间",$J66,$L66),$G66)))+Y$2/100,情景分析!$D$7,"",,,,"",)*IF($H66="",1,$H66))</f>
        <v/>
      </c>
      <c r="Z66" s="7" t="str">
        <f>IF($A66="","",[2]!B_CALC_PRICE($A66,$V$1,IF(情景分析!$D$6=1,$J66,IF(情景分析!$D$6=2,$E66,IF(情景分析!$D$6=4,IF($C66="银行间",$J66,$L66),$G66)))+Z$2/100,情景分析!$D$7,"",,,,"",)*IF($H66="",1,$H66))</f>
        <v/>
      </c>
      <c r="AA66" s="7" t="str">
        <f>IF($A66="","",[2]!B_CALC_PRICE($A66,$V$1,IF(情景分析!$D$6=1,$J66,IF(情景分析!$D$6=2,$E66,IF(情景分析!$D$6=4,IF($C66="银行间",$J66,$L66),$G66)))+AA$2/100,情景分析!$D$7,"",,,,"",)*IF($H66="",1,$H66))</f>
        <v/>
      </c>
      <c r="AB66" s="7" t="str">
        <f>IF($A66="","",[2]!B_CALC_PRICE($A66,$V$1,IF(情景分析!$D$6=1,$J66,IF(情景分析!$D$6=2,$E66,IF(情景分析!$D$6=4,IF($C66="银行间",$J66,$L66),$G66)))+AB$2/100,情景分析!$D$7,"",,,,"",)*IF($H66="",1,$H66))</f>
        <v/>
      </c>
      <c r="AC66" s="7" t="str">
        <f>IF($A66="","",[2]!B_CALC_PRICE($A66,$AC$1,IF(情景分析!$D$6=1,$J66,IF(情景分析!$D$6=2,$E66,IF(情景分析!$D$6=4,IF($C66="银行间",$J66,$L66),$G66)))+AC$2/100,情景分析!$D$7,"",,,,"",)*IF($H66="",1,$H66))</f>
        <v/>
      </c>
      <c r="AD66" s="7" t="str">
        <f>IF($A66="","",[2]!B_CALC_PRICE($A66,$AC$1,IF(情景分析!$D$6=1,$J66,IF(情景分析!$D$6=2,$E66,IF(情景分析!$D$6=4,IF($C66="银行间",$J66,$L66),$G66)))+AD$2/100,情景分析!$D$7,"",,,,"",)*IF($H66="",1,$H66))</f>
        <v/>
      </c>
      <c r="AE66" s="7" t="str">
        <f>IF($A66="","",[2]!B_CALC_PRICE($A66,$AC$1,IF(情景分析!$D$6=1,$J66,IF(情景分析!$D$6=2,$E66,IF(情景分析!$D$6=4,IF($C66="银行间",$J66,$L66),$G66)))+AE$2/100,情景分析!$D$7,"",,,,"",)*IF($H66="",1,$H66))</f>
        <v/>
      </c>
      <c r="AF66" s="7" t="str">
        <f>IF($A66="","",[2]!B_CALC_PRICE($A66,$AC$1,IF(情景分析!$D$6=1,$J66,IF(情景分析!$D$6=2,$E66,IF(情景分析!$D$6=4,IF($C66="银行间",$J66,$L66),$G66)))+AF$2/100,情景分析!$D$7,"",,,,"",)*IF($H66="",1,$H66))</f>
        <v/>
      </c>
      <c r="AG66" s="7" t="str">
        <f>IF($A66="","",[2]!B_CALC_PRICE($A66,$AC$1,IF(情景分析!$D$6=1,$J66,IF(情景分析!$D$6=2,$E66,IF(情景分析!$D$6=4,IF($C66="银行间",$J66,$L66),$G66)))+AG$2/100,情景分析!$D$7,"",,,,"",)*IF($H66="",1,$H66))</f>
        <v/>
      </c>
      <c r="AH66" s="7" t="str">
        <f>IF($A66="","",[2]!B_CALC_PRICE($A66,$AC$1,IF(情景分析!$D$6=1,$J66,IF(情景分析!$D$6=2,$E66,IF(情景分析!$D$6=4,IF($C66="银行间",$J66,$L66),$G66)))+AH$2/100,情景分析!$D$7,"",,,,"",)*IF($H66="",1,$H66))</f>
        <v/>
      </c>
      <c r="AI66" s="7" t="str">
        <f>IF($A66="","",[2]!B_CALC_PRICE($A66,$AC$1,IF(情景分析!$D$6=1,$J66,IF(情景分析!$D$6=2,$E66,IF(情景分析!$D$6=4,IF($C66="银行间",$J66,$L66),$G66)))+AI$2/100,情景分析!$D$7,"",,,,"",)*IF($H66="",1,$H66))</f>
        <v/>
      </c>
      <c r="AJ66" s="7" t="str">
        <f>IF($A66="","",[2]!B_CALC_PRICE($A66,$AJ$1,IF(情景分析!$D$6=1,$J66,IF(情景分析!$D$6=2,$E66,IF(情景分析!$D$6=4,IF($C66="银行间",$J66,$L66),$G66)))+AJ$2/100,情景分析!$D$7,"",,,,"",)*IF($H66="",1,$H66))</f>
        <v/>
      </c>
      <c r="AK66" s="7" t="str">
        <f>IF($A66="","",[2]!B_CALC_PRICE($A66,$AJ$1,IF(情景分析!$D$6=1,$J66,IF(情景分析!$D$6=2,$E66,IF(情景分析!$D$6=4,IF($C66="银行间",$J66,$L66),$G66)))+AK$2/100,情景分析!$D$7,"",,,,"",)*IF($H66="",1,$H66))</f>
        <v/>
      </c>
      <c r="AL66" s="7" t="str">
        <f>IF($A66="","",[2]!B_CALC_PRICE($A66,$AJ$1,IF(情景分析!$D$6=1,$J66,IF(情景分析!$D$6=2,$E66,IF(情景分析!$D$6=4,IF($C66="银行间",$J66,$L66),$G66)))+AL$2/100,情景分析!$D$7,"",,,,"",)*IF($H66="",1,$H66))</f>
        <v/>
      </c>
      <c r="AM66" s="7" t="str">
        <f>IF($A66="","",[2]!B_CALC_PRICE($A66,$AJ$1,IF(情景分析!$D$6=1,$J66,IF(情景分析!$D$6=2,$E66,IF(情景分析!$D$6=4,IF($C66="银行间",$J66,$L66),$G66)))+AM$2/100,情景分析!$D$7,"",,,,"",)*IF($H66="",1,$H66))</f>
        <v/>
      </c>
      <c r="AN66" s="7" t="str">
        <f>IF($A66="","",[2]!B_CALC_PRICE($A66,$AJ$1,IF(情景分析!$D$6=1,$J66,IF(情景分析!$D$6=2,$E66,IF(情景分析!$D$6=4,IF($C66="银行间",$J66,$L66),$G66)))+AN$2/100,情景分析!$D$7,"",,,,"",)*IF($H66="",1,$H66))</f>
        <v/>
      </c>
      <c r="AO66" s="7" t="str">
        <f>IF($A66="","",[2]!B_CALC_PRICE($A66,$AJ$1,IF(情景分析!$D$6=1,$J66,IF(情景分析!$D$6=2,$E66,IF(情景分析!$D$6=4,IF($C66="银行间",$J66,$L66),$G66)))+AO$2/100,情景分析!$D$7,"",,,,"",)*IF($H66="",1,$H66))</f>
        <v/>
      </c>
      <c r="AP66" s="7" t="str">
        <f>IF($A66="","",[2]!B_CALC_PRICE($A66,$AJ$1,IF(情景分析!$D$6=1,$J66,IF(情景分析!$D$6=2,$E66,IF(情景分析!$D$6=4,IF($C66="银行间",$J66,$L66),$G66)))+AP$2/100,情景分析!$D$7,"",,,,"",)*IF($H66="",1,$H66))</f>
        <v/>
      </c>
      <c r="AQ66" s="7" t="str">
        <f>IF($A66="","",[2]!B_CALC_PRICE($A66,$AQ$1,IF(情景分析!$D$6=1,$J66,IF(情景分析!$D$6=2,$E66,IF(情景分析!$D$6=4,IF($C66="银行间",$J66,$L66),$G66)))+AQ$2/100,情景分析!$D$7,"",,,,"",)*IF($H66="",1,$H66))</f>
        <v/>
      </c>
      <c r="AR66" s="7" t="str">
        <f>IF($A66="","",[2]!B_CALC_PRICE($A66,$AQ$1,IF(情景分析!$D$6=1,$J66,IF(情景分析!$D$6=2,$E66,IF(情景分析!$D$6=4,IF($C66="银行间",$J66,$L66),$G66)))+AR$2/100,情景分析!$D$7,"",,,,"",)*IF($H66="",1,$H66))</f>
        <v/>
      </c>
      <c r="AS66" s="7" t="str">
        <f>IF($A66="","",[2]!B_CALC_PRICE($A66,$AQ$1,IF(情景分析!$D$6=1,$J66,IF(情景分析!$D$6=2,$E66,IF(情景分析!$D$6=4,IF($C66="银行间",$J66,$L66),$G66)))+AS$2/100,情景分析!$D$7,"",,,,"",)*IF($H66="",1,$H66))</f>
        <v/>
      </c>
      <c r="AT66" s="7" t="str">
        <f>IF($A66="","",[2]!B_CALC_PRICE($A66,$AQ$1,IF(情景分析!$D$6=1,$J66,IF(情景分析!$D$6=2,$E66,IF(情景分析!$D$6=4,IF($C66="银行间",$J66,$L66),$G66)))+AT$2/100,情景分析!$D$7,"",,,,"",)*IF($H66="",1,$H66))</f>
        <v/>
      </c>
      <c r="AU66" s="7" t="str">
        <f>IF($A66="","",[2]!B_CALC_PRICE($A66,$AQ$1,IF(情景分析!$D$6=1,$J66,IF(情景分析!$D$6=2,$E66,IF(情景分析!$D$6=4,IF($C66="银行间",$J66,$L66),$G66)))+AU$2/100,情景分析!$D$7,"",,,,"",)*IF($H66="",1,$H66))</f>
        <v/>
      </c>
      <c r="AV66" s="7" t="str">
        <f>IF($A66="","",[2]!B_CALC_PRICE($A66,$AQ$1,IF(情景分析!$D$6=1,$J66,IF(情景分析!$D$6=2,$E66,IF(情景分析!$D$6=4,IF($C66="银行间",$J66,$L66),$G66)))+AV$2/100,情景分析!$D$7,"",,,,"",)*IF($H66="",1,$H66))</f>
        <v/>
      </c>
      <c r="AW66" s="7" t="str">
        <f>IF($A66="","",[2]!B_CALC_PRICE($A66,$AQ$1,IF(情景分析!$D$6=1,$J66,IF(情景分析!$D$6=2,$E66,IF(情景分析!$D$6=4,IF($C66="银行间",$J66,$L66),$G66)))+AW$2/100,情景分析!$D$7,"",,,,"",)*IF($H66="",1,$H66))</f>
        <v/>
      </c>
    </row>
    <row r="67" spans="1:49" x14ac:dyDescent="0.15">
      <c r="A67" s="20"/>
      <c r="B67" s="7" t="str">
        <f>IF(A67="","",[2]!b_info_name(A67))</f>
        <v/>
      </c>
      <c r="C67" s="7" t="str">
        <f>[2]!b_info_listedmkt(A67)</f>
        <v>#N/A</v>
      </c>
      <c r="D67" s="7" t="str">
        <f>IFERROR(IF(A67="","", [2]!b_dq_avgprice(A67, 情景分析!$D$5, 情景分析!$D$7) * IF($H67="",1,$H67)),0)</f>
        <v/>
      </c>
      <c r="E67" s="7" t="str">
        <f>IF(A67="","", N([2]!b_dq_avgprice(A67,情景分析!$D$5,3)))</f>
        <v/>
      </c>
      <c r="F67" s="29" t="str">
        <f>IF($G67 = "",
"",
IFERROR(
[2]!b_calc_pv(A67, 情景分析!$D$5,$G67, "1", 情景分析!$D$7),
[2]!b_calc_pv(A67, 情景分析!$D$5,$G67, "2", 情景分析!$D$7)
)
)</f>
        <v/>
      </c>
      <c r="G67" s="22"/>
      <c r="H67" s="21"/>
      <c r="I67" s="7" t="str">
        <f>IF(A67="","",IF(情景分析!$D$7=1,[2]!b_anal_net_cnbd(A67,情景分析!$D$5,1),[2]!b_anal_dirty_cnbd(A67,情景分析!$D$5,1))*IF($H67="",1,$H67))</f>
        <v/>
      </c>
      <c r="J67" s="7" t="str">
        <f>IF(A67="","",[2]!b_anal_yield_cnbd(A67,情景分析!$D$5,1))</f>
        <v/>
      </c>
      <c r="K67" s="29" t="str">
        <f>IF(A67="","",IF(情景分析!$D$7=1,[2]!b_anal_net_csi1(A67,情景分析!$D$5,1),[2]!b_anal_dirty_csi1(A67,情景分析!$D$5,1))*IF($H67="",1,$H67))</f>
        <v/>
      </c>
      <c r="L67" s="29" t="str">
        <f>IF(A67="","",[2]!b_anal_yield_csi1(A67,情景分析!$D$5,1))</f>
        <v/>
      </c>
      <c r="M67" s="29" t="str">
        <f t="shared" si="4"/>
        <v/>
      </c>
      <c r="N67" s="29" t="str">
        <f t="shared" si="5"/>
        <v/>
      </c>
      <c r="O67" s="7" t="str">
        <f>IF($A67="","",[2]!B_CALC_PRICE($A67,$O$1,IF(情景分析!$D$6=1,$J67,IF(情景分析!$D$6=2,$E67,IF(情景分析!$D$6=4,IF($C67="银行间",$J67,$L67),$G67)))+O$2/100,情景分析!$D$7,"",,,,"",)*IF($H67="",1,$H67))</f>
        <v/>
      </c>
      <c r="P67" s="7" t="str">
        <f>IF($A67="","",[2]!B_CALC_PRICE($A67,$O$1,IF(情景分析!$D$6=1,$J67,IF(情景分析!$D$6=2,$E67,IF(情景分析!$D$6=4,IF($C67="银行间",$J67,$L67),$G67)))+P$2/100,情景分析!$D$7,"",,,,"",)*IF($H67="",1,$H67))</f>
        <v/>
      </c>
      <c r="Q67" s="7" t="str">
        <f>IF($A67="","",[2]!B_CALC_PRICE($A67,$O$1,IF(情景分析!$D$6=1,$J67,IF(情景分析!$D$6=2,$E67,IF(情景分析!$D$6=4,IF($C67="银行间",$J67,$L67),$G67)))+Q$2/100,情景分析!$D$7,"",,,,"",)*IF($H67="",1,$H67))</f>
        <v/>
      </c>
      <c r="R67" s="7" t="str">
        <f>IF($A67="","",[2]!B_CALC_PRICE($A67,$O$1,IF(情景分析!$D$6=1,$J67,IF(情景分析!$D$6=2,$E67,IF(情景分析!$D$6=4,IF($C67="银行间",$J67,$L67),$G67)))+R$2/100,情景分析!$D$7,"",,,,"",)*IF($H67="",1,$H67))</f>
        <v/>
      </c>
      <c r="S67" s="7" t="str">
        <f>IF($A67="","",[2]!B_CALC_PRICE($A67,$O$1,IF(情景分析!$D$6=1,$J67,IF(情景分析!$D$6=2,$E67,IF(情景分析!$D$6=4,IF($C67="银行间",$J67,$L67),$G67)))+S$2/100,情景分析!$D$7,"",,,,"",)*IF($H67="",1,$H67))</f>
        <v/>
      </c>
      <c r="T67" s="7" t="str">
        <f>IF($A67="","",[2]!B_CALC_PRICE($A67,$O$1,IF(情景分析!$D$6=1,$J67,IF(情景分析!$D$6=2,$E67,IF(情景分析!$D$6=4,IF($C67="银行间",$J67,$L67),$G67)))+T$2/100,情景分析!$D$7,"",,,,"",)*IF($H67="",1,$H67))</f>
        <v/>
      </c>
      <c r="U67" s="7" t="str">
        <f>IF($A67="","",[2]!B_CALC_PRICE($A67,$O$1,IF(情景分析!$D$6=1,$J67,IF(情景分析!$D$6=2,$E67,IF(情景分析!$D$6=4,IF($C67="银行间",$J67,$L67),$G67)))+U$2/100,情景分析!$D$7,"",,,,"",)*IF($H67="",1,$H67))</f>
        <v/>
      </c>
      <c r="V67" s="7" t="str">
        <f>IF($A67="","",[2]!B_CALC_PRICE($A67,$V$1,IF(情景分析!$D$6=1,$J67,IF(情景分析!$D$6=2,$E67,IF(情景分析!$D$6=4,IF($C67="银行间",$J67,$L67),$G67)))+V$2/100,情景分析!$D$7,"",,,,"",)*IF($H67="",1,$H67))</f>
        <v/>
      </c>
      <c r="W67" s="7" t="str">
        <f>IF($A67="","",[2]!B_CALC_PRICE($A67,$V$1,IF(情景分析!$D$6=1,$J67,IF(情景分析!$D$6=2,$E67,IF(情景分析!$D$6=4,IF($C67="银行间",$J67,$L67),$G67)))+W$2/100,情景分析!$D$7,"",,,,"",)*IF($H67="",1,$H67))</f>
        <v/>
      </c>
      <c r="X67" s="7" t="str">
        <f>IF($A67="","",[2]!B_CALC_PRICE($A67,$V$1,IF(情景分析!$D$6=1,$J67,IF(情景分析!$D$6=2,$E67,IF(情景分析!$D$6=4,IF($C67="银行间",$J67,$L67),$G67)))+X$2/100,情景分析!$D$7,"",,,,"",)*IF($H67="",1,$H67))</f>
        <v/>
      </c>
      <c r="Y67" s="7" t="str">
        <f>IF($A67="","",[2]!B_CALC_PRICE($A67,$V$1,IF(情景分析!$D$6=1,$J67,IF(情景分析!$D$6=2,$E67,IF(情景分析!$D$6=4,IF($C67="银行间",$J67,$L67),$G67)))+Y$2/100,情景分析!$D$7,"",,,,"",)*IF($H67="",1,$H67))</f>
        <v/>
      </c>
      <c r="Z67" s="7" t="str">
        <f>IF($A67="","",[2]!B_CALC_PRICE($A67,$V$1,IF(情景分析!$D$6=1,$J67,IF(情景分析!$D$6=2,$E67,IF(情景分析!$D$6=4,IF($C67="银行间",$J67,$L67),$G67)))+Z$2/100,情景分析!$D$7,"",,,,"",)*IF($H67="",1,$H67))</f>
        <v/>
      </c>
      <c r="AA67" s="7" t="str">
        <f>IF($A67="","",[2]!B_CALC_PRICE($A67,$V$1,IF(情景分析!$D$6=1,$J67,IF(情景分析!$D$6=2,$E67,IF(情景分析!$D$6=4,IF($C67="银行间",$J67,$L67),$G67)))+AA$2/100,情景分析!$D$7,"",,,,"",)*IF($H67="",1,$H67))</f>
        <v/>
      </c>
      <c r="AB67" s="7" t="str">
        <f>IF($A67="","",[2]!B_CALC_PRICE($A67,$V$1,IF(情景分析!$D$6=1,$J67,IF(情景分析!$D$6=2,$E67,IF(情景分析!$D$6=4,IF($C67="银行间",$J67,$L67),$G67)))+AB$2/100,情景分析!$D$7,"",,,,"",)*IF($H67="",1,$H67))</f>
        <v/>
      </c>
      <c r="AC67" s="7" t="str">
        <f>IF($A67="","",[2]!B_CALC_PRICE($A67,$AC$1,IF(情景分析!$D$6=1,$J67,IF(情景分析!$D$6=2,$E67,IF(情景分析!$D$6=4,IF($C67="银行间",$J67,$L67),$G67)))+AC$2/100,情景分析!$D$7,"",,,,"",)*IF($H67="",1,$H67))</f>
        <v/>
      </c>
      <c r="AD67" s="7" t="str">
        <f>IF($A67="","",[2]!B_CALC_PRICE($A67,$AC$1,IF(情景分析!$D$6=1,$J67,IF(情景分析!$D$6=2,$E67,IF(情景分析!$D$6=4,IF($C67="银行间",$J67,$L67),$G67)))+AD$2/100,情景分析!$D$7,"",,,,"",)*IF($H67="",1,$H67))</f>
        <v/>
      </c>
      <c r="AE67" s="7" t="str">
        <f>IF($A67="","",[2]!B_CALC_PRICE($A67,$AC$1,IF(情景分析!$D$6=1,$J67,IF(情景分析!$D$6=2,$E67,IF(情景分析!$D$6=4,IF($C67="银行间",$J67,$L67),$G67)))+AE$2/100,情景分析!$D$7,"",,,,"",)*IF($H67="",1,$H67))</f>
        <v/>
      </c>
      <c r="AF67" s="7" t="str">
        <f>IF($A67="","",[2]!B_CALC_PRICE($A67,$AC$1,IF(情景分析!$D$6=1,$J67,IF(情景分析!$D$6=2,$E67,IF(情景分析!$D$6=4,IF($C67="银行间",$J67,$L67),$G67)))+AF$2/100,情景分析!$D$7,"",,,,"",)*IF($H67="",1,$H67))</f>
        <v/>
      </c>
      <c r="AG67" s="7" t="str">
        <f>IF($A67="","",[2]!B_CALC_PRICE($A67,$AC$1,IF(情景分析!$D$6=1,$J67,IF(情景分析!$D$6=2,$E67,IF(情景分析!$D$6=4,IF($C67="银行间",$J67,$L67),$G67)))+AG$2/100,情景分析!$D$7,"",,,,"",)*IF($H67="",1,$H67))</f>
        <v/>
      </c>
      <c r="AH67" s="7" t="str">
        <f>IF($A67="","",[2]!B_CALC_PRICE($A67,$AC$1,IF(情景分析!$D$6=1,$J67,IF(情景分析!$D$6=2,$E67,IF(情景分析!$D$6=4,IF($C67="银行间",$J67,$L67),$G67)))+AH$2/100,情景分析!$D$7,"",,,,"",)*IF($H67="",1,$H67))</f>
        <v/>
      </c>
      <c r="AI67" s="7" t="str">
        <f>IF($A67="","",[2]!B_CALC_PRICE($A67,$AC$1,IF(情景分析!$D$6=1,$J67,IF(情景分析!$D$6=2,$E67,IF(情景分析!$D$6=4,IF($C67="银行间",$J67,$L67),$G67)))+AI$2/100,情景分析!$D$7,"",,,,"",)*IF($H67="",1,$H67))</f>
        <v/>
      </c>
      <c r="AJ67" s="7" t="str">
        <f>IF($A67="","",[2]!B_CALC_PRICE($A67,$AJ$1,IF(情景分析!$D$6=1,$J67,IF(情景分析!$D$6=2,$E67,IF(情景分析!$D$6=4,IF($C67="银行间",$J67,$L67),$G67)))+AJ$2/100,情景分析!$D$7,"",,,,"",)*IF($H67="",1,$H67))</f>
        <v/>
      </c>
      <c r="AK67" s="7" t="str">
        <f>IF($A67="","",[2]!B_CALC_PRICE($A67,$AJ$1,IF(情景分析!$D$6=1,$J67,IF(情景分析!$D$6=2,$E67,IF(情景分析!$D$6=4,IF($C67="银行间",$J67,$L67),$G67)))+AK$2/100,情景分析!$D$7,"",,,,"",)*IF($H67="",1,$H67))</f>
        <v/>
      </c>
      <c r="AL67" s="7" t="str">
        <f>IF($A67="","",[2]!B_CALC_PRICE($A67,$AJ$1,IF(情景分析!$D$6=1,$J67,IF(情景分析!$D$6=2,$E67,IF(情景分析!$D$6=4,IF($C67="银行间",$J67,$L67),$G67)))+AL$2/100,情景分析!$D$7,"",,,,"",)*IF($H67="",1,$H67))</f>
        <v/>
      </c>
      <c r="AM67" s="7" t="str">
        <f>IF($A67="","",[2]!B_CALC_PRICE($A67,$AJ$1,IF(情景分析!$D$6=1,$J67,IF(情景分析!$D$6=2,$E67,IF(情景分析!$D$6=4,IF($C67="银行间",$J67,$L67),$G67)))+AM$2/100,情景分析!$D$7,"",,,,"",)*IF($H67="",1,$H67))</f>
        <v/>
      </c>
      <c r="AN67" s="7" t="str">
        <f>IF($A67="","",[2]!B_CALC_PRICE($A67,$AJ$1,IF(情景分析!$D$6=1,$J67,IF(情景分析!$D$6=2,$E67,IF(情景分析!$D$6=4,IF($C67="银行间",$J67,$L67),$G67)))+AN$2/100,情景分析!$D$7,"",,,,"",)*IF($H67="",1,$H67))</f>
        <v/>
      </c>
      <c r="AO67" s="7" t="str">
        <f>IF($A67="","",[2]!B_CALC_PRICE($A67,$AJ$1,IF(情景分析!$D$6=1,$J67,IF(情景分析!$D$6=2,$E67,IF(情景分析!$D$6=4,IF($C67="银行间",$J67,$L67),$G67)))+AO$2/100,情景分析!$D$7,"",,,,"",)*IF($H67="",1,$H67))</f>
        <v/>
      </c>
      <c r="AP67" s="7" t="str">
        <f>IF($A67="","",[2]!B_CALC_PRICE($A67,$AJ$1,IF(情景分析!$D$6=1,$J67,IF(情景分析!$D$6=2,$E67,IF(情景分析!$D$6=4,IF($C67="银行间",$J67,$L67),$G67)))+AP$2/100,情景分析!$D$7,"",,,,"",)*IF($H67="",1,$H67))</f>
        <v/>
      </c>
      <c r="AQ67" s="7" t="str">
        <f>IF($A67="","",[2]!B_CALC_PRICE($A67,$AQ$1,IF(情景分析!$D$6=1,$J67,IF(情景分析!$D$6=2,$E67,IF(情景分析!$D$6=4,IF($C67="银行间",$J67,$L67),$G67)))+AQ$2/100,情景分析!$D$7,"",,,,"",)*IF($H67="",1,$H67))</f>
        <v/>
      </c>
      <c r="AR67" s="7" t="str">
        <f>IF($A67="","",[2]!B_CALC_PRICE($A67,$AQ$1,IF(情景分析!$D$6=1,$J67,IF(情景分析!$D$6=2,$E67,IF(情景分析!$D$6=4,IF($C67="银行间",$J67,$L67),$G67)))+AR$2/100,情景分析!$D$7,"",,,,"",)*IF($H67="",1,$H67))</f>
        <v/>
      </c>
      <c r="AS67" s="7" t="str">
        <f>IF($A67="","",[2]!B_CALC_PRICE($A67,$AQ$1,IF(情景分析!$D$6=1,$J67,IF(情景分析!$D$6=2,$E67,IF(情景分析!$D$6=4,IF($C67="银行间",$J67,$L67),$G67)))+AS$2/100,情景分析!$D$7,"",,,,"",)*IF($H67="",1,$H67))</f>
        <v/>
      </c>
      <c r="AT67" s="7" t="str">
        <f>IF($A67="","",[2]!B_CALC_PRICE($A67,$AQ$1,IF(情景分析!$D$6=1,$J67,IF(情景分析!$D$6=2,$E67,IF(情景分析!$D$6=4,IF($C67="银行间",$J67,$L67),$G67)))+AT$2/100,情景分析!$D$7,"",,,,"",)*IF($H67="",1,$H67))</f>
        <v/>
      </c>
      <c r="AU67" s="7" t="str">
        <f>IF($A67="","",[2]!B_CALC_PRICE($A67,$AQ$1,IF(情景分析!$D$6=1,$J67,IF(情景分析!$D$6=2,$E67,IF(情景分析!$D$6=4,IF($C67="银行间",$J67,$L67),$G67)))+AU$2/100,情景分析!$D$7,"",,,,"",)*IF($H67="",1,$H67))</f>
        <v/>
      </c>
      <c r="AV67" s="7" t="str">
        <f>IF($A67="","",[2]!B_CALC_PRICE($A67,$AQ$1,IF(情景分析!$D$6=1,$J67,IF(情景分析!$D$6=2,$E67,IF(情景分析!$D$6=4,IF($C67="银行间",$J67,$L67),$G67)))+AV$2/100,情景分析!$D$7,"",,,,"",)*IF($H67="",1,$H67))</f>
        <v/>
      </c>
      <c r="AW67" s="7" t="str">
        <f>IF($A67="","",[2]!B_CALC_PRICE($A67,$AQ$1,IF(情景分析!$D$6=1,$J67,IF(情景分析!$D$6=2,$E67,IF(情景分析!$D$6=4,IF($C67="银行间",$J67,$L67),$G67)))+AW$2/100,情景分析!$D$7,"",,,,"",)*IF($H67="",1,$H67))</f>
        <v/>
      </c>
    </row>
    <row r="68" spans="1:49" x14ac:dyDescent="0.15">
      <c r="A68" s="20"/>
      <c r="B68" s="7" t="str">
        <f>IF(A68="","",[2]!b_info_name(A68))</f>
        <v/>
      </c>
      <c r="C68" s="7" t="str">
        <f>[2]!b_info_listedmkt(A68)</f>
        <v>#N/A</v>
      </c>
      <c r="D68" s="7" t="str">
        <f>IFERROR(IF(A68="","", [2]!b_dq_avgprice(A68, 情景分析!$D$5, 情景分析!$D$7) * IF($H68="",1,$H68)),0)</f>
        <v/>
      </c>
      <c r="E68" s="7" t="str">
        <f>IF(A68="","", N([2]!b_dq_avgprice(A68,情景分析!$D$5,3)))</f>
        <v/>
      </c>
      <c r="F68" s="29" t="str">
        <f>IF($G68 = "",
"",
IFERROR(
[2]!b_calc_pv(A68, 情景分析!$D$5,$G68, "1", 情景分析!$D$7),
[2]!b_calc_pv(A68, 情景分析!$D$5,$G68, "2", 情景分析!$D$7)
)
)</f>
        <v/>
      </c>
      <c r="G68" s="22"/>
      <c r="H68" s="21"/>
      <c r="I68" s="7" t="str">
        <f>IF(A68="","",IF(情景分析!$D$7=1,[2]!b_anal_net_cnbd(A68,情景分析!$D$5,1),[2]!b_anal_dirty_cnbd(A68,情景分析!$D$5,1))*IF($H68="",1,$H68))</f>
        <v/>
      </c>
      <c r="J68" s="7" t="str">
        <f>IF(A68="","",[2]!b_anal_yield_cnbd(A68,情景分析!$D$5,1))</f>
        <v/>
      </c>
      <c r="K68" s="29" t="str">
        <f>IF(A68="","",IF(情景分析!$D$7=1,[2]!b_anal_net_csi1(A68,情景分析!$D$5,1),[2]!b_anal_dirty_csi1(A68,情景分析!$D$5,1))*IF($H68="",1,$H68))</f>
        <v/>
      </c>
      <c r="L68" s="29" t="str">
        <f>IF(A68="","",[2]!b_anal_yield_csi1(A68,情景分析!$D$5,1))</f>
        <v/>
      </c>
      <c r="M68" s="29" t="str">
        <f t="shared" si="4"/>
        <v/>
      </c>
      <c r="N68" s="29" t="str">
        <f t="shared" si="5"/>
        <v/>
      </c>
      <c r="O68" s="7" t="str">
        <f>IF($A68="","",[2]!B_CALC_PRICE($A68,$O$1,IF(情景分析!$D$6=1,$J68,IF(情景分析!$D$6=2,$E68,IF(情景分析!$D$6=4,IF($C68="银行间",$J68,$L68),$G68)))+O$2/100,情景分析!$D$7,"",,,,"",)*IF($H68="",1,$H68))</f>
        <v/>
      </c>
      <c r="P68" s="7" t="str">
        <f>IF($A68="","",[2]!B_CALC_PRICE($A68,$O$1,IF(情景分析!$D$6=1,$J68,IF(情景分析!$D$6=2,$E68,IF(情景分析!$D$6=4,IF($C68="银行间",$J68,$L68),$G68)))+P$2/100,情景分析!$D$7,"",,,,"",)*IF($H68="",1,$H68))</f>
        <v/>
      </c>
      <c r="Q68" s="7" t="str">
        <f>IF($A68="","",[2]!B_CALC_PRICE($A68,$O$1,IF(情景分析!$D$6=1,$J68,IF(情景分析!$D$6=2,$E68,IF(情景分析!$D$6=4,IF($C68="银行间",$J68,$L68),$G68)))+Q$2/100,情景分析!$D$7,"",,,,"",)*IF($H68="",1,$H68))</f>
        <v/>
      </c>
      <c r="R68" s="7" t="str">
        <f>IF($A68="","",[2]!B_CALC_PRICE($A68,$O$1,IF(情景分析!$D$6=1,$J68,IF(情景分析!$D$6=2,$E68,IF(情景分析!$D$6=4,IF($C68="银行间",$J68,$L68),$G68)))+R$2/100,情景分析!$D$7,"",,,,"",)*IF($H68="",1,$H68))</f>
        <v/>
      </c>
      <c r="S68" s="7" t="str">
        <f>IF($A68="","",[2]!B_CALC_PRICE($A68,$O$1,IF(情景分析!$D$6=1,$J68,IF(情景分析!$D$6=2,$E68,IF(情景分析!$D$6=4,IF($C68="银行间",$J68,$L68),$G68)))+S$2/100,情景分析!$D$7,"",,,,"",)*IF($H68="",1,$H68))</f>
        <v/>
      </c>
      <c r="T68" s="7" t="str">
        <f>IF($A68="","",[2]!B_CALC_PRICE($A68,$O$1,IF(情景分析!$D$6=1,$J68,IF(情景分析!$D$6=2,$E68,IF(情景分析!$D$6=4,IF($C68="银行间",$J68,$L68),$G68)))+T$2/100,情景分析!$D$7,"",,,,"",)*IF($H68="",1,$H68))</f>
        <v/>
      </c>
      <c r="U68" s="7" t="str">
        <f>IF($A68="","",[2]!B_CALC_PRICE($A68,$O$1,IF(情景分析!$D$6=1,$J68,IF(情景分析!$D$6=2,$E68,IF(情景分析!$D$6=4,IF($C68="银行间",$J68,$L68),$G68)))+U$2/100,情景分析!$D$7,"",,,,"",)*IF($H68="",1,$H68))</f>
        <v/>
      </c>
      <c r="V68" s="7" t="str">
        <f>IF($A68="","",[2]!B_CALC_PRICE($A68,$V$1,IF(情景分析!$D$6=1,$J68,IF(情景分析!$D$6=2,$E68,IF(情景分析!$D$6=4,IF($C68="银行间",$J68,$L68),$G68)))+V$2/100,情景分析!$D$7,"",,,,"",)*IF($H68="",1,$H68))</f>
        <v/>
      </c>
      <c r="W68" s="7" t="str">
        <f>IF($A68="","",[2]!B_CALC_PRICE($A68,$V$1,IF(情景分析!$D$6=1,$J68,IF(情景分析!$D$6=2,$E68,IF(情景分析!$D$6=4,IF($C68="银行间",$J68,$L68),$G68)))+W$2/100,情景分析!$D$7,"",,,,"",)*IF($H68="",1,$H68))</f>
        <v/>
      </c>
      <c r="X68" s="7" t="str">
        <f>IF($A68="","",[2]!B_CALC_PRICE($A68,$V$1,IF(情景分析!$D$6=1,$J68,IF(情景分析!$D$6=2,$E68,IF(情景分析!$D$6=4,IF($C68="银行间",$J68,$L68),$G68)))+X$2/100,情景分析!$D$7,"",,,,"",)*IF($H68="",1,$H68))</f>
        <v/>
      </c>
      <c r="Y68" s="7" t="str">
        <f>IF($A68="","",[2]!B_CALC_PRICE($A68,$V$1,IF(情景分析!$D$6=1,$J68,IF(情景分析!$D$6=2,$E68,IF(情景分析!$D$6=4,IF($C68="银行间",$J68,$L68),$G68)))+Y$2/100,情景分析!$D$7,"",,,,"",)*IF($H68="",1,$H68))</f>
        <v/>
      </c>
      <c r="Z68" s="7" t="str">
        <f>IF($A68="","",[2]!B_CALC_PRICE($A68,$V$1,IF(情景分析!$D$6=1,$J68,IF(情景分析!$D$6=2,$E68,IF(情景分析!$D$6=4,IF($C68="银行间",$J68,$L68),$G68)))+Z$2/100,情景分析!$D$7,"",,,,"",)*IF($H68="",1,$H68))</f>
        <v/>
      </c>
      <c r="AA68" s="7" t="str">
        <f>IF($A68="","",[2]!B_CALC_PRICE($A68,$V$1,IF(情景分析!$D$6=1,$J68,IF(情景分析!$D$6=2,$E68,IF(情景分析!$D$6=4,IF($C68="银行间",$J68,$L68),$G68)))+AA$2/100,情景分析!$D$7,"",,,,"",)*IF($H68="",1,$H68))</f>
        <v/>
      </c>
      <c r="AB68" s="7" t="str">
        <f>IF($A68="","",[2]!B_CALC_PRICE($A68,$V$1,IF(情景分析!$D$6=1,$J68,IF(情景分析!$D$6=2,$E68,IF(情景分析!$D$6=4,IF($C68="银行间",$J68,$L68),$G68)))+AB$2/100,情景分析!$D$7,"",,,,"",)*IF($H68="",1,$H68))</f>
        <v/>
      </c>
      <c r="AC68" s="7" t="str">
        <f>IF($A68="","",[2]!B_CALC_PRICE($A68,$AC$1,IF(情景分析!$D$6=1,$J68,IF(情景分析!$D$6=2,$E68,IF(情景分析!$D$6=4,IF($C68="银行间",$J68,$L68),$G68)))+AC$2/100,情景分析!$D$7,"",,,,"",)*IF($H68="",1,$H68))</f>
        <v/>
      </c>
      <c r="AD68" s="7" t="str">
        <f>IF($A68="","",[2]!B_CALC_PRICE($A68,$AC$1,IF(情景分析!$D$6=1,$J68,IF(情景分析!$D$6=2,$E68,IF(情景分析!$D$6=4,IF($C68="银行间",$J68,$L68),$G68)))+AD$2/100,情景分析!$D$7,"",,,,"",)*IF($H68="",1,$H68))</f>
        <v/>
      </c>
      <c r="AE68" s="7" t="str">
        <f>IF($A68="","",[2]!B_CALC_PRICE($A68,$AC$1,IF(情景分析!$D$6=1,$J68,IF(情景分析!$D$6=2,$E68,IF(情景分析!$D$6=4,IF($C68="银行间",$J68,$L68),$G68)))+AE$2/100,情景分析!$D$7,"",,,,"",)*IF($H68="",1,$H68))</f>
        <v/>
      </c>
      <c r="AF68" s="7" t="str">
        <f>IF($A68="","",[2]!B_CALC_PRICE($A68,$AC$1,IF(情景分析!$D$6=1,$J68,IF(情景分析!$D$6=2,$E68,IF(情景分析!$D$6=4,IF($C68="银行间",$J68,$L68),$G68)))+AF$2/100,情景分析!$D$7,"",,,,"",)*IF($H68="",1,$H68))</f>
        <v/>
      </c>
      <c r="AG68" s="7" t="str">
        <f>IF($A68="","",[2]!B_CALC_PRICE($A68,$AC$1,IF(情景分析!$D$6=1,$J68,IF(情景分析!$D$6=2,$E68,IF(情景分析!$D$6=4,IF($C68="银行间",$J68,$L68),$G68)))+AG$2/100,情景分析!$D$7,"",,,,"",)*IF($H68="",1,$H68))</f>
        <v/>
      </c>
      <c r="AH68" s="7" t="str">
        <f>IF($A68="","",[2]!B_CALC_PRICE($A68,$AC$1,IF(情景分析!$D$6=1,$J68,IF(情景分析!$D$6=2,$E68,IF(情景分析!$D$6=4,IF($C68="银行间",$J68,$L68),$G68)))+AH$2/100,情景分析!$D$7,"",,,,"",)*IF($H68="",1,$H68))</f>
        <v/>
      </c>
      <c r="AI68" s="7" t="str">
        <f>IF($A68="","",[2]!B_CALC_PRICE($A68,$AC$1,IF(情景分析!$D$6=1,$J68,IF(情景分析!$D$6=2,$E68,IF(情景分析!$D$6=4,IF($C68="银行间",$J68,$L68),$G68)))+AI$2/100,情景分析!$D$7,"",,,,"",)*IF($H68="",1,$H68))</f>
        <v/>
      </c>
      <c r="AJ68" s="7" t="str">
        <f>IF($A68="","",[2]!B_CALC_PRICE($A68,$AJ$1,IF(情景分析!$D$6=1,$J68,IF(情景分析!$D$6=2,$E68,IF(情景分析!$D$6=4,IF($C68="银行间",$J68,$L68),$G68)))+AJ$2/100,情景分析!$D$7,"",,,,"",)*IF($H68="",1,$H68))</f>
        <v/>
      </c>
      <c r="AK68" s="7" t="str">
        <f>IF($A68="","",[2]!B_CALC_PRICE($A68,$AJ$1,IF(情景分析!$D$6=1,$J68,IF(情景分析!$D$6=2,$E68,IF(情景分析!$D$6=4,IF($C68="银行间",$J68,$L68),$G68)))+AK$2/100,情景分析!$D$7,"",,,,"",)*IF($H68="",1,$H68))</f>
        <v/>
      </c>
      <c r="AL68" s="7" t="str">
        <f>IF($A68="","",[2]!B_CALC_PRICE($A68,$AJ$1,IF(情景分析!$D$6=1,$J68,IF(情景分析!$D$6=2,$E68,IF(情景分析!$D$6=4,IF($C68="银行间",$J68,$L68),$G68)))+AL$2/100,情景分析!$D$7,"",,,,"",)*IF($H68="",1,$H68))</f>
        <v/>
      </c>
      <c r="AM68" s="7" t="str">
        <f>IF($A68="","",[2]!B_CALC_PRICE($A68,$AJ$1,IF(情景分析!$D$6=1,$J68,IF(情景分析!$D$6=2,$E68,IF(情景分析!$D$6=4,IF($C68="银行间",$J68,$L68),$G68)))+AM$2/100,情景分析!$D$7,"",,,,"",)*IF($H68="",1,$H68))</f>
        <v/>
      </c>
      <c r="AN68" s="7" t="str">
        <f>IF($A68="","",[2]!B_CALC_PRICE($A68,$AJ$1,IF(情景分析!$D$6=1,$J68,IF(情景分析!$D$6=2,$E68,IF(情景分析!$D$6=4,IF($C68="银行间",$J68,$L68),$G68)))+AN$2/100,情景分析!$D$7,"",,,,"",)*IF($H68="",1,$H68))</f>
        <v/>
      </c>
      <c r="AO68" s="7" t="str">
        <f>IF($A68="","",[2]!B_CALC_PRICE($A68,$AJ$1,IF(情景分析!$D$6=1,$J68,IF(情景分析!$D$6=2,$E68,IF(情景分析!$D$6=4,IF($C68="银行间",$J68,$L68),$G68)))+AO$2/100,情景分析!$D$7,"",,,,"",)*IF($H68="",1,$H68))</f>
        <v/>
      </c>
      <c r="AP68" s="7" t="str">
        <f>IF($A68="","",[2]!B_CALC_PRICE($A68,$AJ$1,IF(情景分析!$D$6=1,$J68,IF(情景分析!$D$6=2,$E68,IF(情景分析!$D$6=4,IF($C68="银行间",$J68,$L68),$G68)))+AP$2/100,情景分析!$D$7,"",,,,"",)*IF($H68="",1,$H68))</f>
        <v/>
      </c>
      <c r="AQ68" s="7" t="str">
        <f>IF($A68="","",[2]!B_CALC_PRICE($A68,$AQ$1,IF(情景分析!$D$6=1,$J68,IF(情景分析!$D$6=2,$E68,IF(情景分析!$D$6=4,IF($C68="银行间",$J68,$L68),$G68)))+AQ$2/100,情景分析!$D$7,"",,,,"",)*IF($H68="",1,$H68))</f>
        <v/>
      </c>
      <c r="AR68" s="7" t="str">
        <f>IF($A68="","",[2]!B_CALC_PRICE($A68,$AQ$1,IF(情景分析!$D$6=1,$J68,IF(情景分析!$D$6=2,$E68,IF(情景分析!$D$6=4,IF($C68="银行间",$J68,$L68),$G68)))+AR$2/100,情景分析!$D$7,"",,,,"",)*IF($H68="",1,$H68))</f>
        <v/>
      </c>
      <c r="AS68" s="7" t="str">
        <f>IF($A68="","",[2]!B_CALC_PRICE($A68,$AQ$1,IF(情景分析!$D$6=1,$J68,IF(情景分析!$D$6=2,$E68,IF(情景分析!$D$6=4,IF($C68="银行间",$J68,$L68),$G68)))+AS$2/100,情景分析!$D$7,"",,,,"",)*IF($H68="",1,$H68))</f>
        <v/>
      </c>
      <c r="AT68" s="7" t="str">
        <f>IF($A68="","",[2]!B_CALC_PRICE($A68,$AQ$1,IF(情景分析!$D$6=1,$J68,IF(情景分析!$D$6=2,$E68,IF(情景分析!$D$6=4,IF($C68="银行间",$J68,$L68),$G68)))+AT$2/100,情景分析!$D$7,"",,,,"",)*IF($H68="",1,$H68))</f>
        <v/>
      </c>
      <c r="AU68" s="7" t="str">
        <f>IF($A68="","",[2]!B_CALC_PRICE($A68,$AQ$1,IF(情景分析!$D$6=1,$J68,IF(情景分析!$D$6=2,$E68,IF(情景分析!$D$6=4,IF($C68="银行间",$J68,$L68),$G68)))+AU$2/100,情景分析!$D$7,"",,,,"",)*IF($H68="",1,$H68))</f>
        <v/>
      </c>
      <c r="AV68" s="7" t="str">
        <f>IF($A68="","",[2]!B_CALC_PRICE($A68,$AQ$1,IF(情景分析!$D$6=1,$J68,IF(情景分析!$D$6=2,$E68,IF(情景分析!$D$6=4,IF($C68="银行间",$J68,$L68),$G68)))+AV$2/100,情景分析!$D$7,"",,,,"",)*IF($H68="",1,$H68))</f>
        <v/>
      </c>
      <c r="AW68" s="7" t="str">
        <f>IF($A68="","",[2]!B_CALC_PRICE($A68,$AQ$1,IF(情景分析!$D$6=1,$J68,IF(情景分析!$D$6=2,$E68,IF(情景分析!$D$6=4,IF($C68="银行间",$J68,$L68),$G68)))+AW$2/100,情景分析!$D$7,"",,,,"",)*IF($H68="",1,$H68))</f>
        <v/>
      </c>
    </row>
    <row r="69" spans="1:49" x14ac:dyDescent="0.15">
      <c r="A69" s="20"/>
      <c r="B69" s="7" t="str">
        <f>IF(A69="","",[2]!b_info_name(A69))</f>
        <v/>
      </c>
      <c r="C69" s="7" t="str">
        <f>[2]!b_info_listedmkt(A69)</f>
        <v>#N/A</v>
      </c>
      <c r="D69" s="7" t="str">
        <f>IFERROR(IF(A69="","", [2]!b_dq_avgprice(A69, 情景分析!$D$5, 情景分析!$D$7) * IF($H69="",1,$H69)),0)</f>
        <v/>
      </c>
      <c r="E69" s="7" t="str">
        <f>IF(A69="","", N([2]!b_dq_avgprice(A69,情景分析!$D$5,3)))</f>
        <v/>
      </c>
      <c r="F69" s="29" t="str">
        <f>IF($G69 = "",
"",
IFERROR(
[2]!b_calc_pv(A69, 情景分析!$D$5,$G69, "1", 情景分析!$D$7),
[2]!b_calc_pv(A69, 情景分析!$D$5,$G69, "2", 情景分析!$D$7)
)
)</f>
        <v/>
      </c>
      <c r="G69" s="22"/>
      <c r="H69" s="21"/>
      <c r="I69" s="7" t="str">
        <f>IF(A69="","",IF(情景分析!$D$7=1,[2]!b_anal_net_cnbd(A69,情景分析!$D$5,1),[2]!b_anal_dirty_cnbd(A69,情景分析!$D$5,1))*IF($H69="",1,$H69))</f>
        <v/>
      </c>
      <c r="J69" s="7" t="str">
        <f>IF(A69="","",[2]!b_anal_yield_cnbd(A69,情景分析!$D$5,1))</f>
        <v/>
      </c>
      <c r="K69" s="29" t="str">
        <f>IF(A69="","",IF(情景分析!$D$7=1,[2]!b_anal_net_csi1(A69,情景分析!$D$5,1),[2]!b_anal_dirty_csi1(A69,情景分析!$D$5,1))*IF($H69="",1,$H69))</f>
        <v/>
      </c>
      <c r="L69" s="29" t="str">
        <f>IF(A69="","",[2]!b_anal_yield_csi1(A69,情景分析!$D$5,1))</f>
        <v/>
      </c>
      <c r="M69" s="29" t="str">
        <f t="shared" ref="M69:M100" si="6">IF($C69="银行间",$I69,$K69)</f>
        <v/>
      </c>
      <c r="N69" s="29" t="str">
        <f t="shared" ref="N69:N100" si="7">IF($C69="银行间",$J69,$L69)</f>
        <v/>
      </c>
      <c r="O69" s="7" t="str">
        <f>IF($A69="","",[2]!B_CALC_PRICE($A69,$O$1,IF(情景分析!$D$6=1,$J69,IF(情景分析!$D$6=2,$E69,IF(情景分析!$D$6=4,IF($C69="银行间",$J69,$L69),$G69)))+O$2/100,情景分析!$D$7,"",,,,"",)*IF($H69="",1,$H69))</f>
        <v/>
      </c>
      <c r="P69" s="7" t="str">
        <f>IF($A69="","",[2]!B_CALC_PRICE($A69,$O$1,IF(情景分析!$D$6=1,$J69,IF(情景分析!$D$6=2,$E69,IF(情景分析!$D$6=4,IF($C69="银行间",$J69,$L69),$G69)))+P$2/100,情景分析!$D$7,"",,,,"",)*IF($H69="",1,$H69))</f>
        <v/>
      </c>
      <c r="Q69" s="7" t="str">
        <f>IF($A69="","",[2]!B_CALC_PRICE($A69,$O$1,IF(情景分析!$D$6=1,$J69,IF(情景分析!$D$6=2,$E69,IF(情景分析!$D$6=4,IF($C69="银行间",$J69,$L69),$G69)))+Q$2/100,情景分析!$D$7,"",,,,"",)*IF($H69="",1,$H69))</f>
        <v/>
      </c>
      <c r="R69" s="7" t="str">
        <f>IF($A69="","",[2]!B_CALC_PRICE($A69,$O$1,IF(情景分析!$D$6=1,$J69,IF(情景分析!$D$6=2,$E69,IF(情景分析!$D$6=4,IF($C69="银行间",$J69,$L69),$G69)))+R$2/100,情景分析!$D$7,"",,,,"",)*IF($H69="",1,$H69))</f>
        <v/>
      </c>
      <c r="S69" s="7" t="str">
        <f>IF($A69="","",[2]!B_CALC_PRICE($A69,$O$1,IF(情景分析!$D$6=1,$J69,IF(情景分析!$D$6=2,$E69,IF(情景分析!$D$6=4,IF($C69="银行间",$J69,$L69),$G69)))+S$2/100,情景分析!$D$7,"",,,,"",)*IF($H69="",1,$H69))</f>
        <v/>
      </c>
      <c r="T69" s="7" t="str">
        <f>IF($A69="","",[2]!B_CALC_PRICE($A69,$O$1,IF(情景分析!$D$6=1,$J69,IF(情景分析!$D$6=2,$E69,IF(情景分析!$D$6=4,IF($C69="银行间",$J69,$L69),$G69)))+T$2/100,情景分析!$D$7,"",,,,"",)*IF($H69="",1,$H69))</f>
        <v/>
      </c>
      <c r="U69" s="7" t="str">
        <f>IF($A69="","",[2]!B_CALC_PRICE($A69,$O$1,IF(情景分析!$D$6=1,$J69,IF(情景分析!$D$6=2,$E69,IF(情景分析!$D$6=4,IF($C69="银行间",$J69,$L69),$G69)))+U$2/100,情景分析!$D$7,"",,,,"",)*IF($H69="",1,$H69))</f>
        <v/>
      </c>
      <c r="V69" s="7" t="str">
        <f>IF($A69="","",[2]!B_CALC_PRICE($A69,$V$1,IF(情景分析!$D$6=1,$J69,IF(情景分析!$D$6=2,$E69,IF(情景分析!$D$6=4,IF($C69="银行间",$J69,$L69),$G69)))+V$2/100,情景分析!$D$7,"",,,,"",)*IF($H69="",1,$H69))</f>
        <v/>
      </c>
      <c r="W69" s="7" t="str">
        <f>IF($A69="","",[2]!B_CALC_PRICE($A69,$V$1,IF(情景分析!$D$6=1,$J69,IF(情景分析!$D$6=2,$E69,IF(情景分析!$D$6=4,IF($C69="银行间",$J69,$L69),$G69)))+W$2/100,情景分析!$D$7,"",,,,"",)*IF($H69="",1,$H69))</f>
        <v/>
      </c>
      <c r="X69" s="7" t="str">
        <f>IF($A69="","",[2]!B_CALC_PRICE($A69,$V$1,IF(情景分析!$D$6=1,$J69,IF(情景分析!$D$6=2,$E69,IF(情景分析!$D$6=4,IF($C69="银行间",$J69,$L69),$G69)))+X$2/100,情景分析!$D$7,"",,,,"",)*IF($H69="",1,$H69))</f>
        <v/>
      </c>
      <c r="Y69" s="7" t="str">
        <f>IF($A69="","",[2]!B_CALC_PRICE($A69,$V$1,IF(情景分析!$D$6=1,$J69,IF(情景分析!$D$6=2,$E69,IF(情景分析!$D$6=4,IF($C69="银行间",$J69,$L69),$G69)))+Y$2/100,情景分析!$D$7,"",,,,"",)*IF($H69="",1,$H69))</f>
        <v/>
      </c>
      <c r="Z69" s="7" t="str">
        <f>IF($A69="","",[2]!B_CALC_PRICE($A69,$V$1,IF(情景分析!$D$6=1,$J69,IF(情景分析!$D$6=2,$E69,IF(情景分析!$D$6=4,IF($C69="银行间",$J69,$L69),$G69)))+Z$2/100,情景分析!$D$7,"",,,,"",)*IF($H69="",1,$H69))</f>
        <v/>
      </c>
      <c r="AA69" s="7" t="str">
        <f>IF($A69="","",[2]!B_CALC_PRICE($A69,$V$1,IF(情景分析!$D$6=1,$J69,IF(情景分析!$D$6=2,$E69,IF(情景分析!$D$6=4,IF($C69="银行间",$J69,$L69),$G69)))+AA$2/100,情景分析!$D$7,"",,,,"",)*IF($H69="",1,$H69))</f>
        <v/>
      </c>
      <c r="AB69" s="7" t="str">
        <f>IF($A69="","",[2]!B_CALC_PRICE($A69,$V$1,IF(情景分析!$D$6=1,$J69,IF(情景分析!$D$6=2,$E69,IF(情景分析!$D$6=4,IF($C69="银行间",$J69,$L69),$G69)))+AB$2/100,情景分析!$D$7,"",,,,"",)*IF($H69="",1,$H69))</f>
        <v/>
      </c>
      <c r="AC69" s="7" t="str">
        <f>IF($A69="","",[2]!B_CALC_PRICE($A69,$AC$1,IF(情景分析!$D$6=1,$J69,IF(情景分析!$D$6=2,$E69,IF(情景分析!$D$6=4,IF($C69="银行间",$J69,$L69),$G69)))+AC$2/100,情景分析!$D$7,"",,,,"",)*IF($H69="",1,$H69))</f>
        <v/>
      </c>
      <c r="AD69" s="7" t="str">
        <f>IF($A69="","",[2]!B_CALC_PRICE($A69,$AC$1,IF(情景分析!$D$6=1,$J69,IF(情景分析!$D$6=2,$E69,IF(情景分析!$D$6=4,IF($C69="银行间",$J69,$L69),$G69)))+AD$2/100,情景分析!$D$7,"",,,,"",)*IF($H69="",1,$H69))</f>
        <v/>
      </c>
      <c r="AE69" s="7" t="str">
        <f>IF($A69="","",[2]!B_CALC_PRICE($A69,$AC$1,IF(情景分析!$D$6=1,$J69,IF(情景分析!$D$6=2,$E69,IF(情景分析!$D$6=4,IF($C69="银行间",$J69,$L69),$G69)))+AE$2/100,情景分析!$D$7,"",,,,"",)*IF($H69="",1,$H69))</f>
        <v/>
      </c>
      <c r="AF69" s="7" t="str">
        <f>IF($A69="","",[2]!B_CALC_PRICE($A69,$AC$1,IF(情景分析!$D$6=1,$J69,IF(情景分析!$D$6=2,$E69,IF(情景分析!$D$6=4,IF($C69="银行间",$J69,$L69),$G69)))+AF$2/100,情景分析!$D$7,"",,,,"",)*IF($H69="",1,$H69))</f>
        <v/>
      </c>
      <c r="AG69" s="7" t="str">
        <f>IF($A69="","",[2]!B_CALC_PRICE($A69,$AC$1,IF(情景分析!$D$6=1,$J69,IF(情景分析!$D$6=2,$E69,IF(情景分析!$D$6=4,IF($C69="银行间",$J69,$L69),$G69)))+AG$2/100,情景分析!$D$7,"",,,,"",)*IF($H69="",1,$H69))</f>
        <v/>
      </c>
      <c r="AH69" s="7" t="str">
        <f>IF($A69="","",[2]!B_CALC_PRICE($A69,$AC$1,IF(情景分析!$D$6=1,$J69,IF(情景分析!$D$6=2,$E69,IF(情景分析!$D$6=4,IF($C69="银行间",$J69,$L69),$G69)))+AH$2/100,情景分析!$D$7,"",,,,"",)*IF($H69="",1,$H69))</f>
        <v/>
      </c>
      <c r="AI69" s="7" t="str">
        <f>IF($A69="","",[2]!B_CALC_PRICE($A69,$AC$1,IF(情景分析!$D$6=1,$J69,IF(情景分析!$D$6=2,$E69,IF(情景分析!$D$6=4,IF($C69="银行间",$J69,$L69),$G69)))+AI$2/100,情景分析!$D$7,"",,,,"",)*IF($H69="",1,$H69))</f>
        <v/>
      </c>
      <c r="AJ69" s="7" t="str">
        <f>IF($A69="","",[2]!B_CALC_PRICE($A69,$AJ$1,IF(情景分析!$D$6=1,$J69,IF(情景分析!$D$6=2,$E69,IF(情景分析!$D$6=4,IF($C69="银行间",$J69,$L69),$G69)))+AJ$2/100,情景分析!$D$7,"",,,,"",)*IF($H69="",1,$H69))</f>
        <v/>
      </c>
      <c r="AK69" s="7" t="str">
        <f>IF($A69="","",[2]!B_CALC_PRICE($A69,$AJ$1,IF(情景分析!$D$6=1,$J69,IF(情景分析!$D$6=2,$E69,IF(情景分析!$D$6=4,IF($C69="银行间",$J69,$L69),$G69)))+AK$2/100,情景分析!$D$7,"",,,,"",)*IF($H69="",1,$H69))</f>
        <v/>
      </c>
      <c r="AL69" s="7" t="str">
        <f>IF($A69="","",[2]!B_CALC_PRICE($A69,$AJ$1,IF(情景分析!$D$6=1,$J69,IF(情景分析!$D$6=2,$E69,IF(情景分析!$D$6=4,IF($C69="银行间",$J69,$L69),$G69)))+AL$2/100,情景分析!$D$7,"",,,,"",)*IF($H69="",1,$H69))</f>
        <v/>
      </c>
      <c r="AM69" s="7" t="str">
        <f>IF($A69="","",[2]!B_CALC_PRICE($A69,$AJ$1,IF(情景分析!$D$6=1,$J69,IF(情景分析!$D$6=2,$E69,IF(情景分析!$D$6=4,IF($C69="银行间",$J69,$L69),$G69)))+AM$2/100,情景分析!$D$7,"",,,,"",)*IF($H69="",1,$H69))</f>
        <v/>
      </c>
      <c r="AN69" s="7" t="str">
        <f>IF($A69="","",[2]!B_CALC_PRICE($A69,$AJ$1,IF(情景分析!$D$6=1,$J69,IF(情景分析!$D$6=2,$E69,IF(情景分析!$D$6=4,IF($C69="银行间",$J69,$L69),$G69)))+AN$2/100,情景分析!$D$7,"",,,,"",)*IF($H69="",1,$H69))</f>
        <v/>
      </c>
      <c r="AO69" s="7" t="str">
        <f>IF($A69="","",[2]!B_CALC_PRICE($A69,$AJ$1,IF(情景分析!$D$6=1,$J69,IF(情景分析!$D$6=2,$E69,IF(情景分析!$D$6=4,IF($C69="银行间",$J69,$L69),$G69)))+AO$2/100,情景分析!$D$7,"",,,,"",)*IF($H69="",1,$H69))</f>
        <v/>
      </c>
      <c r="AP69" s="7" t="str">
        <f>IF($A69="","",[2]!B_CALC_PRICE($A69,$AJ$1,IF(情景分析!$D$6=1,$J69,IF(情景分析!$D$6=2,$E69,IF(情景分析!$D$6=4,IF($C69="银行间",$J69,$L69),$G69)))+AP$2/100,情景分析!$D$7,"",,,,"",)*IF($H69="",1,$H69))</f>
        <v/>
      </c>
      <c r="AQ69" s="7" t="str">
        <f>IF($A69="","",[2]!B_CALC_PRICE($A69,$AQ$1,IF(情景分析!$D$6=1,$J69,IF(情景分析!$D$6=2,$E69,IF(情景分析!$D$6=4,IF($C69="银行间",$J69,$L69),$G69)))+AQ$2/100,情景分析!$D$7,"",,,,"",)*IF($H69="",1,$H69))</f>
        <v/>
      </c>
      <c r="AR69" s="7" t="str">
        <f>IF($A69="","",[2]!B_CALC_PRICE($A69,$AQ$1,IF(情景分析!$D$6=1,$J69,IF(情景分析!$D$6=2,$E69,IF(情景分析!$D$6=4,IF($C69="银行间",$J69,$L69),$G69)))+AR$2/100,情景分析!$D$7,"",,,,"",)*IF($H69="",1,$H69))</f>
        <v/>
      </c>
      <c r="AS69" s="7" t="str">
        <f>IF($A69="","",[2]!B_CALC_PRICE($A69,$AQ$1,IF(情景分析!$D$6=1,$J69,IF(情景分析!$D$6=2,$E69,IF(情景分析!$D$6=4,IF($C69="银行间",$J69,$L69),$G69)))+AS$2/100,情景分析!$D$7,"",,,,"",)*IF($H69="",1,$H69))</f>
        <v/>
      </c>
      <c r="AT69" s="7" t="str">
        <f>IF($A69="","",[2]!B_CALC_PRICE($A69,$AQ$1,IF(情景分析!$D$6=1,$J69,IF(情景分析!$D$6=2,$E69,IF(情景分析!$D$6=4,IF($C69="银行间",$J69,$L69),$G69)))+AT$2/100,情景分析!$D$7,"",,,,"",)*IF($H69="",1,$H69))</f>
        <v/>
      </c>
      <c r="AU69" s="7" t="str">
        <f>IF($A69="","",[2]!B_CALC_PRICE($A69,$AQ$1,IF(情景分析!$D$6=1,$J69,IF(情景分析!$D$6=2,$E69,IF(情景分析!$D$6=4,IF($C69="银行间",$J69,$L69),$G69)))+AU$2/100,情景分析!$D$7,"",,,,"",)*IF($H69="",1,$H69))</f>
        <v/>
      </c>
      <c r="AV69" s="7" t="str">
        <f>IF($A69="","",[2]!B_CALC_PRICE($A69,$AQ$1,IF(情景分析!$D$6=1,$J69,IF(情景分析!$D$6=2,$E69,IF(情景分析!$D$6=4,IF($C69="银行间",$J69,$L69),$G69)))+AV$2/100,情景分析!$D$7,"",,,,"",)*IF($H69="",1,$H69))</f>
        <v/>
      </c>
      <c r="AW69" s="7" t="str">
        <f>IF($A69="","",[2]!B_CALC_PRICE($A69,$AQ$1,IF(情景分析!$D$6=1,$J69,IF(情景分析!$D$6=2,$E69,IF(情景分析!$D$6=4,IF($C69="银行间",$J69,$L69),$G69)))+AW$2/100,情景分析!$D$7,"",,,,"",)*IF($H69="",1,$H69))</f>
        <v/>
      </c>
    </row>
    <row r="70" spans="1:49" x14ac:dyDescent="0.15">
      <c r="A70" s="20"/>
      <c r="B70" s="7" t="str">
        <f>IF(A70="","",[2]!b_info_name(A70))</f>
        <v/>
      </c>
      <c r="C70" s="7" t="str">
        <f>[2]!b_info_listedmkt(A70)</f>
        <v>#N/A</v>
      </c>
      <c r="D70" s="7" t="str">
        <f>IFERROR(IF(A70="","", [2]!b_dq_avgprice(A70, 情景分析!$D$5, 情景分析!$D$7) * IF($H70="",1,$H70)),0)</f>
        <v/>
      </c>
      <c r="E70" s="7" t="str">
        <f>IF(A70="","", N([2]!b_dq_avgprice(A70,情景分析!$D$5,3)))</f>
        <v/>
      </c>
      <c r="F70" s="29" t="str">
        <f>IF($G70 = "",
"",
IFERROR(
[2]!b_calc_pv(A70, 情景分析!$D$5,$G70, "1", 情景分析!$D$7),
[2]!b_calc_pv(A70, 情景分析!$D$5,$G70, "2", 情景分析!$D$7)
)
)</f>
        <v/>
      </c>
      <c r="G70" s="22"/>
      <c r="H70" s="21"/>
      <c r="I70" s="7" t="str">
        <f>IF(A70="","",IF(情景分析!$D$7=1,[2]!b_anal_net_cnbd(A70,情景分析!$D$5,1),[2]!b_anal_dirty_cnbd(A70,情景分析!$D$5,1))*IF($H70="",1,$H70))</f>
        <v/>
      </c>
      <c r="J70" s="7" t="str">
        <f>IF(A70="","",[2]!b_anal_yield_cnbd(A70,情景分析!$D$5,1))</f>
        <v/>
      </c>
      <c r="K70" s="29" t="str">
        <f>IF(A70="","",IF(情景分析!$D$7=1,[2]!b_anal_net_csi1(A70,情景分析!$D$5,1),[2]!b_anal_dirty_csi1(A70,情景分析!$D$5,1))*IF($H70="",1,$H70))</f>
        <v/>
      </c>
      <c r="L70" s="29" t="str">
        <f>IF(A70="","",[2]!b_anal_yield_csi1(A70,情景分析!$D$5,1))</f>
        <v/>
      </c>
      <c r="M70" s="29" t="str">
        <f t="shared" si="6"/>
        <v/>
      </c>
      <c r="N70" s="29" t="str">
        <f t="shared" si="7"/>
        <v/>
      </c>
      <c r="O70" s="7" t="str">
        <f>IF($A70="","",[2]!B_CALC_PRICE($A70,$O$1,IF(情景分析!$D$6=1,$J70,IF(情景分析!$D$6=2,$E70,IF(情景分析!$D$6=4,IF($C70="银行间",$J70,$L70),$G70)))+O$2/100,情景分析!$D$7,"",,,,"",)*IF($H70="",1,$H70))</f>
        <v/>
      </c>
      <c r="P70" s="7" t="str">
        <f>IF($A70="","",[2]!B_CALC_PRICE($A70,$O$1,IF(情景分析!$D$6=1,$J70,IF(情景分析!$D$6=2,$E70,IF(情景分析!$D$6=4,IF($C70="银行间",$J70,$L70),$G70)))+P$2/100,情景分析!$D$7,"",,,,"",)*IF($H70="",1,$H70))</f>
        <v/>
      </c>
      <c r="Q70" s="7" t="str">
        <f>IF($A70="","",[2]!B_CALC_PRICE($A70,$O$1,IF(情景分析!$D$6=1,$J70,IF(情景分析!$D$6=2,$E70,IF(情景分析!$D$6=4,IF($C70="银行间",$J70,$L70),$G70)))+Q$2/100,情景分析!$D$7,"",,,,"",)*IF($H70="",1,$H70))</f>
        <v/>
      </c>
      <c r="R70" s="7" t="str">
        <f>IF($A70="","",[2]!B_CALC_PRICE($A70,$O$1,IF(情景分析!$D$6=1,$J70,IF(情景分析!$D$6=2,$E70,IF(情景分析!$D$6=4,IF($C70="银行间",$J70,$L70),$G70)))+R$2/100,情景分析!$D$7,"",,,,"",)*IF($H70="",1,$H70))</f>
        <v/>
      </c>
      <c r="S70" s="7" t="str">
        <f>IF($A70="","",[2]!B_CALC_PRICE($A70,$O$1,IF(情景分析!$D$6=1,$J70,IF(情景分析!$D$6=2,$E70,IF(情景分析!$D$6=4,IF($C70="银行间",$J70,$L70),$G70)))+S$2/100,情景分析!$D$7,"",,,,"",)*IF($H70="",1,$H70))</f>
        <v/>
      </c>
      <c r="T70" s="7" t="str">
        <f>IF($A70="","",[2]!B_CALC_PRICE($A70,$O$1,IF(情景分析!$D$6=1,$J70,IF(情景分析!$D$6=2,$E70,IF(情景分析!$D$6=4,IF($C70="银行间",$J70,$L70),$G70)))+T$2/100,情景分析!$D$7,"",,,,"",)*IF($H70="",1,$H70))</f>
        <v/>
      </c>
      <c r="U70" s="7" t="str">
        <f>IF($A70="","",[2]!B_CALC_PRICE($A70,$O$1,IF(情景分析!$D$6=1,$J70,IF(情景分析!$D$6=2,$E70,IF(情景分析!$D$6=4,IF($C70="银行间",$J70,$L70),$G70)))+U$2/100,情景分析!$D$7,"",,,,"",)*IF($H70="",1,$H70))</f>
        <v/>
      </c>
      <c r="V70" s="7" t="str">
        <f>IF($A70="","",[2]!B_CALC_PRICE($A70,$V$1,IF(情景分析!$D$6=1,$J70,IF(情景分析!$D$6=2,$E70,IF(情景分析!$D$6=4,IF($C70="银行间",$J70,$L70),$G70)))+V$2/100,情景分析!$D$7,"",,,,"",)*IF($H70="",1,$H70))</f>
        <v/>
      </c>
      <c r="W70" s="7" t="str">
        <f>IF($A70="","",[2]!B_CALC_PRICE($A70,$V$1,IF(情景分析!$D$6=1,$J70,IF(情景分析!$D$6=2,$E70,IF(情景分析!$D$6=4,IF($C70="银行间",$J70,$L70),$G70)))+W$2/100,情景分析!$D$7,"",,,,"",)*IF($H70="",1,$H70))</f>
        <v/>
      </c>
      <c r="X70" s="7" t="str">
        <f>IF($A70="","",[2]!B_CALC_PRICE($A70,$V$1,IF(情景分析!$D$6=1,$J70,IF(情景分析!$D$6=2,$E70,IF(情景分析!$D$6=4,IF($C70="银行间",$J70,$L70),$G70)))+X$2/100,情景分析!$D$7,"",,,,"",)*IF($H70="",1,$H70))</f>
        <v/>
      </c>
      <c r="Y70" s="7" t="str">
        <f>IF($A70="","",[2]!B_CALC_PRICE($A70,$V$1,IF(情景分析!$D$6=1,$J70,IF(情景分析!$D$6=2,$E70,IF(情景分析!$D$6=4,IF($C70="银行间",$J70,$L70),$G70)))+Y$2/100,情景分析!$D$7,"",,,,"",)*IF($H70="",1,$H70))</f>
        <v/>
      </c>
      <c r="Z70" s="7" t="str">
        <f>IF($A70="","",[2]!B_CALC_PRICE($A70,$V$1,IF(情景分析!$D$6=1,$J70,IF(情景分析!$D$6=2,$E70,IF(情景分析!$D$6=4,IF($C70="银行间",$J70,$L70),$G70)))+Z$2/100,情景分析!$D$7,"",,,,"",)*IF($H70="",1,$H70))</f>
        <v/>
      </c>
      <c r="AA70" s="7" t="str">
        <f>IF($A70="","",[2]!B_CALC_PRICE($A70,$V$1,IF(情景分析!$D$6=1,$J70,IF(情景分析!$D$6=2,$E70,IF(情景分析!$D$6=4,IF($C70="银行间",$J70,$L70),$G70)))+AA$2/100,情景分析!$D$7,"",,,,"",)*IF($H70="",1,$H70))</f>
        <v/>
      </c>
      <c r="AB70" s="7" t="str">
        <f>IF($A70="","",[2]!B_CALC_PRICE($A70,$V$1,IF(情景分析!$D$6=1,$J70,IF(情景分析!$D$6=2,$E70,IF(情景分析!$D$6=4,IF($C70="银行间",$J70,$L70),$G70)))+AB$2/100,情景分析!$D$7,"",,,,"",)*IF($H70="",1,$H70))</f>
        <v/>
      </c>
      <c r="AC70" s="7" t="str">
        <f>IF($A70="","",[2]!B_CALC_PRICE($A70,$AC$1,IF(情景分析!$D$6=1,$J70,IF(情景分析!$D$6=2,$E70,IF(情景分析!$D$6=4,IF($C70="银行间",$J70,$L70),$G70)))+AC$2/100,情景分析!$D$7,"",,,,"",)*IF($H70="",1,$H70))</f>
        <v/>
      </c>
      <c r="AD70" s="7" t="str">
        <f>IF($A70="","",[2]!B_CALC_PRICE($A70,$AC$1,IF(情景分析!$D$6=1,$J70,IF(情景分析!$D$6=2,$E70,IF(情景分析!$D$6=4,IF($C70="银行间",$J70,$L70),$G70)))+AD$2/100,情景分析!$D$7,"",,,,"",)*IF($H70="",1,$H70))</f>
        <v/>
      </c>
      <c r="AE70" s="7" t="str">
        <f>IF($A70="","",[2]!B_CALC_PRICE($A70,$AC$1,IF(情景分析!$D$6=1,$J70,IF(情景分析!$D$6=2,$E70,IF(情景分析!$D$6=4,IF($C70="银行间",$J70,$L70),$G70)))+AE$2/100,情景分析!$D$7,"",,,,"",)*IF($H70="",1,$H70))</f>
        <v/>
      </c>
      <c r="AF70" s="7" t="str">
        <f>IF($A70="","",[2]!B_CALC_PRICE($A70,$AC$1,IF(情景分析!$D$6=1,$J70,IF(情景分析!$D$6=2,$E70,IF(情景分析!$D$6=4,IF($C70="银行间",$J70,$L70),$G70)))+AF$2/100,情景分析!$D$7,"",,,,"",)*IF($H70="",1,$H70))</f>
        <v/>
      </c>
      <c r="AG70" s="7" t="str">
        <f>IF($A70="","",[2]!B_CALC_PRICE($A70,$AC$1,IF(情景分析!$D$6=1,$J70,IF(情景分析!$D$6=2,$E70,IF(情景分析!$D$6=4,IF($C70="银行间",$J70,$L70),$G70)))+AG$2/100,情景分析!$D$7,"",,,,"",)*IF($H70="",1,$H70))</f>
        <v/>
      </c>
      <c r="AH70" s="7" t="str">
        <f>IF($A70="","",[2]!B_CALC_PRICE($A70,$AC$1,IF(情景分析!$D$6=1,$J70,IF(情景分析!$D$6=2,$E70,IF(情景分析!$D$6=4,IF($C70="银行间",$J70,$L70),$G70)))+AH$2/100,情景分析!$D$7,"",,,,"",)*IF($H70="",1,$H70))</f>
        <v/>
      </c>
      <c r="AI70" s="7" t="str">
        <f>IF($A70="","",[2]!B_CALC_PRICE($A70,$AC$1,IF(情景分析!$D$6=1,$J70,IF(情景分析!$D$6=2,$E70,IF(情景分析!$D$6=4,IF($C70="银行间",$J70,$L70),$G70)))+AI$2/100,情景分析!$D$7,"",,,,"",)*IF($H70="",1,$H70))</f>
        <v/>
      </c>
      <c r="AJ70" s="7" t="str">
        <f>IF($A70="","",[2]!B_CALC_PRICE($A70,$AJ$1,IF(情景分析!$D$6=1,$J70,IF(情景分析!$D$6=2,$E70,IF(情景分析!$D$6=4,IF($C70="银行间",$J70,$L70),$G70)))+AJ$2/100,情景分析!$D$7,"",,,,"",)*IF($H70="",1,$H70))</f>
        <v/>
      </c>
      <c r="AK70" s="7" t="str">
        <f>IF($A70="","",[2]!B_CALC_PRICE($A70,$AJ$1,IF(情景分析!$D$6=1,$J70,IF(情景分析!$D$6=2,$E70,IF(情景分析!$D$6=4,IF($C70="银行间",$J70,$L70),$G70)))+AK$2/100,情景分析!$D$7,"",,,,"",)*IF($H70="",1,$H70))</f>
        <v/>
      </c>
      <c r="AL70" s="7" t="str">
        <f>IF($A70="","",[2]!B_CALC_PRICE($A70,$AJ$1,IF(情景分析!$D$6=1,$J70,IF(情景分析!$D$6=2,$E70,IF(情景分析!$D$6=4,IF($C70="银行间",$J70,$L70),$G70)))+AL$2/100,情景分析!$D$7,"",,,,"",)*IF($H70="",1,$H70))</f>
        <v/>
      </c>
      <c r="AM70" s="7" t="str">
        <f>IF($A70="","",[2]!B_CALC_PRICE($A70,$AJ$1,IF(情景分析!$D$6=1,$J70,IF(情景分析!$D$6=2,$E70,IF(情景分析!$D$6=4,IF($C70="银行间",$J70,$L70),$G70)))+AM$2/100,情景分析!$D$7,"",,,,"",)*IF($H70="",1,$H70))</f>
        <v/>
      </c>
      <c r="AN70" s="7" t="str">
        <f>IF($A70="","",[2]!B_CALC_PRICE($A70,$AJ$1,IF(情景分析!$D$6=1,$J70,IF(情景分析!$D$6=2,$E70,IF(情景分析!$D$6=4,IF($C70="银行间",$J70,$L70),$G70)))+AN$2/100,情景分析!$D$7,"",,,,"",)*IF($H70="",1,$H70))</f>
        <v/>
      </c>
      <c r="AO70" s="7" t="str">
        <f>IF($A70="","",[2]!B_CALC_PRICE($A70,$AJ$1,IF(情景分析!$D$6=1,$J70,IF(情景分析!$D$6=2,$E70,IF(情景分析!$D$6=4,IF($C70="银行间",$J70,$L70),$G70)))+AO$2/100,情景分析!$D$7,"",,,,"",)*IF($H70="",1,$H70))</f>
        <v/>
      </c>
      <c r="AP70" s="7" t="str">
        <f>IF($A70="","",[2]!B_CALC_PRICE($A70,$AJ$1,IF(情景分析!$D$6=1,$J70,IF(情景分析!$D$6=2,$E70,IF(情景分析!$D$6=4,IF($C70="银行间",$J70,$L70),$G70)))+AP$2/100,情景分析!$D$7,"",,,,"",)*IF($H70="",1,$H70))</f>
        <v/>
      </c>
      <c r="AQ70" s="7" t="str">
        <f>IF($A70="","",[2]!B_CALC_PRICE($A70,$AQ$1,IF(情景分析!$D$6=1,$J70,IF(情景分析!$D$6=2,$E70,IF(情景分析!$D$6=4,IF($C70="银行间",$J70,$L70),$G70)))+AQ$2/100,情景分析!$D$7,"",,,,"",)*IF($H70="",1,$H70))</f>
        <v/>
      </c>
      <c r="AR70" s="7" t="str">
        <f>IF($A70="","",[2]!B_CALC_PRICE($A70,$AQ$1,IF(情景分析!$D$6=1,$J70,IF(情景分析!$D$6=2,$E70,IF(情景分析!$D$6=4,IF($C70="银行间",$J70,$L70),$G70)))+AR$2/100,情景分析!$D$7,"",,,,"",)*IF($H70="",1,$H70))</f>
        <v/>
      </c>
      <c r="AS70" s="7" t="str">
        <f>IF($A70="","",[2]!B_CALC_PRICE($A70,$AQ$1,IF(情景分析!$D$6=1,$J70,IF(情景分析!$D$6=2,$E70,IF(情景分析!$D$6=4,IF($C70="银行间",$J70,$L70),$G70)))+AS$2/100,情景分析!$D$7,"",,,,"",)*IF($H70="",1,$H70))</f>
        <v/>
      </c>
      <c r="AT70" s="7" t="str">
        <f>IF($A70="","",[2]!B_CALC_PRICE($A70,$AQ$1,IF(情景分析!$D$6=1,$J70,IF(情景分析!$D$6=2,$E70,IF(情景分析!$D$6=4,IF($C70="银行间",$J70,$L70),$G70)))+AT$2/100,情景分析!$D$7,"",,,,"",)*IF($H70="",1,$H70))</f>
        <v/>
      </c>
      <c r="AU70" s="7" t="str">
        <f>IF($A70="","",[2]!B_CALC_PRICE($A70,$AQ$1,IF(情景分析!$D$6=1,$J70,IF(情景分析!$D$6=2,$E70,IF(情景分析!$D$6=4,IF($C70="银行间",$J70,$L70),$G70)))+AU$2/100,情景分析!$D$7,"",,,,"",)*IF($H70="",1,$H70))</f>
        <v/>
      </c>
      <c r="AV70" s="7" t="str">
        <f>IF($A70="","",[2]!B_CALC_PRICE($A70,$AQ$1,IF(情景分析!$D$6=1,$J70,IF(情景分析!$D$6=2,$E70,IF(情景分析!$D$6=4,IF($C70="银行间",$J70,$L70),$G70)))+AV$2/100,情景分析!$D$7,"",,,,"",)*IF($H70="",1,$H70))</f>
        <v/>
      </c>
      <c r="AW70" s="7" t="str">
        <f>IF($A70="","",[2]!B_CALC_PRICE($A70,$AQ$1,IF(情景分析!$D$6=1,$J70,IF(情景分析!$D$6=2,$E70,IF(情景分析!$D$6=4,IF($C70="银行间",$J70,$L70),$G70)))+AW$2/100,情景分析!$D$7,"",,,,"",)*IF($H70="",1,$H70))</f>
        <v/>
      </c>
    </row>
    <row r="71" spans="1:49" x14ac:dyDescent="0.15">
      <c r="A71" s="20"/>
      <c r="B71" s="7" t="str">
        <f>IF(A71="","",[2]!b_info_name(A71))</f>
        <v/>
      </c>
      <c r="C71" s="7" t="str">
        <f>[2]!b_info_listedmkt(A71)</f>
        <v>#N/A</v>
      </c>
      <c r="D71" s="7" t="str">
        <f>IFERROR(IF(A71="","", [2]!b_dq_avgprice(A71, 情景分析!$D$5, 情景分析!$D$7) * IF($H71="",1,$H71)),0)</f>
        <v/>
      </c>
      <c r="E71" s="7" t="str">
        <f>IF(A71="","", N([2]!b_dq_avgprice(A71,情景分析!$D$5,3)))</f>
        <v/>
      </c>
      <c r="F71" s="29" t="str">
        <f>IF($G71 = "",
"",
IFERROR(
[2]!b_calc_pv(A71, 情景分析!$D$5,$G71, "1", 情景分析!$D$7),
[2]!b_calc_pv(A71, 情景分析!$D$5,$G71, "2", 情景分析!$D$7)
)
)</f>
        <v/>
      </c>
      <c r="G71" s="22"/>
      <c r="H71" s="21"/>
      <c r="I71" s="7" t="str">
        <f>IF(A71="","",IF(情景分析!$D$7=1,[2]!b_anal_net_cnbd(A71,情景分析!$D$5,1),[2]!b_anal_dirty_cnbd(A71,情景分析!$D$5,1))*IF($H71="",1,$H71))</f>
        <v/>
      </c>
      <c r="J71" s="7" t="str">
        <f>IF(A71="","",[2]!b_anal_yield_cnbd(A71,情景分析!$D$5,1))</f>
        <v/>
      </c>
      <c r="K71" s="29" t="str">
        <f>IF(A71="","",IF(情景分析!$D$7=1,[2]!b_anal_net_csi1(A71,情景分析!$D$5,1),[2]!b_anal_dirty_csi1(A71,情景分析!$D$5,1))*IF($H71="",1,$H71))</f>
        <v/>
      </c>
      <c r="L71" s="29" t="str">
        <f>IF(A71="","",[2]!b_anal_yield_csi1(A71,情景分析!$D$5,1))</f>
        <v/>
      </c>
      <c r="M71" s="29" t="str">
        <f t="shared" si="6"/>
        <v/>
      </c>
      <c r="N71" s="29" t="str">
        <f t="shared" si="7"/>
        <v/>
      </c>
      <c r="O71" s="7" t="str">
        <f>IF($A71="","",[2]!B_CALC_PRICE($A71,$O$1,IF(情景分析!$D$6=1,$J71,IF(情景分析!$D$6=2,$E71,IF(情景分析!$D$6=4,IF($C71="银行间",$J71,$L71),$G71)))+O$2/100,情景分析!$D$7,"",,,,"",)*IF($H71="",1,$H71))</f>
        <v/>
      </c>
      <c r="P71" s="7" t="str">
        <f>IF($A71="","",[2]!B_CALC_PRICE($A71,$O$1,IF(情景分析!$D$6=1,$J71,IF(情景分析!$D$6=2,$E71,IF(情景分析!$D$6=4,IF($C71="银行间",$J71,$L71),$G71)))+P$2/100,情景分析!$D$7,"",,,,"",)*IF($H71="",1,$H71))</f>
        <v/>
      </c>
      <c r="Q71" s="7" t="str">
        <f>IF($A71="","",[2]!B_CALC_PRICE($A71,$O$1,IF(情景分析!$D$6=1,$J71,IF(情景分析!$D$6=2,$E71,IF(情景分析!$D$6=4,IF($C71="银行间",$J71,$L71),$G71)))+Q$2/100,情景分析!$D$7,"",,,,"",)*IF($H71="",1,$H71))</f>
        <v/>
      </c>
      <c r="R71" s="7" t="str">
        <f>IF($A71="","",[2]!B_CALC_PRICE($A71,$O$1,IF(情景分析!$D$6=1,$J71,IF(情景分析!$D$6=2,$E71,IF(情景分析!$D$6=4,IF($C71="银行间",$J71,$L71),$G71)))+R$2/100,情景分析!$D$7,"",,,,"",)*IF($H71="",1,$H71))</f>
        <v/>
      </c>
      <c r="S71" s="7" t="str">
        <f>IF($A71="","",[2]!B_CALC_PRICE($A71,$O$1,IF(情景分析!$D$6=1,$J71,IF(情景分析!$D$6=2,$E71,IF(情景分析!$D$6=4,IF($C71="银行间",$J71,$L71),$G71)))+S$2/100,情景分析!$D$7,"",,,,"",)*IF($H71="",1,$H71))</f>
        <v/>
      </c>
      <c r="T71" s="7" t="str">
        <f>IF($A71="","",[2]!B_CALC_PRICE($A71,$O$1,IF(情景分析!$D$6=1,$J71,IF(情景分析!$D$6=2,$E71,IF(情景分析!$D$6=4,IF($C71="银行间",$J71,$L71),$G71)))+T$2/100,情景分析!$D$7,"",,,,"",)*IF($H71="",1,$H71))</f>
        <v/>
      </c>
      <c r="U71" s="7" t="str">
        <f>IF($A71="","",[2]!B_CALC_PRICE($A71,$O$1,IF(情景分析!$D$6=1,$J71,IF(情景分析!$D$6=2,$E71,IF(情景分析!$D$6=4,IF($C71="银行间",$J71,$L71),$G71)))+U$2/100,情景分析!$D$7,"",,,,"",)*IF($H71="",1,$H71))</f>
        <v/>
      </c>
      <c r="V71" s="7" t="str">
        <f>IF($A71="","",[2]!B_CALC_PRICE($A71,$V$1,IF(情景分析!$D$6=1,$J71,IF(情景分析!$D$6=2,$E71,IF(情景分析!$D$6=4,IF($C71="银行间",$J71,$L71),$G71)))+V$2/100,情景分析!$D$7,"",,,,"",)*IF($H71="",1,$H71))</f>
        <v/>
      </c>
      <c r="W71" s="7" t="str">
        <f>IF($A71="","",[2]!B_CALC_PRICE($A71,$V$1,IF(情景分析!$D$6=1,$J71,IF(情景分析!$D$6=2,$E71,IF(情景分析!$D$6=4,IF($C71="银行间",$J71,$L71),$G71)))+W$2/100,情景分析!$D$7,"",,,,"",)*IF($H71="",1,$H71))</f>
        <v/>
      </c>
      <c r="X71" s="7" t="str">
        <f>IF($A71="","",[2]!B_CALC_PRICE($A71,$V$1,IF(情景分析!$D$6=1,$J71,IF(情景分析!$D$6=2,$E71,IF(情景分析!$D$6=4,IF($C71="银行间",$J71,$L71),$G71)))+X$2/100,情景分析!$D$7,"",,,,"",)*IF($H71="",1,$H71))</f>
        <v/>
      </c>
      <c r="Y71" s="7" t="str">
        <f>IF($A71="","",[2]!B_CALC_PRICE($A71,$V$1,IF(情景分析!$D$6=1,$J71,IF(情景分析!$D$6=2,$E71,IF(情景分析!$D$6=4,IF($C71="银行间",$J71,$L71),$G71)))+Y$2/100,情景分析!$D$7,"",,,,"",)*IF($H71="",1,$H71))</f>
        <v/>
      </c>
      <c r="Z71" s="7" t="str">
        <f>IF($A71="","",[2]!B_CALC_PRICE($A71,$V$1,IF(情景分析!$D$6=1,$J71,IF(情景分析!$D$6=2,$E71,IF(情景分析!$D$6=4,IF($C71="银行间",$J71,$L71),$G71)))+Z$2/100,情景分析!$D$7,"",,,,"",)*IF($H71="",1,$H71))</f>
        <v/>
      </c>
      <c r="AA71" s="7" t="str">
        <f>IF($A71="","",[2]!B_CALC_PRICE($A71,$V$1,IF(情景分析!$D$6=1,$J71,IF(情景分析!$D$6=2,$E71,IF(情景分析!$D$6=4,IF($C71="银行间",$J71,$L71),$G71)))+AA$2/100,情景分析!$D$7,"",,,,"",)*IF($H71="",1,$H71))</f>
        <v/>
      </c>
      <c r="AB71" s="7" t="str">
        <f>IF($A71="","",[2]!B_CALC_PRICE($A71,$V$1,IF(情景分析!$D$6=1,$J71,IF(情景分析!$D$6=2,$E71,IF(情景分析!$D$6=4,IF($C71="银行间",$J71,$L71),$G71)))+AB$2/100,情景分析!$D$7,"",,,,"",)*IF($H71="",1,$H71))</f>
        <v/>
      </c>
      <c r="AC71" s="7" t="str">
        <f>IF($A71="","",[2]!B_CALC_PRICE($A71,$AC$1,IF(情景分析!$D$6=1,$J71,IF(情景分析!$D$6=2,$E71,IF(情景分析!$D$6=4,IF($C71="银行间",$J71,$L71),$G71)))+AC$2/100,情景分析!$D$7,"",,,,"",)*IF($H71="",1,$H71))</f>
        <v/>
      </c>
      <c r="AD71" s="7" t="str">
        <f>IF($A71="","",[2]!B_CALC_PRICE($A71,$AC$1,IF(情景分析!$D$6=1,$J71,IF(情景分析!$D$6=2,$E71,IF(情景分析!$D$6=4,IF($C71="银行间",$J71,$L71),$G71)))+AD$2/100,情景分析!$D$7,"",,,,"",)*IF($H71="",1,$H71))</f>
        <v/>
      </c>
      <c r="AE71" s="7" t="str">
        <f>IF($A71="","",[2]!B_CALC_PRICE($A71,$AC$1,IF(情景分析!$D$6=1,$J71,IF(情景分析!$D$6=2,$E71,IF(情景分析!$D$6=4,IF($C71="银行间",$J71,$L71),$G71)))+AE$2/100,情景分析!$D$7,"",,,,"",)*IF($H71="",1,$H71))</f>
        <v/>
      </c>
      <c r="AF71" s="7" t="str">
        <f>IF($A71="","",[2]!B_CALC_PRICE($A71,$AC$1,IF(情景分析!$D$6=1,$J71,IF(情景分析!$D$6=2,$E71,IF(情景分析!$D$6=4,IF($C71="银行间",$J71,$L71),$G71)))+AF$2/100,情景分析!$D$7,"",,,,"",)*IF($H71="",1,$H71))</f>
        <v/>
      </c>
      <c r="AG71" s="7" t="str">
        <f>IF($A71="","",[2]!B_CALC_PRICE($A71,$AC$1,IF(情景分析!$D$6=1,$J71,IF(情景分析!$D$6=2,$E71,IF(情景分析!$D$6=4,IF($C71="银行间",$J71,$L71),$G71)))+AG$2/100,情景分析!$D$7,"",,,,"",)*IF($H71="",1,$H71))</f>
        <v/>
      </c>
      <c r="AH71" s="7" t="str">
        <f>IF($A71="","",[2]!B_CALC_PRICE($A71,$AC$1,IF(情景分析!$D$6=1,$J71,IF(情景分析!$D$6=2,$E71,IF(情景分析!$D$6=4,IF($C71="银行间",$J71,$L71),$G71)))+AH$2/100,情景分析!$D$7,"",,,,"",)*IF($H71="",1,$H71))</f>
        <v/>
      </c>
      <c r="AI71" s="7" t="str">
        <f>IF($A71="","",[2]!B_CALC_PRICE($A71,$AC$1,IF(情景分析!$D$6=1,$J71,IF(情景分析!$D$6=2,$E71,IF(情景分析!$D$6=4,IF($C71="银行间",$J71,$L71),$G71)))+AI$2/100,情景分析!$D$7,"",,,,"",)*IF($H71="",1,$H71))</f>
        <v/>
      </c>
      <c r="AJ71" s="7" t="str">
        <f>IF($A71="","",[2]!B_CALC_PRICE($A71,$AJ$1,IF(情景分析!$D$6=1,$J71,IF(情景分析!$D$6=2,$E71,IF(情景分析!$D$6=4,IF($C71="银行间",$J71,$L71),$G71)))+AJ$2/100,情景分析!$D$7,"",,,,"",)*IF($H71="",1,$H71))</f>
        <v/>
      </c>
      <c r="AK71" s="7" t="str">
        <f>IF($A71="","",[2]!B_CALC_PRICE($A71,$AJ$1,IF(情景分析!$D$6=1,$J71,IF(情景分析!$D$6=2,$E71,IF(情景分析!$D$6=4,IF($C71="银行间",$J71,$L71),$G71)))+AK$2/100,情景分析!$D$7,"",,,,"",)*IF($H71="",1,$H71))</f>
        <v/>
      </c>
      <c r="AL71" s="7" t="str">
        <f>IF($A71="","",[2]!B_CALC_PRICE($A71,$AJ$1,IF(情景分析!$D$6=1,$J71,IF(情景分析!$D$6=2,$E71,IF(情景分析!$D$6=4,IF($C71="银行间",$J71,$L71),$G71)))+AL$2/100,情景分析!$D$7,"",,,,"",)*IF($H71="",1,$H71))</f>
        <v/>
      </c>
      <c r="AM71" s="7" t="str">
        <f>IF($A71="","",[2]!B_CALC_PRICE($A71,$AJ$1,IF(情景分析!$D$6=1,$J71,IF(情景分析!$D$6=2,$E71,IF(情景分析!$D$6=4,IF($C71="银行间",$J71,$L71),$G71)))+AM$2/100,情景分析!$D$7,"",,,,"",)*IF($H71="",1,$H71))</f>
        <v/>
      </c>
      <c r="AN71" s="7" t="str">
        <f>IF($A71="","",[2]!B_CALC_PRICE($A71,$AJ$1,IF(情景分析!$D$6=1,$J71,IF(情景分析!$D$6=2,$E71,IF(情景分析!$D$6=4,IF($C71="银行间",$J71,$L71),$G71)))+AN$2/100,情景分析!$D$7,"",,,,"",)*IF($H71="",1,$H71))</f>
        <v/>
      </c>
      <c r="AO71" s="7" t="str">
        <f>IF($A71="","",[2]!B_CALC_PRICE($A71,$AJ$1,IF(情景分析!$D$6=1,$J71,IF(情景分析!$D$6=2,$E71,IF(情景分析!$D$6=4,IF($C71="银行间",$J71,$L71),$G71)))+AO$2/100,情景分析!$D$7,"",,,,"",)*IF($H71="",1,$H71))</f>
        <v/>
      </c>
      <c r="AP71" s="7" t="str">
        <f>IF($A71="","",[2]!B_CALC_PRICE($A71,$AJ$1,IF(情景分析!$D$6=1,$J71,IF(情景分析!$D$6=2,$E71,IF(情景分析!$D$6=4,IF($C71="银行间",$J71,$L71),$G71)))+AP$2/100,情景分析!$D$7,"",,,,"",)*IF($H71="",1,$H71))</f>
        <v/>
      </c>
      <c r="AQ71" s="7" t="str">
        <f>IF($A71="","",[2]!B_CALC_PRICE($A71,$AQ$1,IF(情景分析!$D$6=1,$J71,IF(情景分析!$D$6=2,$E71,IF(情景分析!$D$6=4,IF($C71="银行间",$J71,$L71),$G71)))+AQ$2/100,情景分析!$D$7,"",,,,"",)*IF($H71="",1,$H71))</f>
        <v/>
      </c>
      <c r="AR71" s="7" t="str">
        <f>IF($A71="","",[2]!B_CALC_PRICE($A71,$AQ$1,IF(情景分析!$D$6=1,$J71,IF(情景分析!$D$6=2,$E71,IF(情景分析!$D$6=4,IF($C71="银行间",$J71,$L71),$G71)))+AR$2/100,情景分析!$D$7,"",,,,"",)*IF($H71="",1,$H71))</f>
        <v/>
      </c>
      <c r="AS71" s="7" t="str">
        <f>IF($A71="","",[2]!B_CALC_PRICE($A71,$AQ$1,IF(情景分析!$D$6=1,$J71,IF(情景分析!$D$6=2,$E71,IF(情景分析!$D$6=4,IF($C71="银行间",$J71,$L71),$G71)))+AS$2/100,情景分析!$D$7,"",,,,"",)*IF($H71="",1,$H71))</f>
        <v/>
      </c>
      <c r="AT71" s="7" t="str">
        <f>IF($A71="","",[2]!B_CALC_PRICE($A71,$AQ$1,IF(情景分析!$D$6=1,$J71,IF(情景分析!$D$6=2,$E71,IF(情景分析!$D$6=4,IF($C71="银行间",$J71,$L71),$G71)))+AT$2/100,情景分析!$D$7,"",,,,"",)*IF($H71="",1,$H71))</f>
        <v/>
      </c>
      <c r="AU71" s="7" t="str">
        <f>IF($A71="","",[2]!B_CALC_PRICE($A71,$AQ$1,IF(情景分析!$D$6=1,$J71,IF(情景分析!$D$6=2,$E71,IF(情景分析!$D$6=4,IF($C71="银行间",$J71,$L71),$G71)))+AU$2/100,情景分析!$D$7,"",,,,"",)*IF($H71="",1,$H71))</f>
        <v/>
      </c>
      <c r="AV71" s="7" t="str">
        <f>IF($A71="","",[2]!B_CALC_PRICE($A71,$AQ$1,IF(情景分析!$D$6=1,$J71,IF(情景分析!$D$6=2,$E71,IF(情景分析!$D$6=4,IF($C71="银行间",$J71,$L71),$G71)))+AV$2/100,情景分析!$D$7,"",,,,"",)*IF($H71="",1,$H71))</f>
        <v/>
      </c>
      <c r="AW71" s="7" t="str">
        <f>IF($A71="","",[2]!B_CALC_PRICE($A71,$AQ$1,IF(情景分析!$D$6=1,$J71,IF(情景分析!$D$6=2,$E71,IF(情景分析!$D$6=4,IF($C71="银行间",$J71,$L71),$G71)))+AW$2/100,情景分析!$D$7,"",,,,"",)*IF($H71="",1,$H71))</f>
        <v/>
      </c>
    </row>
    <row r="72" spans="1:49" x14ac:dyDescent="0.15">
      <c r="A72" s="20"/>
      <c r="B72" s="7" t="str">
        <f>IF(A72="","",[2]!b_info_name(A72))</f>
        <v/>
      </c>
      <c r="C72" s="7" t="str">
        <f>[2]!b_info_listedmkt(A72)</f>
        <v>#N/A</v>
      </c>
      <c r="D72" s="7" t="str">
        <f>IFERROR(IF(A72="","", [2]!b_dq_avgprice(A72, 情景分析!$D$5, 情景分析!$D$7) * IF($H72="",1,$H72)),0)</f>
        <v/>
      </c>
      <c r="E72" s="7" t="str">
        <f>IF(A72="","", N([2]!b_dq_avgprice(A72,情景分析!$D$5,3)))</f>
        <v/>
      </c>
      <c r="F72" s="29" t="str">
        <f>IF($G72 = "",
"",
IFERROR(
[2]!b_calc_pv(A72, 情景分析!$D$5,$G72, "1", 情景分析!$D$7),
[2]!b_calc_pv(A72, 情景分析!$D$5,$G72, "2", 情景分析!$D$7)
)
)</f>
        <v/>
      </c>
      <c r="G72" s="22"/>
      <c r="H72" s="21"/>
      <c r="I72" s="7" t="str">
        <f>IF(A72="","",IF(情景分析!$D$7=1,[2]!b_anal_net_cnbd(A72,情景分析!$D$5,1),[2]!b_anal_dirty_cnbd(A72,情景分析!$D$5,1))*IF($H72="",1,$H72))</f>
        <v/>
      </c>
      <c r="J72" s="7" t="str">
        <f>IF(A72="","",[2]!b_anal_yield_cnbd(A72,情景分析!$D$5,1))</f>
        <v/>
      </c>
      <c r="K72" s="29" t="str">
        <f>IF(A72="","",IF(情景分析!$D$7=1,[2]!b_anal_net_csi1(A72,情景分析!$D$5,1),[2]!b_anal_dirty_csi1(A72,情景分析!$D$5,1))*IF($H72="",1,$H72))</f>
        <v/>
      </c>
      <c r="L72" s="29" t="str">
        <f>IF(A72="","",[2]!b_anal_yield_csi1(A72,情景分析!$D$5,1))</f>
        <v/>
      </c>
      <c r="M72" s="29" t="str">
        <f t="shared" si="6"/>
        <v/>
      </c>
      <c r="N72" s="29" t="str">
        <f t="shared" si="7"/>
        <v/>
      </c>
      <c r="O72" s="7" t="str">
        <f>IF($A72="","",[2]!B_CALC_PRICE($A72,$O$1,IF(情景分析!$D$6=1,$J72,IF(情景分析!$D$6=2,$E72,IF(情景分析!$D$6=4,IF($C72="银行间",$J72,$L72),$G72)))+O$2/100,情景分析!$D$7,"",,,,"",)*IF($H72="",1,$H72))</f>
        <v/>
      </c>
      <c r="P72" s="7" t="str">
        <f>IF($A72="","",[2]!B_CALC_PRICE($A72,$O$1,IF(情景分析!$D$6=1,$J72,IF(情景分析!$D$6=2,$E72,IF(情景分析!$D$6=4,IF($C72="银行间",$J72,$L72),$G72)))+P$2/100,情景分析!$D$7,"",,,,"",)*IF($H72="",1,$H72))</f>
        <v/>
      </c>
      <c r="Q72" s="7" t="str">
        <f>IF($A72="","",[2]!B_CALC_PRICE($A72,$O$1,IF(情景分析!$D$6=1,$J72,IF(情景分析!$D$6=2,$E72,IF(情景分析!$D$6=4,IF($C72="银行间",$J72,$L72),$G72)))+Q$2/100,情景分析!$D$7,"",,,,"",)*IF($H72="",1,$H72))</f>
        <v/>
      </c>
      <c r="R72" s="7" t="str">
        <f>IF($A72="","",[2]!B_CALC_PRICE($A72,$O$1,IF(情景分析!$D$6=1,$J72,IF(情景分析!$D$6=2,$E72,IF(情景分析!$D$6=4,IF($C72="银行间",$J72,$L72),$G72)))+R$2/100,情景分析!$D$7,"",,,,"",)*IF($H72="",1,$H72))</f>
        <v/>
      </c>
      <c r="S72" s="7" t="str">
        <f>IF($A72="","",[2]!B_CALC_PRICE($A72,$O$1,IF(情景分析!$D$6=1,$J72,IF(情景分析!$D$6=2,$E72,IF(情景分析!$D$6=4,IF($C72="银行间",$J72,$L72),$G72)))+S$2/100,情景分析!$D$7,"",,,,"",)*IF($H72="",1,$H72))</f>
        <v/>
      </c>
      <c r="T72" s="7" t="str">
        <f>IF($A72="","",[2]!B_CALC_PRICE($A72,$O$1,IF(情景分析!$D$6=1,$J72,IF(情景分析!$D$6=2,$E72,IF(情景分析!$D$6=4,IF($C72="银行间",$J72,$L72),$G72)))+T$2/100,情景分析!$D$7,"",,,,"",)*IF($H72="",1,$H72))</f>
        <v/>
      </c>
      <c r="U72" s="7" t="str">
        <f>IF($A72="","",[2]!B_CALC_PRICE($A72,$O$1,IF(情景分析!$D$6=1,$J72,IF(情景分析!$D$6=2,$E72,IF(情景分析!$D$6=4,IF($C72="银行间",$J72,$L72),$G72)))+U$2/100,情景分析!$D$7,"",,,,"",)*IF($H72="",1,$H72))</f>
        <v/>
      </c>
      <c r="V72" s="7" t="str">
        <f>IF($A72="","",[2]!B_CALC_PRICE($A72,$V$1,IF(情景分析!$D$6=1,$J72,IF(情景分析!$D$6=2,$E72,IF(情景分析!$D$6=4,IF($C72="银行间",$J72,$L72),$G72)))+V$2/100,情景分析!$D$7,"",,,,"",)*IF($H72="",1,$H72))</f>
        <v/>
      </c>
      <c r="W72" s="7" t="str">
        <f>IF($A72="","",[2]!B_CALC_PRICE($A72,$V$1,IF(情景分析!$D$6=1,$J72,IF(情景分析!$D$6=2,$E72,IF(情景分析!$D$6=4,IF($C72="银行间",$J72,$L72),$G72)))+W$2/100,情景分析!$D$7,"",,,,"",)*IF($H72="",1,$H72))</f>
        <v/>
      </c>
      <c r="X72" s="7" t="str">
        <f>IF($A72="","",[2]!B_CALC_PRICE($A72,$V$1,IF(情景分析!$D$6=1,$J72,IF(情景分析!$D$6=2,$E72,IF(情景分析!$D$6=4,IF($C72="银行间",$J72,$L72),$G72)))+X$2/100,情景分析!$D$7,"",,,,"",)*IF($H72="",1,$H72))</f>
        <v/>
      </c>
      <c r="Y72" s="7" t="str">
        <f>IF($A72="","",[2]!B_CALC_PRICE($A72,$V$1,IF(情景分析!$D$6=1,$J72,IF(情景分析!$D$6=2,$E72,IF(情景分析!$D$6=4,IF($C72="银行间",$J72,$L72),$G72)))+Y$2/100,情景分析!$D$7,"",,,,"",)*IF($H72="",1,$H72))</f>
        <v/>
      </c>
      <c r="Z72" s="7" t="str">
        <f>IF($A72="","",[2]!B_CALC_PRICE($A72,$V$1,IF(情景分析!$D$6=1,$J72,IF(情景分析!$D$6=2,$E72,IF(情景分析!$D$6=4,IF($C72="银行间",$J72,$L72),$G72)))+Z$2/100,情景分析!$D$7,"",,,,"",)*IF($H72="",1,$H72))</f>
        <v/>
      </c>
      <c r="AA72" s="7" t="str">
        <f>IF($A72="","",[2]!B_CALC_PRICE($A72,$V$1,IF(情景分析!$D$6=1,$J72,IF(情景分析!$D$6=2,$E72,IF(情景分析!$D$6=4,IF($C72="银行间",$J72,$L72),$G72)))+AA$2/100,情景分析!$D$7,"",,,,"",)*IF($H72="",1,$H72))</f>
        <v/>
      </c>
      <c r="AB72" s="7" t="str">
        <f>IF($A72="","",[2]!B_CALC_PRICE($A72,$V$1,IF(情景分析!$D$6=1,$J72,IF(情景分析!$D$6=2,$E72,IF(情景分析!$D$6=4,IF($C72="银行间",$J72,$L72),$G72)))+AB$2/100,情景分析!$D$7,"",,,,"",)*IF($H72="",1,$H72))</f>
        <v/>
      </c>
      <c r="AC72" s="7" t="str">
        <f>IF($A72="","",[2]!B_CALC_PRICE($A72,$AC$1,IF(情景分析!$D$6=1,$J72,IF(情景分析!$D$6=2,$E72,IF(情景分析!$D$6=4,IF($C72="银行间",$J72,$L72),$G72)))+AC$2/100,情景分析!$D$7,"",,,,"",)*IF($H72="",1,$H72))</f>
        <v/>
      </c>
      <c r="AD72" s="7" t="str">
        <f>IF($A72="","",[2]!B_CALC_PRICE($A72,$AC$1,IF(情景分析!$D$6=1,$J72,IF(情景分析!$D$6=2,$E72,IF(情景分析!$D$6=4,IF($C72="银行间",$J72,$L72),$G72)))+AD$2/100,情景分析!$D$7,"",,,,"",)*IF($H72="",1,$H72))</f>
        <v/>
      </c>
      <c r="AE72" s="7" t="str">
        <f>IF($A72="","",[2]!B_CALC_PRICE($A72,$AC$1,IF(情景分析!$D$6=1,$J72,IF(情景分析!$D$6=2,$E72,IF(情景分析!$D$6=4,IF($C72="银行间",$J72,$L72),$G72)))+AE$2/100,情景分析!$D$7,"",,,,"",)*IF($H72="",1,$H72))</f>
        <v/>
      </c>
      <c r="AF72" s="7" t="str">
        <f>IF($A72="","",[2]!B_CALC_PRICE($A72,$AC$1,IF(情景分析!$D$6=1,$J72,IF(情景分析!$D$6=2,$E72,IF(情景分析!$D$6=4,IF($C72="银行间",$J72,$L72),$G72)))+AF$2/100,情景分析!$D$7,"",,,,"",)*IF($H72="",1,$H72))</f>
        <v/>
      </c>
      <c r="AG72" s="7" t="str">
        <f>IF($A72="","",[2]!B_CALC_PRICE($A72,$AC$1,IF(情景分析!$D$6=1,$J72,IF(情景分析!$D$6=2,$E72,IF(情景分析!$D$6=4,IF($C72="银行间",$J72,$L72),$G72)))+AG$2/100,情景分析!$D$7,"",,,,"",)*IF($H72="",1,$H72))</f>
        <v/>
      </c>
      <c r="AH72" s="7" t="str">
        <f>IF($A72="","",[2]!B_CALC_PRICE($A72,$AC$1,IF(情景分析!$D$6=1,$J72,IF(情景分析!$D$6=2,$E72,IF(情景分析!$D$6=4,IF($C72="银行间",$J72,$L72),$G72)))+AH$2/100,情景分析!$D$7,"",,,,"",)*IF($H72="",1,$H72))</f>
        <v/>
      </c>
      <c r="AI72" s="7" t="str">
        <f>IF($A72="","",[2]!B_CALC_PRICE($A72,$AC$1,IF(情景分析!$D$6=1,$J72,IF(情景分析!$D$6=2,$E72,IF(情景分析!$D$6=4,IF($C72="银行间",$J72,$L72),$G72)))+AI$2/100,情景分析!$D$7,"",,,,"",)*IF($H72="",1,$H72))</f>
        <v/>
      </c>
      <c r="AJ72" s="7" t="str">
        <f>IF($A72="","",[2]!B_CALC_PRICE($A72,$AJ$1,IF(情景分析!$D$6=1,$J72,IF(情景分析!$D$6=2,$E72,IF(情景分析!$D$6=4,IF($C72="银行间",$J72,$L72),$G72)))+AJ$2/100,情景分析!$D$7,"",,,,"",)*IF($H72="",1,$H72))</f>
        <v/>
      </c>
      <c r="AK72" s="7" t="str">
        <f>IF($A72="","",[2]!B_CALC_PRICE($A72,$AJ$1,IF(情景分析!$D$6=1,$J72,IF(情景分析!$D$6=2,$E72,IF(情景分析!$D$6=4,IF($C72="银行间",$J72,$L72),$G72)))+AK$2/100,情景分析!$D$7,"",,,,"",)*IF($H72="",1,$H72))</f>
        <v/>
      </c>
      <c r="AL72" s="7" t="str">
        <f>IF($A72="","",[2]!B_CALC_PRICE($A72,$AJ$1,IF(情景分析!$D$6=1,$J72,IF(情景分析!$D$6=2,$E72,IF(情景分析!$D$6=4,IF($C72="银行间",$J72,$L72),$G72)))+AL$2/100,情景分析!$D$7,"",,,,"",)*IF($H72="",1,$H72))</f>
        <v/>
      </c>
      <c r="AM72" s="7" t="str">
        <f>IF($A72="","",[2]!B_CALC_PRICE($A72,$AJ$1,IF(情景分析!$D$6=1,$J72,IF(情景分析!$D$6=2,$E72,IF(情景分析!$D$6=4,IF($C72="银行间",$J72,$L72),$G72)))+AM$2/100,情景分析!$D$7,"",,,,"",)*IF($H72="",1,$H72))</f>
        <v/>
      </c>
      <c r="AN72" s="7" t="str">
        <f>IF($A72="","",[2]!B_CALC_PRICE($A72,$AJ$1,IF(情景分析!$D$6=1,$J72,IF(情景分析!$D$6=2,$E72,IF(情景分析!$D$6=4,IF($C72="银行间",$J72,$L72),$G72)))+AN$2/100,情景分析!$D$7,"",,,,"",)*IF($H72="",1,$H72))</f>
        <v/>
      </c>
      <c r="AO72" s="7" t="str">
        <f>IF($A72="","",[2]!B_CALC_PRICE($A72,$AJ$1,IF(情景分析!$D$6=1,$J72,IF(情景分析!$D$6=2,$E72,IF(情景分析!$D$6=4,IF($C72="银行间",$J72,$L72),$G72)))+AO$2/100,情景分析!$D$7,"",,,,"",)*IF($H72="",1,$H72))</f>
        <v/>
      </c>
      <c r="AP72" s="7" t="str">
        <f>IF($A72="","",[2]!B_CALC_PRICE($A72,$AJ$1,IF(情景分析!$D$6=1,$J72,IF(情景分析!$D$6=2,$E72,IF(情景分析!$D$6=4,IF($C72="银行间",$J72,$L72),$G72)))+AP$2/100,情景分析!$D$7,"",,,,"",)*IF($H72="",1,$H72))</f>
        <v/>
      </c>
      <c r="AQ72" s="7" t="str">
        <f>IF($A72="","",[2]!B_CALC_PRICE($A72,$AQ$1,IF(情景分析!$D$6=1,$J72,IF(情景分析!$D$6=2,$E72,IF(情景分析!$D$6=4,IF($C72="银行间",$J72,$L72),$G72)))+AQ$2/100,情景分析!$D$7,"",,,,"",)*IF($H72="",1,$H72))</f>
        <v/>
      </c>
      <c r="AR72" s="7" t="str">
        <f>IF($A72="","",[2]!B_CALC_PRICE($A72,$AQ$1,IF(情景分析!$D$6=1,$J72,IF(情景分析!$D$6=2,$E72,IF(情景分析!$D$6=4,IF($C72="银行间",$J72,$L72),$G72)))+AR$2/100,情景分析!$D$7,"",,,,"",)*IF($H72="",1,$H72))</f>
        <v/>
      </c>
      <c r="AS72" s="7" t="str">
        <f>IF($A72="","",[2]!B_CALC_PRICE($A72,$AQ$1,IF(情景分析!$D$6=1,$J72,IF(情景分析!$D$6=2,$E72,IF(情景分析!$D$6=4,IF($C72="银行间",$J72,$L72),$G72)))+AS$2/100,情景分析!$D$7,"",,,,"",)*IF($H72="",1,$H72))</f>
        <v/>
      </c>
      <c r="AT72" s="7" t="str">
        <f>IF($A72="","",[2]!B_CALC_PRICE($A72,$AQ$1,IF(情景分析!$D$6=1,$J72,IF(情景分析!$D$6=2,$E72,IF(情景分析!$D$6=4,IF($C72="银行间",$J72,$L72),$G72)))+AT$2/100,情景分析!$D$7,"",,,,"",)*IF($H72="",1,$H72))</f>
        <v/>
      </c>
      <c r="AU72" s="7" t="str">
        <f>IF($A72="","",[2]!B_CALC_PRICE($A72,$AQ$1,IF(情景分析!$D$6=1,$J72,IF(情景分析!$D$6=2,$E72,IF(情景分析!$D$6=4,IF($C72="银行间",$J72,$L72),$G72)))+AU$2/100,情景分析!$D$7,"",,,,"",)*IF($H72="",1,$H72))</f>
        <v/>
      </c>
      <c r="AV72" s="7" t="str">
        <f>IF($A72="","",[2]!B_CALC_PRICE($A72,$AQ$1,IF(情景分析!$D$6=1,$J72,IF(情景分析!$D$6=2,$E72,IF(情景分析!$D$6=4,IF($C72="银行间",$J72,$L72),$G72)))+AV$2/100,情景分析!$D$7,"",,,,"",)*IF($H72="",1,$H72))</f>
        <v/>
      </c>
      <c r="AW72" s="7" t="str">
        <f>IF($A72="","",[2]!B_CALC_PRICE($A72,$AQ$1,IF(情景分析!$D$6=1,$J72,IF(情景分析!$D$6=2,$E72,IF(情景分析!$D$6=4,IF($C72="银行间",$J72,$L72),$G72)))+AW$2/100,情景分析!$D$7,"",,,,"",)*IF($H72="",1,$H72))</f>
        <v/>
      </c>
    </row>
    <row r="73" spans="1:49" x14ac:dyDescent="0.15">
      <c r="A73" s="20"/>
      <c r="B73" s="7" t="str">
        <f>IF(A73="","",[2]!b_info_name(A73))</f>
        <v/>
      </c>
      <c r="C73" s="7" t="str">
        <f>[2]!b_info_listedmkt(A73)</f>
        <v>#N/A</v>
      </c>
      <c r="D73" s="7" t="str">
        <f>IFERROR(IF(A73="","", [2]!b_dq_avgprice(A73, 情景分析!$D$5, 情景分析!$D$7) * IF($H73="",1,$H73)),0)</f>
        <v/>
      </c>
      <c r="E73" s="7" t="str">
        <f>IF(A73="","", N([2]!b_dq_avgprice(A73,情景分析!$D$5,3)))</f>
        <v/>
      </c>
      <c r="F73" s="29" t="str">
        <f>IF($G73 = "",
"",
IFERROR(
[2]!b_calc_pv(A73, 情景分析!$D$5,$G73, "1", 情景分析!$D$7),
[2]!b_calc_pv(A73, 情景分析!$D$5,$G73, "2", 情景分析!$D$7)
)
)</f>
        <v/>
      </c>
      <c r="G73" s="22"/>
      <c r="H73" s="21"/>
      <c r="I73" s="7" t="str">
        <f>IF(A73="","",IF(情景分析!$D$7=1,[2]!b_anal_net_cnbd(A73,情景分析!$D$5,1),[2]!b_anal_dirty_cnbd(A73,情景分析!$D$5,1))*IF($H73="",1,$H73))</f>
        <v/>
      </c>
      <c r="J73" s="7" t="str">
        <f>IF(A73="","",[2]!b_anal_yield_cnbd(A73,情景分析!$D$5,1))</f>
        <v/>
      </c>
      <c r="K73" s="29" t="str">
        <f>IF(A73="","",IF(情景分析!$D$7=1,[2]!b_anal_net_csi1(A73,情景分析!$D$5,1),[2]!b_anal_dirty_csi1(A73,情景分析!$D$5,1))*IF($H73="",1,$H73))</f>
        <v/>
      </c>
      <c r="L73" s="29" t="str">
        <f>IF(A73="","",[2]!b_anal_yield_csi1(A73,情景分析!$D$5,1))</f>
        <v/>
      </c>
      <c r="M73" s="29" t="str">
        <f t="shared" si="6"/>
        <v/>
      </c>
      <c r="N73" s="29" t="str">
        <f t="shared" si="7"/>
        <v/>
      </c>
      <c r="O73" s="7" t="str">
        <f>IF($A73="","",[2]!B_CALC_PRICE($A73,$O$1,IF(情景分析!$D$6=1,$J73,IF(情景分析!$D$6=2,$E73,IF(情景分析!$D$6=4,IF($C73="银行间",$J73,$L73),$G73)))+O$2/100,情景分析!$D$7,"",,,,"",)*IF($H73="",1,$H73))</f>
        <v/>
      </c>
      <c r="P73" s="7" t="str">
        <f>IF($A73="","",[2]!B_CALC_PRICE($A73,$O$1,IF(情景分析!$D$6=1,$J73,IF(情景分析!$D$6=2,$E73,IF(情景分析!$D$6=4,IF($C73="银行间",$J73,$L73),$G73)))+P$2/100,情景分析!$D$7,"",,,,"",)*IF($H73="",1,$H73))</f>
        <v/>
      </c>
      <c r="Q73" s="7" t="str">
        <f>IF($A73="","",[2]!B_CALC_PRICE($A73,$O$1,IF(情景分析!$D$6=1,$J73,IF(情景分析!$D$6=2,$E73,IF(情景分析!$D$6=4,IF($C73="银行间",$J73,$L73),$G73)))+Q$2/100,情景分析!$D$7,"",,,,"",)*IF($H73="",1,$H73))</f>
        <v/>
      </c>
      <c r="R73" s="7" t="str">
        <f>IF($A73="","",[2]!B_CALC_PRICE($A73,$O$1,IF(情景分析!$D$6=1,$J73,IF(情景分析!$D$6=2,$E73,IF(情景分析!$D$6=4,IF($C73="银行间",$J73,$L73),$G73)))+R$2/100,情景分析!$D$7,"",,,,"",)*IF($H73="",1,$H73))</f>
        <v/>
      </c>
      <c r="S73" s="7" t="str">
        <f>IF($A73="","",[2]!B_CALC_PRICE($A73,$O$1,IF(情景分析!$D$6=1,$J73,IF(情景分析!$D$6=2,$E73,IF(情景分析!$D$6=4,IF($C73="银行间",$J73,$L73),$G73)))+S$2/100,情景分析!$D$7,"",,,,"",)*IF($H73="",1,$H73))</f>
        <v/>
      </c>
      <c r="T73" s="7" t="str">
        <f>IF($A73="","",[2]!B_CALC_PRICE($A73,$O$1,IF(情景分析!$D$6=1,$J73,IF(情景分析!$D$6=2,$E73,IF(情景分析!$D$6=4,IF($C73="银行间",$J73,$L73),$G73)))+T$2/100,情景分析!$D$7,"",,,,"",)*IF($H73="",1,$H73))</f>
        <v/>
      </c>
      <c r="U73" s="7" t="str">
        <f>IF($A73="","",[2]!B_CALC_PRICE($A73,$O$1,IF(情景分析!$D$6=1,$J73,IF(情景分析!$D$6=2,$E73,IF(情景分析!$D$6=4,IF($C73="银行间",$J73,$L73),$G73)))+U$2/100,情景分析!$D$7,"",,,,"",)*IF($H73="",1,$H73))</f>
        <v/>
      </c>
      <c r="V73" s="7" t="str">
        <f>IF($A73="","",[2]!B_CALC_PRICE($A73,$V$1,IF(情景分析!$D$6=1,$J73,IF(情景分析!$D$6=2,$E73,IF(情景分析!$D$6=4,IF($C73="银行间",$J73,$L73),$G73)))+V$2/100,情景分析!$D$7,"",,,,"",)*IF($H73="",1,$H73))</f>
        <v/>
      </c>
      <c r="W73" s="7" t="str">
        <f>IF($A73="","",[2]!B_CALC_PRICE($A73,$V$1,IF(情景分析!$D$6=1,$J73,IF(情景分析!$D$6=2,$E73,IF(情景分析!$D$6=4,IF($C73="银行间",$J73,$L73),$G73)))+W$2/100,情景分析!$D$7,"",,,,"",)*IF($H73="",1,$H73))</f>
        <v/>
      </c>
      <c r="X73" s="7" t="str">
        <f>IF($A73="","",[2]!B_CALC_PRICE($A73,$V$1,IF(情景分析!$D$6=1,$J73,IF(情景分析!$D$6=2,$E73,IF(情景分析!$D$6=4,IF($C73="银行间",$J73,$L73),$G73)))+X$2/100,情景分析!$D$7,"",,,,"",)*IF($H73="",1,$H73))</f>
        <v/>
      </c>
      <c r="Y73" s="7" t="str">
        <f>IF($A73="","",[2]!B_CALC_PRICE($A73,$V$1,IF(情景分析!$D$6=1,$J73,IF(情景分析!$D$6=2,$E73,IF(情景分析!$D$6=4,IF($C73="银行间",$J73,$L73),$G73)))+Y$2/100,情景分析!$D$7,"",,,,"",)*IF($H73="",1,$H73))</f>
        <v/>
      </c>
      <c r="Z73" s="7" t="str">
        <f>IF($A73="","",[2]!B_CALC_PRICE($A73,$V$1,IF(情景分析!$D$6=1,$J73,IF(情景分析!$D$6=2,$E73,IF(情景分析!$D$6=4,IF($C73="银行间",$J73,$L73),$G73)))+Z$2/100,情景分析!$D$7,"",,,,"",)*IF($H73="",1,$H73))</f>
        <v/>
      </c>
      <c r="AA73" s="7" t="str">
        <f>IF($A73="","",[2]!B_CALC_PRICE($A73,$V$1,IF(情景分析!$D$6=1,$J73,IF(情景分析!$D$6=2,$E73,IF(情景分析!$D$6=4,IF($C73="银行间",$J73,$L73),$G73)))+AA$2/100,情景分析!$D$7,"",,,,"",)*IF($H73="",1,$H73))</f>
        <v/>
      </c>
      <c r="AB73" s="7" t="str">
        <f>IF($A73="","",[2]!B_CALC_PRICE($A73,$V$1,IF(情景分析!$D$6=1,$J73,IF(情景分析!$D$6=2,$E73,IF(情景分析!$D$6=4,IF($C73="银行间",$J73,$L73),$G73)))+AB$2/100,情景分析!$D$7,"",,,,"",)*IF($H73="",1,$H73))</f>
        <v/>
      </c>
      <c r="AC73" s="7" t="str">
        <f>IF($A73="","",[2]!B_CALC_PRICE($A73,$AC$1,IF(情景分析!$D$6=1,$J73,IF(情景分析!$D$6=2,$E73,IF(情景分析!$D$6=4,IF($C73="银行间",$J73,$L73),$G73)))+AC$2/100,情景分析!$D$7,"",,,,"",)*IF($H73="",1,$H73))</f>
        <v/>
      </c>
      <c r="AD73" s="7" t="str">
        <f>IF($A73="","",[2]!B_CALC_PRICE($A73,$AC$1,IF(情景分析!$D$6=1,$J73,IF(情景分析!$D$6=2,$E73,IF(情景分析!$D$6=4,IF($C73="银行间",$J73,$L73),$G73)))+AD$2/100,情景分析!$D$7,"",,,,"",)*IF($H73="",1,$H73))</f>
        <v/>
      </c>
      <c r="AE73" s="7" t="str">
        <f>IF($A73="","",[2]!B_CALC_PRICE($A73,$AC$1,IF(情景分析!$D$6=1,$J73,IF(情景分析!$D$6=2,$E73,IF(情景分析!$D$6=4,IF($C73="银行间",$J73,$L73),$G73)))+AE$2/100,情景分析!$D$7,"",,,,"",)*IF($H73="",1,$H73))</f>
        <v/>
      </c>
      <c r="AF73" s="7" t="str">
        <f>IF($A73="","",[2]!B_CALC_PRICE($A73,$AC$1,IF(情景分析!$D$6=1,$J73,IF(情景分析!$D$6=2,$E73,IF(情景分析!$D$6=4,IF($C73="银行间",$J73,$L73),$G73)))+AF$2/100,情景分析!$D$7,"",,,,"",)*IF($H73="",1,$H73))</f>
        <v/>
      </c>
      <c r="AG73" s="7" t="str">
        <f>IF($A73="","",[2]!B_CALC_PRICE($A73,$AC$1,IF(情景分析!$D$6=1,$J73,IF(情景分析!$D$6=2,$E73,IF(情景分析!$D$6=4,IF($C73="银行间",$J73,$L73),$G73)))+AG$2/100,情景分析!$D$7,"",,,,"",)*IF($H73="",1,$H73))</f>
        <v/>
      </c>
      <c r="AH73" s="7" t="str">
        <f>IF($A73="","",[2]!B_CALC_PRICE($A73,$AC$1,IF(情景分析!$D$6=1,$J73,IF(情景分析!$D$6=2,$E73,IF(情景分析!$D$6=4,IF($C73="银行间",$J73,$L73),$G73)))+AH$2/100,情景分析!$D$7,"",,,,"",)*IF($H73="",1,$H73))</f>
        <v/>
      </c>
      <c r="AI73" s="7" t="str">
        <f>IF($A73="","",[2]!B_CALC_PRICE($A73,$AC$1,IF(情景分析!$D$6=1,$J73,IF(情景分析!$D$6=2,$E73,IF(情景分析!$D$6=4,IF($C73="银行间",$J73,$L73),$G73)))+AI$2/100,情景分析!$D$7,"",,,,"",)*IF($H73="",1,$H73))</f>
        <v/>
      </c>
      <c r="AJ73" s="7" t="str">
        <f>IF($A73="","",[2]!B_CALC_PRICE($A73,$AJ$1,IF(情景分析!$D$6=1,$J73,IF(情景分析!$D$6=2,$E73,IF(情景分析!$D$6=4,IF($C73="银行间",$J73,$L73),$G73)))+AJ$2/100,情景分析!$D$7,"",,,,"",)*IF($H73="",1,$H73))</f>
        <v/>
      </c>
      <c r="AK73" s="7" t="str">
        <f>IF($A73="","",[2]!B_CALC_PRICE($A73,$AJ$1,IF(情景分析!$D$6=1,$J73,IF(情景分析!$D$6=2,$E73,IF(情景分析!$D$6=4,IF($C73="银行间",$J73,$L73),$G73)))+AK$2/100,情景分析!$D$7,"",,,,"",)*IF($H73="",1,$H73))</f>
        <v/>
      </c>
      <c r="AL73" s="7" t="str">
        <f>IF($A73="","",[2]!B_CALC_PRICE($A73,$AJ$1,IF(情景分析!$D$6=1,$J73,IF(情景分析!$D$6=2,$E73,IF(情景分析!$D$6=4,IF($C73="银行间",$J73,$L73),$G73)))+AL$2/100,情景分析!$D$7,"",,,,"",)*IF($H73="",1,$H73))</f>
        <v/>
      </c>
      <c r="AM73" s="7" t="str">
        <f>IF($A73="","",[2]!B_CALC_PRICE($A73,$AJ$1,IF(情景分析!$D$6=1,$J73,IF(情景分析!$D$6=2,$E73,IF(情景分析!$D$6=4,IF($C73="银行间",$J73,$L73),$G73)))+AM$2/100,情景分析!$D$7,"",,,,"",)*IF($H73="",1,$H73))</f>
        <v/>
      </c>
      <c r="AN73" s="7" t="str">
        <f>IF($A73="","",[2]!B_CALC_PRICE($A73,$AJ$1,IF(情景分析!$D$6=1,$J73,IF(情景分析!$D$6=2,$E73,IF(情景分析!$D$6=4,IF($C73="银行间",$J73,$L73),$G73)))+AN$2/100,情景分析!$D$7,"",,,,"",)*IF($H73="",1,$H73))</f>
        <v/>
      </c>
      <c r="AO73" s="7" t="str">
        <f>IF($A73="","",[2]!B_CALC_PRICE($A73,$AJ$1,IF(情景分析!$D$6=1,$J73,IF(情景分析!$D$6=2,$E73,IF(情景分析!$D$6=4,IF($C73="银行间",$J73,$L73),$G73)))+AO$2/100,情景分析!$D$7,"",,,,"",)*IF($H73="",1,$H73))</f>
        <v/>
      </c>
      <c r="AP73" s="7" t="str">
        <f>IF($A73="","",[2]!B_CALC_PRICE($A73,$AJ$1,IF(情景分析!$D$6=1,$J73,IF(情景分析!$D$6=2,$E73,IF(情景分析!$D$6=4,IF($C73="银行间",$J73,$L73),$G73)))+AP$2/100,情景分析!$D$7,"",,,,"",)*IF($H73="",1,$H73))</f>
        <v/>
      </c>
      <c r="AQ73" s="7" t="str">
        <f>IF($A73="","",[2]!B_CALC_PRICE($A73,$AQ$1,IF(情景分析!$D$6=1,$J73,IF(情景分析!$D$6=2,$E73,IF(情景分析!$D$6=4,IF($C73="银行间",$J73,$L73),$G73)))+AQ$2/100,情景分析!$D$7,"",,,,"",)*IF($H73="",1,$H73))</f>
        <v/>
      </c>
      <c r="AR73" s="7" t="str">
        <f>IF($A73="","",[2]!B_CALC_PRICE($A73,$AQ$1,IF(情景分析!$D$6=1,$J73,IF(情景分析!$D$6=2,$E73,IF(情景分析!$D$6=4,IF($C73="银行间",$J73,$L73),$G73)))+AR$2/100,情景分析!$D$7,"",,,,"",)*IF($H73="",1,$H73))</f>
        <v/>
      </c>
      <c r="AS73" s="7" t="str">
        <f>IF($A73="","",[2]!B_CALC_PRICE($A73,$AQ$1,IF(情景分析!$D$6=1,$J73,IF(情景分析!$D$6=2,$E73,IF(情景分析!$D$6=4,IF($C73="银行间",$J73,$L73),$G73)))+AS$2/100,情景分析!$D$7,"",,,,"",)*IF($H73="",1,$H73))</f>
        <v/>
      </c>
      <c r="AT73" s="7" t="str">
        <f>IF($A73="","",[2]!B_CALC_PRICE($A73,$AQ$1,IF(情景分析!$D$6=1,$J73,IF(情景分析!$D$6=2,$E73,IF(情景分析!$D$6=4,IF($C73="银行间",$J73,$L73),$G73)))+AT$2/100,情景分析!$D$7,"",,,,"",)*IF($H73="",1,$H73))</f>
        <v/>
      </c>
      <c r="AU73" s="7" t="str">
        <f>IF($A73="","",[2]!B_CALC_PRICE($A73,$AQ$1,IF(情景分析!$D$6=1,$J73,IF(情景分析!$D$6=2,$E73,IF(情景分析!$D$6=4,IF($C73="银行间",$J73,$L73),$G73)))+AU$2/100,情景分析!$D$7,"",,,,"",)*IF($H73="",1,$H73))</f>
        <v/>
      </c>
      <c r="AV73" s="7" t="str">
        <f>IF($A73="","",[2]!B_CALC_PRICE($A73,$AQ$1,IF(情景分析!$D$6=1,$J73,IF(情景分析!$D$6=2,$E73,IF(情景分析!$D$6=4,IF($C73="银行间",$J73,$L73),$G73)))+AV$2/100,情景分析!$D$7,"",,,,"",)*IF($H73="",1,$H73))</f>
        <v/>
      </c>
      <c r="AW73" s="7" t="str">
        <f>IF($A73="","",[2]!B_CALC_PRICE($A73,$AQ$1,IF(情景分析!$D$6=1,$J73,IF(情景分析!$D$6=2,$E73,IF(情景分析!$D$6=4,IF($C73="银行间",$J73,$L73),$G73)))+AW$2/100,情景分析!$D$7,"",,,,"",)*IF($H73="",1,$H73))</f>
        <v/>
      </c>
    </row>
    <row r="74" spans="1:49" x14ac:dyDescent="0.15">
      <c r="A74" s="20"/>
      <c r="B74" s="7" t="str">
        <f>IF(A74="","",[2]!b_info_name(A74))</f>
        <v/>
      </c>
      <c r="C74" s="7" t="str">
        <f>[2]!b_info_listedmkt(A74)</f>
        <v>#N/A</v>
      </c>
      <c r="D74" s="7" t="str">
        <f>IFERROR(IF(A74="","", [2]!b_dq_avgprice(A74, 情景分析!$D$5, 情景分析!$D$7) * IF($H74="",1,$H74)),0)</f>
        <v/>
      </c>
      <c r="E74" s="7" t="str">
        <f>IF(A74="","", N([2]!b_dq_avgprice(A74,情景分析!$D$5,3)))</f>
        <v/>
      </c>
      <c r="F74" s="29" t="str">
        <f>IF($G74 = "",
"",
IFERROR(
[2]!b_calc_pv(A74, 情景分析!$D$5,$G74, "1", 情景分析!$D$7),
[2]!b_calc_pv(A74, 情景分析!$D$5,$G74, "2", 情景分析!$D$7)
)
)</f>
        <v/>
      </c>
      <c r="G74" s="22"/>
      <c r="H74" s="21"/>
      <c r="I74" s="7" t="str">
        <f>IF(A74="","",IF(情景分析!$D$7=1,[2]!b_anal_net_cnbd(A74,情景分析!$D$5,1),[2]!b_anal_dirty_cnbd(A74,情景分析!$D$5,1))*IF($H74="",1,$H74))</f>
        <v/>
      </c>
      <c r="J74" s="7" t="str">
        <f>IF(A74="","",[2]!b_anal_yield_cnbd(A74,情景分析!$D$5,1))</f>
        <v/>
      </c>
      <c r="K74" s="29" t="str">
        <f>IF(A74="","",IF(情景分析!$D$7=1,[2]!b_anal_net_csi1(A74,情景分析!$D$5,1),[2]!b_anal_dirty_csi1(A74,情景分析!$D$5,1))*IF($H74="",1,$H74))</f>
        <v/>
      </c>
      <c r="L74" s="29" t="str">
        <f>IF(A74="","",[2]!b_anal_yield_csi1(A74,情景分析!$D$5,1))</f>
        <v/>
      </c>
      <c r="M74" s="29" t="str">
        <f t="shared" si="6"/>
        <v/>
      </c>
      <c r="N74" s="29" t="str">
        <f t="shared" si="7"/>
        <v/>
      </c>
      <c r="O74" s="7" t="str">
        <f>IF($A74="","",[2]!B_CALC_PRICE($A74,$O$1,IF(情景分析!$D$6=1,$J74,IF(情景分析!$D$6=2,$E74,IF(情景分析!$D$6=4,IF($C74="银行间",$J74,$L74),$G74)))+O$2/100,情景分析!$D$7,"",,,,"",)*IF($H74="",1,$H74))</f>
        <v/>
      </c>
      <c r="P74" s="7" t="str">
        <f>IF($A74="","",[2]!B_CALC_PRICE($A74,$O$1,IF(情景分析!$D$6=1,$J74,IF(情景分析!$D$6=2,$E74,IF(情景分析!$D$6=4,IF($C74="银行间",$J74,$L74),$G74)))+P$2/100,情景分析!$D$7,"",,,,"",)*IF($H74="",1,$H74))</f>
        <v/>
      </c>
      <c r="Q74" s="7" t="str">
        <f>IF($A74="","",[2]!B_CALC_PRICE($A74,$O$1,IF(情景分析!$D$6=1,$J74,IF(情景分析!$D$6=2,$E74,IF(情景分析!$D$6=4,IF($C74="银行间",$J74,$L74),$G74)))+Q$2/100,情景分析!$D$7,"",,,,"",)*IF($H74="",1,$H74))</f>
        <v/>
      </c>
      <c r="R74" s="7" t="str">
        <f>IF($A74="","",[2]!B_CALC_PRICE($A74,$O$1,IF(情景分析!$D$6=1,$J74,IF(情景分析!$D$6=2,$E74,IF(情景分析!$D$6=4,IF($C74="银行间",$J74,$L74),$G74)))+R$2/100,情景分析!$D$7,"",,,,"",)*IF($H74="",1,$H74))</f>
        <v/>
      </c>
      <c r="S74" s="7" t="str">
        <f>IF($A74="","",[2]!B_CALC_PRICE($A74,$O$1,IF(情景分析!$D$6=1,$J74,IF(情景分析!$D$6=2,$E74,IF(情景分析!$D$6=4,IF($C74="银行间",$J74,$L74),$G74)))+S$2/100,情景分析!$D$7,"",,,,"",)*IF($H74="",1,$H74))</f>
        <v/>
      </c>
      <c r="T74" s="7" t="str">
        <f>IF($A74="","",[2]!B_CALC_PRICE($A74,$O$1,IF(情景分析!$D$6=1,$J74,IF(情景分析!$D$6=2,$E74,IF(情景分析!$D$6=4,IF($C74="银行间",$J74,$L74),$G74)))+T$2/100,情景分析!$D$7,"",,,,"",)*IF($H74="",1,$H74))</f>
        <v/>
      </c>
      <c r="U74" s="7" t="str">
        <f>IF($A74="","",[2]!B_CALC_PRICE($A74,$O$1,IF(情景分析!$D$6=1,$J74,IF(情景分析!$D$6=2,$E74,IF(情景分析!$D$6=4,IF($C74="银行间",$J74,$L74),$G74)))+U$2/100,情景分析!$D$7,"",,,,"",)*IF($H74="",1,$H74))</f>
        <v/>
      </c>
      <c r="V74" s="7" t="str">
        <f>IF($A74="","",[2]!B_CALC_PRICE($A74,$V$1,IF(情景分析!$D$6=1,$J74,IF(情景分析!$D$6=2,$E74,IF(情景分析!$D$6=4,IF($C74="银行间",$J74,$L74),$G74)))+V$2/100,情景分析!$D$7,"",,,,"",)*IF($H74="",1,$H74))</f>
        <v/>
      </c>
      <c r="W74" s="7" t="str">
        <f>IF($A74="","",[2]!B_CALC_PRICE($A74,$V$1,IF(情景分析!$D$6=1,$J74,IF(情景分析!$D$6=2,$E74,IF(情景分析!$D$6=4,IF($C74="银行间",$J74,$L74),$G74)))+W$2/100,情景分析!$D$7,"",,,,"",)*IF($H74="",1,$H74))</f>
        <v/>
      </c>
      <c r="X74" s="7" t="str">
        <f>IF($A74="","",[2]!B_CALC_PRICE($A74,$V$1,IF(情景分析!$D$6=1,$J74,IF(情景分析!$D$6=2,$E74,IF(情景分析!$D$6=4,IF($C74="银行间",$J74,$L74),$G74)))+X$2/100,情景分析!$D$7,"",,,,"",)*IF($H74="",1,$H74))</f>
        <v/>
      </c>
      <c r="Y74" s="7" t="str">
        <f>IF($A74="","",[2]!B_CALC_PRICE($A74,$V$1,IF(情景分析!$D$6=1,$J74,IF(情景分析!$D$6=2,$E74,IF(情景分析!$D$6=4,IF($C74="银行间",$J74,$L74),$G74)))+Y$2/100,情景分析!$D$7,"",,,,"",)*IF($H74="",1,$H74))</f>
        <v/>
      </c>
      <c r="Z74" s="7" t="str">
        <f>IF($A74="","",[2]!B_CALC_PRICE($A74,$V$1,IF(情景分析!$D$6=1,$J74,IF(情景分析!$D$6=2,$E74,IF(情景分析!$D$6=4,IF($C74="银行间",$J74,$L74),$G74)))+Z$2/100,情景分析!$D$7,"",,,,"",)*IF($H74="",1,$H74))</f>
        <v/>
      </c>
      <c r="AA74" s="7" t="str">
        <f>IF($A74="","",[2]!B_CALC_PRICE($A74,$V$1,IF(情景分析!$D$6=1,$J74,IF(情景分析!$D$6=2,$E74,IF(情景分析!$D$6=4,IF($C74="银行间",$J74,$L74),$G74)))+AA$2/100,情景分析!$D$7,"",,,,"",)*IF($H74="",1,$H74))</f>
        <v/>
      </c>
      <c r="AB74" s="7" t="str">
        <f>IF($A74="","",[2]!B_CALC_PRICE($A74,$V$1,IF(情景分析!$D$6=1,$J74,IF(情景分析!$D$6=2,$E74,IF(情景分析!$D$6=4,IF($C74="银行间",$J74,$L74),$G74)))+AB$2/100,情景分析!$D$7,"",,,,"",)*IF($H74="",1,$H74))</f>
        <v/>
      </c>
      <c r="AC74" s="7" t="str">
        <f>IF($A74="","",[2]!B_CALC_PRICE($A74,$AC$1,IF(情景分析!$D$6=1,$J74,IF(情景分析!$D$6=2,$E74,IF(情景分析!$D$6=4,IF($C74="银行间",$J74,$L74),$G74)))+AC$2/100,情景分析!$D$7,"",,,,"",)*IF($H74="",1,$H74))</f>
        <v/>
      </c>
      <c r="AD74" s="7" t="str">
        <f>IF($A74="","",[2]!B_CALC_PRICE($A74,$AC$1,IF(情景分析!$D$6=1,$J74,IF(情景分析!$D$6=2,$E74,IF(情景分析!$D$6=4,IF($C74="银行间",$J74,$L74),$G74)))+AD$2/100,情景分析!$D$7,"",,,,"",)*IF($H74="",1,$H74))</f>
        <v/>
      </c>
      <c r="AE74" s="7" t="str">
        <f>IF($A74="","",[2]!B_CALC_PRICE($A74,$AC$1,IF(情景分析!$D$6=1,$J74,IF(情景分析!$D$6=2,$E74,IF(情景分析!$D$6=4,IF($C74="银行间",$J74,$L74),$G74)))+AE$2/100,情景分析!$D$7,"",,,,"",)*IF($H74="",1,$H74))</f>
        <v/>
      </c>
      <c r="AF74" s="7" t="str">
        <f>IF($A74="","",[2]!B_CALC_PRICE($A74,$AC$1,IF(情景分析!$D$6=1,$J74,IF(情景分析!$D$6=2,$E74,IF(情景分析!$D$6=4,IF($C74="银行间",$J74,$L74),$G74)))+AF$2/100,情景分析!$D$7,"",,,,"",)*IF($H74="",1,$H74))</f>
        <v/>
      </c>
      <c r="AG74" s="7" t="str">
        <f>IF($A74="","",[2]!B_CALC_PRICE($A74,$AC$1,IF(情景分析!$D$6=1,$J74,IF(情景分析!$D$6=2,$E74,IF(情景分析!$D$6=4,IF($C74="银行间",$J74,$L74),$G74)))+AG$2/100,情景分析!$D$7,"",,,,"",)*IF($H74="",1,$H74))</f>
        <v/>
      </c>
      <c r="AH74" s="7" t="str">
        <f>IF($A74="","",[2]!B_CALC_PRICE($A74,$AC$1,IF(情景分析!$D$6=1,$J74,IF(情景分析!$D$6=2,$E74,IF(情景分析!$D$6=4,IF($C74="银行间",$J74,$L74),$G74)))+AH$2/100,情景分析!$D$7,"",,,,"",)*IF($H74="",1,$H74))</f>
        <v/>
      </c>
      <c r="AI74" s="7" t="str">
        <f>IF($A74="","",[2]!B_CALC_PRICE($A74,$AC$1,IF(情景分析!$D$6=1,$J74,IF(情景分析!$D$6=2,$E74,IF(情景分析!$D$6=4,IF($C74="银行间",$J74,$L74),$G74)))+AI$2/100,情景分析!$D$7,"",,,,"",)*IF($H74="",1,$H74))</f>
        <v/>
      </c>
      <c r="AJ74" s="7" t="str">
        <f>IF($A74="","",[2]!B_CALC_PRICE($A74,$AJ$1,IF(情景分析!$D$6=1,$J74,IF(情景分析!$D$6=2,$E74,IF(情景分析!$D$6=4,IF($C74="银行间",$J74,$L74),$G74)))+AJ$2/100,情景分析!$D$7,"",,,,"",)*IF($H74="",1,$H74))</f>
        <v/>
      </c>
      <c r="AK74" s="7" t="str">
        <f>IF($A74="","",[2]!B_CALC_PRICE($A74,$AJ$1,IF(情景分析!$D$6=1,$J74,IF(情景分析!$D$6=2,$E74,IF(情景分析!$D$6=4,IF($C74="银行间",$J74,$L74),$G74)))+AK$2/100,情景分析!$D$7,"",,,,"",)*IF($H74="",1,$H74))</f>
        <v/>
      </c>
      <c r="AL74" s="7" t="str">
        <f>IF($A74="","",[2]!B_CALC_PRICE($A74,$AJ$1,IF(情景分析!$D$6=1,$J74,IF(情景分析!$D$6=2,$E74,IF(情景分析!$D$6=4,IF($C74="银行间",$J74,$L74),$G74)))+AL$2/100,情景分析!$D$7,"",,,,"",)*IF($H74="",1,$H74))</f>
        <v/>
      </c>
      <c r="AM74" s="7" t="str">
        <f>IF($A74="","",[2]!B_CALC_PRICE($A74,$AJ$1,IF(情景分析!$D$6=1,$J74,IF(情景分析!$D$6=2,$E74,IF(情景分析!$D$6=4,IF($C74="银行间",$J74,$L74),$G74)))+AM$2/100,情景分析!$D$7,"",,,,"",)*IF($H74="",1,$H74))</f>
        <v/>
      </c>
      <c r="AN74" s="7" t="str">
        <f>IF($A74="","",[2]!B_CALC_PRICE($A74,$AJ$1,IF(情景分析!$D$6=1,$J74,IF(情景分析!$D$6=2,$E74,IF(情景分析!$D$6=4,IF($C74="银行间",$J74,$L74),$G74)))+AN$2/100,情景分析!$D$7,"",,,,"",)*IF($H74="",1,$H74))</f>
        <v/>
      </c>
      <c r="AO74" s="7" t="str">
        <f>IF($A74="","",[2]!B_CALC_PRICE($A74,$AJ$1,IF(情景分析!$D$6=1,$J74,IF(情景分析!$D$6=2,$E74,IF(情景分析!$D$6=4,IF($C74="银行间",$J74,$L74),$G74)))+AO$2/100,情景分析!$D$7,"",,,,"",)*IF($H74="",1,$H74))</f>
        <v/>
      </c>
      <c r="AP74" s="7" t="str">
        <f>IF($A74="","",[2]!B_CALC_PRICE($A74,$AJ$1,IF(情景分析!$D$6=1,$J74,IF(情景分析!$D$6=2,$E74,IF(情景分析!$D$6=4,IF($C74="银行间",$J74,$L74),$G74)))+AP$2/100,情景分析!$D$7,"",,,,"",)*IF($H74="",1,$H74))</f>
        <v/>
      </c>
      <c r="AQ74" s="7" t="str">
        <f>IF($A74="","",[2]!B_CALC_PRICE($A74,$AQ$1,IF(情景分析!$D$6=1,$J74,IF(情景分析!$D$6=2,$E74,IF(情景分析!$D$6=4,IF($C74="银行间",$J74,$L74),$G74)))+AQ$2/100,情景分析!$D$7,"",,,,"",)*IF($H74="",1,$H74))</f>
        <v/>
      </c>
      <c r="AR74" s="7" t="str">
        <f>IF($A74="","",[2]!B_CALC_PRICE($A74,$AQ$1,IF(情景分析!$D$6=1,$J74,IF(情景分析!$D$6=2,$E74,IF(情景分析!$D$6=4,IF($C74="银行间",$J74,$L74),$G74)))+AR$2/100,情景分析!$D$7,"",,,,"",)*IF($H74="",1,$H74))</f>
        <v/>
      </c>
      <c r="AS74" s="7" t="str">
        <f>IF($A74="","",[2]!B_CALC_PRICE($A74,$AQ$1,IF(情景分析!$D$6=1,$J74,IF(情景分析!$D$6=2,$E74,IF(情景分析!$D$6=4,IF($C74="银行间",$J74,$L74),$G74)))+AS$2/100,情景分析!$D$7,"",,,,"",)*IF($H74="",1,$H74))</f>
        <v/>
      </c>
      <c r="AT74" s="7" t="str">
        <f>IF($A74="","",[2]!B_CALC_PRICE($A74,$AQ$1,IF(情景分析!$D$6=1,$J74,IF(情景分析!$D$6=2,$E74,IF(情景分析!$D$6=4,IF($C74="银行间",$J74,$L74),$G74)))+AT$2/100,情景分析!$D$7,"",,,,"",)*IF($H74="",1,$H74))</f>
        <v/>
      </c>
      <c r="AU74" s="7" t="str">
        <f>IF($A74="","",[2]!B_CALC_PRICE($A74,$AQ$1,IF(情景分析!$D$6=1,$J74,IF(情景分析!$D$6=2,$E74,IF(情景分析!$D$6=4,IF($C74="银行间",$J74,$L74),$G74)))+AU$2/100,情景分析!$D$7,"",,,,"",)*IF($H74="",1,$H74))</f>
        <v/>
      </c>
      <c r="AV74" s="7" t="str">
        <f>IF($A74="","",[2]!B_CALC_PRICE($A74,$AQ$1,IF(情景分析!$D$6=1,$J74,IF(情景分析!$D$6=2,$E74,IF(情景分析!$D$6=4,IF($C74="银行间",$J74,$L74),$G74)))+AV$2/100,情景分析!$D$7,"",,,,"",)*IF($H74="",1,$H74))</f>
        <v/>
      </c>
      <c r="AW74" s="7" t="str">
        <f>IF($A74="","",[2]!B_CALC_PRICE($A74,$AQ$1,IF(情景分析!$D$6=1,$J74,IF(情景分析!$D$6=2,$E74,IF(情景分析!$D$6=4,IF($C74="银行间",$J74,$L74),$G74)))+AW$2/100,情景分析!$D$7,"",,,,"",)*IF($H74="",1,$H74))</f>
        <v/>
      </c>
    </row>
    <row r="75" spans="1:49" x14ac:dyDescent="0.15">
      <c r="A75" s="20"/>
      <c r="B75" s="7" t="str">
        <f>IF(A75="","",[2]!b_info_name(A75))</f>
        <v/>
      </c>
      <c r="C75" s="7" t="str">
        <f>[2]!b_info_listedmkt(A75)</f>
        <v>#N/A</v>
      </c>
      <c r="D75" s="7" t="str">
        <f>IFERROR(IF(A75="","", [2]!b_dq_avgprice(A75, 情景分析!$D$5, 情景分析!$D$7) * IF($H75="",1,$H75)),0)</f>
        <v/>
      </c>
      <c r="E75" s="7" t="str">
        <f>IF(A75="","", N([2]!b_dq_avgprice(A75,情景分析!$D$5,3)))</f>
        <v/>
      </c>
      <c r="F75" s="29" t="str">
        <f>IF($G75 = "",
"",
IFERROR(
[2]!b_calc_pv(A75, 情景分析!$D$5,$G75, "1", 情景分析!$D$7),
[2]!b_calc_pv(A75, 情景分析!$D$5,$G75, "2", 情景分析!$D$7)
)
)</f>
        <v/>
      </c>
      <c r="G75" s="22"/>
      <c r="H75" s="21"/>
      <c r="I75" s="7" t="str">
        <f>IF(A75="","",IF(情景分析!$D$7=1,[2]!b_anal_net_cnbd(A75,情景分析!$D$5,1),[2]!b_anal_dirty_cnbd(A75,情景分析!$D$5,1))*IF($H75="",1,$H75))</f>
        <v/>
      </c>
      <c r="J75" s="7" t="str">
        <f>IF(A75="","",[2]!b_anal_yield_cnbd(A75,情景分析!$D$5,1))</f>
        <v/>
      </c>
      <c r="K75" s="29" t="str">
        <f>IF(A75="","",IF(情景分析!$D$7=1,[2]!b_anal_net_csi1(A75,情景分析!$D$5,1),[2]!b_anal_dirty_csi1(A75,情景分析!$D$5,1))*IF($H75="",1,$H75))</f>
        <v/>
      </c>
      <c r="L75" s="29" t="str">
        <f>IF(A75="","",[2]!b_anal_yield_csi1(A75,情景分析!$D$5,1))</f>
        <v/>
      </c>
      <c r="M75" s="29" t="str">
        <f t="shared" si="6"/>
        <v/>
      </c>
      <c r="N75" s="29" t="str">
        <f t="shared" si="7"/>
        <v/>
      </c>
      <c r="O75" s="7" t="str">
        <f>IF($A75="","",[2]!B_CALC_PRICE($A75,$O$1,IF(情景分析!$D$6=1,$J75,IF(情景分析!$D$6=2,$E75,IF(情景分析!$D$6=4,IF($C75="银行间",$J75,$L75),$G75)))+O$2/100,情景分析!$D$7,"",,,,"",)*IF($H75="",1,$H75))</f>
        <v/>
      </c>
      <c r="P75" s="7" t="str">
        <f>IF($A75="","",[2]!B_CALC_PRICE($A75,$O$1,IF(情景分析!$D$6=1,$J75,IF(情景分析!$D$6=2,$E75,IF(情景分析!$D$6=4,IF($C75="银行间",$J75,$L75),$G75)))+P$2/100,情景分析!$D$7,"",,,,"",)*IF($H75="",1,$H75))</f>
        <v/>
      </c>
      <c r="Q75" s="7" t="str">
        <f>IF($A75="","",[2]!B_CALC_PRICE($A75,$O$1,IF(情景分析!$D$6=1,$J75,IF(情景分析!$D$6=2,$E75,IF(情景分析!$D$6=4,IF($C75="银行间",$J75,$L75),$G75)))+Q$2/100,情景分析!$D$7,"",,,,"",)*IF($H75="",1,$H75))</f>
        <v/>
      </c>
      <c r="R75" s="7" t="str">
        <f>IF($A75="","",[2]!B_CALC_PRICE($A75,$O$1,IF(情景分析!$D$6=1,$J75,IF(情景分析!$D$6=2,$E75,IF(情景分析!$D$6=4,IF($C75="银行间",$J75,$L75),$G75)))+R$2/100,情景分析!$D$7,"",,,,"",)*IF($H75="",1,$H75))</f>
        <v/>
      </c>
      <c r="S75" s="7" t="str">
        <f>IF($A75="","",[2]!B_CALC_PRICE($A75,$O$1,IF(情景分析!$D$6=1,$J75,IF(情景分析!$D$6=2,$E75,IF(情景分析!$D$6=4,IF($C75="银行间",$J75,$L75),$G75)))+S$2/100,情景分析!$D$7,"",,,,"",)*IF($H75="",1,$H75))</f>
        <v/>
      </c>
      <c r="T75" s="7" t="str">
        <f>IF($A75="","",[2]!B_CALC_PRICE($A75,$O$1,IF(情景分析!$D$6=1,$J75,IF(情景分析!$D$6=2,$E75,IF(情景分析!$D$6=4,IF($C75="银行间",$J75,$L75),$G75)))+T$2/100,情景分析!$D$7,"",,,,"",)*IF($H75="",1,$H75))</f>
        <v/>
      </c>
      <c r="U75" s="7" t="str">
        <f>IF($A75="","",[2]!B_CALC_PRICE($A75,$O$1,IF(情景分析!$D$6=1,$J75,IF(情景分析!$D$6=2,$E75,IF(情景分析!$D$6=4,IF($C75="银行间",$J75,$L75),$G75)))+U$2/100,情景分析!$D$7,"",,,,"",)*IF($H75="",1,$H75))</f>
        <v/>
      </c>
      <c r="V75" s="7" t="str">
        <f>IF($A75="","",[2]!B_CALC_PRICE($A75,$V$1,IF(情景分析!$D$6=1,$J75,IF(情景分析!$D$6=2,$E75,IF(情景分析!$D$6=4,IF($C75="银行间",$J75,$L75),$G75)))+V$2/100,情景分析!$D$7,"",,,,"",)*IF($H75="",1,$H75))</f>
        <v/>
      </c>
      <c r="W75" s="7" t="str">
        <f>IF($A75="","",[2]!B_CALC_PRICE($A75,$V$1,IF(情景分析!$D$6=1,$J75,IF(情景分析!$D$6=2,$E75,IF(情景分析!$D$6=4,IF($C75="银行间",$J75,$L75),$G75)))+W$2/100,情景分析!$D$7,"",,,,"",)*IF($H75="",1,$H75))</f>
        <v/>
      </c>
      <c r="X75" s="7" t="str">
        <f>IF($A75="","",[2]!B_CALC_PRICE($A75,$V$1,IF(情景分析!$D$6=1,$J75,IF(情景分析!$D$6=2,$E75,IF(情景分析!$D$6=4,IF($C75="银行间",$J75,$L75),$G75)))+X$2/100,情景分析!$D$7,"",,,,"",)*IF($H75="",1,$H75))</f>
        <v/>
      </c>
      <c r="Y75" s="7" t="str">
        <f>IF($A75="","",[2]!B_CALC_PRICE($A75,$V$1,IF(情景分析!$D$6=1,$J75,IF(情景分析!$D$6=2,$E75,IF(情景分析!$D$6=4,IF($C75="银行间",$J75,$L75),$G75)))+Y$2/100,情景分析!$D$7,"",,,,"",)*IF($H75="",1,$H75))</f>
        <v/>
      </c>
      <c r="Z75" s="7" t="str">
        <f>IF($A75="","",[2]!B_CALC_PRICE($A75,$V$1,IF(情景分析!$D$6=1,$J75,IF(情景分析!$D$6=2,$E75,IF(情景分析!$D$6=4,IF($C75="银行间",$J75,$L75),$G75)))+Z$2/100,情景分析!$D$7,"",,,,"",)*IF($H75="",1,$H75))</f>
        <v/>
      </c>
      <c r="AA75" s="7" t="str">
        <f>IF($A75="","",[2]!B_CALC_PRICE($A75,$V$1,IF(情景分析!$D$6=1,$J75,IF(情景分析!$D$6=2,$E75,IF(情景分析!$D$6=4,IF($C75="银行间",$J75,$L75),$G75)))+AA$2/100,情景分析!$D$7,"",,,,"",)*IF($H75="",1,$H75))</f>
        <v/>
      </c>
      <c r="AB75" s="7" t="str">
        <f>IF($A75="","",[2]!B_CALC_PRICE($A75,$V$1,IF(情景分析!$D$6=1,$J75,IF(情景分析!$D$6=2,$E75,IF(情景分析!$D$6=4,IF($C75="银行间",$J75,$L75),$G75)))+AB$2/100,情景分析!$D$7,"",,,,"",)*IF($H75="",1,$H75))</f>
        <v/>
      </c>
      <c r="AC75" s="7" t="str">
        <f>IF($A75="","",[2]!B_CALC_PRICE($A75,$AC$1,IF(情景分析!$D$6=1,$J75,IF(情景分析!$D$6=2,$E75,IF(情景分析!$D$6=4,IF($C75="银行间",$J75,$L75),$G75)))+AC$2/100,情景分析!$D$7,"",,,,"",)*IF($H75="",1,$H75))</f>
        <v/>
      </c>
      <c r="AD75" s="7" t="str">
        <f>IF($A75="","",[2]!B_CALC_PRICE($A75,$AC$1,IF(情景分析!$D$6=1,$J75,IF(情景分析!$D$6=2,$E75,IF(情景分析!$D$6=4,IF($C75="银行间",$J75,$L75),$G75)))+AD$2/100,情景分析!$D$7,"",,,,"",)*IF($H75="",1,$H75))</f>
        <v/>
      </c>
      <c r="AE75" s="7" t="str">
        <f>IF($A75="","",[2]!B_CALC_PRICE($A75,$AC$1,IF(情景分析!$D$6=1,$J75,IF(情景分析!$D$6=2,$E75,IF(情景分析!$D$6=4,IF($C75="银行间",$J75,$L75),$G75)))+AE$2/100,情景分析!$D$7,"",,,,"",)*IF($H75="",1,$H75))</f>
        <v/>
      </c>
      <c r="AF75" s="7" t="str">
        <f>IF($A75="","",[2]!B_CALC_PRICE($A75,$AC$1,IF(情景分析!$D$6=1,$J75,IF(情景分析!$D$6=2,$E75,IF(情景分析!$D$6=4,IF($C75="银行间",$J75,$L75),$G75)))+AF$2/100,情景分析!$D$7,"",,,,"",)*IF($H75="",1,$H75))</f>
        <v/>
      </c>
      <c r="AG75" s="7" t="str">
        <f>IF($A75="","",[2]!B_CALC_PRICE($A75,$AC$1,IF(情景分析!$D$6=1,$J75,IF(情景分析!$D$6=2,$E75,IF(情景分析!$D$6=4,IF($C75="银行间",$J75,$L75),$G75)))+AG$2/100,情景分析!$D$7,"",,,,"",)*IF($H75="",1,$H75))</f>
        <v/>
      </c>
      <c r="AH75" s="7" t="str">
        <f>IF($A75="","",[2]!B_CALC_PRICE($A75,$AC$1,IF(情景分析!$D$6=1,$J75,IF(情景分析!$D$6=2,$E75,IF(情景分析!$D$6=4,IF($C75="银行间",$J75,$L75),$G75)))+AH$2/100,情景分析!$D$7,"",,,,"",)*IF($H75="",1,$H75))</f>
        <v/>
      </c>
      <c r="AI75" s="7" t="str">
        <f>IF($A75="","",[2]!B_CALC_PRICE($A75,$AC$1,IF(情景分析!$D$6=1,$J75,IF(情景分析!$D$6=2,$E75,IF(情景分析!$D$6=4,IF($C75="银行间",$J75,$L75),$G75)))+AI$2/100,情景分析!$D$7,"",,,,"",)*IF($H75="",1,$H75))</f>
        <v/>
      </c>
      <c r="AJ75" s="7" t="str">
        <f>IF($A75="","",[2]!B_CALC_PRICE($A75,$AJ$1,IF(情景分析!$D$6=1,$J75,IF(情景分析!$D$6=2,$E75,IF(情景分析!$D$6=4,IF($C75="银行间",$J75,$L75),$G75)))+AJ$2/100,情景分析!$D$7,"",,,,"",)*IF($H75="",1,$H75))</f>
        <v/>
      </c>
      <c r="AK75" s="7" t="str">
        <f>IF($A75="","",[2]!B_CALC_PRICE($A75,$AJ$1,IF(情景分析!$D$6=1,$J75,IF(情景分析!$D$6=2,$E75,IF(情景分析!$D$6=4,IF($C75="银行间",$J75,$L75),$G75)))+AK$2/100,情景分析!$D$7,"",,,,"",)*IF($H75="",1,$H75))</f>
        <v/>
      </c>
      <c r="AL75" s="7" t="str">
        <f>IF($A75="","",[2]!B_CALC_PRICE($A75,$AJ$1,IF(情景分析!$D$6=1,$J75,IF(情景分析!$D$6=2,$E75,IF(情景分析!$D$6=4,IF($C75="银行间",$J75,$L75),$G75)))+AL$2/100,情景分析!$D$7,"",,,,"",)*IF($H75="",1,$H75))</f>
        <v/>
      </c>
      <c r="AM75" s="7" t="str">
        <f>IF($A75="","",[2]!B_CALC_PRICE($A75,$AJ$1,IF(情景分析!$D$6=1,$J75,IF(情景分析!$D$6=2,$E75,IF(情景分析!$D$6=4,IF($C75="银行间",$J75,$L75),$G75)))+AM$2/100,情景分析!$D$7,"",,,,"",)*IF($H75="",1,$H75))</f>
        <v/>
      </c>
      <c r="AN75" s="7" t="str">
        <f>IF($A75="","",[2]!B_CALC_PRICE($A75,$AJ$1,IF(情景分析!$D$6=1,$J75,IF(情景分析!$D$6=2,$E75,IF(情景分析!$D$6=4,IF($C75="银行间",$J75,$L75),$G75)))+AN$2/100,情景分析!$D$7,"",,,,"",)*IF($H75="",1,$H75))</f>
        <v/>
      </c>
      <c r="AO75" s="7" t="str">
        <f>IF($A75="","",[2]!B_CALC_PRICE($A75,$AJ$1,IF(情景分析!$D$6=1,$J75,IF(情景分析!$D$6=2,$E75,IF(情景分析!$D$6=4,IF($C75="银行间",$J75,$L75),$G75)))+AO$2/100,情景分析!$D$7,"",,,,"",)*IF($H75="",1,$H75))</f>
        <v/>
      </c>
      <c r="AP75" s="7" t="str">
        <f>IF($A75="","",[2]!B_CALC_PRICE($A75,$AJ$1,IF(情景分析!$D$6=1,$J75,IF(情景分析!$D$6=2,$E75,IF(情景分析!$D$6=4,IF($C75="银行间",$J75,$L75),$G75)))+AP$2/100,情景分析!$D$7,"",,,,"",)*IF($H75="",1,$H75))</f>
        <v/>
      </c>
      <c r="AQ75" s="7" t="str">
        <f>IF($A75="","",[2]!B_CALC_PRICE($A75,$AQ$1,IF(情景分析!$D$6=1,$J75,IF(情景分析!$D$6=2,$E75,IF(情景分析!$D$6=4,IF($C75="银行间",$J75,$L75),$G75)))+AQ$2/100,情景分析!$D$7,"",,,,"",)*IF($H75="",1,$H75))</f>
        <v/>
      </c>
      <c r="AR75" s="7" t="str">
        <f>IF($A75="","",[2]!B_CALC_PRICE($A75,$AQ$1,IF(情景分析!$D$6=1,$J75,IF(情景分析!$D$6=2,$E75,IF(情景分析!$D$6=4,IF($C75="银行间",$J75,$L75),$G75)))+AR$2/100,情景分析!$D$7,"",,,,"",)*IF($H75="",1,$H75))</f>
        <v/>
      </c>
      <c r="AS75" s="7" t="str">
        <f>IF($A75="","",[2]!B_CALC_PRICE($A75,$AQ$1,IF(情景分析!$D$6=1,$J75,IF(情景分析!$D$6=2,$E75,IF(情景分析!$D$6=4,IF($C75="银行间",$J75,$L75),$G75)))+AS$2/100,情景分析!$D$7,"",,,,"",)*IF($H75="",1,$H75))</f>
        <v/>
      </c>
      <c r="AT75" s="7" t="str">
        <f>IF($A75="","",[2]!B_CALC_PRICE($A75,$AQ$1,IF(情景分析!$D$6=1,$J75,IF(情景分析!$D$6=2,$E75,IF(情景分析!$D$6=4,IF($C75="银行间",$J75,$L75),$G75)))+AT$2/100,情景分析!$D$7,"",,,,"",)*IF($H75="",1,$H75))</f>
        <v/>
      </c>
      <c r="AU75" s="7" t="str">
        <f>IF($A75="","",[2]!B_CALC_PRICE($A75,$AQ$1,IF(情景分析!$D$6=1,$J75,IF(情景分析!$D$6=2,$E75,IF(情景分析!$D$6=4,IF($C75="银行间",$J75,$L75),$G75)))+AU$2/100,情景分析!$D$7,"",,,,"",)*IF($H75="",1,$H75))</f>
        <v/>
      </c>
      <c r="AV75" s="7" t="str">
        <f>IF($A75="","",[2]!B_CALC_PRICE($A75,$AQ$1,IF(情景分析!$D$6=1,$J75,IF(情景分析!$D$6=2,$E75,IF(情景分析!$D$6=4,IF($C75="银行间",$J75,$L75),$G75)))+AV$2/100,情景分析!$D$7,"",,,,"",)*IF($H75="",1,$H75))</f>
        <v/>
      </c>
      <c r="AW75" s="7" t="str">
        <f>IF($A75="","",[2]!B_CALC_PRICE($A75,$AQ$1,IF(情景分析!$D$6=1,$J75,IF(情景分析!$D$6=2,$E75,IF(情景分析!$D$6=4,IF($C75="银行间",$J75,$L75),$G75)))+AW$2/100,情景分析!$D$7,"",,,,"",)*IF($H75="",1,$H75))</f>
        <v/>
      </c>
    </row>
    <row r="76" spans="1:49" x14ac:dyDescent="0.15">
      <c r="A76" s="20"/>
      <c r="B76" s="7" t="str">
        <f>IF(A76="","",[2]!b_info_name(A76))</f>
        <v/>
      </c>
      <c r="C76" s="7" t="str">
        <f>[2]!b_info_listedmkt(A76)</f>
        <v>#N/A</v>
      </c>
      <c r="D76" s="7" t="str">
        <f>IFERROR(IF(A76="","", [2]!b_dq_avgprice(A76, 情景分析!$D$5, 情景分析!$D$7) * IF($H76="",1,$H76)),0)</f>
        <v/>
      </c>
      <c r="E76" s="7" t="str">
        <f>IF(A76="","", N([2]!b_dq_avgprice(A76,情景分析!$D$5,3)))</f>
        <v/>
      </c>
      <c r="F76" s="29" t="str">
        <f>IF($G76 = "",
"",
IFERROR(
[2]!b_calc_pv(A76, 情景分析!$D$5,$G76, "1", 情景分析!$D$7),
[2]!b_calc_pv(A76, 情景分析!$D$5,$G76, "2", 情景分析!$D$7)
)
)</f>
        <v/>
      </c>
      <c r="G76" s="22"/>
      <c r="H76" s="21"/>
      <c r="I76" s="7" t="str">
        <f>IF(A76="","",IF(情景分析!$D$7=1,[2]!b_anal_net_cnbd(A76,情景分析!$D$5,1),[2]!b_anal_dirty_cnbd(A76,情景分析!$D$5,1))*IF($H76="",1,$H76))</f>
        <v/>
      </c>
      <c r="J76" s="7" t="str">
        <f>IF(A76="","",[2]!b_anal_yield_cnbd(A76,情景分析!$D$5,1))</f>
        <v/>
      </c>
      <c r="K76" s="29" t="str">
        <f>IF(A76="","",IF(情景分析!$D$7=1,[2]!b_anal_net_csi1(A76,情景分析!$D$5,1),[2]!b_anal_dirty_csi1(A76,情景分析!$D$5,1))*IF($H76="",1,$H76))</f>
        <v/>
      </c>
      <c r="L76" s="29" t="str">
        <f>IF(A76="","",[2]!b_anal_yield_csi1(A76,情景分析!$D$5,1))</f>
        <v/>
      </c>
      <c r="M76" s="29" t="str">
        <f t="shared" si="6"/>
        <v/>
      </c>
      <c r="N76" s="29" t="str">
        <f t="shared" si="7"/>
        <v/>
      </c>
      <c r="O76" s="7" t="str">
        <f>IF($A76="","",[2]!B_CALC_PRICE($A76,$O$1,IF(情景分析!$D$6=1,$J76,IF(情景分析!$D$6=2,$E76,IF(情景分析!$D$6=4,IF($C76="银行间",$J76,$L76),$G76)))+O$2/100,情景分析!$D$7,"",,,,"",)*IF($H76="",1,$H76))</f>
        <v/>
      </c>
      <c r="P76" s="7" t="str">
        <f>IF($A76="","",[2]!B_CALC_PRICE($A76,$O$1,IF(情景分析!$D$6=1,$J76,IF(情景分析!$D$6=2,$E76,IF(情景分析!$D$6=4,IF($C76="银行间",$J76,$L76),$G76)))+P$2/100,情景分析!$D$7,"",,,,"",)*IF($H76="",1,$H76))</f>
        <v/>
      </c>
      <c r="Q76" s="7" t="str">
        <f>IF($A76="","",[2]!B_CALC_PRICE($A76,$O$1,IF(情景分析!$D$6=1,$J76,IF(情景分析!$D$6=2,$E76,IF(情景分析!$D$6=4,IF($C76="银行间",$J76,$L76),$G76)))+Q$2/100,情景分析!$D$7,"",,,,"",)*IF($H76="",1,$H76))</f>
        <v/>
      </c>
      <c r="R76" s="7" t="str">
        <f>IF($A76="","",[2]!B_CALC_PRICE($A76,$O$1,IF(情景分析!$D$6=1,$J76,IF(情景分析!$D$6=2,$E76,IF(情景分析!$D$6=4,IF($C76="银行间",$J76,$L76),$G76)))+R$2/100,情景分析!$D$7,"",,,,"",)*IF($H76="",1,$H76))</f>
        <v/>
      </c>
      <c r="S76" s="7" t="str">
        <f>IF($A76="","",[2]!B_CALC_PRICE($A76,$O$1,IF(情景分析!$D$6=1,$J76,IF(情景分析!$D$6=2,$E76,IF(情景分析!$D$6=4,IF($C76="银行间",$J76,$L76),$G76)))+S$2/100,情景分析!$D$7,"",,,,"",)*IF($H76="",1,$H76))</f>
        <v/>
      </c>
      <c r="T76" s="7" t="str">
        <f>IF($A76="","",[2]!B_CALC_PRICE($A76,$O$1,IF(情景分析!$D$6=1,$J76,IF(情景分析!$D$6=2,$E76,IF(情景分析!$D$6=4,IF($C76="银行间",$J76,$L76),$G76)))+T$2/100,情景分析!$D$7,"",,,,"",)*IF($H76="",1,$H76))</f>
        <v/>
      </c>
      <c r="U76" s="7" t="str">
        <f>IF($A76="","",[2]!B_CALC_PRICE($A76,$O$1,IF(情景分析!$D$6=1,$J76,IF(情景分析!$D$6=2,$E76,IF(情景分析!$D$6=4,IF($C76="银行间",$J76,$L76),$G76)))+U$2/100,情景分析!$D$7,"",,,,"",)*IF($H76="",1,$H76))</f>
        <v/>
      </c>
      <c r="V76" s="7" t="str">
        <f>IF($A76="","",[2]!B_CALC_PRICE($A76,$V$1,IF(情景分析!$D$6=1,$J76,IF(情景分析!$D$6=2,$E76,IF(情景分析!$D$6=4,IF($C76="银行间",$J76,$L76),$G76)))+V$2/100,情景分析!$D$7,"",,,,"",)*IF($H76="",1,$H76))</f>
        <v/>
      </c>
      <c r="W76" s="7" t="str">
        <f>IF($A76="","",[2]!B_CALC_PRICE($A76,$V$1,IF(情景分析!$D$6=1,$J76,IF(情景分析!$D$6=2,$E76,IF(情景分析!$D$6=4,IF($C76="银行间",$J76,$L76),$G76)))+W$2/100,情景分析!$D$7,"",,,,"",)*IF($H76="",1,$H76))</f>
        <v/>
      </c>
      <c r="X76" s="7" t="str">
        <f>IF($A76="","",[2]!B_CALC_PRICE($A76,$V$1,IF(情景分析!$D$6=1,$J76,IF(情景分析!$D$6=2,$E76,IF(情景分析!$D$6=4,IF($C76="银行间",$J76,$L76),$G76)))+X$2/100,情景分析!$D$7,"",,,,"",)*IF($H76="",1,$H76))</f>
        <v/>
      </c>
      <c r="Y76" s="7" t="str">
        <f>IF($A76="","",[2]!B_CALC_PRICE($A76,$V$1,IF(情景分析!$D$6=1,$J76,IF(情景分析!$D$6=2,$E76,IF(情景分析!$D$6=4,IF($C76="银行间",$J76,$L76),$G76)))+Y$2/100,情景分析!$D$7,"",,,,"",)*IF($H76="",1,$H76))</f>
        <v/>
      </c>
      <c r="Z76" s="7" t="str">
        <f>IF($A76="","",[2]!B_CALC_PRICE($A76,$V$1,IF(情景分析!$D$6=1,$J76,IF(情景分析!$D$6=2,$E76,IF(情景分析!$D$6=4,IF($C76="银行间",$J76,$L76),$G76)))+Z$2/100,情景分析!$D$7,"",,,,"",)*IF($H76="",1,$H76))</f>
        <v/>
      </c>
      <c r="AA76" s="7" t="str">
        <f>IF($A76="","",[2]!B_CALC_PRICE($A76,$V$1,IF(情景分析!$D$6=1,$J76,IF(情景分析!$D$6=2,$E76,IF(情景分析!$D$6=4,IF($C76="银行间",$J76,$L76),$G76)))+AA$2/100,情景分析!$D$7,"",,,,"",)*IF($H76="",1,$H76))</f>
        <v/>
      </c>
      <c r="AB76" s="7" t="str">
        <f>IF($A76="","",[2]!B_CALC_PRICE($A76,$V$1,IF(情景分析!$D$6=1,$J76,IF(情景分析!$D$6=2,$E76,IF(情景分析!$D$6=4,IF($C76="银行间",$J76,$L76),$G76)))+AB$2/100,情景分析!$D$7,"",,,,"",)*IF($H76="",1,$H76))</f>
        <v/>
      </c>
      <c r="AC76" s="7" t="str">
        <f>IF($A76="","",[2]!B_CALC_PRICE($A76,$AC$1,IF(情景分析!$D$6=1,$J76,IF(情景分析!$D$6=2,$E76,IF(情景分析!$D$6=4,IF($C76="银行间",$J76,$L76),$G76)))+AC$2/100,情景分析!$D$7,"",,,,"",)*IF($H76="",1,$H76))</f>
        <v/>
      </c>
      <c r="AD76" s="7" t="str">
        <f>IF($A76="","",[2]!B_CALC_PRICE($A76,$AC$1,IF(情景分析!$D$6=1,$J76,IF(情景分析!$D$6=2,$E76,IF(情景分析!$D$6=4,IF($C76="银行间",$J76,$L76),$G76)))+AD$2/100,情景分析!$D$7,"",,,,"",)*IF($H76="",1,$H76))</f>
        <v/>
      </c>
      <c r="AE76" s="7" t="str">
        <f>IF($A76="","",[2]!B_CALC_PRICE($A76,$AC$1,IF(情景分析!$D$6=1,$J76,IF(情景分析!$D$6=2,$E76,IF(情景分析!$D$6=4,IF($C76="银行间",$J76,$L76),$G76)))+AE$2/100,情景分析!$D$7,"",,,,"",)*IF($H76="",1,$H76))</f>
        <v/>
      </c>
      <c r="AF76" s="7" t="str">
        <f>IF($A76="","",[2]!B_CALC_PRICE($A76,$AC$1,IF(情景分析!$D$6=1,$J76,IF(情景分析!$D$6=2,$E76,IF(情景分析!$D$6=4,IF($C76="银行间",$J76,$L76),$G76)))+AF$2/100,情景分析!$D$7,"",,,,"",)*IF($H76="",1,$H76))</f>
        <v/>
      </c>
      <c r="AG76" s="7" t="str">
        <f>IF($A76="","",[2]!B_CALC_PRICE($A76,$AC$1,IF(情景分析!$D$6=1,$J76,IF(情景分析!$D$6=2,$E76,IF(情景分析!$D$6=4,IF($C76="银行间",$J76,$L76),$G76)))+AG$2/100,情景分析!$D$7,"",,,,"",)*IF($H76="",1,$H76))</f>
        <v/>
      </c>
      <c r="AH76" s="7" t="str">
        <f>IF($A76="","",[2]!B_CALC_PRICE($A76,$AC$1,IF(情景分析!$D$6=1,$J76,IF(情景分析!$D$6=2,$E76,IF(情景分析!$D$6=4,IF($C76="银行间",$J76,$L76),$G76)))+AH$2/100,情景分析!$D$7,"",,,,"",)*IF($H76="",1,$H76))</f>
        <v/>
      </c>
      <c r="AI76" s="7" t="str">
        <f>IF($A76="","",[2]!B_CALC_PRICE($A76,$AC$1,IF(情景分析!$D$6=1,$J76,IF(情景分析!$D$6=2,$E76,IF(情景分析!$D$6=4,IF($C76="银行间",$J76,$L76),$G76)))+AI$2/100,情景分析!$D$7,"",,,,"",)*IF($H76="",1,$H76))</f>
        <v/>
      </c>
      <c r="AJ76" s="7" t="str">
        <f>IF($A76="","",[2]!B_CALC_PRICE($A76,$AJ$1,IF(情景分析!$D$6=1,$J76,IF(情景分析!$D$6=2,$E76,IF(情景分析!$D$6=4,IF($C76="银行间",$J76,$L76),$G76)))+AJ$2/100,情景分析!$D$7,"",,,,"",)*IF($H76="",1,$H76))</f>
        <v/>
      </c>
      <c r="AK76" s="7" t="str">
        <f>IF($A76="","",[2]!B_CALC_PRICE($A76,$AJ$1,IF(情景分析!$D$6=1,$J76,IF(情景分析!$D$6=2,$E76,IF(情景分析!$D$6=4,IF($C76="银行间",$J76,$L76),$G76)))+AK$2/100,情景分析!$D$7,"",,,,"",)*IF($H76="",1,$H76))</f>
        <v/>
      </c>
      <c r="AL76" s="7" t="str">
        <f>IF($A76="","",[2]!B_CALC_PRICE($A76,$AJ$1,IF(情景分析!$D$6=1,$J76,IF(情景分析!$D$6=2,$E76,IF(情景分析!$D$6=4,IF($C76="银行间",$J76,$L76),$G76)))+AL$2/100,情景分析!$D$7,"",,,,"",)*IF($H76="",1,$H76))</f>
        <v/>
      </c>
      <c r="AM76" s="7" t="str">
        <f>IF($A76="","",[2]!B_CALC_PRICE($A76,$AJ$1,IF(情景分析!$D$6=1,$J76,IF(情景分析!$D$6=2,$E76,IF(情景分析!$D$6=4,IF($C76="银行间",$J76,$L76),$G76)))+AM$2/100,情景分析!$D$7,"",,,,"",)*IF($H76="",1,$H76))</f>
        <v/>
      </c>
      <c r="AN76" s="7" t="str">
        <f>IF($A76="","",[2]!B_CALC_PRICE($A76,$AJ$1,IF(情景分析!$D$6=1,$J76,IF(情景分析!$D$6=2,$E76,IF(情景分析!$D$6=4,IF($C76="银行间",$J76,$L76),$G76)))+AN$2/100,情景分析!$D$7,"",,,,"",)*IF($H76="",1,$H76))</f>
        <v/>
      </c>
      <c r="AO76" s="7" t="str">
        <f>IF($A76="","",[2]!B_CALC_PRICE($A76,$AJ$1,IF(情景分析!$D$6=1,$J76,IF(情景分析!$D$6=2,$E76,IF(情景分析!$D$6=4,IF($C76="银行间",$J76,$L76),$G76)))+AO$2/100,情景分析!$D$7,"",,,,"",)*IF($H76="",1,$H76))</f>
        <v/>
      </c>
      <c r="AP76" s="7" t="str">
        <f>IF($A76="","",[2]!B_CALC_PRICE($A76,$AJ$1,IF(情景分析!$D$6=1,$J76,IF(情景分析!$D$6=2,$E76,IF(情景分析!$D$6=4,IF($C76="银行间",$J76,$L76),$G76)))+AP$2/100,情景分析!$D$7,"",,,,"",)*IF($H76="",1,$H76))</f>
        <v/>
      </c>
      <c r="AQ76" s="7" t="str">
        <f>IF($A76="","",[2]!B_CALC_PRICE($A76,$AQ$1,IF(情景分析!$D$6=1,$J76,IF(情景分析!$D$6=2,$E76,IF(情景分析!$D$6=4,IF($C76="银行间",$J76,$L76),$G76)))+AQ$2/100,情景分析!$D$7,"",,,,"",)*IF($H76="",1,$H76))</f>
        <v/>
      </c>
      <c r="AR76" s="7" t="str">
        <f>IF($A76="","",[2]!B_CALC_PRICE($A76,$AQ$1,IF(情景分析!$D$6=1,$J76,IF(情景分析!$D$6=2,$E76,IF(情景分析!$D$6=4,IF($C76="银行间",$J76,$L76),$G76)))+AR$2/100,情景分析!$D$7,"",,,,"",)*IF($H76="",1,$H76))</f>
        <v/>
      </c>
      <c r="AS76" s="7" t="str">
        <f>IF($A76="","",[2]!B_CALC_PRICE($A76,$AQ$1,IF(情景分析!$D$6=1,$J76,IF(情景分析!$D$6=2,$E76,IF(情景分析!$D$6=4,IF($C76="银行间",$J76,$L76),$G76)))+AS$2/100,情景分析!$D$7,"",,,,"",)*IF($H76="",1,$H76))</f>
        <v/>
      </c>
      <c r="AT76" s="7" t="str">
        <f>IF($A76="","",[2]!B_CALC_PRICE($A76,$AQ$1,IF(情景分析!$D$6=1,$J76,IF(情景分析!$D$6=2,$E76,IF(情景分析!$D$6=4,IF($C76="银行间",$J76,$L76),$G76)))+AT$2/100,情景分析!$D$7,"",,,,"",)*IF($H76="",1,$H76))</f>
        <v/>
      </c>
      <c r="AU76" s="7" t="str">
        <f>IF($A76="","",[2]!B_CALC_PRICE($A76,$AQ$1,IF(情景分析!$D$6=1,$J76,IF(情景分析!$D$6=2,$E76,IF(情景分析!$D$6=4,IF($C76="银行间",$J76,$L76),$G76)))+AU$2/100,情景分析!$D$7,"",,,,"",)*IF($H76="",1,$H76))</f>
        <v/>
      </c>
      <c r="AV76" s="7" t="str">
        <f>IF($A76="","",[2]!B_CALC_PRICE($A76,$AQ$1,IF(情景分析!$D$6=1,$J76,IF(情景分析!$D$6=2,$E76,IF(情景分析!$D$6=4,IF($C76="银行间",$J76,$L76),$G76)))+AV$2/100,情景分析!$D$7,"",,,,"",)*IF($H76="",1,$H76))</f>
        <v/>
      </c>
      <c r="AW76" s="7" t="str">
        <f>IF($A76="","",[2]!B_CALC_PRICE($A76,$AQ$1,IF(情景分析!$D$6=1,$J76,IF(情景分析!$D$6=2,$E76,IF(情景分析!$D$6=4,IF($C76="银行间",$J76,$L76),$G76)))+AW$2/100,情景分析!$D$7,"",,,,"",)*IF($H76="",1,$H76))</f>
        <v/>
      </c>
    </row>
    <row r="77" spans="1:49" x14ac:dyDescent="0.15">
      <c r="A77" s="20"/>
      <c r="B77" s="7" t="str">
        <f>IF(A77="","",[2]!b_info_name(A77))</f>
        <v/>
      </c>
      <c r="C77" s="7" t="str">
        <f>[2]!b_info_listedmkt(A77)</f>
        <v>#N/A</v>
      </c>
      <c r="D77" s="7" t="str">
        <f>IFERROR(IF(A77="","", [2]!b_dq_avgprice(A77, 情景分析!$D$5, 情景分析!$D$7) * IF($H77="",1,$H77)),0)</f>
        <v/>
      </c>
      <c r="E77" s="7" t="str">
        <f>IF(A77="","", N([2]!b_dq_avgprice(A77,情景分析!$D$5,3)))</f>
        <v/>
      </c>
      <c r="F77" s="29" t="str">
        <f>IF($G77 = "",
"",
IFERROR(
[2]!b_calc_pv(A77, 情景分析!$D$5,$G77, "1", 情景分析!$D$7),
[2]!b_calc_pv(A77, 情景分析!$D$5,$G77, "2", 情景分析!$D$7)
)
)</f>
        <v/>
      </c>
      <c r="G77" s="22"/>
      <c r="H77" s="21"/>
      <c r="I77" s="7" t="str">
        <f>IF(A77="","",IF(情景分析!$D$7=1,[2]!b_anal_net_cnbd(A77,情景分析!$D$5,1),[2]!b_anal_dirty_cnbd(A77,情景分析!$D$5,1))*IF($H77="",1,$H77))</f>
        <v/>
      </c>
      <c r="J77" s="7" t="str">
        <f>IF(A77="","",[2]!b_anal_yield_cnbd(A77,情景分析!$D$5,1))</f>
        <v/>
      </c>
      <c r="K77" s="29" t="str">
        <f>IF(A77="","",IF(情景分析!$D$7=1,[2]!b_anal_net_csi1(A77,情景分析!$D$5,1),[2]!b_anal_dirty_csi1(A77,情景分析!$D$5,1))*IF($H77="",1,$H77))</f>
        <v/>
      </c>
      <c r="L77" s="29" t="str">
        <f>IF(A77="","",[2]!b_anal_yield_csi1(A77,情景分析!$D$5,1))</f>
        <v/>
      </c>
      <c r="M77" s="29" t="str">
        <f t="shared" si="6"/>
        <v/>
      </c>
      <c r="N77" s="29" t="str">
        <f t="shared" si="7"/>
        <v/>
      </c>
      <c r="O77" s="7" t="str">
        <f>IF($A77="","",[2]!B_CALC_PRICE($A77,$O$1,IF(情景分析!$D$6=1,$J77,IF(情景分析!$D$6=2,$E77,IF(情景分析!$D$6=4,IF($C77="银行间",$J77,$L77),$G77)))+O$2/100,情景分析!$D$7,"",,,,"",)*IF($H77="",1,$H77))</f>
        <v/>
      </c>
      <c r="P77" s="7" t="str">
        <f>IF($A77="","",[2]!B_CALC_PRICE($A77,$O$1,IF(情景分析!$D$6=1,$J77,IF(情景分析!$D$6=2,$E77,IF(情景分析!$D$6=4,IF($C77="银行间",$J77,$L77),$G77)))+P$2/100,情景分析!$D$7,"",,,,"",)*IF($H77="",1,$H77))</f>
        <v/>
      </c>
      <c r="Q77" s="7" t="str">
        <f>IF($A77="","",[2]!B_CALC_PRICE($A77,$O$1,IF(情景分析!$D$6=1,$J77,IF(情景分析!$D$6=2,$E77,IF(情景分析!$D$6=4,IF($C77="银行间",$J77,$L77),$G77)))+Q$2/100,情景分析!$D$7,"",,,,"",)*IF($H77="",1,$H77))</f>
        <v/>
      </c>
      <c r="R77" s="7" t="str">
        <f>IF($A77="","",[2]!B_CALC_PRICE($A77,$O$1,IF(情景分析!$D$6=1,$J77,IF(情景分析!$D$6=2,$E77,IF(情景分析!$D$6=4,IF($C77="银行间",$J77,$L77),$G77)))+R$2/100,情景分析!$D$7,"",,,,"",)*IF($H77="",1,$H77))</f>
        <v/>
      </c>
      <c r="S77" s="7" t="str">
        <f>IF($A77="","",[2]!B_CALC_PRICE($A77,$O$1,IF(情景分析!$D$6=1,$J77,IF(情景分析!$D$6=2,$E77,IF(情景分析!$D$6=4,IF($C77="银行间",$J77,$L77),$G77)))+S$2/100,情景分析!$D$7,"",,,,"",)*IF($H77="",1,$H77))</f>
        <v/>
      </c>
      <c r="T77" s="7" t="str">
        <f>IF($A77="","",[2]!B_CALC_PRICE($A77,$O$1,IF(情景分析!$D$6=1,$J77,IF(情景分析!$D$6=2,$E77,IF(情景分析!$D$6=4,IF($C77="银行间",$J77,$L77),$G77)))+T$2/100,情景分析!$D$7,"",,,,"",)*IF($H77="",1,$H77))</f>
        <v/>
      </c>
      <c r="U77" s="7" t="str">
        <f>IF($A77="","",[2]!B_CALC_PRICE($A77,$O$1,IF(情景分析!$D$6=1,$J77,IF(情景分析!$D$6=2,$E77,IF(情景分析!$D$6=4,IF($C77="银行间",$J77,$L77),$G77)))+U$2/100,情景分析!$D$7,"",,,,"",)*IF($H77="",1,$H77))</f>
        <v/>
      </c>
      <c r="V77" s="7" t="str">
        <f>IF($A77="","",[2]!B_CALC_PRICE($A77,$V$1,IF(情景分析!$D$6=1,$J77,IF(情景分析!$D$6=2,$E77,IF(情景分析!$D$6=4,IF($C77="银行间",$J77,$L77),$G77)))+V$2/100,情景分析!$D$7,"",,,,"",)*IF($H77="",1,$H77))</f>
        <v/>
      </c>
      <c r="W77" s="7" t="str">
        <f>IF($A77="","",[2]!B_CALC_PRICE($A77,$V$1,IF(情景分析!$D$6=1,$J77,IF(情景分析!$D$6=2,$E77,IF(情景分析!$D$6=4,IF($C77="银行间",$J77,$L77),$G77)))+W$2/100,情景分析!$D$7,"",,,,"",)*IF($H77="",1,$H77))</f>
        <v/>
      </c>
      <c r="X77" s="7" t="str">
        <f>IF($A77="","",[2]!B_CALC_PRICE($A77,$V$1,IF(情景分析!$D$6=1,$J77,IF(情景分析!$D$6=2,$E77,IF(情景分析!$D$6=4,IF($C77="银行间",$J77,$L77),$G77)))+X$2/100,情景分析!$D$7,"",,,,"",)*IF($H77="",1,$H77))</f>
        <v/>
      </c>
      <c r="Y77" s="7" t="str">
        <f>IF($A77="","",[2]!B_CALC_PRICE($A77,$V$1,IF(情景分析!$D$6=1,$J77,IF(情景分析!$D$6=2,$E77,IF(情景分析!$D$6=4,IF($C77="银行间",$J77,$L77),$G77)))+Y$2/100,情景分析!$D$7,"",,,,"",)*IF($H77="",1,$H77))</f>
        <v/>
      </c>
      <c r="Z77" s="7" t="str">
        <f>IF($A77="","",[2]!B_CALC_PRICE($A77,$V$1,IF(情景分析!$D$6=1,$J77,IF(情景分析!$D$6=2,$E77,IF(情景分析!$D$6=4,IF($C77="银行间",$J77,$L77),$G77)))+Z$2/100,情景分析!$D$7,"",,,,"",)*IF($H77="",1,$H77))</f>
        <v/>
      </c>
      <c r="AA77" s="7" t="str">
        <f>IF($A77="","",[2]!B_CALC_PRICE($A77,$V$1,IF(情景分析!$D$6=1,$J77,IF(情景分析!$D$6=2,$E77,IF(情景分析!$D$6=4,IF($C77="银行间",$J77,$L77),$G77)))+AA$2/100,情景分析!$D$7,"",,,,"",)*IF($H77="",1,$H77))</f>
        <v/>
      </c>
      <c r="AB77" s="7" t="str">
        <f>IF($A77="","",[2]!B_CALC_PRICE($A77,$V$1,IF(情景分析!$D$6=1,$J77,IF(情景分析!$D$6=2,$E77,IF(情景分析!$D$6=4,IF($C77="银行间",$J77,$L77),$G77)))+AB$2/100,情景分析!$D$7,"",,,,"",)*IF($H77="",1,$H77))</f>
        <v/>
      </c>
      <c r="AC77" s="7" t="str">
        <f>IF($A77="","",[2]!B_CALC_PRICE($A77,$AC$1,IF(情景分析!$D$6=1,$J77,IF(情景分析!$D$6=2,$E77,IF(情景分析!$D$6=4,IF($C77="银行间",$J77,$L77),$G77)))+AC$2/100,情景分析!$D$7,"",,,,"",)*IF($H77="",1,$H77))</f>
        <v/>
      </c>
      <c r="AD77" s="7" t="str">
        <f>IF($A77="","",[2]!B_CALC_PRICE($A77,$AC$1,IF(情景分析!$D$6=1,$J77,IF(情景分析!$D$6=2,$E77,IF(情景分析!$D$6=4,IF($C77="银行间",$J77,$L77),$G77)))+AD$2/100,情景分析!$D$7,"",,,,"",)*IF($H77="",1,$H77))</f>
        <v/>
      </c>
      <c r="AE77" s="7" t="str">
        <f>IF($A77="","",[2]!B_CALC_PRICE($A77,$AC$1,IF(情景分析!$D$6=1,$J77,IF(情景分析!$D$6=2,$E77,IF(情景分析!$D$6=4,IF($C77="银行间",$J77,$L77),$G77)))+AE$2/100,情景分析!$D$7,"",,,,"",)*IF($H77="",1,$H77))</f>
        <v/>
      </c>
      <c r="AF77" s="7" t="str">
        <f>IF($A77="","",[2]!B_CALC_PRICE($A77,$AC$1,IF(情景分析!$D$6=1,$J77,IF(情景分析!$D$6=2,$E77,IF(情景分析!$D$6=4,IF($C77="银行间",$J77,$L77),$G77)))+AF$2/100,情景分析!$D$7,"",,,,"",)*IF($H77="",1,$H77))</f>
        <v/>
      </c>
      <c r="AG77" s="7" t="str">
        <f>IF($A77="","",[2]!B_CALC_PRICE($A77,$AC$1,IF(情景分析!$D$6=1,$J77,IF(情景分析!$D$6=2,$E77,IF(情景分析!$D$6=4,IF($C77="银行间",$J77,$L77),$G77)))+AG$2/100,情景分析!$D$7,"",,,,"",)*IF($H77="",1,$H77))</f>
        <v/>
      </c>
      <c r="AH77" s="7" t="str">
        <f>IF($A77="","",[2]!B_CALC_PRICE($A77,$AC$1,IF(情景分析!$D$6=1,$J77,IF(情景分析!$D$6=2,$E77,IF(情景分析!$D$6=4,IF($C77="银行间",$J77,$L77),$G77)))+AH$2/100,情景分析!$D$7,"",,,,"",)*IF($H77="",1,$H77))</f>
        <v/>
      </c>
      <c r="AI77" s="7" t="str">
        <f>IF($A77="","",[2]!B_CALC_PRICE($A77,$AC$1,IF(情景分析!$D$6=1,$J77,IF(情景分析!$D$6=2,$E77,IF(情景分析!$D$6=4,IF($C77="银行间",$J77,$L77),$G77)))+AI$2/100,情景分析!$D$7,"",,,,"",)*IF($H77="",1,$H77))</f>
        <v/>
      </c>
      <c r="AJ77" s="7" t="str">
        <f>IF($A77="","",[2]!B_CALC_PRICE($A77,$AJ$1,IF(情景分析!$D$6=1,$J77,IF(情景分析!$D$6=2,$E77,IF(情景分析!$D$6=4,IF($C77="银行间",$J77,$L77),$G77)))+AJ$2/100,情景分析!$D$7,"",,,,"",)*IF($H77="",1,$H77))</f>
        <v/>
      </c>
      <c r="AK77" s="7" t="str">
        <f>IF($A77="","",[2]!B_CALC_PRICE($A77,$AJ$1,IF(情景分析!$D$6=1,$J77,IF(情景分析!$D$6=2,$E77,IF(情景分析!$D$6=4,IF($C77="银行间",$J77,$L77),$G77)))+AK$2/100,情景分析!$D$7,"",,,,"",)*IF($H77="",1,$H77))</f>
        <v/>
      </c>
      <c r="AL77" s="7" t="str">
        <f>IF($A77="","",[2]!B_CALC_PRICE($A77,$AJ$1,IF(情景分析!$D$6=1,$J77,IF(情景分析!$D$6=2,$E77,IF(情景分析!$D$6=4,IF($C77="银行间",$J77,$L77),$G77)))+AL$2/100,情景分析!$D$7,"",,,,"",)*IF($H77="",1,$H77))</f>
        <v/>
      </c>
      <c r="AM77" s="7" t="str">
        <f>IF($A77="","",[2]!B_CALC_PRICE($A77,$AJ$1,IF(情景分析!$D$6=1,$J77,IF(情景分析!$D$6=2,$E77,IF(情景分析!$D$6=4,IF($C77="银行间",$J77,$L77),$G77)))+AM$2/100,情景分析!$D$7,"",,,,"",)*IF($H77="",1,$H77))</f>
        <v/>
      </c>
      <c r="AN77" s="7" t="str">
        <f>IF($A77="","",[2]!B_CALC_PRICE($A77,$AJ$1,IF(情景分析!$D$6=1,$J77,IF(情景分析!$D$6=2,$E77,IF(情景分析!$D$6=4,IF($C77="银行间",$J77,$L77),$G77)))+AN$2/100,情景分析!$D$7,"",,,,"",)*IF($H77="",1,$H77))</f>
        <v/>
      </c>
      <c r="AO77" s="7" t="str">
        <f>IF($A77="","",[2]!B_CALC_PRICE($A77,$AJ$1,IF(情景分析!$D$6=1,$J77,IF(情景分析!$D$6=2,$E77,IF(情景分析!$D$6=4,IF($C77="银行间",$J77,$L77),$G77)))+AO$2/100,情景分析!$D$7,"",,,,"",)*IF($H77="",1,$H77))</f>
        <v/>
      </c>
      <c r="AP77" s="7" t="str">
        <f>IF($A77="","",[2]!B_CALC_PRICE($A77,$AJ$1,IF(情景分析!$D$6=1,$J77,IF(情景分析!$D$6=2,$E77,IF(情景分析!$D$6=4,IF($C77="银行间",$J77,$L77),$G77)))+AP$2/100,情景分析!$D$7,"",,,,"",)*IF($H77="",1,$H77))</f>
        <v/>
      </c>
      <c r="AQ77" s="7" t="str">
        <f>IF($A77="","",[2]!B_CALC_PRICE($A77,$AQ$1,IF(情景分析!$D$6=1,$J77,IF(情景分析!$D$6=2,$E77,IF(情景分析!$D$6=4,IF($C77="银行间",$J77,$L77),$G77)))+AQ$2/100,情景分析!$D$7,"",,,,"",)*IF($H77="",1,$H77))</f>
        <v/>
      </c>
      <c r="AR77" s="7" t="str">
        <f>IF($A77="","",[2]!B_CALC_PRICE($A77,$AQ$1,IF(情景分析!$D$6=1,$J77,IF(情景分析!$D$6=2,$E77,IF(情景分析!$D$6=4,IF($C77="银行间",$J77,$L77),$G77)))+AR$2/100,情景分析!$D$7,"",,,,"",)*IF($H77="",1,$H77))</f>
        <v/>
      </c>
      <c r="AS77" s="7" t="str">
        <f>IF($A77="","",[2]!B_CALC_PRICE($A77,$AQ$1,IF(情景分析!$D$6=1,$J77,IF(情景分析!$D$6=2,$E77,IF(情景分析!$D$6=4,IF($C77="银行间",$J77,$L77),$G77)))+AS$2/100,情景分析!$D$7,"",,,,"",)*IF($H77="",1,$H77))</f>
        <v/>
      </c>
      <c r="AT77" s="7" t="str">
        <f>IF($A77="","",[2]!B_CALC_PRICE($A77,$AQ$1,IF(情景分析!$D$6=1,$J77,IF(情景分析!$D$6=2,$E77,IF(情景分析!$D$6=4,IF($C77="银行间",$J77,$L77),$G77)))+AT$2/100,情景分析!$D$7,"",,,,"",)*IF($H77="",1,$H77))</f>
        <v/>
      </c>
      <c r="AU77" s="7" t="str">
        <f>IF($A77="","",[2]!B_CALC_PRICE($A77,$AQ$1,IF(情景分析!$D$6=1,$J77,IF(情景分析!$D$6=2,$E77,IF(情景分析!$D$6=4,IF($C77="银行间",$J77,$L77),$G77)))+AU$2/100,情景分析!$D$7,"",,,,"",)*IF($H77="",1,$H77))</f>
        <v/>
      </c>
      <c r="AV77" s="7" t="str">
        <f>IF($A77="","",[2]!B_CALC_PRICE($A77,$AQ$1,IF(情景分析!$D$6=1,$J77,IF(情景分析!$D$6=2,$E77,IF(情景分析!$D$6=4,IF($C77="银行间",$J77,$L77),$G77)))+AV$2/100,情景分析!$D$7,"",,,,"",)*IF($H77="",1,$H77))</f>
        <v/>
      </c>
      <c r="AW77" s="7" t="str">
        <f>IF($A77="","",[2]!B_CALC_PRICE($A77,$AQ$1,IF(情景分析!$D$6=1,$J77,IF(情景分析!$D$6=2,$E77,IF(情景分析!$D$6=4,IF($C77="银行间",$J77,$L77),$G77)))+AW$2/100,情景分析!$D$7,"",,,,"",)*IF($H77="",1,$H77))</f>
        <v/>
      </c>
    </row>
    <row r="78" spans="1:49" x14ac:dyDescent="0.15">
      <c r="A78" s="20"/>
      <c r="B78" s="7" t="str">
        <f>IF(A78="","",[2]!b_info_name(A78))</f>
        <v/>
      </c>
      <c r="C78" s="7" t="str">
        <f>[2]!b_info_listedmkt(A78)</f>
        <v>#N/A</v>
      </c>
      <c r="D78" s="7" t="str">
        <f>IFERROR(IF(A78="","", [2]!b_dq_avgprice(A78, 情景分析!$D$5, 情景分析!$D$7) * IF($H78="",1,$H78)),0)</f>
        <v/>
      </c>
      <c r="E78" s="7" t="str">
        <f>IF(A78="","", N([2]!b_dq_avgprice(A78,情景分析!$D$5,3)))</f>
        <v/>
      </c>
      <c r="F78" s="29" t="str">
        <f>IF($G78 = "",
"",
IFERROR(
[2]!b_calc_pv(A78, 情景分析!$D$5,$G78, "1", 情景分析!$D$7),
[2]!b_calc_pv(A78, 情景分析!$D$5,$G78, "2", 情景分析!$D$7)
)
)</f>
        <v/>
      </c>
      <c r="G78" s="22"/>
      <c r="H78" s="21"/>
      <c r="I78" s="7" t="str">
        <f>IF(A78="","",IF(情景分析!$D$7=1,[2]!b_anal_net_cnbd(A78,情景分析!$D$5,1),[2]!b_anal_dirty_cnbd(A78,情景分析!$D$5,1))*IF($H78="",1,$H78))</f>
        <v/>
      </c>
      <c r="J78" s="7" t="str">
        <f>IF(A78="","",[2]!b_anal_yield_cnbd(A78,情景分析!$D$5,1))</f>
        <v/>
      </c>
      <c r="K78" s="29" t="str">
        <f>IF(A78="","",IF(情景分析!$D$7=1,[2]!b_anal_net_csi1(A78,情景分析!$D$5,1),[2]!b_anal_dirty_csi1(A78,情景分析!$D$5,1))*IF($H78="",1,$H78))</f>
        <v/>
      </c>
      <c r="L78" s="29" t="str">
        <f>IF(A78="","",[2]!b_anal_yield_csi1(A78,情景分析!$D$5,1))</f>
        <v/>
      </c>
      <c r="M78" s="29" t="str">
        <f t="shared" si="6"/>
        <v/>
      </c>
      <c r="N78" s="29" t="str">
        <f t="shared" si="7"/>
        <v/>
      </c>
      <c r="O78" s="7" t="str">
        <f>IF($A78="","",[2]!B_CALC_PRICE($A78,$O$1,IF(情景分析!$D$6=1,$J78,IF(情景分析!$D$6=2,$E78,IF(情景分析!$D$6=4,IF($C78="银行间",$J78,$L78),$G78)))+O$2/100,情景分析!$D$7,"",,,,"",)*IF($H78="",1,$H78))</f>
        <v/>
      </c>
      <c r="P78" s="7" t="str">
        <f>IF($A78="","",[2]!B_CALC_PRICE($A78,$O$1,IF(情景分析!$D$6=1,$J78,IF(情景分析!$D$6=2,$E78,IF(情景分析!$D$6=4,IF($C78="银行间",$J78,$L78),$G78)))+P$2/100,情景分析!$D$7,"",,,,"",)*IF($H78="",1,$H78))</f>
        <v/>
      </c>
      <c r="Q78" s="7" t="str">
        <f>IF($A78="","",[2]!B_CALC_PRICE($A78,$O$1,IF(情景分析!$D$6=1,$J78,IF(情景分析!$D$6=2,$E78,IF(情景分析!$D$6=4,IF($C78="银行间",$J78,$L78),$G78)))+Q$2/100,情景分析!$D$7,"",,,,"",)*IF($H78="",1,$H78))</f>
        <v/>
      </c>
      <c r="R78" s="7" t="str">
        <f>IF($A78="","",[2]!B_CALC_PRICE($A78,$O$1,IF(情景分析!$D$6=1,$J78,IF(情景分析!$D$6=2,$E78,IF(情景分析!$D$6=4,IF($C78="银行间",$J78,$L78),$G78)))+R$2/100,情景分析!$D$7,"",,,,"",)*IF($H78="",1,$H78))</f>
        <v/>
      </c>
      <c r="S78" s="7" t="str">
        <f>IF($A78="","",[2]!B_CALC_PRICE($A78,$O$1,IF(情景分析!$D$6=1,$J78,IF(情景分析!$D$6=2,$E78,IF(情景分析!$D$6=4,IF($C78="银行间",$J78,$L78),$G78)))+S$2/100,情景分析!$D$7,"",,,,"",)*IF($H78="",1,$H78))</f>
        <v/>
      </c>
      <c r="T78" s="7" t="str">
        <f>IF($A78="","",[2]!B_CALC_PRICE($A78,$O$1,IF(情景分析!$D$6=1,$J78,IF(情景分析!$D$6=2,$E78,IF(情景分析!$D$6=4,IF($C78="银行间",$J78,$L78),$G78)))+T$2/100,情景分析!$D$7,"",,,,"",)*IF($H78="",1,$H78))</f>
        <v/>
      </c>
      <c r="U78" s="7" t="str">
        <f>IF($A78="","",[2]!B_CALC_PRICE($A78,$O$1,IF(情景分析!$D$6=1,$J78,IF(情景分析!$D$6=2,$E78,IF(情景分析!$D$6=4,IF($C78="银行间",$J78,$L78),$G78)))+U$2/100,情景分析!$D$7,"",,,,"",)*IF($H78="",1,$H78))</f>
        <v/>
      </c>
      <c r="V78" s="7" t="str">
        <f>IF($A78="","",[2]!B_CALC_PRICE($A78,$V$1,IF(情景分析!$D$6=1,$J78,IF(情景分析!$D$6=2,$E78,IF(情景分析!$D$6=4,IF($C78="银行间",$J78,$L78),$G78)))+V$2/100,情景分析!$D$7,"",,,,"",)*IF($H78="",1,$H78))</f>
        <v/>
      </c>
      <c r="W78" s="7" t="str">
        <f>IF($A78="","",[2]!B_CALC_PRICE($A78,$V$1,IF(情景分析!$D$6=1,$J78,IF(情景分析!$D$6=2,$E78,IF(情景分析!$D$6=4,IF($C78="银行间",$J78,$L78),$G78)))+W$2/100,情景分析!$D$7,"",,,,"",)*IF($H78="",1,$H78))</f>
        <v/>
      </c>
      <c r="X78" s="7" t="str">
        <f>IF($A78="","",[2]!B_CALC_PRICE($A78,$V$1,IF(情景分析!$D$6=1,$J78,IF(情景分析!$D$6=2,$E78,IF(情景分析!$D$6=4,IF($C78="银行间",$J78,$L78),$G78)))+X$2/100,情景分析!$D$7,"",,,,"",)*IF($H78="",1,$H78))</f>
        <v/>
      </c>
      <c r="Y78" s="7" t="str">
        <f>IF($A78="","",[2]!B_CALC_PRICE($A78,$V$1,IF(情景分析!$D$6=1,$J78,IF(情景分析!$D$6=2,$E78,IF(情景分析!$D$6=4,IF($C78="银行间",$J78,$L78),$G78)))+Y$2/100,情景分析!$D$7,"",,,,"",)*IF($H78="",1,$H78))</f>
        <v/>
      </c>
      <c r="Z78" s="7" t="str">
        <f>IF($A78="","",[2]!B_CALC_PRICE($A78,$V$1,IF(情景分析!$D$6=1,$J78,IF(情景分析!$D$6=2,$E78,IF(情景分析!$D$6=4,IF($C78="银行间",$J78,$L78),$G78)))+Z$2/100,情景分析!$D$7,"",,,,"",)*IF($H78="",1,$H78))</f>
        <v/>
      </c>
      <c r="AA78" s="7" t="str">
        <f>IF($A78="","",[2]!B_CALC_PRICE($A78,$V$1,IF(情景分析!$D$6=1,$J78,IF(情景分析!$D$6=2,$E78,IF(情景分析!$D$6=4,IF($C78="银行间",$J78,$L78),$G78)))+AA$2/100,情景分析!$D$7,"",,,,"",)*IF($H78="",1,$H78))</f>
        <v/>
      </c>
      <c r="AB78" s="7" t="str">
        <f>IF($A78="","",[2]!B_CALC_PRICE($A78,$V$1,IF(情景分析!$D$6=1,$J78,IF(情景分析!$D$6=2,$E78,IF(情景分析!$D$6=4,IF($C78="银行间",$J78,$L78),$G78)))+AB$2/100,情景分析!$D$7,"",,,,"",)*IF($H78="",1,$H78))</f>
        <v/>
      </c>
      <c r="AC78" s="7" t="str">
        <f>IF($A78="","",[2]!B_CALC_PRICE($A78,$AC$1,IF(情景分析!$D$6=1,$J78,IF(情景分析!$D$6=2,$E78,IF(情景分析!$D$6=4,IF($C78="银行间",$J78,$L78),$G78)))+AC$2/100,情景分析!$D$7,"",,,,"",)*IF($H78="",1,$H78))</f>
        <v/>
      </c>
      <c r="AD78" s="7" t="str">
        <f>IF($A78="","",[2]!B_CALC_PRICE($A78,$AC$1,IF(情景分析!$D$6=1,$J78,IF(情景分析!$D$6=2,$E78,IF(情景分析!$D$6=4,IF($C78="银行间",$J78,$L78),$G78)))+AD$2/100,情景分析!$D$7,"",,,,"",)*IF($H78="",1,$H78))</f>
        <v/>
      </c>
      <c r="AE78" s="7" t="str">
        <f>IF($A78="","",[2]!B_CALC_PRICE($A78,$AC$1,IF(情景分析!$D$6=1,$J78,IF(情景分析!$D$6=2,$E78,IF(情景分析!$D$6=4,IF($C78="银行间",$J78,$L78),$G78)))+AE$2/100,情景分析!$D$7,"",,,,"",)*IF($H78="",1,$H78))</f>
        <v/>
      </c>
      <c r="AF78" s="7" t="str">
        <f>IF($A78="","",[2]!B_CALC_PRICE($A78,$AC$1,IF(情景分析!$D$6=1,$J78,IF(情景分析!$D$6=2,$E78,IF(情景分析!$D$6=4,IF($C78="银行间",$J78,$L78),$G78)))+AF$2/100,情景分析!$D$7,"",,,,"",)*IF($H78="",1,$H78))</f>
        <v/>
      </c>
      <c r="AG78" s="7" t="str">
        <f>IF($A78="","",[2]!B_CALC_PRICE($A78,$AC$1,IF(情景分析!$D$6=1,$J78,IF(情景分析!$D$6=2,$E78,IF(情景分析!$D$6=4,IF($C78="银行间",$J78,$L78),$G78)))+AG$2/100,情景分析!$D$7,"",,,,"",)*IF($H78="",1,$H78))</f>
        <v/>
      </c>
      <c r="AH78" s="7" t="str">
        <f>IF($A78="","",[2]!B_CALC_PRICE($A78,$AC$1,IF(情景分析!$D$6=1,$J78,IF(情景分析!$D$6=2,$E78,IF(情景分析!$D$6=4,IF($C78="银行间",$J78,$L78),$G78)))+AH$2/100,情景分析!$D$7,"",,,,"",)*IF($H78="",1,$H78))</f>
        <v/>
      </c>
      <c r="AI78" s="7" t="str">
        <f>IF($A78="","",[2]!B_CALC_PRICE($A78,$AC$1,IF(情景分析!$D$6=1,$J78,IF(情景分析!$D$6=2,$E78,IF(情景分析!$D$6=4,IF($C78="银行间",$J78,$L78),$G78)))+AI$2/100,情景分析!$D$7,"",,,,"",)*IF($H78="",1,$H78))</f>
        <v/>
      </c>
      <c r="AJ78" s="7" t="str">
        <f>IF($A78="","",[2]!B_CALC_PRICE($A78,$AJ$1,IF(情景分析!$D$6=1,$J78,IF(情景分析!$D$6=2,$E78,IF(情景分析!$D$6=4,IF($C78="银行间",$J78,$L78),$G78)))+AJ$2/100,情景分析!$D$7,"",,,,"",)*IF($H78="",1,$H78))</f>
        <v/>
      </c>
      <c r="AK78" s="7" t="str">
        <f>IF($A78="","",[2]!B_CALC_PRICE($A78,$AJ$1,IF(情景分析!$D$6=1,$J78,IF(情景分析!$D$6=2,$E78,IF(情景分析!$D$6=4,IF($C78="银行间",$J78,$L78),$G78)))+AK$2/100,情景分析!$D$7,"",,,,"",)*IF($H78="",1,$H78))</f>
        <v/>
      </c>
      <c r="AL78" s="7" t="str">
        <f>IF($A78="","",[2]!B_CALC_PRICE($A78,$AJ$1,IF(情景分析!$D$6=1,$J78,IF(情景分析!$D$6=2,$E78,IF(情景分析!$D$6=4,IF($C78="银行间",$J78,$L78),$G78)))+AL$2/100,情景分析!$D$7,"",,,,"",)*IF($H78="",1,$H78))</f>
        <v/>
      </c>
      <c r="AM78" s="7" t="str">
        <f>IF($A78="","",[2]!B_CALC_PRICE($A78,$AJ$1,IF(情景分析!$D$6=1,$J78,IF(情景分析!$D$6=2,$E78,IF(情景分析!$D$6=4,IF($C78="银行间",$J78,$L78),$G78)))+AM$2/100,情景分析!$D$7,"",,,,"",)*IF($H78="",1,$H78))</f>
        <v/>
      </c>
      <c r="AN78" s="7" t="str">
        <f>IF($A78="","",[2]!B_CALC_PRICE($A78,$AJ$1,IF(情景分析!$D$6=1,$J78,IF(情景分析!$D$6=2,$E78,IF(情景分析!$D$6=4,IF($C78="银行间",$J78,$L78),$G78)))+AN$2/100,情景分析!$D$7,"",,,,"",)*IF($H78="",1,$H78))</f>
        <v/>
      </c>
      <c r="AO78" s="7" t="str">
        <f>IF($A78="","",[2]!B_CALC_PRICE($A78,$AJ$1,IF(情景分析!$D$6=1,$J78,IF(情景分析!$D$6=2,$E78,IF(情景分析!$D$6=4,IF($C78="银行间",$J78,$L78),$G78)))+AO$2/100,情景分析!$D$7,"",,,,"",)*IF($H78="",1,$H78))</f>
        <v/>
      </c>
      <c r="AP78" s="7" t="str">
        <f>IF($A78="","",[2]!B_CALC_PRICE($A78,$AJ$1,IF(情景分析!$D$6=1,$J78,IF(情景分析!$D$6=2,$E78,IF(情景分析!$D$6=4,IF($C78="银行间",$J78,$L78),$G78)))+AP$2/100,情景分析!$D$7,"",,,,"",)*IF($H78="",1,$H78))</f>
        <v/>
      </c>
      <c r="AQ78" s="7" t="str">
        <f>IF($A78="","",[2]!B_CALC_PRICE($A78,$AQ$1,IF(情景分析!$D$6=1,$J78,IF(情景分析!$D$6=2,$E78,IF(情景分析!$D$6=4,IF($C78="银行间",$J78,$L78),$G78)))+AQ$2/100,情景分析!$D$7,"",,,,"",)*IF($H78="",1,$H78))</f>
        <v/>
      </c>
      <c r="AR78" s="7" t="str">
        <f>IF($A78="","",[2]!B_CALC_PRICE($A78,$AQ$1,IF(情景分析!$D$6=1,$J78,IF(情景分析!$D$6=2,$E78,IF(情景分析!$D$6=4,IF($C78="银行间",$J78,$L78),$G78)))+AR$2/100,情景分析!$D$7,"",,,,"",)*IF($H78="",1,$H78))</f>
        <v/>
      </c>
      <c r="AS78" s="7" t="str">
        <f>IF($A78="","",[2]!B_CALC_PRICE($A78,$AQ$1,IF(情景分析!$D$6=1,$J78,IF(情景分析!$D$6=2,$E78,IF(情景分析!$D$6=4,IF($C78="银行间",$J78,$L78),$G78)))+AS$2/100,情景分析!$D$7,"",,,,"",)*IF($H78="",1,$H78))</f>
        <v/>
      </c>
      <c r="AT78" s="7" t="str">
        <f>IF($A78="","",[2]!B_CALC_PRICE($A78,$AQ$1,IF(情景分析!$D$6=1,$J78,IF(情景分析!$D$6=2,$E78,IF(情景分析!$D$6=4,IF($C78="银行间",$J78,$L78),$G78)))+AT$2/100,情景分析!$D$7,"",,,,"",)*IF($H78="",1,$H78))</f>
        <v/>
      </c>
      <c r="AU78" s="7" t="str">
        <f>IF($A78="","",[2]!B_CALC_PRICE($A78,$AQ$1,IF(情景分析!$D$6=1,$J78,IF(情景分析!$D$6=2,$E78,IF(情景分析!$D$6=4,IF($C78="银行间",$J78,$L78),$G78)))+AU$2/100,情景分析!$D$7,"",,,,"",)*IF($H78="",1,$H78))</f>
        <v/>
      </c>
      <c r="AV78" s="7" t="str">
        <f>IF($A78="","",[2]!B_CALC_PRICE($A78,$AQ$1,IF(情景分析!$D$6=1,$J78,IF(情景分析!$D$6=2,$E78,IF(情景分析!$D$6=4,IF($C78="银行间",$J78,$L78),$G78)))+AV$2/100,情景分析!$D$7,"",,,,"",)*IF($H78="",1,$H78))</f>
        <v/>
      </c>
      <c r="AW78" s="7" t="str">
        <f>IF($A78="","",[2]!B_CALC_PRICE($A78,$AQ$1,IF(情景分析!$D$6=1,$J78,IF(情景分析!$D$6=2,$E78,IF(情景分析!$D$6=4,IF($C78="银行间",$J78,$L78),$G78)))+AW$2/100,情景分析!$D$7,"",,,,"",)*IF($H78="",1,$H78))</f>
        <v/>
      </c>
    </row>
    <row r="79" spans="1:49" x14ac:dyDescent="0.15">
      <c r="A79" s="20"/>
      <c r="B79" s="7" t="str">
        <f>IF(A79="","",[2]!b_info_name(A79))</f>
        <v/>
      </c>
      <c r="C79" s="7" t="str">
        <f>[2]!b_info_listedmkt(A79)</f>
        <v>#N/A</v>
      </c>
      <c r="D79" s="7" t="str">
        <f>IFERROR(IF(A79="","", [2]!b_dq_avgprice(A79, 情景分析!$D$5, 情景分析!$D$7) * IF($H79="",1,$H79)),0)</f>
        <v/>
      </c>
      <c r="E79" s="7" t="str">
        <f>IF(A79="","", N([2]!b_dq_avgprice(A79,情景分析!$D$5,3)))</f>
        <v/>
      </c>
      <c r="F79" s="29" t="str">
        <f>IF($G79 = "",
"",
IFERROR(
[2]!b_calc_pv(A79, 情景分析!$D$5,$G79, "1", 情景分析!$D$7),
[2]!b_calc_pv(A79, 情景分析!$D$5,$G79, "2", 情景分析!$D$7)
)
)</f>
        <v/>
      </c>
      <c r="G79" s="22"/>
      <c r="H79" s="21"/>
      <c r="I79" s="7" t="str">
        <f>IF(A79="","",IF(情景分析!$D$7=1,[2]!b_anal_net_cnbd(A79,情景分析!$D$5,1),[2]!b_anal_dirty_cnbd(A79,情景分析!$D$5,1))*IF($H79="",1,$H79))</f>
        <v/>
      </c>
      <c r="J79" s="7" t="str">
        <f>IF(A79="","",[2]!b_anal_yield_cnbd(A79,情景分析!$D$5,1))</f>
        <v/>
      </c>
      <c r="K79" s="29" t="str">
        <f>IF(A79="","",IF(情景分析!$D$7=1,[2]!b_anal_net_csi1(A79,情景分析!$D$5,1),[2]!b_anal_dirty_csi1(A79,情景分析!$D$5,1))*IF($H79="",1,$H79))</f>
        <v/>
      </c>
      <c r="L79" s="29" t="str">
        <f>IF(A79="","",[2]!b_anal_yield_csi1(A79,情景分析!$D$5,1))</f>
        <v/>
      </c>
      <c r="M79" s="29" t="str">
        <f t="shared" si="6"/>
        <v/>
      </c>
      <c r="N79" s="29" t="str">
        <f t="shared" si="7"/>
        <v/>
      </c>
      <c r="O79" s="7" t="str">
        <f>IF($A79="","",[2]!B_CALC_PRICE($A79,$O$1,IF(情景分析!$D$6=1,$J79,IF(情景分析!$D$6=2,$E79,IF(情景分析!$D$6=4,IF($C79="银行间",$J79,$L79),$G79)))+O$2/100,情景分析!$D$7,"",,,,"",)*IF($H79="",1,$H79))</f>
        <v/>
      </c>
      <c r="P79" s="7" t="str">
        <f>IF($A79="","",[2]!B_CALC_PRICE($A79,$O$1,IF(情景分析!$D$6=1,$J79,IF(情景分析!$D$6=2,$E79,IF(情景分析!$D$6=4,IF($C79="银行间",$J79,$L79),$G79)))+P$2/100,情景分析!$D$7,"",,,,"",)*IF($H79="",1,$H79))</f>
        <v/>
      </c>
      <c r="Q79" s="7" t="str">
        <f>IF($A79="","",[2]!B_CALC_PRICE($A79,$O$1,IF(情景分析!$D$6=1,$J79,IF(情景分析!$D$6=2,$E79,IF(情景分析!$D$6=4,IF($C79="银行间",$J79,$L79),$G79)))+Q$2/100,情景分析!$D$7,"",,,,"",)*IF($H79="",1,$H79))</f>
        <v/>
      </c>
      <c r="R79" s="7" t="str">
        <f>IF($A79="","",[2]!B_CALC_PRICE($A79,$O$1,IF(情景分析!$D$6=1,$J79,IF(情景分析!$D$6=2,$E79,IF(情景分析!$D$6=4,IF($C79="银行间",$J79,$L79),$G79)))+R$2/100,情景分析!$D$7,"",,,,"",)*IF($H79="",1,$H79))</f>
        <v/>
      </c>
      <c r="S79" s="7" t="str">
        <f>IF($A79="","",[2]!B_CALC_PRICE($A79,$O$1,IF(情景分析!$D$6=1,$J79,IF(情景分析!$D$6=2,$E79,IF(情景分析!$D$6=4,IF($C79="银行间",$J79,$L79),$G79)))+S$2/100,情景分析!$D$7,"",,,,"",)*IF($H79="",1,$H79))</f>
        <v/>
      </c>
      <c r="T79" s="7" t="str">
        <f>IF($A79="","",[2]!B_CALC_PRICE($A79,$O$1,IF(情景分析!$D$6=1,$J79,IF(情景分析!$D$6=2,$E79,IF(情景分析!$D$6=4,IF($C79="银行间",$J79,$L79),$G79)))+T$2/100,情景分析!$D$7,"",,,,"",)*IF($H79="",1,$H79))</f>
        <v/>
      </c>
      <c r="U79" s="7" t="str">
        <f>IF($A79="","",[2]!B_CALC_PRICE($A79,$O$1,IF(情景分析!$D$6=1,$J79,IF(情景分析!$D$6=2,$E79,IF(情景分析!$D$6=4,IF($C79="银行间",$J79,$L79),$G79)))+U$2/100,情景分析!$D$7,"",,,,"",)*IF($H79="",1,$H79))</f>
        <v/>
      </c>
      <c r="V79" s="7" t="str">
        <f>IF($A79="","",[2]!B_CALC_PRICE($A79,$V$1,IF(情景分析!$D$6=1,$J79,IF(情景分析!$D$6=2,$E79,IF(情景分析!$D$6=4,IF($C79="银行间",$J79,$L79),$G79)))+V$2/100,情景分析!$D$7,"",,,,"",)*IF($H79="",1,$H79))</f>
        <v/>
      </c>
      <c r="W79" s="7" t="str">
        <f>IF($A79="","",[2]!B_CALC_PRICE($A79,$V$1,IF(情景分析!$D$6=1,$J79,IF(情景分析!$D$6=2,$E79,IF(情景分析!$D$6=4,IF($C79="银行间",$J79,$L79),$G79)))+W$2/100,情景分析!$D$7,"",,,,"",)*IF($H79="",1,$H79))</f>
        <v/>
      </c>
      <c r="X79" s="7" t="str">
        <f>IF($A79="","",[2]!B_CALC_PRICE($A79,$V$1,IF(情景分析!$D$6=1,$J79,IF(情景分析!$D$6=2,$E79,IF(情景分析!$D$6=4,IF($C79="银行间",$J79,$L79),$G79)))+X$2/100,情景分析!$D$7,"",,,,"",)*IF($H79="",1,$H79))</f>
        <v/>
      </c>
      <c r="Y79" s="7" t="str">
        <f>IF($A79="","",[2]!B_CALC_PRICE($A79,$V$1,IF(情景分析!$D$6=1,$J79,IF(情景分析!$D$6=2,$E79,IF(情景分析!$D$6=4,IF($C79="银行间",$J79,$L79),$G79)))+Y$2/100,情景分析!$D$7,"",,,,"",)*IF($H79="",1,$H79))</f>
        <v/>
      </c>
      <c r="Z79" s="7" t="str">
        <f>IF($A79="","",[2]!B_CALC_PRICE($A79,$V$1,IF(情景分析!$D$6=1,$J79,IF(情景分析!$D$6=2,$E79,IF(情景分析!$D$6=4,IF($C79="银行间",$J79,$L79),$G79)))+Z$2/100,情景分析!$D$7,"",,,,"",)*IF($H79="",1,$H79))</f>
        <v/>
      </c>
      <c r="AA79" s="7" t="str">
        <f>IF($A79="","",[2]!B_CALC_PRICE($A79,$V$1,IF(情景分析!$D$6=1,$J79,IF(情景分析!$D$6=2,$E79,IF(情景分析!$D$6=4,IF($C79="银行间",$J79,$L79),$G79)))+AA$2/100,情景分析!$D$7,"",,,,"",)*IF($H79="",1,$H79))</f>
        <v/>
      </c>
      <c r="AB79" s="7" t="str">
        <f>IF($A79="","",[2]!B_CALC_PRICE($A79,$V$1,IF(情景分析!$D$6=1,$J79,IF(情景分析!$D$6=2,$E79,IF(情景分析!$D$6=4,IF($C79="银行间",$J79,$L79),$G79)))+AB$2/100,情景分析!$D$7,"",,,,"",)*IF($H79="",1,$H79))</f>
        <v/>
      </c>
      <c r="AC79" s="7" t="str">
        <f>IF($A79="","",[2]!B_CALC_PRICE($A79,$AC$1,IF(情景分析!$D$6=1,$J79,IF(情景分析!$D$6=2,$E79,IF(情景分析!$D$6=4,IF($C79="银行间",$J79,$L79),$G79)))+AC$2/100,情景分析!$D$7,"",,,,"",)*IF($H79="",1,$H79))</f>
        <v/>
      </c>
      <c r="AD79" s="7" t="str">
        <f>IF($A79="","",[2]!B_CALC_PRICE($A79,$AC$1,IF(情景分析!$D$6=1,$J79,IF(情景分析!$D$6=2,$E79,IF(情景分析!$D$6=4,IF($C79="银行间",$J79,$L79),$G79)))+AD$2/100,情景分析!$D$7,"",,,,"",)*IF($H79="",1,$H79))</f>
        <v/>
      </c>
      <c r="AE79" s="7" t="str">
        <f>IF($A79="","",[2]!B_CALC_PRICE($A79,$AC$1,IF(情景分析!$D$6=1,$J79,IF(情景分析!$D$6=2,$E79,IF(情景分析!$D$6=4,IF($C79="银行间",$J79,$L79),$G79)))+AE$2/100,情景分析!$D$7,"",,,,"",)*IF($H79="",1,$H79))</f>
        <v/>
      </c>
      <c r="AF79" s="7" t="str">
        <f>IF($A79="","",[2]!B_CALC_PRICE($A79,$AC$1,IF(情景分析!$D$6=1,$J79,IF(情景分析!$D$6=2,$E79,IF(情景分析!$D$6=4,IF($C79="银行间",$J79,$L79),$G79)))+AF$2/100,情景分析!$D$7,"",,,,"",)*IF($H79="",1,$H79))</f>
        <v/>
      </c>
      <c r="AG79" s="7" t="str">
        <f>IF($A79="","",[2]!B_CALC_PRICE($A79,$AC$1,IF(情景分析!$D$6=1,$J79,IF(情景分析!$D$6=2,$E79,IF(情景分析!$D$6=4,IF($C79="银行间",$J79,$L79),$G79)))+AG$2/100,情景分析!$D$7,"",,,,"",)*IF($H79="",1,$H79))</f>
        <v/>
      </c>
      <c r="AH79" s="7" t="str">
        <f>IF($A79="","",[2]!B_CALC_PRICE($A79,$AC$1,IF(情景分析!$D$6=1,$J79,IF(情景分析!$D$6=2,$E79,IF(情景分析!$D$6=4,IF($C79="银行间",$J79,$L79),$G79)))+AH$2/100,情景分析!$D$7,"",,,,"",)*IF($H79="",1,$H79))</f>
        <v/>
      </c>
      <c r="AI79" s="7" t="str">
        <f>IF($A79="","",[2]!B_CALC_PRICE($A79,$AC$1,IF(情景分析!$D$6=1,$J79,IF(情景分析!$D$6=2,$E79,IF(情景分析!$D$6=4,IF($C79="银行间",$J79,$L79),$G79)))+AI$2/100,情景分析!$D$7,"",,,,"",)*IF($H79="",1,$H79))</f>
        <v/>
      </c>
      <c r="AJ79" s="7" t="str">
        <f>IF($A79="","",[2]!B_CALC_PRICE($A79,$AJ$1,IF(情景分析!$D$6=1,$J79,IF(情景分析!$D$6=2,$E79,IF(情景分析!$D$6=4,IF($C79="银行间",$J79,$L79),$G79)))+AJ$2/100,情景分析!$D$7,"",,,,"",)*IF($H79="",1,$H79))</f>
        <v/>
      </c>
      <c r="AK79" s="7" t="str">
        <f>IF($A79="","",[2]!B_CALC_PRICE($A79,$AJ$1,IF(情景分析!$D$6=1,$J79,IF(情景分析!$D$6=2,$E79,IF(情景分析!$D$6=4,IF($C79="银行间",$J79,$L79),$G79)))+AK$2/100,情景分析!$D$7,"",,,,"",)*IF($H79="",1,$H79))</f>
        <v/>
      </c>
      <c r="AL79" s="7" t="str">
        <f>IF($A79="","",[2]!B_CALC_PRICE($A79,$AJ$1,IF(情景分析!$D$6=1,$J79,IF(情景分析!$D$6=2,$E79,IF(情景分析!$D$6=4,IF($C79="银行间",$J79,$L79),$G79)))+AL$2/100,情景分析!$D$7,"",,,,"",)*IF($H79="",1,$H79))</f>
        <v/>
      </c>
      <c r="AM79" s="7" t="str">
        <f>IF($A79="","",[2]!B_CALC_PRICE($A79,$AJ$1,IF(情景分析!$D$6=1,$J79,IF(情景分析!$D$6=2,$E79,IF(情景分析!$D$6=4,IF($C79="银行间",$J79,$L79),$G79)))+AM$2/100,情景分析!$D$7,"",,,,"",)*IF($H79="",1,$H79))</f>
        <v/>
      </c>
      <c r="AN79" s="7" t="str">
        <f>IF($A79="","",[2]!B_CALC_PRICE($A79,$AJ$1,IF(情景分析!$D$6=1,$J79,IF(情景分析!$D$6=2,$E79,IF(情景分析!$D$6=4,IF($C79="银行间",$J79,$L79),$G79)))+AN$2/100,情景分析!$D$7,"",,,,"",)*IF($H79="",1,$H79))</f>
        <v/>
      </c>
      <c r="AO79" s="7" t="str">
        <f>IF($A79="","",[2]!B_CALC_PRICE($A79,$AJ$1,IF(情景分析!$D$6=1,$J79,IF(情景分析!$D$6=2,$E79,IF(情景分析!$D$6=4,IF($C79="银行间",$J79,$L79),$G79)))+AO$2/100,情景分析!$D$7,"",,,,"",)*IF($H79="",1,$H79))</f>
        <v/>
      </c>
      <c r="AP79" s="7" t="str">
        <f>IF($A79="","",[2]!B_CALC_PRICE($A79,$AJ$1,IF(情景分析!$D$6=1,$J79,IF(情景分析!$D$6=2,$E79,IF(情景分析!$D$6=4,IF($C79="银行间",$J79,$L79),$G79)))+AP$2/100,情景分析!$D$7,"",,,,"",)*IF($H79="",1,$H79))</f>
        <v/>
      </c>
      <c r="AQ79" s="7" t="str">
        <f>IF($A79="","",[2]!B_CALC_PRICE($A79,$AQ$1,IF(情景分析!$D$6=1,$J79,IF(情景分析!$D$6=2,$E79,IF(情景分析!$D$6=4,IF($C79="银行间",$J79,$L79),$G79)))+AQ$2/100,情景分析!$D$7,"",,,,"",)*IF($H79="",1,$H79))</f>
        <v/>
      </c>
      <c r="AR79" s="7" t="str">
        <f>IF($A79="","",[2]!B_CALC_PRICE($A79,$AQ$1,IF(情景分析!$D$6=1,$J79,IF(情景分析!$D$6=2,$E79,IF(情景分析!$D$6=4,IF($C79="银行间",$J79,$L79),$G79)))+AR$2/100,情景分析!$D$7,"",,,,"",)*IF($H79="",1,$H79))</f>
        <v/>
      </c>
      <c r="AS79" s="7" t="str">
        <f>IF($A79="","",[2]!B_CALC_PRICE($A79,$AQ$1,IF(情景分析!$D$6=1,$J79,IF(情景分析!$D$6=2,$E79,IF(情景分析!$D$6=4,IF($C79="银行间",$J79,$L79),$G79)))+AS$2/100,情景分析!$D$7,"",,,,"",)*IF($H79="",1,$H79))</f>
        <v/>
      </c>
      <c r="AT79" s="7" t="str">
        <f>IF($A79="","",[2]!B_CALC_PRICE($A79,$AQ$1,IF(情景分析!$D$6=1,$J79,IF(情景分析!$D$6=2,$E79,IF(情景分析!$D$6=4,IF($C79="银行间",$J79,$L79),$G79)))+AT$2/100,情景分析!$D$7,"",,,,"",)*IF($H79="",1,$H79))</f>
        <v/>
      </c>
      <c r="AU79" s="7" t="str">
        <f>IF($A79="","",[2]!B_CALC_PRICE($A79,$AQ$1,IF(情景分析!$D$6=1,$J79,IF(情景分析!$D$6=2,$E79,IF(情景分析!$D$6=4,IF($C79="银行间",$J79,$L79),$G79)))+AU$2/100,情景分析!$D$7,"",,,,"",)*IF($H79="",1,$H79))</f>
        <v/>
      </c>
      <c r="AV79" s="7" t="str">
        <f>IF($A79="","",[2]!B_CALC_PRICE($A79,$AQ$1,IF(情景分析!$D$6=1,$J79,IF(情景分析!$D$6=2,$E79,IF(情景分析!$D$6=4,IF($C79="银行间",$J79,$L79),$G79)))+AV$2/100,情景分析!$D$7,"",,,,"",)*IF($H79="",1,$H79))</f>
        <v/>
      </c>
      <c r="AW79" s="7" t="str">
        <f>IF($A79="","",[2]!B_CALC_PRICE($A79,$AQ$1,IF(情景分析!$D$6=1,$J79,IF(情景分析!$D$6=2,$E79,IF(情景分析!$D$6=4,IF($C79="银行间",$J79,$L79),$G79)))+AW$2/100,情景分析!$D$7,"",,,,"",)*IF($H79="",1,$H79))</f>
        <v/>
      </c>
    </row>
    <row r="80" spans="1:49" x14ac:dyDescent="0.15">
      <c r="A80" s="20"/>
      <c r="B80" s="7" t="str">
        <f>IF(A80="","",[2]!b_info_name(A80))</f>
        <v/>
      </c>
      <c r="C80" s="7" t="str">
        <f>[2]!b_info_listedmkt(A80)</f>
        <v>#N/A</v>
      </c>
      <c r="D80" s="7" t="str">
        <f>IFERROR(IF(A80="","", [2]!b_dq_avgprice(A80, 情景分析!$D$5, 情景分析!$D$7) * IF($H80="",1,$H80)),0)</f>
        <v/>
      </c>
      <c r="E80" s="7" t="str">
        <f>IF(A80="","", N([2]!b_dq_avgprice(A80,情景分析!$D$5,3)))</f>
        <v/>
      </c>
      <c r="F80" s="29" t="str">
        <f>IF($G80 = "",
"",
IFERROR(
[2]!b_calc_pv(A80, 情景分析!$D$5,$G80, "1", 情景分析!$D$7),
[2]!b_calc_pv(A80, 情景分析!$D$5,$G80, "2", 情景分析!$D$7)
)
)</f>
        <v/>
      </c>
      <c r="G80" s="22"/>
      <c r="H80" s="21"/>
      <c r="I80" s="7" t="str">
        <f>IF(A80="","",IF(情景分析!$D$7=1,[2]!b_anal_net_cnbd(A80,情景分析!$D$5,1),[2]!b_anal_dirty_cnbd(A80,情景分析!$D$5,1))*IF($H80="",1,$H80))</f>
        <v/>
      </c>
      <c r="J80" s="7" t="str">
        <f>IF(A80="","",[2]!b_anal_yield_cnbd(A80,情景分析!$D$5,1))</f>
        <v/>
      </c>
      <c r="K80" s="29" t="str">
        <f>IF(A80="","",IF(情景分析!$D$7=1,[2]!b_anal_net_csi1(A80,情景分析!$D$5,1),[2]!b_anal_dirty_csi1(A80,情景分析!$D$5,1))*IF($H80="",1,$H80))</f>
        <v/>
      </c>
      <c r="L80" s="29" t="str">
        <f>IF(A80="","",[2]!b_anal_yield_csi1(A80,情景分析!$D$5,1))</f>
        <v/>
      </c>
      <c r="M80" s="29" t="str">
        <f t="shared" si="6"/>
        <v/>
      </c>
      <c r="N80" s="29" t="str">
        <f t="shared" si="7"/>
        <v/>
      </c>
      <c r="O80" s="7" t="str">
        <f>IF($A80="","",[2]!B_CALC_PRICE($A80,$O$1,IF(情景分析!$D$6=1,$J80,IF(情景分析!$D$6=2,$E80,IF(情景分析!$D$6=4,IF($C80="银行间",$J80,$L80),$G80)))+O$2/100,情景分析!$D$7,"",,,,"",)*IF($H80="",1,$H80))</f>
        <v/>
      </c>
      <c r="P80" s="7" t="str">
        <f>IF($A80="","",[2]!B_CALC_PRICE($A80,$O$1,IF(情景分析!$D$6=1,$J80,IF(情景分析!$D$6=2,$E80,IF(情景分析!$D$6=4,IF($C80="银行间",$J80,$L80),$G80)))+P$2/100,情景分析!$D$7,"",,,,"",)*IF($H80="",1,$H80))</f>
        <v/>
      </c>
      <c r="Q80" s="7" t="str">
        <f>IF($A80="","",[2]!B_CALC_PRICE($A80,$O$1,IF(情景分析!$D$6=1,$J80,IF(情景分析!$D$6=2,$E80,IF(情景分析!$D$6=4,IF($C80="银行间",$J80,$L80),$G80)))+Q$2/100,情景分析!$D$7,"",,,,"",)*IF($H80="",1,$H80))</f>
        <v/>
      </c>
      <c r="R80" s="7" t="str">
        <f>IF($A80="","",[2]!B_CALC_PRICE($A80,$O$1,IF(情景分析!$D$6=1,$J80,IF(情景分析!$D$6=2,$E80,IF(情景分析!$D$6=4,IF($C80="银行间",$J80,$L80),$G80)))+R$2/100,情景分析!$D$7,"",,,,"",)*IF($H80="",1,$H80))</f>
        <v/>
      </c>
      <c r="S80" s="7" t="str">
        <f>IF($A80="","",[2]!B_CALC_PRICE($A80,$O$1,IF(情景分析!$D$6=1,$J80,IF(情景分析!$D$6=2,$E80,IF(情景分析!$D$6=4,IF($C80="银行间",$J80,$L80),$G80)))+S$2/100,情景分析!$D$7,"",,,,"",)*IF($H80="",1,$H80))</f>
        <v/>
      </c>
      <c r="T80" s="7" t="str">
        <f>IF($A80="","",[2]!B_CALC_PRICE($A80,$O$1,IF(情景分析!$D$6=1,$J80,IF(情景分析!$D$6=2,$E80,IF(情景分析!$D$6=4,IF($C80="银行间",$J80,$L80),$G80)))+T$2/100,情景分析!$D$7,"",,,,"",)*IF($H80="",1,$H80))</f>
        <v/>
      </c>
      <c r="U80" s="7" t="str">
        <f>IF($A80="","",[2]!B_CALC_PRICE($A80,$O$1,IF(情景分析!$D$6=1,$J80,IF(情景分析!$D$6=2,$E80,IF(情景分析!$D$6=4,IF($C80="银行间",$J80,$L80),$G80)))+U$2/100,情景分析!$D$7,"",,,,"",)*IF($H80="",1,$H80))</f>
        <v/>
      </c>
      <c r="V80" s="7" t="str">
        <f>IF($A80="","",[2]!B_CALC_PRICE($A80,$V$1,IF(情景分析!$D$6=1,$J80,IF(情景分析!$D$6=2,$E80,IF(情景分析!$D$6=4,IF($C80="银行间",$J80,$L80),$G80)))+V$2/100,情景分析!$D$7,"",,,,"",)*IF($H80="",1,$H80))</f>
        <v/>
      </c>
      <c r="W80" s="7" t="str">
        <f>IF($A80="","",[2]!B_CALC_PRICE($A80,$V$1,IF(情景分析!$D$6=1,$J80,IF(情景分析!$D$6=2,$E80,IF(情景分析!$D$6=4,IF($C80="银行间",$J80,$L80),$G80)))+W$2/100,情景分析!$D$7,"",,,,"",)*IF($H80="",1,$H80))</f>
        <v/>
      </c>
      <c r="X80" s="7" t="str">
        <f>IF($A80="","",[2]!B_CALC_PRICE($A80,$V$1,IF(情景分析!$D$6=1,$J80,IF(情景分析!$D$6=2,$E80,IF(情景分析!$D$6=4,IF($C80="银行间",$J80,$L80),$G80)))+X$2/100,情景分析!$D$7,"",,,,"",)*IF($H80="",1,$H80))</f>
        <v/>
      </c>
      <c r="Y80" s="7" t="str">
        <f>IF($A80="","",[2]!B_CALC_PRICE($A80,$V$1,IF(情景分析!$D$6=1,$J80,IF(情景分析!$D$6=2,$E80,IF(情景分析!$D$6=4,IF($C80="银行间",$J80,$L80),$G80)))+Y$2/100,情景分析!$D$7,"",,,,"",)*IF($H80="",1,$H80))</f>
        <v/>
      </c>
      <c r="Z80" s="7" t="str">
        <f>IF($A80="","",[2]!B_CALC_PRICE($A80,$V$1,IF(情景分析!$D$6=1,$J80,IF(情景分析!$D$6=2,$E80,IF(情景分析!$D$6=4,IF($C80="银行间",$J80,$L80),$G80)))+Z$2/100,情景分析!$D$7,"",,,,"",)*IF($H80="",1,$H80))</f>
        <v/>
      </c>
      <c r="AA80" s="7" t="str">
        <f>IF($A80="","",[2]!B_CALC_PRICE($A80,$V$1,IF(情景分析!$D$6=1,$J80,IF(情景分析!$D$6=2,$E80,IF(情景分析!$D$6=4,IF($C80="银行间",$J80,$L80),$G80)))+AA$2/100,情景分析!$D$7,"",,,,"",)*IF($H80="",1,$H80))</f>
        <v/>
      </c>
      <c r="AB80" s="7" t="str">
        <f>IF($A80="","",[2]!B_CALC_PRICE($A80,$V$1,IF(情景分析!$D$6=1,$J80,IF(情景分析!$D$6=2,$E80,IF(情景分析!$D$6=4,IF($C80="银行间",$J80,$L80),$G80)))+AB$2/100,情景分析!$D$7,"",,,,"",)*IF($H80="",1,$H80))</f>
        <v/>
      </c>
      <c r="AC80" s="7" t="str">
        <f>IF($A80="","",[2]!B_CALC_PRICE($A80,$AC$1,IF(情景分析!$D$6=1,$J80,IF(情景分析!$D$6=2,$E80,IF(情景分析!$D$6=4,IF($C80="银行间",$J80,$L80),$G80)))+AC$2/100,情景分析!$D$7,"",,,,"",)*IF($H80="",1,$H80))</f>
        <v/>
      </c>
      <c r="AD80" s="7" t="str">
        <f>IF($A80="","",[2]!B_CALC_PRICE($A80,$AC$1,IF(情景分析!$D$6=1,$J80,IF(情景分析!$D$6=2,$E80,IF(情景分析!$D$6=4,IF($C80="银行间",$J80,$L80),$G80)))+AD$2/100,情景分析!$D$7,"",,,,"",)*IF($H80="",1,$H80))</f>
        <v/>
      </c>
      <c r="AE80" s="7" t="str">
        <f>IF($A80="","",[2]!B_CALC_PRICE($A80,$AC$1,IF(情景分析!$D$6=1,$J80,IF(情景分析!$D$6=2,$E80,IF(情景分析!$D$6=4,IF($C80="银行间",$J80,$L80),$G80)))+AE$2/100,情景分析!$D$7,"",,,,"",)*IF($H80="",1,$H80))</f>
        <v/>
      </c>
      <c r="AF80" s="7" t="str">
        <f>IF($A80="","",[2]!B_CALC_PRICE($A80,$AC$1,IF(情景分析!$D$6=1,$J80,IF(情景分析!$D$6=2,$E80,IF(情景分析!$D$6=4,IF($C80="银行间",$J80,$L80),$G80)))+AF$2/100,情景分析!$D$7,"",,,,"",)*IF($H80="",1,$H80))</f>
        <v/>
      </c>
      <c r="AG80" s="7" t="str">
        <f>IF($A80="","",[2]!B_CALC_PRICE($A80,$AC$1,IF(情景分析!$D$6=1,$J80,IF(情景分析!$D$6=2,$E80,IF(情景分析!$D$6=4,IF($C80="银行间",$J80,$L80),$G80)))+AG$2/100,情景分析!$D$7,"",,,,"",)*IF($H80="",1,$H80))</f>
        <v/>
      </c>
      <c r="AH80" s="7" t="str">
        <f>IF($A80="","",[2]!B_CALC_PRICE($A80,$AC$1,IF(情景分析!$D$6=1,$J80,IF(情景分析!$D$6=2,$E80,IF(情景分析!$D$6=4,IF($C80="银行间",$J80,$L80),$G80)))+AH$2/100,情景分析!$D$7,"",,,,"",)*IF($H80="",1,$H80))</f>
        <v/>
      </c>
      <c r="AI80" s="7" t="str">
        <f>IF($A80="","",[2]!B_CALC_PRICE($A80,$AC$1,IF(情景分析!$D$6=1,$J80,IF(情景分析!$D$6=2,$E80,IF(情景分析!$D$6=4,IF($C80="银行间",$J80,$L80),$G80)))+AI$2/100,情景分析!$D$7,"",,,,"",)*IF($H80="",1,$H80))</f>
        <v/>
      </c>
      <c r="AJ80" s="7" t="str">
        <f>IF($A80="","",[2]!B_CALC_PRICE($A80,$AJ$1,IF(情景分析!$D$6=1,$J80,IF(情景分析!$D$6=2,$E80,IF(情景分析!$D$6=4,IF($C80="银行间",$J80,$L80),$G80)))+AJ$2/100,情景分析!$D$7,"",,,,"",)*IF($H80="",1,$H80))</f>
        <v/>
      </c>
      <c r="AK80" s="7" t="str">
        <f>IF($A80="","",[2]!B_CALC_PRICE($A80,$AJ$1,IF(情景分析!$D$6=1,$J80,IF(情景分析!$D$6=2,$E80,IF(情景分析!$D$6=4,IF($C80="银行间",$J80,$L80),$G80)))+AK$2/100,情景分析!$D$7,"",,,,"",)*IF($H80="",1,$H80))</f>
        <v/>
      </c>
      <c r="AL80" s="7" t="str">
        <f>IF($A80="","",[2]!B_CALC_PRICE($A80,$AJ$1,IF(情景分析!$D$6=1,$J80,IF(情景分析!$D$6=2,$E80,IF(情景分析!$D$6=4,IF($C80="银行间",$J80,$L80),$G80)))+AL$2/100,情景分析!$D$7,"",,,,"",)*IF($H80="",1,$H80))</f>
        <v/>
      </c>
      <c r="AM80" s="7" t="str">
        <f>IF($A80="","",[2]!B_CALC_PRICE($A80,$AJ$1,IF(情景分析!$D$6=1,$J80,IF(情景分析!$D$6=2,$E80,IF(情景分析!$D$6=4,IF($C80="银行间",$J80,$L80),$G80)))+AM$2/100,情景分析!$D$7,"",,,,"",)*IF($H80="",1,$H80))</f>
        <v/>
      </c>
      <c r="AN80" s="7" t="str">
        <f>IF($A80="","",[2]!B_CALC_PRICE($A80,$AJ$1,IF(情景分析!$D$6=1,$J80,IF(情景分析!$D$6=2,$E80,IF(情景分析!$D$6=4,IF($C80="银行间",$J80,$L80),$G80)))+AN$2/100,情景分析!$D$7,"",,,,"",)*IF($H80="",1,$H80))</f>
        <v/>
      </c>
      <c r="AO80" s="7" t="str">
        <f>IF($A80="","",[2]!B_CALC_PRICE($A80,$AJ$1,IF(情景分析!$D$6=1,$J80,IF(情景分析!$D$6=2,$E80,IF(情景分析!$D$6=4,IF($C80="银行间",$J80,$L80),$G80)))+AO$2/100,情景分析!$D$7,"",,,,"",)*IF($H80="",1,$H80))</f>
        <v/>
      </c>
      <c r="AP80" s="7" t="str">
        <f>IF($A80="","",[2]!B_CALC_PRICE($A80,$AJ$1,IF(情景分析!$D$6=1,$J80,IF(情景分析!$D$6=2,$E80,IF(情景分析!$D$6=4,IF($C80="银行间",$J80,$L80),$G80)))+AP$2/100,情景分析!$D$7,"",,,,"",)*IF($H80="",1,$H80))</f>
        <v/>
      </c>
      <c r="AQ80" s="7" t="str">
        <f>IF($A80="","",[2]!B_CALC_PRICE($A80,$AQ$1,IF(情景分析!$D$6=1,$J80,IF(情景分析!$D$6=2,$E80,IF(情景分析!$D$6=4,IF($C80="银行间",$J80,$L80),$G80)))+AQ$2/100,情景分析!$D$7,"",,,,"",)*IF($H80="",1,$H80))</f>
        <v/>
      </c>
      <c r="AR80" s="7" t="str">
        <f>IF($A80="","",[2]!B_CALC_PRICE($A80,$AQ$1,IF(情景分析!$D$6=1,$J80,IF(情景分析!$D$6=2,$E80,IF(情景分析!$D$6=4,IF($C80="银行间",$J80,$L80),$G80)))+AR$2/100,情景分析!$D$7,"",,,,"",)*IF($H80="",1,$H80))</f>
        <v/>
      </c>
      <c r="AS80" s="7" t="str">
        <f>IF($A80="","",[2]!B_CALC_PRICE($A80,$AQ$1,IF(情景分析!$D$6=1,$J80,IF(情景分析!$D$6=2,$E80,IF(情景分析!$D$6=4,IF($C80="银行间",$J80,$L80),$G80)))+AS$2/100,情景分析!$D$7,"",,,,"",)*IF($H80="",1,$H80))</f>
        <v/>
      </c>
      <c r="AT80" s="7" t="str">
        <f>IF($A80="","",[2]!B_CALC_PRICE($A80,$AQ$1,IF(情景分析!$D$6=1,$J80,IF(情景分析!$D$6=2,$E80,IF(情景分析!$D$6=4,IF($C80="银行间",$J80,$L80),$G80)))+AT$2/100,情景分析!$D$7,"",,,,"",)*IF($H80="",1,$H80))</f>
        <v/>
      </c>
      <c r="AU80" s="7" t="str">
        <f>IF($A80="","",[2]!B_CALC_PRICE($A80,$AQ$1,IF(情景分析!$D$6=1,$J80,IF(情景分析!$D$6=2,$E80,IF(情景分析!$D$6=4,IF($C80="银行间",$J80,$L80),$G80)))+AU$2/100,情景分析!$D$7,"",,,,"",)*IF($H80="",1,$H80))</f>
        <v/>
      </c>
      <c r="AV80" s="7" t="str">
        <f>IF($A80="","",[2]!B_CALC_PRICE($A80,$AQ$1,IF(情景分析!$D$6=1,$J80,IF(情景分析!$D$6=2,$E80,IF(情景分析!$D$6=4,IF($C80="银行间",$J80,$L80),$G80)))+AV$2/100,情景分析!$D$7,"",,,,"",)*IF($H80="",1,$H80))</f>
        <v/>
      </c>
      <c r="AW80" s="7" t="str">
        <f>IF($A80="","",[2]!B_CALC_PRICE($A80,$AQ$1,IF(情景分析!$D$6=1,$J80,IF(情景分析!$D$6=2,$E80,IF(情景分析!$D$6=4,IF($C80="银行间",$J80,$L80),$G80)))+AW$2/100,情景分析!$D$7,"",,,,"",)*IF($H80="",1,$H80))</f>
        <v/>
      </c>
    </row>
    <row r="81" spans="1:49" x14ac:dyDescent="0.15">
      <c r="A81" s="20"/>
      <c r="B81" s="7" t="str">
        <f>IF(A81="","",[2]!b_info_name(A81))</f>
        <v/>
      </c>
      <c r="C81" s="7" t="str">
        <f>[2]!b_info_listedmkt(A81)</f>
        <v>#N/A</v>
      </c>
      <c r="D81" s="7" t="str">
        <f>IFERROR(IF(A81="","", [2]!b_dq_avgprice(A81, 情景分析!$D$5, 情景分析!$D$7) * IF($H81="",1,$H81)),0)</f>
        <v/>
      </c>
      <c r="E81" s="7" t="str">
        <f>IF(A81="","", N([2]!b_dq_avgprice(A81,情景分析!$D$5,3)))</f>
        <v/>
      </c>
      <c r="F81" s="29" t="str">
        <f>IF($G81 = "",
"",
IFERROR(
[2]!b_calc_pv(A81, 情景分析!$D$5,$G81, "1", 情景分析!$D$7),
[2]!b_calc_pv(A81, 情景分析!$D$5,$G81, "2", 情景分析!$D$7)
)
)</f>
        <v/>
      </c>
      <c r="G81" s="22"/>
      <c r="H81" s="21"/>
      <c r="I81" s="7" t="str">
        <f>IF(A81="","",IF(情景分析!$D$7=1,[2]!b_anal_net_cnbd(A81,情景分析!$D$5,1),[2]!b_anal_dirty_cnbd(A81,情景分析!$D$5,1))*IF($H81="",1,$H81))</f>
        <v/>
      </c>
      <c r="J81" s="7" t="str">
        <f>IF(A81="","",[2]!b_anal_yield_cnbd(A81,情景分析!$D$5,1))</f>
        <v/>
      </c>
      <c r="K81" s="29" t="str">
        <f>IF(A81="","",IF(情景分析!$D$7=1,[2]!b_anal_net_csi1(A81,情景分析!$D$5,1),[2]!b_anal_dirty_csi1(A81,情景分析!$D$5,1))*IF($H81="",1,$H81))</f>
        <v/>
      </c>
      <c r="L81" s="29" t="str">
        <f>IF(A81="","",[2]!b_anal_yield_csi1(A81,情景分析!$D$5,1))</f>
        <v/>
      </c>
      <c r="M81" s="29" t="str">
        <f t="shared" si="6"/>
        <v/>
      </c>
      <c r="N81" s="29" t="str">
        <f t="shared" si="7"/>
        <v/>
      </c>
      <c r="O81" s="7" t="str">
        <f>IF($A81="","",[2]!B_CALC_PRICE($A81,$O$1,IF(情景分析!$D$6=1,$J81,IF(情景分析!$D$6=2,$E81,IF(情景分析!$D$6=4,IF($C81="银行间",$J81,$L81),$G81)))+O$2/100,情景分析!$D$7,"",,,,"",)*IF($H81="",1,$H81))</f>
        <v/>
      </c>
      <c r="P81" s="7" t="str">
        <f>IF($A81="","",[2]!B_CALC_PRICE($A81,$O$1,IF(情景分析!$D$6=1,$J81,IF(情景分析!$D$6=2,$E81,IF(情景分析!$D$6=4,IF($C81="银行间",$J81,$L81),$G81)))+P$2/100,情景分析!$D$7,"",,,,"",)*IF($H81="",1,$H81))</f>
        <v/>
      </c>
      <c r="Q81" s="7" t="str">
        <f>IF($A81="","",[2]!B_CALC_PRICE($A81,$O$1,IF(情景分析!$D$6=1,$J81,IF(情景分析!$D$6=2,$E81,IF(情景分析!$D$6=4,IF($C81="银行间",$J81,$L81),$G81)))+Q$2/100,情景分析!$D$7,"",,,,"",)*IF($H81="",1,$H81))</f>
        <v/>
      </c>
      <c r="R81" s="7" t="str">
        <f>IF($A81="","",[2]!B_CALC_PRICE($A81,$O$1,IF(情景分析!$D$6=1,$J81,IF(情景分析!$D$6=2,$E81,IF(情景分析!$D$6=4,IF($C81="银行间",$J81,$L81),$G81)))+R$2/100,情景分析!$D$7,"",,,,"",)*IF($H81="",1,$H81))</f>
        <v/>
      </c>
      <c r="S81" s="7" t="str">
        <f>IF($A81="","",[2]!B_CALC_PRICE($A81,$O$1,IF(情景分析!$D$6=1,$J81,IF(情景分析!$D$6=2,$E81,IF(情景分析!$D$6=4,IF($C81="银行间",$J81,$L81),$G81)))+S$2/100,情景分析!$D$7,"",,,,"",)*IF($H81="",1,$H81))</f>
        <v/>
      </c>
      <c r="T81" s="7" t="str">
        <f>IF($A81="","",[2]!B_CALC_PRICE($A81,$O$1,IF(情景分析!$D$6=1,$J81,IF(情景分析!$D$6=2,$E81,IF(情景分析!$D$6=4,IF($C81="银行间",$J81,$L81),$G81)))+T$2/100,情景分析!$D$7,"",,,,"",)*IF($H81="",1,$H81))</f>
        <v/>
      </c>
      <c r="U81" s="7" t="str">
        <f>IF($A81="","",[2]!B_CALC_PRICE($A81,$O$1,IF(情景分析!$D$6=1,$J81,IF(情景分析!$D$6=2,$E81,IF(情景分析!$D$6=4,IF($C81="银行间",$J81,$L81),$G81)))+U$2/100,情景分析!$D$7,"",,,,"",)*IF($H81="",1,$H81))</f>
        <v/>
      </c>
      <c r="V81" s="7" t="str">
        <f>IF($A81="","",[2]!B_CALC_PRICE($A81,$V$1,IF(情景分析!$D$6=1,$J81,IF(情景分析!$D$6=2,$E81,IF(情景分析!$D$6=4,IF($C81="银行间",$J81,$L81),$G81)))+V$2/100,情景分析!$D$7,"",,,,"",)*IF($H81="",1,$H81))</f>
        <v/>
      </c>
      <c r="W81" s="7" t="str">
        <f>IF($A81="","",[2]!B_CALC_PRICE($A81,$V$1,IF(情景分析!$D$6=1,$J81,IF(情景分析!$D$6=2,$E81,IF(情景分析!$D$6=4,IF($C81="银行间",$J81,$L81),$G81)))+W$2/100,情景分析!$D$7,"",,,,"",)*IF($H81="",1,$H81))</f>
        <v/>
      </c>
      <c r="X81" s="7" t="str">
        <f>IF($A81="","",[2]!B_CALC_PRICE($A81,$V$1,IF(情景分析!$D$6=1,$J81,IF(情景分析!$D$6=2,$E81,IF(情景分析!$D$6=4,IF($C81="银行间",$J81,$L81),$G81)))+X$2/100,情景分析!$D$7,"",,,,"",)*IF($H81="",1,$H81))</f>
        <v/>
      </c>
      <c r="Y81" s="7" t="str">
        <f>IF($A81="","",[2]!B_CALC_PRICE($A81,$V$1,IF(情景分析!$D$6=1,$J81,IF(情景分析!$D$6=2,$E81,IF(情景分析!$D$6=4,IF($C81="银行间",$J81,$L81),$G81)))+Y$2/100,情景分析!$D$7,"",,,,"",)*IF($H81="",1,$H81))</f>
        <v/>
      </c>
      <c r="Z81" s="7" t="str">
        <f>IF($A81="","",[2]!B_CALC_PRICE($A81,$V$1,IF(情景分析!$D$6=1,$J81,IF(情景分析!$D$6=2,$E81,IF(情景分析!$D$6=4,IF($C81="银行间",$J81,$L81),$G81)))+Z$2/100,情景分析!$D$7,"",,,,"",)*IF($H81="",1,$H81))</f>
        <v/>
      </c>
      <c r="AA81" s="7" t="str">
        <f>IF($A81="","",[2]!B_CALC_PRICE($A81,$V$1,IF(情景分析!$D$6=1,$J81,IF(情景分析!$D$6=2,$E81,IF(情景分析!$D$6=4,IF($C81="银行间",$J81,$L81),$G81)))+AA$2/100,情景分析!$D$7,"",,,,"",)*IF($H81="",1,$H81))</f>
        <v/>
      </c>
      <c r="AB81" s="7" t="str">
        <f>IF($A81="","",[2]!B_CALC_PRICE($A81,$V$1,IF(情景分析!$D$6=1,$J81,IF(情景分析!$D$6=2,$E81,IF(情景分析!$D$6=4,IF($C81="银行间",$J81,$L81),$G81)))+AB$2/100,情景分析!$D$7,"",,,,"",)*IF($H81="",1,$H81))</f>
        <v/>
      </c>
      <c r="AC81" s="7" t="str">
        <f>IF($A81="","",[2]!B_CALC_PRICE($A81,$AC$1,IF(情景分析!$D$6=1,$J81,IF(情景分析!$D$6=2,$E81,IF(情景分析!$D$6=4,IF($C81="银行间",$J81,$L81),$G81)))+AC$2/100,情景分析!$D$7,"",,,,"",)*IF($H81="",1,$H81))</f>
        <v/>
      </c>
      <c r="AD81" s="7" t="str">
        <f>IF($A81="","",[2]!B_CALC_PRICE($A81,$AC$1,IF(情景分析!$D$6=1,$J81,IF(情景分析!$D$6=2,$E81,IF(情景分析!$D$6=4,IF($C81="银行间",$J81,$L81),$G81)))+AD$2/100,情景分析!$D$7,"",,,,"",)*IF($H81="",1,$H81))</f>
        <v/>
      </c>
      <c r="AE81" s="7" t="str">
        <f>IF($A81="","",[2]!B_CALC_PRICE($A81,$AC$1,IF(情景分析!$D$6=1,$J81,IF(情景分析!$D$6=2,$E81,IF(情景分析!$D$6=4,IF($C81="银行间",$J81,$L81),$G81)))+AE$2/100,情景分析!$D$7,"",,,,"",)*IF($H81="",1,$H81))</f>
        <v/>
      </c>
      <c r="AF81" s="7" t="str">
        <f>IF($A81="","",[2]!B_CALC_PRICE($A81,$AC$1,IF(情景分析!$D$6=1,$J81,IF(情景分析!$D$6=2,$E81,IF(情景分析!$D$6=4,IF($C81="银行间",$J81,$L81),$G81)))+AF$2/100,情景分析!$D$7,"",,,,"",)*IF($H81="",1,$H81))</f>
        <v/>
      </c>
      <c r="AG81" s="7" t="str">
        <f>IF($A81="","",[2]!B_CALC_PRICE($A81,$AC$1,IF(情景分析!$D$6=1,$J81,IF(情景分析!$D$6=2,$E81,IF(情景分析!$D$6=4,IF($C81="银行间",$J81,$L81),$G81)))+AG$2/100,情景分析!$D$7,"",,,,"",)*IF($H81="",1,$H81))</f>
        <v/>
      </c>
      <c r="AH81" s="7" t="str">
        <f>IF($A81="","",[2]!B_CALC_PRICE($A81,$AC$1,IF(情景分析!$D$6=1,$J81,IF(情景分析!$D$6=2,$E81,IF(情景分析!$D$6=4,IF($C81="银行间",$J81,$L81),$G81)))+AH$2/100,情景分析!$D$7,"",,,,"",)*IF($H81="",1,$H81))</f>
        <v/>
      </c>
      <c r="AI81" s="7" t="str">
        <f>IF($A81="","",[2]!B_CALC_PRICE($A81,$AC$1,IF(情景分析!$D$6=1,$J81,IF(情景分析!$D$6=2,$E81,IF(情景分析!$D$6=4,IF($C81="银行间",$J81,$L81),$G81)))+AI$2/100,情景分析!$D$7,"",,,,"",)*IF($H81="",1,$H81))</f>
        <v/>
      </c>
      <c r="AJ81" s="7" t="str">
        <f>IF($A81="","",[2]!B_CALC_PRICE($A81,$AJ$1,IF(情景分析!$D$6=1,$J81,IF(情景分析!$D$6=2,$E81,IF(情景分析!$D$6=4,IF($C81="银行间",$J81,$L81),$G81)))+AJ$2/100,情景分析!$D$7,"",,,,"",)*IF($H81="",1,$H81))</f>
        <v/>
      </c>
      <c r="AK81" s="7" t="str">
        <f>IF($A81="","",[2]!B_CALC_PRICE($A81,$AJ$1,IF(情景分析!$D$6=1,$J81,IF(情景分析!$D$6=2,$E81,IF(情景分析!$D$6=4,IF($C81="银行间",$J81,$L81),$G81)))+AK$2/100,情景分析!$D$7,"",,,,"",)*IF($H81="",1,$H81))</f>
        <v/>
      </c>
      <c r="AL81" s="7" t="str">
        <f>IF($A81="","",[2]!B_CALC_PRICE($A81,$AJ$1,IF(情景分析!$D$6=1,$J81,IF(情景分析!$D$6=2,$E81,IF(情景分析!$D$6=4,IF($C81="银行间",$J81,$L81),$G81)))+AL$2/100,情景分析!$D$7,"",,,,"",)*IF($H81="",1,$H81))</f>
        <v/>
      </c>
      <c r="AM81" s="7" t="str">
        <f>IF($A81="","",[2]!B_CALC_PRICE($A81,$AJ$1,IF(情景分析!$D$6=1,$J81,IF(情景分析!$D$6=2,$E81,IF(情景分析!$D$6=4,IF($C81="银行间",$J81,$L81),$G81)))+AM$2/100,情景分析!$D$7,"",,,,"",)*IF($H81="",1,$H81))</f>
        <v/>
      </c>
      <c r="AN81" s="7" t="str">
        <f>IF($A81="","",[2]!B_CALC_PRICE($A81,$AJ$1,IF(情景分析!$D$6=1,$J81,IF(情景分析!$D$6=2,$E81,IF(情景分析!$D$6=4,IF($C81="银行间",$J81,$L81),$G81)))+AN$2/100,情景分析!$D$7,"",,,,"",)*IF($H81="",1,$H81))</f>
        <v/>
      </c>
      <c r="AO81" s="7" t="str">
        <f>IF($A81="","",[2]!B_CALC_PRICE($A81,$AJ$1,IF(情景分析!$D$6=1,$J81,IF(情景分析!$D$6=2,$E81,IF(情景分析!$D$6=4,IF($C81="银行间",$J81,$L81),$G81)))+AO$2/100,情景分析!$D$7,"",,,,"",)*IF($H81="",1,$H81))</f>
        <v/>
      </c>
      <c r="AP81" s="7" t="str">
        <f>IF($A81="","",[2]!B_CALC_PRICE($A81,$AJ$1,IF(情景分析!$D$6=1,$J81,IF(情景分析!$D$6=2,$E81,IF(情景分析!$D$6=4,IF($C81="银行间",$J81,$L81),$G81)))+AP$2/100,情景分析!$D$7,"",,,,"",)*IF($H81="",1,$H81))</f>
        <v/>
      </c>
      <c r="AQ81" s="7" t="str">
        <f>IF($A81="","",[2]!B_CALC_PRICE($A81,$AQ$1,IF(情景分析!$D$6=1,$J81,IF(情景分析!$D$6=2,$E81,IF(情景分析!$D$6=4,IF($C81="银行间",$J81,$L81),$G81)))+AQ$2/100,情景分析!$D$7,"",,,,"",)*IF($H81="",1,$H81))</f>
        <v/>
      </c>
      <c r="AR81" s="7" t="str">
        <f>IF($A81="","",[2]!B_CALC_PRICE($A81,$AQ$1,IF(情景分析!$D$6=1,$J81,IF(情景分析!$D$6=2,$E81,IF(情景分析!$D$6=4,IF($C81="银行间",$J81,$L81),$G81)))+AR$2/100,情景分析!$D$7,"",,,,"",)*IF($H81="",1,$H81))</f>
        <v/>
      </c>
      <c r="AS81" s="7" t="str">
        <f>IF($A81="","",[2]!B_CALC_PRICE($A81,$AQ$1,IF(情景分析!$D$6=1,$J81,IF(情景分析!$D$6=2,$E81,IF(情景分析!$D$6=4,IF($C81="银行间",$J81,$L81),$G81)))+AS$2/100,情景分析!$D$7,"",,,,"",)*IF($H81="",1,$H81))</f>
        <v/>
      </c>
      <c r="AT81" s="7" t="str">
        <f>IF($A81="","",[2]!B_CALC_PRICE($A81,$AQ$1,IF(情景分析!$D$6=1,$J81,IF(情景分析!$D$6=2,$E81,IF(情景分析!$D$6=4,IF($C81="银行间",$J81,$L81),$G81)))+AT$2/100,情景分析!$D$7,"",,,,"",)*IF($H81="",1,$H81))</f>
        <v/>
      </c>
      <c r="AU81" s="7" t="str">
        <f>IF($A81="","",[2]!B_CALC_PRICE($A81,$AQ$1,IF(情景分析!$D$6=1,$J81,IF(情景分析!$D$6=2,$E81,IF(情景分析!$D$6=4,IF($C81="银行间",$J81,$L81),$G81)))+AU$2/100,情景分析!$D$7,"",,,,"",)*IF($H81="",1,$H81))</f>
        <v/>
      </c>
      <c r="AV81" s="7" t="str">
        <f>IF($A81="","",[2]!B_CALC_PRICE($A81,$AQ$1,IF(情景分析!$D$6=1,$J81,IF(情景分析!$D$6=2,$E81,IF(情景分析!$D$6=4,IF($C81="银行间",$J81,$L81),$G81)))+AV$2/100,情景分析!$D$7,"",,,,"",)*IF($H81="",1,$H81))</f>
        <v/>
      </c>
      <c r="AW81" s="7" t="str">
        <f>IF($A81="","",[2]!B_CALC_PRICE($A81,$AQ$1,IF(情景分析!$D$6=1,$J81,IF(情景分析!$D$6=2,$E81,IF(情景分析!$D$6=4,IF($C81="银行间",$J81,$L81),$G81)))+AW$2/100,情景分析!$D$7,"",,,,"",)*IF($H81="",1,$H81))</f>
        <v/>
      </c>
    </row>
    <row r="82" spans="1:49" x14ac:dyDescent="0.15">
      <c r="A82" s="20"/>
      <c r="B82" s="7" t="str">
        <f>IF(A82="","",[2]!b_info_name(A82))</f>
        <v/>
      </c>
      <c r="C82" s="7" t="str">
        <f>[2]!b_info_listedmkt(A82)</f>
        <v>#N/A</v>
      </c>
      <c r="D82" s="7" t="str">
        <f>IFERROR(IF(A82="","", [2]!b_dq_avgprice(A82, 情景分析!$D$5, 情景分析!$D$7) * IF($H82="",1,$H82)),0)</f>
        <v/>
      </c>
      <c r="E82" s="7" t="str">
        <f>IF(A82="","", N([2]!b_dq_avgprice(A82,情景分析!$D$5,3)))</f>
        <v/>
      </c>
      <c r="F82" s="29" t="str">
        <f>IF($G82 = "",
"",
IFERROR(
[2]!b_calc_pv(A82, 情景分析!$D$5,$G82, "1", 情景分析!$D$7),
[2]!b_calc_pv(A82, 情景分析!$D$5,$G82, "2", 情景分析!$D$7)
)
)</f>
        <v/>
      </c>
      <c r="G82" s="22"/>
      <c r="H82" s="21"/>
      <c r="I82" s="7" t="str">
        <f>IF(A82="","",IF(情景分析!$D$7=1,[2]!b_anal_net_cnbd(A82,情景分析!$D$5,1),[2]!b_anal_dirty_cnbd(A82,情景分析!$D$5,1))*IF($H82="",1,$H82))</f>
        <v/>
      </c>
      <c r="J82" s="7" t="str">
        <f>IF(A82="","",[2]!b_anal_yield_cnbd(A82,情景分析!$D$5,1))</f>
        <v/>
      </c>
      <c r="K82" s="29" t="str">
        <f>IF(A82="","",IF(情景分析!$D$7=1,[2]!b_anal_net_csi1(A82,情景分析!$D$5,1),[2]!b_anal_dirty_csi1(A82,情景分析!$D$5,1))*IF($H82="",1,$H82))</f>
        <v/>
      </c>
      <c r="L82" s="29" t="str">
        <f>IF(A82="","",[2]!b_anal_yield_csi1(A82,情景分析!$D$5,1))</f>
        <v/>
      </c>
      <c r="M82" s="29" t="str">
        <f t="shared" si="6"/>
        <v/>
      </c>
      <c r="N82" s="29" t="str">
        <f t="shared" si="7"/>
        <v/>
      </c>
      <c r="O82" s="7" t="str">
        <f>IF($A82="","",[2]!B_CALC_PRICE($A82,$O$1,IF(情景分析!$D$6=1,$J82,IF(情景分析!$D$6=2,$E82,IF(情景分析!$D$6=4,IF($C82="银行间",$J82,$L82),$G82)))+O$2/100,情景分析!$D$7,"",,,,"",)*IF($H82="",1,$H82))</f>
        <v/>
      </c>
      <c r="P82" s="7" t="str">
        <f>IF($A82="","",[2]!B_CALC_PRICE($A82,$O$1,IF(情景分析!$D$6=1,$J82,IF(情景分析!$D$6=2,$E82,IF(情景分析!$D$6=4,IF($C82="银行间",$J82,$L82),$G82)))+P$2/100,情景分析!$D$7,"",,,,"",)*IF($H82="",1,$H82))</f>
        <v/>
      </c>
      <c r="Q82" s="7" t="str">
        <f>IF($A82="","",[2]!B_CALC_PRICE($A82,$O$1,IF(情景分析!$D$6=1,$J82,IF(情景分析!$D$6=2,$E82,IF(情景分析!$D$6=4,IF($C82="银行间",$J82,$L82),$G82)))+Q$2/100,情景分析!$D$7,"",,,,"",)*IF($H82="",1,$H82))</f>
        <v/>
      </c>
      <c r="R82" s="7" t="str">
        <f>IF($A82="","",[2]!B_CALC_PRICE($A82,$O$1,IF(情景分析!$D$6=1,$J82,IF(情景分析!$D$6=2,$E82,IF(情景分析!$D$6=4,IF($C82="银行间",$J82,$L82),$G82)))+R$2/100,情景分析!$D$7,"",,,,"",)*IF($H82="",1,$H82))</f>
        <v/>
      </c>
      <c r="S82" s="7" t="str">
        <f>IF($A82="","",[2]!B_CALC_PRICE($A82,$O$1,IF(情景分析!$D$6=1,$J82,IF(情景分析!$D$6=2,$E82,IF(情景分析!$D$6=4,IF($C82="银行间",$J82,$L82),$G82)))+S$2/100,情景分析!$D$7,"",,,,"",)*IF($H82="",1,$H82))</f>
        <v/>
      </c>
      <c r="T82" s="7" t="str">
        <f>IF($A82="","",[2]!B_CALC_PRICE($A82,$O$1,IF(情景分析!$D$6=1,$J82,IF(情景分析!$D$6=2,$E82,IF(情景分析!$D$6=4,IF($C82="银行间",$J82,$L82),$G82)))+T$2/100,情景分析!$D$7,"",,,,"",)*IF($H82="",1,$H82))</f>
        <v/>
      </c>
      <c r="U82" s="7" t="str">
        <f>IF($A82="","",[2]!B_CALC_PRICE($A82,$O$1,IF(情景分析!$D$6=1,$J82,IF(情景分析!$D$6=2,$E82,IF(情景分析!$D$6=4,IF($C82="银行间",$J82,$L82),$G82)))+U$2/100,情景分析!$D$7,"",,,,"",)*IF($H82="",1,$H82))</f>
        <v/>
      </c>
      <c r="V82" s="7" t="str">
        <f>IF($A82="","",[2]!B_CALC_PRICE($A82,$V$1,IF(情景分析!$D$6=1,$J82,IF(情景分析!$D$6=2,$E82,IF(情景分析!$D$6=4,IF($C82="银行间",$J82,$L82),$G82)))+V$2/100,情景分析!$D$7,"",,,,"",)*IF($H82="",1,$H82))</f>
        <v/>
      </c>
      <c r="W82" s="7" t="str">
        <f>IF($A82="","",[2]!B_CALC_PRICE($A82,$V$1,IF(情景分析!$D$6=1,$J82,IF(情景分析!$D$6=2,$E82,IF(情景分析!$D$6=4,IF($C82="银行间",$J82,$L82),$G82)))+W$2/100,情景分析!$D$7,"",,,,"",)*IF($H82="",1,$H82))</f>
        <v/>
      </c>
      <c r="X82" s="7" t="str">
        <f>IF($A82="","",[2]!B_CALC_PRICE($A82,$V$1,IF(情景分析!$D$6=1,$J82,IF(情景分析!$D$6=2,$E82,IF(情景分析!$D$6=4,IF($C82="银行间",$J82,$L82),$G82)))+X$2/100,情景分析!$D$7,"",,,,"",)*IF($H82="",1,$H82))</f>
        <v/>
      </c>
      <c r="Y82" s="7" t="str">
        <f>IF($A82="","",[2]!B_CALC_PRICE($A82,$V$1,IF(情景分析!$D$6=1,$J82,IF(情景分析!$D$6=2,$E82,IF(情景分析!$D$6=4,IF($C82="银行间",$J82,$L82),$G82)))+Y$2/100,情景分析!$D$7,"",,,,"",)*IF($H82="",1,$H82))</f>
        <v/>
      </c>
      <c r="Z82" s="7" t="str">
        <f>IF($A82="","",[2]!B_CALC_PRICE($A82,$V$1,IF(情景分析!$D$6=1,$J82,IF(情景分析!$D$6=2,$E82,IF(情景分析!$D$6=4,IF($C82="银行间",$J82,$L82),$G82)))+Z$2/100,情景分析!$D$7,"",,,,"",)*IF($H82="",1,$H82))</f>
        <v/>
      </c>
      <c r="AA82" s="7" t="str">
        <f>IF($A82="","",[2]!B_CALC_PRICE($A82,$V$1,IF(情景分析!$D$6=1,$J82,IF(情景分析!$D$6=2,$E82,IF(情景分析!$D$6=4,IF($C82="银行间",$J82,$L82),$G82)))+AA$2/100,情景分析!$D$7,"",,,,"",)*IF($H82="",1,$H82))</f>
        <v/>
      </c>
      <c r="AB82" s="7" t="str">
        <f>IF($A82="","",[2]!B_CALC_PRICE($A82,$V$1,IF(情景分析!$D$6=1,$J82,IF(情景分析!$D$6=2,$E82,IF(情景分析!$D$6=4,IF($C82="银行间",$J82,$L82),$G82)))+AB$2/100,情景分析!$D$7,"",,,,"",)*IF($H82="",1,$H82))</f>
        <v/>
      </c>
      <c r="AC82" s="7" t="str">
        <f>IF($A82="","",[2]!B_CALC_PRICE($A82,$AC$1,IF(情景分析!$D$6=1,$J82,IF(情景分析!$D$6=2,$E82,IF(情景分析!$D$6=4,IF($C82="银行间",$J82,$L82),$G82)))+AC$2/100,情景分析!$D$7,"",,,,"",)*IF($H82="",1,$H82))</f>
        <v/>
      </c>
      <c r="AD82" s="7" t="str">
        <f>IF($A82="","",[2]!B_CALC_PRICE($A82,$AC$1,IF(情景分析!$D$6=1,$J82,IF(情景分析!$D$6=2,$E82,IF(情景分析!$D$6=4,IF($C82="银行间",$J82,$L82),$G82)))+AD$2/100,情景分析!$D$7,"",,,,"",)*IF($H82="",1,$H82))</f>
        <v/>
      </c>
      <c r="AE82" s="7" t="str">
        <f>IF($A82="","",[2]!B_CALC_PRICE($A82,$AC$1,IF(情景分析!$D$6=1,$J82,IF(情景分析!$D$6=2,$E82,IF(情景分析!$D$6=4,IF($C82="银行间",$J82,$L82),$G82)))+AE$2/100,情景分析!$D$7,"",,,,"",)*IF($H82="",1,$H82))</f>
        <v/>
      </c>
      <c r="AF82" s="7" t="str">
        <f>IF($A82="","",[2]!B_CALC_PRICE($A82,$AC$1,IF(情景分析!$D$6=1,$J82,IF(情景分析!$D$6=2,$E82,IF(情景分析!$D$6=4,IF($C82="银行间",$J82,$L82),$G82)))+AF$2/100,情景分析!$D$7,"",,,,"",)*IF($H82="",1,$H82))</f>
        <v/>
      </c>
      <c r="AG82" s="7" t="str">
        <f>IF($A82="","",[2]!B_CALC_PRICE($A82,$AC$1,IF(情景分析!$D$6=1,$J82,IF(情景分析!$D$6=2,$E82,IF(情景分析!$D$6=4,IF($C82="银行间",$J82,$L82),$G82)))+AG$2/100,情景分析!$D$7,"",,,,"",)*IF($H82="",1,$H82))</f>
        <v/>
      </c>
      <c r="AH82" s="7" t="str">
        <f>IF($A82="","",[2]!B_CALC_PRICE($A82,$AC$1,IF(情景分析!$D$6=1,$J82,IF(情景分析!$D$6=2,$E82,IF(情景分析!$D$6=4,IF($C82="银行间",$J82,$L82),$G82)))+AH$2/100,情景分析!$D$7,"",,,,"",)*IF($H82="",1,$H82))</f>
        <v/>
      </c>
      <c r="AI82" s="7" t="str">
        <f>IF($A82="","",[2]!B_CALC_PRICE($A82,$AC$1,IF(情景分析!$D$6=1,$J82,IF(情景分析!$D$6=2,$E82,IF(情景分析!$D$6=4,IF($C82="银行间",$J82,$L82),$G82)))+AI$2/100,情景分析!$D$7,"",,,,"",)*IF($H82="",1,$H82))</f>
        <v/>
      </c>
      <c r="AJ82" s="7" t="str">
        <f>IF($A82="","",[2]!B_CALC_PRICE($A82,$AJ$1,IF(情景分析!$D$6=1,$J82,IF(情景分析!$D$6=2,$E82,IF(情景分析!$D$6=4,IF($C82="银行间",$J82,$L82),$G82)))+AJ$2/100,情景分析!$D$7,"",,,,"",)*IF($H82="",1,$H82))</f>
        <v/>
      </c>
      <c r="AK82" s="7" t="str">
        <f>IF($A82="","",[2]!B_CALC_PRICE($A82,$AJ$1,IF(情景分析!$D$6=1,$J82,IF(情景分析!$D$6=2,$E82,IF(情景分析!$D$6=4,IF($C82="银行间",$J82,$L82),$G82)))+AK$2/100,情景分析!$D$7,"",,,,"",)*IF($H82="",1,$H82))</f>
        <v/>
      </c>
      <c r="AL82" s="7" t="str">
        <f>IF($A82="","",[2]!B_CALC_PRICE($A82,$AJ$1,IF(情景分析!$D$6=1,$J82,IF(情景分析!$D$6=2,$E82,IF(情景分析!$D$6=4,IF($C82="银行间",$J82,$L82),$G82)))+AL$2/100,情景分析!$D$7,"",,,,"",)*IF($H82="",1,$H82))</f>
        <v/>
      </c>
      <c r="AM82" s="7" t="str">
        <f>IF($A82="","",[2]!B_CALC_PRICE($A82,$AJ$1,IF(情景分析!$D$6=1,$J82,IF(情景分析!$D$6=2,$E82,IF(情景分析!$D$6=4,IF($C82="银行间",$J82,$L82),$G82)))+AM$2/100,情景分析!$D$7,"",,,,"",)*IF($H82="",1,$H82))</f>
        <v/>
      </c>
      <c r="AN82" s="7" t="str">
        <f>IF($A82="","",[2]!B_CALC_PRICE($A82,$AJ$1,IF(情景分析!$D$6=1,$J82,IF(情景分析!$D$6=2,$E82,IF(情景分析!$D$6=4,IF($C82="银行间",$J82,$L82),$G82)))+AN$2/100,情景分析!$D$7,"",,,,"",)*IF($H82="",1,$H82))</f>
        <v/>
      </c>
      <c r="AO82" s="7" t="str">
        <f>IF($A82="","",[2]!B_CALC_PRICE($A82,$AJ$1,IF(情景分析!$D$6=1,$J82,IF(情景分析!$D$6=2,$E82,IF(情景分析!$D$6=4,IF($C82="银行间",$J82,$L82),$G82)))+AO$2/100,情景分析!$D$7,"",,,,"",)*IF($H82="",1,$H82))</f>
        <v/>
      </c>
      <c r="AP82" s="7" t="str">
        <f>IF($A82="","",[2]!B_CALC_PRICE($A82,$AJ$1,IF(情景分析!$D$6=1,$J82,IF(情景分析!$D$6=2,$E82,IF(情景分析!$D$6=4,IF($C82="银行间",$J82,$L82),$G82)))+AP$2/100,情景分析!$D$7,"",,,,"",)*IF($H82="",1,$H82))</f>
        <v/>
      </c>
      <c r="AQ82" s="7" t="str">
        <f>IF($A82="","",[2]!B_CALC_PRICE($A82,$AQ$1,IF(情景分析!$D$6=1,$J82,IF(情景分析!$D$6=2,$E82,IF(情景分析!$D$6=4,IF($C82="银行间",$J82,$L82),$G82)))+AQ$2/100,情景分析!$D$7,"",,,,"",)*IF($H82="",1,$H82))</f>
        <v/>
      </c>
      <c r="AR82" s="7" t="str">
        <f>IF($A82="","",[2]!B_CALC_PRICE($A82,$AQ$1,IF(情景分析!$D$6=1,$J82,IF(情景分析!$D$6=2,$E82,IF(情景分析!$D$6=4,IF($C82="银行间",$J82,$L82),$G82)))+AR$2/100,情景分析!$D$7,"",,,,"",)*IF($H82="",1,$H82))</f>
        <v/>
      </c>
      <c r="AS82" s="7" t="str">
        <f>IF($A82="","",[2]!B_CALC_PRICE($A82,$AQ$1,IF(情景分析!$D$6=1,$J82,IF(情景分析!$D$6=2,$E82,IF(情景分析!$D$6=4,IF($C82="银行间",$J82,$L82),$G82)))+AS$2/100,情景分析!$D$7,"",,,,"",)*IF($H82="",1,$H82))</f>
        <v/>
      </c>
      <c r="AT82" s="7" t="str">
        <f>IF($A82="","",[2]!B_CALC_PRICE($A82,$AQ$1,IF(情景分析!$D$6=1,$J82,IF(情景分析!$D$6=2,$E82,IF(情景分析!$D$6=4,IF($C82="银行间",$J82,$L82),$G82)))+AT$2/100,情景分析!$D$7,"",,,,"",)*IF($H82="",1,$H82))</f>
        <v/>
      </c>
      <c r="AU82" s="7" t="str">
        <f>IF($A82="","",[2]!B_CALC_PRICE($A82,$AQ$1,IF(情景分析!$D$6=1,$J82,IF(情景分析!$D$6=2,$E82,IF(情景分析!$D$6=4,IF($C82="银行间",$J82,$L82),$G82)))+AU$2/100,情景分析!$D$7,"",,,,"",)*IF($H82="",1,$H82))</f>
        <v/>
      </c>
      <c r="AV82" s="7" t="str">
        <f>IF($A82="","",[2]!B_CALC_PRICE($A82,$AQ$1,IF(情景分析!$D$6=1,$J82,IF(情景分析!$D$6=2,$E82,IF(情景分析!$D$6=4,IF($C82="银行间",$J82,$L82),$G82)))+AV$2/100,情景分析!$D$7,"",,,,"",)*IF($H82="",1,$H82))</f>
        <v/>
      </c>
      <c r="AW82" s="7" t="str">
        <f>IF($A82="","",[2]!B_CALC_PRICE($A82,$AQ$1,IF(情景分析!$D$6=1,$J82,IF(情景分析!$D$6=2,$E82,IF(情景分析!$D$6=4,IF($C82="银行间",$J82,$L82),$G82)))+AW$2/100,情景分析!$D$7,"",,,,"",)*IF($H82="",1,$H82))</f>
        <v/>
      </c>
    </row>
    <row r="83" spans="1:49" x14ac:dyDescent="0.15">
      <c r="A83" s="20"/>
      <c r="B83" s="7" t="str">
        <f>IF(A83="","",[2]!b_info_name(A83))</f>
        <v/>
      </c>
      <c r="C83" s="7" t="str">
        <f>[2]!b_info_listedmkt(A83)</f>
        <v>#N/A</v>
      </c>
      <c r="D83" s="7" t="str">
        <f>IFERROR(IF(A83="","", [2]!b_dq_avgprice(A83, 情景分析!$D$5, 情景分析!$D$7) * IF($H83="",1,$H83)),0)</f>
        <v/>
      </c>
      <c r="E83" s="7" t="str">
        <f>IF(A83="","", N([2]!b_dq_avgprice(A83,情景分析!$D$5,3)))</f>
        <v/>
      </c>
      <c r="F83" s="29" t="str">
        <f>IF($G83 = "",
"",
IFERROR(
[2]!b_calc_pv(A83, 情景分析!$D$5,$G83, "1", 情景分析!$D$7),
[2]!b_calc_pv(A83, 情景分析!$D$5,$G83, "2", 情景分析!$D$7)
)
)</f>
        <v/>
      </c>
      <c r="G83" s="22"/>
      <c r="H83" s="21"/>
      <c r="I83" s="7" t="str">
        <f>IF(A83="","",IF(情景分析!$D$7=1,[2]!b_anal_net_cnbd(A83,情景分析!$D$5,1),[2]!b_anal_dirty_cnbd(A83,情景分析!$D$5,1))*IF($H83="",1,$H83))</f>
        <v/>
      </c>
      <c r="J83" s="7" t="str">
        <f>IF(A83="","",[2]!b_anal_yield_cnbd(A83,情景分析!$D$5,1))</f>
        <v/>
      </c>
      <c r="K83" s="29" t="str">
        <f>IF(A83="","",IF(情景分析!$D$7=1,[2]!b_anal_net_csi1(A83,情景分析!$D$5,1),[2]!b_anal_dirty_csi1(A83,情景分析!$D$5,1))*IF($H83="",1,$H83))</f>
        <v/>
      </c>
      <c r="L83" s="29" t="str">
        <f>IF(A83="","",[2]!b_anal_yield_csi1(A83,情景分析!$D$5,1))</f>
        <v/>
      </c>
      <c r="M83" s="29" t="str">
        <f t="shared" si="6"/>
        <v/>
      </c>
      <c r="N83" s="29" t="str">
        <f t="shared" si="7"/>
        <v/>
      </c>
      <c r="O83" s="7" t="str">
        <f>IF($A83="","",[2]!B_CALC_PRICE($A83,$O$1,IF(情景分析!$D$6=1,$J83,IF(情景分析!$D$6=2,$E83,IF(情景分析!$D$6=4,IF($C83="银行间",$J83,$L83),$G83)))+O$2/100,情景分析!$D$7,"",,,,"",)*IF($H83="",1,$H83))</f>
        <v/>
      </c>
      <c r="P83" s="7" t="str">
        <f>IF($A83="","",[2]!B_CALC_PRICE($A83,$O$1,IF(情景分析!$D$6=1,$J83,IF(情景分析!$D$6=2,$E83,IF(情景分析!$D$6=4,IF($C83="银行间",$J83,$L83),$G83)))+P$2/100,情景分析!$D$7,"",,,,"",)*IF($H83="",1,$H83))</f>
        <v/>
      </c>
      <c r="Q83" s="7" t="str">
        <f>IF($A83="","",[2]!B_CALC_PRICE($A83,$O$1,IF(情景分析!$D$6=1,$J83,IF(情景分析!$D$6=2,$E83,IF(情景分析!$D$6=4,IF($C83="银行间",$J83,$L83),$G83)))+Q$2/100,情景分析!$D$7,"",,,,"",)*IF($H83="",1,$H83))</f>
        <v/>
      </c>
      <c r="R83" s="7" t="str">
        <f>IF($A83="","",[2]!B_CALC_PRICE($A83,$O$1,IF(情景分析!$D$6=1,$J83,IF(情景分析!$D$6=2,$E83,IF(情景分析!$D$6=4,IF($C83="银行间",$J83,$L83),$G83)))+R$2/100,情景分析!$D$7,"",,,,"",)*IF($H83="",1,$H83))</f>
        <v/>
      </c>
      <c r="S83" s="7" t="str">
        <f>IF($A83="","",[2]!B_CALC_PRICE($A83,$O$1,IF(情景分析!$D$6=1,$J83,IF(情景分析!$D$6=2,$E83,IF(情景分析!$D$6=4,IF($C83="银行间",$J83,$L83),$G83)))+S$2/100,情景分析!$D$7,"",,,,"",)*IF($H83="",1,$H83))</f>
        <v/>
      </c>
      <c r="T83" s="7" t="str">
        <f>IF($A83="","",[2]!B_CALC_PRICE($A83,$O$1,IF(情景分析!$D$6=1,$J83,IF(情景分析!$D$6=2,$E83,IF(情景分析!$D$6=4,IF($C83="银行间",$J83,$L83),$G83)))+T$2/100,情景分析!$D$7,"",,,,"",)*IF($H83="",1,$H83))</f>
        <v/>
      </c>
      <c r="U83" s="7" t="str">
        <f>IF($A83="","",[2]!B_CALC_PRICE($A83,$O$1,IF(情景分析!$D$6=1,$J83,IF(情景分析!$D$6=2,$E83,IF(情景分析!$D$6=4,IF($C83="银行间",$J83,$L83),$G83)))+U$2/100,情景分析!$D$7,"",,,,"",)*IF($H83="",1,$H83))</f>
        <v/>
      </c>
      <c r="V83" s="7" t="str">
        <f>IF($A83="","",[2]!B_CALC_PRICE($A83,$V$1,IF(情景分析!$D$6=1,$J83,IF(情景分析!$D$6=2,$E83,IF(情景分析!$D$6=4,IF($C83="银行间",$J83,$L83),$G83)))+V$2/100,情景分析!$D$7,"",,,,"",)*IF($H83="",1,$H83))</f>
        <v/>
      </c>
      <c r="W83" s="7" t="str">
        <f>IF($A83="","",[2]!B_CALC_PRICE($A83,$V$1,IF(情景分析!$D$6=1,$J83,IF(情景分析!$D$6=2,$E83,IF(情景分析!$D$6=4,IF($C83="银行间",$J83,$L83),$G83)))+W$2/100,情景分析!$D$7,"",,,,"",)*IF($H83="",1,$H83))</f>
        <v/>
      </c>
      <c r="X83" s="7" t="str">
        <f>IF($A83="","",[2]!B_CALC_PRICE($A83,$V$1,IF(情景分析!$D$6=1,$J83,IF(情景分析!$D$6=2,$E83,IF(情景分析!$D$6=4,IF($C83="银行间",$J83,$L83),$G83)))+X$2/100,情景分析!$D$7,"",,,,"",)*IF($H83="",1,$H83))</f>
        <v/>
      </c>
      <c r="Y83" s="7" t="str">
        <f>IF($A83="","",[2]!B_CALC_PRICE($A83,$V$1,IF(情景分析!$D$6=1,$J83,IF(情景分析!$D$6=2,$E83,IF(情景分析!$D$6=4,IF($C83="银行间",$J83,$L83),$G83)))+Y$2/100,情景分析!$D$7,"",,,,"",)*IF($H83="",1,$H83))</f>
        <v/>
      </c>
      <c r="Z83" s="7" t="str">
        <f>IF($A83="","",[2]!B_CALC_PRICE($A83,$V$1,IF(情景分析!$D$6=1,$J83,IF(情景分析!$D$6=2,$E83,IF(情景分析!$D$6=4,IF($C83="银行间",$J83,$L83),$G83)))+Z$2/100,情景分析!$D$7,"",,,,"",)*IF($H83="",1,$H83))</f>
        <v/>
      </c>
      <c r="AA83" s="7" t="str">
        <f>IF($A83="","",[2]!B_CALC_PRICE($A83,$V$1,IF(情景分析!$D$6=1,$J83,IF(情景分析!$D$6=2,$E83,IF(情景分析!$D$6=4,IF($C83="银行间",$J83,$L83),$G83)))+AA$2/100,情景分析!$D$7,"",,,,"",)*IF($H83="",1,$H83))</f>
        <v/>
      </c>
      <c r="AB83" s="7" t="str">
        <f>IF($A83="","",[2]!B_CALC_PRICE($A83,$V$1,IF(情景分析!$D$6=1,$J83,IF(情景分析!$D$6=2,$E83,IF(情景分析!$D$6=4,IF($C83="银行间",$J83,$L83),$G83)))+AB$2/100,情景分析!$D$7,"",,,,"",)*IF($H83="",1,$H83))</f>
        <v/>
      </c>
      <c r="AC83" s="7" t="str">
        <f>IF($A83="","",[2]!B_CALC_PRICE($A83,$AC$1,IF(情景分析!$D$6=1,$J83,IF(情景分析!$D$6=2,$E83,IF(情景分析!$D$6=4,IF($C83="银行间",$J83,$L83),$G83)))+AC$2/100,情景分析!$D$7,"",,,,"",)*IF($H83="",1,$H83))</f>
        <v/>
      </c>
      <c r="AD83" s="7" t="str">
        <f>IF($A83="","",[2]!B_CALC_PRICE($A83,$AC$1,IF(情景分析!$D$6=1,$J83,IF(情景分析!$D$6=2,$E83,IF(情景分析!$D$6=4,IF($C83="银行间",$J83,$L83),$G83)))+AD$2/100,情景分析!$D$7,"",,,,"",)*IF($H83="",1,$H83))</f>
        <v/>
      </c>
      <c r="AE83" s="7" t="str">
        <f>IF($A83="","",[2]!B_CALC_PRICE($A83,$AC$1,IF(情景分析!$D$6=1,$J83,IF(情景分析!$D$6=2,$E83,IF(情景分析!$D$6=4,IF($C83="银行间",$J83,$L83),$G83)))+AE$2/100,情景分析!$D$7,"",,,,"",)*IF($H83="",1,$H83))</f>
        <v/>
      </c>
      <c r="AF83" s="7" t="str">
        <f>IF($A83="","",[2]!B_CALC_PRICE($A83,$AC$1,IF(情景分析!$D$6=1,$J83,IF(情景分析!$D$6=2,$E83,IF(情景分析!$D$6=4,IF($C83="银行间",$J83,$L83),$G83)))+AF$2/100,情景分析!$D$7,"",,,,"",)*IF($H83="",1,$H83))</f>
        <v/>
      </c>
      <c r="AG83" s="7" t="str">
        <f>IF($A83="","",[2]!B_CALC_PRICE($A83,$AC$1,IF(情景分析!$D$6=1,$J83,IF(情景分析!$D$6=2,$E83,IF(情景分析!$D$6=4,IF($C83="银行间",$J83,$L83),$G83)))+AG$2/100,情景分析!$D$7,"",,,,"",)*IF($H83="",1,$H83))</f>
        <v/>
      </c>
      <c r="AH83" s="7" t="str">
        <f>IF($A83="","",[2]!B_CALC_PRICE($A83,$AC$1,IF(情景分析!$D$6=1,$J83,IF(情景分析!$D$6=2,$E83,IF(情景分析!$D$6=4,IF($C83="银行间",$J83,$L83),$G83)))+AH$2/100,情景分析!$D$7,"",,,,"",)*IF($H83="",1,$H83))</f>
        <v/>
      </c>
      <c r="AI83" s="7" t="str">
        <f>IF($A83="","",[2]!B_CALC_PRICE($A83,$AC$1,IF(情景分析!$D$6=1,$J83,IF(情景分析!$D$6=2,$E83,IF(情景分析!$D$6=4,IF($C83="银行间",$J83,$L83),$G83)))+AI$2/100,情景分析!$D$7,"",,,,"",)*IF($H83="",1,$H83))</f>
        <v/>
      </c>
      <c r="AJ83" s="7" t="str">
        <f>IF($A83="","",[2]!B_CALC_PRICE($A83,$AJ$1,IF(情景分析!$D$6=1,$J83,IF(情景分析!$D$6=2,$E83,IF(情景分析!$D$6=4,IF($C83="银行间",$J83,$L83),$G83)))+AJ$2/100,情景分析!$D$7,"",,,,"",)*IF($H83="",1,$H83))</f>
        <v/>
      </c>
      <c r="AK83" s="7" t="str">
        <f>IF($A83="","",[2]!B_CALC_PRICE($A83,$AJ$1,IF(情景分析!$D$6=1,$J83,IF(情景分析!$D$6=2,$E83,IF(情景分析!$D$6=4,IF($C83="银行间",$J83,$L83),$G83)))+AK$2/100,情景分析!$D$7,"",,,,"",)*IF($H83="",1,$H83))</f>
        <v/>
      </c>
      <c r="AL83" s="7" t="str">
        <f>IF($A83="","",[2]!B_CALC_PRICE($A83,$AJ$1,IF(情景分析!$D$6=1,$J83,IF(情景分析!$D$6=2,$E83,IF(情景分析!$D$6=4,IF($C83="银行间",$J83,$L83),$G83)))+AL$2/100,情景分析!$D$7,"",,,,"",)*IF($H83="",1,$H83))</f>
        <v/>
      </c>
      <c r="AM83" s="7" t="str">
        <f>IF($A83="","",[2]!B_CALC_PRICE($A83,$AJ$1,IF(情景分析!$D$6=1,$J83,IF(情景分析!$D$6=2,$E83,IF(情景分析!$D$6=4,IF($C83="银行间",$J83,$L83),$G83)))+AM$2/100,情景分析!$D$7,"",,,,"",)*IF($H83="",1,$H83))</f>
        <v/>
      </c>
      <c r="AN83" s="7" t="str">
        <f>IF($A83="","",[2]!B_CALC_PRICE($A83,$AJ$1,IF(情景分析!$D$6=1,$J83,IF(情景分析!$D$6=2,$E83,IF(情景分析!$D$6=4,IF($C83="银行间",$J83,$L83),$G83)))+AN$2/100,情景分析!$D$7,"",,,,"",)*IF($H83="",1,$H83))</f>
        <v/>
      </c>
      <c r="AO83" s="7" t="str">
        <f>IF($A83="","",[2]!B_CALC_PRICE($A83,$AJ$1,IF(情景分析!$D$6=1,$J83,IF(情景分析!$D$6=2,$E83,IF(情景分析!$D$6=4,IF($C83="银行间",$J83,$L83),$G83)))+AO$2/100,情景分析!$D$7,"",,,,"",)*IF($H83="",1,$H83))</f>
        <v/>
      </c>
      <c r="AP83" s="7" t="str">
        <f>IF($A83="","",[2]!B_CALC_PRICE($A83,$AJ$1,IF(情景分析!$D$6=1,$J83,IF(情景分析!$D$6=2,$E83,IF(情景分析!$D$6=4,IF($C83="银行间",$J83,$L83),$G83)))+AP$2/100,情景分析!$D$7,"",,,,"",)*IF($H83="",1,$H83))</f>
        <v/>
      </c>
      <c r="AQ83" s="7" t="str">
        <f>IF($A83="","",[2]!B_CALC_PRICE($A83,$AQ$1,IF(情景分析!$D$6=1,$J83,IF(情景分析!$D$6=2,$E83,IF(情景分析!$D$6=4,IF($C83="银行间",$J83,$L83),$G83)))+AQ$2/100,情景分析!$D$7,"",,,,"",)*IF($H83="",1,$H83))</f>
        <v/>
      </c>
      <c r="AR83" s="7" t="str">
        <f>IF($A83="","",[2]!B_CALC_PRICE($A83,$AQ$1,IF(情景分析!$D$6=1,$J83,IF(情景分析!$D$6=2,$E83,IF(情景分析!$D$6=4,IF($C83="银行间",$J83,$L83),$G83)))+AR$2/100,情景分析!$D$7,"",,,,"",)*IF($H83="",1,$H83))</f>
        <v/>
      </c>
      <c r="AS83" s="7" t="str">
        <f>IF($A83="","",[2]!B_CALC_PRICE($A83,$AQ$1,IF(情景分析!$D$6=1,$J83,IF(情景分析!$D$6=2,$E83,IF(情景分析!$D$6=4,IF($C83="银行间",$J83,$L83),$G83)))+AS$2/100,情景分析!$D$7,"",,,,"",)*IF($H83="",1,$H83))</f>
        <v/>
      </c>
      <c r="AT83" s="7" t="str">
        <f>IF($A83="","",[2]!B_CALC_PRICE($A83,$AQ$1,IF(情景分析!$D$6=1,$J83,IF(情景分析!$D$6=2,$E83,IF(情景分析!$D$6=4,IF($C83="银行间",$J83,$L83),$G83)))+AT$2/100,情景分析!$D$7,"",,,,"",)*IF($H83="",1,$H83))</f>
        <v/>
      </c>
      <c r="AU83" s="7" t="str">
        <f>IF($A83="","",[2]!B_CALC_PRICE($A83,$AQ$1,IF(情景分析!$D$6=1,$J83,IF(情景分析!$D$6=2,$E83,IF(情景分析!$D$6=4,IF($C83="银行间",$J83,$L83),$G83)))+AU$2/100,情景分析!$D$7,"",,,,"",)*IF($H83="",1,$H83))</f>
        <v/>
      </c>
      <c r="AV83" s="7" t="str">
        <f>IF($A83="","",[2]!B_CALC_PRICE($A83,$AQ$1,IF(情景分析!$D$6=1,$J83,IF(情景分析!$D$6=2,$E83,IF(情景分析!$D$6=4,IF($C83="银行间",$J83,$L83),$G83)))+AV$2/100,情景分析!$D$7,"",,,,"",)*IF($H83="",1,$H83))</f>
        <v/>
      </c>
      <c r="AW83" s="7" t="str">
        <f>IF($A83="","",[2]!B_CALC_PRICE($A83,$AQ$1,IF(情景分析!$D$6=1,$J83,IF(情景分析!$D$6=2,$E83,IF(情景分析!$D$6=4,IF($C83="银行间",$J83,$L83),$G83)))+AW$2/100,情景分析!$D$7,"",,,,"",)*IF($H83="",1,$H83))</f>
        <v/>
      </c>
    </row>
    <row r="84" spans="1:49" x14ac:dyDescent="0.15">
      <c r="A84" s="20"/>
      <c r="B84" s="7" t="str">
        <f>IF(A84="","",[2]!b_info_name(A84))</f>
        <v/>
      </c>
      <c r="C84" s="7" t="str">
        <f>[2]!b_info_listedmkt(A84)</f>
        <v>#N/A</v>
      </c>
      <c r="D84" s="7" t="str">
        <f>IFERROR(IF(A84="","", [2]!b_dq_avgprice(A84, 情景分析!$D$5, 情景分析!$D$7) * IF($H84="",1,$H84)),0)</f>
        <v/>
      </c>
      <c r="E84" s="7" t="str">
        <f>IF(A84="","", N([2]!b_dq_avgprice(A84,情景分析!$D$5,3)))</f>
        <v/>
      </c>
      <c r="F84" s="29" t="str">
        <f>IF($G84 = "",
"",
IFERROR(
[2]!b_calc_pv(A84, 情景分析!$D$5,$G84, "1", 情景分析!$D$7),
[2]!b_calc_pv(A84, 情景分析!$D$5,$G84, "2", 情景分析!$D$7)
)
)</f>
        <v/>
      </c>
      <c r="G84" s="22"/>
      <c r="H84" s="21"/>
      <c r="I84" s="7" t="str">
        <f>IF(A84="","",IF(情景分析!$D$7=1,[2]!b_anal_net_cnbd(A84,情景分析!$D$5,1),[2]!b_anal_dirty_cnbd(A84,情景分析!$D$5,1))*IF($H84="",1,$H84))</f>
        <v/>
      </c>
      <c r="J84" s="7" t="str">
        <f>IF(A84="","",[2]!b_anal_yield_cnbd(A84,情景分析!$D$5,1))</f>
        <v/>
      </c>
      <c r="K84" s="29" t="str">
        <f>IF(A84="","",IF(情景分析!$D$7=1,[2]!b_anal_net_csi1(A84,情景分析!$D$5,1),[2]!b_anal_dirty_csi1(A84,情景分析!$D$5,1))*IF($H84="",1,$H84))</f>
        <v/>
      </c>
      <c r="L84" s="29" t="str">
        <f>IF(A84="","",[2]!b_anal_yield_csi1(A84,情景分析!$D$5,1))</f>
        <v/>
      </c>
      <c r="M84" s="29" t="str">
        <f t="shared" si="6"/>
        <v/>
      </c>
      <c r="N84" s="29" t="str">
        <f t="shared" si="7"/>
        <v/>
      </c>
      <c r="O84" s="7" t="str">
        <f>IF($A84="","",[2]!B_CALC_PRICE($A84,$O$1,IF(情景分析!$D$6=1,$J84,IF(情景分析!$D$6=2,$E84,IF(情景分析!$D$6=4,IF($C84="银行间",$J84,$L84),$G84)))+O$2/100,情景分析!$D$7,"",,,,"",)*IF($H84="",1,$H84))</f>
        <v/>
      </c>
      <c r="P84" s="7" t="str">
        <f>IF($A84="","",[2]!B_CALC_PRICE($A84,$O$1,IF(情景分析!$D$6=1,$J84,IF(情景分析!$D$6=2,$E84,IF(情景分析!$D$6=4,IF($C84="银行间",$J84,$L84),$G84)))+P$2/100,情景分析!$D$7,"",,,,"",)*IF($H84="",1,$H84))</f>
        <v/>
      </c>
      <c r="Q84" s="7" t="str">
        <f>IF($A84="","",[2]!B_CALC_PRICE($A84,$O$1,IF(情景分析!$D$6=1,$J84,IF(情景分析!$D$6=2,$E84,IF(情景分析!$D$6=4,IF($C84="银行间",$J84,$L84),$G84)))+Q$2/100,情景分析!$D$7,"",,,,"",)*IF($H84="",1,$H84))</f>
        <v/>
      </c>
      <c r="R84" s="7" t="str">
        <f>IF($A84="","",[2]!B_CALC_PRICE($A84,$O$1,IF(情景分析!$D$6=1,$J84,IF(情景分析!$D$6=2,$E84,IF(情景分析!$D$6=4,IF($C84="银行间",$J84,$L84),$G84)))+R$2/100,情景分析!$D$7,"",,,,"",)*IF($H84="",1,$H84))</f>
        <v/>
      </c>
      <c r="S84" s="7" t="str">
        <f>IF($A84="","",[2]!B_CALC_PRICE($A84,$O$1,IF(情景分析!$D$6=1,$J84,IF(情景分析!$D$6=2,$E84,IF(情景分析!$D$6=4,IF($C84="银行间",$J84,$L84),$G84)))+S$2/100,情景分析!$D$7,"",,,,"",)*IF($H84="",1,$H84))</f>
        <v/>
      </c>
      <c r="T84" s="7" t="str">
        <f>IF($A84="","",[2]!B_CALC_PRICE($A84,$O$1,IF(情景分析!$D$6=1,$J84,IF(情景分析!$D$6=2,$E84,IF(情景分析!$D$6=4,IF($C84="银行间",$J84,$L84),$G84)))+T$2/100,情景分析!$D$7,"",,,,"",)*IF($H84="",1,$H84))</f>
        <v/>
      </c>
      <c r="U84" s="7" t="str">
        <f>IF($A84="","",[2]!B_CALC_PRICE($A84,$O$1,IF(情景分析!$D$6=1,$J84,IF(情景分析!$D$6=2,$E84,IF(情景分析!$D$6=4,IF($C84="银行间",$J84,$L84),$G84)))+U$2/100,情景分析!$D$7,"",,,,"",)*IF($H84="",1,$H84))</f>
        <v/>
      </c>
      <c r="V84" s="7" t="str">
        <f>IF($A84="","",[2]!B_CALC_PRICE($A84,$V$1,IF(情景分析!$D$6=1,$J84,IF(情景分析!$D$6=2,$E84,IF(情景分析!$D$6=4,IF($C84="银行间",$J84,$L84),$G84)))+V$2/100,情景分析!$D$7,"",,,,"",)*IF($H84="",1,$H84))</f>
        <v/>
      </c>
      <c r="W84" s="7" t="str">
        <f>IF($A84="","",[2]!B_CALC_PRICE($A84,$V$1,IF(情景分析!$D$6=1,$J84,IF(情景分析!$D$6=2,$E84,IF(情景分析!$D$6=4,IF($C84="银行间",$J84,$L84),$G84)))+W$2/100,情景分析!$D$7,"",,,,"",)*IF($H84="",1,$H84))</f>
        <v/>
      </c>
      <c r="X84" s="7" t="str">
        <f>IF($A84="","",[2]!B_CALC_PRICE($A84,$V$1,IF(情景分析!$D$6=1,$J84,IF(情景分析!$D$6=2,$E84,IF(情景分析!$D$6=4,IF($C84="银行间",$J84,$L84),$G84)))+X$2/100,情景分析!$D$7,"",,,,"",)*IF($H84="",1,$H84))</f>
        <v/>
      </c>
      <c r="Y84" s="7" t="str">
        <f>IF($A84="","",[2]!B_CALC_PRICE($A84,$V$1,IF(情景分析!$D$6=1,$J84,IF(情景分析!$D$6=2,$E84,IF(情景分析!$D$6=4,IF($C84="银行间",$J84,$L84),$G84)))+Y$2/100,情景分析!$D$7,"",,,,"",)*IF($H84="",1,$H84))</f>
        <v/>
      </c>
      <c r="Z84" s="7" t="str">
        <f>IF($A84="","",[2]!B_CALC_PRICE($A84,$V$1,IF(情景分析!$D$6=1,$J84,IF(情景分析!$D$6=2,$E84,IF(情景分析!$D$6=4,IF($C84="银行间",$J84,$L84),$G84)))+Z$2/100,情景分析!$D$7,"",,,,"",)*IF($H84="",1,$H84))</f>
        <v/>
      </c>
      <c r="AA84" s="7" t="str">
        <f>IF($A84="","",[2]!B_CALC_PRICE($A84,$V$1,IF(情景分析!$D$6=1,$J84,IF(情景分析!$D$6=2,$E84,IF(情景分析!$D$6=4,IF($C84="银行间",$J84,$L84),$G84)))+AA$2/100,情景分析!$D$7,"",,,,"",)*IF($H84="",1,$H84))</f>
        <v/>
      </c>
      <c r="AB84" s="7" t="str">
        <f>IF($A84="","",[2]!B_CALC_PRICE($A84,$V$1,IF(情景分析!$D$6=1,$J84,IF(情景分析!$D$6=2,$E84,IF(情景分析!$D$6=4,IF($C84="银行间",$J84,$L84),$G84)))+AB$2/100,情景分析!$D$7,"",,,,"",)*IF($H84="",1,$H84))</f>
        <v/>
      </c>
      <c r="AC84" s="7" t="str">
        <f>IF($A84="","",[2]!B_CALC_PRICE($A84,$AC$1,IF(情景分析!$D$6=1,$J84,IF(情景分析!$D$6=2,$E84,IF(情景分析!$D$6=4,IF($C84="银行间",$J84,$L84),$G84)))+AC$2/100,情景分析!$D$7,"",,,,"",)*IF($H84="",1,$H84))</f>
        <v/>
      </c>
      <c r="AD84" s="7" t="str">
        <f>IF($A84="","",[2]!B_CALC_PRICE($A84,$AC$1,IF(情景分析!$D$6=1,$J84,IF(情景分析!$D$6=2,$E84,IF(情景分析!$D$6=4,IF($C84="银行间",$J84,$L84),$G84)))+AD$2/100,情景分析!$D$7,"",,,,"",)*IF($H84="",1,$H84))</f>
        <v/>
      </c>
      <c r="AE84" s="7" t="str">
        <f>IF($A84="","",[2]!B_CALC_PRICE($A84,$AC$1,IF(情景分析!$D$6=1,$J84,IF(情景分析!$D$6=2,$E84,IF(情景分析!$D$6=4,IF($C84="银行间",$J84,$L84),$G84)))+AE$2/100,情景分析!$D$7,"",,,,"",)*IF($H84="",1,$H84))</f>
        <v/>
      </c>
      <c r="AF84" s="7" t="str">
        <f>IF($A84="","",[2]!B_CALC_PRICE($A84,$AC$1,IF(情景分析!$D$6=1,$J84,IF(情景分析!$D$6=2,$E84,IF(情景分析!$D$6=4,IF($C84="银行间",$J84,$L84),$G84)))+AF$2/100,情景分析!$D$7,"",,,,"",)*IF($H84="",1,$H84))</f>
        <v/>
      </c>
      <c r="AG84" s="7" t="str">
        <f>IF($A84="","",[2]!B_CALC_PRICE($A84,$AC$1,IF(情景分析!$D$6=1,$J84,IF(情景分析!$D$6=2,$E84,IF(情景分析!$D$6=4,IF($C84="银行间",$J84,$L84),$G84)))+AG$2/100,情景分析!$D$7,"",,,,"",)*IF($H84="",1,$H84))</f>
        <v/>
      </c>
      <c r="AH84" s="7" t="str">
        <f>IF($A84="","",[2]!B_CALC_PRICE($A84,$AC$1,IF(情景分析!$D$6=1,$J84,IF(情景分析!$D$6=2,$E84,IF(情景分析!$D$6=4,IF($C84="银行间",$J84,$L84),$G84)))+AH$2/100,情景分析!$D$7,"",,,,"",)*IF($H84="",1,$H84))</f>
        <v/>
      </c>
      <c r="AI84" s="7" t="str">
        <f>IF($A84="","",[2]!B_CALC_PRICE($A84,$AC$1,IF(情景分析!$D$6=1,$J84,IF(情景分析!$D$6=2,$E84,IF(情景分析!$D$6=4,IF($C84="银行间",$J84,$L84),$G84)))+AI$2/100,情景分析!$D$7,"",,,,"",)*IF($H84="",1,$H84))</f>
        <v/>
      </c>
      <c r="AJ84" s="7" t="str">
        <f>IF($A84="","",[2]!B_CALC_PRICE($A84,$AJ$1,IF(情景分析!$D$6=1,$J84,IF(情景分析!$D$6=2,$E84,IF(情景分析!$D$6=4,IF($C84="银行间",$J84,$L84),$G84)))+AJ$2/100,情景分析!$D$7,"",,,,"",)*IF($H84="",1,$H84))</f>
        <v/>
      </c>
      <c r="AK84" s="7" t="str">
        <f>IF($A84="","",[2]!B_CALC_PRICE($A84,$AJ$1,IF(情景分析!$D$6=1,$J84,IF(情景分析!$D$6=2,$E84,IF(情景分析!$D$6=4,IF($C84="银行间",$J84,$L84),$G84)))+AK$2/100,情景分析!$D$7,"",,,,"",)*IF($H84="",1,$H84))</f>
        <v/>
      </c>
      <c r="AL84" s="7" t="str">
        <f>IF($A84="","",[2]!B_CALC_PRICE($A84,$AJ$1,IF(情景分析!$D$6=1,$J84,IF(情景分析!$D$6=2,$E84,IF(情景分析!$D$6=4,IF($C84="银行间",$J84,$L84),$G84)))+AL$2/100,情景分析!$D$7,"",,,,"",)*IF($H84="",1,$H84))</f>
        <v/>
      </c>
      <c r="AM84" s="7" t="str">
        <f>IF($A84="","",[2]!B_CALC_PRICE($A84,$AJ$1,IF(情景分析!$D$6=1,$J84,IF(情景分析!$D$6=2,$E84,IF(情景分析!$D$6=4,IF($C84="银行间",$J84,$L84),$G84)))+AM$2/100,情景分析!$D$7,"",,,,"",)*IF($H84="",1,$H84))</f>
        <v/>
      </c>
      <c r="AN84" s="7" t="str">
        <f>IF($A84="","",[2]!B_CALC_PRICE($A84,$AJ$1,IF(情景分析!$D$6=1,$J84,IF(情景分析!$D$6=2,$E84,IF(情景分析!$D$6=4,IF($C84="银行间",$J84,$L84),$G84)))+AN$2/100,情景分析!$D$7,"",,,,"",)*IF($H84="",1,$H84))</f>
        <v/>
      </c>
      <c r="AO84" s="7" t="str">
        <f>IF($A84="","",[2]!B_CALC_PRICE($A84,$AJ$1,IF(情景分析!$D$6=1,$J84,IF(情景分析!$D$6=2,$E84,IF(情景分析!$D$6=4,IF($C84="银行间",$J84,$L84),$G84)))+AO$2/100,情景分析!$D$7,"",,,,"",)*IF($H84="",1,$H84))</f>
        <v/>
      </c>
      <c r="AP84" s="7" t="str">
        <f>IF($A84="","",[2]!B_CALC_PRICE($A84,$AJ$1,IF(情景分析!$D$6=1,$J84,IF(情景分析!$D$6=2,$E84,IF(情景分析!$D$6=4,IF($C84="银行间",$J84,$L84),$G84)))+AP$2/100,情景分析!$D$7,"",,,,"",)*IF($H84="",1,$H84))</f>
        <v/>
      </c>
      <c r="AQ84" s="7" t="str">
        <f>IF($A84="","",[2]!B_CALC_PRICE($A84,$AQ$1,IF(情景分析!$D$6=1,$J84,IF(情景分析!$D$6=2,$E84,IF(情景分析!$D$6=4,IF($C84="银行间",$J84,$L84),$G84)))+AQ$2/100,情景分析!$D$7,"",,,,"",)*IF($H84="",1,$H84))</f>
        <v/>
      </c>
      <c r="AR84" s="7" t="str">
        <f>IF($A84="","",[2]!B_CALC_PRICE($A84,$AQ$1,IF(情景分析!$D$6=1,$J84,IF(情景分析!$D$6=2,$E84,IF(情景分析!$D$6=4,IF($C84="银行间",$J84,$L84),$G84)))+AR$2/100,情景分析!$D$7,"",,,,"",)*IF($H84="",1,$H84))</f>
        <v/>
      </c>
      <c r="AS84" s="7" t="str">
        <f>IF($A84="","",[2]!B_CALC_PRICE($A84,$AQ$1,IF(情景分析!$D$6=1,$J84,IF(情景分析!$D$6=2,$E84,IF(情景分析!$D$6=4,IF($C84="银行间",$J84,$L84),$G84)))+AS$2/100,情景分析!$D$7,"",,,,"",)*IF($H84="",1,$H84))</f>
        <v/>
      </c>
      <c r="AT84" s="7" t="str">
        <f>IF($A84="","",[2]!B_CALC_PRICE($A84,$AQ$1,IF(情景分析!$D$6=1,$J84,IF(情景分析!$D$6=2,$E84,IF(情景分析!$D$6=4,IF($C84="银行间",$J84,$L84),$G84)))+AT$2/100,情景分析!$D$7,"",,,,"",)*IF($H84="",1,$H84))</f>
        <v/>
      </c>
      <c r="AU84" s="7" t="str">
        <f>IF($A84="","",[2]!B_CALC_PRICE($A84,$AQ$1,IF(情景分析!$D$6=1,$J84,IF(情景分析!$D$6=2,$E84,IF(情景分析!$D$6=4,IF($C84="银行间",$J84,$L84),$G84)))+AU$2/100,情景分析!$D$7,"",,,,"",)*IF($H84="",1,$H84))</f>
        <v/>
      </c>
      <c r="AV84" s="7" t="str">
        <f>IF($A84="","",[2]!B_CALC_PRICE($A84,$AQ$1,IF(情景分析!$D$6=1,$J84,IF(情景分析!$D$6=2,$E84,IF(情景分析!$D$6=4,IF($C84="银行间",$J84,$L84),$G84)))+AV$2/100,情景分析!$D$7,"",,,,"",)*IF($H84="",1,$H84))</f>
        <v/>
      </c>
      <c r="AW84" s="7" t="str">
        <f>IF($A84="","",[2]!B_CALC_PRICE($A84,$AQ$1,IF(情景分析!$D$6=1,$J84,IF(情景分析!$D$6=2,$E84,IF(情景分析!$D$6=4,IF($C84="银行间",$J84,$L84),$G84)))+AW$2/100,情景分析!$D$7,"",,,,"",)*IF($H84="",1,$H84))</f>
        <v/>
      </c>
    </row>
    <row r="85" spans="1:49" x14ac:dyDescent="0.15">
      <c r="A85" s="20"/>
      <c r="B85" s="7" t="str">
        <f>IF(A85="","",[2]!b_info_name(A85))</f>
        <v/>
      </c>
      <c r="C85" s="7" t="str">
        <f>[2]!b_info_listedmkt(A85)</f>
        <v>#N/A</v>
      </c>
      <c r="D85" s="7" t="str">
        <f>IFERROR(IF(A85="","", [2]!b_dq_avgprice(A85, 情景分析!$D$5, 情景分析!$D$7) * IF($H85="",1,$H85)),0)</f>
        <v/>
      </c>
      <c r="E85" s="7" t="str">
        <f>IF(A85="","", N([2]!b_dq_avgprice(A85,情景分析!$D$5,3)))</f>
        <v/>
      </c>
      <c r="F85" s="29" t="str">
        <f>IF($G85 = "",
"",
IFERROR(
[2]!b_calc_pv(A85, 情景分析!$D$5,$G85, "1", 情景分析!$D$7),
[2]!b_calc_pv(A85, 情景分析!$D$5,$G85, "2", 情景分析!$D$7)
)
)</f>
        <v/>
      </c>
      <c r="G85" s="22"/>
      <c r="H85" s="21"/>
      <c r="I85" s="7" t="str">
        <f>IF(A85="","",IF(情景分析!$D$7=1,[2]!b_anal_net_cnbd(A85,情景分析!$D$5,1),[2]!b_anal_dirty_cnbd(A85,情景分析!$D$5,1))*IF($H85="",1,$H85))</f>
        <v/>
      </c>
      <c r="J85" s="7" t="str">
        <f>IF(A85="","",[2]!b_anal_yield_cnbd(A85,情景分析!$D$5,1))</f>
        <v/>
      </c>
      <c r="K85" s="29" t="str">
        <f>IF(A85="","",IF(情景分析!$D$7=1,[2]!b_anal_net_csi1(A85,情景分析!$D$5,1),[2]!b_anal_dirty_csi1(A85,情景分析!$D$5,1))*IF($H85="",1,$H85))</f>
        <v/>
      </c>
      <c r="L85" s="29" t="str">
        <f>IF(A85="","",[2]!b_anal_yield_csi1(A85,情景分析!$D$5,1))</f>
        <v/>
      </c>
      <c r="M85" s="29" t="str">
        <f t="shared" si="6"/>
        <v/>
      </c>
      <c r="N85" s="29" t="str">
        <f t="shared" si="7"/>
        <v/>
      </c>
      <c r="O85" s="7" t="str">
        <f>IF($A85="","",[2]!B_CALC_PRICE($A85,$O$1,IF(情景分析!$D$6=1,$J85,IF(情景分析!$D$6=2,$E85,IF(情景分析!$D$6=4,IF($C85="银行间",$J85,$L85),$G85)))+O$2/100,情景分析!$D$7,"",,,,"",)*IF($H85="",1,$H85))</f>
        <v/>
      </c>
      <c r="P85" s="7" t="str">
        <f>IF($A85="","",[2]!B_CALC_PRICE($A85,$O$1,IF(情景分析!$D$6=1,$J85,IF(情景分析!$D$6=2,$E85,IF(情景分析!$D$6=4,IF($C85="银行间",$J85,$L85),$G85)))+P$2/100,情景分析!$D$7,"",,,,"",)*IF($H85="",1,$H85))</f>
        <v/>
      </c>
      <c r="Q85" s="7" t="str">
        <f>IF($A85="","",[2]!B_CALC_PRICE($A85,$O$1,IF(情景分析!$D$6=1,$J85,IF(情景分析!$D$6=2,$E85,IF(情景分析!$D$6=4,IF($C85="银行间",$J85,$L85),$G85)))+Q$2/100,情景分析!$D$7,"",,,,"",)*IF($H85="",1,$H85))</f>
        <v/>
      </c>
      <c r="R85" s="7" t="str">
        <f>IF($A85="","",[2]!B_CALC_PRICE($A85,$O$1,IF(情景分析!$D$6=1,$J85,IF(情景分析!$D$6=2,$E85,IF(情景分析!$D$6=4,IF($C85="银行间",$J85,$L85),$G85)))+R$2/100,情景分析!$D$7,"",,,,"",)*IF($H85="",1,$H85))</f>
        <v/>
      </c>
      <c r="S85" s="7" t="str">
        <f>IF($A85="","",[2]!B_CALC_PRICE($A85,$O$1,IF(情景分析!$D$6=1,$J85,IF(情景分析!$D$6=2,$E85,IF(情景分析!$D$6=4,IF($C85="银行间",$J85,$L85),$G85)))+S$2/100,情景分析!$D$7,"",,,,"",)*IF($H85="",1,$H85))</f>
        <v/>
      </c>
      <c r="T85" s="7" t="str">
        <f>IF($A85="","",[2]!B_CALC_PRICE($A85,$O$1,IF(情景分析!$D$6=1,$J85,IF(情景分析!$D$6=2,$E85,IF(情景分析!$D$6=4,IF($C85="银行间",$J85,$L85),$G85)))+T$2/100,情景分析!$D$7,"",,,,"",)*IF($H85="",1,$H85))</f>
        <v/>
      </c>
      <c r="U85" s="7" t="str">
        <f>IF($A85="","",[2]!B_CALC_PRICE($A85,$O$1,IF(情景分析!$D$6=1,$J85,IF(情景分析!$D$6=2,$E85,IF(情景分析!$D$6=4,IF($C85="银行间",$J85,$L85),$G85)))+U$2/100,情景分析!$D$7,"",,,,"",)*IF($H85="",1,$H85))</f>
        <v/>
      </c>
      <c r="V85" s="7" t="str">
        <f>IF($A85="","",[2]!B_CALC_PRICE($A85,$V$1,IF(情景分析!$D$6=1,$J85,IF(情景分析!$D$6=2,$E85,IF(情景分析!$D$6=4,IF($C85="银行间",$J85,$L85),$G85)))+V$2/100,情景分析!$D$7,"",,,,"",)*IF($H85="",1,$H85))</f>
        <v/>
      </c>
      <c r="W85" s="7" t="str">
        <f>IF($A85="","",[2]!B_CALC_PRICE($A85,$V$1,IF(情景分析!$D$6=1,$J85,IF(情景分析!$D$6=2,$E85,IF(情景分析!$D$6=4,IF($C85="银行间",$J85,$L85),$G85)))+W$2/100,情景分析!$D$7,"",,,,"",)*IF($H85="",1,$H85))</f>
        <v/>
      </c>
      <c r="X85" s="7" t="str">
        <f>IF($A85="","",[2]!B_CALC_PRICE($A85,$V$1,IF(情景分析!$D$6=1,$J85,IF(情景分析!$D$6=2,$E85,IF(情景分析!$D$6=4,IF($C85="银行间",$J85,$L85),$G85)))+X$2/100,情景分析!$D$7,"",,,,"",)*IF($H85="",1,$H85))</f>
        <v/>
      </c>
      <c r="Y85" s="7" t="str">
        <f>IF($A85="","",[2]!B_CALC_PRICE($A85,$V$1,IF(情景分析!$D$6=1,$J85,IF(情景分析!$D$6=2,$E85,IF(情景分析!$D$6=4,IF($C85="银行间",$J85,$L85),$G85)))+Y$2/100,情景分析!$D$7,"",,,,"",)*IF($H85="",1,$H85))</f>
        <v/>
      </c>
      <c r="Z85" s="7" t="str">
        <f>IF($A85="","",[2]!B_CALC_PRICE($A85,$V$1,IF(情景分析!$D$6=1,$J85,IF(情景分析!$D$6=2,$E85,IF(情景分析!$D$6=4,IF($C85="银行间",$J85,$L85),$G85)))+Z$2/100,情景分析!$D$7,"",,,,"",)*IF($H85="",1,$H85))</f>
        <v/>
      </c>
      <c r="AA85" s="7" t="str">
        <f>IF($A85="","",[2]!B_CALC_PRICE($A85,$V$1,IF(情景分析!$D$6=1,$J85,IF(情景分析!$D$6=2,$E85,IF(情景分析!$D$6=4,IF($C85="银行间",$J85,$L85),$G85)))+AA$2/100,情景分析!$D$7,"",,,,"",)*IF($H85="",1,$H85))</f>
        <v/>
      </c>
      <c r="AB85" s="7" t="str">
        <f>IF($A85="","",[2]!B_CALC_PRICE($A85,$V$1,IF(情景分析!$D$6=1,$J85,IF(情景分析!$D$6=2,$E85,IF(情景分析!$D$6=4,IF($C85="银行间",$J85,$L85),$G85)))+AB$2/100,情景分析!$D$7,"",,,,"",)*IF($H85="",1,$H85))</f>
        <v/>
      </c>
      <c r="AC85" s="7" t="str">
        <f>IF($A85="","",[2]!B_CALC_PRICE($A85,$AC$1,IF(情景分析!$D$6=1,$J85,IF(情景分析!$D$6=2,$E85,IF(情景分析!$D$6=4,IF($C85="银行间",$J85,$L85),$G85)))+AC$2/100,情景分析!$D$7,"",,,,"",)*IF($H85="",1,$H85))</f>
        <v/>
      </c>
      <c r="AD85" s="7" t="str">
        <f>IF($A85="","",[2]!B_CALC_PRICE($A85,$AC$1,IF(情景分析!$D$6=1,$J85,IF(情景分析!$D$6=2,$E85,IF(情景分析!$D$6=4,IF($C85="银行间",$J85,$L85),$G85)))+AD$2/100,情景分析!$D$7,"",,,,"",)*IF($H85="",1,$H85))</f>
        <v/>
      </c>
      <c r="AE85" s="7" t="str">
        <f>IF($A85="","",[2]!B_CALC_PRICE($A85,$AC$1,IF(情景分析!$D$6=1,$J85,IF(情景分析!$D$6=2,$E85,IF(情景分析!$D$6=4,IF($C85="银行间",$J85,$L85),$G85)))+AE$2/100,情景分析!$D$7,"",,,,"",)*IF($H85="",1,$H85))</f>
        <v/>
      </c>
      <c r="AF85" s="7" t="str">
        <f>IF($A85="","",[2]!B_CALC_PRICE($A85,$AC$1,IF(情景分析!$D$6=1,$J85,IF(情景分析!$D$6=2,$E85,IF(情景分析!$D$6=4,IF($C85="银行间",$J85,$L85),$G85)))+AF$2/100,情景分析!$D$7,"",,,,"",)*IF($H85="",1,$H85))</f>
        <v/>
      </c>
      <c r="AG85" s="7" t="str">
        <f>IF($A85="","",[2]!B_CALC_PRICE($A85,$AC$1,IF(情景分析!$D$6=1,$J85,IF(情景分析!$D$6=2,$E85,IF(情景分析!$D$6=4,IF($C85="银行间",$J85,$L85),$G85)))+AG$2/100,情景分析!$D$7,"",,,,"",)*IF($H85="",1,$H85))</f>
        <v/>
      </c>
      <c r="AH85" s="7" t="str">
        <f>IF($A85="","",[2]!B_CALC_PRICE($A85,$AC$1,IF(情景分析!$D$6=1,$J85,IF(情景分析!$D$6=2,$E85,IF(情景分析!$D$6=4,IF($C85="银行间",$J85,$L85),$G85)))+AH$2/100,情景分析!$D$7,"",,,,"",)*IF($H85="",1,$H85))</f>
        <v/>
      </c>
      <c r="AI85" s="7" t="str">
        <f>IF($A85="","",[2]!B_CALC_PRICE($A85,$AC$1,IF(情景分析!$D$6=1,$J85,IF(情景分析!$D$6=2,$E85,IF(情景分析!$D$6=4,IF($C85="银行间",$J85,$L85),$G85)))+AI$2/100,情景分析!$D$7,"",,,,"",)*IF($H85="",1,$H85))</f>
        <v/>
      </c>
      <c r="AJ85" s="7" t="str">
        <f>IF($A85="","",[2]!B_CALC_PRICE($A85,$AJ$1,IF(情景分析!$D$6=1,$J85,IF(情景分析!$D$6=2,$E85,IF(情景分析!$D$6=4,IF($C85="银行间",$J85,$L85),$G85)))+AJ$2/100,情景分析!$D$7,"",,,,"",)*IF($H85="",1,$H85))</f>
        <v/>
      </c>
      <c r="AK85" s="7" t="str">
        <f>IF($A85="","",[2]!B_CALC_PRICE($A85,$AJ$1,IF(情景分析!$D$6=1,$J85,IF(情景分析!$D$6=2,$E85,IF(情景分析!$D$6=4,IF($C85="银行间",$J85,$L85),$G85)))+AK$2/100,情景分析!$D$7,"",,,,"",)*IF($H85="",1,$H85))</f>
        <v/>
      </c>
      <c r="AL85" s="7" t="str">
        <f>IF($A85="","",[2]!B_CALC_PRICE($A85,$AJ$1,IF(情景分析!$D$6=1,$J85,IF(情景分析!$D$6=2,$E85,IF(情景分析!$D$6=4,IF($C85="银行间",$J85,$L85),$G85)))+AL$2/100,情景分析!$D$7,"",,,,"",)*IF($H85="",1,$H85))</f>
        <v/>
      </c>
      <c r="AM85" s="7" t="str">
        <f>IF($A85="","",[2]!B_CALC_PRICE($A85,$AJ$1,IF(情景分析!$D$6=1,$J85,IF(情景分析!$D$6=2,$E85,IF(情景分析!$D$6=4,IF($C85="银行间",$J85,$L85),$G85)))+AM$2/100,情景分析!$D$7,"",,,,"",)*IF($H85="",1,$H85))</f>
        <v/>
      </c>
      <c r="AN85" s="7" t="str">
        <f>IF($A85="","",[2]!B_CALC_PRICE($A85,$AJ$1,IF(情景分析!$D$6=1,$J85,IF(情景分析!$D$6=2,$E85,IF(情景分析!$D$6=4,IF($C85="银行间",$J85,$L85),$G85)))+AN$2/100,情景分析!$D$7,"",,,,"",)*IF($H85="",1,$H85))</f>
        <v/>
      </c>
      <c r="AO85" s="7" t="str">
        <f>IF($A85="","",[2]!B_CALC_PRICE($A85,$AJ$1,IF(情景分析!$D$6=1,$J85,IF(情景分析!$D$6=2,$E85,IF(情景分析!$D$6=4,IF($C85="银行间",$J85,$L85),$G85)))+AO$2/100,情景分析!$D$7,"",,,,"",)*IF($H85="",1,$H85))</f>
        <v/>
      </c>
      <c r="AP85" s="7" t="str">
        <f>IF($A85="","",[2]!B_CALC_PRICE($A85,$AJ$1,IF(情景分析!$D$6=1,$J85,IF(情景分析!$D$6=2,$E85,IF(情景分析!$D$6=4,IF($C85="银行间",$J85,$L85),$G85)))+AP$2/100,情景分析!$D$7,"",,,,"",)*IF($H85="",1,$H85))</f>
        <v/>
      </c>
      <c r="AQ85" s="7" t="str">
        <f>IF($A85="","",[2]!B_CALC_PRICE($A85,$AQ$1,IF(情景分析!$D$6=1,$J85,IF(情景分析!$D$6=2,$E85,IF(情景分析!$D$6=4,IF($C85="银行间",$J85,$L85),$G85)))+AQ$2/100,情景分析!$D$7,"",,,,"",)*IF($H85="",1,$H85))</f>
        <v/>
      </c>
      <c r="AR85" s="7" t="str">
        <f>IF($A85="","",[2]!B_CALC_PRICE($A85,$AQ$1,IF(情景分析!$D$6=1,$J85,IF(情景分析!$D$6=2,$E85,IF(情景分析!$D$6=4,IF($C85="银行间",$J85,$L85),$G85)))+AR$2/100,情景分析!$D$7,"",,,,"",)*IF($H85="",1,$H85))</f>
        <v/>
      </c>
      <c r="AS85" s="7" t="str">
        <f>IF($A85="","",[2]!B_CALC_PRICE($A85,$AQ$1,IF(情景分析!$D$6=1,$J85,IF(情景分析!$D$6=2,$E85,IF(情景分析!$D$6=4,IF($C85="银行间",$J85,$L85),$G85)))+AS$2/100,情景分析!$D$7,"",,,,"",)*IF($H85="",1,$H85))</f>
        <v/>
      </c>
      <c r="AT85" s="7" t="str">
        <f>IF($A85="","",[2]!B_CALC_PRICE($A85,$AQ$1,IF(情景分析!$D$6=1,$J85,IF(情景分析!$D$6=2,$E85,IF(情景分析!$D$6=4,IF($C85="银行间",$J85,$L85),$G85)))+AT$2/100,情景分析!$D$7,"",,,,"",)*IF($H85="",1,$H85))</f>
        <v/>
      </c>
      <c r="AU85" s="7" t="str">
        <f>IF($A85="","",[2]!B_CALC_PRICE($A85,$AQ$1,IF(情景分析!$D$6=1,$J85,IF(情景分析!$D$6=2,$E85,IF(情景分析!$D$6=4,IF($C85="银行间",$J85,$L85),$G85)))+AU$2/100,情景分析!$D$7,"",,,,"",)*IF($H85="",1,$H85))</f>
        <v/>
      </c>
      <c r="AV85" s="7" t="str">
        <f>IF($A85="","",[2]!B_CALC_PRICE($A85,$AQ$1,IF(情景分析!$D$6=1,$J85,IF(情景分析!$D$6=2,$E85,IF(情景分析!$D$6=4,IF($C85="银行间",$J85,$L85),$G85)))+AV$2/100,情景分析!$D$7,"",,,,"",)*IF($H85="",1,$H85))</f>
        <v/>
      </c>
      <c r="AW85" s="7" t="str">
        <f>IF($A85="","",[2]!B_CALC_PRICE($A85,$AQ$1,IF(情景分析!$D$6=1,$J85,IF(情景分析!$D$6=2,$E85,IF(情景分析!$D$6=4,IF($C85="银行间",$J85,$L85),$G85)))+AW$2/100,情景分析!$D$7,"",,,,"",)*IF($H85="",1,$H85))</f>
        <v/>
      </c>
    </row>
    <row r="86" spans="1:49" x14ac:dyDescent="0.15">
      <c r="A86" s="20"/>
      <c r="B86" s="7" t="str">
        <f>IF(A86="","",[2]!b_info_name(A86))</f>
        <v/>
      </c>
      <c r="C86" s="7" t="str">
        <f>[2]!b_info_listedmkt(A86)</f>
        <v>#N/A</v>
      </c>
      <c r="D86" s="7" t="str">
        <f>IFERROR(IF(A86="","", [2]!b_dq_avgprice(A86, 情景分析!$D$5, 情景分析!$D$7) * IF($H86="",1,$H86)),0)</f>
        <v/>
      </c>
      <c r="E86" s="7" t="str">
        <f>IF(A86="","", N([2]!b_dq_avgprice(A86,情景分析!$D$5,3)))</f>
        <v/>
      </c>
      <c r="F86" s="29" t="str">
        <f>IF($G86 = "",
"",
IFERROR(
[2]!b_calc_pv(A86, 情景分析!$D$5,$G86, "1", 情景分析!$D$7),
[2]!b_calc_pv(A86, 情景分析!$D$5,$G86, "2", 情景分析!$D$7)
)
)</f>
        <v/>
      </c>
      <c r="G86" s="22"/>
      <c r="H86" s="21"/>
      <c r="I86" s="7" t="str">
        <f>IF(A86="","",IF(情景分析!$D$7=1,[2]!b_anal_net_cnbd(A86,情景分析!$D$5,1),[2]!b_anal_dirty_cnbd(A86,情景分析!$D$5,1))*IF($H86="",1,$H86))</f>
        <v/>
      </c>
      <c r="J86" s="7" t="str">
        <f>IF(A86="","",[2]!b_anal_yield_cnbd(A86,情景分析!$D$5,1))</f>
        <v/>
      </c>
      <c r="K86" s="29" t="str">
        <f>IF(A86="","",IF(情景分析!$D$7=1,[2]!b_anal_net_csi1(A86,情景分析!$D$5,1),[2]!b_anal_dirty_csi1(A86,情景分析!$D$5,1))*IF($H86="",1,$H86))</f>
        <v/>
      </c>
      <c r="L86" s="29" t="str">
        <f>IF(A86="","",[2]!b_anal_yield_csi1(A86,情景分析!$D$5,1))</f>
        <v/>
      </c>
      <c r="M86" s="29" t="str">
        <f t="shared" si="6"/>
        <v/>
      </c>
      <c r="N86" s="29" t="str">
        <f t="shared" si="7"/>
        <v/>
      </c>
      <c r="O86" s="7" t="str">
        <f>IF($A86="","",[2]!B_CALC_PRICE($A86,$O$1,IF(情景分析!$D$6=1,$J86,IF(情景分析!$D$6=2,$E86,IF(情景分析!$D$6=4,IF($C86="银行间",$J86,$L86),$G86)))+O$2/100,情景分析!$D$7,"",,,,"",)*IF($H86="",1,$H86))</f>
        <v/>
      </c>
      <c r="P86" s="7" t="str">
        <f>IF($A86="","",[2]!B_CALC_PRICE($A86,$O$1,IF(情景分析!$D$6=1,$J86,IF(情景分析!$D$6=2,$E86,IF(情景分析!$D$6=4,IF($C86="银行间",$J86,$L86),$G86)))+P$2/100,情景分析!$D$7,"",,,,"",)*IF($H86="",1,$H86))</f>
        <v/>
      </c>
      <c r="Q86" s="7" t="str">
        <f>IF($A86="","",[2]!B_CALC_PRICE($A86,$O$1,IF(情景分析!$D$6=1,$J86,IF(情景分析!$D$6=2,$E86,IF(情景分析!$D$6=4,IF($C86="银行间",$J86,$L86),$G86)))+Q$2/100,情景分析!$D$7,"",,,,"",)*IF($H86="",1,$H86))</f>
        <v/>
      </c>
      <c r="R86" s="7" t="str">
        <f>IF($A86="","",[2]!B_CALC_PRICE($A86,$O$1,IF(情景分析!$D$6=1,$J86,IF(情景分析!$D$6=2,$E86,IF(情景分析!$D$6=4,IF($C86="银行间",$J86,$L86),$G86)))+R$2/100,情景分析!$D$7,"",,,,"",)*IF($H86="",1,$H86))</f>
        <v/>
      </c>
      <c r="S86" s="7" t="str">
        <f>IF($A86="","",[2]!B_CALC_PRICE($A86,$O$1,IF(情景分析!$D$6=1,$J86,IF(情景分析!$D$6=2,$E86,IF(情景分析!$D$6=4,IF($C86="银行间",$J86,$L86),$G86)))+S$2/100,情景分析!$D$7,"",,,,"",)*IF($H86="",1,$H86))</f>
        <v/>
      </c>
      <c r="T86" s="7" t="str">
        <f>IF($A86="","",[2]!B_CALC_PRICE($A86,$O$1,IF(情景分析!$D$6=1,$J86,IF(情景分析!$D$6=2,$E86,IF(情景分析!$D$6=4,IF($C86="银行间",$J86,$L86),$G86)))+T$2/100,情景分析!$D$7,"",,,,"",)*IF($H86="",1,$H86))</f>
        <v/>
      </c>
      <c r="U86" s="7" t="str">
        <f>IF($A86="","",[2]!B_CALC_PRICE($A86,$O$1,IF(情景分析!$D$6=1,$J86,IF(情景分析!$D$6=2,$E86,IF(情景分析!$D$6=4,IF($C86="银行间",$J86,$L86),$G86)))+U$2/100,情景分析!$D$7,"",,,,"",)*IF($H86="",1,$H86))</f>
        <v/>
      </c>
      <c r="V86" s="7" t="str">
        <f>IF($A86="","",[2]!B_CALC_PRICE($A86,$V$1,IF(情景分析!$D$6=1,$J86,IF(情景分析!$D$6=2,$E86,IF(情景分析!$D$6=4,IF($C86="银行间",$J86,$L86),$G86)))+V$2/100,情景分析!$D$7,"",,,,"",)*IF($H86="",1,$H86))</f>
        <v/>
      </c>
      <c r="W86" s="7" t="str">
        <f>IF($A86="","",[2]!B_CALC_PRICE($A86,$V$1,IF(情景分析!$D$6=1,$J86,IF(情景分析!$D$6=2,$E86,IF(情景分析!$D$6=4,IF($C86="银行间",$J86,$L86),$G86)))+W$2/100,情景分析!$D$7,"",,,,"",)*IF($H86="",1,$H86))</f>
        <v/>
      </c>
      <c r="X86" s="7" t="str">
        <f>IF($A86="","",[2]!B_CALC_PRICE($A86,$V$1,IF(情景分析!$D$6=1,$J86,IF(情景分析!$D$6=2,$E86,IF(情景分析!$D$6=4,IF($C86="银行间",$J86,$L86),$G86)))+X$2/100,情景分析!$D$7,"",,,,"",)*IF($H86="",1,$H86))</f>
        <v/>
      </c>
      <c r="Y86" s="7" t="str">
        <f>IF($A86="","",[2]!B_CALC_PRICE($A86,$V$1,IF(情景分析!$D$6=1,$J86,IF(情景分析!$D$6=2,$E86,IF(情景分析!$D$6=4,IF($C86="银行间",$J86,$L86),$G86)))+Y$2/100,情景分析!$D$7,"",,,,"",)*IF($H86="",1,$H86))</f>
        <v/>
      </c>
      <c r="Z86" s="7" t="str">
        <f>IF($A86="","",[2]!B_CALC_PRICE($A86,$V$1,IF(情景分析!$D$6=1,$J86,IF(情景分析!$D$6=2,$E86,IF(情景分析!$D$6=4,IF($C86="银行间",$J86,$L86),$G86)))+Z$2/100,情景分析!$D$7,"",,,,"",)*IF($H86="",1,$H86))</f>
        <v/>
      </c>
      <c r="AA86" s="7" t="str">
        <f>IF($A86="","",[2]!B_CALC_PRICE($A86,$V$1,IF(情景分析!$D$6=1,$J86,IF(情景分析!$D$6=2,$E86,IF(情景分析!$D$6=4,IF($C86="银行间",$J86,$L86),$G86)))+AA$2/100,情景分析!$D$7,"",,,,"",)*IF($H86="",1,$H86))</f>
        <v/>
      </c>
      <c r="AB86" s="7" t="str">
        <f>IF($A86="","",[2]!B_CALC_PRICE($A86,$V$1,IF(情景分析!$D$6=1,$J86,IF(情景分析!$D$6=2,$E86,IF(情景分析!$D$6=4,IF($C86="银行间",$J86,$L86),$G86)))+AB$2/100,情景分析!$D$7,"",,,,"",)*IF($H86="",1,$H86))</f>
        <v/>
      </c>
      <c r="AC86" s="7" t="str">
        <f>IF($A86="","",[2]!B_CALC_PRICE($A86,$AC$1,IF(情景分析!$D$6=1,$J86,IF(情景分析!$D$6=2,$E86,IF(情景分析!$D$6=4,IF($C86="银行间",$J86,$L86),$G86)))+AC$2/100,情景分析!$D$7,"",,,,"",)*IF($H86="",1,$H86))</f>
        <v/>
      </c>
      <c r="AD86" s="7" t="str">
        <f>IF($A86="","",[2]!B_CALC_PRICE($A86,$AC$1,IF(情景分析!$D$6=1,$J86,IF(情景分析!$D$6=2,$E86,IF(情景分析!$D$6=4,IF($C86="银行间",$J86,$L86),$G86)))+AD$2/100,情景分析!$D$7,"",,,,"",)*IF($H86="",1,$H86))</f>
        <v/>
      </c>
      <c r="AE86" s="7" t="str">
        <f>IF($A86="","",[2]!B_CALC_PRICE($A86,$AC$1,IF(情景分析!$D$6=1,$J86,IF(情景分析!$D$6=2,$E86,IF(情景分析!$D$6=4,IF($C86="银行间",$J86,$L86),$G86)))+AE$2/100,情景分析!$D$7,"",,,,"",)*IF($H86="",1,$H86))</f>
        <v/>
      </c>
      <c r="AF86" s="7" t="str">
        <f>IF($A86="","",[2]!B_CALC_PRICE($A86,$AC$1,IF(情景分析!$D$6=1,$J86,IF(情景分析!$D$6=2,$E86,IF(情景分析!$D$6=4,IF($C86="银行间",$J86,$L86),$G86)))+AF$2/100,情景分析!$D$7,"",,,,"",)*IF($H86="",1,$H86))</f>
        <v/>
      </c>
      <c r="AG86" s="7" t="str">
        <f>IF($A86="","",[2]!B_CALC_PRICE($A86,$AC$1,IF(情景分析!$D$6=1,$J86,IF(情景分析!$D$6=2,$E86,IF(情景分析!$D$6=4,IF($C86="银行间",$J86,$L86),$G86)))+AG$2/100,情景分析!$D$7,"",,,,"",)*IF($H86="",1,$H86))</f>
        <v/>
      </c>
      <c r="AH86" s="7" t="str">
        <f>IF($A86="","",[2]!B_CALC_PRICE($A86,$AC$1,IF(情景分析!$D$6=1,$J86,IF(情景分析!$D$6=2,$E86,IF(情景分析!$D$6=4,IF($C86="银行间",$J86,$L86),$G86)))+AH$2/100,情景分析!$D$7,"",,,,"",)*IF($H86="",1,$H86))</f>
        <v/>
      </c>
      <c r="AI86" s="7" t="str">
        <f>IF($A86="","",[2]!B_CALC_PRICE($A86,$AC$1,IF(情景分析!$D$6=1,$J86,IF(情景分析!$D$6=2,$E86,IF(情景分析!$D$6=4,IF($C86="银行间",$J86,$L86),$G86)))+AI$2/100,情景分析!$D$7,"",,,,"",)*IF($H86="",1,$H86))</f>
        <v/>
      </c>
      <c r="AJ86" s="7" t="str">
        <f>IF($A86="","",[2]!B_CALC_PRICE($A86,$AJ$1,IF(情景分析!$D$6=1,$J86,IF(情景分析!$D$6=2,$E86,IF(情景分析!$D$6=4,IF($C86="银行间",$J86,$L86),$G86)))+AJ$2/100,情景分析!$D$7,"",,,,"",)*IF($H86="",1,$H86))</f>
        <v/>
      </c>
      <c r="AK86" s="7" t="str">
        <f>IF($A86="","",[2]!B_CALC_PRICE($A86,$AJ$1,IF(情景分析!$D$6=1,$J86,IF(情景分析!$D$6=2,$E86,IF(情景分析!$D$6=4,IF($C86="银行间",$J86,$L86),$G86)))+AK$2/100,情景分析!$D$7,"",,,,"",)*IF($H86="",1,$H86))</f>
        <v/>
      </c>
      <c r="AL86" s="7" t="str">
        <f>IF($A86="","",[2]!B_CALC_PRICE($A86,$AJ$1,IF(情景分析!$D$6=1,$J86,IF(情景分析!$D$6=2,$E86,IF(情景分析!$D$6=4,IF($C86="银行间",$J86,$L86),$G86)))+AL$2/100,情景分析!$D$7,"",,,,"",)*IF($H86="",1,$H86))</f>
        <v/>
      </c>
      <c r="AM86" s="7" t="str">
        <f>IF($A86="","",[2]!B_CALC_PRICE($A86,$AJ$1,IF(情景分析!$D$6=1,$J86,IF(情景分析!$D$6=2,$E86,IF(情景分析!$D$6=4,IF($C86="银行间",$J86,$L86),$G86)))+AM$2/100,情景分析!$D$7,"",,,,"",)*IF($H86="",1,$H86))</f>
        <v/>
      </c>
      <c r="AN86" s="7" t="str">
        <f>IF($A86="","",[2]!B_CALC_PRICE($A86,$AJ$1,IF(情景分析!$D$6=1,$J86,IF(情景分析!$D$6=2,$E86,IF(情景分析!$D$6=4,IF($C86="银行间",$J86,$L86),$G86)))+AN$2/100,情景分析!$D$7,"",,,,"",)*IF($H86="",1,$H86))</f>
        <v/>
      </c>
      <c r="AO86" s="7" t="str">
        <f>IF($A86="","",[2]!B_CALC_PRICE($A86,$AJ$1,IF(情景分析!$D$6=1,$J86,IF(情景分析!$D$6=2,$E86,IF(情景分析!$D$6=4,IF($C86="银行间",$J86,$L86),$G86)))+AO$2/100,情景分析!$D$7,"",,,,"",)*IF($H86="",1,$H86))</f>
        <v/>
      </c>
      <c r="AP86" s="7" t="str">
        <f>IF($A86="","",[2]!B_CALC_PRICE($A86,$AJ$1,IF(情景分析!$D$6=1,$J86,IF(情景分析!$D$6=2,$E86,IF(情景分析!$D$6=4,IF($C86="银行间",$J86,$L86),$G86)))+AP$2/100,情景分析!$D$7,"",,,,"",)*IF($H86="",1,$H86))</f>
        <v/>
      </c>
      <c r="AQ86" s="7" t="str">
        <f>IF($A86="","",[2]!B_CALC_PRICE($A86,$AQ$1,IF(情景分析!$D$6=1,$J86,IF(情景分析!$D$6=2,$E86,IF(情景分析!$D$6=4,IF($C86="银行间",$J86,$L86),$G86)))+AQ$2/100,情景分析!$D$7,"",,,,"",)*IF($H86="",1,$H86))</f>
        <v/>
      </c>
      <c r="AR86" s="7" t="str">
        <f>IF($A86="","",[2]!B_CALC_PRICE($A86,$AQ$1,IF(情景分析!$D$6=1,$J86,IF(情景分析!$D$6=2,$E86,IF(情景分析!$D$6=4,IF($C86="银行间",$J86,$L86),$G86)))+AR$2/100,情景分析!$D$7,"",,,,"",)*IF($H86="",1,$H86))</f>
        <v/>
      </c>
      <c r="AS86" s="7" t="str">
        <f>IF($A86="","",[2]!B_CALC_PRICE($A86,$AQ$1,IF(情景分析!$D$6=1,$J86,IF(情景分析!$D$6=2,$E86,IF(情景分析!$D$6=4,IF($C86="银行间",$J86,$L86),$G86)))+AS$2/100,情景分析!$D$7,"",,,,"",)*IF($H86="",1,$H86))</f>
        <v/>
      </c>
      <c r="AT86" s="7" t="str">
        <f>IF($A86="","",[2]!B_CALC_PRICE($A86,$AQ$1,IF(情景分析!$D$6=1,$J86,IF(情景分析!$D$6=2,$E86,IF(情景分析!$D$6=4,IF($C86="银行间",$J86,$L86),$G86)))+AT$2/100,情景分析!$D$7,"",,,,"",)*IF($H86="",1,$H86))</f>
        <v/>
      </c>
      <c r="AU86" s="7" t="str">
        <f>IF($A86="","",[2]!B_CALC_PRICE($A86,$AQ$1,IF(情景分析!$D$6=1,$J86,IF(情景分析!$D$6=2,$E86,IF(情景分析!$D$6=4,IF($C86="银行间",$J86,$L86),$G86)))+AU$2/100,情景分析!$D$7,"",,,,"",)*IF($H86="",1,$H86))</f>
        <v/>
      </c>
      <c r="AV86" s="7" t="str">
        <f>IF($A86="","",[2]!B_CALC_PRICE($A86,$AQ$1,IF(情景分析!$D$6=1,$J86,IF(情景分析!$D$6=2,$E86,IF(情景分析!$D$6=4,IF($C86="银行间",$J86,$L86),$G86)))+AV$2/100,情景分析!$D$7,"",,,,"",)*IF($H86="",1,$H86))</f>
        <v/>
      </c>
      <c r="AW86" s="7" t="str">
        <f>IF($A86="","",[2]!B_CALC_PRICE($A86,$AQ$1,IF(情景分析!$D$6=1,$J86,IF(情景分析!$D$6=2,$E86,IF(情景分析!$D$6=4,IF($C86="银行间",$J86,$L86),$G86)))+AW$2/100,情景分析!$D$7,"",,,,"",)*IF($H86="",1,$H86))</f>
        <v/>
      </c>
    </row>
    <row r="87" spans="1:49" x14ac:dyDescent="0.15">
      <c r="A87" s="20"/>
      <c r="B87" s="7" t="str">
        <f>IF(A87="","",[2]!b_info_name(A87))</f>
        <v/>
      </c>
      <c r="C87" s="7" t="str">
        <f>[2]!b_info_listedmkt(A87)</f>
        <v>#N/A</v>
      </c>
      <c r="D87" s="7" t="str">
        <f>IFERROR(IF(A87="","", [2]!b_dq_avgprice(A87, 情景分析!$D$5, 情景分析!$D$7) * IF($H87="",1,$H87)),0)</f>
        <v/>
      </c>
      <c r="E87" s="7" t="str">
        <f>IF(A87="","", N([2]!b_dq_avgprice(A87,情景分析!$D$5,3)))</f>
        <v/>
      </c>
      <c r="F87" s="29" t="str">
        <f>IF($G87 = "",
"",
IFERROR(
[2]!b_calc_pv(A87, 情景分析!$D$5,$G87, "1", 情景分析!$D$7),
[2]!b_calc_pv(A87, 情景分析!$D$5,$G87, "2", 情景分析!$D$7)
)
)</f>
        <v/>
      </c>
      <c r="G87" s="22"/>
      <c r="H87" s="21"/>
      <c r="I87" s="7" t="str">
        <f>IF(A87="","",IF(情景分析!$D$7=1,[2]!b_anal_net_cnbd(A87,情景分析!$D$5,1),[2]!b_anal_dirty_cnbd(A87,情景分析!$D$5,1))*IF($H87="",1,$H87))</f>
        <v/>
      </c>
      <c r="J87" s="7" t="str">
        <f>IF(A87="","",[2]!b_anal_yield_cnbd(A87,情景分析!$D$5,1))</f>
        <v/>
      </c>
      <c r="K87" s="29" t="str">
        <f>IF(A87="","",IF(情景分析!$D$7=1,[2]!b_anal_net_csi1(A87,情景分析!$D$5,1),[2]!b_anal_dirty_csi1(A87,情景分析!$D$5,1))*IF($H87="",1,$H87))</f>
        <v/>
      </c>
      <c r="L87" s="29" t="str">
        <f>IF(A87="","",[2]!b_anal_yield_csi1(A87,情景分析!$D$5,1))</f>
        <v/>
      </c>
      <c r="M87" s="29" t="str">
        <f t="shared" si="6"/>
        <v/>
      </c>
      <c r="N87" s="29" t="str">
        <f t="shared" si="7"/>
        <v/>
      </c>
      <c r="O87" s="7" t="str">
        <f>IF($A87="","",[2]!B_CALC_PRICE($A87,$O$1,IF(情景分析!$D$6=1,$J87,IF(情景分析!$D$6=2,$E87,IF(情景分析!$D$6=4,IF($C87="银行间",$J87,$L87),$G87)))+O$2/100,情景分析!$D$7,"",,,,"",)*IF($H87="",1,$H87))</f>
        <v/>
      </c>
      <c r="P87" s="7" t="str">
        <f>IF($A87="","",[2]!B_CALC_PRICE($A87,$O$1,IF(情景分析!$D$6=1,$J87,IF(情景分析!$D$6=2,$E87,IF(情景分析!$D$6=4,IF($C87="银行间",$J87,$L87),$G87)))+P$2/100,情景分析!$D$7,"",,,,"",)*IF($H87="",1,$H87))</f>
        <v/>
      </c>
      <c r="Q87" s="7" t="str">
        <f>IF($A87="","",[2]!B_CALC_PRICE($A87,$O$1,IF(情景分析!$D$6=1,$J87,IF(情景分析!$D$6=2,$E87,IF(情景分析!$D$6=4,IF($C87="银行间",$J87,$L87),$G87)))+Q$2/100,情景分析!$D$7,"",,,,"",)*IF($H87="",1,$H87))</f>
        <v/>
      </c>
      <c r="R87" s="7" t="str">
        <f>IF($A87="","",[2]!B_CALC_PRICE($A87,$O$1,IF(情景分析!$D$6=1,$J87,IF(情景分析!$D$6=2,$E87,IF(情景分析!$D$6=4,IF($C87="银行间",$J87,$L87),$G87)))+R$2/100,情景分析!$D$7,"",,,,"",)*IF($H87="",1,$H87))</f>
        <v/>
      </c>
      <c r="S87" s="7" t="str">
        <f>IF($A87="","",[2]!B_CALC_PRICE($A87,$O$1,IF(情景分析!$D$6=1,$J87,IF(情景分析!$D$6=2,$E87,IF(情景分析!$D$6=4,IF($C87="银行间",$J87,$L87),$G87)))+S$2/100,情景分析!$D$7,"",,,,"",)*IF($H87="",1,$H87))</f>
        <v/>
      </c>
      <c r="T87" s="7" t="str">
        <f>IF($A87="","",[2]!B_CALC_PRICE($A87,$O$1,IF(情景分析!$D$6=1,$J87,IF(情景分析!$D$6=2,$E87,IF(情景分析!$D$6=4,IF($C87="银行间",$J87,$L87),$G87)))+T$2/100,情景分析!$D$7,"",,,,"",)*IF($H87="",1,$H87))</f>
        <v/>
      </c>
      <c r="U87" s="7" t="str">
        <f>IF($A87="","",[2]!B_CALC_PRICE($A87,$O$1,IF(情景分析!$D$6=1,$J87,IF(情景分析!$D$6=2,$E87,IF(情景分析!$D$6=4,IF($C87="银行间",$J87,$L87),$G87)))+U$2/100,情景分析!$D$7,"",,,,"",)*IF($H87="",1,$H87))</f>
        <v/>
      </c>
      <c r="V87" s="7" t="str">
        <f>IF($A87="","",[2]!B_CALC_PRICE($A87,$V$1,IF(情景分析!$D$6=1,$J87,IF(情景分析!$D$6=2,$E87,IF(情景分析!$D$6=4,IF($C87="银行间",$J87,$L87),$G87)))+V$2/100,情景分析!$D$7,"",,,,"",)*IF($H87="",1,$H87))</f>
        <v/>
      </c>
      <c r="W87" s="7" t="str">
        <f>IF($A87="","",[2]!B_CALC_PRICE($A87,$V$1,IF(情景分析!$D$6=1,$J87,IF(情景分析!$D$6=2,$E87,IF(情景分析!$D$6=4,IF($C87="银行间",$J87,$L87),$G87)))+W$2/100,情景分析!$D$7,"",,,,"",)*IF($H87="",1,$H87))</f>
        <v/>
      </c>
      <c r="X87" s="7" t="str">
        <f>IF($A87="","",[2]!B_CALC_PRICE($A87,$V$1,IF(情景分析!$D$6=1,$J87,IF(情景分析!$D$6=2,$E87,IF(情景分析!$D$6=4,IF($C87="银行间",$J87,$L87),$G87)))+X$2/100,情景分析!$D$7,"",,,,"",)*IF($H87="",1,$H87))</f>
        <v/>
      </c>
      <c r="Y87" s="7" t="str">
        <f>IF($A87="","",[2]!B_CALC_PRICE($A87,$V$1,IF(情景分析!$D$6=1,$J87,IF(情景分析!$D$6=2,$E87,IF(情景分析!$D$6=4,IF($C87="银行间",$J87,$L87),$G87)))+Y$2/100,情景分析!$D$7,"",,,,"",)*IF($H87="",1,$H87))</f>
        <v/>
      </c>
      <c r="Z87" s="7" t="str">
        <f>IF($A87="","",[2]!B_CALC_PRICE($A87,$V$1,IF(情景分析!$D$6=1,$J87,IF(情景分析!$D$6=2,$E87,IF(情景分析!$D$6=4,IF($C87="银行间",$J87,$L87),$G87)))+Z$2/100,情景分析!$D$7,"",,,,"",)*IF($H87="",1,$H87))</f>
        <v/>
      </c>
      <c r="AA87" s="7" t="str">
        <f>IF($A87="","",[2]!B_CALC_PRICE($A87,$V$1,IF(情景分析!$D$6=1,$J87,IF(情景分析!$D$6=2,$E87,IF(情景分析!$D$6=4,IF($C87="银行间",$J87,$L87),$G87)))+AA$2/100,情景分析!$D$7,"",,,,"",)*IF($H87="",1,$H87))</f>
        <v/>
      </c>
      <c r="AB87" s="7" t="str">
        <f>IF($A87="","",[2]!B_CALC_PRICE($A87,$V$1,IF(情景分析!$D$6=1,$J87,IF(情景分析!$D$6=2,$E87,IF(情景分析!$D$6=4,IF($C87="银行间",$J87,$L87),$G87)))+AB$2/100,情景分析!$D$7,"",,,,"",)*IF($H87="",1,$H87))</f>
        <v/>
      </c>
      <c r="AC87" s="7" t="str">
        <f>IF($A87="","",[2]!B_CALC_PRICE($A87,$AC$1,IF(情景分析!$D$6=1,$J87,IF(情景分析!$D$6=2,$E87,IF(情景分析!$D$6=4,IF($C87="银行间",$J87,$L87),$G87)))+AC$2/100,情景分析!$D$7,"",,,,"",)*IF($H87="",1,$H87))</f>
        <v/>
      </c>
      <c r="AD87" s="7" t="str">
        <f>IF($A87="","",[2]!B_CALC_PRICE($A87,$AC$1,IF(情景分析!$D$6=1,$J87,IF(情景分析!$D$6=2,$E87,IF(情景分析!$D$6=4,IF($C87="银行间",$J87,$L87),$G87)))+AD$2/100,情景分析!$D$7,"",,,,"",)*IF($H87="",1,$H87))</f>
        <v/>
      </c>
      <c r="AE87" s="7" t="str">
        <f>IF($A87="","",[2]!B_CALC_PRICE($A87,$AC$1,IF(情景分析!$D$6=1,$J87,IF(情景分析!$D$6=2,$E87,IF(情景分析!$D$6=4,IF($C87="银行间",$J87,$L87),$G87)))+AE$2/100,情景分析!$D$7,"",,,,"",)*IF($H87="",1,$H87))</f>
        <v/>
      </c>
      <c r="AF87" s="7" t="str">
        <f>IF($A87="","",[2]!B_CALC_PRICE($A87,$AC$1,IF(情景分析!$D$6=1,$J87,IF(情景分析!$D$6=2,$E87,IF(情景分析!$D$6=4,IF($C87="银行间",$J87,$L87),$G87)))+AF$2/100,情景分析!$D$7,"",,,,"",)*IF($H87="",1,$H87))</f>
        <v/>
      </c>
      <c r="AG87" s="7" t="str">
        <f>IF($A87="","",[2]!B_CALC_PRICE($A87,$AC$1,IF(情景分析!$D$6=1,$J87,IF(情景分析!$D$6=2,$E87,IF(情景分析!$D$6=4,IF($C87="银行间",$J87,$L87),$G87)))+AG$2/100,情景分析!$D$7,"",,,,"",)*IF($H87="",1,$H87))</f>
        <v/>
      </c>
      <c r="AH87" s="7" t="str">
        <f>IF($A87="","",[2]!B_CALC_PRICE($A87,$AC$1,IF(情景分析!$D$6=1,$J87,IF(情景分析!$D$6=2,$E87,IF(情景分析!$D$6=4,IF($C87="银行间",$J87,$L87),$G87)))+AH$2/100,情景分析!$D$7,"",,,,"",)*IF($H87="",1,$H87))</f>
        <v/>
      </c>
      <c r="AI87" s="7" t="str">
        <f>IF($A87="","",[2]!B_CALC_PRICE($A87,$AC$1,IF(情景分析!$D$6=1,$J87,IF(情景分析!$D$6=2,$E87,IF(情景分析!$D$6=4,IF($C87="银行间",$J87,$L87),$G87)))+AI$2/100,情景分析!$D$7,"",,,,"",)*IF($H87="",1,$H87))</f>
        <v/>
      </c>
      <c r="AJ87" s="7" t="str">
        <f>IF($A87="","",[2]!B_CALC_PRICE($A87,$AJ$1,IF(情景分析!$D$6=1,$J87,IF(情景分析!$D$6=2,$E87,IF(情景分析!$D$6=4,IF($C87="银行间",$J87,$L87),$G87)))+AJ$2/100,情景分析!$D$7,"",,,,"",)*IF($H87="",1,$H87))</f>
        <v/>
      </c>
      <c r="AK87" s="7" t="str">
        <f>IF($A87="","",[2]!B_CALC_PRICE($A87,$AJ$1,IF(情景分析!$D$6=1,$J87,IF(情景分析!$D$6=2,$E87,IF(情景分析!$D$6=4,IF($C87="银行间",$J87,$L87),$G87)))+AK$2/100,情景分析!$D$7,"",,,,"",)*IF($H87="",1,$H87))</f>
        <v/>
      </c>
      <c r="AL87" s="7" t="str">
        <f>IF($A87="","",[2]!B_CALC_PRICE($A87,$AJ$1,IF(情景分析!$D$6=1,$J87,IF(情景分析!$D$6=2,$E87,IF(情景分析!$D$6=4,IF($C87="银行间",$J87,$L87),$G87)))+AL$2/100,情景分析!$D$7,"",,,,"",)*IF($H87="",1,$H87))</f>
        <v/>
      </c>
      <c r="AM87" s="7" t="str">
        <f>IF($A87="","",[2]!B_CALC_PRICE($A87,$AJ$1,IF(情景分析!$D$6=1,$J87,IF(情景分析!$D$6=2,$E87,IF(情景分析!$D$6=4,IF($C87="银行间",$J87,$L87),$G87)))+AM$2/100,情景分析!$D$7,"",,,,"",)*IF($H87="",1,$H87))</f>
        <v/>
      </c>
      <c r="AN87" s="7" t="str">
        <f>IF($A87="","",[2]!B_CALC_PRICE($A87,$AJ$1,IF(情景分析!$D$6=1,$J87,IF(情景分析!$D$6=2,$E87,IF(情景分析!$D$6=4,IF($C87="银行间",$J87,$L87),$G87)))+AN$2/100,情景分析!$D$7,"",,,,"",)*IF($H87="",1,$H87))</f>
        <v/>
      </c>
      <c r="AO87" s="7" t="str">
        <f>IF($A87="","",[2]!B_CALC_PRICE($A87,$AJ$1,IF(情景分析!$D$6=1,$J87,IF(情景分析!$D$6=2,$E87,IF(情景分析!$D$6=4,IF($C87="银行间",$J87,$L87),$G87)))+AO$2/100,情景分析!$D$7,"",,,,"",)*IF($H87="",1,$H87))</f>
        <v/>
      </c>
      <c r="AP87" s="7" t="str">
        <f>IF($A87="","",[2]!B_CALC_PRICE($A87,$AJ$1,IF(情景分析!$D$6=1,$J87,IF(情景分析!$D$6=2,$E87,IF(情景分析!$D$6=4,IF($C87="银行间",$J87,$L87),$G87)))+AP$2/100,情景分析!$D$7,"",,,,"",)*IF($H87="",1,$H87))</f>
        <v/>
      </c>
      <c r="AQ87" s="7" t="str">
        <f>IF($A87="","",[2]!B_CALC_PRICE($A87,$AQ$1,IF(情景分析!$D$6=1,$J87,IF(情景分析!$D$6=2,$E87,IF(情景分析!$D$6=4,IF($C87="银行间",$J87,$L87),$G87)))+AQ$2/100,情景分析!$D$7,"",,,,"",)*IF($H87="",1,$H87))</f>
        <v/>
      </c>
      <c r="AR87" s="7" t="str">
        <f>IF($A87="","",[2]!B_CALC_PRICE($A87,$AQ$1,IF(情景分析!$D$6=1,$J87,IF(情景分析!$D$6=2,$E87,IF(情景分析!$D$6=4,IF($C87="银行间",$J87,$L87),$G87)))+AR$2/100,情景分析!$D$7,"",,,,"",)*IF($H87="",1,$H87))</f>
        <v/>
      </c>
      <c r="AS87" s="7" t="str">
        <f>IF($A87="","",[2]!B_CALC_PRICE($A87,$AQ$1,IF(情景分析!$D$6=1,$J87,IF(情景分析!$D$6=2,$E87,IF(情景分析!$D$6=4,IF($C87="银行间",$J87,$L87),$G87)))+AS$2/100,情景分析!$D$7,"",,,,"",)*IF($H87="",1,$H87))</f>
        <v/>
      </c>
      <c r="AT87" s="7" t="str">
        <f>IF($A87="","",[2]!B_CALC_PRICE($A87,$AQ$1,IF(情景分析!$D$6=1,$J87,IF(情景分析!$D$6=2,$E87,IF(情景分析!$D$6=4,IF($C87="银行间",$J87,$L87),$G87)))+AT$2/100,情景分析!$D$7,"",,,,"",)*IF($H87="",1,$H87))</f>
        <v/>
      </c>
      <c r="AU87" s="7" t="str">
        <f>IF($A87="","",[2]!B_CALC_PRICE($A87,$AQ$1,IF(情景分析!$D$6=1,$J87,IF(情景分析!$D$6=2,$E87,IF(情景分析!$D$6=4,IF($C87="银行间",$J87,$L87),$G87)))+AU$2/100,情景分析!$D$7,"",,,,"",)*IF($H87="",1,$H87))</f>
        <v/>
      </c>
      <c r="AV87" s="7" t="str">
        <f>IF($A87="","",[2]!B_CALC_PRICE($A87,$AQ$1,IF(情景分析!$D$6=1,$J87,IF(情景分析!$D$6=2,$E87,IF(情景分析!$D$6=4,IF($C87="银行间",$J87,$L87),$G87)))+AV$2/100,情景分析!$D$7,"",,,,"",)*IF($H87="",1,$H87))</f>
        <v/>
      </c>
      <c r="AW87" s="7" t="str">
        <f>IF($A87="","",[2]!B_CALC_PRICE($A87,$AQ$1,IF(情景分析!$D$6=1,$J87,IF(情景分析!$D$6=2,$E87,IF(情景分析!$D$6=4,IF($C87="银行间",$J87,$L87),$G87)))+AW$2/100,情景分析!$D$7,"",,,,"",)*IF($H87="",1,$H87))</f>
        <v/>
      </c>
    </row>
    <row r="88" spans="1:49" x14ac:dyDescent="0.15">
      <c r="A88" s="20"/>
      <c r="B88" s="7" t="str">
        <f>IF(A88="","",[2]!b_info_name(A88))</f>
        <v/>
      </c>
      <c r="C88" s="7" t="str">
        <f>[2]!b_info_listedmkt(A88)</f>
        <v>#N/A</v>
      </c>
      <c r="D88" s="7" t="str">
        <f>IFERROR(IF(A88="","", [2]!b_dq_avgprice(A88, 情景分析!$D$5, 情景分析!$D$7) * IF($H88="",1,$H88)),0)</f>
        <v/>
      </c>
      <c r="E88" s="7" t="str">
        <f>IF(A88="","", N([2]!b_dq_avgprice(A88,情景分析!$D$5,3)))</f>
        <v/>
      </c>
      <c r="F88" s="29" t="str">
        <f>IF($G88 = "",
"",
IFERROR(
[2]!b_calc_pv(A88, 情景分析!$D$5,$G88, "1", 情景分析!$D$7),
[2]!b_calc_pv(A88, 情景分析!$D$5,$G88, "2", 情景分析!$D$7)
)
)</f>
        <v/>
      </c>
      <c r="G88" s="22"/>
      <c r="H88" s="21"/>
      <c r="I88" s="7" t="str">
        <f>IF(A88="","",IF(情景分析!$D$7=1,[2]!b_anal_net_cnbd(A88,情景分析!$D$5,1),[2]!b_anal_dirty_cnbd(A88,情景分析!$D$5,1))*IF($H88="",1,$H88))</f>
        <v/>
      </c>
      <c r="J88" s="7" t="str">
        <f>IF(A88="","",[2]!b_anal_yield_cnbd(A88,情景分析!$D$5,1))</f>
        <v/>
      </c>
      <c r="K88" s="29" t="str">
        <f>IF(A88="","",IF(情景分析!$D$7=1,[2]!b_anal_net_csi1(A88,情景分析!$D$5,1),[2]!b_anal_dirty_csi1(A88,情景分析!$D$5,1))*IF($H88="",1,$H88))</f>
        <v/>
      </c>
      <c r="L88" s="29" t="str">
        <f>IF(A88="","",[2]!b_anal_yield_csi1(A88,情景分析!$D$5,1))</f>
        <v/>
      </c>
      <c r="M88" s="29" t="str">
        <f t="shared" si="6"/>
        <v/>
      </c>
      <c r="N88" s="29" t="str">
        <f t="shared" si="7"/>
        <v/>
      </c>
      <c r="O88" s="7" t="str">
        <f>IF($A88="","",[2]!B_CALC_PRICE($A88,$O$1,IF(情景分析!$D$6=1,$J88,IF(情景分析!$D$6=2,$E88,IF(情景分析!$D$6=4,IF($C88="银行间",$J88,$L88),$G88)))+O$2/100,情景分析!$D$7,"",,,,"",)*IF($H88="",1,$H88))</f>
        <v/>
      </c>
      <c r="P88" s="7" t="str">
        <f>IF($A88="","",[2]!B_CALC_PRICE($A88,$O$1,IF(情景分析!$D$6=1,$J88,IF(情景分析!$D$6=2,$E88,IF(情景分析!$D$6=4,IF($C88="银行间",$J88,$L88),$G88)))+P$2/100,情景分析!$D$7,"",,,,"",)*IF($H88="",1,$H88))</f>
        <v/>
      </c>
      <c r="Q88" s="7" t="str">
        <f>IF($A88="","",[2]!B_CALC_PRICE($A88,$O$1,IF(情景分析!$D$6=1,$J88,IF(情景分析!$D$6=2,$E88,IF(情景分析!$D$6=4,IF($C88="银行间",$J88,$L88),$G88)))+Q$2/100,情景分析!$D$7,"",,,,"",)*IF($H88="",1,$H88))</f>
        <v/>
      </c>
      <c r="R88" s="7" t="str">
        <f>IF($A88="","",[2]!B_CALC_PRICE($A88,$O$1,IF(情景分析!$D$6=1,$J88,IF(情景分析!$D$6=2,$E88,IF(情景分析!$D$6=4,IF($C88="银行间",$J88,$L88),$G88)))+R$2/100,情景分析!$D$7,"",,,,"",)*IF($H88="",1,$H88))</f>
        <v/>
      </c>
      <c r="S88" s="7" t="str">
        <f>IF($A88="","",[2]!B_CALC_PRICE($A88,$O$1,IF(情景分析!$D$6=1,$J88,IF(情景分析!$D$6=2,$E88,IF(情景分析!$D$6=4,IF($C88="银行间",$J88,$L88),$G88)))+S$2/100,情景分析!$D$7,"",,,,"",)*IF($H88="",1,$H88))</f>
        <v/>
      </c>
      <c r="T88" s="7" t="str">
        <f>IF($A88="","",[2]!B_CALC_PRICE($A88,$O$1,IF(情景分析!$D$6=1,$J88,IF(情景分析!$D$6=2,$E88,IF(情景分析!$D$6=4,IF($C88="银行间",$J88,$L88),$G88)))+T$2/100,情景分析!$D$7,"",,,,"",)*IF($H88="",1,$H88))</f>
        <v/>
      </c>
      <c r="U88" s="7" t="str">
        <f>IF($A88="","",[2]!B_CALC_PRICE($A88,$O$1,IF(情景分析!$D$6=1,$J88,IF(情景分析!$D$6=2,$E88,IF(情景分析!$D$6=4,IF($C88="银行间",$J88,$L88),$G88)))+U$2/100,情景分析!$D$7,"",,,,"",)*IF($H88="",1,$H88))</f>
        <v/>
      </c>
      <c r="V88" s="7" t="str">
        <f>IF($A88="","",[2]!B_CALC_PRICE($A88,$V$1,IF(情景分析!$D$6=1,$J88,IF(情景分析!$D$6=2,$E88,IF(情景分析!$D$6=4,IF($C88="银行间",$J88,$L88),$G88)))+V$2/100,情景分析!$D$7,"",,,,"",)*IF($H88="",1,$H88))</f>
        <v/>
      </c>
      <c r="W88" s="7" t="str">
        <f>IF($A88="","",[2]!B_CALC_PRICE($A88,$V$1,IF(情景分析!$D$6=1,$J88,IF(情景分析!$D$6=2,$E88,IF(情景分析!$D$6=4,IF($C88="银行间",$J88,$L88),$G88)))+W$2/100,情景分析!$D$7,"",,,,"",)*IF($H88="",1,$H88))</f>
        <v/>
      </c>
      <c r="X88" s="7" t="str">
        <f>IF($A88="","",[2]!B_CALC_PRICE($A88,$V$1,IF(情景分析!$D$6=1,$J88,IF(情景分析!$D$6=2,$E88,IF(情景分析!$D$6=4,IF($C88="银行间",$J88,$L88),$G88)))+X$2/100,情景分析!$D$7,"",,,,"",)*IF($H88="",1,$H88))</f>
        <v/>
      </c>
      <c r="Y88" s="7" t="str">
        <f>IF($A88="","",[2]!B_CALC_PRICE($A88,$V$1,IF(情景分析!$D$6=1,$J88,IF(情景分析!$D$6=2,$E88,IF(情景分析!$D$6=4,IF($C88="银行间",$J88,$L88),$G88)))+Y$2/100,情景分析!$D$7,"",,,,"",)*IF($H88="",1,$H88))</f>
        <v/>
      </c>
      <c r="Z88" s="7" t="str">
        <f>IF($A88="","",[2]!B_CALC_PRICE($A88,$V$1,IF(情景分析!$D$6=1,$J88,IF(情景分析!$D$6=2,$E88,IF(情景分析!$D$6=4,IF($C88="银行间",$J88,$L88),$G88)))+Z$2/100,情景分析!$D$7,"",,,,"",)*IF($H88="",1,$H88))</f>
        <v/>
      </c>
      <c r="AA88" s="7" t="str">
        <f>IF($A88="","",[2]!B_CALC_PRICE($A88,$V$1,IF(情景分析!$D$6=1,$J88,IF(情景分析!$D$6=2,$E88,IF(情景分析!$D$6=4,IF($C88="银行间",$J88,$L88),$G88)))+AA$2/100,情景分析!$D$7,"",,,,"",)*IF($H88="",1,$H88))</f>
        <v/>
      </c>
      <c r="AB88" s="7" t="str">
        <f>IF($A88="","",[2]!B_CALC_PRICE($A88,$V$1,IF(情景分析!$D$6=1,$J88,IF(情景分析!$D$6=2,$E88,IF(情景分析!$D$6=4,IF($C88="银行间",$J88,$L88),$G88)))+AB$2/100,情景分析!$D$7,"",,,,"",)*IF($H88="",1,$H88))</f>
        <v/>
      </c>
      <c r="AC88" s="7" t="str">
        <f>IF($A88="","",[2]!B_CALC_PRICE($A88,$AC$1,IF(情景分析!$D$6=1,$J88,IF(情景分析!$D$6=2,$E88,IF(情景分析!$D$6=4,IF($C88="银行间",$J88,$L88),$G88)))+AC$2/100,情景分析!$D$7,"",,,,"",)*IF($H88="",1,$H88))</f>
        <v/>
      </c>
      <c r="AD88" s="7" t="str">
        <f>IF($A88="","",[2]!B_CALC_PRICE($A88,$AC$1,IF(情景分析!$D$6=1,$J88,IF(情景分析!$D$6=2,$E88,IF(情景分析!$D$6=4,IF($C88="银行间",$J88,$L88),$G88)))+AD$2/100,情景分析!$D$7,"",,,,"",)*IF($H88="",1,$H88))</f>
        <v/>
      </c>
      <c r="AE88" s="7" t="str">
        <f>IF($A88="","",[2]!B_CALC_PRICE($A88,$AC$1,IF(情景分析!$D$6=1,$J88,IF(情景分析!$D$6=2,$E88,IF(情景分析!$D$6=4,IF($C88="银行间",$J88,$L88),$G88)))+AE$2/100,情景分析!$D$7,"",,,,"",)*IF($H88="",1,$H88))</f>
        <v/>
      </c>
      <c r="AF88" s="7" t="str">
        <f>IF($A88="","",[2]!B_CALC_PRICE($A88,$AC$1,IF(情景分析!$D$6=1,$J88,IF(情景分析!$D$6=2,$E88,IF(情景分析!$D$6=4,IF($C88="银行间",$J88,$L88),$G88)))+AF$2/100,情景分析!$D$7,"",,,,"",)*IF($H88="",1,$H88))</f>
        <v/>
      </c>
      <c r="AG88" s="7" t="str">
        <f>IF($A88="","",[2]!B_CALC_PRICE($A88,$AC$1,IF(情景分析!$D$6=1,$J88,IF(情景分析!$D$6=2,$E88,IF(情景分析!$D$6=4,IF($C88="银行间",$J88,$L88),$G88)))+AG$2/100,情景分析!$D$7,"",,,,"",)*IF($H88="",1,$H88))</f>
        <v/>
      </c>
      <c r="AH88" s="7" t="str">
        <f>IF($A88="","",[2]!B_CALC_PRICE($A88,$AC$1,IF(情景分析!$D$6=1,$J88,IF(情景分析!$D$6=2,$E88,IF(情景分析!$D$6=4,IF($C88="银行间",$J88,$L88),$G88)))+AH$2/100,情景分析!$D$7,"",,,,"",)*IF($H88="",1,$H88))</f>
        <v/>
      </c>
      <c r="AI88" s="7" t="str">
        <f>IF($A88="","",[2]!B_CALC_PRICE($A88,$AC$1,IF(情景分析!$D$6=1,$J88,IF(情景分析!$D$6=2,$E88,IF(情景分析!$D$6=4,IF($C88="银行间",$J88,$L88),$G88)))+AI$2/100,情景分析!$D$7,"",,,,"",)*IF($H88="",1,$H88))</f>
        <v/>
      </c>
      <c r="AJ88" s="7" t="str">
        <f>IF($A88="","",[2]!B_CALC_PRICE($A88,$AJ$1,IF(情景分析!$D$6=1,$J88,IF(情景分析!$D$6=2,$E88,IF(情景分析!$D$6=4,IF($C88="银行间",$J88,$L88),$G88)))+AJ$2/100,情景分析!$D$7,"",,,,"",)*IF($H88="",1,$H88))</f>
        <v/>
      </c>
      <c r="AK88" s="7" t="str">
        <f>IF($A88="","",[2]!B_CALC_PRICE($A88,$AJ$1,IF(情景分析!$D$6=1,$J88,IF(情景分析!$D$6=2,$E88,IF(情景分析!$D$6=4,IF($C88="银行间",$J88,$L88),$G88)))+AK$2/100,情景分析!$D$7,"",,,,"",)*IF($H88="",1,$H88))</f>
        <v/>
      </c>
      <c r="AL88" s="7" t="str">
        <f>IF($A88="","",[2]!B_CALC_PRICE($A88,$AJ$1,IF(情景分析!$D$6=1,$J88,IF(情景分析!$D$6=2,$E88,IF(情景分析!$D$6=4,IF($C88="银行间",$J88,$L88),$G88)))+AL$2/100,情景分析!$D$7,"",,,,"",)*IF($H88="",1,$H88))</f>
        <v/>
      </c>
      <c r="AM88" s="7" t="str">
        <f>IF($A88="","",[2]!B_CALC_PRICE($A88,$AJ$1,IF(情景分析!$D$6=1,$J88,IF(情景分析!$D$6=2,$E88,IF(情景分析!$D$6=4,IF($C88="银行间",$J88,$L88),$G88)))+AM$2/100,情景分析!$D$7,"",,,,"",)*IF($H88="",1,$H88))</f>
        <v/>
      </c>
      <c r="AN88" s="7" t="str">
        <f>IF($A88="","",[2]!B_CALC_PRICE($A88,$AJ$1,IF(情景分析!$D$6=1,$J88,IF(情景分析!$D$6=2,$E88,IF(情景分析!$D$6=4,IF($C88="银行间",$J88,$L88),$G88)))+AN$2/100,情景分析!$D$7,"",,,,"",)*IF($H88="",1,$H88))</f>
        <v/>
      </c>
      <c r="AO88" s="7" t="str">
        <f>IF($A88="","",[2]!B_CALC_PRICE($A88,$AJ$1,IF(情景分析!$D$6=1,$J88,IF(情景分析!$D$6=2,$E88,IF(情景分析!$D$6=4,IF($C88="银行间",$J88,$L88),$G88)))+AO$2/100,情景分析!$D$7,"",,,,"",)*IF($H88="",1,$H88))</f>
        <v/>
      </c>
      <c r="AP88" s="7" t="str">
        <f>IF($A88="","",[2]!B_CALC_PRICE($A88,$AJ$1,IF(情景分析!$D$6=1,$J88,IF(情景分析!$D$6=2,$E88,IF(情景分析!$D$6=4,IF($C88="银行间",$J88,$L88),$G88)))+AP$2/100,情景分析!$D$7,"",,,,"",)*IF($H88="",1,$H88))</f>
        <v/>
      </c>
      <c r="AQ88" s="7" t="str">
        <f>IF($A88="","",[2]!B_CALC_PRICE($A88,$AQ$1,IF(情景分析!$D$6=1,$J88,IF(情景分析!$D$6=2,$E88,IF(情景分析!$D$6=4,IF($C88="银行间",$J88,$L88),$G88)))+AQ$2/100,情景分析!$D$7,"",,,,"",)*IF($H88="",1,$H88))</f>
        <v/>
      </c>
      <c r="AR88" s="7" t="str">
        <f>IF($A88="","",[2]!B_CALC_PRICE($A88,$AQ$1,IF(情景分析!$D$6=1,$J88,IF(情景分析!$D$6=2,$E88,IF(情景分析!$D$6=4,IF($C88="银行间",$J88,$L88),$G88)))+AR$2/100,情景分析!$D$7,"",,,,"",)*IF($H88="",1,$H88))</f>
        <v/>
      </c>
      <c r="AS88" s="7" t="str">
        <f>IF($A88="","",[2]!B_CALC_PRICE($A88,$AQ$1,IF(情景分析!$D$6=1,$J88,IF(情景分析!$D$6=2,$E88,IF(情景分析!$D$6=4,IF($C88="银行间",$J88,$L88),$G88)))+AS$2/100,情景分析!$D$7,"",,,,"",)*IF($H88="",1,$H88))</f>
        <v/>
      </c>
      <c r="AT88" s="7" t="str">
        <f>IF($A88="","",[2]!B_CALC_PRICE($A88,$AQ$1,IF(情景分析!$D$6=1,$J88,IF(情景分析!$D$6=2,$E88,IF(情景分析!$D$6=4,IF($C88="银行间",$J88,$L88),$G88)))+AT$2/100,情景分析!$D$7,"",,,,"",)*IF($H88="",1,$H88))</f>
        <v/>
      </c>
      <c r="AU88" s="7" t="str">
        <f>IF($A88="","",[2]!B_CALC_PRICE($A88,$AQ$1,IF(情景分析!$D$6=1,$J88,IF(情景分析!$D$6=2,$E88,IF(情景分析!$D$6=4,IF($C88="银行间",$J88,$L88),$G88)))+AU$2/100,情景分析!$D$7,"",,,,"",)*IF($H88="",1,$H88))</f>
        <v/>
      </c>
      <c r="AV88" s="7" t="str">
        <f>IF($A88="","",[2]!B_CALC_PRICE($A88,$AQ$1,IF(情景分析!$D$6=1,$J88,IF(情景分析!$D$6=2,$E88,IF(情景分析!$D$6=4,IF($C88="银行间",$J88,$L88),$G88)))+AV$2/100,情景分析!$D$7,"",,,,"",)*IF($H88="",1,$H88))</f>
        <v/>
      </c>
      <c r="AW88" s="7" t="str">
        <f>IF($A88="","",[2]!B_CALC_PRICE($A88,$AQ$1,IF(情景分析!$D$6=1,$J88,IF(情景分析!$D$6=2,$E88,IF(情景分析!$D$6=4,IF($C88="银行间",$J88,$L88),$G88)))+AW$2/100,情景分析!$D$7,"",,,,"",)*IF($H88="",1,$H88))</f>
        <v/>
      </c>
    </row>
    <row r="89" spans="1:49" x14ac:dyDescent="0.15">
      <c r="A89" s="20"/>
      <c r="B89" s="7" t="str">
        <f>IF(A89="","",[2]!b_info_name(A89))</f>
        <v/>
      </c>
      <c r="C89" s="7" t="str">
        <f>[2]!b_info_listedmkt(A89)</f>
        <v>#N/A</v>
      </c>
      <c r="D89" s="7" t="str">
        <f>IFERROR(IF(A89="","", [2]!b_dq_avgprice(A89, 情景分析!$D$5, 情景分析!$D$7) * IF($H89="",1,$H89)),0)</f>
        <v/>
      </c>
      <c r="E89" s="7" t="str">
        <f>IF(A89="","", N([2]!b_dq_avgprice(A89,情景分析!$D$5,3)))</f>
        <v/>
      </c>
      <c r="F89" s="29" t="str">
        <f>IF($G89 = "",
"",
IFERROR(
[2]!b_calc_pv(A89, 情景分析!$D$5,$G89, "1", 情景分析!$D$7),
[2]!b_calc_pv(A89, 情景分析!$D$5,$G89, "2", 情景分析!$D$7)
)
)</f>
        <v/>
      </c>
      <c r="G89" s="22"/>
      <c r="H89" s="21"/>
      <c r="I89" s="7" t="str">
        <f>IF(A89="","",IF(情景分析!$D$7=1,[2]!b_anal_net_cnbd(A89,情景分析!$D$5,1),[2]!b_anal_dirty_cnbd(A89,情景分析!$D$5,1))*IF($H89="",1,$H89))</f>
        <v/>
      </c>
      <c r="J89" s="7" t="str">
        <f>IF(A89="","",[2]!b_anal_yield_cnbd(A89,情景分析!$D$5,1))</f>
        <v/>
      </c>
      <c r="K89" s="29" t="str">
        <f>IF(A89="","",IF(情景分析!$D$7=1,[2]!b_anal_net_csi1(A89,情景分析!$D$5,1),[2]!b_anal_dirty_csi1(A89,情景分析!$D$5,1))*IF($H89="",1,$H89))</f>
        <v/>
      </c>
      <c r="L89" s="29" t="str">
        <f>IF(A89="","",[2]!b_anal_yield_csi1(A89,情景分析!$D$5,1))</f>
        <v/>
      </c>
      <c r="M89" s="29" t="str">
        <f t="shared" si="6"/>
        <v/>
      </c>
      <c r="N89" s="29" t="str">
        <f t="shared" si="7"/>
        <v/>
      </c>
      <c r="O89" s="7" t="str">
        <f>IF($A89="","",[2]!B_CALC_PRICE($A89,$O$1,IF(情景分析!$D$6=1,$J89,IF(情景分析!$D$6=2,$E89,IF(情景分析!$D$6=4,IF($C89="银行间",$J89,$L89),$G89)))+O$2/100,情景分析!$D$7,"",,,,"",)*IF($H89="",1,$H89))</f>
        <v/>
      </c>
      <c r="P89" s="7" t="str">
        <f>IF($A89="","",[2]!B_CALC_PRICE($A89,$O$1,IF(情景分析!$D$6=1,$J89,IF(情景分析!$D$6=2,$E89,IF(情景分析!$D$6=4,IF($C89="银行间",$J89,$L89),$G89)))+P$2/100,情景分析!$D$7,"",,,,"",)*IF($H89="",1,$H89))</f>
        <v/>
      </c>
      <c r="Q89" s="7" t="str">
        <f>IF($A89="","",[2]!B_CALC_PRICE($A89,$O$1,IF(情景分析!$D$6=1,$J89,IF(情景分析!$D$6=2,$E89,IF(情景分析!$D$6=4,IF($C89="银行间",$J89,$L89),$G89)))+Q$2/100,情景分析!$D$7,"",,,,"",)*IF($H89="",1,$H89))</f>
        <v/>
      </c>
      <c r="R89" s="7" t="str">
        <f>IF($A89="","",[2]!B_CALC_PRICE($A89,$O$1,IF(情景分析!$D$6=1,$J89,IF(情景分析!$D$6=2,$E89,IF(情景分析!$D$6=4,IF($C89="银行间",$J89,$L89),$G89)))+R$2/100,情景分析!$D$7,"",,,,"",)*IF($H89="",1,$H89))</f>
        <v/>
      </c>
      <c r="S89" s="7" t="str">
        <f>IF($A89="","",[2]!B_CALC_PRICE($A89,$O$1,IF(情景分析!$D$6=1,$J89,IF(情景分析!$D$6=2,$E89,IF(情景分析!$D$6=4,IF($C89="银行间",$J89,$L89),$G89)))+S$2/100,情景分析!$D$7,"",,,,"",)*IF($H89="",1,$H89))</f>
        <v/>
      </c>
      <c r="T89" s="7" t="str">
        <f>IF($A89="","",[2]!B_CALC_PRICE($A89,$O$1,IF(情景分析!$D$6=1,$J89,IF(情景分析!$D$6=2,$E89,IF(情景分析!$D$6=4,IF($C89="银行间",$J89,$L89),$G89)))+T$2/100,情景分析!$D$7,"",,,,"",)*IF($H89="",1,$H89))</f>
        <v/>
      </c>
      <c r="U89" s="7" t="str">
        <f>IF($A89="","",[2]!B_CALC_PRICE($A89,$O$1,IF(情景分析!$D$6=1,$J89,IF(情景分析!$D$6=2,$E89,IF(情景分析!$D$6=4,IF($C89="银行间",$J89,$L89),$G89)))+U$2/100,情景分析!$D$7,"",,,,"",)*IF($H89="",1,$H89))</f>
        <v/>
      </c>
      <c r="V89" s="7" t="str">
        <f>IF($A89="","",[2]!B_CALC_PRICE($A89,$V$1,IF(情景分析!$D$6=1,$J89,IF(情景分析!$D$6=2,$E89,IF(情景分析!$D$6=4,IF($C89="银行间",$J89,$L89),$G89)))+V$2/100,情景分析!$D$7,"",,,,"",)*IF($H89="",1,$H89))</f>
        <v/>
      </c>
      <c r="W89" s="7" t="str">
        <f>IF($A89="","",[2]!B_CALC_PRICE($A89,$V$1,IF(情景分析!$D$6=1,$J89,IF(情景分析!$D$6=2,$E89,IF(情景分析!$D$6=4,IF($C89="银行间",$J89,$L89),$G89)))+W$2/100,情景分析!$D$7,"",,,,"",)*IF($H89="",1,$H89))</f>
        <v/>
      </c>
      <c r="X89" s="7" t="str">
        <f>IF($A89="","",[2]!B_CALC_PRICE($A89,$V$1,IF(情景分析!$D$6=1,$J89,IF(情景分析!$D$6=2,$E89,IF(情景分析!$D$6=4,IF($C89="银行间",$J89,$L89),$G89)))+X$2/100,情景分析!$D$7,"",,,,"",)*IF($H89="",1,$H89))</f>
        <v/>
      </c>
      <c r="Y89" s="7" t="str">
        <f>IF($A89="","",[2]!B_CALC_PRICE($A89,$V$1,IF(情景分析!$D$6=1,$J89,IF(情景分析!$D$6=2,$E89,IF(情景分析!$D$6=4,IF($C89="银行间",$J89,$L89),$G89)))+Y$2/100,情景分析!$D$7,"",,,,"",)*IF($H89="",1,$H89))</f>
        <v/>
      </c>
      <c r="Z89" s="7" t="str">
        <f>IF($A89="","",[2]!B_CALC_PRICE($A89,$V$1,IF(情景分析!$D$6=1,$J89,IF(情景分析!$D$6=2,$E89,IF(情景分析!$D$6=4,IF($C89="银行间",$J89,$L89),$G89)))+Z$2/100,情景分析!$D$7,"",,,,"",)*IF($H89="",1,$H89))</f>
        <v/>
      </c>
      <c r="AA89" s="7" t="str">
        <f>IF($A89="","",[2]!B_CALC_PRICE($A89,$V$1,IF(情景分析!$D$6=1,$J89,IF(情景分析!$D$6=2,$E89,IF(情景分析!$D$6=4,IF($C89="银行间",$J89,$L89),$G89)))+AA$2/100,情景分析!$D$7,"",,,,"",)*IF($H89="",1,$H89))</f>
        <v/>
      </c>
      <c r="AB89" s="7" t="str">
        <f>IF($A89="","",[2]!B_CALC_PRICE($A89,$V$1,IF(情景分析!$D$6=1,$J89,IF(情景分析!$D$6=2,$E89,IF(情景分析!$D$6=4,IF($C89="银行间",$J89,$L89),$G89)))+AB$2/100,情景分析!$D$7,"",,,,"",)*IF($H89="",1,$H89))</f>
        <v/>
      </c>
      <c r="AC89" s="7" t="str">
        <f>IF($A89="","",[2]!B_CALC_PRICE($A89,$AC$1,IF(情景分析!$D$6=1,$J89,IF(情景分析!$D$6=2,$E89,IF(情景分析!$D$6=4,IF($C89="银行间",$J89,$L89),$G89)))+AC$2/100,情景分析!$D$7,"",,,,"",)*IF($H89="",1,$H89))</f>
        <v/>
      </c>
      <c r="AD89" s="7" t="str">
        <f>IF($A89="","",[2]!B_CALC_PRICE($A89,$AC$1,IF(情景分析!$D$6=1,$J89,IF(情景分析!$D$6=2,$E89,IF(情景分析!$D$6=4,IF($C89="银行间",$J89,$L89),$G89)))+AD$2/100,情景分析!$D$7,"",,,,"",)*IF($H89="",1,$H89))</f>
        <v/>
      </c>
      <c r="AE89" s="7" t="str">
        <f>IF($A89="","",[2]!B_CALC_PRICE($A89,$AC$1,IF(情景分析!$D$6=1,$J89,IF(情景分析!$D$6=2,$E89,IF(情景分析!$D$6=4,IF($C89="银行间",$J89,$L89),$G89)))+AE$2/100,情景分析!$D$7,"",,,,"",)*IF($H89="",1,$H89))</f>
        <v/>
      </c>
      <c r="AF89" s="7" t="str">
        <f>IF($A89="","",[2]!B_CALC_PRICE($A89,$AC$1,IF(情景分析!$D$6=1,$J89,IF(情景分析!$D$6=2,$E89,IF(情景分析!$D$6=4,IF($C89="银行间",$J89,$L89),$G89)))+AF$2/100,情景分析!$D$7,"",,,,"",)*IF($H89="",1,$H89))</f>
        <v/>
      </c>
      <c r="AG89" s="7" t="str">
        <f>IF($A89="","",[2]!B_CALC_PRICE($A89,$AC$1,IF(情景分析!$D$6=1,$J89,IF(情景分析!$D$6=2,$E89,IF(情景分析!$D$6=4,IF($C89="银行间",$J89,$L89),$G89)))+AG$2/100,情景分析!$D$7,"",,,,"",)*IF($H89="",1,$H89))</f>
        <v/>
      </c>
      <c r="AH89" s="7" t="str">
        <f>IF($A89="","",[2]!B_CALC_PRICE($A89,$AC$1,IF(情景分析!$D$6=1,$J89,IF(情景分析!$D$6=2,$E89,IF(情景分析!$D$6=4,IF($C89="银行间",$J89,$L89),$G89)))+AH$2/100,情景分析!$D$7,"",,,,"",)*IF($H89="",1,$H89))</f>
        <v/>
      </c>
      <c r="AI89" s="7" t="str">
        <f>IF($A89="","",[2]!B_CALC_PRICE($A89,$AC$1,IF(情景分析!$D$6=1,$J89,IF(情景分析!$D$6=2,$E89,IF(情景分析!$D$6=4,IF($C89="银行间",$J89,$L89),$G89)))+AI$2/100,情景分析!$D$7,"",,,,"",)*IF($H89="",1,$H89))</f>
        <v/>
      </c>
      <c r="AJ89" s="7" t="str">
        <f>IF($A89="","",[2]!B_CALC_PRICE($A89,$AJ$1,IF(情景分析!$D$6=1,$J89,IF(情景分析!$D$6=2,$E89,IF(情景分析!$D$6=4,IF($C89="银行间",$J89,$L89),$G89)))+AJ$2/100,情景分析!$D$7,"",,,,"",)*IF($H89="",1,$H89))</f>
        <v/>
      </c>
      <c r="AK89" s="7" t="str">
        <f>IF($A89="","",[2]!B_CALC_PRICE($A89,$AJ$1,IF(情景分析!$D$6=1,$J89,IF(情景分析!$D$6=2,$E89,IF(情景分析!$D$6=4,IF($C89="银行间",$J89,$L89),$G89)))+AK$2/100,情景分析!$D$7,"",,,,"",)*IF($H89="",1,$H89))</f>
        <v/>
      </c>
      <c r="AL89" s="7" t="str">
        <f>IF($A89="","",[2]!B_CALC_PRICE($A89,$AJ$1,IF(情景分析!$D$6=1,$J89,IF(情景分析!$D$6=2,$E89,IF(情景分析!$D$6=4,IF($C89="银行间",$J89,$L89),$G89)))+AL$2/100,情景分析!$D$7,"",,,,"",)*IF($H89="",1,$H89))</f>
        <v/>
      </c>
      <c r="AM89" s="7" t="str">
        <f>IF($A89="","",[2]!B_CALC_PRICE($A89,$AJ$1,IF(情景分析!$D$6=1,$J89,IF(情景分析!$D$6=2,$E89,IF(情景分析!$D$6=4,IF($C89="银行间",$J89,$L89),$G89)))+AM$2/100,情景分析!$D$7,"",,,,"",)*IF($H89="",1,$H89))</f>
        <v/>
      </c>
      <c r="AN89" s="7" t="str">
        <f>IF($A89="","",[2]!B_CALC_PRICE($A89,$AJ$1,IF(情景分析!$D$6=1,$J89,IF(情景分析!$D$6=2,$E89,IF(情景分析!$D$6=4,IF($C89="银行间",$J89,$L89),$G89)))+AN$2/100,情景分析!$D$7,"",,,,"",)*IF($H89="",1,$H89))</f>
        <v/>
      </c>
      <c r="AO89" s="7" t="str">
        <f>IF($A89="","",[2]!B_CALC_PRICE($A89,$AJ$1,IF(情景分析!$D$6=1,$J89,IF(情景分析!$D$6=2,$E89,IF(情景分析!$D$6=4,IF($C89="银行间",$J89,$L89),$G89)))+AO$2/100,情景分析!$D$7,"",,,,"",)*IF($H89="",1,$H89))</f>
        <v/>
      </c>
      <c r="AP89" s="7" t="str">
        <f>IF($A89="","",[2]!B_CALC_PRICE($A89,$AJ$1,IF(情景分析!$D$6=1,$J89,IF(情景分析!$D$6=2,$E89,IF(情景分析!$D$6=4,IF($C89="银行间",$J89,$L89),$G89)))+AP$2/100,情景分析!$D$7,"",,,,"",)*IF($H89="",1,$H89))</f>
        <v/>
      </c>
      <c r="AQ89" s="7" t="str">
        <f>IF($A89="","",[2]!B_CALC_PRICE($A89,$AQ$1,IF(情景分析!$D$6=1,$J89,IF(情景分析!$D$6=2,$E89,IF(情景分析!$D$6=4,IF($C89="银行间",$J89,$L89),$G89)))+AQ$2/100,情景分析!$D$7,"",,,,"",)*IF($H89="",1,$H89))</f>
        <v/>
      </c>
      <c r="AR89" s="7" t="str">
        <f>IF($A89="","",[2]!B_CALC_PRICE($A89,$AQ$1,IF(情景分析!$D$6=1,$J89,IF(情景分析!$D$6=2,$E89,IF(情景分析!$D$6=4,IF($C89="银行间",$J89,$L89),$G89)))+AR$2/100,情景分析!$D$7,"",,,,"",)*IF($H89="",1,$H89))</f>
        <v/>
      </c>
      <c r="AS89" s="7" t="str">
        <f>IF($A89="","",[2]!B_CALC_PRICE($A89,$AQ$1,IF(情景分析!$D$6=1,$J89,IF(情景分析!$D$6=2,$E89,IF(情景分析!$D$6=4,IF($C89="银行间",$J89,$L89),$G89)))+AS$2/100,情景分析!$D$7,"",,,,"",)*IF($H89="",1,$H89))</f>
        <v/>
      </c>
      <c r="AT89" s="7" t="str">
        <f>IF($A89="","",[2]!B_CALC_PRICE($A89,$AQ$1,IF(情景分析!$D$6=1,$J89,IF(情景分析!$D$6=2,$E89,IF(情景分析!$D$6=4,IF($C89="银行间",$J89,$L89),$G89)))+AT$2/100,情景分析!$D$7,"",,,,"",)*IF($H89="",1,$H89))</f>
        <v/>
      </c>
      <c r="AU89" s="7" t="str">
        <f>IF($A89="","",[2]!B_CALC_PRICE($A89,$AQ$1,IF(情景分析!$D$6=1,$J89,IF(情景分析!$D$6=2,$E89,IF(情景分析!$D$6=4,IF($C89="银行间",$J89,$L89),$G89)))+AU$2/100,情景分析!$D$7,"",,,,"",)*IF($H89="",1,$H89))</f>
        <v/>
      </c>
      <c r="AV89" s="7" t="str">
        <f>IF($A89="","",[2]!B_CALC_PRICE($A89,$AQ$1,IF(情景分析!$D$6=1,$J89,IF(情景分析!$D$6=2,$E89,IF(情景分析!$D$6=4,IF($C89="银行间",$J89,$L89),$G89)))+AV$2/100,情景分析!$D$7,"",,,,"",)*IF($H89="",1,$H89))</f>
        <v/>
      </c>
      <c r="AW89" s="7" t="str">
        <f>IF($A89="","",[2]!B_CALC_PRICE($A89,$AQ$1,IF(情景分析!$D$6=1,$J89,IF(情景分析!$D$6=2,$E89,IF(情景分析!$D$6=4,IF($C89="银行间",$J89,$L89),$G89)))+AW$2/100,情景分析!$D$7,"",,,,"",)*IF($H89="",1,$H89))</f>
        <v/>
      </c>
    </row>
    <row r="90" spans="1:49" x14ac:dyDescent="0.15">
      <c r="A90" s="20"/>
      <c r="B90" s="7" t="str">
        <f>IF(A90="","",[2]!b_info_name(A90))</f>
        <v/>
      </c>
      <c r="C90" s="7" t="str">
        <f>[2]!b_info_listedmkt(A90)</f>
        <v>#N/A</v>
      </c>
      <c r="D90" s="7" t="str">
        <f>IFERROR(IF(A90="","", [2]!b_dq_avgprice(A90, 情景分析!$D$5, 情景分析!$D$7) * IF($H90="",1,$H90)),0)</f>
        <v/>
      </c>
      <c r="E90" s="7" t="str">
        <f>IF(A90="","", N([2]!b_dq_avgprice(A90,情景分析!$D$5,3)))</f>
        <v/>
      </c>
      <c r="F90" s="29" t="str">
        <f>IF($G90 = "",
"",
IFERROR(
[2]!b_calc_pv(A90, 情景分析!$D$5,$G90, "1", 情景分析!$D$7),
[2]!b_calc_pv(A90, 情景分析!$D$5,$G90, "2", 情景分析!$D$7)
)
)</f>
        <v/>
      </c>
      <c r="G90" s="22"/>
      <c r="H90" s="21"/>
      <c r="I90" s="7" t="str">
        <f>IF(A90="","",IF(情景分析!$D$7=1,[2]!b_anal_net_cnbd(A90,情景分析!$D$5,1),[2]!b_anal_dirty_cnbd(A90,情景分析!$D$5,1))*IF($H90="",1,$H90))</f>
        <v/>
      </c>
      <c r="J90" s="7" t="str">
        <f>IF(A90="","",[2]!b_anal_yield_cnbd(A90,情景分析!$D$5,1))</f>
        <v/>
      </c>
      <c r="K90" s="29" t="str">
        <f>IF(A90="","",IF(情景分析!$D$7=1,[2]!b_anal_net_csi1(A90,情景分析!$D$5,1),[2]!b_anal_dirty_csi1(A90,情景分析!$D$5,1))*IF($H90="",1,$H90))</f>
        <v/>
      </c>
      <c r="L90" s="29" t="str">
        <f>IF(A90="","",[2]!b_anal_yield_csi1(A90,情景分析!$D$5,1))</f>
        <v/>
      </c>
      <c r="M90" s="29" t="str">
        <f t="shared" si="6"/>
        <v/>
      </c>
      <c r="N90" s="29" t="str">
        <f t="shared" si="7"/>
        <v/>
      </c>
      <c r="O90" s="7" t="str">
        <f>IF($A90="","",[2]!B_CALC_PRICE($A90,$O$1,IF(情景分析!$D$6=1,$J90,IF(情景分析!$D$6=2,$E90,IF(情景分析!$D$6=4,IF($C90="银行间",$J90,$L90),$G90)))+O$2/100,情景分析!$D$7,"",,,,"",)*IF($H90="",1,$H90))</f>
        <v/>
      </c>
      <c r="P90" s="7" t="str">
        <f>IF($A90="","",[2]!B_CALC_PRICE($A90,$O$1,IF(情景分析!$D$6=1,$J90,IF(情景分析!$D$6=2,$E90,IF(情景分析!$D$6=4,IF($C90="银行间",$J90,$L90),$G90)))+P$2/100,情景分析!$D$7,"",,,,"",)*IF($H90="",1,$H90))</f>
        <v/>
      </c>
      <c r="Q90" s="7" t="str">
        <f>IF($A90="","",[2]!B_CALC_PRICE($A90,$O$1,IF(情景分析!$D$6=1,$J90,IF(情景分析!$D$6=2,$E90,IF(情景分析!$D$6=4,IF($C90="银行间",$J90,$L90),$G90)))+Q$2/100,情景分析!$D$7,"",,,,"",)*IF($H90="",1,$H90))</f>
        <v/>
      </c>
      <c r="R90" s="7" t="str">
        <f>IF($A90="","",[2]!B_CALC_PRICE($A90,$O$1,IF(情景分析!$D$6=1,$J90,IF(情景分析!$D$6=2,$E90,IF(情景分析!$D$6=4,IF($C90="银行间",$J90,$L90),$G90)))+R$2/100,情景分析!$D$7,"",,,,"",)*IF($H90="",1,$H90))</f>
        <v/>
      </c>
      <c r="S90" s="7" t="str">
        <f>IF($A90="","",[2]!B_CALC_PRICE($A90,$O$1,IF(情景分析!$D$6=1,$J90,IF(情景分析!$D$6=2,$E90,IF(情景分析!$D$6=4,IF($C90="银行间",$J90,$L90),$G90)))+S$2/100,情景分析!$D$7,"",,,,"",)*IF($H90="",1,$H90))</f>
        <v/>
      </c>
      <c r="T90" s="7" t="str">
        <f>IF($A90="","",[2]!B_CALC_PRICE($A90,$O$1,IF(情景分析!$D$6=1,$J90,IF(情景分析!$D$6=2,$E90,IF(情景分析!$D$6=4,IF($C90="银行间",$J90,$L90),$G90)))+T$2/100,情景分析!$D$7,"",,,,"",)*IF($H90="",1,$H90))</f>
        <v/>
      </c>
      <c r="U90" s="7" t="str">
        <f>IF($A90="","",[2]!B_CALC_PRICE($A90,$O$1,IF(情景分析!$D$6=1,$J90,IF(情景分析!$D$6=2,$E90,IF(情景分析!$D$6=4,IF($C90="银行间",$J90,$L90),$G90)))+U$2/100,情景分析!$D$7,"",,,,"",)*IF($H90="",1,$H90))</f>
        <v/>
      </c>
      <c r="V90" s="7" t="str">
        <f>IF($A90="","",[2]!B_CALC_PRICE($A90,$V$1,IF(情景分析!$D$6=1,$J90,IF(情景分析!$D$6=2,$E90,IF(情景分析!$D$6=4,IF($C90="银行间",$J90,$L90),$G90)))+V$2/100,情景分析!$D$7,"",,,,"",)*IF($H90="",1,$H90))</f>
        <v/>
      </c>
      <c r="W90" s="7" t="str">
        <f>IF($A90="","",[2]!B_CALC_PRICE($A90,$V$1,IF(情景分析!$D$6=1,$J90,IF(情景分析!$D$6=2,$E90,IF(情景分析!$D$6=4,IF($C90="银行间",$J90,$L90),$G90)))+W$2/100,情景分析!$D$7,"",,,,"",)*IF($H90="",1,$H90))</f>
        <v/>
      </c>
      <c r="X90" s="7" t="str">
        <f>IF($A90="","",[2]!B_CALC_PRICE($A90,$V$1,IF(情景分析!$D$6=1,$J90,IF(情景分析!$D$6=2,$E90,IF(情景分析!$D$6=4,IF($C90="银行间",$J90,$L90),$G90)))+X$2/100,情景分析!$D$7,"",,,,"",)*IF($H90="",1,$H90))</f>
        <v/>
      </c>
      <c r="Y90" s="7" t="str">
        <f>IF($A90="","",[2]!B_CALC_PRICE($A90,$V$1,IF(情景分析!$D$6=1,$J90,IF(情景分析!$D$6=2,$E90,IF(情景分析!$D$6=4,IF($C90="银行间",$J90,$L90),$G90)))+Y$2/100,情景分析!$D$7,"",,,,"",)*IF($H90="",1,$H90))</f>
        <v/>
      </c>
      <c r="Z90" s="7" t="str">
        <f>IF($A90="","",[2]!B_CALC_PRICE($A90,$V$1,IF(情景分析!$D$6=1,$J90,IF(情景分析!$D$6=2,$E90,IF(情景分析!$D$6=4,IF($C90="银行间",$J90,$L90),$G90)))+Z$2/100,情景分析!$D$7,"",,,,"",)*IF($H90="",1,$H90))</f>
        <v/>
      </c>
      <c r="AA90" s="7" t="str">
        <f>IF($A90="","",[2]!B_CALC_PRICE($A90,$V$1,IF(情景分析!$D$6=1,$J90,IF(情景分析!$D$6=2,$E90,IF(情景分析!$D$6=4,IF($C90="银行间",$J90,$L90),$G90)))+AA$2/100,情景分析!$D$7,"",,,,"",)*IF($H90="",1,$H90))</f>
        <v/>
      </c>
      <c r="AB90" s="7" t="str">
        <f>IF($A90="","",[2]!B_CALC_PRICE($A90,$V$1,IF(情景分析!$D$6=1,$J90,IF(情景分析!$D$6=2,$E90,IF(情景分析!$D$6=4,IF($C90="银行间",$J90,$L90),$G90)))+AB$2/100,情景分析!$D$7,"",,,,"",)*IF($H90="",1,$H90))</f>
        <v/>
      </c>
      <c r="AC90" s="7" t="str">
        <f>IF($A90="","",[2]!B_CALC_PRICE($A90,$AC$1,IF(情景分析!$D$6=1,$J90,IF(情景分析!$D$6=2,$E90,IF(情景分析!$D$6=4,IF($C90="银行间",$J90,$L90),$G90)))+AC$2/100,情景分析!$D$7,"",,,,"",)*IF($H90="",1,$H90))</f>
        <v/>
      </c>
      <c r="AD90" s="7" t="str">
        <f>IF($A90="","",[2]!B_CALC_PRICE($A90,$AC$1,IF(情景分析!$D$6=1,$J90,IF(情景分析!$D$6=2,$E90,IF(情景分析!$D$6=4,IF($C90="银行间",$J90,$L90),$G90)))+AD$2/100,情景分析!$D$7,"",,,,"",)*IF($H90="",1,$H90))</f>
        <v/>
      </c>
      <c r="AE90" s="7" t="str">
        <f>IF($A90="","",[2]!B_CALC_PRICE($A90,$AC$1,IF(情景分析!$D$6=1,$J90,IF(情景分析!$D$6=2,$E90,IF(情景分析!$D$6=4,IF($C90="银行间",$J90,$L90),$G90)))+AE$2/100,情景分析!$D$7,"",,,,"",)*IF($H90="",1,$H90))</f>
        <v/>
      </c>
      <c r="AF90" s="7" t="str">
        <f>IF($A90="","",[2]!B_CALC_PRICE($A90,$AC$1,IF(情景分析!$D$6=1,$J90,IF(情景分析!$D$6=2,$E90,IF(情景分析!$D$6=4,IF($C90="银行间",$J90,$L90),$G90)))+AF$2/100,情景分析!$D$7,"",,,,"",)*IF($H90="",1,$H90))</f>
        <v/>
      </c>
      <c r="AG90" s="7" t="str">
        <f>IF($A90="","",[2]!B_CALC_PRICE($A90,$AC$1,IF(情景分析!$D$6=1,$J90,IF(情景分析!$D$6=2,$E90,IF(情景分析!$D$6=4,IF($C90="银行间",$J90,$L90),$G90)))+AG$2/100,情景分析!$D$7,"",,,,"",)*IF($H90="",1,$H90))</f>
        <v/>
      </c>
      <c r="AH90" s="7" t="str">
        <f>IF($A90="","",[2]!B_CALC_PRICE($A90,$AC$1,IF(情景分析!$D$6=1,$J90,IF(情景分析!$D$6=2,$E90,IF(情景分析!$D$6=4,IF($C90="银行间",$J90,$L90),$G90)))+AH$2/100,情景分析!$D$7,"",,,,"",)*IF($H90="",1,$H90))</f>
        <v/>
      </c>
      <c r="AI90" s="7" t="str">
        <f>IF($A90="","",[2]!B_CALC_PRICE($A90,$AC$1,IF(情景分析!$D$6=1,$J90,IF(情景分析!$D$6=2,$E90,IF(情景分析!$D$6=4,IF($C90="银行间",$J90,$L90),$G90)))+AI$2/100,情景分析!$D$7,"",,,,"",)*IF($H90="",1,$H90))</f>
        <v/>
      </c>
      <c r="AJ90" s="7" t="str">
        <f>IF($A90="","",[2]!B_CALC_PRICE($A90,$AJ$1,IF(情景分析!$D$6=1,$J90,IF(情景分析!$D$6=2,$E90,IF(情景分析!$D$6=4,IF($C90="银行间",$J90,$L90),$G90)))+AJ$2/100,情景分析!$D$7,"",,,,"",)*IF($H90="",1,$H90))</f>
        <v/>
      </c>
      <c r="AK90" s="7" t="str">
        <f>IF($A90="","",[2]!B_CALC_PRICE($A90,$AJ$1,IF(情景分析!$D$6=1,$J90,IF(情景分析!$D$6=2,$E90,IF(情景分析!$D$6=4,IF($C90="银行间",$J90,$L90),$G90)))+AK$2/100,情景分析!$D$7,"",,,,"",)*IF($H90="",1,$H90))</f>
        <v/>
      </c>
      <c r="AL90" s="7" t="str">
        <f>IF($A90="","",[2]!B_CALC_PRICE($A90,$AJ$1,IF(情景分析!$D$6=1,$J90,IF(情景分析!$D$6=2,$E90,IF(情景分析!$D$6=4,IF($C90="银行间",$J90,$L90),$G90)))+AL$2/100,情景分析!$D$7,"",,,,"",)*IF($H90="",1,$H90))</f>
        <v/>
      </c>
      <c r="AM90" s="7" t="str">
        <f>IF($A90="","",[2]!B_CALC_PRICE($A90,$AJ$1,IF(情景分析!$D$6=1,$J90,IF(情景分析!$D$6=2,$E90,IF(情景分析!$D$6=4,IF($C90="银行间",$J90,$L90),$G90)))+AM$2/100,情景分析!$D$7,"",,,,"",)*IF($H90="",1,$H90))</f>
        <v/>
      </c>
      <c r="AN90" s="7" t="str">
        <f>IF($A90="","",[2]!B_CALC_PRICE($A90,$AJ$1,IF(情景分析!$D$6=1,$J90,IF(情景分析!$D$6=2,$E90,IF(情景分析!$D$6=4,IF($C90="银行间",$J90,$L90),$G90)))+AN$2/100,情景分析!$D$7,"",,,,"",)*IF($H90="",1,$H90))</f>
        <v/>
      </c>
      <c r="AO90" s="7" t="str">
        <f>IF($A90="","",[2]!B_CALC_PRICE($A90,$AJ$1,IF(情景分析!$D$6=1,$J90,IF(情景分析!$D$6=2,$E90,IF(情景分析!$D$6=4,IF($C90="银行间",$J90,$L90),$G90)))+AO$2/100,情景分析!$D$7,"",,,,"",)*IF($H90="",1,$H90))</f>
        <v/>
      </c>
      <c r="AP90" s="7" t="str">
        <f>IF($A90="","",[2]!B_CALC_PRICE($A90,$AJ$1,IF(情景分析!$D$6=1,$J90,IF(情景分析!$D$6=2,$E90,IF(情景分析!$D$6=4,IF($C90="银行间",$J90,$L90),$G90)))+AP$2/100,情景分析!$D$7,"",,,,"",)*IF($H90="",1,$H90))</f>
        <v/>
      </c>
      <c r="AQ90" s="7" t="str">
        <f>IF($A90="","",[2]!B_CALC_PRICE($A90,$AQ$1,IF(情景分析!$D$6=1,$J90,IF(情景分析!$D$6=2,$E90,IF(情景分析!$D$6=4,IF($C90="银行间",$J90,$L90),$G90)))+AQ$2/100,情景分析!$D$7,"",,,,"",)*IF($H90="",1,$H90))</f>
        <v/>
      </c>
      <c r="AR90" s="7" t="str">
        <f>IF($A90="","",[2]!B_CALC_PRICE($A90,$AQ$1,IF(情景分析!$D$6=1,$J90,IF(情景分析!$D$6=2,$E90,IF(情景分析!$D$6=4,IF($C90="银行间",$J90,$L90),$G90)))+AR$2/100,情景分析!$D$7,"",,,,"",)*IF($H90="",1,$H90))</f>
        <v/>
      </c>
      <c r="AS90" s="7" t="str">
        <f>IF($A90="","",[2]!B_CALC_PRICE($A90,$AQ$1,IF(情景分析!$D$6=1,$J90,IF(情景分析!$D$6=2,$E90,IF(情景分析!$D$6=4,IF($C90="银行间",$J90,$L90),$G90)))+AS$2/100,情景分析!$D$7,"",,,,"",)*IF($H90="",1,$H90))</f>
        <v/>
      </c>
      <c r="AT90" s="7" t="str">
        <f>IF($A90="","",[2]!B_CALC_PRICE($A90,$AQ$1,IF(情景分析!$D$6=1,$J90,IF(情景分析!$D$6=2,$E90,IF(情景分析!$D$6=4,IF($C90="银行间",$J90,$L90),$G90)))+AT$2/100,情景分析!$D$7,"",,,,"",)*IF($H90="",1,$H90))</f>
        <v/>
      </c>
      <c r="AU90" s="7" t="str">
        <f>IF($A90="","",[2]!B_CALC_PRICE($A90,$AQ$1,IF(情景分析!$D$6=1,$J90,IF(情景分析!$D$6=2,$E90,IF(情景分析!$D$6=4,IF($C90="银行间",$J90,$L90),$G90)))+AU$2/100,情景分析!$D$7,"",,,,"",)*IF($H90="",1,$H90))</f>
        <v/>
      </c>
      <c r="AV90" s="7" t="str">
        <f>IF($A90="","",[2]!B_CALC_PRICE($A90,$AQ$1,IF(情景分析!$D$6=1,$J90,IF(情景分析!$D$6=2,$E90,IF(情景分析!$D$6=4,IF($C90="银行间",$J90,$L90),$G90)))+AV$2/100,情景分析!$D$7,"",,,,"",)*IF($H90="",1,$H90))</f>
        <v/>
      </c>
      <c r="AW90" s="7" t="str">
        <f>IF($A90="","",[2]!B_CALC_PRICE($A90,$AQ$1,IF(情景分析!$D$6=1,$J90,IF(情景分析!$D$6=2,$E90,IF(情景分析!$D$6=4,IF($C90="银行间",$J90,$L90),$G90)))+AW$2/100,情景分析!$D$7,"",,,,"",)*IF($H90="",1,$H90))</f>
        <v/>
      </c>
    </row>
    <row r="91" spans="1:49" x14ac:dyDescent="0.15">
      <c r="A91" s="20"/>
      <c r="B91" s="7" t="str">
        <f>IF(A91="","",[2]!b_info_name(A91))</f>
        <v/>
      </c>
      <c r="C91" s="7" t="str">
        <f>[2]!b_info_listedmkt(A91)</f>
        <v>#N/A</v>
      </c>
      <c r="D91" s="7" t="str">
        <f>IFERROR(IF(A91="","", [2]!b_dq_avgprice(A91, 情景分析!$D$5, 情景分析!$D$7) * IF($H91="",1,$H91)),0)</f>
        <v/>
      </c>
      <c r="E91" s="7" t="str">
        <f>IF(A91="","", N([2]!b_dq_avgprice(A91,情景分析!$D$5,3)))</f>
        <v/>
      </c>
      <c r="F91" s="29" t="str">
        <f>IF($G91 = "",
"",
IFERROR(
[2]!b_calc_pv(A91, 情景分析!$D$5,$G91, "1", 情景分析!$D$7),
[2]!b_calc_pv(A91, 情景分析!$D$5,$G91, "2", 情景分析!$D$7)
)
)</f>
        <v/>
      </c>
      <c r="G91" s="22"/>
      <c r="H91" s="21"/>
      <c r="I91" s="7" t="str">
        <f>IF(A91="","",IF(情景分析!$D$7=1,[2]!b_anal_net_cnbd(A91,情景分析!$D$5,1),[2]!b_anal_dirty_cnbd(A91,情景分析!$D$5,1))*IF($H91="",1,$H91))</f>
        <v/>
      </c>
      <c r="J91" s="7" t="str">
        <f>IF(A91="","",[2]!b_anal_yield_cnbd(A91,情景分析!$D$5,1))</f>
        <v/>
      </c>
      <c r="K91" s="29" t="str">
        <f>IF(A91="","",IF(情景分析!$D$7=1,[2]!b_anal_net_csi1(A91,情景分析!$D$5,1),[2]!b_anal_dirty_csi1(A91,情景分析!$D$5,1))*IF($H91="",1,$H91))</f>
        <v/>
      </c>
      <c r="L91" s="29" t="str">
        <f>IF(A91="","",[2]!b_anal_yield_csi1(A91,情景分析!$D$5,1))</f>
        <v/>
      </c>
      <c r="M91" s="29" t="str">
        <f t="shared" si="6"/>
        <v/>
      </c>
      <c r="N91" s="29" t="str">
        <f t="shared" si="7"/>
        <v/>
      </c>
      <c r="O91" s="7" t="str">
        <f>IF($A91="","",[2]!B_CALC_PRICE($A91,$O$1,IF(情景分析!$D$6=1,$J91,IF(情景分析!$D$6=2,$E91,IF(情景分析!$D$6=4,IF($C91="银行间",$J91,$L91),$G91)))+O$2/100,情景分析!$D$7,"",,,,"",)*IF($H91="",1,$H91))</f>
        <v/>
      </c>
      <c r="P91" s="7" t="str">
        <f>IF($A91="","",[2]!B_CALC_PRICE($A91,$O$1,IF(情景分析!$D$6=1,$J91,IF(情景分析!$D$6=2,$E91,IF(情景分析!$D$6=4,IF($C91="银行间",$J91,$L91),$G91)))+P$2/100,情景分析!$D$7,"",,,,"",)*IF($H91="",1,$H91))</f>
        <v/>
      </c>
      <c r="Q91" s="7" t="str">
        <f>IF($A91="","",[2]!B_CALC_PRICE($A91,$O$1,IF(情景分析!$D$6=1,$J91,IF(情景分析!$D$6=2,$E91,IF(情景分析!$D$6=4,IF($C91="银行间",$J91,$L91),$G91)))+Q$2/100,情景分析!$D$7,"",,,,"",)*IF($H91="",1,$H91))</f>
        <v/>
      </c>
      <c r="R91" s="7" t="str">
        <f>IF($A91="","",[2]!B_CALC_PRICE($A91,$O$1,IF(情景分析!$D$6=1,$J91,IF(情景分析!$D$6=2,$E91,IF(情景分析!$D$6=4,IF($C91="银行间",$J91,$L91),$G91)))+R$2/100,情景分析!$D$7,"",,,,"",)*IF($H91="",1,$H91))</f>
        <v/>
      </c>
      <c r="S91" s="7" t="str">
        <f>IF($A91="","",[2]!B_CALC_PRICE($A91,$O$1,IF(情景分析!$D$6=1,$J91,IF(情景分析!$D$6=2,$E91,IF(情景分析!$D$6=4,IF($C91="银行间",$J91,$L91),$G91)))+S$2/100,情景分析!$D$7,"",,,,"",)*IF($H91="",1,$H91))</f>
        <v/>
      </c>
      <c r="T91" s="7" t="str">
        <f>IF($A91="","",[2]!B_CALC_PRICE($A91,$O$1,IF(情景分析!$D$6=1,$J91,IF(情景分析!$D$6=2,$E91,IF(情景分析!$D$6=4,IF($C91="银行间",$J91,$L91),$G91)))+T$2/100,情景分析!$D$7,"",,,,"",)*IF($H91="",1,$H91))</f>
        <v/>
      </c>
      <c r="U91" s="7" t="str">
        <f>IF($A91="","",[2]!B_CALC_PRICE($A91,$O$1,IF(情景分析!$D$6=1,$J91,IF(情景分析!$D$6=2,$E91,IF(情景分析!$D$6=4,IF($C91="银行间",$J91,$L91),$G91)))+U$2/100,情景分析!$D$7,"",,,,"",)*IF($H91="",1,$H91))</f>
        <v/>
      </c>
      <c r="V91" s="7" t="str">
        <f>IF($A91="","",[2]!B_CALC_PRICE($A91,$V$1,IF(情景分析!$D$6=1,$J91,IF(情景分析!$D$6=2,$E91,IF(情景分析!$D$6=4,IF($C91="银行间",$J91,$L91),$G91)))+V$2/100,情景分析!$D$7,"",,,,"",)*IF($H91="",1,$H91))</f>
        <v/>
      </c>
      <c r="W91" s="7" t="str">
        <f>IF($A91="","",[2]!B_CALC_PRICE($A91,$V$1,IF(情景分析!$D$6=1,$J91,IF(情景分析!$D$6=2,$E91,IF(情景分析!$D$6=4,IF($C91="银行间",$J91,$L91),$G91)))+W$2/100,情景分析!$D$7,"",,,,"",)*IF($H91="",1,$H91))</f>
        <v/>
      </c>
      <c r="X91" s="7" t="str">
        <f>IF($A91="","",[2]!B_CALC_PRICE($A91,$V$1,IF(情景分析!$D$6=1,$J91,IF(情景分析!$D$6=2,$E91,IF(情景分析!$D$6=4,IF($C91="银行间",$J91,$L91),$G91)))+X$2/100,情景分析!$D$7,"",,,,"",)*IF($H91="",1,$H91))</f>
        <v/>
      </c>
      <c r="Y91" s="7" t="str">
        <f>IF($A91="","",[2]!B_CALC_PRICE($A91,$V$1,IF(情景分析!$D$6=1,$J91,IF(情景分析!$D$6=2,$E91,IF(情景分析!$D$6=4,IF($C91="银行间",$J91,$L91),$G91)))+Y$2/100,情景分析!$D$7,"",,,,"",)*IF($H91="",1,$H91))</f>
        <v/>
      </c>
      <c r="Z91" s="7" t="str">
        <f>IF($A91="","",[2]!B_CALC_PRICE($A91,$V$1,IF(情景分析!$D$6=1,$J91,IF(情景分析!$D$6=2,$E91,IF(情景分析!$D$6=4,IF($C91="银行间",$J91,$L91),$G91)))+Z$2/100,情景分析!$D$7,"",,,,"",)*IF($H91="",1,$H91))</f>
        <v/>
      </c>
      <c r="AA91" s="7" t="str">
        <f>IF($A91="","",[2]!B_CALC_PRICE($A91,$V$1,IF(情景分析!$D$6=1,$J91,IF(情景分析!$D$6=2,$E91,IF(情景分析!$D$6=4,IF($C91="银行间",$J91,$L91),$G91)))+AA$2/100,情景分析!$D$7,"",,,,"",)*IF($H91="",1,$H91))</f>
        <v/>
      </c>
      <c r="AB91" s="7" t="str">
        <f>IF($A91="","",[2]!B_CALC_PRICE($A91,$V$1,IF(情景分析!$D$6=1,$J91,IF(情景分析!$D$6=2,$E91,IF(情景分析!$D$6=4,IF($C91="银行间",$J91,$L91),$G91)))+AB$2/100,情景分析!$D$7,"",,,,"",)*IF($H91="",1,$H91))</f>
        <v/>
      </c>
      <c r="AC91" s="7" t="str">
        <f>IF($A91="","",[2]!B_CALC_PRICE($A91,$AC$1,IF(情景分析!$D$6=1,$J91,IF(情景分析!$D$6=2,$E91,IF(情景分析!$D$6=4,IF($C91="银行间",$J91,$L91),$G91)))+AC$2/100,情景分析!$D$7,"",,,,"",)*IF($H91="",1,$H91))</f>
        <v/>
      </c>
      <c r="AD91" s="7" t="str">
        <f>IF($A91="","",[2]!B_CALC_PRICE($A91,$AC$1,IF(情景分析!$D$6=1,$J91,IF(情景分析!$D$6=2,$E91,IF(情景分析!$D$6=4,IF($C91="银行间",$J91,$L91),$G91)))+AD$2/100,情景分析!$D$7,"",,,,"",)*IF($H91="",1,$H91))</f>
        <v/>
      </c>
      <c r="AE91" s="7" t="str">
        <f>IF($A91="","",[2]!B_CALC_PRICE($A91,$AC$1,IF(情景分析!$D$6=1,$J91,IF(情景分析!$D$6=2,$E91,IF(情景分析!$D$6=4,IF($C91="银行间",$J91,$L91),$G91)))+AE$2/100,情景分析!$D$7,"",,,,"",)*IF($H91="",1,$H91))</f>
        <v/>
      </c>
      <c r="AF91" s="7" t="str">
        <f>IF($A91="","",[2]!B_CALC_PRICE($A91,$AC$1,IF(情景分析!$D$6=1,$J91,IF(情景分析!$D$6=2,$E91,IF(情景分析!$D$6=4,IF($C91="银行间",$J91,$L91),$G91)))+AF$2/100,情景分析!$D$7,"",,,,"",)*IF($H91="",1,$H91))</f>
        <v/>
      </c>
      <c r="AG91" s="7" t="str">
        <f>IF($A91="","",[2]!B_CALC_PRICE($A91,$AC$1,IF(情景分析!$D$6=1,$J91,IF(情景分析!$D$6=2,$E91,IF(情景分析!$D$6=4,IF($C91="银行间",$J91,$L91),$G91)))+AG$2/100,情景分析!$D$7,"",,,,"",)*IF($H91="",1,$H91))</f>
        <v/>
      </c>
      <c r="AH91" s="7" t="str">
        <f>IF($A91="","",[2]!B_CALC_PRICE($A91,$AC$1,IF(情景分析!$D$6=1,$J91,IF(情景分析!$D$6=2,$E91,IF(情景分析!$D$6=4,IF($C91="银行间",$J91,$L91),$G91)))+AH$2/100,情景分析!$D$7,"",,,,"",)*IF($H91="",1,$H91))</f>
        <v/>
      </c>
      <c r="AI91" s="7" t="str">
        <f>IF($A91="","",[2]!B_CALC_PRICE($A91,$AC$1,IF(情景分析!$D$6=1,$J91,IF(情景分析!$D$6=2,$E91,IF(情景分析!$D$6=4,IF($C91="银行间",$J91,$L91),$G91)))+AI$2/100,情景分析!$D$7,"",,,,"",)*IF($H91="",1,$H91))</f>
        <v/>
      </c>
      <c r="AJ91" s="7" t="str">
        <f>IF($A91="","",[2]!B_CALC_PRICE($A91,$AJ$1,IF(情景分析!$D$6=1,$J91,IF(情景分析!$D$6=2,$E91,IF(情景分析!$D$6=4,IF($C91="银行间",$J91,$L91),$G91)))+AJ$2/100,情景分析!$D$7,"",,,,"",)*IF($H91="",1,$H91))</f>
        <v/>
      </c>
      <c r="AK91" s="7" t="str">
        <f>IF($A91="","",[2]!B_CALC_PRICE($A91,$AJ$1,IF(情景分析!$D$6=1,$J91,IF(情景分析!$D$6=2,$E91,IF(情景分析!$D$6=4,IF($C91="银行间",$J91,$L91),$G91)))+AK$2/100,情景分析!$D$7,"",,,,"",)*IF($H91="",1,$H91))</f>
        <v/>
      </c>
      <c r="AL91" s="7" t="str">
        <f>IF($A91="","",[2]!B_CALC_PRICE($A91,$AJ$1,IF(情景分析!$D$6=1,$J91,IF(情景分析!$D$6=2,$E91,IF(情景分析!$D$6=4,IF($C91="银行间",$J91,$L91),$G91)))+AL$2/100,情景分析!$D$7,"",,,,"",)*IF($H91="",1,$H91))</f>
        <v/>
      </c>
      <c r="AM91" s="7" t="str">
        <f>IF($A91="","",[2]!B_CALC_PRICE($A91,$AJ$1,IF(情景分析!$D$6=1,$J91,IF(情景分析!$D$6=2,$E91,IF(情景分析!$D$6=4,IF($C91="银行间",$J91,$L91),$G91)))+AM$2/100,情景分析!$D$7,"",,,,"",)*IF($H91="",1,$H91))</f>
        <v/>
      </c>
      <c r="AN91" s="7" t="str">
        <f>IF($A91="","",[2]!B_CALC_PRICE($A91,$AJ$1,IF(情景分析!$D$6=1,$J91,IF(情景分析!$D$6=2,$E91,IF(情景分析!$D$6=4,IF($C91="银行间",$J91,$L91),$G91)))+AN$2/100,情景分析!$D$7,"",,,,"",)*IF($H91="",1,$H91))</f>
        <v/>
      </c>
      <c r="AO91" s="7" t="str">
        <f>IF($A91="","",[2]!B_CALC_PRICE($A91,$AJ$1,IF(情景分析!$D$6=1,$J91,IF(情景分析!$D$6=2,$E91,IF(情景分析!$D$6=4,IF($C91="银行间",$J91,$L91),$G91)))+AO$2/100,情景分析!$D$7,"",,,,"",)*IF($H91="",1,$H91))</f>
        <v/>
      </c>
      <c r="AP91" s="7" t="str">
        <f>IF($A91="","",[2]!B_CALC_PRICE($A91,$AJ$1,IF(情景分析!$D$6=1,$J91,IF(情景分析!$D$6=2,$E91,IF(情景分析!$D$6=4,IF($C91="银行间",$J91,$L91),$G91)))+AP$2/100,情景分析!$D$7,"",,,,"",)*IF($H91="",1,$H91))</f>
        <v/>
      </c>
      <c r="AQ91" s="7" t="str">
        <f>IF($A91="","",[2]!B_CALC_PRICE($A91,$AQ$1,IF(情景分析!$D$6=1,$J91,IF(情景分析!$D$6=2,$E91,IF(情景分析!$D$6=4,IF($C91="银行间",$J91,$L91),$G91)))+AQ$2/100,情景分析!$D$7,"",,,,"",)*IF($H91="",1,$H91))</f>
        <v/>
      </c>
      <c r="AR91" s="7" t="str">
        <f>IF($A91="","",[2]!B_CALC_PRICE($A91,$AQ$1,IF(情景分析!$D$6=1,$J91,IF(情景分析!$D$6=2,$E91,IF(情景分析!$D$6=4,IF($C91="银行间",$J91,$L91),$G91)))+AR$2/100,情景分析!$D$7,"",,,,"",)*IF($H91="",1,$H91))</f>
        <v/>
      </c>
      <c r="AS91" s="7" t="str">
        <f>IF($A91="","",[2]!B_CALC_PRICE($A91,$AQ$1,IF(情景分析!$D$6=1,$J91,IF(情景分析!$D$6=2,$E91,IF(情景分析!$D$6=4,IF($C91="银行间",$J91,$L91),$G91)))+AS$2/100,情景分析!$D$7,"",,,,"",)*IF($H91="",1,$H91))</f>
        <v/>
      </c>
      <c r="AT91" s="7" t="str">
        <f>IF($A91="","",[2]!B_CALC_PRICE($A91,$AQ$1,IF(情景分析!$D$6=1,$J91,IF(情景分析!$D$6=2,$E91,IF(情景分析!$D$6=4,IF($C91="银行间",$J91,$L91),$G91)))+AT$2/100,情景分析!$D$7,"",,,,"",)*IF($H91="",1,$H91))</f>
        <v/>
      </c>
      <c r="AU91" s="7" t="str">
        <f>IF($A91="","",[2]!B_CALC_PRICE($A91,$AQ$1,IF(情景分析!$D$6=1,$J91,IF(情景分析!$D$6=2,$E91,IF(情景分析!$D$6=4,IF($C91="银行间",$J91,$L91),$G91)))+AU$2/100,情景分析!$D$7,"",,,,"",)*IF($H91="",1,$H91))</f>
        <v/>
      </c>
      <c r="AV91" s="7" t="str">
        <f>IF($A91="","",[2]!B_CALC_PRICE($A91,$AQ$1,IF(情景分析!$D$6=1,$J91,IF(情景分析!$D$6=2,$E91,IF(情景分析!$D$6=4,IF($C91="银行间",$J91,$L91),$G91)))+AV$2/100,情景分析!$D$7,"",,,,"",)*IF($H91="",1,$H91))</f>
        <v/>
      </c>
      <c r="AW91" s="7" t="str">
        <f>IF($A91="","",[2]!B_CALC_PRICE($A91,$AQ$1,IF(情景分析!$D$6=1,$J91,IF(情景分析!$D$6=2,$E91,IF(情景分析!$D$6=4,IF($C91="银行间",$J91,$L91),$G91)))+AW$2/100,情景分析!$D$7,"",,,,"",)*IF($H91="",1,$H91))</f>
        <v/>
      </c>
    </row>
    <row r="92" spans="1:49" x14ac:dyDescent="0.15">
      <c r="A92" s="20"/>
      <c r="B92" s="7" t="str">
        <f>IF(A92="","",[2]!b_info_name(A92))</f>
        <v/>
      </c>
      <c r="C92" s="7" t="str">
        <f>[2]!b_info_listedmkt(A92)</f>
        <v>#N/A</v>
      </c>
      <c r="D92" s="7" t="str">
        <f>IFERROR(IF(A92="","", [2]!b_dq_avgprice(A92, 情景分析!$D$5, 情景分析!$D$7) * IF($H92="",1,$H92)),0)</f>
        <v/>
      </c>
      <c r="E92" s="7" t="str">
        <f>IF(A92="","", N([2]!b_dq_avgprice(A92,情景分析!$D$5,3)))</f>
        <v/>
      </c>
      <c r="F92" s="29" t="str">
        <f>IF($G92 = "",
"",
IFERROR(
[2]!b_calc_pv(A92, 情景分析!$D$5,$G92, "1", 情景分析!$D$7),
[2]!b_calc_pv(A92, 情景分析!$D$5,$G92, "2", 情景分析!$D$7)
)
)</f>
        <v/>
      </c>
      <c r="G92" s="22"/>
      <c r="H92" s="21"/>
      <c r="I92" s="7" t="str">
        <f>IF(A92="","",IF(情景分析!$D$7=1,[2]!b_anal_net_cnbd(A92,情景分析!$D$5,1),[2]!b_anal_dirty_cnbd(A92,情景分析!$D$5,1))*IF($H92="",1,$H92))</f>
        <v/>
      </c>
      <c r="J92" s="7" t="str">
        <f>IF(A92="","",[2]!b_anal_yield_cnbd(A92,情景分析!$D$5,1))</f>
        <v/>
      </c>
      <c r="K92" s="29" t="str">
        <f>IF(A92="","",IF(情景分析!$D$7=1,[2]!b_anal_net_csi1(A92,情景分析!$D$5,1),[2]!b_anal_dirty_csi1(A92,情景分析!$D$5,1))*IF($H92="",1,$H92))</f>
        <v/>
      </c>
      <c r="L92" s="29" t="str">
        <f>IF(A92="","",[2]!b_anal_yield_csi1(A92,情景分析!$D$5,1))</f>
        <v/>
      </c>
      <c r="M92" s="29" t="str">
        <f t="shared" si="6"/>
        <v/>
      </c>
      <c r="N92" s="29" t="str">
        <f t="shared" si="7"/>
        <v/>
      </c>
      <c r="O92" s="7" t="str">
        <f>IF($A92="","",[2]!B_CALC_PRICE($A92,$O$1,IF(情景分析!$D$6=1,$J92,IF(情景分析!$D$6=2,$E92,IF(情景分析!$D$6=4,IF($C92="银行间",$J92,$L92),$G92)))+O$2/100,情景分析!$D$7,"",,,,"",)*IF($H92="",1,$H92))</f>
        <v/>
      </c>
      <c r="P92" s="7" t="str">
        <f>IF($A92="","",[2]!B_CALC_PRICE($A92,$O$1,IF(情景分析!$D$6=1,$J92,IF(情景分析!$D$6=2,$E92,IF(情景分析!$D$6=4,IF($C92="银行间",$J92,$L92),$G92)))+P$2/100,情景分析!$D$7,"",,,,"",)*IF($H92="",1,$H92))</f>
        <v/>
      </c>
      <c r="Q92" s="7" t="str">
        <f>IF($A92="","",[2]!B_CALC_PRICE($A92,$O$1,IF(情景分析!$D$6=1,$J92,IF(情景分析!$D$6=2,$E92,IF(情景分析!$D$6=4,IF($C92="银行间",$J92,$L92),$G92)))+Q$2/100,情景分析!$D$7,"",,,,"",)*IF($H92="",1,$H92))</f>
        <v/>
      </c>
      <c r="R92" s="7" t="str">
        <f>IF($A92="","",[2]!B_CALC_PRICE($A92,$O$1,IF(情景分析!$D$6=1,$J92,IF(情景分析!$D$6=2,$E92,IF(情景分析!$D$6=4,IF($C92="银行间",$J92,$L92),$G92)))+R$2/100,情景分析!$D$7,"",,,,"",)*IF($H92="",1,$H92))</f>
        <v/>
      </c>
      <c r="S92" s="7" t="str">
        <f>IF($A92="","",[2]!B_CALC_PRICE($A92,$O$1,IF(情景分析!$D$6=1,$J92,IF(情景分析!$D$6=2,$E92,IF(情景分析!$D$6=4,IF($C92="银行间",$J92,$L92),$G92)))+S$2/100,情景分析!$D$7,"",,,,"",)*IF($H92="",1,$H92))</f>
        <v/>
      </c>
      <c r="T92" s="7" t="str">
        <f>IF($A92="","",[2]!B_CALC_PRICE($A92,$O$1,IF(情景分析!$D$6=1,$J92,IF(情景分析!$D$6=2,$E92,IF(情景分析!$D$6=4,IF($C92="银行间",$J92,$L92),$G92)))+T$2/100,情景分析!$D$7,"",,,,"",)*IF($H92="",1,$H92))</f>
        <v/>
      </c>
      <c r="U92" s="7" t="str">
        <f>IF($A92="","",[2]!B_CALC_PRICE($A92,$O$1,IF(情景分析!$D$6=1,$J92,IF(情景分析!$D$6=2,$E92,IF(情景分析!$D$6=4,IF($C92="银行间",$J92,$L92),$G92)))+U$2/100,情景分析!$D$7,"",,,,"",)*IF($H92="",1,$H92))</f>
        <v/>
      </c>
      <c r="V92" s="7" t="str">
        <f>IF($A92="","",[2]!B_CALC_PRICE($A92,$V$1,IF(情景分析!$D$6=1,$J92,IF(情景分析!$D$6=2,$E92,IF(情景分析!$D$6=4,IF($C92="银行间",$J92,$L92),$G92)))+V$2/100,情景分析!$D$7,"",,,,"",)*IF($H92="",1,$H92))</f>
        <v/>
      </c>
      <c r="W92" s="7" t="str">
        <f>IF($A92="","",[2]!B_CALC_PRICE($A92,$V$1,IF(情景分析!$D$6=1,$J92,IF(情景分析!$D$6=2,$E92,IF(情景分析!$D$6=4,IF($C92="银行间",$J92,$L92),$G92)))+W$2/100,情景分析!$D$7,"",,,,"",)*IF($H92="",1,$H92))</f>
        <v/>
      </c>
      <c r="X92" s="7" t="str">
        <f>IF($A92="","",[2]!B_CALC_PRICE($A92,$V$1,IF(情景分析!$D$6=1,$J92,IF(情景分析!$D$6=2,$E92,IF(情景分析!$D$6=4,IF($C92="银行间",$J92,$L92),$G92)))+X$2/100,情景分析!$D$7,"",,,,"",)*IF($H92="",1,$H92))</f>
        <v/>
      </c>
      <c r="Y92" s="7" t="str">
        <f>IF($A92="","",[2]!B_CALC_PRICE($A92,$V$1,IF(情景分析!$D$6=1,$J92,IF(情景分析!$D$6=2,$E92,IF(情景分析!$D$6=4,IF($C92="银行间",$J92,$L92),$G92)))+Y$2/100,情景分析!$D$7,"",,,,"",)*IF($H92="",1,$H92))</f>
        <v/>
      </c>
      <c r="Z92" s="7" t="str">
        <f>IF($A92="","",[2]!B_CALC_PRICE($A92,$V$1,IF(情景分析!$D$6=1,$J92,IF(情景分析!$D$6=2,$E92,IF(情景分析!$D$6=4,IF($C92="银行间",$J92,$L92),$G92)))+Z$2/100,情景分析!$D$7,"",,,,"",)*IF($H92="",1,$H92))</f>
        <v/>
      </c>
      <c r="AA92" s="7" t="str">
        <f>IF($A92="","",[2]!B_CALC_PRICE($A92,$V$1,IF(情景分析!$D$6=1,$J92,IF(情景分析!$D$6=2,$E92,IF(情景分析!$D$6=4,IF($C92="银行间",$J92,$L92),$G92)))+AA$2/100,情景分析!$D$7,"",,,,"",)*IF($H92="",1,$H92))</f>
        <v/>
      </c>
      <c r="AB92" s="7" t="str">
        <f>IF($A92="","",[2]!B_CALC_PRICE($A92,$V$1,IF(情景分析!$D$6=1,$J92,IF(情景分析!$D$6=2,$E92,IF(情景分析!$D$6=4,IF($C92="银行间",$J92,$L92),$G92)))+AB$2/100,情景分析!$D$7,"",,,,"",)*IF($H92="",1,$H92))</f>
        <v/>
      </c>
      <c r="AC92" s="7" t="str">
        <f>IF($A92="","",[2]!B_CALC_PRICE($A92,$AC$1,IF(情景分析!$D$6=1,$J92,IF(情景分析!$D$6=2,$E92,IF(情景分析!$D$6=4,IF($C92="银行间",$J92,$L92),$G92)))+AC$2/100,情景分析!$D$7,"",,,,"",)*IF($H92="",1,$H92))</f>
        <v/>
      </c>
      <c r="AD92" s="7" t="str">
        <f>IF($A92="","",[2]!B_CALC_PRICE($A92,$AC$1,IF(情景分析!$D$6=1,$J92,IF(情景分析!$D$6=2,$E92,IF(情景分析!$D$6=4,IF($C92="银行间",$J92,$L92),$G92)))+AD$2/100,情景分析!$D$7,"",,,,"",)*IF($H92="",1,$H92))</f>
        <v/>
      </c>
      <c r="AE92" s="7" t="str">
        <f>IF($A92="","",[2]!B_CALC_PRICE($A92,$AC$1,IF(情景分析!$D$6=1,$J92,IF(情景分析!$D$6=2,$E92,IF(情景分析!$D$6=4,IF($C92="银行间",$J92,$L92),$G92)))+AE$2/100,情景分析!$D$7,"",,,,"",)*IF($H92="",1,$H92))</f>
        <v/>
      </c>
      <c r="AF92" s="7" t="str">
        <f>IF($A92="","",[2]!B_CALC_PRICE($A92,$AC$1,IF(情景分析!$D$6=1,$J92,IF(情景分析!$D$6=2,$E92,IF(情景分析!$D$6=4,IF($C92="银行间",$J92,$L92),$G92)))+AF$2/100,情景分析!$D$7,"",,,,"",)*IF($H92="",1,$H92))</f>
        <v/>
      </c>
      <c r="AG92" s="7" t="str">
        <f>IF($A92="","",[2]!B_CALC_PRICE($A92,$AC$1,IF(情景分析!$D$6=1,$J92,IF(情景分析!$D$6=2,$E92,IF(情景分析!$D$6=4,IF($C92="银行间",$J92,$L92),$G92)))+AG$2/100,情景分析!$D$7,"",,,,"",)*IF($H92="",1,$H92))</f>
        <v/>
      </c>
      <c r="AH92" s="7" t="str">
        <f>IF($A92="","",[2]!B_CALC_PRICE($A92,$AC$1,IF(情景分析!$D$6=1,$J92,IF(情景分析!$D$6=2,$E92,IF(情景分析!$D$6=4,IF($C92="银行间",$J92,$L92),$G92)))+AH$2/100,情景分析!$D$7,"",,,,"",)*IF($H92="",1,$H92))</f>
        <v/>
      </c>
      <c r="AI92" s="7" t="str">
        <f>IF($A92="","",[2]!B_CALC_PRICE($A92,$AC$1,IF(情景分析!$D$6=1,$J92,IF(情景分析!$D$6=2,$E92,IF(情景分析!$D$6=4,IF($C92="银行间",$J92,$L92),$G92)))+AI$2/100,情景分析!$D$7,"",,,,"",)*IF($H92="",1,$H92))</f>
        <v/>
      </c>
      <c r="AJ92" s="7" t="str">
        <f>IF($A92="","",[2]!B_CALC_PRICE($A92,$AJ$1,IF(情景分析!$D$6=1,$J92,IF(情景分析!$D$6=2,$E92,IF(情景分析!$D$6=4,IF($C92="银行间",$J92,$L92),$G92)))+AJ$2/100,情景分析!$D$7,"",,,,"",)*IF($H92="",1,$H92))</f>
        <v/>
      </c>
      <c r="AK92" s="7" t="str">
        <f>IF($A92="","",[2]!B_CALC_PRICE($A92,$AJ$1,IF(情景分析!$D$6=1,$J92,IF(情景分析!$D$6=2,$E92,IF(情景分析!$D$6=4,IF($C92="银行间",$J92,$L92),$G92)))+AK$2/100,情景分析!$D$7,"",,,,"",)*IF($H92="",1,$H92))</f>
        <v/>
      </c>
      <c r="AL92" s="7" t="str">
        <f>IF($A92="","",[2]!B_CALC_PRICE($A92,$AJ$1,IF(情景分析!$D$6=1,$J92,IF(情景分析!$D$6=2,$E92,IF(情景分析!$D$6=4,IF($C92="银行间",$J92,$L92),$G92)))+AL$2/100,情景分析!$D$7,"",,,,"",)*IF($H92="",1,$H92))</f>
        <v/>
      </c>
      <c r="AM92" s="7" t="str">
        <f>IF($A92="","",[2]!B_CALC_PRICE($A92,$AJ$1,IF(情景分析!$D$6=1,$J92,IF(情景分析!$D$6=2,$E92,IF(情景分析!$D$6=4,IF($C92="银行间",$J92,$L92),$G92)))+AM$2/100,情景分析!$D$7,"",,,,"",)*IF($H92="",1,$H92))</f>
        <v/>
      </c>
      <c r="AN92" s="7" t="str">
        <f>IF($A92="","",[2]!B_CALC_PRICE($A92,$AJ$1,IF(情景分析!$D$6=1,$J92,IF(情景分析!$D$6=2,$E92,IF(情景分析!$D$6=4,IF($C92="银行间",$J92,$L92),$G92)))+AN$2/100,情景分析!$D$7,"",,,,"",)*IF($H92="",1,$H92))</f>
        <v/>
      </c>
      <c r="AO92" s="7" t="str">
        <f>IF($A92="","",[2]!B_CALC_PRICE($A92,$AJ$1,IF(情景分析!$D$6=1,$J92,IF(情景分析!$D$6=2,$E92,IF(情景分析!$D$6=4,IF($C92="银行间",$J92,$L92),$G92)))+AO$2/100,情景分析!$D$7,"",,,,"",)*IF($H92="",1,$H92))</f>
        <v/>
      </c>
      <c r="AP92" s="7" t="str">
        <f>IF($A92="","",[2]!B_CALC_PRICE($A92,$AJ$1,IF(情景分析!$D$6=1,$J92,IF(情景分析!$D$6=2,$E92,IF(情景分析!$D$6=4,IF($C92="银行间",$J92,$L92),$G92)))+AP$2/100,情景分析!$D$7,"",,,,"",)*IF($H92="",1,$H92))</f>
        <v/>
      </c>
      <c r="AQ92" s="7" t="str">
        <f>IF($A92="","",[2]!B_CALC_PRICE($A92,$AQ$1,IF(情景分析!$D$6=1,$J92,IF(情景分析!$D$6=2,$E92,IF(情景分析!$D$6=4,IF($C92="银行间",$J92,$L92),$G92)))+AQ$2/100,情景分析!$D$7,"",,,,"",)*IF($H92="",1,$H92))</f>
        <v/>
      </c>
      <c r="AR92" s="7" t="str">
        <f>IF($A92="","",[2]!B_CALC_PRICE($A92,$AQ$1,IF(情景分析!$D$6=1,$J92,IF(情景分析!$D$6=2,$E92,IF(情景分析!$D$6=4,IF($C92="银行间",$J92,$L92),$G92)))+AR$2/100,情景分析!$D$7,"",,,,"",)*IF($H92="",1,$H92))</f>
        <v/>
      </c>
      <c r="AS92" s="7" t="str">
        <f>IF($A92="","",[2]!B_CALC_PRICE($A92,$AQ$1,IF(情景分析!$D$6=1,$J92,IF(情景分析!$D$6=2,$E92,IF(情景分析!$D$6=4,IF($C92="银行间",$J92,$L92),$G92)))+AS$2/100,情景分析!$D$7,"",,,,"",)*IF($H92="",1,$H92))</f>
        <v/>
      </c>
      <c r="AT92" s="7" t="str">
        <f>IF($A92="","",[2]!B_CALC_PRICE($A92,$AQ$1,IF(情景分析!$D$6=1,$J92,IF(情景分析!$D$6=2,$E92,IF(情景分析!$D$6=4,IF($C92="银行间",$J92,$L92),$G92)))+AT$2/100,情景分析!$D$7,"",,,,"",)*IF($H92="",1,$H92))</f>
        <v/>
      </c>
      <c r="AU92" s="7" t="str">
        <f>IF($A92="","",[2]!B_CALC_PRICE($A92,$AQ$1,IF(情景分析!$D$6=1,$J92,IF(情景分析!$D$6=2,$E92,IF(情景分析!$D$6=4,IF($C92="银行间",$J92,$L92),$G92)))+AU$2/100,情景分析!$D$7,"",,,,"",)*IF($H92="",1,$H92))</f>
        <v/>
      </c>
      <c r="AV92" s="7" t="str">
        <f>IF($A92="","",[2]!B_CALC_PRICE($A92,$AQ$1,IF(情景分析!$D$6=1,$J92,IF(情景分析!$D$6=2,$E92,IF(情景分析!$D$6=4,IF($C92="银行间",$J92,$L92),$G92)))+AV$2/100,情景分析!$D$7,"",,,,"",)*IF($H92="",1,$H92))</f>
        <v/>
      </c>
      <c r="AW92" s="7" t="str">
        <f>IF($A92="","",[2]!B_CALC_PRICE($A92,$AQ$1,IF(情景分析!$D$6=1,$J92,IF(情景分析!$D$6=2,$E92,IF(情景分析!$D$6=4,IF($C92="银行间",$J92,$L92),$G92)))+AW$2/100,情景分析!$D$7,"",,,,"",)*IF($H92="",1,$H92))</f>
        <v/>
      </c>
    </row>
    <row r="93" spans="1:49" x14ac:dyDescent="0.15">
      <c r="A93" s="20"/>
      <c r="B93" s="7" t="str">
        <f>IF(A93="","",[2]!b_info_name(A93))</f>
        <v/>
      </c>
      <c r="C93" s="7" t="str">
        <f>[2]!b_info_listedmkt(A93)</f>
        <v>#N/A</v>
      </c>
      <c r="D93" s="7" t="str">
        <f>IFERROR(IF(A93="","", [2]!b_dq_avgprice(A93, 情景分析!$D$5, 情景分析!$D$7) * IF($H93="",1,$H93)),0)</f>
        <v/>
      </c>
      <c r="E93" s="7" t="str">
        <f>IF(A93="","", N([2]!b_dq_avgprice(A93,情景分析!$D$5,3)))</f>
        <v/>
      </c>
      <c r="F93" s="29" t="str">
        <f>IF($G93 = "",
"",
IFERROR(
[2]!b_calc_pv(A93, 情景分析!$D$5,$G93, "1", 情景分析!$D$7),
[2]!b_calc_pv(A93, 情景分析!$D$5,$G93, "2", 情景分析!$D$7)
)
)</f>
        <v/>
      </c>
      <c r="G93" s="22"/>
      <c r="H93" s="21"/>
      <c r="I93" s="7" t="str">
        <f>IF(A93="","",IF(情景分析!$D$7=1,[2]!b_anal_net_cnbd(A93,情景分析!$D$5,1),[2]!b_anal_dirty_cnbd(A93,情景分析!$D$5,1))*IF($H93="",1,$H93))</f>
        <v/>
      </c>
      <c r="J93" s="7" t="str">
        <f>IF(A93="","",[2]!b_anal_yield_cnbd(A93,情景分析!$D$5,1))</f>
        <v/>
      </c>
      <c r="K93" s="29" t="str">
        <f>IF(A93="","",IF(情景分析!$D$7=1,[2]!b_anal_net_csi1(A93,情景分析!$D$5,1),[2]!b_anal_dirty_csi1(A93,情景分析!$D$5,1))*IF($H93="",1,$H93))</f>
        <v/>
      </c>
      <c r="L93" s="29" t="str">
        <f>IF(A93="","",[2]!b_anal_yield_csi1(A93,情景分析!$D$5,1))</f>
        <v/>
      </c>
      <c r="M93" s="29" t="str">
        <f t="shared" si="6"/>
        <v/>
      </c>
      <c r="N93" s="29" t="str">
        <f t="shared" si="7"/>
        <v/>
      </c>
      <c r="O93" s="7" t="str">
        <f>IF($A93="","",[2]!B_CALC_PRICE($A93,$O$1,IF(情景分析!$D$6=1,$J93,IF(情景分析!$D$6=2,$E93,IF(情景分析!$D$6=4,IF($C93="银行间",$J93,$L93),$G93)))+O$2/100,情景分析!$D$7,"",,,,"",)*IF($H93="",1,$H93))</f>
        <v/>
      </c>
      <c r="P93" s="7" t="str">
        <f>IF($A93="","",[2]!B_CALC_PRICE($A93,$O$1,IF(情景分析!$D$6=1,$J93,IF(情景分析!$D$6=2,$E93,IF(情景分析!$D$6=4,IF($C93="银行间",$J93,$L93),$G93)))+P$2/100,情景分析!$D$7,"",,,,"",)*IF($H93="",1,$H93))</f>
        <v/>
      </c>
      <c r="Q93" s="7" t="str">
        <f>IF($A93="","",[2]!B_CALC_PRICE($A93,$O$1,IF(情景分析!$D$6=1,$J93,IF(情景分析!$D$6=2,$E93,IF(情景分析!$D$6=4,IF($C93="银行间",$J93,$L93),$G93)))+Q$2/100,情景分析!$D$7,"",,,,"",)*IF($H93="",1,$H93))</f>
        <v/>
      </c>
      <c r="R93" s="7" t="str">
        <f>IF($A93="","",[2]!B_CALC_PRICE($A93,$O$1,IF(情景分析!$D$6=1,$J93,IF(情景分析!$D$6=2,$E93,IF(情景分析!$D$6=4,IF($C93="银行间",$J93,$L93),$G93)))+R$2/100,情景分析!$D$7,"",,,,"",)*IF($H93="",1,$H93))</f>
        <v/>
      </c>
      <c r="S93" s="7" t="str">
        <f>IF($A93="","",[2]!B_CALC_PRICE($A93,$O$1,IF(情景分析!$D$6=1,$J93,IF(情景分析!$D$6=2,$E93,IF(情景分析!$D$6=4,IF($C93="银行间",$J93,$L93),$G93)))+S$2/100,情景分析!$D$7,"",,,,"",)*IF($H93="",1,$H93))</f>
        <v/>
      </c>
      <c r="T93" s="7" t="str">
        <f>IF($A93="","",[2]!B_CALC_PRICE($A93,$O$1,IF(情景分析!$D$6=1,$J93,IF(情景分析!$D$6=2,$E93,IF(情景分析!$D$6=4,IF($C93="银行间",$J93,$L93),$G93)))+T$2/100,情景分析!$D$7,"",,,,"",)*IF($H93="",1,$H93))</f>
        <v/>
      </c>
      <c r="U93" s="7" t="str">
        <f>IF($A93="","",[2]!B_CALC_PRICE($A93,$O$1,IF(情景分析!$D$6=1,$J93,IF(情景分析!$D$6=2,$E93,IF(情景分析!$D$6=4,IF($C93="银行间",$J93,$L93),$G93)))+U$2/100,情景分析!$D$7,"",,,,"",)*IF($H93="",1,$H93))</f>
        <v/>
      </c>
      <c r="V93" s="7" t="str">
        <f>IF($A93="","",[2]!B_CALC_PRICE($A93,$V$1,IF(情景分析!$D$6=1,$J93,IF(情景分析!$D$6=2,$E93,IF(情景分析!$D$6=4,IF($C93="银行间",$J93,$L93),$G93)))+V$2/100,情景分析!$D$7,"",,,,"",)*IF($H93="",1,$H93))</f>
        <v/>
      </c>
      <c r="W93" s="7" t="str">
        <f>IF($A93="","",[2]!B_CALC_PRICE($A93,$V$1,IF(情景分析!$D$6=1,$J93,IF(情景分析!$D$6=2,$E93,IF(情景分析!$D$6=4,IF($C93="银行间",$J93,$L93),$G93)))+W$2/100,情景分析!$D$7,"",,,,"",)*IF($H93="",1,$H93))</f>
        <v/>
      </c>
      <c r="X93" s="7" t="str">
        <f>IF($A93="","",[2]!B_CALC_PRICE($A93,$V$1,IF(情景分析!$D$6=1,$J93,IF(情景分析!$D$6=2,$E93,IF(情景分析!$D$6=4,IF($C93="银行间",$J93,$L93),$G93)))+X$2/100,情景分析!$D$7,"",,,,"",)*IF($H93="",1,$H93))</f>
        <v/>
      </c>
      <c r="Y93" s="7" t="str">
        <f>IF($A93="","",[2]!B_CALC_PRICE($A93,$V$1,IF(情景分析!$D$6=1,$J93,IF(情景分析!$D$6=2,$E93,IF(情景分析!$D$6=4,IF($C93="银行间",$J93,$L93),$G93)))+Y$2/100,情景分析!$D$7,"",,,,"",)*IF($H93="",1,$H93))</f>
        <v/>
      </c>
      <c r="Z93" s="7" t="str">
        <f>IF($A93="","",[2]!B_CALC_PRICE($A93,$V$1,IF(情景分析!$D$6=1,$J93,IF(情景分析!$D$6=2,$E93,IF(情景分析!$D$6=4,IF($C93="银行间",$J93,$L93),$G93)))+Z$2/100,情景分析!$D$7,"",,,,"",)*IF($H93="",1,$H93))</f>
        <v/>
      </c>
      <c r="AA93" s="7" t="str">
        <f>IF($A93="","",[2]!B_CALC_PRICE($A93,$V$1,IF(情景分析!$D$6=1,$J93,IF(情景分析!$D$6=2,$E93,IF(情景分析!$D$6=4,IF($C93="银行间",$J93,$L93),$G93)))+AA$2/100,情景分析!$D$7,"",,,,"",)*IF($H93="",1,$H93))</f>
        <v/>
      </c>
      <c r="AB93" s="7" t="str">
        <f>IF($A93="","",[2]!B_CALC_PRICE($A93,$V$1,IF(情景分析!$D$6=1,$J93,IF(情景分析!$D$6=2,$E93,IF(情景分析!$D$6=4,IF($C93="银行间",$J93,$L93),$G93)))+AB$2/100,情景分析!$D$7,"",,,,"",)*IF($H93="",1,$H93))</f>
        <v/>
      </c>
      <c r="AC93" s="7" t="str">
        <f>IF($A93="","",[2]!B_CALC_PRICE($A93,$AC$1,IF(情景分析!$D$6=1,$J93,IF(情景分析!$D$6=2,$E93,IF(情景分析!$D$6=4,IF($C93="银行间",$J93,$L93),$G93)))+AC$2/100,情景分析!$D$7,"",,,,"",)*IF($H93="",1,$H93))</f>
        <v/>
      </c>
      <c r="AD93" s="7" t="str">
        <f>IF($A93="","",[2]!B_CALC_PRICE($A93,$AC$1,IF(情景分析!$D$6=1,$J93,IF(情景分析!$D$6=2,$E93,IF(情景分析!$D$6=4,IF($C93="银行间",$J93,$L93),$G93)))+AD$2/100,情景分析!$D$7,"",,,,"",)*IF($H93="",1,$H93))</f>
        <v/>
      </c>
      <c r="AE93" s="7" t="str">
        <f>IF($A93="","",[2]!B_CALC_PRICE($A93,$AC$1,IF(情景分析!$D$6=1,$J93,IF(情景分析!$D$6=2,$E93,IF(情景分析!$D$6=4,IF($C93="银行间",$J93,$L93),$G93)))+AE$2/100,情景分析!$D$7,"",,,,"",)*IF($H93="",1,$H93))</f>
        <v/>
      </c>
      <c r="AF93" s="7" t="str">
        <f>IF($A93="","",[2]!B_CALC_PRICE($A93,$AC$1,IF(情景分析!$D$6=1,$J93,IF(情景分析!$D$6=2,$E93,IF(情景分析!$D$6=4,IF($C93="银行间",$J93,$L93),$G93)))+AF$2/100,情景分析!$D$7,"",,,,"",)*IF($H93="",1,$H93))</f>
        <v/>
      </c>
      <c r="AG93" s="7" t="str">
        <f>IF($A93="","",[2]!B_CALC_PRICE($A93,$AC$1,IF(情景分析!$D$6=1,$J93,IF(情景分析!$D$6=2,$E93,IF(情景分析!$D$6=4,IF($C93="银行间",$J93,$L93),$G93)))+AG$2/100,情景分析!$D$7,"",,,,"",)*IF($H93="",1,$H93))</f>
        <v/>
      </c>
      <c r="AH93" s="7" t="str">
        <f>IF($A93="","",[2]!B_CALC_PRICE($A93,$AC$1,IF(情景分析!$D$6=1,$J93,IF(情景分析!$D$6=2,$E93,IF(情景分析!$D$6=4,IF($C93="银行间",$J93,$L93),$G93)))+AH$2/100,情景分析!$D$7,"",,,,"",)*IF($H93="",1,$H93))</f>
        <v/>
      </c>
      <c r="AI93" s="7" t="str">
        <f>IF($A93="","",[2]!B_CALC_PRICE($A93,$AC$1,IF(情景分析!$D$6=1,$J93,IF(情景分析!$D$6=2,$E93,IF(情景分析!$D$6=4,IF($C93="银行间",$J93,$L93),$G93)))+AI$2/100,情景分析!$D$7,"",,,,"",)*IF($H93="",1,$H93))</f>
        <v/>
      </c>
      <c r="AJ93" s="7" t="str">
        <f>IF($A93="","",[2]!B_CALC_PRICE($A93,$AJ$1,IF(情景分析!$D$6=1,$J93,IF(情景分析!$D$6=2,$E93,IF(情景分析!$D$6=4,IF($C93="银行间",$J93,$L93),$G93)))+AJ$2/100,情景分析!$D$7,"",,,,"",)*IF($H93="",1,$H93))</f>
        <v/>
      </c>
      <c r="AK93" s="7" t="str">
        <f>IF($A93="","",[2]!B_CALC_PRICE($A93,$AJ$1,IF(情景分析!$D$6=1,$J93,IF(情景分析!$D$6=2,$E93,IF(情景分析!$D$6=4,IF($C93="银行间",$J93,$L93),$G93)))+AK$2/100,情景分析!$D$7,"",,,,"",)*IF($H93="",1,$H93))</f>
        <v/>
      </c>
      <c r="AL93" s="7" t="str">
        <f>IF($A93="","",[2]!B_CALC_PRICE($A93,$AJ$1,IF(情景分析!$D$6=1,$J93,IF(情景分析!$D$6=2,$E93,IF(情景分析!$D$6=4,IF($C93="银行间",$J93,$L93),$G93)))+AL$2/100,情景分析!$D$7,"",,,,"",)*IF($H93="",1,$H93))</f>
        <v/>
      </c>
      <c r="AM93" s="7" t="str">
        <f>IF($A93="","",[2]!B_CALC_PRICE($A93,$AJ$1,IF(情景分析!$D$6=1,$J93,IF(情景分析!$D$6=2,$E93,IF(情景分析!$D$6=4,IF($C93="银行间",$J93,$L93),$G93)))+AM$2/100,情景分析!$D$7,"",,,,"",)*IF($H93="",1,$H93))</f>
        <v/>
      </c>
      <c r="AN93" s="7" t="str">
        <f>IF($A93="","",[2]!B_CALC_PRICE($A93,$AJ$1,IF(情景分析!$D$6=1,$J93,IF(情景分析!$D$6=2,$E93,IF(情景分析!$D$6=4,IF($C93="银行间",$J93,$L93),$G93)))+AN$2/100,情景分析!$D$7,"",,,,"",)*IF($H93="",1,$H93))</f>
        <v/>
      </c>
      <c r="AO93" s="7" t="str">
        <f>IF($A93="","",[2]!B_CALC_PRICE($A93,$AJ$1,IF(情景分析!$D$6=1,$J93,IF(情景分析!$D$6=2,$E93,IF(情景分析!$D$6=4,IF($C93="银行间",$J93,$L93),$G93)))+AO$2/100,情景分析!$D$7,"",,,,"",)*IF($H93="",1,$H93))</f>
        <v/>
      </c>
      <c r="AP93" s="7" t="str">
        <f>IF($A93="","",[2]!B_CALC_PRICE($A93,$AJ$1,IF(情景分析!$D$6=1,$J93,IF(情景分析!$D$6=2,$E93,IF(情景分析!$D$6=4,IF($C93="银行间",$J93,$L93),$G93)))+AP$2/100,情景分析!$D$7,"",,,,"",)*IF($H93="",1,$H93))</f>
        <v/>
      </c>
      <c r="AQ93" s="7" t="str">
        <f>IF($A93="","",[2]!B_CALC_PRICE($A93,$AQ$1,IF(情景分析!$D$6=1,$J93,IF(情景分析!$D$6=2,$E93,IF(情景分析!$D$6=4,IF($C93="银行间",$J93,$L93),$G93)))+AQ$2/100,情景分析!$D$7,"",,,,"",)*IF($H93="",1,$H93))</f>
        <v/>
      </c>
      <c r="AR93" s="7" t="str">
        <f>IF($A93="","",[2]!B_CALC_PRICE($A93,$AQ$1,IF(情景分析!$D$6=1,$J93,IF(情景分析!$D$6=2,$E93,IF(情景分析!$D$6=4,IF($C93="银行间",$J93,$L93),$G93)))+AR$2/100,情景分析!$D$7,"",,,,"",)*IF($H93="",1,$H93))</f>
        <v/>
      </c>
      <c r="AS93" s="7" t="str">
        <f>IF($A93="","",[2]!B_CALC_PRICE($A93,$AQ$1,IF(情景分析!$D$6=1,$J93,IF(情景分析!$D$6=2,$E93,IF(情景分析!$D$6=4,IF($C93="银行间",$J93,$L93),$G93)))+AS$2/100,情景分析!$D$7,"",,,,"",)*IF($H93="",1,$H93))</f>
        <v/>
      </c>
      <c r="AT93" s="7" t="str">
        <f>IF($A93="","",[2]!B_CALC_PRICE($A93,$AQ$1,IF(情景分析!$D$6=1,$J93,IF(情景分析!$D$6=2,$E93,IF(情景分析!$D$6=4,IF($C93="银行间",$J93,$L93),$G93)))+AT$2/100,情景分析!$D$7,"",,,,"",)*IF($H93="",1,$H93))</f>
        <v/>
      </c>
      <c r="AU93" s="7" t="str">
        <f>IF($A93="","",[2]!B_CALC_PRICE($A93,$AQ$1,IF(情景分析!$D$6=1,$J93,IF(情景分析!$D$6=2,$E93,IF(情景分析!$D$6=4,IF($C93="银行间",$J93,$L93),$G93)))+AU$2/100,情景分析!$D$7,"",,,,"",)*IF($H93="",1,$H93))</f>
        <v/>
      </c>
      <c r="AV93" s="7" t="str">
        <f>IF($A93="","",[2]!B_CALC_PRICE($A93,$AQ$1,IF(情景分析!$D$6=1,$J93,IF(情景分析!$D$6=2,$E93,IF(情景分析!$D$6=4,IF($C93="银行间",$J93,$L93),$G93)))+AV$2/100,情景分析!$D$7,"",,,,"",)*IF($H93="",1,$H93))</f>
        <v/>
      </c>
      <c r="AW93" s="7" t="str">
        <f>IF($A93="","",[2]!B_CALC_PRICE($A93,$AQ$1,IF(情景分析!$D$6=1,$J93,IF(情景分析!$D$6=2,$E93,IF(情景分析!$D$6=4,IF($C93="银行间",$J93,$L93),$G93)))+AW$2/100,情景分析!$D$7,"",,,,"",)*IF($H93="",1,$H93))</f>
        <v/>
      </c>
    </row>
    <row r="94" spans="1:49" x14ac:dyDescent="0.15">
      <c r="A94" s="20"/>
      <c r="B94" s="7" t="str">
        <f>IF(A94="","",[2]!b_info_name(A94))</f>
        <v/>
      </c>
      <c r="C94" s="7" t="str">
        <f>[2]!b_info_listedmkt(A94)</f>
        <v>#N/A</v>
      </c>
      <c r="D94" s="7" t="str">
        <f>IFERROR(IF(A94="","", [2]!b_dq_avgprice(A94, 情景分析!$D$5, 情景分析!$D$7) * IF($H94="",1,$H94)),0)</f>
        <v/>
      </c>
      <c r="E94" s="7" t="str">
        <f>IF(A94="","", N([2]!b_dq_avgprice(A94,情景分析!$D$5,3)))</f>
        <v/>
      </c>
      <c r="F94" s="29" t="str">
        <f>IF($G94 = "",
"",
IFERROR(
[2]!b_calc_pv(A94, 情景分析!$D$5,$G94, "1", 情景分析!$D$7),
[2]!b_calc_pv(A94, 情景分析!$D$5,$G94, "2", 情景分析!$D$7)
)
)</f>
        <v/>
      </c>
      <c r="G94" s="22"/>
      <c r="H94" s="21"/>
      <c r="I94" s="7" t="str">
        <f>IF(A94="","",IF(情景分析!$D$7=1,[2]!b_anal_net_cnbd(A94,情景分析!$D$5,1),[2]!b_anal_dirty_cnbd(A94,情景分析!$D$5,1))*IF($H94="",1,$H94))</f>
        <v/>
      </c>
      <c r="J94" s="7" t="str">
        <f>IF(A94="","",[2]!b_anal_yield_cnbd(A94,情景分析!$D$5,1))</f>
        <v/>
      </c>
      <c r="K94" s="29" t="str">
        <f>IF(A94="","",IF(情景分析!$D$7=1,[2]!b_anal_net_csi1(A94,情景分析!$D$5,1),[2]!b_anal_dirty_csi1(A94,情景分析!$D$5,1))*IF($H94="",1,$H94))</f>
        <v/>
      </c>
      <c r="L94" s="29" t="str">
        <f>IF(A94="","",[2]!b_anal_yield_csi1(A94,情景分析!$D$5,1))</f>
        <v/>
      </c>
      <c r="M94" s="29" t="str">
        <f t="shared" si="6"/>
        <v/>
      </c>
      <c r="N94" s="29" t="str">
        <f t="shared" si="7"/>
        <v/>
      </c>
      <c r="O94" s="7" t="str">
        <f>IF($A94="","",[2]!B_CALC_PRICE($A94,$O$1,IF(情景分析!$D$6=1,$J94,IF(情景分析!$D$6=2,$E94,IF(情景分析!$D$6=4,IF($C94="银行间",$J94,$L94),$G94)))+O$2/100,情景分析!$D$7,"",,,,"",)*IF($H94="",1,$H94))</f>
        <v/>
      </c>
      <c r="P94" s="7" t="str">
        <f>IF($A94="","",[2]!B_CALC_PRICE($A94,$O$1,IF(情景分析!$D$6=1,$J94,IF(情景分析!$D$6=2,$E94,IF(情景分析!$D$6=4,IF($C94="银行间",$J94,$L94),$G94)))+P$2/100,情景分析!$D$7,"",,,,"",)*IF($H94="",1,$H94))</f>
        <v/>
      </c>
      <c r="Q94" s="7" t="str">
        <f>IF($A94="","",[2]!B_CALC_PRICE($A94,$O$1,IF(情景分析!$D$6=1,$J94,IF(情景分析!$D$6=2,$E94,IF(情景分析!$D$6=4,IF($C94="银行间",$J94,$L94),$G94)))+Q$2/100,情景分析!$D$7,"",,,,"",)*IF($H94="",1,$H94))</f>
        <v/>
      </c>
      <c r="R94" s="7" t="str">
        <f>IF($A94="","",[2]!B_CALC_PRICE($A94,$O$1,IF(情景分析!$D$6=1,$J94,IF(情景分析!$D$6=2,$E94,IF(情景分析!$D$6=4,IF($C94="银行间",$J94,$L94),$G94)))+R$2/100,情景分析!$D$7,"",,,,"",)*IF($H94="",1,$H94))</f>
        <v/>
      </c>
      <c r="S94" s="7" t="str">
        <f>IF($A94="","",[2]!B_CALC_PRICE($A94,$O$1,IF(情景分析!$D$6=1,$J94,IF(情景分析!$D$6=2,$E94,IF(情景分析!$D$6=4,IF($C94="银行间",$J94,$L94),$G94)))+S$2/100,情景分析!$D$7,"",,,,"",)*IF($H94="",1,$H94))</f>
        <v/>
      </c>
      <c r="T94" s="7" t="str">
        <f>IF($A94="","",[2]!B_CALC_PRICE($A94,$O$1,IF(情景分析!$D$6=1,$J94,IF(情景分析!$D$6=2,$E94,IF(情景分析!$D$6=4,IF($C94="银行间",$J94,$L94),$G94)))+T$2/100,情景分析!$D$7,"",,,,"",)*IF($H94="",1,$H94))</f>
        <v/>
      </c>
      <c r="U94" s="7" t="str">
        <f>IF($A94="","",[2]!B_CALC_PRICE($A94,$O$1,IF(情景分析!$D$6=1,$J94,IF(情景分析!$D$6=2,$E94,IF(情景分析!$D$6=4,IF($C94="银行间",$J94,$L94),$G94)))+U$2/100,情景分析!$D$7,"",,,,"",)*IF($H94="",1,$H94))</f>
        <v/>
      </c>
      <c r="V94" s="7" t="str">
        <f>IF($A94="","",[2]!B_CALC_PRICE($A94,$V$1,IF(情景分析!$D$6=1,$J94,IF(情景分析!$D$6=2,$E94,IF(情景分析!$D$6=4,IF($C94="银行间",$J94,$L94),$G94)))+V$2/100,情景分析!$D$7,"",,,,"",)*IF($H94="",1,$H94))</f>
        <v/>
      </c>
      <c r="W94" s="7" t="str">
        <f>IF($A94="","",[2]!B_CALC_PRICE($A94,$V$1,IF(情景分析!$D$6=1,$J94,IF(情景分析!$D$6=2,$E94,IF(情景分析!$D$6=4,IF($C94="银行间",$J94,$L94),$G94)))+W$2/100,情景分析!$D$7,"",,,,"",)*IF($H94="",1,$H94))</f>
        <v/>
      </c>
      <c r="X94" s="7" t="str">
        <f>IF($A94="","",[2]!B_CALC_PRICE($A94,$V$1,IF(情景分析!$D$6=1,$J94,IF(情景分析!$D$6=2,$E94,IF(情景分析!$D$6=4,IF($C94="银行间",$J94,$L94),$G94)))+X$2/100,情景分析!$D$7,"",,,,"",)*IF($H94="",1,$H94))</f>
        <v/>
      </c>
      <c r="Y94" s="7" t="str">
        <f>IF($A94="","",[2]!B_CALC_PRICE($A94,$V$1,IF(情景分析!$D$6=1,$J94,IF(情景分析!$D$6=2,$E94,IF(情景分析!$D$6=4,IF($C94="银行间",$J94,$L94),$G94)))+Y$2/100,情景分析!$D$7,"",,,,"",)*IF($H94="",1,$H94))</f>
        <v/>
      </c>
      <c r="Z94" s="7" t="str">
        <f>IF($A94="","",[2]!B_CALC_PRICE($A94,$V$1,IF(情景分析!$D$6=1,$J94,IF(情景分析!$D$6=2,$E94,IF(情景分析!$D$6=4,IF($C94="银行间",$J94,$L94),$G94)))+Z$2/100,情景分析!$D$7,"",,,,"",)*IF($H94="",1,$H94))</f>
        <v/>
      </c>
      <c r="AA94" s="7" t="str">
        <f>IF($A94="","",[2]!B_CALC_PRICE($A94,$V$1,IF(情景分析!$D$6=1,$J94,IF(情景分析!$D$6=2,$E94,IF(情景分析!$D$6=4,IF($C94="银行间",$J94,$L94),$G94)))+AA$2/100,情景分析!$D$7,"",,,,"",)*IF($H94="",1,$H94))</f>
        <v/>
      </c>
      <c r="AB94" s="7" t="str">
        <f>IF($A94="","",[2]!B_CALC_PRICE($A94,$V$1,IF(情景分析!$D$6=1,$J94,IF(情景分析!$D$6=2,$E94,IF(情景分析!$D$6=4,IF($C94="银行间",$J94,$L94),$G94)))+AB$2/100,情景分析!$D$7,"",,,,"",)*IF($H94="",1,$H94))</f>
        <v/>
      </c>
      <c r="AC94" s="7" t="str">
        <f>IF($A94="","",[2]!B_CALC_PRICE($A94,$AC$1,IF(情景分析!$D$6=1,$J94,IF(情景分析!$D$6=2,$E94,IF(情景分析!$D$6=4,IF($C94="银行间",$J94,$L94),$G94)))+AC$2/100,情景分析!$D$7,"",,,,"",)*IF($H94="",1,$H94))</f>
        <v/>
      </c>
      <c r="AD94" s="7" t="str">
        <f>IF($A94="","",[2]!B_CALC_PRICE($A94,$AC$1,IF(情景分析!$D$6=1,$J94,IF(情景分析!$D$6=2,$E94,IF(情景分析!$D$6=4,IF($C94="银行间",$J94,$L94),$G94)))+AD$2/100,情景分析!$D$7,"",,,,"",)*IF($H94="",1,$H94))</f>
        <v/>
      </c>
      <c r="AE94" s="7" t="str">
        <f>IF($A94="","",[2]!B_CALC_PRICE($A94,$AC$1,IF(情景分析!$D$6=1,$J94,IF(情景分析!$D$6=2,$E94,IF(情景分析!$D$6=4,IF($C94="银行间",$J94,$L94),$G94)))+AE$2/100,情景分析!$D$7,"",,,,"",)*IF($H94="",1,$H94))</f>
        <v/>
      </c>
      <c r="AF94" s="7" t="str">
        <f>IF($A94="","",[2]!B_CALC_PRICE($A94,$AC$1,IF(情景分析!$D$6=1,$J94,IF(情景分析!$D$6=2,$E94,IF(情景分析!$D$6=4,IF($C94="银行间",$J94,$L94),$G94)))+AF$2/100,情景分析!$D$7,"",,,,"",)*IF($H94="",1,$H94))</f>
        <v/>
      </c>
      <c r="AG94" s="7" t="str">
        <f>IF($A94="","",[2]!B_CALC_PRICE($A94,$AC$1,IF(情景分析!$D$6=1,$J94,IF(情景分析!$D$6=2,$E94,IF(情景分析!$D$6=4,IF($C94="银行间",$J94,$L94),$G94)))+AG$2/100,情景分析!$D$7,"",,,,"",)*IF($H94="",1,$H94))</f>
        <v/>
      </c>
      <c r="AH94" s="7" t="str">
        <f>IF($A94="","",[2]!B_CALC_PRICE($A94,$AC$1,IF(情景分析!$D$6=1,$J94,IF(情景分析!$D$6=2,$E94,IF(情景分析!$D$6=4,IF($C94="银行间",$J94,$L94),$G94)))+AH$2/100,情景分析!$D$7,"",,,,"",)*IF($H94="",1,$H94))</f>
        <v/>
      </c>
      <c r="AI94" s="7" t="str">
        <f>IF($A94="","",[2]!B_CALC_PRICE($A94,$AC$1,IF(情景分析!$D$6=1,$J94,IF(情景分析!$D$6=2,$E94,IF(情景分析!$D$6=4,IF($C94="银行间",$J94,$L94),$G94)))+AI$2/100,情景分析!$D$7,"",,,,"",)*IF($H94="",1,$H94))</f>
        <v/>
      </c>
      <c r="AJ94" s="7" t="str">
        <f>IF($A94="","",[2]!B_CALC_PRICE($A94,$AJ$1,IF(情景分析!$D$6=1,$J94,IF(情景分析!$D$6=2,$E94,IF(情景分析!$D$6=4,IF($C94="银行间",$J94,$L94),$G94)))+AJ$2/100,情景分析!$D$7,"",,,,"",)*IF($H94="",1,$H94))</f>
        <v/>
      </c>
      <c r="AK94" s="7" t="str">
        <f>IF($A94="","",[2]!B_CALC_PRICE($A94,$AJ$1,IF(情景分析!$D$6=1,$J94,IF(情景分析!$D$6=2,$E94,IF(情景分析!$D$6=4,IF($C94="银行间",$J94,$L94),$G94)))+AK$2/100,情景分析!$D$7,"",,,,"",)*IF($H94="",1,$H94))</f>
        <v/>
      </c>
      <c r="AL94" s="7" t="str">
        <f>IF($A94="","",[2]!B_CALC_PRICE($A94,$AJ$1,IF(情景分析!$D$6=1,$J94,IF(情景分析!$D$6=2,$E94,IF(情景分析!$D$6=4,IF($C94="银行间",$J94,$L94),$G94)))+AL$2/100,情景分析!$D$7,"",,,,"",)*IF($H94="",1,$H94))</f>
        <v/>
      </c>
      <c r="AM94" s="7" t="str">
        <f>IF($A94="","",[2]!B_CALC_PRICE($A94,$AJ$1,IF(情景分析!$D$6=1,$J94,IF(情景分析!$D$6=2,$E94,IF(情景分析!$D$6=4,IF($C94="银行间",$J94,$L94),$G94)))+AM$2/100,情景分析!$D$7,"",,,,"",)*IF($H94="",1,$H94))</f>
        <v/>
      </c>
      <c r="AN94" s="7" t="str">
        <f>IF($A94="","",[2]!B_CALC_PRICE($A94,$AJ$1,IF(情景分析!$D$6=1,$J94,IF(情景分析!$D$6=2,$E94,IF(情景分析!$D$6=4,IF($C94="银行间",$J94,$L94),$G94)))+AN$2/100,情景分析!$D$7,"",,,,"",)*IF($H94="",1,$H94))</f>
        <v/>
      </c>
      <c r="AO94" s="7" t="str">
        <f>IF($A94="","",[2]!B_CALC_PRICE($A94,$AJ$1,IF(情景分析!$D$6=1,$J94,IF(情景分析!$D$6=2,$E94,IF(情景分析!$D$6=4,IF($C94="银行间",$J94,$L94),$G94)))+AO$2/100,情景分析!$D$7,"",,,,"",)*IF($H94="",1,$H94))</f>
        <v/>
      </c>
      <c r="AP94" s="7" t="str">
        <f>IF($A94="","",[2]!B_CALC_PRICE($A94,$AJ$1,IF(情景分析!$D$6=1,$J94,IF(情景分析!$D$6=2,$E94,IF(情景分析!$D$6=4,IF($C94="银行间",$J94,$L94),$G94)))+AP$2/100,情景分析!$D$7,"",,,,"",)*IF($H94="",1,$H94))</f>
        <v/>
      </c>
      <c r="AQ94" s="7" t="str">
        <f>IF($A94="","",[2]!B_CALC_PRICE($A94,$AQ$1,IF(情景分析!$D$6=1,$J94,IF(情景分析!$D$6=2,$E94,IF(情景分析!$D$6=4,IF($C94="银行间",$J94,$L94),$G94)))+AQ$2/100,情景分析!$D$7,"",,,,"",)*IF($H94="",1,$H94))</f>
        <v/>
      </c>
      <c r="AR94" s="7" t="str">
        <f>IF($A94="","",[2]!B_CALC_PRICE($A94,$AQ$1,IF(情景分析!$D$6=1,$J94,IF(情景分析!$D$6=2,$E94,IF(情景分析!$D$6=4,IF($C94="银行间",$J94,$L94),$G94)))+AR$2/100,情景分析!$D$7,"",,,,"",)*IF($H94="",1,$H94))</f>
        <v/>
      </c>
      <c r="AS94" s="7" t="str">
        <f>IF($A94="","",[2]!B_CALC_PRICE($A94,$AQ$1,IF(情景分析!$D$6=1,$J94,IF(情景分析!$D$6=2,$E94,IF(情景分析!$D$6=4,IF($C94="银行间",$J94,$L94),$G94)))+AS$2/100,情景分析!$D$7,"",,,,"",)*IF($H94="",1,$H94))</f>
        <v/>
      </c>
      <c r="AT94" s="7" t="str">
        <f>IF($A94="","",[2]!B_CALC_PRICE($A94,$AQ$1,IF(情景分析!$D$6=1,$J94,IF(情景分析!$D$6=2,$E94,IF(情景分析!$D$6=4,IF($C94="银行间",$J94,$L94),$G94)))+AT$2/100,情景分析!$D$7,"",,,,"",)*IF($H94="",1,$H94))</f>
        <v/>
      </c>
      <c r="AU94" s="7" t="str">
        <f>IF($A94="","",[2]!B_CALC_PRICE($A94,$AQ$1,IF(情景分析!$D$6=1,$J94,IF(情景分析!$D$6=2,$E94,IF(情景分析!$D$6=4,IF($C94="银行间",$J94,$L94),$G94)))+AU$2/100,情景分析!$D$7,"",,,,"",)*IF($H94="",1,$H94))</f>
        <v/>
      </c>
      <c r="AV94" s="7" t="str">
        <f>IF($A94="","",[2]!B_CALC_PRICE($A94,$AQ$1,IF(情景分析!$D$6=1,$J94,IF(情景分析!$D$6=2,$E94,IF(情景分析!$D$6=4,IF($C94="银行间",$J94,$L94),$G94)))+AV$2/100,情景分析!$D$7,"",,,,"",)*IF($H94="",1,$H94))</f>
        <v/>
      </c>
      <c r="AW94" s="7" t="str">
        <f>IF($A94="","",[2]!B_CALC_PRICE($A94,$AQ$1,IF(情景分析!$D$6=1,$J94,IF(情景分析!$D$6=2,$E94,IF(情景分析!$D$6=4,IF($C94="银行间",$J94,$L94),$G94)))+AW$2/100,情景分析!$D$7,"",,,,"",)*IF($H94="",1,$H94))</f>
        <v/>
      </c>
    </row>
    <row r="95" spans="1:49" x14ac:dyDescent="0.15">
      <c r="A95" s="20"/>
      <c r="B95" s="7" t="str">
        <f>IF(A95="","",[2]!b_info_name(A95))</f>
        <v/>
      </c>
      <c r="C95" s="7" t="str">
        <f>[2]!b_info_listedmkt(A95)</f>
        <v>#N/A</v>
      </c>
      <c r="D95" s="7" t="str">
        <f>IFERROR(IF(A95="","", [2]!b_dq_avgprice(A95, 情景分析!$D$5, 情景分析!$D$7) * IF($H95="",1,$H95)),0)</f>
        <v/>
      </c>
      <c r="E95" s="7" t="str">
        <f>IF(A95="","", N([2]!b_dq_avgprice(A95,情景分析!$D$5,3)))</f>
        <v/>
      </c>
      <c r="F95" s="29" t="str">
        <f>IF($G95 = "",
"",
IFERROR(
[2]!b_calc_pv(A95, 情景分析!$D$5,$G95, "1", 情景分析!$D$7),
[2]!b_calc_pv(A95, 情景分析!$D$5,$G95, "2", 情景分析!$D$7)
)
)</f>
        <v/>
      </c>
      <c r="G95" s="22"/>
      <c r="H95" s="21"/>
      <c r="I95" s="7" t="str">
        <f>IF(A95="","",IF(情景分析!$D$7=1,[2]!b_anal_net_cnbd(A95,情景分析!$D$5,1),[2]!b_anal_dirty_cnbd(A95,情景分析!$D$5,1))*IF($H95="",1,$H95))</f>
        <v/>
      </c>
      <c r="J95" s="7" t="str">
        <f>IF(A95="","",[2]!b_anal_yield_cnbd(A95,情景分析!$D$5,1))</f>
        <v/>
      </c>
      <c r="K95" s="29" t="str">
        <f>IF(A95="","",IF(情景分析!$D$7=1,[2]!b_anal_net_csi1(A95,情景分析!$D$5,1),[2]!b_anal_dirty_csi1(A95,情景分析!$D$5,1))*IF($H95="",1,$H95))</f>
        <v/>
      </c>
      <c r="L95" s="29" t="str">
        <f>IF(A95="","",[2]!b_anal_yield_csi1(A95,情景分析!$D$5,1))</f>
        <v/>
      </c>
      <c r="M95" s="29" t="str">
        <f t="shared" si="6"/>
        <v/>
      </c>
      <c r="N95" s="29" t="str">
        <f t="shared" si="7"/>
        <v/>
      </c>
      <c r="O95" s="7" t="str">
        <f>IF($A95="","",[2]!B_CALC_PRICE($A95,$O$1,IF(情景分析!$D$6=1,$J95,IF(情景分析!$D$6=2,$E95,IF(情景分析!$D$6=4,IF($C95="银行间",$J95,$L95),$G95)))+O$2/100,情景分析!$D$7,"",,,,"",)*IF($H95="",1,$H95))</f>
        <v/>
      </c>
      <c r="P95" s="7" t="str">
        <f>IF($A95="","",[2]!B_CALC_PRICE($A95,$O$1,IF(情景分析!$D$6=1,$J95,IF(情景分析!$D$6=2,$E95,IF(情景分析!$D$6=4,IF($C95="银行间",$J95,$L95),$G95)))+P$2/100,情景分析!$D$7,"",,,,"",)*IF($H95="",1,$H95))</f>
        <v/>
      </c>
      <c r="Q95" s="7" t="str">
        <f>IF($A95="","",[2]!B_CALC_PRICE($A95,$O$1,IF(情景分析!$D$6=1,$J95,IF(情景分析!$D$6=2,$E95,IF(情景分析!$D$6=4,IF($C95="银行间",$J95,$L95),$G95)))+Q$2/100,情景分析!$D$7,"",,,,"",)*IF($H95="",1,$H95))</f>
        <v/>
      </c>
      <c r="R95" s="7" t="str">
        <f>IF($A95="","",[2]!B_CALC_PRICE($A95,$O$1,IF(情景分析!$D$6=1,$J95,IF(情景分析!$D$6=2,$E95,IF(情景分析!$D$6=4,IF($C95="银行间",$J95,$L95),$G95)))+R$2/100,情景分析!$D$7,"",,,,"",)*IF($H95="",1,$H95))</f>
        <v/>
      </c>
      <c r="S95" s="7" t="str">
        <f>IF($A95="","",[2]!B_CALC_PRICE($A95,$O$1,IF(情景分析!$D$6=1,$J95,IF(情景分析!$D$6=2,$E95,IF(情景分析!$D$6=4,IF($C95="银行间",$J95,$L95),$G95)))+S$2/100,情景分析!$D$7,"",,,,"",)*IF($H95="",1,$H95))</f>
        <v/>
      </c>
      <c r="T95" s="7" t="str">
        <f>IF($A95="","",[2]!B_CALC_PRICE($A95,$O$1,IF(情景分析!$D$6=1,$J95,IF(情景分析!$D$6=2,$E95,IF(情景分析!$D$6=4,IF($C95="银行间",$J95,$L95),$G95)))+T$2/100,情景分析!$D$7,"",,,,"",)*IF($H95="",1,$H95))</f>
        <v/>
      </c>
      <c r="U95" s="7" t="str">
        <f>IF($A95="","",[2]!B_CALC_PRICE($A95,$O$1,IF(情景分析!$D$6=1,$J95,IF(情景分析!$D$6=2,$E95,IF(情景分析!$D$6=4,IF($C95="银行间",$J95,$L95),$G95)))+U$2/100,情景分析!$D$7,"",,,,"",)*IF($H95="",1,$H95))</f>
        <v/>
      </c>
      <c r="V95" s="7" t="str">
        <f>IF($A95="","",[2]!B_CALC_PRICE($A95,$V$1,IF(情景分析!$D$6=1,$J95,IF(情景分析!$D$6=2,$E95,IF(情景分析!$D$6=4,IF($C95="银行间",$J95,$L95),$G95)))+V$2/100,情景分析!$D$7,"",,,,"",)*IF($H95="",1,$H95))</f>
        <v/>
      </c>
      <c r="W95" s="7" t="str">
        <f>IF($A95="","",[2]!B_CALC_PRICE($A95,$V$1,IF(情景分析!$D$6=1,$J95,IF(情景分析!$D$6=2,$E95,IF(情景分析!$D$6=4,IF($C95="银行间",$J95,$L95),$G95)))+W$2/100,情景分析!$D$7,"",,,,"",)*IF($H95="",1,$H95))</f>
        <v/>
      </c>
      <c r="X95" s="7" t="str">
        <f>IF($A95="","",[2]!B_CALC_PRICE($A95,$V$1,IF(情景分析!$D$6=1,$J95,IF(情景分析!$D$6=2,$E95,IF(情景分析!$D$6=4,IF($C95="银行间",$J95,$L95),$G95)))+X$2/100,情景分析!$D$7,"",,,,"",)*IF($H95="",1,$H95))</f>
        <v/>
      </c>
      <c r="Y95" s="7" t="str">
        <f>IF($A95="","",[2]!B_CALC_PRICE($A95,$V$1,IF(情景分析!$D$6=1,$J95,IF(情景分析!$D$6=2,$E95,IF(情景分析!$D$6=4,IF($C95="银行间",$J95,$L95),$G95)))+Y$2/100,情景分析!$D$7,"",,,,"",)*IF($H95="",1,$H95))</f>
        <v/>
      </c>
      <c r="Z95" s="7" t="str">
        <f>IF($A95="","",[2]!B_CALC_PRICE($A95,$V$1,IF(情景分析!$D$6=1,$J95,IF(情景分析!$D$6=2,$E95,IF(情景分析!$D$6=4,IF($C95="银行间",$J95,$L95),$G95)))+Z$2/100,情景分析!$D$7,"",,,,"",)*IF($H95="",1,$H95))</f>
        <v/>
      </c>
      <c r="AA95" s="7" t="str">
        <f>IF($A95="","",[2]!B_CALC_PRICE($A95,$V$1,IF(情景分析!$D$6=1,$J95,IF(情景分析!$D$6=2,$E95,IF(情景分析!$D$6=4,IF($C95="银行间",$J95,$L95),$G95)))+AA$2/100,情景分析!$D$7,"",,,,"",)*IF($H95="",1,$H95))</f>
        <v/>
      </c>
      <c r="AB95" s="7" t="str">
        <f>IF($A95="","",[2]!B_CALC_PRICE($A95,$V$1,IF(情景分析!$D$6=1,$J95,IF(情景分析!$D$6=2,$E95,IF(情景分析!$D$6=4,IF($C95="银行间",$J95,$L95),$G95)))+AB$2/100,情景分析!$D$7,"",,,,"",)*IF($H95="",1,$H95))</f>
        <v/>
      </c>
      <c r="AC95" s="7" t="str">
        <f>IF($A95="","",[2]!B_CALC_PRICE($A95,$AC$1,IF(情景分析!$D$6=1,$J95,IF(情景分析!$D$6=2,$E95,IF(情景分析!$D$6=4,IF($C95="银行间",$J95,$L95),$G95)))+AC$2/100,情景分析!$D$7,"",,,,"",)*IF($H95="",1,$H95))</f>
        <v/>
      </c>
      <c r="AD95" s="7" t="str">
        <f>IF($A95="","",[2]!B_CALC_PRICE($A95,$AC$1,IF(情景分析!$D$6=1,$J95,IF(情景分析!$D$6=2,$E95,IF(情景分析!$D$6=4,IF($C95="银行间",$J95,$L95),$G95)))+AD$2/100,情景分析!$D$7,"",,,,"",)*IF($H95="",1,$H95))</f>
        <v/>
      </c>
      <c r="AE95" s="7" t="str">
        <f>IF($A95="","",[2]!B_CALC_PRICE($A95,$AC$1,IF(情景分析!$D$6=1,$J95,IF(情景分析!$D$6=2,$E95,IF(情景分析!$D$6=4,IF($C95="银行间",$J95,$L95),$G95)))+AE$2/100,情景分析!$D$7,"",,,,"",)*IF($H95="",1,$H95))</f>
        <v/>
      </c>
      <c r="AF95" s="7" t="str">
        <f>IF($A95="","",[2]!B_CALC_PRICE($A95,$AC$1,IF(情景分析!$D$6=1,$J95,IF(情景分析!$D$6=2,$E95,IF(情景分析!$D$6=4,IF($C95="银行间",$J95,$L95),$G95)))+AF$2/100,情景分析!$D$7,"",,,,"",)*IF($H95="",1,$H95))</f>
        <v/>
      </c>
      <c r="AG95" s="7" t="str">
        <f>IF($A95="","",[2]!B_CALC_PRICE($A95,$AC$1,IF(情景分析!$D$6=1,$J95,IF(情景分析!$D$6=2,$E95,IF(情景分析!$D$6=4,IF($C95="银行间",$J95,$L95),$G95)))+AG$2/100,情景分析!$D$7,"",,,,"",)*IF($H95="",1,$H95))</f>
        <v/>
      </c>
      <c r="AH95" s="7" t="str">
        <f>IF($A95="","",[2]!B_CALC_PRICE($A95,$AC$1,IF(情景分析!$D$6=1,$J95,IF(情景分析!$D$6=2,$E95,IF(情景分析!$D$6=4,IF($C95="银行间",$J95,$L95),$G95)))+AH$2/100,情景分析!$D$7,"",,,,"",)*IF($H95="",1,$H95))</f>
        <v/>
      </c>
      <c r="AI95" s="7" t="str">
        <f>IF($A95="","",[2]!B_CALC_PRICE($A95,$AC$1,IF(情景分析!$D$6=1,$J95,IF(情景分析!$D$6=2,$E95,IF(情景分析!$D$6=4,IF($C95="银行间",$J95,$L95),$G95)))+AI$2/100,情景分析!$D$7,"",,,,"",)*IF($H95="",1,$H95))</f>
        <v/>
      </c>
      <c r="AJ95" s="7" t="str">
        <f>IF($A95="","",[2]!B_CALC_PRICE($A95,$AJ$1,IF(情景分析!$D$6=1,$J95,IF(情景分析!$D$6=2,$E95,IF(情景分析!$D$6=4,IF($C95="银行间",$J95,$L95),$G95)))+AJ$2/100,情景分析!$D$7,"",,,,"",)*IF($H95="",1,$H95))</f>
        <v/>
      </c>
      <c r="AK95" s="7" t="str">
        <f>IF($A95="","",[2]!B_CALC_PRICE($A95,$AJ$1,IF(情景分析!$D$6=1,$J95,IF(情景分析!$D$6=2,$E95,IF(情景分析!$D$6=4,IF($C95="银行间",$J95,$L95),$G95)))+AK$2/100,情景分析!$D$7,"",,,,"",)*IF($H95="",1,$H95))</f>
        <v/>
      </c>
      <c r="AL95" s="7" t="str">
        <f>IF($A95="","",[2]!B_CALC_PRICE($A95,$AJ$1,IF(情景分析!$D$6=1,$J95,IF(情景分析!$D$6=2,$E95,IF(情景分析!$D$6=4,IF($C95="银行间",$J95,$L95),$G95)))+AL$2/100,情景分析!$D$7,"",,,,"",)*IF($H95="",1,$H95))</f>
        <v/>
      </c>
      <c r="AM95" s="7" t="str">
        <f>IF($A95="","",[2]!B_CALC_PRICE($A95,$AJ$1,IF(情景分析!$D$6=1,$J95,IF(情景分析!$D$6=2,$E95,IF(情景分析!$D$6=4,IF($C95="银行间",$J95,$L95),$G95)))+AM$2/100,情景分析!$D$7,"",,,,"",)*IF($H95="",1,$H95))</f>
        <v/>
      </c>
      <c r="AN95" s="7" t="str">
        <f>IF($A95="","",[2]!B_CALC_PRICE($A95,$AJ$1,IF(情景分析!$D$6=1,$J95,IF(情景分析!$D$6=2,$E95,IF(情景分析!$D$6=4,IF($C95="银行间",$J95,$L95),$G95)))+AN$2/100,情景分析!$D$7,"",,,,"",)*IF($H95="",1,$H95))</f>
        <v/>
      </c>
      <c r="AO95" s="7" t="str">
        <f>IF($A95="","",[2]!B_CALC_PRICE($A95,$AJ$1,IF(情景分析!$D$6=1,$J95,IF(情景分析!$D$6=2,$E95,IF(情景分析!$D$6=4,IF($C95="银行间",$J95,$L95),$G95)))+AO$2/100,情景分析!$D$7,"",,,,"",)*IF($H95="",1,$H95))</f>
        <v/>
      </c>
      <c r="AP95" s="7" t="str">
        <f>IF($A95="","",[2]!B_CALC_PRICE($A95,$AJ$1,IF(情景分析!$D$6=1,$J95,IF(情景分析!$D$6=2,$E95,IF(情景分析!$D$6=4,IF($C95="银行间",$J95,$L95),$G95)))+AP$2/100,情景分析!$D$7,"",,,,"",)*IF($H95="",1,$H95))</f>
        <v/>
      </c>
      <c r="AQ95" s="7" t="str">
        <f>IF($A95="","",[2]!B_CALC_PRICE($A95,$AQ$1,IF(情景分析!$D$6=1,$J95,IF(情景分析!$D$6=2,$E95,IF(情景分析!$D$6=4,IF($C95="银行间",$J95,$L95),$G95)))+AQ$2/100,情景分析!$D$7,"",,,,"",)*IF($H95="",1,$H95))</f>
        <v/>
      </c>
      <c r="AR95" s="7" t="str">
        <f>IF($A95="","",[2]!B_CALC_PRICE($A95,$AQ$1,IF(情景分析!$D$6=1,$J95,IF(情景分析!$D$6=2,$E95,IF(情景分析!$D$6=4,IF($C95="银行间",$J95,$L95),$G95)))+AR$2/100,情景分析!$D$7,"",,,,"",)*IF($H95="",1,$H95))</f>
        <v/>
      </c>
      <c r="AS95" s="7" t="str">
        <f>IF($A95="","",[2]!B_CALC_PRICE($A95,$AQ$1,IF(情景分析!$D$6=1,$J95,IF(情景分析!$D$6=2,$E95,IF(情景分析!$D$6=4,IF($C95="银行间",$J95,$L95),$G95)))+AS$2/100,情景分析!$D$7,"",,,,"",)*IF($H95="",1,$H95))</f>
        <v/>
      </c>
      <c r="AT95" s="7" t="str">
        <f>IF($A95="","",[2]!B_CALC_PRICE($A95,$AQ$1,IF(情景分析!$D$6=1,$J95,IF(情景分析!$D$6=2,$E95,IF(情景分析!$D$6=4,IF($C95="银行间",$J95,$L95),$G95)))+AT$2/100,情景分析!$D$7,"",,,,"",)*IF($H95="",1,$H95))</f>
        <v/>
      </c>
      <c r="AU95" s="7" t="str">
        <f>IF($A95="","",[2]!B_CALC_PRICE($A95,$AQ$1,IF(情景分析!$D$6=1,$J95,IF(情景分析!$D$6=2,$E95,IF(情景分析!$D$6=4,IF($C95="银行间",$J95,$L95),$G95)))+AU$2/100,情景分析!$D$7,"",,,,"",)*IF($H95="",1,$H95))</f>
        <v/>
      </c>
      <c r="AV95" s="7" t="str">
        <f>IF($A95="","",[2]!B_CALC_PRICE($A95,$AQ$1,IF(情景分析!$D$6=1,$J95,IF(情景分析!$D$6=2,$E95,IF(情景分析!$D$6=4,IF($C95="银行间",$J95,$L95),$G95)))+AV$2/100,情景分析!$D$7,"",,,,"",)*IF($H95="",1,$H95))</f>
        <v/>
      </c>
      <c r="AW95" s="7" t="str">
        <f>IF($A95="","",[2]!B_CALC_PRICE($A95,$AQ$1,IF(情景分析!$D$6=1,$J95,IF(情景分析!$D$6=2,$E95,IF(情景分析!$D$6=4,IF($C95="银行间",$J95,$L95),$G95)))+AW$2/100,情景分析!$D$7,"",,,,"",)*IF($H95="",1,$H95))</f>
        <v/>
      </c>
    </row>
    <row r="96" spans="1:49" x14ac:dyDescent="0.15">
      <c r="A96" s="20"/>
      <c r="B96" s="7" t="str">
        <f>IF(A96="","",[2]!b_info_name(A96))</f>
        <v/>
      </c>
      <c r="C96" s="7" t="str">
        <f>[2]!b_info_listedmkt(A96)</f>
        <v>#N/A</v>
      </c>
      <c r="D96" s="7" t="str">
        <f>IFERROR(IF(A96="","", [2]!b_dq_avgprice(A96, 情景分析!$D$5, 情景分析!$D$7) * IF($H96="",1,$H96)),0)</f>
        <v/>
      </c>
      <c r="E96" s="7" t="str">
        <f>IF(A96="","", N([2]!b_dq_avgprice(A96,情景分析!$D$5,3)))</f>
        <v/>
      </c>
      <c r="F96" s="29" t="str">
        <f>IF($G96 = "",
"",
IFERROR(
[2]!b_calc_pv(A96, 情景分析!$D$5,$G96, "1", 情景分析!$D$7),
[2]!b_calc_pv(A96, 情景分析!$D$5,$G96, "2", 情景分析!$D$7)
)
)</f>
        <v/>
      </c>
      <c r="G96" s="22"/>
      <c r="H96" s="21"/>
      <c r="I96" s="7" t="str">
        <f>IF(A96="","",IF(情景分析!$D$7=1,[2]!b_anal_net_cnbd(A96,情景分析!$D$5,1),[2]!b_anal_dirty_cnbd(A96,情景分析!$D$5,1))*IF($H96="",1,$H96))</f>
        <v/>
      </c>
      <c r="J96" s="7" t="str">
        <f>IF(A96="","",[2]!b_anal_yield_cnbd(A96,情景分析!$D$5,1))</f>
        <v/>
      </c>
      <c r="K96" s="29" t="str">
        <f>IF(A96="","",IF(情景分析!$D$7=1,[2]!b_anal_net_csi1(A96,情景分析!$D$5,1),[2]!b_anal_dirty_csi1(A96,情景分析!$D$5,1))*IF($H96="",1,$H96))</f>
        <v/>
      </c>
      <c r="L96" s="29" t="str">
        <f>IF(A96="","",[2]!b_anal_yield_csi1(A96,情景分析!$D$5,1))</f>
        <v/>
      </c>
      <c r="M96" s="29" t="str">
        <f t="shared" si="6"/>
        <v/>
      </c>
      <c r="N96" s="29" t="str">
        <f t="shared" si="7"/>
        <v/>
      </c>
      <c r="O96" s="7" t="str">
        <f>IF($A96="","",[2]!B_CALC_PRICE($A96,$O$1,IF(情景分析!$D$6=1,$J96,IF(情景分析!$D$6=2,$E96,IF(情景分析!$D$6=4,IF($C96="银行间",$J96,$L96),$G96)))+O$2/100,情景分析!$D$7,"",,,,"",)*IF($H96="",1,$H96))</f>
        <v/>
      </c>
      <c r="P96" s="7" t="str">
        <f>IF($A96="","",[2]!B_CALC_PRICE($A96,$O$1,IF(情景分析!$D$6=1,$J96,IF(情景分析!$D$6=2,$E96,IF(情景分析!$D$6=4,IF($C96="银行间",$J96,$L96),$G96)))+P$2/100,情景分析!$D$7,"",,,,"",)*IF($H96="",1,$H96))</f>
        <v/>
      </c>
      <c r="Q96" s="7" t="str">
        <f>IF($A96="","",[2]!B_CALC_PRICE($A96,$O$1,IF(情景分析!$D$6=1,$J96,IF(情景分析!$D$6=2,$E96,IF(情景分析!$D$6=4,IF($C96="银行间",$J96,$L96),$G96)))+Q$2/100,情景分析!$D$7,"",,,,"",)*IF($H96="",1,$H96))</f>
        <v/>
      </c>
      <c r="R96" s="7" t="str">
        <f>IF($A96="","",[2]!B_CALC_PRICE($A96,$O$1,IF(情景分析!$D$6=1,$J96,IF(情景分析!$D$6=2,$E96,IF(情景分析!$D$6=4,IF($C96="银行间",$J96,$L96),$G96)))+R$2/100,情景分析!$D$7,"",,,,"",)*IF($H96="",1,$H96))</f>
        <v/>
      </c>
      <c r="S96" s="7" t="str">
        <f>IF($A96="","",[2]!B_CALC_PRICE($A96,$O$1,IF(情景分析!$D$6=1,$J96,IF(情景分析!$D$6=2,$E96,IF(情景分析!$D$6=4,IF($C96="银行间",$J96,$L96),$G96)))+S$2/100,情景分析!$D$7,"",,,,"",)*IF($H96="",1,$H96))</f>
        <v/>
      </c>
      <c r="T96" s="7" t="str">
        <f>IF($A96="","",[2]!B_CALC_PRICE($A96,$O$1,IF(情景分析!$D$6=1,$J96,IF(情景分析!$D$6=2,$E96,IF(情景分析!$D$6=4,IF($C96="银行间",$J96,$L96),$G96)))+T$2/100,情景分析!$D$7,"",,,,"",)*IF($H96="",1,$H96))</f>
        <v/>
      </c>
      <c r="U96" s="7" t="str">
        <f>IF($A96="","",[2]!B_CALC_PRICE($A96,$O$1,IF(情景分析!$D$6=1,$J96,IF(情景分析!$D$6=2,$E96,IF(情景分析!$D$6=4,IF($C96="银行间",$J96,$L96),$G96)))+U$2/100,情景分析!$D$7,"",,,,"",)*IF($H96="",1,$H96))</f>
        <v/>
      </c>
      <c r="V96" s="7" t="str">
        <f>IF($A96="","",[2]!B_CALC_PRICE($A96,$V$1,IF(情景分析!$D$6=1,$J96,IF(情景分析!$D$6=2,$E96,IF(情景分析!$D$6=4,IF($C96="银行间",$J96,$L96),$G96)))+V$2/100,情景分析!$D$7,"",,,,"",)*IF($H96="",1,$H96))</f>
        <v/>
      </c>
      <c r="W96" s="7" t="str">
        <f>IF($A96="","",[2]!B_CALC_PRICE($A96,$V$1,IF(情景分析!$D$6=1,$J96,IF(情景分析!$D$6=2,$E96,IF(情景分析!$D$6=4,IF($C96="银行间",$J96,$L96),$G96)))+W$2/100,情景分析!$D$7,"",,,,"",)*IF($H96="",1,$H96))</f>
        <v/>
      </c>
      <c r="X96" s="7" t="str">
        <f>IF($A96="","",[2]!B_CALC_PRICE($A96,$V$1,IF(情景分析!$D$6=1,$J96,IF(情景分析!$D$6=2,$E96,IF(情景分析!$D$6=4,IF($C96="银行间",$J96,$L96),$G96)))+X$2/100,情景分析!$D$7,"",,,,"",)*IF($H96="",1,$H96))</f>
        <v/>
      </c>
      <c r="Y96" s="7" t="str">
        <f>IF($A96="","",[2]!B_CALC_PRICE($A96,$V$1,IF(情景分析!$D$6=1,$J96,IF(情景分析!$D$6=2,$E96,IF(情景分析!$D$6=4,IF($C96="银行间",$J96,$L96),$G96)))+Y$2/100,情景分析!$D$7,"",,,,"",)*IF($H96="",1,$H96))</f>
        <v/>
      </c>
      <c r="Z96" s="7" t="str">
        <f>IF($A96="","",[2]!B_CALC_PRICE($A96,$V$1,IF(情景分析!$D$6=1,$J96,IF(情景分析!$D$6=2,$E96,IF(情景分析!$D$6=4,IF($C96="银行间",$J96,$L96),$G96)))+Z$2/100,情景分析!$D$7,"",,,,"",)*IF($H96="",1,$H96))</f>
        <v/>
      </c>
      <c r="AA96" s="7" t="str">
        <f>IF($A96="","",[2]!B_CALC_PRICE($A96,$V$1,IF(情景分析!$D$6=1,$J96,IF(情景分析!$D$6=2,$E96,IF(情景分析!$D$6=4,IF($C96="银行间",$J96,$L96),$G96)))+AA$2/100,情景分析!$D$7,"",,,,"",)*IF($H96="",1,$H96))</f>
        <v/>
      </c>
      <c r="AB96" s="7" t="str">
        <f>IF($A96="","",[2]!B_CALC_PRICE($A96,$V$1,IF(情景分析!$D$6=1,$J96,IF(情景分析!$D$6=2,$E96,IF(情景分析!$D$6=4,IF($C96="银行间",$J96,$L96),$G96)))+AB$2/100,情景分析!$D$7,"",,,,"",)*IF($H96="",1,$H96))</f>
        <v/>
      </c>
      <c r="AC96" s="7" t="str">
        <f>IF($A96="","",[2]!B_CALC_PRICE($A96,$AC$1,IF(情景分析!$D$6=1,$J96,IF(情景分析!$D$6=2,$E96,IF(情景分析!$D$6=4,IF($C96="银行间",$J96,$L96),$G96)))+AC$2/100,情景分析!$D$7,"",,,,"",)*IF($H96="",1,$H96))</f>
        <v/>
      </c>
      <c r="AD96" s="7" t="str">
        <f>IF($A96="","",[2]!B_CALC_PRICE($A96,$AC$1,IF(情景分析!$D$6=1,$J96,IF(情景分析!$D$6=2,$E96,IF(情景分析!$D$6=4,IF($C96="银行间",$J96,$L96),$G96)))+AD$2/100,情景分析!$D$7,"",,,,"",)*IF($H96="",1,$H96))</f>
        <v/>
      </c>
      <c r="AE96" s="7" t="str">
        <f>IF($A96="","",[2]!B_CALC_PRICE($A96,$AC$1,IF(情景分析!$D$6=1,$J96,IF(情景分析!$D$6=2,$E96,IF(情景分析!$D$6=4,IF($C96="银行间",$J96,$L96),$G96)))+AE$2/100,情景分析!$D$7,"",,,,"",)*IF($H96="",1,$H96))</f>
        <v/>
      </c>
      <c r="AF96" s="7" t="str">
        <f>IF($A96="","",[2]!B_CALC_PRICE($A96,$AC$1,IF(情景分析!$D$6=1,$J96,IF(情景分析!$D$6=2,$E96,IF(情景分析!$D$6=4,IF($C96="银行间",$J96,$L96),$G96)))+AF$2/100,情景分析!$D$7,"",,,,"",)*IF($H96="",1,$H96))</f>
        <v/>
      </c>
      <c r="AG96" s="7" t="str">
        <f>IF($A96="","",[2]!B_CALC_PRICE($A96,$AC$1,IF(情景分析!$D$6=1,$J96,IF(情景分析!$D$6=2,$E96,IF(情景分析!$D$6=4,IF($C96="银行间",$J96,$L96),$G96)))+AG$2/100,情景分析!$D$7,"",,,,"",)*IF($H96="",1,$H96))</f>
        <v/>
      </c>
      <c r="AH96" s="7" t="str">
        <f>IF($A96="","",[2]!B_CALC_PRICE($A96,$AC$1,IF(情景分析!$D$6=1,$J96,IF(情景分析!$D$6=2,$E96,IF(情景分析!$D$6=4,IF($C96="银行间",$J96,$L96),$G96)))+AH$2/100,情景分析!$D$7,"",,,,"",)*IF($H96="",1,$H96))</f>
        <v/>
      </c>
      <c r="AI96" s="7" t="str">
        <f>IF($A96="","",[2]!B_CALC_PRICE($A96,$AC$1,IF(情景分析!$D$6=1,$J96,IF(情景分析!$D$6=2,$E96,IF(情景分析!$D$6=4,IF($C96="银行间",$J96,$L96),$G96)))+AI$2/100,情景分析!$D$7,"",,,,"",)*IF($H96="",1,$H96))</f>
        <v/>
      </c>
      <c r="AJ96" s="7" t="str">
        <f>IF($A96="","",[2]!B_CALC_PRICE($A96,$AJ$1,IF(情景分析!$D$6=1,$J96,IF(情景分析!$D$6=2,$E96,IF(情景分析!$D$6=4,IF($C96="银行间",$J96,$L96),$G96)))+AJ$2/100,情景分析!$D$7,"",,,,"",)*IF($H96="",1,$H96))</f>
        <v/>
      </c>
      <c r="AK96" s="7" t="str">
        <f>IF($A96="","",[2]!B_CALC_PRICE($A96,$AJ$1,IF(情景分析!$D$6=1,$J96,IF(情景分析!$D$6=2,$E96,IF(情景分析!$D$6=4,IF($C96="银行间",$J96,$L96),$G96)))+AK$2/100,情景分析!$D$7,"",,,,"",)*IF($H96="",1,$H96))</f>
        <v/>
      </c>
      <c r="AL96" s="7" t="str">
        <f>IF($A96="","",[2]!B_CALC_PRICE($A96,$AJ$1,IF(情景分析!$D$6=1,$J96,IF(情景分析!$D$6=2,$E96,IF(情景分析!$D$6=4,IF($C96="银行间",$J96,$L96),$G96)))+AL$2/100,情景分析!$D$7,"",,,,"",)*IF($H96="",1,$H96))</f>
        <v/>
      </c>
      <c r="AM96" s="7" t="str">
        <f>IF($A96="","",[2]!B_CALC_PRICE($A96,$AJ$1,IF(情景分析!$D$6=1,$J96,IF(情景分析!$D$6=2,$E96,IF(情景分析!$D$6=4,IF($C96="银行间",$J96,$L96),$G96)))+AM$2/100,情景分析!$D$7,"",,,,"",)*IF($H96="",1,$H96))</f>
        <v/>
      </c>
      <c r="AN96" s="7" t="str">
        <f>IF($A96="","",[2]!B_CALC_PRICE($A96,$AJ$1,IF(情景分析!$D$6=1,$J96,IF(情景分析!$D$6=2,$E96,IF(情景分析!$D$6=4,IF($C96="银行间",$J96,$L96),$G96)))+AN$2/100,情景分析!$D$7,"",,,,"",)*IF($H96="",1,$H96))</f>
        <v/>
      </c>
      <c r="AO96" s="7" t="str">
        <f>IF($A96="","",[2]!B_CALC_PRICE($A96,$AJ$1,IF(情景分析!$D$6=1,$J96,IF(情景分析!$D$6=2,$E96,IF(情景分析!$D$6=4,IF($C96="银行间",$J96,$L96),$G96)))+AO$2/100,情景分析!$D$7,"",,,,"",)*IF($H96="",1,$H96))</f>
        <v/>
      </c>
      <c r="AP96" s="7" t="str">
        <f>IF($A96="","",[2]!B_CALC_PRICE($A96,$AJ$1,IF(情景分析!$D$6=1,$J96,IF(情景分析!$D$6=2,$E96,IF(情景分析!$D$6=4,IF($C96="银行间",$J96,$L96),$G96)))+AP$2/100,情景分析!$D$7,"",,,,"",)*IF($H96="",1,$H96))</f>
        <v/>
      </c>
      <c r="AQ96" s="7" t="str">
        <f>IF($A96="","",[2]!B_CALC_PRICE($A96,$AQ$1,IF(情景分析!$D$6=1,$J96,IF(情景分析!$D$6=2,$E96,IF(情景分析!$D$6=4,IF($C96="银行间",$J96,$L96),$G96)))+AQ$2/100,情景分析!$D$7,"",,,,"",)*IF($H96="",1,$H96))</f>
        <v/>
      </c>
      <c r="AR96" s="7" t="str">
        <f>IF($A96="","",[2]!B_CALC_PRICE($A96,$AQ$1,IF(情景分析!$D$6=1,$J96,IF(情景分析!$D$6=2,$E96,IF(情景分析!$D$6=4,IF($C96="银行间",$J96,$L96),$G96)))+AR$2/100,情景分析!$D$7,"",,,,"",)*IF($H96="",1,$H96))</f>
        <v/>
      </c>
      <c r="AS96" s="7" t="str">
        <f>IF($A96="","",[2]!B_CALC_PRICE($A96,$AQ$1,IF(情景分析!$D$6=1,$J96,IF(情景分析!$D$6=2,$E96,IF(情景分析!$D$6=4,IF($C96="银行间",$J96,$L96),$G96)))+AS$2/100,情景分析!$D$7,"",,,,"",)*IF($H96="",1,$H96))</f>
        <v/>
      </c>
      <c r="AT96" s="7" t="str">
        <f>IF($A96="","",[2]!B_CALC_PRICE($A96,$AQ$1,IF(情景分析!$D$6=1,$J96,IF(情景分析!$D$6=2,$E96,IF(情景分析!$D$6=4,IF($C96="银行间",$J96,$L96),$G96)))+AT$2/100,情景分析!$D$7,"",,,,"",)*IF($H96="",1,$H96))</f>
        <v/>
      </c>
      <c r="AU96" s="7" t="str">
        <f>IF($A96="","",[2]!B_CALC_PRICE($A96,$AQ$1,IF(情景分析!$D$6=1,$J96,IF(情景分析!$D$6=2,$E96,IF(情景分析!$D$6=4,IF($C96="银行间",$J96,$L96),$G96)))+AU$2/100,情景分析!$D$7,"",,,,"",)*IF($H96="",1,$H96))</f>
        <v/>
      </c>
      <c r="AV96" s="7" t="str">
        <f>IF($A96="","",[2]!B_CALC_PRICE($A96,$AQ$1,IF(情景分析!$D$6=1,$J96,IF(情景分析!$D$6=2,$E96,IF(情景分析!$D$6=4,IF($C96="银行间",$J96,$L96),$G96)))+AV$2/100,情景分析!$D$7,"",,,,"",)*IF($H96="",1,$H96))</f>
        <v/>
      </c>
      <c r="AW96" s="7" t="str">
        <f>IF($A96="","",[2]!B_CALC_PRICE($A96,$AQ$1,IF(情景分析!$D$6=1,$J96,IF(情景分析!$D$6=2,$E96,IF(情景分析!$D$6=4,IF($C96="银行间",$J96,$L96),$G96)))+AW$2/100,情景分析!$D$7,"",,,,"",)*IF($H96="",1,$H96))</f>
        <v/>
      </c>
    </row>
    <row r="97" spans="1:49" x14ac:dyDescent="0.15">
      <c r="A97" s="20"/>
      <c r="B97" s="7" t="str">
        <f>IF(A97="","",[2]!b_info_name(A97))</f>
        <v/>
      </c>
      <c r="C97" s="7" t="str">
        <f>[2]!b_info_listedmkt(A97)</f>
        <v>#N/A</v>
      </c>
      <c r="D97" s="7" t="str">
        <f>IFERROR(IF(A97="","", [2]!b_dq_avgprice(A97, 情景分析!$D$5, 情景分析!$D$7) * IF($H97="",1,$H97)),0)</f>
        <v/>
      </c>
      <c r="E97" s="7" t="str">
        <f>IF(A97="","", N([2]!b_dq_avgprice(A97,情景分析!$D$5,3)))</f>
        <v/>
      </c>
      <c r="F97" s="29" t="str">
        <f>IF($G97 = "",
"",
IFERROR(
[2]!b_calc_pv(A97, 情景分析!$D$5,$G97, "1", 情景分析!$D$7),
[2]!b_calc_pv(A97, 情景分析!$D$5,$G97, "2", 情景分析!$D$7)
)
)</f>
        <v/>
      </c>
      <c r="G97" s="22"/>
      <c r="H97" s="21"/>
      <c r="I97" s="7" t="str">
        <f>IF(A97="","",IF(情景分析!$D$7=1,[2]!b_anal_net_cnbd(A97,情景分析!$D$5,1),[2]!b_anal_dirty_cnbd(A97,情景分析!$D$5,1))*IF($H97="",1,$H97))</f>
        <v/>
      </c>
      <c r="J97" s="7" t="str">
        <f>IF(A97="","",[2]!b_anal_yield_cnbd(A97,情景分析!$D$5,1))</f>
        <v/>
      </c>
      <c r="K97" s="29" t="str">
        <f>IF(A97="","",IF(情景分析!$D$7=1,[2]!b_anal_net_csi1(A97,情景分析!$D$5,1),[2]!b_anal_dirty_csi1(A97,情景分析!$D$5,1))*IF($H97="",1,$H97))</f>
        <v/>
      </c>
      <c r="L97" s="29" t="str">
        <f>IF(A97="","",[2]!b_anal_yield_csi1(A97,情景分析!$D$5,1))</f>
        <v/>
      </c>
      <c r="M97" s="29" t="str">
        <f t="shared" si="6"/>
        <v/>
      </c>
      <c r="N97" s="29" t="str">
        <f t="shared" si="7"/>
        <v/>
      </c>
      <c r="O97" s="7" t="str">
        <f>IF($A97="","",[2]!B_CALC_PRICE($A97,$O$1,IF(情景分析!$D$6=1,$J97,IF(情景分析!$D$6=2,$E97,IF(情景分析!$D$6=4,IF($C97="银行间",$J97,$L97),$G97)))+O$2/100,情景分析!$D$7,"",,,,"",)*IF($H97="",1,$H97))</f>
        <v/>
      </c>
      <c r="P97" s="7" t="str">
        <f>IF($A97="","",[2]!B_CALC_PRICE($A97,$O$1,IF(情景分析!$D$6=1,$J97,IF(情景分析!$D$6=2,$E97,IF(情景分析!$D$6=4,IF($C97="银行间",$J97,$L97),$G97)))+P$2/100,情景分析!$D$7,"",,,,"",)*IF($H97="",1,$H97))</f>
        <v/>
      </c>
      <c r="Q97" s="7" t="str">
        <f>IF($A97="","",[2]!B_CALC_PRICE($A97,$O$1,IF(情景分析!$D$6=1,$J97,IF(情景分析!$D$6=2,$E97,IF(情景分析!$D$6=4,IF($C97="银行间",$J97,$L97),$G97)))+Q$2/100,情景分析!$D$7,"",,,,"",)*IF($H97="",1,$H97))</f>
        <v/>
      </c>
      <c r="R97" s="7" t="str">
        <f>IF($A97="","",[2]!B_CALC_PRICE($A97,$O$1,IF(情景分析!$D$6=1,$J97,IF(情景分析!$D$6=2,$E97,IF(情景分析!$D$6=4,IF($C97="银行间",$J97,$L97),$G97)))+R$2/100,情景分析!$D$7,"",,,,"",)*IF($H97="",1,$H97))</f>
        <v/>
      </c>
      <c r="S97" s="7" t="str">
        <f>IF($A97="","",[2]!B_CALC_PRICE($A97,$O$1,IF(情景分析!$D$6=1,$J97,IF(情景分析!$D$6=2,$E97,IF(情景分析!$D$6=4,IF($C97="银行间",$J97,$L97),$G97)))+S$2/100,情景分析!$D$7,"",,,,"",)*IF($H97="",1,$H97))</f>
        <v/>
      </c>
      <c r="T97" s="7" t="str">
        <f>IF($A97="","",[2]!B_CALC_PRICE($A97,$O$1,IF(情景分析!$D$6=1,$J97,IF(情景分析!$D$6=2,$E97,IF(情景分析!$D$6=4,IF($C97="银行间",$J97,$L97),$G97)))+T$2/100,情景分析!$D$7,"",,,,"",)*IF($H97="",1,$H97))</f>
        <v/>
      </c>
      <c r="U97" s="7" t="str">
        <f>IF($A97="","",[2]!B_CALC_PRICE($A97,$O$1,IF(情景分析!$D$6=1,$J97,IF(情景分析!$D$6=2,$E97,IF(情景分析!$D$6=4,IF($C97="银行间",$J97,$L97),$G97)))+U$2/100,情景分析!$D$7,"",,,,"",)*IF($H97="",1,$H97))</f>
        <v/>
      </c>
      <c r="V97" s="7" t="str">
        <f>IF($A97="","",[2]!B_CALC_PRICE($A97,$V$1,IF(情景分析!$D$6=1,$J97,IF(情景分析!$D$6=2,$E97,IF(情景分析!$D$6=4,IF($C97="银行间",$J97,$L97),$G97)))+V$2/100,情景分析!$D$7,"",,,,"",)*IF($H97="",1,$H97))</f>
        <v/>
      </c>
      <c r="W97" s="7" t="str">
        <f>IF($A97="","",[2]!B_CALC_PRICE($A97,$V$1,IF(情景分析!$D$6=1,$J97,IF(情景分析!$D$6=2,$E97,IF(情景分析!$D$6=4,IF($C97="银行间",$J97,$L97),$G97)))+W$2/100,情景分析!$D$7,"",,,,"",)*IF($H97="",1,$H97))</f>
        <v/>
      </c>
      <c r="X97" s="7" t="str">
        <f>IF($A97="","",[2]!B_CALC_PRICE($A97,$V$1,IF(情景分析!$D$6=1,$J97,IF(情景分析!$D$6=2,$E97,IF(情景分析!$D$6=4,IF($C97="银行间",$J97,$L97),$G97)))+X$2/100,情景分析!$D$7,"",,,,"",)*IF($H97="",1,$H97))</f>
        <v/>
      </c>
      <c r="Y97" s="7" t="str">
        <f>IF($A97="","",[2]!B_CALC_PRICE($A97,$V$1,IF(情景分析!$D$6=1,$J97,IF(情景分析!$D$6=2,$E97,IF(情景分析!$D$6=4,IF($C97="银行间",$J97,$L97),$G97)))+Y$2/100,情景分析!$D$7,"",,,,"",)*IF($H97="",1,$H97))</f>
        <v/>
      </c>
      <c r="Z97" s="7" t="str">
        <f>IF($A97="","",[2]!B_CALC_PRICE($A97,$V$1,IF(情景分析!$D$6=1,$J97,IF(情景分析!$D$6=2,$E97,IF(情景分析!$D$6=4,IF($C97="银行间",$J97,$L97),$G97)))+Z$2/100,情景分析!$D$7,"",,,,"",)*IF($H97="",1,$H97))</f>
        <v/>
      </c>
      <c r="AA97" s="7" t="str">
        <f>IF($A97="","",[2]!B_CALC_PRICE($A97,$V$1,IF(情景分析!$D$6=1,$J97,IF(情景分析!$D$6=2,$E97,IF(情景分析!$D$6=4,IF($C97="银行间",$J97,$L97),$G97)))+AA$2/100,情景分析!$D$7,"",,,,"",)*IF($H97="",1,$H97))</f>
        <v/>
      </c>
      <c r="AB97" s="7" t="str">
        <f>IF($A97="","",[2]!B_CALC_PRICE($A97,$V$1,IF(情景分析!$D$6=1,$J97,IF(情景分析!$D$6=2,$E97,IF(情景分析!$D$6=4,IF($C97="银行间",$J97,$L97),$G97)))+AB$2/100,情景分析!$D$7,"",,,,"",)*IF($H97="",1,$H97))</f>
        <v/>
      </c>
      <c r="AC97" s="7" t="str">
        <f>IF($A97="","",[2]!B_CALC_PRICE($A97,$AC$1,IF(情景分析!$D$6=1,$J97,IF(情景分析!$D$6=2,$E97,IF(情景分析!$D$6=4,IF($C97="银行间",$J97,$L97),$G97)))+AC$2/100,情景分析!$D$7,"",,,,"",)*IF($H97="",1,$H97))</f>
        <v/>
      </c>
      <c r="AD97" s="7" t="str">
        <f>IF($A97="","",[2]!B_CALC_PRICE($A97,$AC$1,IF(情景分析!$D$6=1,$J97,IF(情景分析!$D$6=2,$E97,IF(情景分析!$D$6=4,IF($C97="银行间",$J97,$L97),$G97)))+AD$2/100,情景分析!$D$7,"",,,,"",)*IF($H97="",1,$H97))</f>
        <v/>
      </c>
      <c r="AE97" s="7" t="str">
        <f>IF($A97="","",[2]!B_CALC_PRICE($A97,$AC$1,IF(情景分析!$D$6=1,$J97,IF(情景分析!$D$6=2,$E97,IF(情景分析!$D$6=4,IF($C97="银行间",$J97,$L97),$G97)))+AE$2/100,情景分析!$D$7,"",,,,"",)*IF($H97="",1,$H97))</f>
        <v/>
      </c>
      <c r="AF97" s="7" t="str">
        <f>IF($A97="","",[2]!B_CALC_PRICE($A97,$AC$1,IF(情景分析!$D$6=1,$J97,IF(情景分析!$D$6=2,$E97,IF(情景分析!$D$6=4,IF($C97="银行间",$J97,$L97),$G97)))+AF$2/100,情景分析!$D$7,"",,,,"",)*IF($H97="",1,$H97))</f>
        <v/>
      </c>
      <c r="AG97" s="7" t="str">
        <f>IF($A97="","",[2]!B_CALC_PRICE($A97,$AC$1,IF(情景分析!$D$6=1,$J97,IF(情景分析!$D$6=2,$E97,IF(情景分析!$D$6=4,IF($C97="银行间",$J97,$L97),$G97)))+AG$2/100,情景分析!$D$7,"",,,,"",)*IF($H97="",1,$H97))</f>
        <v/>
      </c>
      <c r="AH97" s="7" t="str">
        <f>IF($A97="","",[2]!B_CALC_PRICE($A97,$AC$1,IF(情景分析!$D$6=1,$J97,IF(情景分析!$D$6=2,$E97,IF(情景分析!$D$6=4,IF($C97="银行间",$J97,$L97),$G97)))+AH$2/100,情景分析!$D$7,"",,,,"",)*IF($H97="",1,$H97))</f>
        <v/>
      </c>
      <c r="AI97" s="7" t="str">
        <f>IF($A97="","",[2]!B_CALC_PRICE($A97,$AC$1,IF(情景分析!$D$6=1,$J97,IF(情景分析!$D$6=2,$E97,IF(情景分析!$D$6=4,IF($C97="银行间",$J97,$L97),$G97)))+AI$2/100,情景分析!$D$7,"",,,,"",)*IF($H97="",1,$H97))</f>
        <v/>
      </c>
      <c r="AJ97" s="7" t="str">
        <f>IF($A97="","",[2]!B_CALC_PRICE($A97,$AJ$1,IF(情景分析!$D$6=1,$J97,IF(情景分析!$D$6=2,$E97,IF(情景分析!$D$6=4,IF($C97="银行间",$J97,$L97),$G97)))+AJ$2/100,情景分析!$D$7,"",,,,"",)*IF($H97="",1,$H97))</f>
        <v/>
      </c>
      <c r="AK97" s="7" t="str">
        <f>IF($A97="","",[2]!B_CALC_PRICE($A97,$AJ$1,IF(情景分析!$D$6=1,$J97,IF(情景分析!$D$6=2,$E97,IF(情景分析!$D$6=4,IF($C97="银行间",$J97,$L97),$G97)))+AK$2/100,情景分析!$D$7,"",,,,"",)*IF($H97="",1,$H97))</f>
        <v/>
      </c>
      <c r="AL97" s="7" t="str">
        <f>IF($A97="","",[2]!B_CALC_PRICE($A97,$AJ$1,IF(情景分析!$D$6=1,$J97,IF(情景分析!$D$6=2,$E97,IF(情景分析!$D$6=4,IF($C97="银行间",$J97,$L97),$G97)))+AL$2/100,情景分析!$D$7,"",,,,"",)*IF($H97="",1,$H97))</f>
        <v/>
      </c>
      <c r="AM97" s="7" t="str">
        <f>IF($A97="","",[2]!B_CALC_PRICE($A97,$AJ$1,IF(情景分析!$D$6=1,$J97,IF(情景分析!$D$6=2,$E97,IF(情景分析!$D$6=4,IF($C97="银行间",$J97,$L97),$G97)))+AM$2/100,情景分析!$D$7,"",,,,"",)*IF($H97="",1,$H97))</f>
        <v/>
      </c>
      <c r="AN97" s="7" t="str">
        <f>IF($A97="","",[2]!B_CALC_PRICE($A97,$AJ$1,IF(情景分析!$D$6=1,$J97,IF(情景分析!$D$6=2,$E97,IF(情景分析!$D$6=4,IF($C97="银行间",$J97,$L97),$G97)))+AN$2/100,情景分析!$D$7,"",,,,"",)*IF($H97="",1,$H97))</f>
        <v/>
      </c>
      <c r="AO97" s="7" t="str">
        <f>IF($A97="","",[2]!B_CALC_PRICE($A97,$AJ$1,IF(情景分析!$D$6=1,$J97,IF(情景分析!$D$6=2,$E97,IF(情景分析!$D$6=4,IF($C97="银行间",$J97,$L97),$G97)))+AO$2/100,情景分析!$D$7,"",,,,"",)*IF($H97="",1,$H97))</f>
        <v/>
      </c>
      <c r="AP97" s="7" t="str">
        <f>IF($A97="","",[2]!B_CALC_PRICE($A97,$AJ$1,IF(情景分析!$D$6=1,$J97,IF(情景分析!$D$6=2,$E97,IF(情景分析!$D$6=4,IF($C97="银行间",$J97,$L97),$G97)))+AP$2/100,情景分析!$D$7,"",,,,"",)*IF($H97="",1,$H97))</f>
        <v/>
      </c>
      <c r="AQ97" s="7" t="str">
        <f>IF($A97="","",[2]!B_CALC_PRICE($A97,$AQ$1,IF(情景分析!$D$6=1,$J97,IF(情景分析!$D$6=2,$E97,IF(情景分析!$D$6=4,IF($C97="银行间",$J97,$L97),$G97)))+AQ$2/100,情景分析!$D$7,"",,,,"",)*IF($H97="",1,$H97))</f>
        <v/>
      </c>
      <c r="AR97" s="7" t="str">
        <f>IF($A97="","",[2]!B_CALC_PRICE($A97,$AQ$1,IF(情景分析!$D$6=1,$J97,IF(情景分析!$D$6=2,$E97,IF(情景分析!$D$6=4,IF($C97="银行间",$J97,$L97),$G97)))+AR$2/100,情景分析!$D$7,"",,,,"",)*IF($H97="",1,$H97))</f>
        <v/>
      </c>
      <c r="AS97" s="7" t="str">
        <f>IF($A97="","",[2]!B_CALC_PRICE($A97,$AQ$1,IF(情景分析!$D$6=1,$J97,IF(情景分析!$D$6=2,$E97,IF(情景分析!$D$6=4,IF($C97="银行间",$J97,$L97),$G97)))+AS$2/100,情景分析!$D$7,"",,,,"",)*IF($H97="",1,$H97))</f>
        <v/>
      </c>
      <c r="AT97" s="7" t="str">
        <f>IF($A97="","",[2]!B_CALC_PRICE($A97,$AQ$1,IF(情景分析!$D$6=1,$J97,IF(情景分析!$D$6=2,$E97,IF(情景分析!$D$6=4,IF($C97="银行间",$J97,$L97),$G97)))+AT$2/100,情景分析!$D$7,"",,,,"",)*IF($H97="",1,$H97))</f>
        <v/>
      </c>
      <c r="AU97" s="7" t="str">
        <f>IF($A97="","",[2]!B_CALC_PRICE($A97,$AQ$1,IF(情景分析!$D$6=1,$J97,IF(情景分析!$D$6=2,$E97,IF(情景分析!$D$6=4,IF($C97="银行间",$J97,$L97),$G97)))+AU$2/100,情景分析!$D$7,"",,,,"",)*IF($H97="",1,$H97))</f>
        <v/>
      </c>
      <c r="AV97" s="7" t="str">
        <f>IF($A97="","",[2]!B_CALC_PRICE($A97,$AQ$1,IF(情景分析!$D$6=1,$J97,IF(情景分析!$D$6=2,$E97,IF(情景分析!$D$6=4,IF($C97="银行间",$J97,$L97),$G97)))+AV$2/100,情景分析!$D$7,"",,,,"",)*IF($H97="",1,$H97))</f>
        <v/>
      </c>
      <c r="AW97" s="7" t="str">
        <f>IF($A97="","",[2]!B_CALC_PRICE($A97,$AQ$1,IF(情景分析!$D$6=1,$J97,IF(情景分析!$D$6=2,$E97,IF(情景分析!$D$6=4,IF($C97="银行间",$J97,$L97),$G97)))+AW$2/100,情景分析!$D$7,"",,,,"",)*IF($H97="",1,$H97))</f>
        <v/>
      </c>
    </row>
    <row r="98" spans="1:49" x14ac:dyDescent="0.15">
      <c r="A98" s="20"/>
      <c r="B98" s="7" t="str">
        <f>IF(A98="","",[2]!b_info_name(A98))</f>
        <v/>
      </c>
      <c r="C98" s="7" t="str">
        <f>[2]!b_info_listedmkt(A98)</f>
        <v>#N/A</v>
      </c>
      <c r="D98" s="7" t="str">
        <f>IFERROR(IF(A98="","", [2]!b_dq_avgprice(A98, 情景分析!$D$5, 情景分析!$D$7) * IF($H98="",1,$H98)),0)</f>
        <v/>
      </c>
      <c r="E98" s="7" t="str">
        <f>IF(A98="","", N([2]!b_dq_avgprice(A98,情景分析!$D$5,3)))</f>
        <v/>
      </c>
      <c r="F98" s="29" t="str">
        <f>IF($G98 = "",
"",
IFERROR(
[2]!b_calc_pv(A98, 情景分析!$D$5,$G98, "1", 情景分析!$D$7),
[2]!b_calc_pv(A98, 情景分析!$D$5,$G98, "2", 情景分析!$D$7)
)
)</f>
        <v/>
      </c>
      <c r="G98" s="22"/>
      <c r="H98" s="21"/>
      <c r="I98" s="7" t="str">
        <f>IF(A98="","",IF(情景分析!$D$7=1,[2]!b_anal_net_cnbd(A98,情景分析!$D$5,1),[2]!b_anal_dirty_cnbd(A98,情景分析!$D$5,1))*IF($H98="",1,$H98))</f>
        <v/>
      </c>
      <c r="J98" s="7" t="str">
        <f>IF(A98="","",[2]!b_anal_yield_cnbd(A98,情景分析!$D$5,1))</f>
        <v/>
      </c>
      <c r="K98" s="29" t="str">
        <f>IF(A98="","",IF(情景分析!$D$7=1,[2]!b_anal_net_csi1(A98,情景分析!$D$5,1),[2]!b_anal_dirty_csi1(A98,情景分析!$D$5,1))*IF($H98="",1,$H98))</f>
        <v/>
      </c>
      <c r="L98" s="29" t="str">
        <f>IF(A98="","",[2]!b_anal_yield_csi1(A98,情景分析!$D$5,1))</f>
        <v/>
      </c>
      <c r="M98" s="29" t="str">
        <f t="shared" si="6"/>
        <v/>
      </c>
      <c r="N98" s="29" t="str">
        <f t="shared" si="7"/>
        <v/>
      </c>
      <c r="O98" s="7" t="str">
        <f>IF($A98="","",[2]!B_CALC_PRICE($A98,$O$1,IF(情景分析!$D$6=1,$J98,IF(情景分析!$D$6=2,$E98,IF(情景分析!$D$6=4,IF($C98="银行间",$J98,$L98),$G98)))+O$2/100,情景分析!$D$7,"",,,,"",)*IF($H98="",1,$H98))</f>
        <v/>
      </c>
      <c r="P98" s="7" t="str">
        <f>IF($A98="","",[2]!B_CALC_PRICE($A98,$O$1,IF(情景分析!$D$6=1,$J98,IF(情景分析!$D$6=2,$E98,IF(情景分析!$D$6=4,IF($C98="银行间",$J98,$L98),$G98)))+P$2/100,情景分析!$D$7,"",,,,"",)*IF($H98="",1,$H98))</f>
        <v/>
      </c>
      <c r="Q98" s="7" t="str">
        <f>IF($A98="","",[2]!B_CALC_PRICE($A98,$O$1,IF(情景分析!$D$6=1,$J98,IF(情景分析!$D$6=2,$E98,IF(情景分析!$D$6=4,IF($C98="银行间",$J98,$L98),$G98)))+Q$2/100,情景分析!$D$7,"",,,,"",)*IF($H98="",1,$H98))</f>
        <v/>
      </c>
      <c r="R98" s="7" t="str">
        <f>IF($A98="","",[2]!B_CALC_PRICE($A98,$O$1,IF(情景分析!$D$6=1,$J98,IF(情景分析!$D$6=2,$E98,IF(情景分析!$D$6=4,IF($C98="银行间",$J98,$L98),$G98)))+R$2/100,情景分析!$D$7,"",,,,"",)*IF($H98="",1,$H98))</f>
        <v/>
      </c>
      <c r="S98" s="7" t="str">
        <f>IF($A98="","",[2]!B_CALC_PRICE($A98,$O$1,IF(情景分析!$D$6=1,$J98,IF(情景分析!$D$6=2,$E98,IF(情景分析!$D$6=4,IF($C98="银行间",$J98,$L98),$G98)))+S$2/100,情景分析!$D$7,"",,,,"",)*IF($H98="",1,$H98))</f>
        <v/>
      </c>
      <c r="T98" s="7" t="str">
        <f>IF($A98="","",[2]!B_CALC_PRICE($A98,$O$1,IF(情景分析!$D$6=1,$J98,IF(情景分析!$D$6=2,$E98,IF(情景分析!$D$6=4,IF($C98="银行间",$J98,$L98),$G98)))+T$2/100,情景分析!$D$7,"",,,,"",)*IF($H98="",1,$H98))</f>
        <v/>
      </c>
      <c r="U98" s="7" t="str">
        <f>IF($A98="","",[2]!B_CALC_PRICE($A98,$O$1,IF(情景分析!$D$6=1,$J98,IF(情景分析!$D$6=2,$E98,IF(情景分析!$D$6=4,IF($C98="银行间",$J98,$L98),$G98)))+U$2/100,情景分析!$D$7,"",,,,"",)*IF($H98="",1,$H98))</f>
        <v/>
      </c>
      <c r="V98" s="7" t="str">
        <f>IF($A98="","",[2]!B_CALC_PRICE($A98,$V$1,IF(情景分析!$D$6=1,$J98,IF(情景分析!$D$6=2,$E98,IF(情景分析!$D$6=4,IF($C98="银行间",$J98,$L98),$G98)))+V$2/100,情景分析!$D$7,"",,,,"",)*IF($H98="",1,$H98))</f>
        <v/>
      </c>
      <c r="W98" s="7" t="str">
        <f>IF($A98="","",[2]!B_CALC_PRICE($A98,$V$1,IF(情景分析!$D$6=1,$J98,IF(情景分析!$D$6=2,$E98,IF(情景分析!$D$6=4,IF($C98="银行间",$J98,$L98),$G98)))+W$2/100,情景分析!$D$7,"",,,,"",)*IF($H98="",1,$H98))</f>
        <v/>
      </c>
      <c r="X98" s="7" t="str">
        <f>IF($A98="","",[2]!B_CALC_PRICE($A98,$V$1,IF(情景分析!$D$6=1,$J98,IF(情景分析!$D$6=2,$E98,IF(情景分析!$D$6=4,IF($C98="银行间",$J98,$L98),$G98)))+X$2/100,情景分析!$D$7,"",,,,"",)*IF($H98="",1,$H98))</f>
        <v/>
      </c>
      <c r="Y98" s="7" t="str">
        <f>IF($A98="","",[2]!B_CALC_PRICE($A98,$V$1,IF(情景分析!$D$6=1,$J98,IF(情景分析!$D$6=2,$E98,IF(情景分析!$D$6=4,IF($C98="银行间",$J98,$L98),$G98)))+Y$2/100,情景分析!$D$7,"",,,,"",)*IF($H98="",1,$H98))</f>
        <v/>
      </c>
      <c r="Z98" s="7" t="str">
        <f>IF($A98="","",[2]!B_CALC_PRICE($A98,$V$1,IF(情景分析!$D$6=1,$J98,IF(情景分析!$D$6=2,$E98,IF(情景分析!$D$6=4,IF($C98="银行间",$J98,$L98),$G98)))+Z$2/100,情景分析!$D$7,"",,,,"",)*IF($H98="",1,$H98))</f>
        <v/>
      </c>
      <c r="AA98" s="7" t="str">
        <f>IF($A98="","",[2]!B_CALC_PRICE($A98,$V$1,IF(情景分析!$D$6=1,$J98,IF(情景分析!$D$6=2,$E98,IF(情景分析!$D$6=4,IF($C98="银行间",$J98,$L98),$G98)))+AA$2/100,情景分析!$D$7,"",,,,"",)*IF($H98="",1,$H98))</f>
        <v/>
      </c>
      <c r="AB98" s="7" t="str">
        <f>IF($A98="","",[2]!B_CALC_PRICE($A98,$V$1,IF(情景分析!$D$6=1,$J98,IF(情景分析!$D$6=2,$E98,IF(情景分析!$D$6=4,IF($C98="银行间",$J98,$L98),$G98)))+AB$2/100,情景分析!$D$7,"",,,,"",)*IF($H98="",1,$H98))</f>
        <v/>
      </c>
      <c r="AC98" s="7" t="str">
        <f>IF($A98="","",[2]!B_CALC_PRICE($A98,$AC$1,IF(情景分析!$D$6=1,$J98,IF(情景分析!$D$6=2,$E98,IF(情景分析!$D$6=4,IF($C98="银行间",$J98,$L98),$G98)))+AC$2/100,情景分析!$D$7,"",,,,"",)*IF($H98="",1,$H98))</f>
        <v/>
      </c>
      <c r="AD98" s="7" t="str">
        <f>IF($A98="","",[2]!B_CALC_PRICE($A98,$AC$1,IF(情景分析!$D$6=1,$J98,IF(情景分析!$D$6=2,$E98,IF(情景分析!$D$6=4,IF($C98="银行间",$J98,$L98),$G98)))+AD$2/100,情景分析!$D$7,"",,,,"",)*IF($H98="",1,$H98))</f>
        <v/>
      </c>
      <c r="AE98" s="7" t="str">
        <f>IF($A98="","",[2]!B_CALC_PRICE($A98,$AC$1,IF(情景分析!$D$6=1,$J98,IF(情景分析!$D$6=2,$E98,IF(情景分析!$D$6=4,IF($C98="银行间",$J98,$L98),$G98)))+AE$2/100,情景分析!$D$7,"",,,,"",)*IF($H98="",1,$H98))</f>
        <v/>
      </c>
      <c r="AF98" s="7" t="str">
        <f>IF($A98="","",[2]!B_CALC_PRICE($A98,$AC$1,IF(情景分析!$D$6=1,$J98,IF(情景分析!$D$6=2,$E98,IF(情景分析!$D$6=4,IF($C98="银行间",$J98,$L98),$G98)))+AF$2/100,情景分析!$D$7,"",,,,"",)*IF($H98="",1,$H98))</f>
        <v/>
      </c>
      <c r="AG98" s="7" t="str">
        <f>IF($A98="","",[2]!B_CALC_PRICE($A98,$AC$1,IF(情景分析!$D$6=1,$J98,IF(情景分析!$D$6=2,$E98,IF(情景分析!$D$6=4,IF($C98="银行间",$J98,$L98),$G98)))+AG$2/100,情景分析!$D$7,"",,,,"",)*IF($H98="",1,$H98))</f>
        <v/>
      </c>
      <c r="AH98" s="7" t="str">
        <f>IF($A98="","",[2]!B_CALC_PRICE($A98,$AC$1,IF(情景分析!$D$6=1,$J98,IF(情景分析!$D$6=2,$E98,IF(情景分析!$D$6=4,IF($C98="银行间",$J98,$L98),$G98)))+AH$2/100,情景分析!$D$7,"",,,,"",)*IF($H98="",1,$H98))</f>
        <v/>
      </c>
      <c r="AI98" s="7" t="str">
        <f>IF($A98="","",[2]!B_CALC_PRICE($A98,$AC$1,IF(情景分析!$D$6=1,$J98,IF(情景分析!$D$6=2,$E98,IF(情景分析!$D$6=4,IF($C98="银行间",$J98,$L98),$G98)))+AI$2/100,情景分析!$D$7,"",,,,"",)*IF($H98="",1,$H98))</f>
        <v/>
      </c>
      <c r="AJ98" s="7" t="str">
        <f>IF($A98="","",[2]!B_CALC_PRICE($A98,$AJ$1,IF(情景分析!$D$6=1,$J98,IF(情景分析!$D$6=2,$E98,IF(情景分析!$D$6=4,IF($C98="银行间",$J98,$L98),$G98)))+AJ$2/100,情景分析!$D$7,"",,,,"",)*IF($H98="",1,$H98))</f>
        <v/>
      </c>
      <c r="AK98" s="7" t="str">
        <f>IF($A98="","",[2]!B_CALC_PRICE($A98,$AJ$1,IF(情景分析!$D$6=1,$J98,IF(情景分析!$D$6=2,$E98,IF(情景分析!$D$6=4,IF($C98="银行间",$J98,$L98),$G98)))+AK$2/100,情景分析!$D$7,"",,,,"",)*IF($H98="",1,$H98))</f>
        <v/>
      </c>
      <c r="AL98" s="7" t="str">
        <f>IF($A98="","",[2]!B_CALC_PRICE($A98,$AJ$1,IF(情景分析!$D$6=1,$J98,IF(情景分析!$D$6=2,$E98,IF(情景分析!$D$6=4,IF($C98="银行间",$J98,$L98),$G98)))+AL$2/100,情景分析!$D$7,"",,,,"",)*IF($H98="",1,$H98))</f>
        <v/>
      </c>
      <c r="AM98" s="7" t="str">
        <f>IF($A98="","",[2]!B_CALC_PRICE($A98,$AJ$1,IF(情景分析!$D$6=1,$J98,IF(情景分析!$D$6=2,$E98,IF(情景分析!$D$6=4,IF($C98="银行间",$J98,$L98),$G98)))+AM$2/100,情景分析!$D$7,"",,,,"",)*IF($H98="",1,$H98))</f>
        <v/>
      </c>
      <c r="AN98" s="7" t="str">
        <f>IF($A98="","",[2]!B_CALC_PRICE($A98,$AJ$1,IF(情景分析!$D$6=1,$J98,IF(情景分析!$D$6=2,$E98,IF(情景分析!$D$6=4,IF($C98="银行间",$J98,$L98),$G98)))+AN$2/100,情景分析!$D$7,"",,,,"",)*IF($H98="",1,$H98))</f>
        <v/>
      </c>
      <c r="AO98" s="7" t="str">
        <f>IF($A98="","",[2]!B_CALC_PRICE($A98,$AJ$1,IF(情景分析!$D$6=1,$J98,IF(情景分析!$D$6=2,$E98,IF(情景分析!$D$6=4,IF($C98="银行间",$J98,$L98),$G98)))+AO$2/100,情景分析!$D$7,"",,,,"",)*IF($H98="",1,$H98))</f>
        <v/>
      </c>
      <c r="AP98" s="7" t="str">
        <f>IF($A98="","",[2]!B_CALC_PRICE($A98,$AJ$1,IF(情景分析!$D$6=1,$J98,IF(情景分析!$D$6=2,$E98,IF(情景分析!$D$6=4,IF($C98="银行间",$J98,$L98),$G98)))+AP$2/100,情景分析!$D$7,"",,,,"",)*IF($H98="",1,$H98))</f>
        <v/>
      </c>
      <c r="AQ98" s="7" t="str">
        <f>IF($A98="","",[2]!B_CALC_PRICE($A98,$AQ$1,IF(情景分析!$D$6=1,$J98,IF(情景分析!$D$6=2,$E98,IF(情景分析!$D$6=4,IF($C98="银行间",$J98,$L98),$G98)))+AQ$2/100,情景分析!$D$7,"",,,,"",)*IF($H98="",1,$H98))</f>
        <v/>
      </c>
      <c r="AR98" s="7" t="str">
        <f>IF($A98="","",[2]!B_CALC_PRICE($A98,$AQ$1,IF(情景分析!$D$6=1,$J98,IF(情景分析!$D$6=2,$E98,IF(情景分析!$D$6=4,IF($C98="银行间",$J98,$L98),$G98)))+AR$2/100,情景分析!$D$7,"",,,,"",)*IF($H98="",1,$H98))</f>
        <v/>
      </c>
      <c r="AS98" s="7" t="str">
        <f>IF($A98="","",[2]!B_CALC_PRICE($A98,$AQ$1,IF(情景分析!$D$6=1,$J98,IF(情景分析!$D$6=2,$E98,IF(情景分析!$D$6=4,IF($C98="银行间",$J98,$L98),$G98)))+AS$2/100,情景分析!$D$7,"",,,,"",)*IF($H98="",1,$H98))</f>
        <v/>
      </c>
      <c r="AT98" s="7" t="str">
        <f>IF($A98="","",[2]!B_CALC_PRICE($A98,$AQ$1,IF(情景分析!$D$6=1,$J98,IF(情景分析!$D$6=2,$E98,IF(情景分析!$D$6=4,IF($C98="银行间",$J98,$L98),$G98)))+AT$2/100,情景分析!$D$7,"",,,,"",)*IF($H98="",1,$H98))</f>
        <v/>
      </c>
      <c r="AU98" s="7" t="str">
        <f>IF($A98="","",[2]!B_CALC_PRICE($A98,$AQ$1,IF(情景分析!$D$6=1,$J98,IF(情景分析!$D$6=2,$E98,IF(情景分析!$D$6=4,IF($C98="银行间",$J98,$L98),$G98)))+AU$2/100,情景分析!$D$7,"",,,,"",)*IF($H98="",1,$H98))</f>
        <v/>
      </c>
      <c r="AV98" s="7" t="str">
        <f>IF($A98="","",[2]!B_CALC_PRICE($A98,$AQ$1,IF(情景分析!$D$6=1,$J98,IF(情景分析!$D$6=2,$E98,IF(情景分析!$D$6=4,IF($C98="银行间",$J98,$L98),$G98)))+AV$2/100,情景分析!$D$7,"",,,,"",)*IF($H98="",1,$H98))</f>
        <v/>
      </c>
      <c r="AW98" s="7" t="str">
        <f>IF($A98="","",[2]!B_CALC_PRICE($A98,$AQ$1,IF(情景分析!$D$6=1,$J98,IF(情景分析!$D$6=2,$E98,IF(情景分析!$D$6=4,IF($C98="银行间",$J98,$L98),$G98)))+AW$2/100,情景分析!$D$7,"",,,,"",)*IF($H98="",1,$H98))</f>
        <v/>
      </c>
    </row>
    <row r="99" spans="1:49" x14ac:dyDescent="0.15">
      <c r="A99" s="20"/>
      <c r="B99" s="7" t="str">
        <f>IF(A99="","",[2]!b_info_name(A99))</f>
        <v/>
      </c>
      <c r="C99" s="7" t="str">
        <f>[2]!b_info_listedmkt(A99)</f>
        <v>#N/A</v>
      </c>
      <c r="D99" s="7" t="str">
        <f>IFERROR(IF(A99="","", [2]!b_dq_avgprice(A99, 情景分析!$D$5, 情景分析!$D$7) * IF($H99="",1,$H99)),0)</f>
        <v/>
      </c>
      <c r="E99" s="7" t="str">
        <f>IF(A99="","", N([2]!b_dq_avgprice(A99,情景分析!$D$5,3)))</f>
        <v/>
      </c>
      <c r="F99" s="29" t="str">
        <f>IF($G99 = "",
"",
IFERROR(
[2]!b_calc_pv(A99, 情景分析!$D$5,$G99, "1", 情景分析!$D$7),
[2]!b_calc_pv(A99, 情景分析!$D$5,$G99, "2", 情景分析!$D$7)
)
)</f>
        <v/>
      </c>
      <c r="G99" s="22"/>
      <c r="H99" s="21"/>
      <c r="I99" s="7" t="str">
        <f>IF(A99="","",IF(情景分析!$D$7=1,[2]!b_anal_net_cnbd(A99,情景分析!$D$5,1),[2]!b_anal_dirty_cnbd(A99,情景分析!$D$5,1))*IF($H99="",1,$H99))</f>
        <v/>
      </c>
      <c r="J99" s="7" t="str">
        <f>IF(A99="","",[2]!b_anal_yield_cnbd(A99,情景分析!$D$5,1))</f>
        <v/>
      </c>
      <c r="K99" s="29" t="str">
        <f>IF(A99="","",IF(情景分析!$D$7=1,[2]!b_anal_net_csi1(A99,情景分析!$D$5,1),[2]!b_anal_dirty_csi1(A99,情景分析!$D$5,1))*IF($H99="",1,$H99))</f>
        <v/>
      </c>
      <c r="L99" s="29" t="str">
        <f>IF(A99="","",[2]!b_anal_yield_csi1(A99,情景分析!$D$5,1))</f>
        <v/>
      </c>
      <c r="M99" s="29" t="str">
        <f t="shared" si="6"/>
        <v/>
      </c>
      <c r="N99" s="29" t="str">
        <f t="shared" si="7"/>
        <v/>
      </c>
      <c r="O99" s="7" t="str">
        <f>IF($A99="","",[2]!B_CALC_PRICE($A99,$O$1,IF(情景分析!$D$6=1,$J99,IF(情景分析!$D$6=2,$E99,IF(情景分析!$D$6=4,IF($C99="银行间",$J99,$L99),$G99)))+O$2/100,情景分析!$D$7,"",,,,"",)*IF($H99="",1,$H99))</f>
        <v/>
      </c>
      <c r="P99" s="7" t="str">
        <f>IF($A99="","",[2]!B_CALC_PRICE($A99,$O$1,IF(情景分析!$D$6=1,$J99,IF(情景分析!$D$6=2,$E99,IF(情景分析!$D$6=4,IF($C99="银行间",$J99,$L99),$G99)))+P$2/100,情景分析!$D$7,"",,,,"",)*IF($H99="",1,$H99))</f>
        <v/>
      </c>
      <c r="Q99" s="7" t="str">
        <f>IF($A99="","",[2]!B_CALC_PRICE($A99,$O$1,IF(情景分析!$D$6=1,$J99,IF(情景分析!$D$6=2,$E99,IF(情景分析!$D$6=4,IF($C99="银行间",$J99,$L99),$G99)))+Q$2/100,情景分析!$D$7,"",,,,"",)*IF($H99="",1,$H99))</f>
        <v/>
      </c>
      <c r="R99" s="7" t="str">
        <f>IF($A99="","",[2]!B_CALC_PRICE($A99,$O$1,IF(情景分析!$D$6=1,$J99,IF(情景分析!$D$6=2,$E99,IF(情景分析!$D$6=4,IF($C99="银行间",$J99,$L99),$G99)))+R$2/100,情景分析!$D$7,"",,,,"",)*IF($H99="",1,$H99))</f>
        <v/>
      </c>
      <c r="S99" s="7" t="str">
        <f>IF($A99="","",[2]!B_CALC_PRICE($A99,$O$1,IF(情景分析!$D$6=1,$J99,IF(情景分析!$D$6=2,$E99,IF(情景分析!$D$6=4,IF($C99="银行间",$J99,$L99),$G99)))+S$2/100,情景分析!$D$7,"",,,,"",)*IF($H99="",1,$H99))</f>
        <v/>
      </c>
      <c r="T99" s="7" t="str">
        <f>IF($A99="","",[2]!B_CALC_PRICE($A99,$O$1,IF(情景分析!$D$6=1,$J99,IF(情景分析!$D$6=2,$E99,IF(情景分析!$D$6=4,IF($C99="银行间",$J99,$L99),$G99)))+T$2/100,情景分析!$D$7,"",,,,"",)*IF($H99="",1,$H99))</f>
        <v/>
      </c>
      <c r="U99" s="7" t="str">
        <f>IF($A99="","",[2]!B_CALC_PRICE($A99,$O$1,IF(情景分析!$D$6=1,$J99,IF(情景分析!$D$6=2,$E99,IF(情景分析!$D$6=4,IF($C99="银行间",$J99,$L99),$G99)))+U$2/100,情景分析!$D$7,"",,,,"",)*IF($H99="",1,$H99))</f>
        <v/>
      </c>
      <c r="V99" s="7" t="str">
        <f>IF($A99="","",[2]!B_CALC_PRICE($A99,$V$1,IF(情景分析!$D$6=1,$J99,IF(情景分析!$D$6=2,$E99,IF(情景分析!$D$6=4,IF($C99="银行间",$J99,$L99),$G99)))+V$2/100,情景分析!$D$7,"",,,,"",)*IF($H99="",1,$H99))</f>
        <v/>
      </c>
      <c r="W99" s="7" t="str">
        <f>IF($A99="","",[2]!B_CALC_PRICE($A99,$V$1,IF(情景分析!$D$6=1,$J99,IF(情景分析!$D$6=2,$E99,IF(情景分析!$D$6=4,IF($C99="银行间",$J99,$L99),$G99)))+W$2/100,情景分析!$D$7,"",,,,"",)*IF($H99="",1,$H99))</f>
        <v/>
      </c>
      <c r="X99" s="7" t="str">
        <f>IF($A99="","",[2]!B_CALC_PRICE($A99,$V$1,IF(情景分析!$D$6=1,$J99,IF(情景分析!$D$6=2,$E99,IF(情景分析!$D$6=4,IF($C99="银行间",$J99,$L99),$G99)))+X$2/100,情景分析!$D$7,"",,,,"",)*IF($H99="",1,$H99))</f>
        <v/>
      </c>
      <c r="Y99" s="7" t="str">
        <f>IF($A99="","",[2]!B_CALC_PRICE($A99,$V$1,IF(情景分析!$D$6=1,$J99,IF(情景分析!$D$6=2,$E99,IF(情景分析!$D$6=4,IF($C99="银行间",$J99,$L99),$G99)))+Y$2/100,情景分析!$D$7,"",,,,"",)*IF($H99="",1,$H99))</f>
        <v/>
      </c>
      <c r="Z99" s="7" t="str">
        <f>IF($A99="","",[2]!B_CALC_PRICE($A99,$V$1,IF(情景分析!$D$6=1,$J99,IF(情景分析!$D$6=2,$E99,IF(情景分析!$D$6=4,IF($C99="银行间",$J99,$L99),$G99)))+Z$2/100,情景分析!$D$7,"",,,,"",)*IF($H99="",1,$H99))</f>
        <v/>
      </c>
      <c r="AA99" s="7" t="str">
        <f>IF($A99="","",[2]!B_CALC_PRICE($A99,$V$1,IF(情景分析!$D$6=1,$J99,IF(情景分析!$D$6=2,$E99,IF(情景分析!$D$6=4,IF($C99="银行间",$J99,$L99),$G99)))+AA$2/100,情景分析!$D$7,"",,,,"",)*IF($H99="",1,$H99))</f>
        <v/>
      </c>
      <c r="AB99" s="7" t="str">
        <f>IF($A99="","",[2]!B_CALC_PRICE($A99,$V$1,IF(情景分析!$D$6=1,$J99,IF(情景分析!$D$6=2,$E99,IF(情景分析!$D$6=4,IF($C99="银行间",$J99,$L99),$G99)))+AB$2/100,情景分析!$D$7,"",,,,"",)*IF($H99="",1,$H99))</f>
        <v/>
      </c>
      <c r="AC99" s="7" t="str">
        <f>IF($A99="","",[2]!B_CALC_PRICE($A99,$AC$1,IF(情景分析!$D$6=1,$J99,IF(情景分析!$D$6=2,$E99,IF(情景分析!$D$6=4,IF($C99="银行间",$J99,$L99),$G99)))+AC$2/100,情景分析!$D$7,"",,,,"",)*IF($H99="",1,$H99))</f>
        <v/>
      </c>
      <c r="AD99" s="7" t="str">
        <f>IF($A99="","",[2]!B_CALC_PRICE($A99,$AC$1,IF(情景分析!$D$6=1,$J99,IF(情景分析!$D$6=2,$E99,IF(情景分析!$D$6=4,IF($C99="银行间",$J99,$L99),$G99)))+AD$2/100,情景分析!$D$7,"",,,,"",)*IF($H99="",1,$H99))</f>
        <v/>
      </c>
      <c r="AE99" s="7" t="str">
        <f>IF($A99="","",[2]!B_CALC_PRICE($A99,$AC$1,IF(情景分析!$D$6=1,$J99,IF(情景分析!$D$6=2,$E99,IF(情景分析!$D$6=4,IF($C99="银行间",$J99,$L99),$G99)))+AE$2/100,情景分析!$D$7,"",,,,"",)*IF($H99="",1,$H99))</f>
        <v/>
      </c>
      <c r="AF99" s="7" t="str">
        <f>IF($A99="","",[2]!B_CALC_PRICE($A99,$AC$1,IF(情景分析!$D$6=1,$J99,IF(情景分析!$D$6=2,$E99,IF(情景分析!$D$6=4,IF($C99="银行间",$J99,$L99),$G99)))+AF$2/100,情景分析!$D$7,"",,,,"",)*IF($H99="",1,$H99))</f>
        <v/>
      </c>
      <c r="AG99" s="7" t="str">
        <f>IF($A99="","",[2]!B_CALC_PRICE($A99,$AC$1,IF(情景分析!$D$6=1,$J99,IF(情景分析!$D$6=2,$E99,IF(情景分析!$D$6=4,IF($C99="银行间",$J99,$L99),$G99)))+AG$2/100,情景分析!$D$7,"",,,,"",)*IF($H99="",1,$H99))</f>
        <v/>
      </c>
      <c r="AH99" s="7" t="str">
        <f>IF($A99="","",[2]!B_CALC_PRICE($A99,$AC$1,IF(情景分析!$D$6=1,$J99,IF(情景分析!$D$6=2,$E99,IF(情景分析!$D$6=4,IF($C99="银行间",$J99,$L99),$G99)))+AH$2/100,情景分析!$D$7,"",,,,"",)*IF($H99="",1,$H99))</f>
        <v/>
      </c>
      <c r="AI99" s="7" t="str">
        <f>IF($A99="","",[2]!B_CALC_PRICE($A99,$AC$1,IF(情景分析!$D$6=1,$J99,IF(情景分析!$D$6=2,$E99,IF(情景分析!$D$6=4,IF($C99="银行间",$J99,$L99),$G99)))+AI$2/100,情景分析!$D$7,"",,,,"",)*IF($H99="",1,$H99))</f>
        <v/>
      </c>
      <c r="AJ99" s="7" t="str">
        <f>IF($A99="","",[2]!B_CALC_PRICE($A99,$AJ$1,IF(情景分析!$D$6=1,$J99,IF(情景分析!$D$6=2,$E99,IF(情景分析!$D$6=4,IF($C99="银行间",$J99,$L99),$G99)))+AJ$2/100,情景分析!$D$7,"",,,,"",)*IF($H99="",1,$H99))</f>
        <v/>
      </c>
      <c r="AK99" s="7" t="str">
        <f>IF($A99="","",[2]!B_CALC_PRICE($A99,$AJ$1,IF(情景分析!$D$6=1,$J99,IF(情景分析!$D$6=2,$E99,IF(情景分析!$D$6=4,IF($C99="银行间",$J99,$L99),$G99)))+AK$2/100,情景分析!$D$7,"",,,,"",)*IF($H99="",1,$H99))</f>
        <v/>
      </c>
      <c r="AL99" s="7" t="str">
        <f>IF($A99="","",[2]!B_CALC_PRICE($A99,$AJ$1,IF(情景分析!$D$6=1,$J99,IF(情景分析!$D$6=2,$E99,IF(情景分析!$D$6=4,IF($C99="银行间",$J99,$L99),$G99)))+AL$2/100,情景分析!$D$7,"",,,,"",)*IF($H99="",1,$H99))</f>
        <v/>
      </c>
      <c r="AM99" s="7" t="str">
        <f>IF($A99="","",[2]!B_CALC_PRICE($A99,$AJ$1,IF(情景分析!$D$6=1,$J99,IF(情景分析!$D$6=2,$E99,IF(情景分析!$D$6=4,IF($C99="银行间",$J99,$L99),$G99)))+AM$2/100,情景分析!$D$7,"",,,,"",)*IF($H99="",1,$H99))</f>
        <v/>
      </c>
      <c r="AN99" s="7" t="str">
        <f>IF($A99="","",[2]!B_CALC_PRICE($A99,$AJ$1,IF(情景分析!$D$6=1,$J99,IF(情景分析!$D$6=2,$E99,IF(情景分析!$D$6=4,IF($C99="银行间",$J99,$L99),$G99)))+AN$2/100,情景分析!$D$7,"",,,,"",)*IF($H99="",1,$H99))</f>
        <v/>
      </c>
      <c r="AO99" s="7" t="str">
        <f>IF($A99="","",[2]!B_CALC_PRICE($A99,$AJ$1,IF(情景分析!$D$6=1,$J99,IF(情景分析!$D$6=2,$E99,IF(情景分析!$D$6=4,IF($C99="银行间",$J99,$L99),$G99)))+AO$2/100,情景分析!$D$7,"",,,,"",)*IF($H99="",1,$H99))</f>
        <v/>
      </c>
      <c r="AP99" s="7" t="str">
        <f>IF($A99="","",[2]!B_CALC_PRICE($A99,$AJ$1,IF(情景分析!$D$6=1,$J99,IF(情景分析!$D$6=2,$E99,IF(情景分析!$D$6=4,IF($C99="银行间",$J99,$L99),$G99)))+AP$2/100,情景分析!$D$7,"",,,,"",)*IF($H99="",1,$H99))</f>
        <v/>
      </c>
      <c r="AQ99" s="7" t="str">
        <f>IF($A99="","",[2]!B_CALC_PRICE($A99,$AQ$1,IF(情景分析!$D$6=1,$J99,IF(情景分析!$D$6=2,$E99,IF(情景分析!$D$6=4,IF($C99="银行间",$J99,$L99),$G99)))+AQ$2/100,情景分析!$D$7,"",,,,"",)*IF($H99="",1,$H99))</f>
        <v/>
      </c>
      <c r="AR99" s="7" t="str">
        <f>IF($A99="","",[2]!B_CALC_PRICE($A99,$AQ$1,IF(情景分析!$D$6=1,$J99,IF(情景分析!$D$6=2,$E99,IF(情景分析!$D$6=4,IF($C99="银行间",$J99,$L99),$G99)))+AR$2/100,情景分析!$D$7,"",,,,"",)*IF($H99="",1,$H99))</f>
        <v/>
      </c>
      <c r="AS99" s="7" t="str">
        <f>IF($A99="","",[2]!B_CALC_PRICE($A99,$AQ$1,IF(情景分析!$D$6=1,$J99,IF(情景分析!$D$6=2,$E99,IF(情景分析!$D$6=4,IF($C99="银行间",$J99,$L99),$G99)))+AS$2/100,情景分析!$D$7,"",,,,"",)*IF($H99="",1,$H99))</f>
        <v/>
      </c>
      <c r="AT99" s="7" t="str">
        <f>IF($A99="","",[2]!B_CALC_PRICE($A99,$AQ$1,IF(情景分析!$D$6=1,$J99,IF(情景分析!$D$6=2,$E99,IF(情景分析!$D$6=4,IF($C99="银行间",$J99,$L99),$G99)))+AT$2/100,情景分析!$D$7,"",,,,"",)*IF($H99="",1,$H99))</f>
        <v/>
      </c>
      <c r="AU99" s="7" t="str">
        <f>IF($A99="","",[2]!B_CALC_PRICE($A99,$AQ$1,IF(情景分析!$D$6=1,$J99,IF(情景分析!$D$6=2,$E99,IF(情景分析!$D$6=4,IF($C99="银行间",$J99,$L99),$G99)))+AU$2/100,情景分析!$D$7,"",,,,"",)*IF($H99="",1,$H99))</f>
        <v/>
      </c>
      <c r="AV99" s="7" t="str">
        <f>IF($A99="","",[2]!B_CALC_PRICE($A99,$AQ$1,IF(情景分析!$D$6=1,$J99,IF(情景分析!$D$6=2,$E99,IF(情景分析!$D$6=4,IF($C99="银行间",$J99,$L99),$G99)))+AV$2/100,情景分析!$D$7,"",,,,"",)*IF($H99="",1,$H99))</f>
        <v/>
      </c>
      <c r="AW99" s="7" t="str">
        <f>IF($A99="","",[2]!B_CALC_PRICE($A99,$AQ$1,IF(情景分析!$D$6=1,$J99,IF(情景分析!$D$6=2,$E99,IF(情景分析!$D$6=4,IF($C99="银行间",$J99,$L99),$G99)))+AW$2/100,情景分析!$D$7,"",,,,"",)*IF($H99="",1,$H99))</f>
        <v/>
      </c>
    </row>
    <row r="100" spans="1:49" s="2" customFormat="1" x14ac:dyDescent="0.15">
      <c r="A100" s="20"/>
      <c r="B100" s="7" t="str">
        <f>IF(A100="","",[2]!b_info_name(A100))</f>
        <v/>
      </c>
      <c r="C100" s="7" t="str">
        <f>[2]!b_info_listedmkt(A100)</f>
        <v>#N/A</v>
      </c>
      <c r="D100" s="7" t="str">
        <f>IFERROR(IF(A100="","", [2]!b_dq_avgprice(A100, 情景分析!$D$5, 情景分析!$D$7) * IF($H100="",1,$H100)),0)</f>
        <v/>
      </c>
      <c r="E100" s="7" t="str">
        <f>IF(A100="","", N([2]!b_dq_avgprice(A100,情景分析!$D$5,3)))</f>
        <v/>
      </c>
      <c r="F100" s="29" t="str">
        <f>IF($G100 = "",
"",
IFERROR(
[2]!b_calc_pv(A100, 情景分析!$D$5,$G100, "1", 情景分析!$D$7),
[2]!b_calc_pv(A100, 情景分析!$D$5,$G100, "2", 情景分析!$D$7)
)
)</f>
        <v/>
      </c>
      <c r="G100" s="22"/>
      <c r="H100" s="21"/>
      <c r="I100" s="7" t="str">
        <f>IF(A100="","",IF(情景分析!$D$7=1,[2]!b_anal_net_cnbd(A100,情景分析!$D$5,1),[2]!b_anal_dirty_cnbd(A100,情景分析!$D$5,1))*IF($H100="",1,$H100))</f>
        <v/>
      </c>
      <c r="J100" s="7" t="str">
        <f>IF(A100="","",[2]!b_anal_yield_cnbd(A100,情景分析!$D$5,1))</f>
        <v/>
      </c>
      <c r="K100" s="29" t="str">
        <f>IF(A100="","",IF(情景分析!$D$7=1,[2]!b_anal_net_csi1(A100,情景分析!$D$5,1),[2]!b_anal_dirty_csi1(A100,情景分析!$D$5,1))*IF($H100="",1,$H100))</f>
        <v/>
      </c>
      <c r="L100" s="29" t="str">
        <f>IF(A100="","",[2]!b_anal_yield_csi1(A100,情景分析!$D$5,1))</f>
        <v/>
      </c>
      <c r="M100" s="29" t="str">
        <f t="shared" si="6"/>
        <v/>
      </c>
      <c r="N100" s="29" t="str">
        <f t="shared" si="7"/>
        <v/>
      </c>
      <c r="O100" s="7" t="str">
        <f>IF($A100="","",[2]!B_CALC_PRICE($A100,$O$1,IF(情景分析!$D$6=1,$J100,IF(情景分析!$D$6=2,$E100,IF(情景分析!$D$6=4,IF($C100="银行间",$J100,$L100),$G100)))+O$2/100,情景分析!$D$7,"",,,,"",)*IF($H100="",1,$H100))</f>
        <v/>
      </c>
      <c r="P100" s="7" t="str">
        <f>IF($A100="","",[2]!B_CALC_PRICE($A100,$O$1,IF(情景分析!$D$6=1,$J100,IF(情景分析!$D$6=2,$E100,IF(情景分析!$D$6=4,IF($C100="银行间",$J100,$L100),$G100)))+P$2/100,情景分析!$D$7,"",,,,"",)*IF($H100="",1,$H100))</f>
        <v/>
      </c>
      <c r="Q100" s="7" t="str">
        <f>IF($A100="","",[2]!B_CALC_PRICE($A100,$O$1,IF(情景分析!$D$6=1,$J100,IF(情景分析!$D$6=2,$E100,IF(情景分析!$D$6=4,IF($C100="银行间",$J100,$L100),$G100)))+Q$2/100,情景分析!$D$7,"",,,,"",)*IF($H100="",1,$H100))</f>
        <v/>
      </c>
      <c r="R100" s="7" t="str">
        <f>IF($A100="","",[2]!B_CALC_PRICE($A100,$O$1,IF(情景分析!$D$6=1,$J100,IF(情景分析!$D$6=2,$E100,IF(情景分析!$D$6=4,IF($C100="银行间",$J100,$L100),$G100)))+R$2/100,情景分析!$D$7,"",,,,"",)*IF($H100="",1,$H100))</f>
        <v/>
      </c>
      <c r="S100" s="7" t="str">
        <f>IF($A100="","",[2]!B_CALC_PRICE($A100,$O$1,IF(情景分析!$D$6=1,$J100,IF(情景分析!$D$6=2,$E100,IF(情景分析!$D$6=4,IF($C100="银行间",$J100,$L100),$G100)))+S$2/100,情景分析!$D$7,"",,,,"",)*IF($H100="",1,$H100))</f>
        <v/>
      </c>
      <c r="T100" s="7" t="str">
        <f>IF($A100="","",[2]!B_CALC_PRICE($A100,$O$1,IF(情景分析!$D$6=1,$J100,IF(情景分析!$D$6=2,$E100,IF(情景分析!$D$6=4,IF($C100="银行间",$J100,$L100),$G100)))+T$2/100,情景分析!$D$7,"",,,,"",)*IF($H100="",1,$H100))</f>
        <v/>
      </c>
      <c r="U100" s="7" t="str">
        <f>IF($A100="","",[2]!B_CALC_PRICE($A100,$O$1,IF(情景分析!$D$6=1,$J100,IF(情景分析!$D$6=2,$E100,IF(情景分析!$D$6=4,IF($C100="银行间",$J100,$L100),$G100)))+U$2/100,情景分析!$D$7,"",,,,"",)*IF($H100="",1,$H100))</f>
        <v/>
      </c>
      <c r="V100" s="7" t="str">
        <f>IF($A100="","",[2]!B_CALC_PRICE($A100,$V$1,IF(情景分析!$D$6=1,$J100,IF(情景分析!$D$6=2,$E100,IF(情景分析!$D$6=4,IF($C100="银行间",$J100,$L100),$G100)))+V$2/100,情景分析!$D$7,"",,,,"",)*IF($H100="",1,$H100))</f>
        <v/>
      </c>
      <c r="W100" s="7" t="str">
        <f>IF($A100="","",[2]!B_CALC_PRICE($A100,$V$1,IF(情景分析!$D$6=1,$J100,IF(情景分析!$D$6=2,$E100,IF(情景分析!$D$6=4,IF($C100="银行间",$J100,$L100),$G100)))+W$2/100,情景分析!$D$7,"",,,,"",)*IF($H100="",1,$H100))</f>
        <v/>
      </c>
      <c r="X100" s="7" t="str">
        <f>IF($A100="","",[2]!B_CALC_PRICE($A100,$V$1,IF(情景分析!$D$6=1,$J100,IF(情景分析!$D$6=2,$E100,IF(情景分析!$D$6=4,IF($C100="银行间",$J100,$L100),$G100)))+X$2/100,情景分析!$D$7,"",,,,"",)*IF($H100="",1,$H100))</f>
        <v/>
      </c>
      <c r="Y100" s="7" t="str">
        <f>IF($A100="","",[2]!B_CALC_PRICE($A100,$V$1,IF(情景分析!$D$6=1,$J100,IF(情景分析!$D$6=2,$E100,IF(情景分析!$D$6=4,IF($C100="银行间",$J100,$L100),$G100)))+Y$2/100,情景分析!$D$7,"",,,,"",)*IF($H100="",1,$H100))</f>
        <v/>
      </c>
      <c r="Z100" s="7" t="str">
        <f>IF($A100="","",[2]!B_CALC_PRICE($A100,$V$1,IF(情景分析!$D$6=1,$J100,IF(情景分析!$D$6=2,$E100,IF(情景分析!$D$6=4,IF($C100="银行间",$J100,$L100),$G100)))+Z$2/100,情景分析!$D$7,"",,,,"",)*IF($H100="",1,$H100))</f>
        <v/>
      </c>
      <c r="AA100" s="7" t="str">
        <f>IF($A100="","",[2]!B_CALC_PRICE($A100,$V$1,IF(情景分析!$D$6=1,$J100,IF(情景分析!$D$6=2,$E100,IF(情景分析!$D$6=4,IF($C100="银行间",$J100,$L100),$G100)))+AA$2/100,情景分析!$D$7,"",,,,"",)*IF($H100="",1,$H100))</f>
        <v/>
      </c>
      <c r="AB100" s="7" t="str">
        <f>IF($A100="","",[2]!B_CALC_PRICE($A100,$V$1,IF(情景分析!$D$6=1,$J100,IF(情景分析!$D$6=2,$E100,IF(情景分析!$D$6=4,IF($C100="银行间",$J100,$L100),$G100)))+AB$2/100,情景分析!$D$7,"",,,,"",)*IF($H100="",1,$H100))</f>
        <v/>
      </c>
      <c r="AC100" s="7" t="str">
        <f>IF($A100="","",[2]!B_CALC_PRICE($A100,$AC$1,IF(情景分析!$D$6=1,$J100,IF(情景分析!$D$6=2,$E100,IF(情景分析!$D$6=4,IF($C100="银行间",$J100,$L100),$G100)))+AC$2/100,情景分析!$D$7,"",,,,"",)*IF($H100="",1,$H100))</f>
        <v/>
      </c>
      <c r="AD100" s="7" t="str">
        <f>IF($A100="","",[2]!B_CALC_PRICE($A100,$AC$1,IF(情景分析!$D$6=1,$J100,IF(情景分析!$D$6=2,$E100,IF(情景分析!$D$6=4,IF($C100="银行间",$J100,$L100),$G100)))+AD$2/100,情景分析!$D$7,"",,,,"",)*IF($H100="",1,$H100))</f>
        <v/>
      </c>
      <c r="AE100" s="7" t="str">
        <f>IF($A100="","",[2]!B_CALC_PRICE($A100,$AC$1,IF(情景分析!$D$6=1,$J100,IF(情景分析!$D$6=2,$E100,IF(情景分析!$D$6=4,IF($C100="银行间",$J100,$L100),$G100)))+AE$2/100,情景分析!$D$7,"",,,,"",)*IF($H100="",1,$H100))</f>
        <v/>
      </c>
      <c r="AF100" s="7" t="str">
        <f>IF($A100="","",[2]!B_CALC_PRICE($A100,$AC$1,IF(情景分析!$D$6=1,$J100,IF(情景分析!$D$6=2,$E100,IF(情景分析!$D$6=4,IF($C100="银行间",$J100,$L100),$G100)))+AF$2/100,情景分析!$D$7,"",,,,"",)*IF($H100="",1,$H100))</f>
        <v/>
      </c>
      <c r="AG100" s="7" t="str">
        <f>IF($A100="","",[2]!B_CALC_PRICE($A100,$AC$1,IF(情景分析!$D$6=1,$J100,IF(情景分析!$D$6=2,$E100,IF(情景分析!$D$6=4,IF($C100="银行间",$J100,$L100),$G100)))+AG$2/100,情景分析!$D$7,"",,,,"",)*IF($H100="",1,$H100))</f>
        <v/>
      </c>
      <c r="AH100" s="7" t="str">
        <f>IF($A100="","",[2]!B_CALC_PRICE($A100,$AC$1,IF(情景分析!$D$6=1,$J100,IF(情景分析!$D$6=2,$E100,IF(情景分析!$D$6=4,IF($C100="银行间",$J100,$L100),$G100)))+AH$2/100,情景分析!$D$7,"",,,,"",)*IF($H100="",1,$H100))</f>
        <v/>
      </c>
      <c r="AI100" s="7" t="str">
        <f>IF($A100="","",[2]!B_CALC_PRICE($A100,$AC$1,IF(情景分析!$D$6=1,$J100,IF(情景分析!$D$6=2,$E100,IF(情景分析!$D$6=4,IF($C100="银行间",$J100,$L100),$G100)))+AI$2/100,情景分析!$D$7,"",,,,"",)*IF($H100="",1,$H100))</f>
        <v/>
      </c>
      <c r="AJ100" s="7" t="str">
        <f>IF($A100="","",[2]!B_CALC_PRICE($A100,$AJ$1,IF(情景分析!$D$6=1,$J100,IF(情景分析!$D$6=2,$E100,IF(情景分析!$D$6=4,IF($C100="银行间",$J100,$L100),$G100)))+AJ$2/100,情景分析!$D$7,"",,,,"",)*IF($H100="",1,$H100))</f>
        <v/>
      </c>
      <c r="AK100" s="7" t="str">
        <f>IF($A100="","",[2]!B_CALC_PRICE($A100,$AJ$1,IF(情景分析!$D$6=1,$J100,IF(情景分析!$D$6=2,$E100,IF(情景分析!$D$6=4,IF($C100="银行间",$J100,$L100),$G100)))+AK$2/100,情景分析!$D$7,"",,,,"",)*IF($H100="",1,$H100))</f>
        <v/>
      </c>
      <c r="AL100" s="7" t="str">
        <f>IF($A100="","",[2]!B_CALC_PRICE($A100,$AJ$1,IF(情景分析!$D$6=1,$J100,IF(情景分析!$D$6=2,$E100,IF(情景分析!$D$6=4,IF($C100="银行间",$J100,$L100),$G100)))+AL$2/100,情景分析!$D$7,"",,,,"",)*IF($H100="",1,$H100))</f>
        <v/>
      </c>
      <c r="AM100" s="7" t="str">
        <f>IF($A100="","",[2]!B_CALC_PRICE($A100,$AJ$1,IF(情景分析!$D$6=1,$J100,IF(情景分析!$D$6=2,$E100,IF(情景分析!$D$6=4,IF($C100="银行间",$J100,$L100),$G100)))+AM$2/100,情景分析!$D$7,"",,,,"",)*IF($H100="",1,$H100))</f>
        <v/>
      </c>
      <c r="AN100" s="7" t="str">
        <f>IF($A100="","",[2]!B_CALC_PRICE($A100,$AJ$1,IF(情景分析!$D$6=1,$J100,IF(情景分析!$D$6=2,$E100,IF(情景分析!$D$6=4,IF($C100="银行间",$J100,$L100),$G100)))+AN$2/100,情景分析!$D$7,"",,,,"",)*IF($H100="",1,$H100))</f>
        <v/>
      </c>
      <c r="AO100" s="7" t="str">
        <f>IF($A100="","",[2]!B_CALC_PRICE($A100,$AJ$1,IF(情景分析!$D$6=1,$J100,IF(情景分析!$D$6=2,$E100,IF(情景分析!$D$6=4,IF($C100="银行间",$J100,$L100),$G100)))+AO$2/100,情景分析!$D$7,"",,,,"",)*IF($H100="",1,$H100))</f>
        <v/>
      </c>
      <c r="AP100" s="7" t="str">
        <f>IF($A100="","",[2]!B_CALC_PRICE($A100,$AJ$1,IF(情景分析!$D$6=1,$J100,IF(情景分析!$D$6=2,$E100,IF(情景分析!$D$6=4,IF($C100="银行间",$J100,$L100),$G100)))+AP$2/100,情景分析!$D$7,"",,,,"",)*IF($H100="",1,$H100))</f>
        <v/>
      </c>
      <c r="AQ100" s="7" t="str">
        <f>IF($A100="","",[2]!B_CALC_PRICE($A100,$AQ$1,IF(情景分析!$D$6=1,$J100,IF(情景分析!$D$6=2,$E100,IF(情景分析!$D$6=4,IF($C100="银行间",$J100,$L100),$G100)))+AQ$2/100,情景分析!$D$7,"",,,,"",)*IF($H100="",1,$H100))</f>
        <v/>
      </c>
      <c r="AR100" s="7" t="str">
        <f>IF($A100="","",[2]!B_CALC_PRICE($A100,$AQ$1,IF(情景分析!$D$6=1,$J100,IF(情景分析!$D$6=2,$E100,IF(情景分析!$D$6=4,IF($C100="银行间",$J100,$L100),$G100)))+AR$2/100,情景分析!$D$7,"",,,,"",)*IF($H100="",1,$H100))</f>
        <v/>
      </c>
      <c r="AS100" s="7" t="str">
        <f>IF($A100="","",[2]!B_CALC_PRICE($A100,$AQ$1,IF(情景分析!$D$6=1,$J100,IF(情景分析!$D$6=2,$E100,IF(情景分析!$D$6=4,IF($C100="银行间",$J100,$L100),$G100)))+AS$2/100,情景分析!$D$7,"",,,,"",)*IF($H100="",1,$H100))</f>
        <v/>
      </c>
      <c r="AT100" s="7" t="str">
        <f>IF($A100="","",[2]!B_CALC_PRICE($A100,$AQ$1,IF(情景分析!$D$6=1,$J100,IF(情景分析!$D$6=2,$E100,IF(情景分析!$D$6=4,IF($C100="银行间",$J100,$L100),$G100)))+AT$2/100,情景分析!$D$7,"",,,,"",)*IF($H100="",1,$H100))</f>
        <v/>
      </c>
      <c r="AU100" s="7" t="str">
        <f>IF($A100="","",[2]!B_CALC_PRICE($A100,$AQ$1,IF(情景分析!$D$6=1,$J100,IF(情景分析!$D$6=2,$E100,IF(情景分析!$D$6=4,IF($C100="银行间",$J100,$L100),$G100)))+AU$2/100,情景分析!$D$7,"",,,,"",)*IF($H100="",1,$H100))</f>
        <v/>
      </c>
      <c r="AV100" s="7" t="str">
        <f>IF($A100="","",[2]!B_CALC_PRICE($A100,$AQ$1,IF(情景分析!$D$6=1,$J100,IF(情景分析!$D$6=2,$E100,IF(情景分析!$D$6=4,IF($C100="银行间",$J100,$L100),$G100)))+AV$2/100,情景分析!$D$7,"",,,,"",)*IF($H100="",1,$H100))</f>
        <v/>
      </c>
      <c r="AW100" s="7" t="str">
        <f>IF($A100="","",[2]!B_CALC_PRICE($A100,$AQ$1,IF(情景分析!$D$6=1,$J100,IF(情景分析!$D$6=2,$E100,IF(情景分析!$D$6=4,IF($C100="银行间",$J100,$L100),$G100)))+AW$2/100,情景分析!$D$7,"",,,,"",)*IF($H100="",1,$H100))</f>
        <v/>
      </c>
    </row>
  </sheetData>
  <mergeCells count="5">
    <mergeCell ref="D2:E2"/>
    <mergeCell ref="I2:J2"/>
    <mergeCell ref="F2:G2"/>
    <mergeCell ref="K2:L2"/>
    <mergeCell ref="M2:N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64"/>
  <sheetViews>
    <sheetView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D29" sqref="D29"/>
    </sheetView>
  </sheetViews>
  <sheetFormatPr defaultRowHeight="15" x14ac:dyDescent="0.15"/>
  <cols>
    <col min="1" max="1" width="9.5" style="1" customWidth="1"/>
    <col min="2" max="4" width="17.75" style="1" customWidth="1"/>
    <col min="5" max="7" width="11.625" style="1" customWidth="1"/>
    <col min="8" max="8" width="11.125" style="17" customWidth="1"/>
    <col min="9" max="9" width="15" style="1" customWidth="1"/>
    <col min="10" max="14" width="13.375" style="1" customWidth="1"/>
    <col min="15" max="15" width="12.25" style="1" customWidth="1"/>
    <col min="16" max="16" width="12.375" style="1" customWidth="1"/>
    <col min="17" max="18" width="11.875" style="1" customWidth="1"/>
    <col min="19" max="19" width="10.625" style="1" customWidth="1"/>
    <col min="20" max="49" width="12.75" style="1" bestFit="1" customWidth="1"/>
    <col min="50" max="16384" width="9" style="1"/>
  </cols>
  <sheetData>
    <row r="1" spans="1:49" s="13" customFormat="1" x14ac:dyDescent="0.15">
      <c r="B1" s="14"/>
      <c r="C1" s="14"/>
      <c r="D1" s="14"/>
      <c r="E1" s="14"/>
      <c r="F1" s="14"/>
      <c r="G1" s="14"/>
      <c r="H1" s="16"/>
      <c r="I1" s="14"/>
      <c r="J1" s="14"/>
      <c r="K1" s="14"/>
      <c r="L1" s="14"/>
      <c r="M1" s="14"/>
      <c r="N1" s="14"/>
      <c r="O1" s="14">
        <f ca="1">情景分析!C12</f>
        <v>45965</v>
      </c>
      <c r="P1" s="14"/>
      <c r="Q1" s="14"/>
      <c r="R1" s="14"/>
      <c r="S1" s="14"/>
      <c r="T1" s="14"/>
      <c r="U1" s="14"/>
      <c r="V1" s="14">
        <f ca="1">情景分析!C13</f>
        <v>45989</v>
      </c>
      <c r="W1" s="14"/>
      <c r="X1" s="14"/>
      <c r="Y1" s="14"/>
      <c r="Z1" s="14"/>
      <c r="AA1" s="14"/>
      <c r="AB1" s="14"/>
      <c r="AC1" s="14">
        <f>[3]情景分析!C14</f>
        <v>46050</v>
      </c>
      <c r="AD1" s="14"/>
      <c r="AE1" s="14"/>
      <c r="AF1" s="14"/>
      <c r="AG1" s="14"/>
      <c r="AH1" s="14"/>
      <c r="AI1" s="14"/>
      <c r="AJ1" s="14">
        <f ca="1">情景分析!C14</f>
        <v>46050</v>
      </c>
      <c r="AK1" s="14"/>
      <c r="AL1" s="14"/>
      <c r="AM1" s="14"/>
      <c r="AN1" s="14"/>
      <c r="AO1" s="14"/>
      <c r="AP1" s="14"/>
      <c r="AQ1" s="14">
        <f ca="1">情景分析!C16</f>
        <v>46323</v>
      </c>
      <c r="AR1" s="14"/>
      <c r="AS1" s="14"/>
      <c r="AT1" s="14"/>
      <c r="AU1" s="14"/>
      <c r="AV1" s="14"/>
      <c r="AW1" s="14"/>
    </row>
    <row r="2" spans="1:49" x14ac:dyDescent="0.15">
      <c r="B2" s="26" t="s">
        <v>0</v>
      </c>
      <c r="C2" s="26" t="s">
        <v>26</v>
      </c>
      <c r="D2" s="36" t="s">
        <v>19</v>
      </c>
      <c r="E2" s="37"/>
      <c r="F2" s="36" t="s">
        <v>18</v>
      </c>
      <c r="G2" s="37"/>
      <c r="H2" s="16" t="s">
        <v>28</v>
      </c>
      <c r="I2" s="36" t="s">
        <v>20</v>
      </c>
      <c r="J2" s="37"/>
      <c r="K2" s="36" t="s">
        <v>29</v>
      </c>
      <c r="L2" s="37"/>
      <c r="M2" s="36" t="s">
        <v>30</v>
      </c>
      <c r="N2" s="37"/>
      <c r="O2" s="26">
        <f>[3]情景分析!D10</f>
        <v>20</v>
      </c>
      <c r="P2" s="26">
        <f>[3]情景分析!E10</f>
        <v>15</v>
      </c>
      <c r="Q2" s="26">
        <f>[3]情景分析!F10</f>
        <v>10</v>
      </c>
      <c r="R2" s="26">
        <f>[3]情景分析!G10</f>
        <v>0</v>
      </c>
      <c r="S2" s="26">
        <f>[3]情景分析!H10</f>
        <v>-10</v>
      </c>
      <c r="T2" s="26">
        <f>[3]情景分析!I10</f>
        <v>-15</v>
      </c>
      <c r="U2" s="26">
        <f>[3]情景分析!J10</f>
        <v>-20</v>
      </c>
      <c r="V2" s="26">
        <f t="shared" ref="V2:AA2" si="0">O2</f>
        <v>20</v>
      </c>
      <c r="W2" s="26">
        <f t="shared" si="0"/>
        <v>15</v>
      </c>
      <c r="X2" s="26">
        <f t="shared" si="0"/>
        <v>10</v>
      </c>
      <c r="Y2" s="26">
        <f t="shared" si="0"/>
        <v>0</v>
      </c>
      <c r="Z2" s="26">
        <f t="shared" si="0"/>
        <v>-10</v>
      </c>
      <c r="AA2" s="26">
        <f t="shared" si="0"/>
        <v>-15</v>
      </c>
      <c r="AB2" s="26">
        <f>U2</f>
        <v>-20</v>
      </c>
      <c r="AC2" s="26">
        <f t="shared" ref="AC2:AH2" si="1">O2</f>
        <v>20</v>
      </c>
      <c r="AD2" s="26">
        <f t="shared" si="1"/>
        <v>15</v>
      </c>
      <c r="AE2" s="26">
        <f t="shared" si="1"/>
        <v>10</v>
      </c>
      <c r="AF2" s="26">
        <f t="shared" si="1"/>
        <v>0</v>
      </c>
      <c r="AG2" s="26">
        <f t="shared" si="1"/>
        <v>-10</v>
      </c>
      <c r="AH2" s="26">
        <f t="shared" si="1"/>
        <v>-15</v>
      </c>
      <c r="AI2" s="26">
        <f>U2</f>
        <v>-20</v>
      </c>
      <c r="AJ2" s="26">
        <f t="shared" ref="AJ2:AO2" si="2">O2</f>
        <v>20</v>
      </c>
      <c r="AK2" s="26">
        <f t="shared" si="2"/>
        <v>15</v>
      </c>
      <c r="AL2" s="26">
        <f t="shared" si="2"/>
        <v>10</v>
      </c>
      <c r="AM2" s="26">
        <f t="shared" si="2"/>
        <v>0</v>
      </c>
      <c r="AN2" s="26">
        <f t="shared" si="2"/>
        <v>-10</v>
      </c>
      <c r="AO2" s="26">
        <f t="shared" si="2"/>
        <v>-15</v>
      </c>
      <c r="AP2" s="26">
        <f>U2</f>
        <v>-20</v>
      </c>
      <c r="AQ2" s="26">
        <f t="shared" ref="AQ2:AV2" si="3">O2</f>
        <v>20</v>
      </c>
      <c r="AR2" s="26">
        <f t="shared" si="3"/>
        <v>15</v>
      </c>
      <c r="AS2" s="26">
        <f t="shared" si="3"/>
        <v>10</v>
      </c>
      <c r="AT2" s="26">
        <f t="shared" si="3"/>
        <v>0</v>
      </c>
      <c r="AU2" s="26">
        <f t="shared" si="3"/>
        <v>-10</v>
      </c>
      <c r="AV2" s="26">
        <f t="shared" si="3"/>
        <v>-15</v>
      </c>
      <c r="AW2" s="26">
        <f>U2</f>
        <v>-20</v>
      </c>
    </row>
    <row r="3" spans="1:49" x14ac:dyDescent="0.15">
      <c r="B3" s="26">
        <f>COUNTA(A:A)</f>
        <v>36</v>
      </c>
      <c r="C3" s="26"/>
      <c r="D3" s="28">
        <f ca="1">SUM(D4:OFFSET(D4,$B$3,0))</f>
        <v>59989.56</v>
      </c>
      <c r="E3" s="11">
        <f ca="1">AVERAGE(E4:E24)</f>
        <v>0</v>
      </c>
      <c r="F3" s="12">
        <f ca="1">SUM(F4:OFFSET(F4,$B$3,0))</f>
        <v>2212.3725664010994</v>
      </c>
      <c r="G3" s="11" t="s">
        <v>23</v>
      </c>
      <c r="H3" s="16">
        <f ca="1">SUM(H4:OFFSET(H4,$B$3,0))</f>
        <v>4320</v>
      </c>
      <c r="I3" s="12">
        <f ca="1">SUM(I4:OFFSET(I4,$B$3,0))</f>
        <v>434846.08799999999</v>
      </c>
      <c r="J3" s="11">
        <f ca="1">AVERAGE(J4:J24)</f>
        <v>2.0564047619047621</v>
      </c>
      <c r="K3" s="30">
        <f ca="1">SUM(K4:OFFSET(K4,$B$3,0))</f>
        <v>434863.44</v>
      </c>
      <c r="L3" s="31">
        <f ca="1">AVERAGE(L4:L24)</f>
        <v>2.0315095238095244</v>
      </c>
      <c r="M3" s="30">
        <f ca="1">SUM(M4:OFFSET(M4,$B$3,0))</f>
        <v>434797.37999999989</v>
      </c>
      <c r="N3" s="31">
        <f ca="1">AVERAGE(N4:N24)</f>
        <v>2.0505952380952386</v>
      </c>
      <c r="O3" s="28">
        <f ca="1">SUM(O4:OFFSET(O4,$B$3,0))</f>
        <v>466258.32664349175</v>
      </c>
      <c r="P3" s="11">
        <f ca="1">SUM(P4:OFFSET(P4,$B$3,0))</f>
        <v>467865.92875588028</v>
      </c>
      <c r="Q3" s="11">
        <f ca="1">SUM(Q4:OFFSET(Q4,$B$3,0))</f>
        <v>469494.90931645065</v>
      </c>
      <c r="R3" s="11">
        <f ca="1">SUM(R4:OFFSET(R4,$B$3,0))</f>
        <v>472818.79709653696</v>
      </c>
      <c r="S3" s="11">
        <f ca="1">SUM(S4:OFFSET(S4,$B$3,0))</f>
        <v>476233.68116711924</v>
      </c>
      <c r="T3" s="11">
        <f ca="1">SUM(T4:OFFSET(T4,$B$3,0))</f>
        <v>477976.44927191664</v>
      </c>
      <c r="U3" s="11">
        <f ca="1">SUM(U4:OFFSET(U4,$B$3,0))</f>
        <v>479743.43271252071</v>
      </c>
      <c r="V3" s="11">
        <f ca="1">SUM(V4:OFFSET(V4,$B$3,0))</f>
        <v>466126.5318754997</v>
      </c>
      <c r="W3" s="11">
        <f ca="1">SUM(W4:OFFSET(W4,$B$3,0))</f>
        <v>467721.60718655383</v>
      </c>
      <c r="X3" s="11">
        <f ca="1">SUM(X4:OFFSET(X4,$B$3,0))</f>
        <v>469337.98737972428</v>
      </c>
      <c r="Y3" s="11">
        <f ca="1">SUM(Y4:OFFSET(Y4,$B$3,0))</f>
        <v>472636.4481346804</v>
      </c>
      <c r="Z3" s="11">
        <f ca="1">SUM(Z4:OFFSET(Z4,$B$3,0))</f>
        <v>476025.59371612291</v>
      </c>
      <c r="AA3" s="11">
        <f ca="1">SUM(AA4:OFFSET(AA4,$B$3,0))</f>
        <v>477755.37195751618</v>
      </c>
      <c r="AB3" s="11">
        <f ca="1">SUM(AB4:OFFSET(AB4,$B$3,0))</f>
        <v>479509.28299235972</v>
      </c>
      <c r="AC3" s="11" t="e">
        <f ca="1">SUM(AC4:OFFSET(AC4,$B$3,0))</f>
        <v>#VALUE!</v>
      </c>
      <c r="AD3" s="11" t="e">
        <f ca="1">SUM(AD4:OFFSET(AD4,$B$3,0))</f>
        <v>#VALUE!</v>
      </c>
      <c r="AE3" s="11" t="e">
        <f ca="1">SUM(AE4:OFFSET(AE4,$B$3,0))</f>
        <v>#VALUE!</v>
      </c>
      <c r="AF3" s="11" t="e">
        <f ca="1">SUM(AF4:OFFSET(AF4,$B$3,0))</f>
        <v>#VALUE!</v>
      </c>
      <c r="AG3" s="11" t="e">
        <f ca="1">SUM(AG4:OFFSET(AG4,$B$3,0))</f>
        <v>#VALUE!</v>
      </c>
      <c r="AH3" s="11" t="e">
        <f ca="1">SUM(AH4:OFFSET(AH4,$B$3,0))</f>
        <v>#VALUE!</v>
      </c>
      <c r="AI3" s="11" t="e">
        <f ca="1">SUM(AI4:OFFSET(AI4,$B$3,0))</f>
        <v>#VALUE!</v>
      </c>
      <c r="AJ3" s="11" t="e">
        <f ca="1">SUM(AJ4:OFFSET(AJ4,$B$3,0))</f>
        <v>#VALUE!</v>
      </c>
      <c r="AK3" s="11" t="e">
        <f ca="1">SUM(AK4:OFFSET(AK4,$B$3,0))</f>
        <v>#VALUE!</v>
      </c>
      <c r="AL3" s="11" t="e">
        <f ca="1">SUM(AL4:OFFSET(AL4,$B$3,0))</f>
        <v>#VALUE!</v>
      </c>
      <c r="AM3" s="11" t="e">
        <f ca="1">SUM(AM4:OFFSET(AM4,$B$3,0))</f>
        <v>#VALUE!</v>
      </c>
      <c r="AN3" s="11" t="e">
        <f ca="1">SUM(AN4:OFFSET(AN4,$B$3,0))</f>
        <v>#VALUE!</v>
      </c>
      <c r="AO3" s="11" t="e">
        <f ca="1">SUM(AO4:OFFSET(AO4,$B$3,0))</f>
        <v>#VALUE!</v>
      </c>
      <c r="AP3" s="11" t="e">
        <f ca="1">SUM(AP4:OFFSET(AP4,$B$3,0))</f>
        <v>#VALUE!</v>
      </c>
      <c r="AQ3" s="11" t="e">
        <f ca="1">SUM(AQ4:OFFSET(AQ4,$B$3,0))</f>
        <v>#VALUE!</v>
      </c>
      <c r="AR3" s="11" t="e">
        <f ca="1">SUM(AR4:OFFSET(AR4,$B$3,0))</f>
        <v>#VALUE!</v>
      </c>
      <c r="AS3" s="11" t="e">
        <f ca="1">SUM(AS4:OFFSET(AS4,$B$3,0))</f>
        <v>#VALUE!</v>
      </c>
      <c r="AT3" s="11" t="e">
        <f ca="1">SUM(AT4:OFFSET(AT4,$B$3,0))</f>
        <v>#VALUE!</v>
      </c>
      <c r="AU3" s="11" t="e">
        <f ca="1">SUM(AU4:OFFSET(AU4,$B$3,0))</f>
        <v>#VALUE!</v>
      </c>
      <c r="AV3" s="11" t="e">
        <f ca="1">SUM(AV4:OFFSET(AV4,$B$3,0))</f>
        <v>#VALUE!</v>
      </c>
      <c r="AW3" s="11" t="e">
        <f ca="1">SUM(AW4:OFFSET(AW4,$B$3,0))</f>
        <v>#VALUE!</v>
      </c>
    </row>
    <row r="4" spans="1:49" x14ac:dyDescent="0.15">
      <c r="A4" s="20" t="s">
        <v>35</v>
      </c>
      <c r="B4" s="7" t="str">
        <f>IF(A4="","",[2]!b_info_name(A4))</f>
        <v>25惠安交发PPN002</v>
      </c>
      <c r="C4" s="7" t="str">
        <f>[2]!b_info_listedmkt(A4)</f>
        <v>银行间</v>
      </c>
      <c r="D4" s="7">
        <f ca="1">IFERROR(IF(A4="","", [2]!b_dq_avgprice(A4, 情景分析!$D$5, 情景分析!$D$7) * IF($H4="",1,$H4)),0)</f>
        <v>0</v>
      </c>
      <c r="E4" s="7">
        <f ca="1">IF(A4="","", N([2]!b_dq_avgprice(A4,情景分析!$D$5,3)))</f>
        <v>0</v>
      </c>
      <c r="F4" s="29">
        <f ca="1">IF($G4 = "",
"",
IFERROR(
[2]!b_calc_pv(A4, 情景分析!$D$5,$G4, "1", 情景分析!$D$7),
[2]!b_calc_pv(A4, 情景分析!$D$5,$G4, "2", 情景分析!$D$7)
)
)</f>
        <v>70.66348646092834</v>
      </c>
      <c r="G4" s="22">
        <v>20</v>
      </c>
      <c r="H4" s="21">
        <v>120</v>
      </c>
      <c r="I4" s="7">
        <f ca="1">IF(A4="","",IF(情景分析!$D$7=1,[2]!b_anal_net_cnbd(A4,情景分析!$D$5,1),[2]!b_anal_dirty_cnbd(A4,情景分析!$D$5,1))*IF($H4="",1,$H4))</f>
        <v>12054.624</v>
      </c>
      <c r="J4" s="7">
        <f ca="1">IF(A4="","",[2]!b_anal_yield_cnbd(A4,情景分析!$D$5,1))</f>
        <v>2.2663000000000002</v>
      </c>
      <c r="K4" s="29">
        <f ca="1">IF(A4="","",IF(情景分析!$D$7=1,[2]!b_anal_net_csi1(A4,情景分析!$D$5,1),[2]!b_anal_dirty_csi1(A4,情景分析!$D$5,1))*IF($H4="",1,$H4))</f>
        <v>12064.307999999999</v>
      </c>
      <c r="L4" s="29">
        <f ca="1">IF(A4="","",[2]!b_anal_yield_csi1(A4,情景分析!$D$5,1))</f>
        <v>2.2259000000000002</v>
      </c>
      <c r="M4" s="29">
        <f ca="1">IF($C4="银行间",$I4,$K4)</f>
        <v>12054.624</v>
      </c>
      <c r="N4" s="29">
        <f ca="1">IF($C4="银行间",$J4,$L4)</f>
        <v>2.2663000000000002</v>
      </c>
      <c r="O4" s="7">
        <f ca="1">IF($A4="","",[2]!B_CALC_PRICE($A4,$O$1,IF(情景分析!$D$6=1,$J4,IF(情景分析!$D$6=2,$E4,IF(情景分析!$D$6=4,IF($C4="银行间",$J4,$L4),$G4)))+O$2/100,情景分析!$D$7,"",,,,"",)*IF($H4="",1,$H4))</f>
        <v>12002.89567491052</v>
      </c>
      <c r="P4" s="7">
        <f ca="1">IF($A4="","",[2]!B_CALC_PRICE($A4,$O$1,IF(情景分析!$D$6=1,$J4,IF(情景分析!$D$6=2,$E4,IF(情景分析!$D$6=4,IF($C4="银行间",$J4,$L4),$G4)))+P$2/100,情景分析!$D$7,"",,,,"",)*IF($H4="",1,$H4))</f>
        <v>12015.632005654055</v>
      </c>
      <c r="Q4" s="7">
        <f ca="1">IF($A4="","",[2]!B_CALC_PRICE($A4,$O$1,IF(情景分析!$D$6=1,$J4,IF(情景分析!$D$6=2,$E4,IF(情景分析!$D$6=4,IF($C4="银行间",$J4,$L4),$G4)))+Q$2/100,情景分析!$D$7,"",,,,"",)*IF($H4="",1,$H4))</f>
        <v>12028.388154756014</v>
      </c>
      <c r="R4" s="7">
        <f ca="1">IF($A4="","",[2]!B_CALC_PRICE($A4,$O$1,IF(情景分析!$D$6=1,$J4,IF(情景分析!$D$6=2,$E4,IF(情景分析!$D$6=4,IF($C4="银行间",$J4,$L4),$G4)))+R$2/100,情景分析!$D$7,"",,,,"",)*IF($H4="",1,$H4))</f>
        <v>12053.960070573177</v>
      </c>
      <c r="S4" s="7">
        <f ca="1">IF($A4="","",[2]!B_CALC_PRICE($A4,$O$1,IF(情景分析!$D$6=1,$J4,IF(情景分析!$D$6=2,$E4,IF(情景分析!$D$6=4,IF($C4="银行间",$J4,$L4),$G4)))+S$2/100,情景分析!$D$7,"",,,,"",)*IF($H4="",1,$H4))</f>
        <v>12079.611748471483</v>
      </c>
      <c r="T4" s="7">
        <f ca="1">IF($A4="","",[2]!B_CALC_PRICE($A4,$O$1,IF(情景分析!$D$6=1,$J4,IF(情景分析!$D$6=2,$E4,IF(情景分析!$D$6=4,IF($C4="银行间",$J4,$L4),$G4)))+T$2/100,情景分析!$D$7,"",,,,"",)*IF($H4="",1,$H4))</f>
        <v>12092.467600564107</v>
      </c>
      <c r="U4" s="7">
        <f ca="1">IF($A4="","",[2]!B_CALC_PRICE($A4,$O$1,IF(情景分析!$D$6=1,$J4,IF(情景分析!$D$6=2,$E4,IF(情景分析!$D$6=4,IF($C4="银行间",$J4,$L4),$G4)))+U$2/100,情景分析!$D$7,"",,,,"",)*IF($H4="",1,$H4))</f>
        <v>12105.343516221143</v>
      </c>
      <c r="V4" s="7">
        <f ca="1">IF($A4="","",[2]!B_CALC_PRICE($A4,$V$1,IF(情景分析!$D$6=1,$J4,IF(情景分析!$D$6=2,$E4,IF(情景分析!$D$6=4,IF($C4="银行间",$J4,$L4),$G4)))+V$2/100,情景分析!$D$7,"",,,,"",)*IF($H4="",1,$H4))</f>
        <v>12002.951930179546</v>
      </c>
      <c r="W4" s="7">
        <f ca="1">IF($A4="","",[2]!B_CALC_PRICE($A4,$V$1,IF(情景分析!$D$6=1,$J4,IF(情景分析!$D$6=2,$E4,IF(情景分析!$D$6=4,IF($C4="银行间",$J4,$L4),$G4)))+W$2/100,情景分析!$D$7,"",,,,"",)*IF($H4="",1,$H4))</f>
        <v>12015.314821830043</v>
      </c>
      <c r="X4" s="7">
        <f ca="1">IF($A4="","",[2]!B_CALC_PRICE($A4,$V$1,IF(情景分析!$D$6=1,$J4,IF(情景分析!$D$6=2,$E4,IF(情景分析!$D$6=4,IF($C4="银行间",$J4,$L4),$G4)))+X$2/100,情景分析!$D$7,"",,,,"",)*IF($H4="",1,$H4))</f>
        <v>12027.696563673921</v>
      </c>
      <c r="Y4" s="7">
        <f ca="1">IF($A4="","",[2]!B_CALC_PRICE($A4,$V$1,IF(情景分析!$D$6=1,$J4,IF(情景分析!$D$6=2,$E4,IF(情景分析!$D$6=4,IF($C4="银行间",$J4,$L4),$G4)))+Y$2/100,情景分析!$D$7,"",,,,"",)*IF($H4="",1,$H4))</f>
        <v>12052.516750143401</v>
      </c>
      <c r="Z4" s="7">
        <f ca="1">IF($A4="","",[2]!B_CALC_PRICE($A4,$V$1,IF(情景分析!$D$6=1,$J4,IF(情景分析!$D$6=2,$E4,IF(情景分析!$D$6=4,IF($C4="银行间",$J4,$L4),$G4)))+Z$2/100,情景分析!$D$7,"",,,,"",)*IF($H4="",1,$H4))</f>
        <v>12077.41279494684</v>
      </c>
      <c r="AA4" s="7">
        <f ca="1">IF($A4="","",[2]!B_CALC_PRICE($A4,$V$1,IF(情景分析!$D$6=1,$J4,IF(情景分析!$D$6=2,$E4,IF(情景分析!$D$6=4,IF($C4="银行间",$J4,$L4),$G4)))+AA$2/100,情景分析!$D$7,"",,,,"",)*IF($H4="",1,$H4))</f>
        <v>12089.889360068042</v>
      </c>
      <c r="AB4" s="7">
        <f ca="1">IF($A4="","",[2]!B_CALC_PRICE($A4,$V$1,IF(情景分析!$D$6=1,$J4,IF(情景分析!$D$6=2,$E4,IF(情景分析!$D$6=4,IF($C4="银行间",$J4,$L4),$G4)))+AB$2/100,情景分析!$D$7,"",,,,"",)*IF($H4="",1,$H4))</f>
        <v>12102.385004978583</v>
      </c>
      <c r="AC4" s="7">
        <f ca="1">IF($A4="","",[2]!B_CALC_PRICE($A4,$AC$1,IF(情景分析!$D$6=1,$J4,IF(情景分析!$D$6=2,$E4,IF(情景分析!$D$6=4,IF($C4="银行间",$J4,$L4),$G4)))+AC$2/100,情景分析!$D$7,"",,,,"",)*IF($H4="",1,$H4))</f>
        <v>12003.018049423032</v>
      </c>
      <c r="AD4" s="7">
        <f ca="1">IF($A4="","",[2]!B_CALC_PRICE($A4,$AC$1,IF(情景分析!$D$6=1,$J4,IF(情景分析!$D$6=2,$E4,IF(情景分析!$D$6=4,IF($C4="银行间",$J4,$L4),$G4)))+AD$2/100,情景分析!$D$7,"",,,,"",)*IF($H4="",1,$H4))</f>
        <v>12014.430677333987</v>
      </c>
      <c r="AE4" s="7">
        <f ca="1">IF($A4="","",[2]!B_CALC_PRICE($A4,$AC$1,IF(情景分析!$D$6=1,$J4,IF(情景分析!$D$6=2,$E4,IF(情景分析!$D$6=4,IF($C4="银行间",$J4,$L4),$G4)))+AE$2/100,情景分析!$D$7,"",,,,"",)*IF($H4="",1,$H4))</f>
        <v>12025.859797123139</v>
      </c>
      <c r="AF4" s="7">
        <f ca="1">IF($A4="","",[2]!B_CALC_PRICE($A4,$AC$1,IF(情景分析!$D$6=1,$J4,IF(情景分析!$D$6=2,$E4,IF(情景分析!$D$6=4,IF($C4="银行间",$J4,$L4),$G4)))+AF$2/100,情景分析!$D$7,"",,,,"",)*IF($H4="",1,$H4))</f>
        <v>12048.767640161497</v>
      </c>
      <c r="AG4" s="7">
        <f ca="1">IF($A4="","",[2]!B_CALC_PRICE($A4,$AC$1,IF(情景分析!$D$6=1,$J4,IF(情景分析!$D$6=2,$E4,IF(情景分析!$D$6=4,IF($C4="银行间",$J4,$L4),$G4)))+AG$2/100,情景分析!$D$7,"",,,,"",)*IF($H4="",1,$H4))</f>
        <v>12071.741834965627</v>
      </c>
      <c r="AH4" s="7">
        <f ca="1">IF($A4="","",[2]!B_CALC_PRICE($A4,$AC$1,IF(情景分析!$D$6=1,$J4,IF(情景分析!$D$6=2,$E4,IF(情景分析!$D$6=4,IF($C4="银行间",$J4,$L4),$G4)))+AH$2/100,情景分析!$D$7,"",,,,"",)*IF($H4="",1,$H4))</f>
        <v>12083.253894754416</v>
      </c>
      <c r="AI4" s="7">
        <f ca="1">IF($A4="","",[2]!B_CALC_PRICE($A4,$AC$1,IF(情景分析!$D$6=1,$J4,IF(情景分析!$D$6=2,$E4,IF(情景分析!$D$6=4,IF($C4="银行间",$J4,$L4),$G4)))+AI$2/100,情景分析!$D$7,"",,,,"",)*IF($H4="",1,$H4))</f>
        <v>12094.782639210724</v>
      </c>
      <c r="AJ4" s="7">
        <f ca="1">IF($A4="","",[2]!B_CALC_PRICE($A4,$AJ$1,IF(情景分析!$D$6=1,$J4,IF(情景分析!$D$6=2,$E4,IF(情景分析!$D$6=4,IF($C4="银行间",$J4,$L4),$G4)))+AJ$2/100,情景分析!$D$7,"",,,,"",)*IF($H4="",1,$H4))</f>
        <v>12003.018049423032</v>
      </c>
      <c r="AK4" s="7">
        <f ca="1">IF($A4="","",[2]!B_CALC_PRICE($A4,$AJ$1,IF(情景分析!$D$6=1,$J4,IF(情景分析!$D$6=2,$E4,IF(情景分析!$D$6=4,IF($C4="银行间",$J4,$L4),$G4)))+AK$2/100,情景分析!$D$7,"",,,,"",)*IF($H4="",1,$H4))</f>
        <v>12014.430677333987</v>
      </c>
      <c r="AL4" s="7">
        <f ca="1">IF($A4="","",[2]!B_CALC_PRICE($A4,$AJ$1,IF(情景分析!$D$6=1,$J4,IF(情景分析!$D$6=2,$E4,IF(情景分析!$D$6=4,IF($C4="银行间",$J4,$L4),$G4)))+AL$2/100,情景分析!$D$7,"",,,,"",)*IF($H4="",1,$H4))</f>
        <v>12025.859797123139</v>
      </c>
      <c r="AM4" s="7">
        <f ca="1">IF($A4="","",[2]!B_CALC_PRICE($A4,$AJ$1,IF(情景分析!$D$6=1,$J4,IF(情景分析!$D$6=2,$E4,IF(情景分析!$D$6=4,IF($C4="银行间",$J4,$L4),$G4)))+AM$2/100,情景分析!$D$7,"",,,,"",)*IF($H4="",1,$H4))</f>
        <v>12048.767640161497</v>
      </c>
      <c r="AN4" s="7">
        <f ca="1">IF($A4="","",[2]!B_CALC_PRICE($A4,$AJ$1,IF(情景分析!$D$6=1,$J4,IF(情景分析!$D$6=2,$E4,IF(情景分析!$D$6=4,IF($C4="银行间",$J4,$L4),$G4)))+AN$2/100,情景分析!$D$7,"",,,,"",)*IF($H4="",1,$H4))</f>
        <v>12071.741834965627</v>
      </c>
      <c r="AO4" s="7">
        <f ca="1">IF($A4="","",[2]!B_CALC_PRICE($A4,$AJ$1,IF(情景分析!$D$6=1,$J4,IF(情景分析!$D$6=2,$E4,IF(情景分析!$D$6=4,IF($C4="银行间",$J4,$L4),$G4)))+AO$2/100,情景分析!$D$7,"",,,,"",)*IF($H4="",1,$H4))</f>
        <v>12083.253894754416</v>
      </c>
      <c r="AP4" s="7">
        <f ca="1">IF($A4="","",[2]!B_CALC_PRICE($A4,$AJ$1,IF(情景分析!$D$6=1,$J4,IF(情景分析!$D$6=2,$E4,IF(情景分析!$D$6=4,IF($C4="银行间",$J4,$L4),$G4)))+AP$2/100,情景分析!$D$7,"",,,,"",)*IF($H4="",1,$H4))</f>
        <v>12094.782639210724</v>
      </c>
      <c r="AQ4" s="7">
        <f ca="1">IF($A4="","",[2]!B_CALC_PRICE($A4,$AQ$1,IF(情景分析!$D$6=1,$J4,IF(情景分析!$D$6=2,$E4,IF(情景分析!$D$6=4,IF($C4="银行间",$J4,$L4),$G4)))+AQ$2/100,情景分析!$D$7,"",,,,"",)*IF($H4="",1,$H4))</f>
        <v>12001.327817424097</v>
      </c>
      <c r="AR4" s="7">
        <f ca="1">IF($A4="","",[2]!B_CALC_PRICE($A4,$AQ$1,IF(情景分析!$D$6=1,$J4,IF(情景分析!$D$6=2,$E4,IF(情景分析!$D$6=4,IF($C4="银行间",$J4,$L4),$G4)))+AR$2/100,情景分析!$D$7,"",,,,"",)*IF($H4="",1,$H4))</f>
        <v>12008.481152578959</v>
      </c>
      <c r="AS4" s="7">
        <f ca="1">IF($A4="","",[2]!B_CALC_PRICE($A4,$AQ$1,IF(情景分析!$D$6=1,$J4,IF(情景分析!$D$6=2,$E4,IF(情景分析!$D$6=4,IF($C4="银行间",$J4,$L4),$G4)))+AS$2/100,情景分析!$D$7,"",,,,"",)*IF($H4="",1,$H4))</f>
        <v>12015.642235845427</v>
      </c>
      <c r="AT4" s="7">
        <f ca="1">IF($A4="","",[2]!B_CALC_PRICE($A4,$AQ$1,IF(情景分析!$D$6=1,$J4,IF(情景分析!$D$6=2,$E4,IF(情景分析!$D$6=4,IF($C4="银行间",$J4,$L4),$G4)))+AT$2/100,情景分析!$D$7,"",,,,"",)*IF($H4="",1,$H4))</f>
        <v>12029.987695500839</v>
      </c>
      <c r="AU4" s="7">
        <f ca="1">IF($A4="","",[2]!B_CALC_PRICE($A4,$AQ$1,IF(情景分析!$D$6=1,$J4,IF(情景分析!$D$6=2,$E4,IF(情景分析!$D$6=4,IF($C4="银行间",$J4,$L4),$G4)))+AU$2/100,情景分析!$D$7,"",,,,"",)*IF($H4="",1,$H4))</f>
        <v>12044.364294217556</v>
      </c>
      <c r="AV4" s="7">
        <f ca="1">IF($A4="","",[2]!B_CALC_PRICE($A4,$AQ$1,IF(情景分析!$D$6=1,$J4,IF(情景分析!$D$6=2,$E4,IF(情景分析!$D$6=4,IF($C4="银行间",$J4,$L4),$G4)))+AV$2/100,情景分析!$D$7,"",,,,"",)*IF($H4="",1,$H4))</f>
        <v>12051.564301405471</v>
      </c>
      <c r="AW4" s="7">
        <f ca="1">IF($A4="","",[2]!B_CALC_PRICE($A4,$AQ$1,IF(情景分析!$D$6=1,$J4,IF(情景分析!$D$6=2,$E4,IF(情景分析!$D$6=4,IF($C4="银行间",$J4,$L4),$G4)))+AW$2/100,情景分析!$D$7,"",,,,"",)*IF($H4="",1,$H4))</f>
        <v>12058.77213022734</v>
      </c>
    </row>
    <row r="5" spans="1:49" x14ac:dyDescent="0.15">
      <c r="A5" s="20" t="s">
        <v>36</v>
      </c>
      <c r="B5" s="7" t="str">
        <f>IF(A5="","",[2]!b_info_name(A5))</f>
        <v>23晋江建控PPN002</v>
      </c>
      <c r="C5" s="7" t="str">
        <f>[2]!b_info_listedmkt(A5)</f>
        <v>银行间</v>
      </c>
      <c r="D5" s="7">
        <f ca="1">IFERROR(IF(A5="","", [2]!b_dq_avgprice(A5, 情景分析!$D$5, 情景分析!$D$7) * IF($H5="",1,$H5)),0)</f>
        <v>0</v>
      </c>
      <c r="E5" s="7">
        <f ca="1">IF(A5="","", N([2]!b_dq_avgprice(A5,情景分析!$D$5,3)))</f>
        <v>0</v>
      </c>
      <c r="F5" s="29">
        <f ca="1">IF($G5 = "",
"",
IFERROR(
[2]!b_calc_pv(A5, 情景分析!$D$5,$G5, "1", 情景分析!$D$7),
[2]!b_calc_pv(A5, 情景分析!$D$5,$G5, "2", 情景分析!$D$7)
)
)</f>
        <v>67.522095936224076</v>
      </c>
      <c r="G5" s="22">
        <v>20</v>
      </c>
      <c r="H5" s="21">
        <v>120</v>
      </c>
      <c r="I5" s="7">
        <f ca="1">IF(A5="","",IF(情景分析!$D$7=1,[2]!b_anal_net_cnbd(A5,情景分析!$D$5,1),[2]!b_anal_dirty_cnbd(A5,情景分析!$D$5,1))*IF($H5="",1,$H5))</f>
        <v>12172.980000000001</v>
      </c>
      <c r="J5" s="7">
        <f ca="1">IF(A5="","",[2]!b_anal_yield_cnbd(A5,情景分析!$D$5,1))</f>
        <v>1.8454999999999999</v>
      </c>
      <c r="K5" s="29">
        <f ca="1">IF(A5="","",IF(情景分析!$D$7=1,[2]!b_anal_net_csi1(A5,情景分析!$D$5,1),[2]!b_anal_dirty_csi1(A5,情景分析!$D$5,1))*IF($H5="",1,$H5))</f>
        <v>12175.896000000001</v>
      </c>
      <c r="L5" s="29">
        <f ca="1">IF(A5="","",[2]!b_anal_yield_csi1(A5,情景分析!$D$5,1))</f>
        <v>1.8019000000000001</v>
      </c>
      <c r="M5" s="29">
        <f t="shared" ref="M5:M39" ca="1" si="4">IF($C5="银行间",$I5,$K5)</f>
        <v>12172.980000000001</v>
      </c>
      <c r="N5" s="29">
        <f t="shared" ref="N5:N39" ca="1" si="5">IF($C5="银行间",$J5,$L5)</f>
        <v>1.8454999999999999</v>
      </c>
      <c r="O5" s="7">
        <f ca="1">IF($A5="","",[2]!B_CALC_PRICE($A5,$O$1,IF(情景分析!$D$6=1,$J5,IF(情景分析!$D$6=2,$E5,IF(情景分析!$D$6=4,IF($C5="银行间",$J5,$L5),$G5)))+O$2/100,情景分析!$D$7,"",,,,"",)*IF($H5="",1,$H5))</f>
        <v>12532.386222249292</v>
      </c>
      <c r="P5" s="7">
        <f ca="1">IF($A5="","",[2]!B_CALC_PRICE($A5,$O$1,IF(情景分析!$D$6=1,$J5,IF(情景分析!$D$6=2,$E5,IF(情景分析!$D$6=4,IF($C5="银行间",$J5,$L5),$G5)))+P$2/100,情景分析!$D$7,"",,,,"",)*IF($H5="",1,$H5))</f>
        <v>12548.830755507764</v>
      </c>
      <c r="Q5" s="7">
        <f ca="1">IF($A5="","",[2]!B_CALC_PRICE($A5,$O$1,IF(情景分析!$D$6=1,$J5,IF(情景分析!$D$6=2,$E5,IF(情景分析!$D$6=4,IF($C5="银行间",$J5,$L5),$G5)))+Q$2/100,情景分析!$D$7,"",,,,"",)*IF($H5="",1,$H5))</f>
        <v>12565.305254498771</v>
      </c>
      <c r="R5" s="7">
        <f ca="1">IF($A5="","",[2]!B_CALC_PRICE($A5,$O$1,IF(情景分析!$D$6=1,$J5,IF(情景分析!$D$6=2,$E5,IF(情景分析!$D$6=4,IF($C5="银行间",$J5,$L5),$G5)))+R$2/100,情景分析!$D$7,"",,,,"",)*IF($H5="",1,$H5))</f>
        <v>12598.344428199127</v>
      </c>
      <c r="S5" s="7">
        <f ca="1">IF($A5="","",[2]!B_CALC_PRICE($A5,$O$1,IF(情景分析!$D$6=1,$J5,IF(情景分析!$D$6=2,$E5,IF(情景分析!$D$6=4,IF($C5="银行间",$J5,$L5),$G5)))+S$2/100,情景分析!$D$7,"",,,,"",)*IF($H5="",1,$H5))</f>
        <v>12631.504302356429</v>
      </c>
      <c r="T5" s="7">
        <f ca="1">IF($A5="","",[2]!B_CALC_PRICE($A5,$O$1,IF(情景分析!$D$6=1,$J5,IF(情景分析!$D$6=2,$E5,IF(情景分析!$D$6=4,IF($C5="银行间",$J5,$L5),$G5)))+T$2/100,情景分析!$D$7,"",,,,"",)*IF($H5="",1,$H5))</f>
        <v>12648.12967765879</v>
      </c>
      <c r="U5" s="7">
        <f ca="1">IF($A5="","",[2]!B_CALC_PRICE($A5,$O$1,IF(情景分析!$D$6=1,$J5,IF(情景分析!$D$6=2,$E5,IF(情景分析!$D$6=4,IF($C5="银行间",$J5,$L5),$G5)))+U$2/100,情景分析!$D$7,"",,,,"",)*IF($H5="",1,$H5))</f>
        <v>12664.785439134801</v>
      </c>
      <c r="V5" s="7">
        <f ca="1">IF($A5="","",[2]!B_CALC_PRICE($A5,$V$1,IF(情景分析!$D$6=1,$J5,IF(情景分析!$D$6=2,$E5,IF(情景分析!$D$6=4,IF($C5="银行间",$J5,$L5),$G5)))+V$2/100,情景分析!$D$7,"",,,,"",)*IF($H5="",1,$H5))</f>
        <v>12519.875834565575</v>
      </c>
      <c r="W5" s="7">
        <f ca="1">IF($A5="","",[2]!B_CALC_PRICE($A5,$V$1,IF(情景分析!$D$6=1,$J5,IF(情景分析!$D$6=2,$E5,IF(情景分析!$D$6=4,IF($C5="银行间",$J5,$L5),$G5)))+W$2/100,情景分析!$D$7,"",,,,"",)*IF($H5="",1,$H5))</f>
        <v>12535.933838806721</v>
      </c>
      <c r="X5" s="7">
        <f ca="1">IF($A5="","",[2]!B_CALC_PRICE($A5,$V$1,IF(情景分析!$D$6=1,$J5,IF(情景分析!$D$6=2,$E5,IF(情景分析!$D$6=4,IF($C5="银行间",$J5,$L5),$G5)))+X$2/100,情景分析!$D$7,"",,,,"",)*IF($H5="",1,$H5))</f>
        <v>12552.02059816066</v>
      </c>
      <c r="Y5" s="7">
        <f ca="1">IF($A5="","",[2]!B_CALC_PRICE($A5,$V$1,IF(情景分析!$D$6=1,$J5,IF(情景分析!$D$6=2,$E5,IF(情景分析!$D$6=4,IF($C5="银行间",$J5,$L5),$G5)))+Y$2/100,情景分析!$D$7,"",,,,"",)*IF($H5="",1,$H5))</f>
        <v>12584.280645816154</v>
      </c>
      <c r="Z5" s="7">
        <f ca="1">IF($A5="","",[2]!B_CALC_PRICE($A5,$V$1,IF(情景分析!$D$6=1,$J5,IF(情景分析!$D$6=2,$E5,IF(情景分析!$D$6=4,IF($C5="银行间",$J5,$L5),$G5)))+Z$2/100,情景分析!$D$7,"",,,,"",)*IF($H5="",1,$H5))</f>
        <v>12616.656506588832</v>
      </c>
      <c r="AA5" s="7">
        <f ca="1">IF($A5="","",[2]!B_CALC_PRICE($A5,$V$1,IF(情景分析!$D$6=1,$J5,IF(情景分析!$D$6=2,$E5,IF(情景分析!$D$6=4,IF($C5="银行间",$J5,$L5),$G5)))+AA$2/100,情景分析!$D$7,"",,,,"",)*IF($H5="",1,$H5))</f>
        <v>12632.888033031813</v>
      </c>
      <c r="AB5" s="7">
        <f ca="1">IF($A5="","",[2]!B_CALC_PRICE($A5,$V$1,IF(情景分析!$D$6=1,$J5,IF(情景分析!$D$6=2,$E5,IF(情景分析!$D$6=4,IF($C5="银行间",$J5,$L5),$G5)))+AB$2/100,情景分析!$D$7,"",,,,"",)*IF($H5="",1,$H5))</f>
        <v>12649.1487124904</v>
      </c>
      <c r="AC5" s="7">
        <f ca="1">IF($A5="","",[2]!B_CALC_PRICE($A5,$AC$1,IF(情景分析!$D$6=1,$J5,IF(情景分析!$D$6=2,$E5,IF(情景分析!$D$6=4,IF($C5="银行间",$J5,$L5),$G5)))+AC$2/100,情景分析!$D$7,"",,,,"",)*IF($H5="",1,$H5))</f>
        <v>12488.179661316517</v>
      </c>
      <c r="AD5" s="7">
        <f ca="1">IF($A5="","",[2]!B_CALC_PRICE($A5,$AC$1,IF(情景分析!$D$6=1,$J5,IF(情景分析!$D$6=2,$E5,IF(情景分析!$D$6=4,IF($C5="银行间",$J5,$L5),$G5)))+AD$2/100,情景分析!$D$7,"",,,,"",)*IF($H5="",1,$H5))</f>
        <v>12503.250525104389</v>
      </c>
      <c r="AE5" s="7">
        <f ca="1">IF($A5="","",[2]!B_CALC_PRICE($A5,$AC$1,IF(情景分析!$D$6=1,$J5,IF(情景分析!$D$6=2,$E5,IF(情景分析!$D$6=4,IF($C5="银行间",$J5,$L5),$G5)))+AE$2/100,情景分析!$D$7,"",,,,"",)*IF($H5="",1,$H5))</f>
        <v>12518.3471715342</v>
      </c>
      <c r="AF5" s="7">
        <f ca="1">IF($A5="","",[2]!B_CALC_PRICE($A5,$AC$1,IF(情景分析!$D$6=1,$J5,IF(情景分析!$D$6=2,$E5,IF(情景分析!$D$6=4,IF($C5="银行间",$J5,$L5),$G5)))+AF$2/100,情景分析!$D$7,"",,,,"",)*IF($H5="",1,$H5))</f>
        <v>12548.618040346109</v>
      </c>
      <c r="AG5" s="7">
        <f ca="1">IF($A5="","",[2]!B_CALC_PRICE($A5,$AC$1,IF(情景分析!$D$6=1,$J5,IF(情景分析!$D$6=2,$E5,IF(情景分析!$D$6=4,IF($C5="银行间",$J5,$L5),$G5)))+AG$2/100,情景分析!$D$7,"",,,,"",)*IF($H5="",1,$H5))</f>
        <v>12578.992725349033</v>
      </c>
      <c r="AH5" s="7">
        <f ca="1">IF($A5="","",[2]!B_CALC_PRICE($A5,$AC$1,IF(情景分析!$D$6=1,$J5,IF(情景分析!$D$6=2,$E5,IF(情景分析!$D$6=4,IF($C5="银行间",$J5,$L5),$G5)))+AH$2/100,情景分析!$D$7,"",,,,"",)*IF($H5="",1,$H5))</f>
        <v>12594.219142599162</v>
      </c>
      <c r="AI5" s="7">
        <f ca="1">IF($A5="","",[2]!B_CALC_PRICE($A5,$AC$1,IF(情景分析!$D$6=1,$J5,IF(情景分析!$D$6=2,$E5,IF(情景分析!$D$6=4,IF($C5="银行间",$J5,$L5),$G5)))+AI$2/100,情景分析!$D$7,"",,,,"",)*IF($H5="",1,$H5))</f>
        <v>12609.471686621029</v>
      </c>
      <c r="AJ5" s="7">
        <f ca="1">IF($A5="","",[2]!B_CALC_PRICE($A5,$AJ$1,IF(情景分析!$D$6=1,$J5,IF(情景分析!$D$6=2,$E5,IF(情景分析!$D$6=4,IF($C5="银行间",$J5,$L5),$G5)))+AJ$2/100,情景分析!$D$7,"",,,,"",)*IF($H5="",1,$H5))</f>
        <v>12488.179661316517</v>
      </c>
      <c r="AK5" s="7">
        <f ca="1">IF($A5="","",[2]!B_CALC_PRICE($A5,$AJ$1,IF(情景分析!$D$6=1,$J5,IF(情景分析!$D$6=2,$E5,IF(情景分析!$D$6=4,IF($C5="银行间",$J5,$L5),$G5)))+AK$2/100,情景分析!$D$7,"",,,,"",)*IF($H5="",1,$H5))</f>
        <v>12503.250525104389</v>
      </c>
      <c r="AL5" s="7">
        <f ca="1">IF($A5="","",[2]!B_CALC_PRICE($A5,$AJ$1,IF(情景分析!$D$6=1,$J5,IF(情景分析!$D$6=2,$E5,IF(情景分析!$D$6=4,IF($C5="银行间",$J5,$L5),$G5)))+AL$2/100,情景分析!$D$7,"",,,,"",)*IF($H5="",1,$H5))</f>
        <v>12518.3471715342</v>
      </c>
      <c r="AM5" s="7">
        <f ca="1">IF($A5="","",[2]!B_CALC_PRICE($A5,$AJ$1,IF(情景分析!$D$6=1,$J5,IF(情景分析!$D$6=2,$E5,IF(情景分析!$D$6=4,IF($C5="银行间",$J5,$L5),$G5)))+AM$2/100,情景分析!$D$7,"",,,,"",)*IF($H5="",1,$H5))</f>
        <v>12548.618040346109</v>
      </c>
      <c r="AN5" s="7">
        <f ca="1">IF($A5="","",[2]!B_CALC_PRICE($A5,$AJ$1,IF(情景分析!$D$6=1,$J5,IF(情景分析!$D$6=2,$E5,IF(情景分析!$D$6=4,IF($C5="银行间",$J5,$L5),$G5)))+AN$2/100,情景分析!$D$7,"",,,,"",)*IF($H5="",1,$H5))</f>
        <v>12578.992725349033</v>
      </c>
      <c r="AO5" s="7">
        <f ca="1">IF($A5="","",[2]!B_CALC_PRICE($A5,$AJ$1,IF(情景分析!$D$6=1,$J5,IF(情景分析!$D$6=2,$E5,IF(情景分析!$D$6=4,IF($C5="银行间",$J5,$L5),$G5)))+AO$2/100,情景分析!$D$7,"",,,,"",)*IF($H5="",1,$H5))</f>
        <v>12594.219142599162</v>
      </c>
      <c r="AP5" s="7">
        <f ca="1">IF($A5="","",[2]!B_CALC_PRICE($A5,$AJ$1,IF(情景分析!$D$6=1,$J5,IF(情景分析!$D$6=2,$E5,IF(情景分析!$D$6=4,IF($C5="银行间",$J5,$L5),$G5)))+AP$2/100,情景分析!$D$7,"",,,,"",)*IF($H5="",1,$H5))</f>
        <v>12609.471686621029</v>
      </c>
      <c r="AQ5" s="7">
        <f ca="1">IF($A5="","",[2]!B_CALC_PRICE($A5,$AQ$1,IF(情景分析!$D$6=1,$J5,IF(情景分析!$D$6=2,$E5,IF(情景分析!$D$6=4,IF($C5="银行间",$J5,$L5),$G5)))+AQ$2/100,情景分析!$D$7,"",,,,"",)*IF($H5="",1,$H5))</f>
        <v>12346.080064623995</v>
      </c>
      <c r="AR5" s="7">
        <f ca="1">IF($A5="","",[2]!B_CALC_PRICE($A5,$AQ$1,IF(情景分析!$D$6=1,$J5,IF(情景分析!$D$6=2,$E5,IF(情景分析!$D$6=4,IF($C5="银行间",$J5,$L5),$G5)))+AR$2/100,情景分析!$D$7,"",,,,"",)*IF($H5="",1,$H5))</f>
        <v>12356.698743840627</v>
      </c>
      <c r="AS5" s="7">
        <f ca="1">IF($A5="","",[2]!B_CALC_PRICE($A5,$AQ$1,IF(情景分析!$D$6=1,$J5,IF(情景分析!$D$6=2,$E5,IF(情景分析!$D$6=4,IF($C5="银行间",$J5,$L5),$G5)))+AS$2/100,情景分析!$D$7,"",,,,"",)*IF($H5="",1,$H5))</f>
        <v>12367.331797870831</v>
      </c>
      <c r="AT5" s="7">
        <f ca="1">IF($A5="","",[2]!B_CALC_PRICE($A5,$AQ$1,IF(情景分析!$D$6=1,$J5,IF(情景分析!$D$6=2,$E5,IF(情景分析!$D$6=4,IF($C5="银行间",$J5,$L5),$G5)))+AT$2/100,情景分析!$D$7,"",,,,"",)*IF($H5="",1,$H5))</f>
        <v>12388.641136689343</v>
      </c>
      <c r="AU5" s="7">
        <f ca="1">IF($A5="","",[2]!B_CALC_PRICE($A5,$AQ$1,IF(情景分析!$D$6=1,$J5,IF(情景分析!$D$6=2,$E5,IF(情景分析!$D$6=4,IF($C5="银行间",$J5,$L5),$G5)))+AU$2/100,情景分析!$D$7,"",,,,"",)*IF($H5="",1,$H5))</f>
        <v>12410.008294337207</v>
      </c>
      <c r="AV5" s="7">
        <f ca="1">IF($A5="","",[2]!B_CALC_PRICE($A5,$AQ$1,IF(情景分析!$D$6=1,$J5,IF(情景分析!$D$6=2,$E5,IF(情景分析!$D$6=4,IF($C5="银行间",$J5,$L5),$G5)))+AV$2/100,情景分析!$D$7,"",,,,"",)*IF($H5="",1,$H5))</f>
        <v>12420.713622138654</v>
      </c>
      <c r="AW5" s="7">
        <f ca="1">IF($A5="","",[2]!B_CALC_PRICE($A5,$AQ$1,IF(情景分析!$D$6=1,$J5,IF(情景分析!$D$6=2,$E5,IF(情景分析!$D$6=4,IF($C5="银行间",$J5,$L5),$G5)))+AW$2/100,情景分析!$D$7,"",,,,"",)*IF($H5="",1,$H5))</f>
        <v>12431.43348507283</v>
      </c>
    </row>
    <row r="6" spans="1:49" x14ac:dyDescent="0.15">
      <c r="A6" s="20" t="s">
        <v>37</v>
      </c>
      <c r="B6" s="7" t="str">
        <f>IF(A6="","",[2]!b_info_name(A6))</f>
        <v>24晋江产投MTN003</v>
      </c>
      <c r="C6" s="7" t="str">
        <f>[2]!b_info_listedmkt(A6)</f>
        <v>银行间</v>
      </c>
      <c r="D6" s="7">
        <f ca="1">IFERROR(IF(A6="","", [2]!b_dq_avgprice(A6, 情景分析!$D$5, 情景分析!$D$7) * IF($H6="",1,$H6)),0)</f>
        <v>0</v>
      </c>
      <c r="E6" s="7">
        <f ca="1">IF(A6="","", N([2]!b_dq_avgprice(A6,情景分析!$D$5,3)))</f>
        <v>0</v>
      </c>
      <c r="F6" s="29">
        <f ca="1">IF($G6 = "",
"",
IFERROR(
[2]!b_calc_pv(A6, 情景分析!$D$5,$G6, "1", 情景分析!$D$7),
[2]!b_calc_pv(A6, 情景分析!$D$5,$G6, "2", 情景分析!$D$7)
)
)</f>
        <v>54.862816979933591</v>
      </c>
      <c r="G6" s="22">
        <v>20</v>
      </c>
      <c r="H6" s="21">
        <v>120</v>
      </c>
      <c r="I6" s="7">
        <f ca="1">IF(A6="","",IF(情景分析!$D$7=1,[2]!b_anal_net_cnbd(A6,情景分析!$D$5,1),[2]!b_anal_dirty_cnbd(A6,情景分析!$D$5,1))*IF($H6="",1,$H6))</f>
        <v>12142.716</v>
      </c>
      <c r="J6" s="7">
        <f ca="1">IF(A6="","",[2]!b_anal_yield_cnbd(A6,情景分析!$D$5,1))</f>
        <v>2.0775000000000001</v>
      </c>
      <c r="K6" s="29">
        <f ca="1">IF(A6="","",IF(情景分析!$D$7=1,[2]!b_anal_net_csi1(A6,情景分析!$D$5,1),[2]!b_anal_dirty_csi1(A6,情景分析!$D$5,1))*IF($H6="",1,$H6))</f>
        <v>12151.523999999999</v>
      </c>
      <c r="L6" s="29">
        <f ca="1">IF(A6="","",[2]!b_anal_yield_csi1(A6,情景分析!$D$5,1))</f>
        <v>2.0371000000000001</v>
      </c>
      <c r="M6" s="29">
        <f t="shared" ca="1" si="4"/>
        <v>12142.716</v>
      </c>
      <c r="N6" s="29">
        <f t="shared" ca="1" si="5"/>
        <v>2.0775000000000001</v>
      </c>
      <c r="O6" s="7">
        <f ca="1">IF($A6="","",[2]!B_CALC_PRICE($A6,$O$1,IF(情景分析!$D$6=1,$J6,IF(情景分析!$D$6=2,$E6,IF(情景分析!$D$6=4,IF($C6="银行间",$J6,$L6),$G6)))+O$2/100,情景分析!$D$7,"",,,,"",)*IF($H6="",1,$H6))</f>
        <v>12183.010532812463</v>
      </c>
      <c r="P6" s="7">
        <f ca="1">IF($A6="","",[2]!B_CALC_PRICE($A6,$O$1,IF(情景分析!$D$6=1,$J6,IF(情景分析!$D$6=2,$E6,IF(情景分析!$D$6=4,IF($C6="银行间",$J6,$L6),$G6)))+P$2/100,情景分析!$D$7,"",,,,"",)*IF($H6="",1,$H6))</f>
        <v>12205.998393604916</v>
      </c>
      <c r="Q6" s="7">
        <f ca="1">IF($A6="","",[2]!B_CALC_PRICE($A6,$O$1,IF(情景分析!$D$6=1,$J6,IF(情景分析!$D$6=2,$E6,IF(情景分析!$D$6=4,IF($C6="银行间",$J6,$L6),$G6)))+Q$2/100,情景分析!$D$7,"",,,,"",)*IF($H6="",1,$H6))</f>
        <v>12229.041889997947</v>
      </c>
      <c r="R6" s="7">
        <f ca="1">IF($A6="","",[2]!B_CALC_PRICE($A6,$O$1,IF(情景分析!$D$6=1,$J6,IF(情景分析!$D$6=2,$E6,IF(情景分析!$D$6=4,IF($C6="银行间",$J6,$L6),$G6)))+R$2/100,情景分析!$D$7,"",,,,"",)*IF($H6="",1,$H6))</f>
        <v>12275.296440889946</v>
      </c>
      <c r="S6" s="7">
        <f ca="1">IF($A6="","",[2]!B_CALC_PRICE($A6,$O$1,IF(情景分析!$D$6=1,$J6,IF(情景分析!$D$6=2,$E6,IF(情景分析!$D$6=4,IF($C6="银行间",$J6,$L6),$G6)))+S$2/100,情景分析!$D$7,"",,,,"",)*IF($H6="",1,$H6))</f>
        <v>12321.77549367637</v>
      </c>
      <c r="T6" s="7">
        <f ca="1">IF($A6="","",[2]!B_CALC_PRICE($A6,$O$1,IF(情景分析!$D$6=1,$J6,IF(情景分析!$D$6=2,$E6,IF(情景分析!$D$6=4,IF($C6="银行间",$J6,$L6),$G6)))+T$2/100,情景分析!$D$7,"",,,,"",)*IF($H6="",1,$H6))</f>
        <v>12345.099619541288</v>
      </c>
      <c r="U6" s="7">
        <f ca="1">IF($A6="","",[2]!B_CALC_PRICE($A6,$O$1,IF(情景分析!$D$6=1,$J6,IF(情景分析!$D$6=2,$E6,IF(情景分析!$D$6=4,IF($C6="银行间",$J6,$L6),$G6)))+U$2/100,情景分析!$D$7,"",,,,"",)*IF($H6="",1,$H6))</f>
        <v>12368.480365521546</v>
      </c>
      <c r="V6" s="7">
        <f ca="1">IF($A6="","",[2]!B_CALC_PRICE($A6,$V$1,IF(情景分析!$D$6=1,$J6,IF(情景分析!$D$6=2,$E6,IF(情景分析!$D$6=4,IF($C6="银行间",$J6,$L6),$G6)))+V$2/100,情景分析!$D$7,"",,,,"",)*IF($H6="",1,$H6))</f>
        <v>12179.97310358158</v>
      </c>
      <c r="W6" s="7">
        <f ca="1">IF($A6="","",[2]!B_CALC_PRICE($A6,$V$1,IF(情景分析!$D$6=1,$J6,IF(情景分析!$D$6=2,$E6,IF(情景分析!$D$6=4,IF($C6="银行间",$J6,$L6),$G6)))+W$2/100,情景分析!$D$7,"",,,,"",)*IF($H6="",1,$H6))</f>
        <v>12202.600789231774</v>
      </c>
      <c r="X6" s="7">
        <f ca="1">IF($A6="","",[2]!B_CALC_PRICE($A6,$V$1,IF(情景分析!$D$6=1,$J6,IF(情景分析!$D$6=2,$E6,IF(情景分析!$D$6=4,IF($C6="银行间",$J6,$L6),$G6)))+X$2/100,情景分析!$D$7,"",,,,"",)*IF($H6="",1,$H6))</f>
        <v>12225.28252845273</v>
      </c>
      <c r="Y6" s="7">
        <f ca="1">IF($A6="","",[2]!B_CALC_PRICE($A6,$V$1,IF(情景分析!$D$6=1,$J6,IF(情景分析!$D$6=2,$E6,IF(情景分析!$D$6=4,IF($C6="银行间",$J6,$L6),$G6)))+Y$2/100,情景分析!$D$7,"",,,,"",)*IF($H6="",1,$H6))</f>
        <v>12270.808793524444</v>
      </c>
      <c r="Z6" s="7">
        <f ca="1">IF($A6="","",[2]!B_CALC_PRICE($A6,$V$1,IF(情景分析!$D$6=1,$J6,IF(情景分析!$D$6=2,$E6,IF(情景分析!$D$6=4,IF($C6="银行间",$J6,$L6),$G6)))+Z$2/100,情景分析!$D$7,"",,,,"",)*IF($H6="",1,$H6))</f>
        <v>12316.553155943786</v>
      </c>
      <c r="AA6" s="7">
        <f ca="1">IF($A6="","",[2]!B_CALC_PRICE($A6,$V$1,IF(情景分析!$D$6=1,$J6,IF(情景分析!$D$6=2,$E6,IF(情景分析!$D$6=4,IF($C6="银行间",$J6,$L6),$G6)))+AA$2/100,情景分析!$D$7,"",,,,"",)*IF($H6="",1,$H6))</f>
        <v>12339.507518852162</v>
      </c>
      <c r="AB6" s="7">
        <f ca="1">IF($A6="","",[2]!B_CALC_PRICE($A6,$V$1,IF(情景分析!$D$6=1,$J6,IF(情景分析!$D$6=2,$E6,IF(情景分析!$D$6=4,IF($C6="银行间",$J6,$L6),$G6)))+AB$2/100,情景分析!$D$7,"",,,,"",)*IF($H6="",1,$H6))</f>
        <v>12362.516881403457</v>
      </c>
      <c r="AC6" s="7">
        <f ca="1">IF($A6="","",[2]!B_CALC_PRICE($A6,$AC$1,IF(情景分析!$D$6=1,$J6,IF(情景分析!$D$6=2,$E6,IF(情景分析!$D$6=4,IF($C6="银行间",$J6,$L6),$G6)))+AC$2/100,情景分析!$D$7,"",,,,"",)*IF($H6="",1,$H6))</f>
        <v>12172.222163216526</v>
      </c>
      <c r="AD6" s="7">
        <f ca="1">IF($A6="","",[2]!B_CALC_PRICE($A6,$AC$1,IF(情景分析!$D$6=1,$J6,IF(情景分析!$D$6=2,$E6,IF(情景分析!$D$6=4,IF($C6="银行间",$J6,$L6),$G6)))+AD$2/100,情景分析!$D$7,"",,,,"",)*IF($H6="",1,$H6))</f>
        <v>12193.932725212222</v>
      </c>
      <c r="AE6" s="7">
        <f ca="1">IF($A6="","",[2]!B_CALC_PRICE($A6,$AC$1,IF(情景分析!$D$6=1,$J6,IF(情景分析!$D$6=2,$E6,IF(情景分析!$D$6=4,IF($C6="银行间",$J6,$L6),$G6)))+AE$2/100,情景分析!$D$7,"",,,,"",)*IF($H6="",1,$H6))</f>
        <v>12215.69341442358</v>
      </c>
      <c r="AF6" s="7">
        <f ca="1">IF($A6="","",[2]!B_CALC_PRICE($A6,$AC$1,IF(情景分析!$D$6=1,$J6,IF(情景分析!$D$6=2,$E6,IF(情景分析!$D$6=4,IF($C6="银行间",$J6,$L6),$G6)))+AF$2/100,情景分析!$D$7,"",,,,"",)*IF($H6="",1,$H6))</f>
        <v>12259.365738756605</v>
      </c>
      <c r="AG6" s="7">
        <f ca="1">IF($A6="","",[2]!B_CALC_PRICE($A6,$AC$1,IF(情景分析!$D$6=1,$J6,IF(情景分析!$D$6=2,$E6,IF(情景分析!$D$6=4,IF($C6="银行间",$J6,$L6),$G6)))+AG$2/100,情景分析!$D$7,"",,,,"",)*IF($H6="",1,$H6))</f>
        <v>12303.240269416343</v>
      </c>
      <c r="AH6" s="7">
        <f ca="1">IF($A6="","",[2]!B_CALC_PRICE($A6,$AC$1,IF(情景分析!$D$6=1,$J6,IF(情景分析!$D$6=2,$E6,IF(情景分析!$D$6=4,IF($C6="银行间",$J6,$L6),$G6)))+AH$2/100,情景分析!$D$7,"",,,,"",)*IF($H6="",1,$H6))</f>
        <v>12325.253718298269</v>
      </c>
      <c r="AI6" s="7">
        <f ca="1">IF($A6="","",[2]!B_CALC_PRICE($A6,$AC$1,IF(情景分析!$D$6=1,$J6,IF(情景分析!$D$6=2,$E6,IF(情景分析!$D$6=4,IF($C6="银行间",$J6,$L6),$G6)))+AI$2/100,情景分析!$D$7,"",,,,"",)*IF($H6="",1,$H6))</f>
        <v>12347.318147122123</v>
      </c>
      <c r="AJ6" s="7">
        <f ca="1">IF($A6="","",[2]!B_CALC_PRICE($A6,$AJ$1,IF(情景分析!$D$6=1,$J6,IF(情景分析!$D$6=2,$E6,IF(情景分析!$D$6=4,IF($C6="银行间",$J6,$L6),$G6)))+AJ$2/100,情景分析!$D$7,"",,,,"",)*IF($H6="",1,$H6))</f>
        <v>12172.222163216526</v>
      </c>
      <c r="AK6" s="7">
        <f ca="1">IF($A6="","",[2]!B_CALC_PRICE($A6,$AJ$1,IF(情景分析!$D$6=1,$J6,IF(情景分析!$D$6=2,$E6,IF(情景分析!$D$6=4,IF($C6="银行间",$J6,$L6),$G6)))+AK$2/100,情景分析!$D$7,"",,,,"",)*IF($H6="",1,$H6))</f>
        <v>12193.932725212222</v>
      </c>
      <c r="AL6" s="7">
        <f ca="1">IF($A6="","",[2]!B_CALC_PRICE($A6,$AJ$1,IF(情景分析!$D$6=1,$J6,IF(情景分析!$D$6=2,$E6,IF(情景分析!$D$6=4,IF($C6="银行间",$J6,$L6),$G6)))+AL$2/100,情景分析!$D$7,"",,,,"",)*IF($H6="",1,$H6))</f>
        <v>12215.69341442358</v>
      </c>
      <c r="AM6" s="7">
        <f ca="1">IF($A6="","",[2]!B_CALC_PRICE($A6,$AJ$1,IF(情景分析!$D$6=1,$J6,IF(情景分析!$D$6=2,$E6,IF(情景分析!$D$6=4,IF($C6="银行间",$J6,$L6),$G6)))+AM$2/100,情景分析!$D$7,"",,,,"",)*IF($H6="",1,$H6))</f>
        <v>12259.365738756605</v>
      </c>
      <c r="AN6" s="7">
        <f ca="1">IF($A6="","",[2]!B_CALC_PRICE($A6,$AJ$1,IF(情景分析!$D$6=1,$J6,IF(情景分析!$D$6=2,$E6,IF(情景分析!$D$6=4,IF($C6="银行间",$J6,$L6),$G6)))+AN$2/100,情景分析!$D$7,"",,,,"",)*IF($H6="",1,$H6))</f>
        <v>12303.240269416343</v>
      </c>
      <c r="AO6" s="7">
        <f ca="1">IF($A6="","",[2]!B_CALC_PRICE($A6,$AJ$1,IF(情景分析!$D$6=1,$J6,IF(情景分析!$D$6=2,$E6,IF(情景分析!$D$6=4,IF($C6="银行间",$J6,$L6),$G6)))+AO$2/100,情景分析!$D$7,"",,,,"",)*IF($H6="",1,$H6))</f>
        <v>12325.253718298269</v>
      </c>
      <c r="AP6" s="7">
        <f ca="1">IF($A6="","",[2]!B_CALC_PRICE($A6,$AJ$1,IF(情景分析!$D$6=1,$J6,IF(情景分析!$D$6=2,$E6,IF(情景分析!$D$6=4,IF($C6="银行间",$J6,$L6),$G6)))+AP$2/100,情景分析!$D$7,"",,,,"",)*IF($H6="",1,$H6))</f>
        <v>12347.318147122123</v>
      </c>
      <c r="AQ6" s="7">
        <f ca="1">IF($A6="","",[2]!B_CALC_PRICE($A6,$AQ$1,IF(情景分析!$D$6=1,$J6,IF(情景分析!$D$6=2,$E6,IF(情景分析!$D$6=4,IF($C6="银行间",$J6,$L6),$G6)))+AQ$2/100,情景分析!$D$7,"",,,,"",)*IF($H6="",1,$H6))</f>
        <v>12139.667799782623</v>
      </c>
      <c r="AR6" s="7">
        <f ca="1">IF($A6="","",[2]!B_CALC_PRICE($A6,$AQ$1,IF(情景分析!$D$6=1,$J6,IF(情景分析!$D$6=2,$E6,IF(情景分析!$D$6=4,IF($C6="银行间",$J6,$L6),$G6)))+AR$2/100,情景分析!$D$7,"",,,,"",)*IF($H6="",1,$H6))</f>
        <v>12157.185604440296</v>
      </c>
      <c r="AS6" s="7">
        <f ca="1">IF($A6="","",[2]!B_CALC_PRICE($A6,$AQ$1,IF(情景分析!$D$6=1,$J6,IF(情景分析!$D$6=2,$E6,IF(情景分析!$D$6=4,IF($C6="银行间",$J6,$L6),$G6)))+AS$2/100,情景分析!$D$7,"",,,,"",)*IF($H6="",1,$H6))</f>
        <v>12174.737639713021</v>
      </c>
      <c r="AT6" s="7">
        <f ca="1">IF($A6="","",[2]!B_CALC_PRICE($A6,$AQ$1,IF(情景分析!$D$6=1,$J6,IF(情景分析!$D$6=2,$E6,IF(情景分析!$D$6=4,IF($C6="银行间",$J6,$L6),$G6)))+AT$2/100,情景分析!$D$7,"",,,,"",)*IF($H6="",1,$H6))</f>
        <v>12209.944738017233</v>
      </c>
      <c r="AU6" s="7">
        <f ca="1">IF($A6="","",[2]!B_CALC_PRICE($A6,$AQ$1,IF(情景分析!$D$6=1,$J6,IF(情景分析!$D$6=2,$E6,IF(情景分析!$D$6=4,IF($C6="银行间",$J6,$L6),$G6)))+AU$2/100,情景分析!$D$7,"",,,,"",)*IF($H6="",1,$H6))</f>
        <v>12245.289768999623</v>
      </c>
      <c r="AV6" s="7">
        <f ca="1">IF($A6="","",[2]!B_CALC_PRICE($A6,$AQ$1,IF(情景分析!$D$6=1,$J6,IF(情景分析!$D$6=2,$E6,IF(情景分析!$D$6=4,IF($C6="银行间",$J6,$L6),$G6)))+AV$2/100,情景分析!$D$7,"",,,,"",)*IF($H6="",1,$H6))</f>
        <v>12263.014221053509</v>
      </c>
      <c r="AW6" s="7">
        <f ca="1">IF($A6="","",[2]!B_CALC_PRICE($A6,$AQ$1,IF(情景分析!$D$6=1,$J6,IF(情景分析!$D$6=2,$E6,IF(情景分析!$D$6=4,IF($C6="银行间",$J6,$L6),$G6)))+AW$2/100,情景分析!$D$7,"",,,,"",)*IF($H6="",1,$H6))</f>
        <v>12280.773410947195</v>
      </c>
    </row>
    <row r="7" spans="1:49" x14ac:dyDescent="0.15">
      <c r="A7" s="20" t="s">
        <v>38</v>
      </c>
      <c r="B7" s="7" t="str">
        <f>IF(A7="","",[2]!b_info_name(A7))</f>
        <v>24晋江产投MTN002</v>
      </c>
      <c r="C7" s="7" t="str">
        <f>[2]!b_info_listedmkt(A7)</f>
        <v>银行间</v>
      </c>
      <c r="D7" s="7">
        <f ca="1">IFERROR(IF(A7="","", [2]!b_dq_avgprice(A7, 情景分析!$D$5, 情景分析!$D$7) * IF($H7="",1,$H7)),0)</f>
        <v>0</v>
      </c>
      <c r="E7" s="7">
        <f ca="1">IF(A7="","", N([2]!b_dq_avgprice(A7,情景分析!$D$5,3)))</f>
        <v>0</v>
      </c>
      <c r="F7" s="29">
        <f ca="1">IF($G7 = "",
"",
IFERROR(
[2]!b_calc_pv(A7, 情景分析!$D$5,$G7, "1", 情景分析!$D$7),
[2]!b_calc_pv(A7, 情景分析!$D$5,$G7, "2", 情景分析!$D$7)
)
)</f>
        <v>76.709464564322715</v>
      </c>
      <c r="G7" s="22">
        <v>20</v>
      </c>
      <c r="H7" s="21">
        <v>120</v>
      </c>
      <c r="I7" s="7">
        <f ca="1">IF(A7="","",IF(情景分析!$D$7=1,[2]!b_anal_net_cnbd(A7,情景分析!$D$5,1),[2]!b_anal_dirty_cnbd(A7,情景分析!$D$5,1))*IF($H7="",1,$H7))</f>
        <v>12032.556</v>
      </c>
      <c r="J7" s="7">
        <f ca="1">IF(A7="","",[2]!b_anal_yield_cnbd(A7,情景分析!$D$5,1))</f>
        <v>1.8238000000000001</v>
      </c>
      <c r="K7" s="29">
        <f ca="1">IF(A7="","",IF(情景分析!$D$7=1,[2]!b_anal_net_csi1(A7,情景分析!$D$5,1),[2]!b_anal_dirty_csi1(A7,情景分析!$D$5,1))*IF($H7="",1,$H7))</f>
        <v>12032.412</v>
      </c>
      <c r="L7" s="29">
        <f ca="1">IF(A7="","",[2]!b_anal_yield_csi1(A7,情景分析!$D$5,1))</f>
        <v>1.8163</v>
      </c>
      <c r="M7" s="29">
        <f t="shared" ca="1" si="4"/>
        <v>12032.556</v>
      </c>
      <c r="N7" s="29">
        <f t="shared" ca="1" si="5"/>
        <v>1.8238000000000001</v>
      </c>
      <c r="O7" s="7">
        <f ca="1">IF($A7="","",[2]!B_CALC_PRICE($A7,$O$1,IF(情景分析!$D$6=1,$J7,IF(情景分析!$D$6=2,$E7,IF(情景分析!$D$6=4,IF($C7="银行间",$J7,$L7),$G7)))+O$2/100,情景分析!$D$7,"",,,,"",)*IF($H7="",1,$H7))</f>
        <v>12042.615589686004</v>
      </c>
      <c r="P7" s="7">
        <f ca="1">IF($A7="","",[2]!B_CALC_PRICE($A7,$O$1,IF(情景分析!$D$6=1,$J7,IF(情景分析!$D$6=2,$E7,IF(情景分析!$D$6=4,IF($C7="银行间",$J7,$L7),$G7)))+P$2/100,情景分析!$D$7,"",,,,"",)*IF($H7="",1,$H7))</f>
        <v>12052.223177942231</v>
      </c>
      <c r="Q7" s="7">
        <f ca="1">IF($A7="","",[2]!B_CALC_PRICE($A7,$O$1,IF(情景分析!$D$6=1,$J7,IF(情景分析!$D$6=2,$E7,IF(情景分析!$D$6=4,IF($C7="银行间",$J7,$L7),$G7)))+Q$2/100,情景分析!$D$7,"",,,,"",)*IF($H7="",1,$H7))</f>
        <v>12061.843149343247</v>
      </c>
      <c r="R7" s="7">
        <f ca="1">IF($A7="","",[2]!B_CALC_PRICE($A7,$O$1,IF(情景分析!$D$6=1,$J7,IF(情景分析!$D$6=2,$E7,IF(情景分析!$D$6=4,IF($C7="银行间",$J7,$L7),$G7)))+R$2/100,情景分析!$D$7,"",,,,"",)*IF($H7="",1,$H7))</f>
        <v>12081.120329897254</v>
      </c>
      <c r="S7" s="7">
        <f ca="1">IF($A7="","",[2]!B_CALC_PRICE($A7,$O$1,IF(情景分析!$D$6=1,$J7,IF(情景分析!$D$6=2,$E7,IF(情景分析!$D$6=4,IF($C7="银行间",$J7,$L7),$G7)))+S$2/100,情景分析!$D$7,"",,,,"",)*IF($H7="",1,$H7))</f>
        <v>12100.447308486016</v>
      </c>
      <c r="T7" s="7">
        <f ca="1">IF($A7="","",[2]!B_CALC_PRICE($A7,$O$1,IF(情景分析!$D$6=1,$J7,IF(情景分析!$D$6=2,$E7,IF(情景分析!$D$6=4,IF($C7="银行间",$J7,$L7),$G7)))+T$2/100,情景分析!$D$7,"",,,,"",)*IF($H7="",1,$H7))</f>
        <v>12110.129527619769</v>
      </c>
      <c r="U7" s="7">
        <f ca="1">IF($A7="","",[2]!B_CALC_PRICE($A7,$O$1,IF(情景分析!$D$6=1,$J7,IF(情景分析!$D$6=2,$E7,IF(情景分析!$D$6=4,IF($C7="银行间",$J7,$L7),$G7)))+U$2/100,情景分析!$D$7,"",,,,"",)*IF($H7="",1,$H7))</f>
        <v>12119.824263055139</v>
      </c>
      <c r="V7" s="7">
        <f ca="1">IF($A7="","",[2]!B_CALC_PRICE($A7,$V$1,IF(情景分析!$D$6=1,$J7,IF(情景分析!$D$6=2,$E7,IF(情景分析!$D$6=4,IF($C7="银行间",$J7,$L7),$G7)))+V$2/100,情景分析!$D$7,"",,,,"",)*IF($H7="",1,$H7))</f>
        <v>12040.867637310808</v>
      </c>
      <c r="W7" s="7">
        <f ca="1">IF($A7="","",[2]!B_CALC_PRICE($A7,$V$1,IF(情景分析!$D$6=1,$J7,IF(情景分析!$D$6=2,$E7,IF(情景分析!$D$6=4,IF($C7="银行间",$J7,$L7),$G7)))+W$2/100,情景分析!$D$7,"",,,,"",)*IF($H7="",1,$H7))</f>
        <v>12050.09573742795</v>
      </c>
      <c r="X7" s="7">
        <f ca="1">IF($A7="","",[2]!B_CALC_PRICE($A7,$V$1,IF(情景分析!$D$6=1,$J7,IF(情景分析!$D$6=2,$E7,IF(情景分析!$D$6=4,IF($C7="银行间",$J7,$L7),$G7)))+X$2/100,情景分析!$D$7,"",,,,"",)*IF($H7="",1,$H7))</f>
        <v>12059.335436234634</v>
      </c>
      <c r="Y7" s="7">
        <f ca="1">IF($A7="","",[2]!B_CALC_PRICE($A7,$V$1,IF(情景分析!$D$6=1,$J7,IF(情景分析!$D$6=2,$E7,IF(情景分析!$D$6=4,IF($C7="银行间",$J7,$L7),$G7)))+Y$2/100,情景分析!$D$7,"",,,,"",)*IF($H7="",1,$H7))</f>
        <v>12077.849711148971</v>
      </c>
      <c r="Z7" s="7">
        <f ca="1">IF($A7="","",[2]!B_CALC_PRICE($A7,$V$1,IF(情景分析!$D$6=1,$J7,IF(情景分析!$D$6=2,$E7,IF(情景分析!$D$6=4,IF($C7="银行间",$J7,$L7),$G7)))+Z$2/100,情景分析!$D$7,"",,,,"",)*IF($H7="",1,$H7))</f>
        <v>12096.410624974391</v>
      </c>
      <c r="AA7" s="7">
        <f ca="1">IF($A7="","",[2]!B_CALC_PRICE($A7,$V$1,IF(情景分析!$D$6=1,$J7,IF(情景分析!$D$6=2,$E7,IF(情景分析!$D$6=4,IF($C7="银行间",$J7,$L7),$G7)))+AA$2/100,情景分析!$D$7,"",,,,"",)*IF($H7="",1,$H7))</f>
        <v>12105.708622591568</v>
      </c>
      <c r="AB7" s="7">
        <f ca="1">IF($A7="","",[2]!B_CALC_PRICE($A7,$V$1,IF(情景分析!$D$6=1,$J7,IF(情景分析!$D$6=2,$E7,IF(情景分析!$D$6=4,IF($C7="银行间",$J7,$L7),$G7)))+AB$2/100,情景分析!$D$7,"",,,,"",)*IF($H7="",1,$H7))</f>
        <v>12115.018341363762</v>
      </c>
      <c r="AC7" s="7">
        <f ca="1">IF($A7="","",[2]!B_CALC_PRICE($A7,$AC$1,IF(情景分析!$D$6=1,$J7,IF(情景分析!$D$6=2,$E7,IF(情景分析!$D$6=4,IF($C7="银行间",$J7,$L7),$G7)))+AC$2/100,情景分析!$D$7,"",,,,"",)*IF($H7="",1,$H7))</f>
        <v>12036.519957711072</v>
      </c>
      <c r="AD7" s="7">
        <f ca="1">IF($A7="","",[2]!B_CALC_PRICE($A7,$AC$1,IF(情景分析!$D$6=1,$J7,IF(情景分析!$D$6=2,$E7,IF(情景分析!$D$6=4,IF($C7="银行间",$J7,$L7),$G7)))+AD$2/100,情景分析!$D$7,"",,,,"",)*IF($H7="",1,$H7))</f>
        <v>12044.77899934454</v>
      </c>
      <c r="AE7" s="7">
        <f ca="1">IF($A7="","",[2]!B_CALC_PRICE($A7,$AC$1,IF(情景分析!$D$6=1,$J7,IF(情景分析!$D$6=2,$E7,IF(情景分析!$D$6=4,IF($C7="银行间",$J7,$L7),$G7)))+AE$2/100,情景分析!$D$7,"",,,,"",)*IF($H7="",1,$H7))</f>
        <v>12053.047750870468</v>
      </c>
      <c r="AF7" s="7">
        <f ca="1">IF($A7="","",[2]!B_CALC_PRICE($A7,$AC$1,IF(情景分析!$D$6=1,$J7,IF(情景分析!$D$6=2,$E7,IF(情景分析!$D$6=4,IF($C7="银行间",$J7,$L7),$G7)))+AF$2/100,情景分析!$D$7,"",,,,"",)*IF($H7="",1,$H7))</f>
        <v>12069.614448434675</v>
      </c>
      <c r="AG7" s="7">
        <f ca="1">IF($A7="","",[2]!B_CALC_PRICE($A7,$AC$1,IF(情景分析!$D$6=1,$J7,IF(情景分析!$D$6=2,$E7,IF(情景分析!$D$6=4,IF($C7="银行间",$J7,$L7),$G7)))+AG$2/100,情景分析!$D$7,"",,,,"",)*IF($H7="",1,$H7))</f>
        <v>12086.22018042424</v>
      </c>
      <c r="AH7" s="7">
        <f ca="1">IF($A7="","",[2]!B_CALC_PRICE($A7,$AC$1,IF(情景分析!$D$6=1,$J7,IF(情景分析!$D$6=2,$E7,IF(情景分析!$D$6=4,IF($C7="银行间",$J7,$L7),$G7)))+AH$2/100,情景分析!$D$7,"",,,,"",)*IF($H7="",1,$H7))</f>
        <v>12094.537725113842</v>
      </c>
      <c r="AI7" s="7">
        <f ca="1">IF($A7="","",[2]!B_CALC_PRICE($A7,$AC$1,IF(情景分析!$D$6=1,$J7,IF(情景分析!$D$6=2,$E7,IF(情景分析!$D$6=4,IF($C7="银行间",$J7,$L7),$G7)))+AI$2/100,情景分析!$D$7,"",,,,"",)*IF($H7="",1,$H7))</f>
        <v>12102.865077422797</v>
      </c>
      <c r="AJ7" s="7">
        <f ca="1">IF($A7="","",[2]!B_CALC_PRICE($A7,$AJ$1,IF(情景分析!$D$6=1,$J7,IF(情景分析!$D$6=2,$E7,IF(情景分析!$D$6=4,IF($C7="银行间",$J7,$L7),$G7)))+AJ$2/100,情景分析!$D$7,"",,,,"",)*IF($H7="",1,$H7))</f>
        <v>12036.519957711072</v>
      </c>
      <c r="AK7" s="7">
        <f ca="1">IF($A7="","",[2]!B_CALC_PRICE($A7,$AJ$1,IF(情景分析!$D$6=1,$J7,IF(情景分析!$D$6=2,$E7,IF(情景分析!$D$6=4,IF($C7="银行间",$J7,$L7),$G7)))+AK$2/100,情景分析!$D$7,"",,,,"",)*IF($H7="",1,$H7))</f>
        <v>12044.77899934454</v>
      </c>
      <c r="AL7" s="7">
        <f ca="1">IF($A7="","",[2]!B_CALC_PRICE($A7,$AJ$1,IF(情景分析!$D$6=1,$J7,IF(情景分析!$D$6=2,$E7,IF(情景分析!$D$6=4,IF($C7="银行间",$J7,$L7),$G7)))+AL$2/100,情景分析!$D$7,"",,,,"",)*IF($H7="",1,$H7))</f>
        <v>12053.047750870468</v>
      </c>
      <c r="AM7" s="7">
        <f ca="1">IF($A7="","",[2]!B_CALC_PRICE($A7,$AJ$1,IF(情景分析!$D$6=1,$J7,IF(情景分析!$D$6=2,$E7,IF(情景分析!$D$6=4,IF($C7="银行间",$J7,$L7),$G7)))+AM$2/100,情景分析!$D$7,"",,,,"",)*IF($H7="",1,$H7))</f>
        <v>12069.614448434675</v>
      </c>
      <c r="AN7" s="7">
        <f ca="1">IF($A7="","",[2]!B_CALC_PRICE($A7,$AJ$1,IF(情景分析!$D$6=1,$J7,IF(情景分析!$D$6=2,$E7,IF(情景分析!$D$6=4,IF($C7="银行间",$J7,$L7),$G7)))+AN$2/100,情景分析!$D$7,"",,,,"",)*IF($H7="",1,$H7))</f>
        <v>12086.22018042424</v>
      </c>
      <c r="AO7" s="7">
        <f ca="1">IF($A7="","",[2]!B_CALC_PRICE($A7,$AJ$1,IF(情景分析!$D$6=1,$J7,IF(情景分析!$D$6=2,$E7,IF(情景分析!$D$6=4,IF($C7="银行间",$J7,$L7),$G7)))+AO$2/100,情景分析!$D$7,"",,,,"",)*IF($H7="",1,$H7))</f>
        <v>12094.537725113842</v>
      </c>
      <c r="AP7" s="7">
        <f ca="1">IF($A7="","",[2]!B_CALC_PRICE($A7,$AJ$1,IF(情景分析!$D$6=1,$J7,IF(情景分析!$D$6=2,$E7,IF(情景分析!$D$6=4,IF($C7="银行间",$J7,$L7),$G7)))+AP$2/100,情景分析!$D$7,"",,,,"",)*IF($H7="",1,$H7))</f>
        <v>12102.865077422797</v>
      </c>
      <c r="AQ7" s="7">
        <f ca="1">IF($A7="","",[2]!B_CALC_PRICE($A7,$AQ$1,IF(情景分析!$D$6=1,$J7,IF(情景分析!$D$6=2,$E7,IF(情景分析!$D$6=4,IF($C7="银行间",$J7,$L7),$G7)))+AQ$2/100,情景分析!$D$7,"",,,,"",)*IF($H7="",1,$H7))</f>
        <v>12016.322309612531</v>
      </c>
      <c r="AR7" s="7">
        <f ca="1">IF($A7="","",[2]!B_CALC_PRICE($A7,$AQ$1,IF(情景分析!$D$6=1,$J7,IF(情景分析!$D$6=2,$E7,IF(情景分析!$D$6=4,IF($C7="银行间",$J7,$L7),$G7)))+AR$2/100,情景分析!$D$7,"",,,,"",)*IF($H7="",1,$H7))</f>
        <v>12020.236349474453</v>
      </c>
      <c r="AS7" s="7">
        <f ca="1">IF($A7="","",[2]!B_CALC_PRICE($A7,$AQ$1,IF(情景分析!$D$6=1,$J7,IF(情景分析!$D$6=2,$E7,IF(情景分析!$D$6=4,IF($C7="银行间",$J7,$L7),$G7)))+AS$2/100,情景分析!$D$7,"",,,,"",)*IF($H7="",1,$H7))</f>
        <v>12024.15292034527</v>
      </c>
      <c r="AT7" s="7">
        <f ca="1">IF($A7="","",[2]!B_CALC_PRICE($A7,$AQ$1,IF(情景分析!$D$6=1,$J7,IF(情景分析!$D$6=2,$E7,IF(情景分析!$D$6=4,IF($C7="银行间",$J7,$L7),$G7)))+AT$2/100,情景分析!$D$7,"",,,,"",)*IF($H7="",1,$H7))</f>
        <v>12031.993664939986</v>
      </c>
      <c r="AU7" s="7">
        <f ca="1">IF($A7="","",[2]!B_CALC_PRICE($A7,$AQ$1,IF(情景分析!$D$6=1,$J7,IF(情景分析!$D$6=2,$E7,IF(情景分析!$D$6=4,IF($C7="银行间",$J7,$L7),$G7)))+AU$2/100,情景分析!$D$7,"",,,,"",)*IF($H7="",1,$H7))</f>
        <v>12039.84456308128</v>
      </c>
      <c r="AV7" s="7">
        <f ca="1">IF($A7="","",[2]!B_CALC_PRICE($A7,$AQ$1,IF(情景分析!$D$6=1,$J7,IF(情景分析!$D$6=2,$E7,IF(情景分析!$D$6=4,IF($C7="银行间",$J7,$L7),$G7)))+AV$2/100,情景分析!$D$7,"",,,,"",)*IF($H7="",1,$H7))</f>
        <v>12043.773825897282</v>
      </c>
      <c r="AW7" s="7">
        <f ca="1">IF($A7="","",[2]!B_CALC_PRICE($A7,$AQ$1,IF(情景分析!$D$6=1,$J7,IF(情景分析!$D$6=2,$E7,IF(情景分析!$D$6=4,IF($C7="银行间",$J7,$L7),$G7)))+AW$2/100,情景分析!$D$7,"",,,,"",)*IF($H7="",1,$H7))</f>
        <v>12047.70563450478</v>
      </c>
    </row>
    <row r="8" spans="1:49" x14ac:dyDescent="0.15">
      <c r="A8" s="20" t="s">
        <v>39</v>
      </c>
      <c r="B8" s="7" t="str">
        <f>IF(A8="","",[2]!b_info_name(A8))</f>
        <v>25晋江城投MTN004</v>
      </c>
      <c r="C8" s="7" t="str">
        <f>[2]!b_info_listedmkt(A8)</f>
        <v>银行间</v>
      </c>
      <c r="D8" s="7">
        <f ca="1">IFERROR(IF(A8="","", [2]!b_dq_avgprice(A8, 情景分析!$D$5, 情景分析!$D$7) * IF($H8="",1,$H8)),0)</f>
        <v>11931.036</v>
      </c>
      <c r="E8" s="7">
        <f ca="1">IF(A8="","", N([2]!b_dq_avgprice(A8,情景分析!$D$5,3)))</f>
        <v>0</v>
      </c>
      <c r="F8" s="29">
        <f ca="1">IF($G8 = "",
"",
IFERROR(
[2]!b_calc_pv(A8, 情景分析!$D$5,$G8, "1", 情景分析!$D$7),
[2]!b_calc_pv(A8, 情景分析!$D$5,$G8, "2", 情景分析!$D$7)
)
)</f>
        <v>18.583980752556901</v>
      </c>
      <c r="G8" s="22">
        <v>20</v>
      </c>
      <c r="H8" s="21">
        <v>120</v>
      </c>
      <c r="I8" s="7">
        <f ca="1">IF(A8="","",IF(情景分析!$D$7=1,[2]!b_anal_net_cnbd(A8,情景分析!$D$5,1),[2]!b_anal_dirty_cnbd(A8,情景分析!$D$5,1))*IF($H8="",1,$H8))</f>
        <v>11938.296</v>
      </c>
      <c r="J8" s="7">
        <f ca="1">IF(A8="","",[2]!b_anal_yield_cnbd(A8,情景分析!$D$5,1))</f>
        <v>2.5571000000000002</v>
      </c>
      <c r="K8" s="29">
        <f ca="1">IF(A8="","",IF(情景分析!$D$7=1,[2]!b_anal_net_csi1(A8,情景分析!$D$5,1),[2]!b_anal_dirty_csi1(A8,情景分析!$D$5,1))*IF($H8="",1,$H8))</f>
        <v>11936.004000000001</v>
      </c>
      <c r="L8" s="29">
        <f ca="1">IF(A8="","",[2]!b_anal_yield_csi1(A8,情景分析!$D$5,1))</f>
        <v>2.56</v>
      </c>
      <c r="M8" s="29">
        <f t="shared" ca="1" si="4"/>
        <v>11938.296</v>
      </c>
      <c r="N8" s="29">
        <f t="shared" ca="1" si="5"/>
        <v>2.5571000000000002</v>
      </c>
      <c r="O8" s="7">
        <f ca="1">IF($A8="","",[2]!B_CALC_PRICE($A8,$O$1,IF(情景分析!$D$6=1,$J8,IF(情景分析!$D$6=2,$E8,IF(情景分析!$D$6=4,IF($C8="银行间",$J8,$L8),$G8)))+O$2/100,情景分析!$D$7,"",,,,"",)*IF($H8="",1,$H8))</f>
        <v>19343.944630271988</v>
      </c>
      <c r="P8" s="7">
        <f ca="1">IF($A8="","",[2]!B_CALC_PRICE($A8,$O$1,IF(情景分析!$D$6=1,$J8,IF(情景分析!$D$6=2,$E8,IF(情景分析!$D$6=4,IF($C8="银行间",$J8,$L8),$G8)))+P$2/100,情景分析!$D$7,"",,,,"",)*IF($H8="",1,$H8))</f>
        <v>19599.53803122048</v>
      </c>
      <c r="Q8" s="7">
        <f ca="1">IF($A8="","",[2]!B_CALC_PRICE($A8,$O$1,IF(情景分析!$D$6=1,$J8,IF(情景分析!$D$6=2,$E8,IF(情景分析!$D$6=4,IF($C8="银行间",$J8,$L8),$G8)))+Q$2/100,情景分析!$D$7,"",,,,"",)*IF($H8="",1,$H8))</f>
        <v>19859.962161863637</v>
      </c>
      <c r="R8" s="7">
        <f ca="1">IF($A8="","",[2]!B_CALC_PRICE($A8,$O$1,IF(情景分析!$D$6=1,$J8,IF(情景分析!$D$6=2,$E8,IF(情景分析!$D$6=4,IF($C8="银行间",$J8,$L8),$G8)))+R$2/100,情景分析!$D$7,"",,,,"",)*IF($H8="",1,$H8))</f>
        <v>20395.734529065438</v>
      </c>
      <c r="S8" s="7">
        <f ca="1">IF($A8="","",[2]!B_CALC_PRICE($A8,$O$1,IF(情景分析!$D$6=1,$J8,IF(情景分析!$D$6=2,$E8,IF(情景分析!$D$6=4,IF($C8="银行间",$J8,$L8),$G8)))+S$2/100,情景分析!$D$7,"",,,,"",)*IF($H8="",1,$H8))</f>
        <v>20952.152022261587</v>
      </c>
      <c r="T8" s="7">
        <f ca="1">IF($A8="","",[2]!B_CALC_PRICE($A8,$O$1,IF(情景分析!$D$6=1,$J8,IF(情景分析!$D$6=2,$E8,IF(情景分析!$D$6=4,IF($C8="银行间",$J8,$L8),$G8)))+T$2/100,情景分析!$D$7,"",,,,"",)*IF($H8="",1,$H8))</f>
        <v>21238.39284095836</v>
      </c>
      <c r="U8" s="7">
        <f ca="1">IF($A8="","",[2]!B_CALC_PRICE($A8,$O$1,IF(情景分析!$D$6=1,$J8,IF(情景分析!$D$6=2,$E8,IF(情景分析!$D$6=4,IF($C8="银行间",$J8,$L8),$G8)))+U$2/100,情景分析!$D$7,"",,,,"",)*IF($H8="",1,$H8))</f>
        <v>21530.148802438118</v>
      </c>
      <c r="V8" s="7">
        <f ca="1">IF($A8="","",[2]!B_CALC_PRICE($A8,$V$1,IF(情景分析!$D$6=1,$J8,IF(情景分析!$D$6=2,$E8,IF(情景分析!$D$6=4,IF($C8="银行间",$J8,$L8),$G8)))+V$2/100,情景分析!$D$7,"",,,,"",)*IF($H8="",1,$H8))</f>
        <v>19359.517671333986</v>
      </c>
      <c r="W8" s="7">
        <f ca="1">IF($A8="","",[2]!B_CALC_PRICE($A8,$V$1,IF(情景分析!$D$6=1,$J8,IF(情景分析!$D$6=2,$E8,IF(情景分析!$D$6=4,IF($C8="银行间",$J8,$L8),$G8)))+W$2/100,情景分析!$D$7,"",,,,"",)*IF($H8="",1,$H8))</f>
        <v>19614.936625819308</v>
      </c>
      <c r="X8" s="7">
        <f ca="1">IF($A8="","",[2]!B_CALC_PRICE($A8,$V$1,IF(情景分析!$D$6=1,$J8,IF(情景分析!$D$6=2,$E8,IF(情景分析!$D$6=4,IF($C8="银行间",$J8,$L8),$G8)))+X$2/100,情景分析!$D$7,"",,,,"",)*IF($H8="",1,$H8))</f>
        <v>19875.177967516389</v>
      </c>
      <c r="Y8" s="7">
        <f ca="1">IF($A8="","",[2]!B_CALC_PRICE($A8,$V$1,IF(情景分析!$D$6=1,$J8,IF(情景分析!$D$6=2,$E8,IF(情景分析!$D$6=4,IF($C8="银行间",$J8,$L8),$G8)))+Y$2/100,情景分析!$D$7,"",,,,"",)*IF($H8="",1,$H8))</f>
        <v>20410.558540658378</v>
      </c>
      <c r="Z8" s="7">
        <f ca="1">IF($A8="","",[2]!B_CALC_PRICE($A8,$V$1,IF(情景分析!$D$6=1,$J8,IF(情景分析!$D$6=2,$E8,IF(情景分析!$D$6=4,IF($C8="银行间",$J8,$L8),$G8)))+Z$2/100,情景分析!$D$7,"",,,,"",)*IF($H8="",1,$H8))</f>
        <v>20966.547202830887</v>
      </c>
      <c r="AA8" s="7">
        <f ca="1">IF($A8="","",[2]!B_CALC_PRICE($A8,$V$1,IF(情景分析!$D$6=1,$J8,IF(情景分析!$D$6=2,$E8,IF(情景分析!$D$6=4,IF($C8="银行间",$J8,$L8),$G8)))+AA$2/100,情景分析!$D$7,"",,,,"",)*IF($H8="",1,$H8))</f>
        <v>21252.558896791674</v>
      </c>
      <c r="AB8" s="7">
        <f ca="1">IF($A8="","",[2]!B_CALC_PRICE($A8,$V$1,IF(情景分析!$D$6=1,$J8,IF(情景分析!$D$6=2,$E8,IF(情景分析!$D$6=4,IF($C8="银行间",$J8,$L8),$G8)))+AB$2/100,情景分析!$D$7,"",,,,"",)*IF($H8="",1,$H8))</f>
        <v>21544.075467769089</v>
      </c>
      <c r="AC8" s="7">
        <f ca="1">IF($A8="","",[2]!B_CALC_PRICE($A8,$AC$1,IF(情景分析!$D$6=1,$J8,IF(情景分析!$D$6=2,$E8,IF(情景分析!$D$6=4,IF($C8="银行间",$J8,$L8),$G8)))+AC$2/100,情景分析!$D$7,"",,,,"",)*IF($H8="",1,$H8))</f>
        <v>19399.379975080548</v>
      </c>
      <c r="AD8" s="7">
        <f ca="1">IF($A8="","",[2]!B_CALC_PRICE($A8,$AC$1,IF(情景分析!$D$6=1,$J8,IF(情景分析!$D$6=2,$E8,IF(情景分析!$D$6=4,IF($C8="银行间",$J8,$L8),$G8)))+AD$2/100,情景分析!$D$7,"",,,,"",)*IF($H8="",1,$H8))</f>
        <v>19654.349129038674</v>
      </c>
      <c r="AE8" s="7">
        <f ca="1">IF($A8="","",[2]!B_CALC_PRICE($A8,$AC$1,IF(情景分析!$D$6=1,$J8,IF(情景分析!$D$6=2,$E8,IF(情景分析!$D$6=4,IF($C8="银行间",$J8,$L8),$G8)))+AE$2/100,情景分析!$D$7,"",,,,"",)*IF($H8="",1,$H8))</f>
        <v>19914.119449870705</v>
      </c>
      <c r="AF8" s="7">
        <f ca="1">IF($A8="","",[2]!B_CALC_PRICE($A8,$AC$1,IF(情景分析!$D$6=1,$J8,IF(情景分析!$D$6=2,$E8,IF(情景分析!$D$6=4,IF($C8="银行间",$J8,$L8),$G8)))+AF$2/100,情景分析!$D$7,"",,,,"",)*IF($H8="",1,$H8))</f>
        <v>20448.491304650895</v>
      </c>
      <c r="AG8" s="7">
        <f ca="1">IF($A8="","",[2]!B_CALC_PRICE($A8,$AC$1,IF(情景分析!$D$6=1,$J8,IF(情景分析!$D$6=2,$E8,IF(情景分析!$D$6=4,IF($C8="银行间",$J8,$L8),$G8)))+AG$2/100,情景分析!$D$7,"",,,,"",)*IF($H8="",1,$H8))</f>
        <v>21003.377064891123</v>
      </c>
      <c r="AH8" s="7">
        <f ca="1">IF($A8="","",[2]!B_CALC_PRICE($A8,$AC$1,IF(情景分析!$D$6=1,$J8,IF(情景分析!$D$6=2,$E8,IF(情景分析!$D$6=4,IF($C8="银行间",$J8,$L8),$G8)))+AH$2/100,情景分析!$D$7,"",,,,"",)*IF($H8="",1,$H8))</f>
        <v>21288.79990832361</v>
      </c>
      <c r="AI8" s="7">
        <f ca="1">IF($A8="","",[2]!B_CALC_PRICE($A8,$AC$1,IF(情景分析!$D$6=1,$J8,IF(情景分析!$D$6=2,$E8,IF(情景分析!$D$6=4,IF($C8="银行间",$J8,$L8),$G8)))+AI$2/100,情景分析!$D$7,"",,,,"",)*IF($H8="",1,$H8))</f>
        <v>21579.701530101447</v>
      </c>
      <c r="AJ8" s="7">
        <f ca="1">IF($A8="","",[2]!B_CALC_PRICE($A8,$AJ$1,IF(情景分析!$D$6=1,$J8,IF(情景分析!$D$6=2,$E8,IF(情景分析!$D$6=4,IF($C8="银行间",$J8,$L8),$G8)))+AJ$2/100,情景分析!$D$7,"",,,,"",)*IF($H8="",1,$H8))</f>
        <v>19399.379975080548</v>
      </c>
      <c r="AK8" s="7">
        <f ca="1">IF($A8="","",[2]!B_CALC_PRICE($A8,$AJ$1,IF(情景分析!$D$6=1,$J8,IF(情景分析!$D$6=2,$E8,IF(情景分析!$D$6=4,IF($C8="银行间",$J8,$L8),$G8)))+AK$2/100,情景分析!$D$7,"",,,,"",)*IF($H8="",1,$H8))</f>
        <v>19654.349129038674</v>
      </c>
      <c r="AL8" s="7">
        <f ca="1">IF($A8="","",[2]!B_CALC_PRICE($A8,$AJ$1,IF(情景分析!$D$6=1,$J8,IF(情景分析!$D$6=2,$E8,IF(情景分析!$D$6=4,IF($C8="银行间",$J8,$L8),$G8)))+AL$2/100,情景分析!$D$7,"",,,,"",)*IF($H8="",1,$H8))</f>
        <v>19914.119449870705</v>
      </c>
      <c r="AM8" s="7">
        <f ca="1">IF($A8="","",[2]!B_CALC_PRICE($A8,$AJ$1,IF(情景分析!$D$6=1,$J8,IF(情景分析!$D$6=2,$E8,IF(情景分析!$D$6=4,IF($C8="银行间",$J8,$L8),$G8)))+AM$2/100,情景分析!$D$7,"",,,,"",)*IF($H8="",1,$H8))</f>
        <v>20448.491304650895</v>
      </c>
      <c r="AN8" s="7">
        <f ca="1">IF($A8="","",[2]!B_CALC_PRICE($A8,$AJ$1,IF(情景分析!$D$6=1,$J8,IF(情景分析!$D$6=2,$E8,IF(情景分析!$D$6=4,IF($C8="银行间",$J8,$L8),$G8)))+AN$2/100,情景分析!$D$7,"",,,,"",)*IF($H8="",1,$H8))</f>
        <v>21003.377064891123</v>
      </c>
      <c r="AO8" s="7">
        <f ca="1">IF($A8="","",[2]!B_CALC_PRICE($A8,$AJ$1,IF(情景分析!$D$6=1,$J8,IF(情景分析!$D$6=2,$E8,IF(情景分析!$D$6=4,IF($C8="银行间",$J8,$L8),$G8)))+AO$2/100,情景分析!$D$7,"",,,,"",)*IF($H8="",1,$H8))</f>
        <v>21288.79990832361</v>
      </c>
      <c r="AP8" s="7">
        <f ca="1">IF($A8="","",[2]!B_CALC_PRICE($A8,$AJ$1,IF(情景分析!$D$6=1,$J8,IF(情景分析!$D$6=2,$E8,IF(情景分析!$D$6=4,IF($C8="银行间",$J8,$L8),$G8)))+AP$2/100,情景分析!$D$7,"",,,,"",)*IF($H8="",1,$H8))</f>
        <v>21579.701530101447</v>
      </c>
      <c r="AQ8" s="7">
        <f ca="1">IF($A8="","",[2]!B_CALC_PRICE($A8,$AQ$1,IF(情景分析!$D$6=1,$J8,IF(情景分析!$D$6=2,$E8,IF(情景分析!$D$6=4,IF($C8="银行间",$J8,$L8),$G8)))+AQ$2/100,情景分析!$D$7,"",,,,"",)*IF($H8="",1,$H8))</f>
        <v>19579.846603355527</v>
      </c>
      <c r="AR8" s="7">
        <f ca="1">IF($A8="","",[2]!B_CALC_PRICE($A8,$AQ$1,IF(情景分析!$D$6=1,$J8,IF(情景分析!$D$6=2,$E8,IF(情景分析!$D$6=4,IF($C8="银行间",$J8,$L8),$G8)))+AR$2/100,情景分析!$D$7,"",,,,"",)*IF($H8="",1,$H8))</f>
        <v>19832.7405429104</v>
      </c>
      <c r="AS8" s="7">
        <f ca="1">IF($A8="","",[2]!B_CALC_PRICE($A8,$AQ$1,IF(情景分析!$D$6=1,$J8,IF(情景分析!$D$6=2,$E8,IF(情景分析!$D$6=4,IF($C8="银行间",$J8,$L8),$G8)))+AS$2/100,情景分析!$D$7,"",,,,"",)*IF($H8="",1,$H8))</f>
        <v>20090.3404388405</v>
      </c>
      <c r="AT8" s="7">
        <f ca="1">IF($A8="","",[2]!B_CALC_PRICE($A8,$AQ$1,IF(情景分析!$D$6=1,$J8,IF(情景分析!$D$6=2,$E8,IF(情景分析!$D$6=4,IF($C8="银行间",$J8,$L8),$G8)))+AT$2/100,情景分析!$D$7,"",,,,"",)*IF($H8="",1,$H8))</f>
        <v>20620.072418101205</v>
      </c>
      <c r="AU8" s="7">
        <f ca="1">IF($A8="","",[2]!B_CALC_PRICE($A8,$AQ$1,IF(情景分析!$D$6=1,$J8,IF(情景分析!$D$6=2,$E8,IF(情景分析!$D$6=4,IF($C8="银行间",$J8,$L8),$G8)))+AU$2/100,情景分析!$D$7,"",,,,"",)*IF($H8="",1,$H8))</f>
        <v>21169.896153346795</v>
      </c>
      <c r="AV8" s="7">
        <f ca="1">IF($A8="","",[2]!B_CALC_PRICE($A8,$AQ$1,IF(情景分析!$D$6=1,$J8,IF(情景分析!$D$6=2,$E8,IF(情景分析!$D$6=4,IF($C8="银行间",$J8,$L8),$G8)))+AV$2/100,情景分析!$D$7,"",,,,"",)*IF($H8="",1,$H8))</f>
        <v>21452.62044383182</v>
      </c>
      <c r="AW8" s="7">
        <f ca="1">IF($A8="","",[2]!B_CALC_PRICE($A8,$AQ$1,IF(情景分析!$D$6=1,$J8,IF(情景分析!$D$6=2,$E8,IF(情景分析!$D$6=4,IF($C8="银行间",$J8,$L8),$G8)))+AW$2/100,情景分析!$D$7,"",,,,"",)*IF($H8="",1,$H8))</f>
        <v>21740.706647917745</v>
      </c>
    </row>
    <row r="9" spans="1:49" x14ac:dyDescent="0.15">
      <c r="A9" s="20" t="s">
        <v>40</v>
      </c>
      <c r="B9" s="7" t="str">
        <f>IF(A9="","",[2]!b_info_name(A9))</f>
        <v>25泉州台商PPN001</v>
      </c>
      <c r="C9" s="7" t="str">
        <f>[2]!b_info_listedmkt(A9)</f>
        <v>银行间</v>
      </c>
      <c r="D9" s="7">
        <f ca="1">IFERROR(IF(A9="","", [2]!b_dq_avgprice(A9, 情景分析!$D$5, 情景分析!$D$7) * IF($H9="",1,$H9)),0)</f>
        <v>0</v>
      </c>
      <c r="E9" s="7">
        <f ca="1">IF(A9="","", N([2]!b_dq_avgprice(A9,情景分析!$D$5,3)))</f>
        <v>0</v>
      </c>
      <c r="F9" s="29">
        <f ca="1">IF($G9 = "",
"",
IFERROR(
[2]!b_calc_pv(A9, 情景分析!$D$5,$G9, "1", 情景分析!$D$7),
[2]!b_calc_pv(A9, 情景分析!$D$5,$G9, "2", 情景分析!$D$7)
)
)</f>
        <v>52.533518901582653</v>
      </c>
      <c r="G9" s="22">
        <v>20</v>
      </c>
      <c r="H9" s="21">
        <v>120</v>
      </c>
      <c r="I9" s="7">
        <f ca="1">IF(A9="","",IF(情景分析!$D$7=1,[2]!b_anal_net_cnbd(A9,情景分析!$D$5,1),[2]!b_anal_dirty_cnbd(A9,情景分析!$D$5,1))*IF($H9="",1,$H9))</f>
        <v>12022.019999999999</v>
      </c>
      <c r="J9" s="7">
        <f ca="1">IF(A9="","",[2]!b_anal_yield_cnbd(A9,情景分析!$D$5,1))</f>
        <v>2.2121</v>
      </c>
      <c r="K9" s="29">
        <f ca="1">IF(A9="","",IF(情景分析!$D$7=1,[2]!b_anal_net_csi1(A9,情景分析!$D$5,1),[2]!b_anal_dirty_csi1(A9,情景分析!$D$5,1))*IF($H9="",1,$H9))</f>
        <v>12026.316000000001</v>
      </c>
      <c r="L9" s="29">
        <f ca="1">IF(A9="","",[2]!b_anal_yield_csi1(A9,情景分析!$D$5,1))</f>
        <v>2.1924000000000001</v>
      </c>
      <c r="M9" s="29">
        <f t="shared" ca="1" si="4"/>
        <v>12022.019999999999</v>
      </c>
      <c r="N9" s="29">
        <f t="shared" ca="1" si="5"/>
        <v>2.2121</v>
      </c>
      <c r="O9" s="7">
        <f ca="1">IF($A9="","",[2]!B_CALC_PRICE($A9,$O$1,IF(情景分析!$D$6=1,$J9,IF(情景分析!$D$6=2,$E9,IF(情景分析!$D$6=4,IF($C9="银行间",$J9,$L9),$G9)))+O$2/100,情景分析!$D$7,"",,,,"",)*IF($H9="",1,$H9))</f>
        <v>11946.617865276326</v>
      </c>
      <c r="P9" s="7">
        <f ca="1">IF($A9="","",[2]!B_CALC_PRICE($A9,$O$1,IF(情景分析!$D$6=1,$J9,IF(情景分析!$D$6=2,$E9,IF(情景分析!$D$6=4,IF($C9="银行间",$J9,$L9),$G9)))+P$2/100,情景分析!$D$7,"",,,,"",)*IF($H9="",1,$H9))</f>
        <v>11970.183461861321</v>
      </c>
      <c r="Q9" s="7">
        <f ca="1">IF($A9="","",[2]!B_CALC_PRICE($A9,$O$1,IF(情景分析!$D$6=1,$J9,IF(情景分析!$D$6=2,$E9,IF(情景分析!$D$6=4,IF($C9="银行间",$J9,$L9),$G9)))+Q$2/100,情景分析!$D$7,"",,,,"",)*IF($H9="",1,$H9))</f>
        <v>11993.808027151939</v>
      </c>
      <c r="R9" s="7">
        <f ca="1">IF($A9="","",[2]!B_CALC_PRICE($A9,$O$1,IF(情景分析!$D$6=1,$J9,IF(情景分析!$D$6=2,$E9,IF(情景分析!$D$6=4,IF($C9="银行间",$J9,$L9),$G9)))+R$2/100,情景分析!$D$7,"",,,,"",)*IF($H9="",1,$H9))</f>
        <v>12041.234773476976</v>
      </c>
      <c r="S9" s="7">
        <f ca="1">IF($A9="","",[2]!B_CALC_PRICE($A9,$O$1,IF(情景分析!$D$6=1,$J9,IF(情景分析!$D$6=2,$E9,IF(情景分析!$D$6=4,IF($C9="银行间",$J9,$L9),$G9)))+S$2/100,情景分析!$D$7,"",,,,"",)*IF($H9="",1,$H9))</f>
        <v>12088.899529728449</v>
      </c>
      <c r="T9" s="7">
        <f ca="1">IF($A9="","",[2]!B_CALC_PRICE($A9,$O$1,IF(情景分析!$D$6=1,$J9,IF(情景分析!$D$6=2,$E9,IF(情景分析!$D$6=4,IF($C9="银行间",$J9,$L9),$G9)))+T$2/100,情景分析!$D$7,"",,,,"",)*IF($H9="",1,$H9))</f>
        <v>12112.82160977388</v>
      </c>
      <c r="U9" s="7">
        <f ca="1">IF($A9="","",[2]!B_CALC_PRICE($A9,$O$1,IF(情景分析!$D$6=1,$J9,IF(情景分析!$D$6=2,$E9,IF(情景分析!$D$6=4,IF($C9="银行间",$J9,$L9),$G9)))+U$2/100,情景分析!$D$7,"",,,,"",)*IF($H9="",1,$H9))</f>
        <v>12136.803731396294</v>
      </c>
      <c r="V9" s="7">
        <f ca="1">IF($A9="","",[2]!B_CALC_PRICE($A9,$V$1,IF(情景分析!$D$6=1,$J9,IF(情景分析!$D$6=2,$E9,IF(情景分析!$D$6=4,IF($C9="银行间",$J9,$L9),$G9)))+V$2/100,情景分析!$D$7,"",,,,"",)*IF($H9="",1,$H9))</f>
        <v>11947.562096644357</v>
      </c>
      <c r="W9" s="7">
        <f ca="1">IF($A9="","",[2]!B_CALC_PRICE($A9,$V$1,IF(情景分析!$D$6=1,$J9,IF(情景分析!$D$6=2,$E9,IF(情景分析!$D$6=4,IF($C9="银行间",$J9,$L9),$G9)))+W$2/100,情景分析!$D$7,"",,,,"",)*IF($H9="",1,$H9))</f>
        <v>11970.772421524049</v>
      </c>
      <c r="X9" s="7">
        <f ca="1">IF($A9="","",[2]!B_CALC_PRICE($A9,$V$1,IF(情景分析!$D$6=1,$J9,IF(情景分析!$D$6=2,$E9,IF(情景分析!$D$6=4,IF($C9="银行间",$J9,$L9),$G9)))+X$2/100,情景分析!$D$7,"",,,,"",)*IF($H9="",1,$H9))</f>
        <v>11994.040108682764</v>
      </c>
      <c r="Y9" s="7">
        <f ca="1">IF($A9="","",[2]!B_CALC_PRICE($A9,$V$1,IF(情景分析!$D$6=1,$J9,IF(情景分析!$D$6=2,$E9,IF(情景分析!$D$6=4,IF($C9="银行间",$J9,$L9),$G9)))+Y$2/100,情景分析!$D$7,"",,,,"",)*IF($H9="",1,$H9))</f>
        <v>12040.748252870222</v>
      </c>
      <c r="Z9" s="7">
        <f ca="1">IF($A9="","",[2]!B_CALC_PRICE($A9,$V$1,IF(情景分析!$D$6=1,$J9,IF(情景分析!$D$6=2,$E9,IF(情景分析!$D$6=4,IF($C9="银行间",$J9,$L9),$G9)))+Z$2/100,情景分析!$D$7,"",,,,"",)*IF($H9="",1,$H9))</f>
        <v>12087.687901208021</v>
      </c>
      <c r="AA9" s="7">
        <f ca="1">IF($A9="","",[2]!B_CALC_PRICE($A9,$V$1,IF(情景分析!$D$6=1,$J9,IF(情景分析!$D$6=2,$E9,IF(情景分析!$D$6=4,IF($C9="银行间",$J9,$L9),$G9)))+AA$2/100,情景分析!$D$7,"",,,,"",)*IF($H9="",1,$H9))</f>
        <v>12111.244970792819</v>
      </c>
      <c r="AB9" s="7">
        <f ca="1">IF($A9="","",[2]!B_CALC_PRICE($A9,$V$1,IF(情景分析!$D$6=1,$J9,IF(情景分析!$D$6=2,$E9,IF(情景分析!$D$6=4,IF($C9="银行间",$J9,$L9),$G9)))+AB$2/100,情景分析!$D$7,"",,,,"",)*IF($H9="",1,$H9))</f>
        <v>12134.860435246957</v>
      </c>
      <c r="AC9" s="7">
        <f ca="1">IF($A9="","",[2]!B_CALC_PRICE($A9,$AC$1,IF(情景分析!$D$6=1,$J9,IF(情景分析!$D$6=2,$E9,IF(情景分析!$D$6=4,IF($C9="银行间",$J9,$L9),$G9)))+AC$2/100,情景分析!$D$7,"",,,,"",)*IF($H9="",1,$H9))</f>
        <v>11949.754256597018</v>
      </c>
      <c r="AD9" s="7">
        <f ca="1">IF($A9="","",[2]!B_CALC_PRICE($A9,$AC$1,IF(情景分析!$D$6=1,$J9,IF(情景分析!$D$6=2,$E9,IF(情景分析!$D$6=4,IF($C9="银行间",$J9,$L9),$G9)))+AD$2/100,情景分析!$D$7,"",,,,"",)*IF($H9="",1,$H9))</f>
        <v>11972.063397458987</v>
      </c>
      <c r="AE9" s="7">
        <f ca="1">IF($A9="","",[2]!B_CALC_PRICE($A9,$AC$1,IF(情景分析!$D$6=1,$J9,IF(情景分析!$D$6=2,$E9,IF(情景分析!$D$6=4,IF($C9="银行间",$J9,$L9),$G9)))+AE$2/100,情景分析!$D$7,"",,,,"",)*IF($H9="",1,$H9))</f>
        <v>11994.425911854569</v>
      </c>
      <c r="AF9" s="7">
        <f ca="1">IF($A9="","",[2]!B_CALC_PRICE($A9,$AC$1,IF(情景分析!$D$6=1,$J9,IF(情景分析!$D$6=2,$E9,IF(情景分析!$D$6=4,IF($C9="银行间",$J9,$L9),$G9)))+AF$2/100,情景分析!$D$7,"",,,,"",)*IF($H9="",1,$H9))</f>
        <v>12039.311679581899</v>
      </c>
      <c r="AG9" s="7">
        <f ca="1">IF($A9="","",[2]!B_CALC_PRICE($A9,$AC$1,IF(情景分析!$D$6=1,$J9,IF(情景分析!$D$6=2,$E9,IF(情景分析!$D$6=4,IF($C9="银行间",$J9,$L9),$G9)))+AG$2/100,情景分析!$D$7,"",,,,"",)*IF($H9="",1,$H9))</f>
        <v>12084.41280169729</v>
      </c>
      <c r="AH9" s="7">
        <f ca="1">IF($A9="","",[2]!B_CALC_PRICE($A9,$AC$1,IF(情景分析!$D$6=1,$J9,IF(情景分析!$D$6=2,$E9,IF(情景分析!$D$6=4,IF($C9="银行间",$J9,$L9),$G9)))+AH$2/100,情景分析!$D$7,"",,,,"",)*IF($H9="",1,$H9))</f>
        <v>12107.044511056525</v>
      </c>
      <c r="AI9" s="7">
        <f ca="1">IF($A9="","",[2]!B_CALC_PRICE($A9,$AC$1,IF(情景分析!$D$6=1,$J9,IF(情景分析!$D$6=2,$E9,IF(情景分析!$D$6=4,IF($C9="银行间",$J9,$L9),$G9)))+AI$2/100,情景分析!$D$7,"",,,,"",)*IF($H9="",1,$H9))</f>
        <v>12129.730528561009</v>
      </c>
      <c r="AJ9" s="7">
        <f ca="1">IF($A9="","",[2]!B_CALC_PRICE($A9,$AJ$1,IF(情景分析!$D$6=1,$J9,IF(情景分析!$D$6=2,$E9,IF(情景分析!$D$6=4,IF($C9="银行间",$J9,$L9),$G9)))+AJ$2/100,情景分析!$D$7,"",,,,"",)*IF($H9="",1,$H9))</f>
        <v>11949.754256597018</v>
      </c>
      <c r="AK9" s="7">
        <f ca="1">IF($A9="","",[2]!B_CALC_PRICE($A9,$AJ$1,IF(情景分析!$D$6=1,$J9,IF(情景分析!$D$6=2,$E9,IF(情景分析!$D$6=4,IF($C9="银行间",$J9,$L9),$G9)))+AK$2/100,情景分析!$D$7,"",,,,"",)*IF($H9="",1,$H9))</f>
        <v>11972.063397458987</v>
      </c>
      <c r="AL9" s="7">
        <f ca="1">IF($A9="","",[2]!B_CALC_PRICE($A9,$AJ$1,IF(情景分析!$D$6=1,$J9,IF(情景分析!$D$6=2,$E9,IF(情景分析!$D$6=4,IF($C9="银行间",$J9,$L9),$G9)))+AL$2/100,情景分析!$D$7,"",,,,"",)*IF($H9="",1,$H9))</f>
        <v>11994.425911854569</v>
      </c>
      <c r="AM9" s="7">
        <f ca="1">IF($A9="","",[2]!B_CALC_PRICE($A9,$AJ$1,IF(情景分析!$D$6=1,$J9,IF(情景分析!$D$6=2,$E9,IF(情景分析!$D$6=4,IF($C9="银行间",$J9,$L9),$G9)))+AM$2/100,情景分析!$D$7,"",,,,"",)*IF($H9="",1,$H9))</f>
        <v>12039.311679581899</v>
      </c>
      <c r="AN9" s="7">
        <f ca="1">IF($A9="","",[2]!B_CALC_PRICE($A9,$AJ$1,IF(情景分析!$D$6=1,$J9,IF(情景分析!$D$6=2,$E9,IF(情景分析!$D$6=4,IF($C9="银行间",$J9,$L9),$G9)))+AN$2/100,情景分析!$D$7,"",,,,"",)*IF($H9="",1,$H9))</f>
        <v>12084.41280169729</v>
      </c>
      <c r="AO9" s="7">
        <f ca="1">IF($A9="","",[2]!B_CALC_PRICE($A9,$AJ$1,IF(情景分析!$D$6=1,$J9,IF(情景分析!$D$6=2,$E9,IF(情景分析!$D$6=4,IF($C9="银行间",$J9,$L9),$G9)))+AO$2/100,情景分析!$D$7,"",,,,"",)*IF($H9="",1,$H9))</f>
        <v>12107.044511056525</v>
      </c>
      <c r="AP9" s="7">
        <f ca="1">IF($A9="","",[2]!B_CALC_PRICE($A9,$AJ$1,IF(情景分析!$D$6=1,$J9,IF(情景分析!$D$6=2,$E9,IF(情景分析!$D$6=4,IF($C9="银行间",$J9,$L9),$G9)))+AP$2/100,情景分析!$D$7,"",,,,"",)*IF($H9="",1,$H9))</f>
        <v>12129.730528561009</v>
      </c>
      <c r="AQ9" s="7">
        <f ca="1">IF($A9="","",[2]!B_CALC_PRICE($A9,$AQ$1,IF(情景分析!$D$6=1,$J9,IF(情景分析!$D$6=2,$E9,IF(情景分析!$D$6=4,IF($C9="银行间",$J9,$L9),$G9)))+AQ$2/100,情景分析!$D$7,"",,,,"",)*IF($H9="",1,$H9))</f>
        <v>11958.518685177811</v>
      </c>
      <c r="AR9" s="7">
        <f ca="1">IF($A9="","",[2]!B_CALC_PRICE($A9,$AQ$1,IF(情景分析!$D$6=1,$J9,IF(情景分析!$D$6=2,$E9,IF(情景分析!$D$6=4,IF($C9="银行间",$J9,$L9),$G9)))+AR$2/100,情景分析!$D$7,"",,,,"",)*IF($H9="",1,$H9))</f>
        <v>11976.773076335514</v>
      </c>
      <c r="AS9" s="7">
        <f ca="1">IF($A9="","",[2]!B_CALC_PRICE($A9,$AQ$1,IF(情景分析!$D$6=1,$J9,IF(情景分析!$D$6=2,$E9,IF(情景分析!$D$6=4,IF($C9="银行间",$J9,$L9),$G9)))+AS$2/100,情景分析!$D$7,"",,,,"",)*IF($H9="",1,$H9))</f>
        <v>11995.064624595019</v>
      </c>
      <c r="AT9" s="7">
        <f ca="1">IF($A9="","",[2]!B_CALC_PRICE($A9,$AQ$1,IF(情景分析!$D$6=1,$J9,IF(情景分析!$D$6=2,$E9,IF(情景分析!$D$6=4,IF($C9="银行间",$J9,$L9),$G9)))+AT$2/100,情景分析!$D$7,"",,,,"",)*IF($H9="",1,$H9))</f>
        <v>12031.759569176151</v>
      </c>
      <c r="AU9" s="7">
        <f ca="1">IF($A9="","",[2]!B_CALC_PRICE($A9,$AQ$1,IF(情景分析!$D$6=1,$J9,IF(情景分析!$D$6=2,$E9,IF(情景分析!$D$6=4,IF($C9="银行间",$J9,$L9),$G9)))+AU$2/100,情景分析!$D$7,"",,,,"",)*IF($H9="",1,$H9))</f>
        <v>12068.604275289388</v>
      </c>
      <c r="AV9" s="7">
        <f ca="1">IF($A9="","",[2]!B_CALC_PRICE($A9,$AQ$1,IF(情景分析!$D$6=1,$J9,IF(情景分析!$D$6=2,$E9,IF(情景分析!$D$6=4,IF($C9="银行间",$J9,$L9),$G9)))+AV$2/100,情景分析!$D$7,"",,,,"",)*IF($H9="",1,$H9))</f>
        <v>12087.083026539844</v>
      </c>
      <c r="AW9" s="7">
        <f ca="1">IF($A9="","",[2]!B_CALC_PRICE($A9,$AQ$1,IF(情景分析!$D$6=1,$J9,IF(情景分析!$D$6=2,$E9,IF(情景分析!$D$6=4,IF($C9="银行间",$J9,$L9),$G9)))+AW$2/100,情景分析!$D$7,"",,,,"",)*IF($H9="",1,$H9))</f>
        <v>12105.599503893098</v>
      </c>
    </row>
    <row r="10" spans="1:49" x14ac:dyDescent="0.15">
      <c r="A10" s="20" t="s">
        <v>37</v>
      </c>
      <c r="B10" s="7" t="str">
        <f>IF(A10="","",[2]!b_info_name(A10))</f>
        <v>24晋江产投MTN003</v>
      </c>
      <c r="C10" s="7" t="str">
        <f>[2]!b_info_listedmkt(A10)</f>
        <v>银行间</v>
      </c>
      <c r="D10" s="7">
        <f ca="1">IFERROR(IF(A10="","", [2]!b_dq_avgprice(A10, 情景分析!$D$5, 情景分析!$D$7) * IF($H10="",1,$H10)),0)</f>
        <v>0</v>
      </c>
      <c r="E10" s="7">
        <f ca="1">IF(A10="","", N([2]!b_dq_avgprice(A10,情景分析!$D$5,3)))</f>
        <v>0</v>
      </c>
      <c r="F10" s="29">
        <f ca="1">IF($G10 = "",
"",
IFERROR(
[2]!b_calc_pv(A10, 情景分析!$D$5,$G10, "1", 情景分析!$D$7),
[2]!b_calc_pv(A10, 情景分析!$D$5,$G10, "2", 情景分析!$D$7)
)
)</f>
        <v>54.862816979933591</v>
      </c>
      <c r="G10" s="22">
        <v>20</v>
      </c>
      <c r="H10" s="21">
        <v>120</v>
      </c>
      <c r="I10" s="7">
        <f ca="1">IF(A10="","",IF(情景分析!$D$7=1,[2]!b_anal_net_cnbd(A10,情景分析!$D$5,1),[2]!b_anal_dirty_cnbd(A10,情景分析!$D$5,1))*IF($H10="",1,$H10))</f>
        <v>12142.716</v>
      </c>
      <c r="J10" s="7">
        <f ca="1">IF(A10="","",[2]!b_anal_yield_cnbd(A10,情景分析!$D$5,1))</f>
        <v>2.0775000000000001</v>
      </c>
      <c r="K10" s="29">
        <f ca="1">IF(A10="","",IF(情景分析!$D$7=1,[2]!b_anal_net_csi1(A10,情景分析!$D$5,1),[2]!b_anal_dirty_csi1(A10,情景分析!$D$5,1))*IF($H10="",1,$H10))</f>
        <v>12151.523999999999</v>
      </c>
      <c r="L10" s="29">
        <f ca="1">IF(A10="","",[2]!b_anal_yield_csi1(A10,情景分析!$D$5,1))</f>
        <v>2.0371000000000001</v>
      </c>
      <c r="M10" s="29">
        <f t="shared" ca="1" si="4"/>
        <v>12142.716</v>
      </c>
      <c r="N10" s="29">
        <f t="shared" ca="1" si="5"/>
        <v>2.0775000000000001</v>
      </c>
      <c r="O10" s="7">
        <f ca="1">IF($A10="","",[2]!B_CALC_PRICE($A10,$O$1,IF(情景分析!$D$6=1,$J10,IF(情景分析!$D$6=2,$E10,IF(情景分析!$D$6=4,IF($C10="银行间",$J10,$L10),$G10)))+O$2/100,情景分析!$D$7,"",,,,"",)*IF($H10="",1,$H10))</f>
        <v>12183.010532812463</v>
      </c>
      <c r="P10" s="7">
        <f ca="1">IF($A10="","",[2]!B_CALC_PRICE($A10,$O$1,IF(情景分析!$D$6=1,$J10,IF(情景分析!$D$6=2,$E10,IF(情景分析!$D$6=4,IF($C10="银行间",$J10,$L10),$G10)))+P$2/100,情景分析!$D$7,"",,,,"",)*IF($H10="",1,$H10))</f>
        <v>12205.998393604916</v>
      </c>
      <c r="Q10" s="7">
        <f ca="1">IF($A10="","",[2]!B_CALC_PRICE($A10,$O$1,IF(情景分析!$D$6=1,$J10,IF(情景分析!$D$6=2,$E10,IF(情景分析!$D$6=4,IF($C10="银行间",$J10,$L10),$G10)))+Q$2/100,情景分析!$D$7,"",,,,"",)*IF($H10="",1,$H10))</f>
        <v>12229.041889997947</v>
      </c>
      <c r="R10" s="7">
        <f ca="1">IF($A10="","",[2]!B_CALC_PRICE($A10,$O$1,IF(情景分析!$D$6=1,$J10,IF(情景分析!$D$6=2,$E10,IF(情景分析!$D$6=4,IF($C10="银行间",$J10,$L10),$G10)))+R$2/100,情景分析!$D$7,"",,,,"",)*IF($H10="",1,$H10))</f>
        <v>12275.296440889946</v>
      </c>
      <c r="S10" s="7">
        <f ca="1">IF($A10="","",[2]!B_CALC_PRICE($A10,$O$1,IF(情景分析!$D$6=1,$J10,IF(情景分析!$D$6=2,$E10,IF(情景分析!$D$6=4,IF($C10="银行间",$J10,$L10),$G10)))+S$2/100,情景分析!$D$7,"",,,,"",)*IF($H10="",1,$H10))</f>
        <v>12321.77549367637</v>
      </c>
      <c r="T10" s="7">
        <f ca="1">IF($A10="","",[2]!B_CALC_PRICE($A10,$O$1,IF(情景分析!$D$6=1,$J10,IF(情景分析!$D$6=2,$E10,IF(情景分析!$D$6=4,IF($C10="银行间",$J10,$L10),$G10)))+T$2/100,情景分析!$D$7,"",,,,"",)*IF($H10="",1,$H10))</f>
        <v>12345.099619541288</v>
      </c>
      <c r="U10" s="7">
        <f ca="1">IF($A10="","",[2]!B_CALC_PRICE($A10,$O$1,IF(情景分析!$D$6=1,$J10,IF(情景分析!$D$6=2,$E10,IF(情景分析!$D$6=4,IF($C10="银行间",$J10,$L10),$G10)))+U$2/100,情景分析!$D$7,"",,,,"",)*IF($H10="",1,$H10))</f>
        <v>12368.480365521546</v>
      </c>
      <c r="V10" s="7">
        <f ca="1">IF($A10="","",[2]!B_CALC_PRICE($A10,$V$1,IF(情景分析!$D$6=1,$J10,IF(情景分析!$D$6=2,$E10,IF(情景分析!$D$6=4,IF($C10="银行间",$J10,$L10),$G10)))+V$2/100,情景分析!$D$7,"",,,,"",)*IF($H10="",1,$H10))</f>
        <v>12179.97310358158</v>
      </c>
      <c r="W10" s="7">
        <f ca="1">IF($A10="","",[2]!B_CALC_PRICE($A10,$V$1,IF(情景分析!$D$6=1,$J10,IF(情景分析!$D$6=2,$E10,IF(情景分析!$D$6=4,IF($C10="银行间",$J10,$L10),$G10)))+W$2/100,情景分析!$D$7,"",,,,"",)*IF($H10="",1,$H10))</f>
        <v>12202.600789231774</v>
      </c>
      <c r="X10" s="7">
        <f ca="1">IF($A10="","",[2]!B_CALC_PRICE($A10,$V$1,IF(情景分析!$D$6=1,$J10,IF(情景分析!$D$6=2,$E10,IF(情景分析!$D$6=4,IF($C10="银行间",$J10,$L10),$G10)))+X$2/100,情景分析!$D$7,"",,,,"",)*IF($H10="",1,$H10))</f>
        <v>12225.28252845273</v>
      </c>
      <c r="Y10" s="7">
        <f ca="1">IF($A10="","",[2]!B_CALC_PRICE($A10,$V$1,IF(情景分析!$D$6=1,$J10,IF(情景分析!$D$6=2,$E10,IF(情景分析!$D$6=4,IF($C10="银行间",$J10,$L10),$G10)))+Y$2/100,情景分析!$D$7,"",,,,"",)*IF($H10="",1,$H10))</f>
        <v>12270.808793524444</v>
      </c>
      <c r="Z10" s="7">
        <f ca="1">IF($A10="","",[2]!B_CALC_PRICE($A10,$V$1,IF(情景分析!$D$6=1,$J10,IF(情景分析!$D$6=2,$E10,IF(情景分析!$D$6=4,IF($C10="银行间",$J10,$L10),$G10)))+Z$2/100,情景分析!$D$7,"",,,,"",)*IF($H10="",1,$H10))</f>
        <v>12316.553155943786</v>
      </c>
      <c r="AA10" s="7">
        <f ca="1">IF($A10="","",[2]!B_CALC_PRICE($A10,$V$1,IF(情景分析!$D$6=1,$J10,IF(情景分析!$D$6=2,$E10,IF(情景分析!$D$6=4,IF($C10="银行间",$J10,$L10),$G10)))+AA$2/100,情景分析!$D$7,"",,,,"",)*IF($H10="",1,$H10))</f>
        <v>12339.507518852162</v>
      </c>
      <c r="AB10" s="7">
        <f ca="1">IF($A10="","",[2]!B_CALC_PRICE($A10,$V$1,IF(情景分析!$D$6=1,$J10,IF(情景分析!$D$6=2,$E10,IF(情景分析!$D$6=4,IF($C10="银行间",$J10,$L10),$G10)))+AB$2/100,情景分析!$D$7,"",,,,"",)*IF($H10="",1,$H10))</f>
        <v>12362.516881403457</v>
      </c>
      <c r="AC10" s="7">
        <f ca="1">IF($A10="","",[2]!B_CALC_PRICE($A10,$AC$1,IF(情景分析!$D$6=1,$J10,IF(情景分析!$D$6=2,$E10,IF(情景分析!$D$6=4,IF($C10="银行间",$J10,$L10),$G10)))+AC$2/100,情景分析!$D$7,"",,,,"",)*IF($H10="",1,$H10))</f>
        <v>12172.222163216526</v>
      </c>
      <c r="AD10" s="7">
        <f ca="1">IF($A10="","",[2]!B_CALC_PRICE($A10,$AC$1,IF(情景分析!$D$6=1,$J10,IF(情景分析!$D$6=2,$E10,IF(情景分析!$D$6=4,IF($C10="银行间",$J10,$L10),$G10)))+AD$2/100,情景分析!$D$7,"",,,,"",)*IF($H10="",1,$H10))</f>
        <v>12193.932725212222</v>
      </c>
      <c r="AE10" s="7">
        <f ca="1">IF($A10="","",[2]!B_CALC_PRICE($A10,$AC$1,IF(情景分析!$D$6=1,$J10,IF(情景分析!$D$6=2,$E10,IF(情景分析!$D$6=4,IF($C10="银行间",$J10,$L10),$G10)))+AE$2/100,情景分析!$D$7,"",,,,"",)*IF($H10="",1,$H10))</f>
        <v>12215.69341442358</v>
      </c>
      <c r="AF10" s="7">
        <f ca="1">IF($A10="","",[2]!B_CALC_PRICE($A10,$AC$1,IF(情景分析!$D$6=1,$J10,IF(情景分析!$D$6=2,$E10,IF(情景分析!$D$6=4,IF($C10="银行间",$J10,$L10),$G10)))+AF$2/100,情景分析!$D$7,"",,,,"",)*IF($H10="",1,$H10))</f>
        <v>12259.365738756605</v>
      </c>
      <c r="AG10" s="7">
        <f ca="1">IF($A10="","",[2]!B_CALC_PRICE($A10,$AC$1,IF(情景分析!$D$6=1,$J10,IF(情景分析!$D$6=2,$E10,IF(情景分析!$D$6=4,IF($C10="银行间",$J10,$L10),$G10)))+AG$2/100,情景分析!$D$7,"",,,,"",)*IF($H10="",1,$H10))</f>
        <v>12303.240269416343</v>
      </c>
      <c r="AH10" s="7">
        <f ca="1">IF($A10="","",[2]!B_CALC_PRICE($A10,$AC$1,IF(情景分析!$D$6=1,$J10,IF(情景分析!$D$6=2,$E10,IF(情景分析!$D$6=4,IF($C10="银行间",$J10,$L10),$G10)))+AH$2/100,情景分析!$D$7,"",,,,"",)*IF($H10="",1,$H10))</f>
        <v>12325.253718298269</v>
      </c>
      <c r="AI10" s="7">
        <f ca="1">IF($A10="","",[2]!B_CALC_PRICE($A10,$AC$1,IF(情景分析!$D$6=1,$J10,IF(情景分析!$D$6=2,$E10,IF(情景分析!$D$6=4,IF($C10="银行间",$J10,$L10),$G10)))+AI$2/100,情景分析!$D$7,"",,,,"",)*IF($H10="",1,$H10))</f>
        <v>12347.318147122123</v>
      </c>
      <c r="AJ10" s="7">
        <f ca="1">IF($A10="","",[2]!B_CALC_PRICE($A10,$AJ$1,IF(情景分析!$D$6=1,$J10,IF(情景分析!$D$6=2,$E10,IF(情景分析!$D$6=4,IF($C10="银行间",$J10,$L10),$G10)))+AJ$2/100,情景分析!$D$7,"",,,,"",)*IF($H10="",1,$H10))</f>
        <v>12172.222163216526</v>
      </c>
      <c r="AK10" s="7">
        <f ca="1">IF($A10="","",[2]!B_CALC_PRICE($A10,$AJ$1,IF(情景分析!$D$6=1,$J10,IF(情景分析!$D$6=2,$E10,IF(情景分析!$D$6=4,IF($C10="银行间",$J10,$L10),$G10)))+AK$2/100,情景分析!$D$7,"",,,,"",)*IF($H10="",1,$H10))</f>
        <v>12193.932725212222</v>
      </c>
      <c r="AL10" s="7">
        <f ca="1">IF($A10="","",[2]!B_CALC_PRICE($A10,$AJ$1,IF(情景分析!$D$6=1,$J10,IF(情景分析!$D$6=2,$E10,IF(情景分析!$D$6=4,IF($C10="银行间",$J10,$L10),$G10)))+AL$2/100,情景分析!$D$7,"",,,,"",)*IF($H10="",1,$H10))</f>
        <v>12215.69341442358</v>
      </c>
      <c r="AM10" s="7">
        <f ca="1">IF($A10="","",[2]!B_CALC_PRICE($A10,$AJ$1,IF(情景分析!$D$6=1,$J10,IF(情景分析!$D$6=2,$E10,IF(情景分析!$D$6=4,IF($C10="银行间",$J10,$L10),$G10)))+AM$2/100,情景分析!$D$7,"",,,,"",)*IF($H10="",1,$H10))</f>
        <v>12259.365738756605</v>
      </c>
      <c r="AN10" s="7">
        <f ca="1">IF($A10="","",[2]!B_CALC_PRICE($A10,$AJ$1,IF(情景分析!$D$6=1,$J10,IF(情景分析!$D$6=2,$E10,IF(情景分析!$D$6=4,IF($C10="银行间",$J10,$L10),$G10)))+AN$2/100,情景分析!$D$7,"",,,,"",)*IF($H10="",1,$H10))</f>
        <v>12303.240269416343</v>
      </c>
      <c r="AO10" s="7">
        <f ca="1">IF($A10="","",[2]!B_CALC_PRICE($A10,$AJ$1,IF(情景分析!$D$6=1,$J10,IF(情景分析!$D$6=2,$E10,IF(情景分析!$D$6=4,IF($C10="银行间",$J10,$L10),$G10)))+AO$2/100,情景分析!$D$7,"",,,,"",)*IF($H10="",1,$H10))</f>
        <v>12325.253718298269</v>
      </c>
      <c r="AP10" s="7">
        <f ca="1">IF($A10="","",[2]!B_CALC_PRICE($A10,$AJ$1,IF(情景分析!$D$6=1,$J10,IF(情景分析!$D$6=2,$E10,IF(情景分析!$D$6=4,IF($C10="银行间",$J10,$L10),$G10)))+AP$2/100,情景分析!$D$7,"",,,,"",)*IF($H10="",1,$H10))</f>
        <v>12347.318147122123</v>
      </c>
      <c r="AQ10" s="7">
        <f ca="1">IF($A10="","",[2]!B_CALC_PRICE($A10,$AQ$1,IF(情景分析!$D$6=1,$J10,IF(情景分析!$D$6=2,$E10,IF(情景分析!$D$6=4,IF($C10="银行间",$J10,$L10),$G10)))+AQ$2/100,情景分析!$D$7,"",,,,"",)*IF($H10="",1,$H10))</f>
        <v>12139.667799782623</v>
      </c>
      <c r="AR10" s="7">
        <f ca="1">IF($A10="","",[2]!B_CALC_PRICE($A10,$AQ$1,IF(情景分析!$D$6=1,$J10,IF(情景分析!$D$6=2,$E10,IF(情景分析!$D$6=4,IF($C10="银行间",$J10,$L10),$G10)))+AR$2/100,情景分析!$D$7,"",,,,"",)*IF($H10="",1,$H10))</f>
        <v>12157.185604440296</v>
      </c>
      <c r="AS10" s="7">
        <f ca="1">IF($A10="","",[2]!B_CALC_PRICE($A10,$AQ$1,IF(情景分析!$D$6=1,$J10,IF(情景分析!$D$6=2,$E10,IF(情景分析!$D$6=4,IF($C10="银行间",$J10,$L10),$G10)))+AS$2/100,情景分析!$D$7,"",,,,"",)*IF($H10="",1,$H10))</f>
        <v>12174.737639713021</v>
      </c>
      <c r="AT10" s="7">
        <f ca="1">IF($A10="","",[2]!B_CALC_PRICE($A10,$AQ$1,IF(情景分析!$D$6=1,$J10,IF(情景分析!$D$6=2,$E10,IF(情景分析!$D$6=4,IF($C10="银行间",$J10,$L10),$G10)))+AT$2/100,情景分析!$D$7,"",,,,"",)*IF($H10="",1,$H10))</f>
        <v>12209.944738017233</v>
      </c>
      <c r="AU10" s="7">
        <f ca="1">IF($A10="","",[2]!B_CALC_PRICE($A10,$AQ$1,IF(情景分析!$D$6=1,$J10,IF(情景分析!$D$6=2,$E10,IF(情景分析!$D$6=4,IF($C10="银行间",$J10,$L10),$G10)))+AU$2/100,情景分析!$D$7,"",,,,"",)*IF($H10="",1,$H10))</f>
        <v>12245.289768999623</v>
      </c>
      <c r="AV10" s="7">
        <f ca="1">IF($A10="","",[2]!B_CALC_PRICE($A10,$AQ$1,IF(情景分析!$D$6=1,$J10,IF(情景分析!$D$6=2,$E10,IF(情景分析!$D$6=4,IF($C10="银行间",$J10,$L10),$G10)))+AV$2/100,情景分析!$D$7,"",,,,"",)*IF($H10="",1,$H10))</f>
        <v>12263.014221053509</v>
      </c>
      <c r="AW10" s="7">
        <f ca="1">IF($A10="","",[2]!B_CALC_PRICE($A10,$AQ$1,IF(情景分析!$D$6=1,$J10,IF(情景分析!$D$6=2,$E10,IF(情景分析!$D$6=4,IF($C10="银行间",$J10,$L10),$G10)))+AW$2/100,情景分析!$D$7,"",,,,"",)*IF($H10="",1,$H10))</f>
        <v>12280.773410947195</v>
      </c>
    </row>
    <row r="11" spans="1:49" x14ac:dyDescent="0.15">
      <c r="A11" s="20" t="s">
        <v>37</v>
      </c>
      <c r="B11" s="7" t="str">
        <f>IF(A11="","",[2]!b_info_name(A11))</f>
        <v>24晋江产投MTN003</v>
      </c>
      <c r="C11" s="7" t="str">
        <f>[2]!b_info_listedmkt(A11)</f>
        <v>银行间</v>
      </c>
      <c r="D11" s="7">
        <f ca="1">IFERROR(IF(A11="","", [2]!b_dq_avgprice(A11, 情景分析!$D$5, 情景分析!$D$7) * IF($H11="",1,$H11)),0)</f>
        <v>0</v>
      </c>
      <c r="E11" s="7">
        <f ca="1">IF(A11="","", N([2]!b_dq_avgprice(A11,情景分析!$D$5,3)))</f>
        <v>0</v>
      </c>
      <c r="F11" s="29">
        <f ca="1">IF($G11 = "",
"",
IFERROR(
[2]!b_calc_pv(A11, 情景分析!$D$5,$G11, "1", 情景分析!$D$7),
[2]!b_calc_pv(A11, 情景分析!$D$5,$G11, "2", 情景分析!$D$7)
)
)</f>
        <v>54.862816979933591</v>
      </c>
      <c r="G11" s="22">
        <v>20</v>
      </c>
      <c r="H11" s="21">
        <v>120</v>
      </c>
      <c r="I11" s="7">
        <f ca="1">IF(A11="","",IF(情景分析!$D$7=1,[2]!b_anal_net_cnbd(A11,情景分析!$D$5,1),[2]!b_anal_dirty_cnbd(A11,情景分析!$D$5,1))*IF($H11="",1,$H11))</f>
        <v>12142.716</v>
      </c>
      <c r="J11" s="7">
        <f ca="1">IF(A11="","",[2]!b_anal_yield_cnbd(A11,情景分析!$D$5,1))</f>
        <v>2.0775000000000001</v>
      </c>
      <c r="K11" s="29">
        <f ca="1">IF(A11="","",IF(情景分析!$D$7=1,[2]!b_anal_net_csi1(A11,情景分析!$D$5,1),[2]!b_anal_dirty_csi1(A11,情景分析!$D$5,1))*IF($H11="",1,$H11))</f>
        <v>12151.523999999999</v>
      </c>
      <c r="L11" s="29">
        <f ca="1">IF(A11="","",[2]!b_anal_yield_csi1(A11,情景分析!$D$5,1))</f>
        <v>2.0371000000000001</v>
      </c>
      <c r="M11" s="29">
        <f t="shared" ca="1" si="4"/>
        <v>12142.716</v>
      </c>
      <c r="N11" s="29">
        <f t="shared" ca="1" si="5"/>
        <v>2.0775000000000001</v>
      </c>
      <c r="O11" s="7">
        <f ca="1">IF($A11="","",[2]!B_CALC_PRICE($A11,$O$1,IF(情景分析!$D$6=1,$J11,IF(情景分析!$D$6=2,$E11,IF(情景分析!$D$6=4,IF($C11="银行间",$J11,$L11),$G11)))+O$2/100,情景分析!$D$7,"",,,,"",)*IF($H11="",1,$H11))</f>
        <v>12183.010532812463</v>
      </c>
      <c r="P11" s="7">
        <f ca="1">IF($A11="","",[2]!B_CALC_PRICE($A11,$O$1,IF(情景分析!$D$6=1,$J11,IF(情景分析!$D$6=2,$E11,IF(情景分析!$D$6=4,IF($C11="银行间",$J11,$L11),$G11)))+P$2/100,情景分析!$D$7,"",,,,"",)*IF($H11="",1,$H11))</f>
        <v>12205.998393604916</v>
      </c>
      <c r="Q11" s="7">
        <f ca="1">IF($A11="","",[2]!B_CALC_PRICE($A11,$O$1,IF(情景分析!$D$6=1,$J11,IF(情景分析!$D$6=2,$E11,IF(情景分析!$D$6=4,IF($C11="银行间",$J11,$L11),$G11)))+Q$2/100,情景分析!$D$7,"",,,,"",)*IF($H11="",1,$H11))</f>
        <v>12229.041889997947</v>
      </c>
      <c r="R11" s="7">
        <f ca="1">IF($A11="","",[2]!B_CALC_PRICE($A11,$O$1,IF(情景分析!$D$6=1,$J11,IF(情景分析!$D$6=2,$E11,IF(情景分析!$D$6=4,IF($C11="银行间",$J11,$L11),$G11)))+R$2/100,情景分析!$D$7,"",,,,"",)*IF($H11="",1,$H11))</f>
        <v>12275.296440889946</v>
      </c>
      <c r="S11" s="7">
        <f ca="1">IF($A11="","",[2]!B_CALC_PRICE($A11,$O$1,IF(情景分析!$D$6=1,$J11,IF(情景分析!$D$6=2,$E11,IF(情景分析!$D$6=4,IF($C11="银行间",$J11,$L11),$G11)))+S$2/100,情景分析!$D$7,"",,,,"",)*IF($H11="",1,$H11))</f>
        <v>12321.77549367637</v>
      </c>
      <c r="T11" s="7">
        <f ca="1">IF($A11="","",[2]!B_CALC_PRICE($A11,$O$1,IF(情景分析!$D$6=1,$J11,IF(情景分析!$D$6=2,$E11,IF(情景分析!$D$6=4,IF($C11="银行间",$J11,$L11),$G11)))+T$2/100,情景分析!$D$7,"",,,,"",)*IF($H11="",1,$H11))</f>
        <v>12345.099619541288</v>
      </c>
      <c r="U11" s="7">
        <f ca="1">IF($A11="","",[2]!B_CALC_PRICE($A11,$O$1,IF(情景分析!$D$6=1,$J11,IF(情景分析!$D$6=2,$E11,IF(情景分析!$D$6=4,IF($C11="银行间",$J11,$L11),$G11)))+U$2/100,情景分析!$D$7,"",,,,"",)*IF($H11="",1,$H11))</f>
        <v>12368.480365521546</v>
      </c>
      <c r="V11" s="7">
        <f ca="1">IF($A11="","",[2]!B_CALC_PRICE($A11,$V$1,IF(情景分析!$D$6=1,$J11,IF(情景分析!$D$6=2,$E11,IF(情景分析!$D$6=4,IF($C11="银行间",$J11,$L11),$G11)))+V$2/100,情景分析!$D$7,"",,,,"",)*IF($H11="",1,$H11))</f>
        <v>12179.97310358158</v>
      </c>
      <c r="W11" s="7">
        <f ca="1">IF($A11="","",[2]!B_CALC_PRICE($A11,$V$1,IF(情景分析!$D$6=1,$J11,IF(情景分析!$D$6=2,$E11,IF(情景分析!$D$6=4,IF($C11="银行间",$J11,$L11),$G11)))+W$2/100,情景分析!$D$7,"",,,,"",)*IF($H11="",1,$H11))</f>
        <v>12202.600789231774</v>
      </c>
      <c r="X11" s="7">
        <f ca="1">IF($A11="","",[2]!B_CALC_PRICE($A11,$V$1,IF(情景分析!$D$6=1,$J11,IF(情景分析!$D$6=2,$E11,IF(情景分析!$D$6=4,IF($C11="银行间",$J11,$L11),$G11)))+X$2/100,情景分析!$D$7,"",,,,"",)*IF($H11="",1,$H11))</f>
        <v>12225.28252845273</v>
      </c>
      <c r="Y11" s="7">
        <f ca="1">IF($A11="","",[2]!B_CALC_PRICE($A11,$V$1,IF(情景分析!$D$6=1,$J11,IF(情景分析!$D$6=2,$E11,IF(情景分析!$D$6=4,IF($C11="银行间",$J11,$L11),$G11)))+Y$2/100,情景分析!$D$7,"",,,,"",)*IF($H11="",1,$H11))</f>
        <v>12270.808793524444</v>
      </c>
      <c r="Z11" s="7">
        <f ca="1">IF($A11="","",[2]!B_CALC_PRICE($A11,$V$1,IF(情景分析!$D$6=1,$J11,IF(情景分析!$D$6=2,$E11,IF(情景分析!$D$6=4,IF($C11="银行间",$J11,$L11),$G11)))+Z$2/100,情景分析!$D$7,"",,,,"",)*IF($H11="",1,$H11))</f>
        <v>12316.553155943786</v>
      </c>
      <c r="AA11" s="7">
        <f ca="1">IF($A11="","",[2]!B_CALC_PRICE($A11,$V$1,IF(情景分析!$D$6=1,$J11,IF(情景分析!$D$6=2,$E11,IF(情景分析!$D$6=4,IF($C11="银行间",$J11,$L11),$G11)))+AA$2/100,情景分析!$D$7,"",,,,"",)*IF($H11="",1,$H11))</f>
        <v>12339.507518852162</v>
      </c>
      <c r="AB11" s="7">
        <f ca="1">IF($A11="","",[2]!B_CALC_PRICE($A11,$V$1,IF(情景分析!$D$6=1,$J11,IF(情景分析!$D$6=2,$E11,IF(情景分析!$D$6=4,IF($C11="银行间",$J11,$L11),$G11)))+AB$2/100,情景分析!$D$7,"",,,,"",)*IF($H11="",1,$H11))</f>
        <v>12362.516881403457</v>
      </c>
      <c r="AC11" s="7">
        <f ca="1">IF($A11="","",[2]!B_CALC_PRICE($A11,$AC$1,IF(情景分析!$D$6=1,$J11,IF(情景分析!$D$6=2,$E11,IF(情景分析!$D$6=4,IF($C11="银行间",$J11,$L11),$G11)))+AC$2/100,情景分析!$D$7,"",,,,"",)*IF($H11="",1,$H11))</f>
        <v>12172.222163216526</v>
      </c>
      <c r="AD11" s="7">
        <f ca="1">IF($A11="","",[2]!B_CALC_PRICE($A11,$AC$1,IF(情景分析!$D$6=1,$J11,IF(情景分析!$D$6=2,$E11,IF(情景分析!$D$6=4,IF($C11="银行间",$J11,$L11),$G11)))+AD$2/100,情景分析!$D$7,"",,,,"",)*IF($H11="",1,$H11))</f>
        <v>12193.932725212222</v>
      </c>
      <c r="AE11" s="7">
        <f ca="1">IF($A11="","",[2]!B_CALC_PRICE($A11,$AC$1,IF(情景分析!$D$6=1,$J11,IF(情景分析!$D$6=2,$E11,IF(情景分析!$D$6=4,IF($C11="银行间",$J11,$L11),$G11)))+AE$2/100,情景分析!$D$7,"",,,,"",)*IF($H11="",1,$H11))</f>
        <v>12215.69341442358</v>
      </c>
      <c r="AF11" s="7">
        <f ca="1">IF($A11="","",[2]!B_CALC_PRICE($A11,$AC$1,IF(情景分析!$D$6=1,$J11,IF(情景分析!$D$6=2,$E11,IF(情景分析!$D$6=4,IF($C11="银行间",$J11,$L11),$G11)))+AF$2/100,情景分析!$D$7,"",,,,"",)*IF($H11="",1,$H11))</f>
        <v>12259.365738756605</v>
      </c>
      <c r="AG11" s="7">
        <f ca="1">IF($A11="","",[2]!B_CALC_PRICE($A11,$AC$1,IF(情景分析!$D$6=1,$J11,IF(情景分析!$D$6=2,$E11,IF(情景分析!$D$6=4,IF($C11="银行间",$J11,$L11),$G11)))+AG$2/100,情景分析!$D$7,"",,,,"",)*IF($H11="",1,$H11))</f>
        <v>12303.240269416343</v>
      </c>
      <c r="AH11" s="7">
        <f ca="1">IF($A11="","",[2]!B_CALC_PRICE($A11,$AC$1,IF(情景分析!$D$6=1,$J11,IF(情景分析!$D$6=2,$E11,IF(情景分析!$D$6=4,IF($C11="银行间",$J11,$L11),$G11)))+AH$2/100,情景分析!$D$7,"",,,,"",)*IF($H11="",1,$H11))</f>
        <v>12325.253718298269</v>
      </c>
      <c r="AI11" s="7">
        <f ca="1">IF($A11="","",[2]!B_CALC_PRICE($A11,$AC$1,IF(情景分析!$D$6=1,$J11,IF(情景分析!$D$6=2,$E11,IF(情景分析!$D$6=4,IF($C11="银行间",$J11,$L11),$G11)))+AI$2/100,情景分析!$D$7,"",,,,"",)*IF($H11="",1,$H11))</f>
        <v>12347.318147122123</v>
      </c>
      <c r="AJ11" s="7">
        <f ca="1">IF($A11="","",[2]!B_CALC_PRICE($A11,$AJ$1,IF(情景分析!$D$6=1,$J11,IF(情景分析!$D$6=2,$E11,IF(情景分析!$D$6=4,IF($C11="银行间",$J11,$L11),$G11)))+AJ$2/100,情景分析!$D$7,"",,,,"",)*IF($H11="",1,$H11))</f>
        <v>12172.222163216526</v>
      </c>
      <c r="AK11" s="7">
        <f ca="1">IF($A11="","",[2]!B_CALC_PRICE($A11,$AJ$1,IF(情景分析!$D$6=1,$J11,IF(情景分析!$D$6=2,$E11,IF(情景分析!$D$6=4,IF($C11="银行间",$J11,$L11),$G11)))+AK$2/100,情景分析!$D$7,"",,,,"",)*IF($H11="",1,$H11))</f>
        <v>12193.932725212222</v>
      </c>
      <c r="AL11" s="7">
        <f ca="1">IF($A11="","",[2]!B_CALC_PRICE($A11,$AJ$1,IF(情景分析!$D$6=1,$J11,IF(情景分析!$D$6=2,$E11,IF(情景分析!$D$6=4,IF($C11="银行间",$J11,$L11),$G11)))+AL$2/100,情景分析!$D$7,"",,,,"",)*IF($H11="",1,$H11))</f>
        <v>12215.69341442358</v>
      </c>
      <c r="AM11" s="7">
        <f ca="1">IF($A11="","",[2]!B_CALC_PRICE($A11,$AJ$1,IF(情景分析!$D$6=1,$J11,IF(情景分析!$D$6=2,$E11,IF(情景分析!$D$6=4,IF($C11="银行间",$J11,$L11),$G11)))+AM$2/100,情景分析!$D$7,"",,,,"",)*IF($H11="",1,$H11))</f>
        <v>12259.365738756605</v>
      </c>
      <c r="AN11" s="7">
        <f ca="1">IF($A11="","",[2]!B_CALC_PRICE($A11,$AJ$1,IF(情景分析!$D$6=1,$J11,IF(情景分析!$D$6=2,$E11,IF(情景分析!$D$6=4,IF($C11="银行间",$J11,$L11),$G11)))+AN$2/100,情景分析!$D$7,"",,,,"",)*IF($H11="",1,$H11))</f>
        <v>12303.240269416343</v>
      </c>
      <c r="AO11" s="7">
        <f ca="1">IF($A11="","",[2]!B_CALC_PRICE($A11,$AJ$1,IF(情景分析!$D$6=1,$J11,IF(情景分析!$D$6=2,$E11,IF(情景分析!$D$6=4,IF($C11="银行间",$J11,$L11),$G11)))+AO$2/100,情景分析!$D$7,"",,,,"",)*IF($H11="",1,$H11))</f>
        <v>12325.253718298269</v>
      </c>
      <c r="AP11" s="7">
        <f ca="1">IF($A11="","",[2]!B_CALC_PRICE($A11,$AJ$1,IF(情景分析!$D$6=1,$J11,IF(情景分析!$D$6=2,$E11,IF(情景分析!$D$6=4,IF($C11="银行间",$J11,$L11),$G11)))+AP$2/100,情景分析!$D$7,"",,,,"",)*IF($H11="",1,$H11))</f>
        <v>12347.318147122123</v>
      </c>
      <c r="AQ11" s="7">
        <f ca="1">IF($A11="","",[2]!B_CALC_PRICE($A11,$AQ$1,IF(情景分析!$D$6=1,$J11,IF(情景分析!$D$6=2,$E11,IF(情景分析!$D$6=4,IF($C11="银行间",$J11,$L11),$G11)))+AQ$2/100,情景分析!$D$7,"",,,,"",)*IF($H11="",1,$H11))</f>
        <v>12139.667799782623</v>
      </c>
      <c r="AR11" s="7">
        <f ca="1">IF($A11="","",[2]!B_CALC_PRICE($A11,$AQ$1,IF(情景分析!$D$6=1,$J11,IF(情景分析!$D$6=2,$E11,IF(情景分析!$D$6=4,IF($C11="银行间",$J11,$L11),$G11)))+AR$2/100,情景分析!$D$7,"",,,,"",)*IF($H11="",1,$H11))</f>
        <v>12157.185604440296</v>
      </c>
      <c r="AS11" s="7">
        <f ca="1">IF($A11="","",[2]!B_CALC_PRICE($A11,$AQ$1,IF(情景分析!$D$6=1,$J11,IF(情景分析!$D$6=2,$E11,IF(情景分析!$D$6=4,IF($C11="银行间",$J11,$L11),$G11)))+AS$2/100,情景分析!$D$7,"",,,,"",)*IF($H11="",1,$H11))</f>
        <v>12174.737639713021</v>
      </c>
      <c r="AT11" s="7">
        <f ca="1">IF($A11="","",[2]!B_CALC_PRICE($A11,$AQ$1,IF(情景分析!$D$6=1,$J11,IF(情景分析!$D$6=2,$E11,IF(情景分析!$D$6=4,IF($C11="银行间",$J11,$L11),$G11)))+AT$2/100,情景分析!$D$7,"",,,,"",)*IF($H11="",1,$H11))</f>
        <v>12209.944738017233</v>
      </c>
      <c r="AU11" s="7">
        <f ca="1">IF($A11="","",[2]!B_CALC_PRICE($A11,$AQ$1,IF(情景分析!$D$6=1,$J11,IF(情景分析!$D$6=2,$E11,IF(情景分析!$D$6=4,IF($C11="银行间",$J11,$L11),$G11)))+AU$2/100,情景分析!$D$7,"",,,,"",)*IF($H11="",1,$H11))</f>
        <v>12245.289768999623</v>
      </c>
      <c r="AV11" s="7">
        <f ca="1">IF($A11="","",[2]!B_CALC_PRICE($A11,$AQ$1,IF(情景分析!$D$6=1,$J11,IF(情景分析!$D$6=2,$E11,IF(情景分析!$D$6=4,IF($C11="银行间",$J11,$L11),$G11)))+AV$2/100,情景分析!$D$7,"",,,,"",)*IF($H11="",1,$H11))</f>
        <v>12263.014221053509</v>
      </c>
      <c r="AW11" s="7">
        <f ca="1">IF($A11="","",[2]!B_CALC_PRICE($A11,$AQ$1,IF(情景分析!$D$6=1,$J11,IF(情景分析!$D$6=2,$E11,IF(情景分析!$D$6=4,IF($C11="银行间",$J11,$L11),$G11)))+AW$2/100,情景分析!$D$7,"",,,,"",)*IF($H11="",1,$H11))</f>
        <v>12280.773410947195</v>
      </c>
    </row>
    <row r="12" spans="1:49" x14ac:dyDescent="0.15">
      <c r="A12" s="20" t="s">
        <v>35</v>
      </c>
      <c r="B12" s="7" t="str">
        <f>IF(A12="","",[2]!b_info_name(A12))</f>
        <v>25惠安交发PPN002</v>
      </c>
      <c r="C12" s="7" t="str">
        <f>[2]!b_info_listedmkt(A12)</f>
        <v>银行间</v>
      </c>
      <c r="D12" s="7">
        <f ca="1">IFERROR(IF(A12="","", [2]!b_dq_avgprice(A12, 情景分析!$D$5, 情景分析!$D$7) * IF($H12="",1,$H12)),0)</f>
        <v>0</v>
      </c>
      <c r="E12" s="7">
        <f ca="1">IF(A12="","", N([2]!b_dq_avgprice(A12,情景分析!$D$5,3)))</f>
        <v>0</v>
      </c>
      <c r="F12" s="29">
        <f ca="1">IF($G12 = "",
"",
IFERROR(
[2]!b_calc_pv(A12, 情景分析!$D$5,$G12, "1", 情景分析!$D$7),
[2]!b_calc_pv(A12, 情景分析!$D$5,$G12, "2", 情景分析!$D$7)
)
)</f>
        <v>70.66348646092834</v>
      </c>
      <c r="G12" s="22">
        <v>20</v>
      </c>
      <c r="H12" s="21">
        <v>120</v>
      </c>
      <c r="I12" s="7">
        <f ca="1">IF(A12="","",IF(情景分析!$D$7=1,[2]!b_anal_net_cnbd(A12,情景分析!$D$5,1),[2]!b_anal_dirty_cnbd(A12,情景分析!$D$5,1))*IF($H12="",1,$H12))</f>
        <v>12054.624</v>
      </c>
      <c r="J12" s="7">
        <f ca="1">IF(A12="","",[2]!b_anal_yield_cnbd(A12,情景分析!$D$5,1))</f>
        <v>2.2663000000000002</v>
      </c>
      <c r="K12" s="29">
        <f ca="1">IF(A12="","",IF(情景分析!$D$7=1,[2]!b_anal_net_csi1(A12,情景分析!$D$5,1),[2]!b_anal_dirty_csi1(A12,情景分析!$D$5,1))*IF($H12="",1,$H12))</f>
        <v>12064.307999999999</v>
      </c>
      <c r="L12" s="29">
        <f ca="1">IF(A12="","",[2]!b_anal_yield_csi1(A12,情景分析!$D$5,1))</f>
        <v>2.2259000000000002</v>
      </c>
      <c r="M12" s="29">
        <f t="shared" ca="1" si="4"/>
        <v>12054.624</v>
      </c>
      <c r="N12" s="29">
        <f t="shared" ca="1" si="5"/>
        <v>2.2663000000000002</v>
      </c>
      <c r="O12" s="7">
        <f ca="1">IF($A12="","",[2]!B_CALC_PRICE($A12,$O$1,IF(情景分析!$D$6=1,$J12,IF(情景分析!$D$6=2,$E12,IF(情景分析!$D$6=4,IF($C12="银行间",$J12,$L12),$G12)))+O$2/100,情景分析!$D$7,"",,,,"",)*IF($H12="",1,$H12))</f>
        <v>12002.89567491052</v>
      </c>
      <c r="P12" s="7">
        <f ca="1">IF($A12="","",[2]!B_CALC_PRICE($A12,$O$1,IF(情景分析!$D$6=1,$J12,IF(情景分析!$D$6=2,$E12,IF(情景分析!$D$6=4,IF($C12="银行间",$J12,$L12),$G12)))+P$2/100,情景分析!$D$7,"",,,,"",)*IF($H12="",1,$H12))</f>
        <v>12015.632005654055</v>
      </c>
      <c r="Q12" s="7">
        <f ca="1">IF($A12="","",[2]!B_CALC_PRICE($A12,$O$1,IF(情景分析!$D$6=1,$J12,IF(情景分析!$D$6=2,$E12,IF(情景分析!$D$6=4,IF($C12="银行间",$J12,$L12),$G12)))+Q$2/100,情景分析!$D$7,"",,,,"",)*IF($H12="",1,$H12))</f>
        <v>12028.388154756014</v>
      </c>
      <c r="R12" s="7">
        <f ca="1">IF($A12="","",[2]!B_CALC_PRICE($A12,$O$1,IF(情景分析!$D$6=1,$J12,IF(情景分析!$D$6=2,$E12,IF(情景分析!$D$6=4,IF($C12="银行间",$J12,$L12),$G12)))+R$2/100,情景分析!$D$7,"",,,,"",)*IF($H12="",1,$H12))</f>
        <v>12053.960070573177</v>
      </c>
      <c r="S12" s="7">
        <f ca="1">IF($A12="","",[2]!B_CALC_PRICE($A12,$O$1,IF(情景分析!$D$6=1,$J12,IF(情景分析!$D$6=2,$E12,IF(情景分析!$D$6=4,IF($C12="银行间",$J12,$L12),$G12)))+S$2/100,情景分析!$D$7,"",,,,"",)*IF($H12="",1,$H12))</f>
        <v>12079.611748471483</v>
      </c>
      <c r="T12" s="7">
        <f ca="1">IF($A12="","",[2]!B_CALC_PRICE($A12,$O$1,IF(情景分析!$D$6=1,$J12,IF(情景分析!$D$6=2,$E12,IF(情景分析!$D$6=4,IF($C12="银行间",$J12,$L12),$G12)))+T$2/100,情景分析!$D$7,"",,,,"",)*IF($H12="",1,$H12))</f>
        <v>12092.467600564107</v>
      </c>
      <c r="U12" s="7">
        <f ca="1">IF($A12="","",[2]!B_CALC_PRICE($A12,$O$1,IF(情景分析!$D$6=1,$J12,IF(情景分析!$D$6=2,$E12,IF(情景分析!$D$6=4,IF($C12="银行间",$J12,$L12),$G12)))+U$2/100,情景分析!$D$7,"",,,,"",)*IF($H12="",1,$H12))</f>
        <v>12105.343516221143</v>
      </c>
      <c r="V12" s="7">
        <f ca="1">IF($A12="","",[2]!B_CALC_PRICE($A12,$V$1,IF(情景分析!$D$6=1,$J12,IF(情景分析!$D$6=2,$E12,IF(情景分析!$D$6=4,IF($C12="银行间",$J12,$L12),$G12)))+V$2/100,情景分析!$D$7,"",,,,"",)*IF($H12="",1,$H12))</f>
        <v>12002.951930179546</v>
      </c>
      <c r="W12" s="7">
        <f ca="1">IF($A12="","",[2]!B_CALC_PRICE($A12,$V$1,IF(情景分析!$D$6=1,$J12,IF(情景分析!$D$6=2,$E12,IF(情景分析!$D$6=4,IF($C12="银行间",$J12,$L12),$G12)))+W$2/100,情景分析!$D$7,"",,,,"",)*IF($H12="",1,$H12))</f>
        <v>12015.314821830043</v>
      </c>
      <c r="X12" s="7">
        <f ca="1">IF($A12="","",[2]!B_CALC_PRICE($A12,$V$1,IF(情景分析!$D$6=1,$J12,IF(情景分析!$D$6=2,$E12,IF(情景分析!$D$6=4,IF($C12="银行间",$J12,$L12),$G12)))+X$2/100,情景分析!$D$7,"",,,,"",)*IF($H12="",1,$H12))</f>
        <v>12027.696563673921</v>
      </c>
      <c r="Y12" s="7">
        <f ca="1">IF($A12="","",[2]!B_CALC_PRICE($A12,$V$1,IF(情景分析!$D$6=1,$J12,IF(情景分析!$D$6=2,$E12,IF(情景分析!$D$6=4,IF($C12="银行间",$J12,$L12),$G12)))+Y$2/100,情景分析!$D$7,"",,,,"",)*IF($H12="",1,$H12))</f>
        <v>12052.516750143401</v>
      </c>
      <c r="Z12" s="7">
        <f ca="1">IF($A12="","",[2]!B_CALC_PRICE($A12,$V$1,IF(情景分析!$D$6=1,$J12,IF(情景分析!$D$6=2,$E12,IF(情景分析!$D$6=4,IF($C12="银行间",$J12,$L12),$G12)))+Z$2/100,情景分析!$D$7,"",,,,"",)*IF($H12="",1,$H12))</f>
        <v>12077.41279494684</v>
      </c>
      <c r="AA12" s="7">
        <f ca="1">IF($A12="","",[2]!B_CALC_PRICE($A12,$V$1,IF(情景分析!$D$6=1,$J12,IF(情景分析!$D$6=2,$E12,IF(情景分析!$D$6=4,IF($C12="银行间",$J12,$L12),$G12)))+AA$2/100,情景分析!$D$7,"",,,,"",)*IF($H12="",1,$H12))</f>
        <v>12089.889360068042</v>
      </c>
      <c r="AB12" s="7">
        <f ca="1">IF($A12="","",[2]!B_CALC_PRICE($A12,$V$1,IF(情景分析!$D$6=1,$J12,IF(情景分析!$D$6=2,$E12,IF(情景分析!$D$6=4,IF($C12="银行间",$J12,$L12),$G12)))+AB$2/100,情景分析!$D$7,"",,,,"",)*IF($H12="",1,$H12))</f>
        <v>12102.385004978583</v>
      </c>
      <c r="AC12" s="7">
        <f ca="1">IF($A12="","",[2]!B_CALC_PRICE($A12,$AC$1,IF(情景分析!$D$6=1,$J12,IF(情景分析!$D$6=2,$E12,IF(情景分析!$D$6=4,IF($C12="银行间",$J12,$L12),$G12)))+AC$2/100,情景分析!$D$7,"",,,,"",)*IF($H12="",1,$H12))</f>
        <v>12003.018049423032</v>
      </c>
      <c r="AD12" s="7">
        <f ca="1">IF($A12="","",[2]!B_CALC_PRICE($A12,$AC$1,IF(情景分析!$D$6=1,$J12,IF(情景分析!$D$6=2,$E12,IF(情景分析!$D$6=4,IF($C12="银行间",$J12,$L12),$G12)))+AD$2/100,情景分析!$D$7,"",,,,"",)*IF($H12="",1,$H12))</f>
        <v>12014.430677333987</v>
      </c>
      <c r="AE12" s="7">
        <f ca="1">IF($A12="","",[2]!B_CALC_PRICE($A12,$AC$1,IF(情景分析!$D$6=1,$J12,IF(情景分析!$D$6=2,$E12,IF(情景分析!$D$6=4,IF($C12="银行间",$J12,$L12),$G12)))+AE$2/100,情景分析!$D$7,"",,,,"",)*IF($H12="",1,$H12))</f>
        <v>12025.859797123139</v>
      </c>
      <c r="AF12" s="7">
        <f ca="1">IF($A12="","",[2]!B_CALC_PRICE($A12,$AC$1,IF(情景分析!$D$6=1,$J12,IF(情景分析!$D$6=2,$E12,IF(情景分析!$D$6=4,IF($C12="银行间",$J12,$L12),$G12)))+AF$2/100,情景分析!$D$7,"",,,,"",)*IF($H12="",1,$H12))</f>
        <v>12048.767640161497</v>
      </c>
      <c r="AG12" s="7">
        <f ca="1">IF($A12="","",[2]!B_CALC_PRICE($A12,$AC$1,IF(情景分析!$D$6=1,$J12,IF(情景分析!$D$6=2,$E12,IF(情景分析!$D$6=4,IF($C12="银行间",$J12,$L12),$G12)))+AG$2/100,情景分析!$D$7,"",,,,"",)*IF($H12="",1,$H12))</f>
        <v>12071.741834965627</v>
      </c>
      <c r="AH12" s="7">
        <f ca="1">IF($A12="","",[2]!B_CALC_PRICE($A12,$AC$1,IF(情景分析!$D$6=1,$J12,IF(情景分析!$D$6=2,$E12,IF(情景分析!$D$6=4,IF($C12="银行间",$J12,$L12),$G12)))+AH$2/100,情景分析!$D$7,"",,,,"",)*IF($H12="",1,$H12))</f>
        <v>12083.253894754416</v>
      </c>
      <c r="AI12" s="7">
        <f ca="1">IF($A12="","",[2]!B_CALC_PRICE($A12,$AC$1,IF(情景分析!$D$6=1,$J12,IF(情景分析!$D$6=2,$E12,IF(情景分析!$D$6=4,IF($C12="银行间",$J12,$L12),$G12)))+AI$2/100,情景分析!$D$7,"",,,,"",)*IF($H12="",1,$H12))</f>
        <v>12094.782639210724</v>
      </c>
      <c r="AJ12" s="7">
        <f ca="1">IF($A12="","",[2]!B_CALC_PRICE($A12,$AJ$1,IF(情景分析!$D$6=1,$J12,IF(情景分析!$D$6=2,$E12,IF(情景分析!$D$6=4,IF($C12="银行间",$J12,$L12),$G12)))+AJ$2/100,情景分析!$D$7,"",,,,"",)*IF($H12="",1,$H12))</f>
        <v>12003.018049423032</v>
      </c>
      <c r="AK12" s="7">
        <f ca="1">IF($A12="","",[2]!B_CALC_PRICE($A12,$AJ$1,IF(情景分析!$D$6=1,$J12,IF(情景分析!$D$6=2,$E12,IF(情景分析!$D$6=4,IF($C12="银行间",$J12,$L12),$G12)))+AK$2/100,情景分析!$D$7,"",,,,"",)*IF($H12="",1,$H12))</f>
        <v>12014.430677333987</v>
      </c>
      <c r="AL12" s="7">
        <f ca="1">IF($A12="","",[2]!B_CALC_PRICE($A12,$AJ$1,IF(情景分析!$D$6=1,$J12,IF(情景分析!$D$6=2,$E12,IF(情景分析!$D$6=4,IF($C12="银行间",$J12,$L12),$G12)))+AL$2/100,情景分析!$D$7,"",,,,"",)*IF($H12="",1,$H12))</f>
        <v>12025.859797123139</v>
      </c>
      <c r="AM12" s="7">
        <f ca="1">IF($A12="","",[2]!B_CALC_PRICE($A12,$AJ$1,IF(情景分析!$D$6=1,$J12,IF(情景分析!$D$6=2,$E12,IF(情景分析!$D$6=4,IF($C12="银行间",$J12,$L12),$G12)))+AM$2/100,情景分析!$D$7,"",,,,"",)*IF($H12="",1,$H12))</f>
        <v>12048.767640161497</v>
      </c>
      <c r="AN12" s="7">
        <f ca="1">IF($A12="","",[2]!B_CALC_PRICE($A12,$AJ$1,IF(情景分析!$D$6=1,$J12,IF(情景分析!$D$6=2,$E12,IF(情景分析!$D$6=4,IF($C12="银行间",$J12,$L12),$G12)))+AN$2/100,情景分析!$D$7,"",,,,"",)*IF($H12="",1,$H12))</f>
        <v>12071.741834965627</v>
      </c>
      <c r="AO12" s="7">
        <f ca="1">IF($A12="","",[2]!B_CALC_PRICE($A12,$AJ$1,IF(情景分析!$D$6=1,$J12,IF(情景分析!$D$6=2,$E12,IF(情景分析!$D$6=4,IF($C12="银行间",$J12,$L12),$G12)))+AO$2/100,情景分析!$D$7,"",,,,"",)*IF($H12="",1,$H12))</f>
        <v>12083.253894754416</v>
      </c>
      <c r="AP12" s="7">
        <f ca="1">IF($A12="","",[2]!B_CALC_PRICE($A12,$AJ$1,IF(情景分析!$D$6=1,$J12,IF(情景分析!$D$6=2,$E12,IF(情景分析!$D$6=4,IF($C12="银行间",$J12,$L12),$G12)))+AP$2/100,情景分析!$D$7,"",,,,"",)*IF($H12="",1,$H12))</f>
        <v>12094.782639210724</v>
      </c>
      <c r="AQ12" s="7">
        <f ca="1">IF($A12="","",[2]!B_CALC_PRICE($A12,$AQ$1,IF(情景分析!$D$6=1,$J12,IF(情景分析!$D$6=2,$E12,IF(情景分析!$D$6=4,IF($C12="银行间",$J12,$L12),$G12)))+AQ$2/100,情景分析!$D$7,"",,,,"",)*IF($H12="",1,$H12))</f>
        <v>12001.327817424097</v>
      </c>
      <c r="AR12" s="7">
        <f ca="1">IF($A12="","",[2]!B_CALC_PRICE($A12,$AQ$1,IF(情景分析!$D$6=1,$J12,IF(情景分析!$D$6=2,$E12,IF(情景分析!$D$6=4,IF($C12="银行间",$J12,$L12),$G12)))+AR$2/100,情景分析!$D$7,"",,,,"",)*IF($H12="",1,$H12))</f>
        <v>12008.481152578959</v>
      </c>
      <c r="AS12" s="7">
        <f ca="1">IF($A12="","",[2]!B_CALC_PRICE($A12,$AQ$1,IF(情景分析!$D$6=1,$J12,IF(情景分析!$D$6=2,$E12,IF(情景分析!$D$6=4,IF($C12="银行间",$J12,$L12),$G12)))+AS$2/100,情景分析!$D$7,"",,,,"",)*IF($H12="",1,$H12))</f>
        <v>12015.642235845427</v>
      </c>
      <c r="AT12" s="7">
        <f ca="1">IF($A12="","",[2]!B_CALC_PRICE($A12,$AQ$1,IF(情景分析!$D$6=1,$J12,IF(情景分析!$D$6=2,$E12,IF(情景分析!$D$6=4,IF($C12="银行间",$J12,$L12),$G12)))+AT$2/100,情景分析!$D$7,"",,,,"",)*IF($H12="",1,$H12))</f>
        <v>12029.987695500839</v>
      </c>
      <c r="AU12" s="7">
        <f ca="1">IF($A12="","",[2]!B_CALC_PRICE($A12,$AQ$1,IF(情景分析!$D$6=1,$J12,IF(情景分析!$D$6=2,$E12,IF(情景分析!$D$6=4,IF($C12="银行间",$J12,$L12),$G12)))+AU$2/100,情景分析!$D$7,"",,,,"",)*IF($H12="",1,$H12))</f>
        <v>12044.364294217556</v>
      </c>
      <c r="AV12" s="7">
        <f ca="1">IF($A12="","",[2]!B_CALC_PRICE($A12,$AQ$1,IF(情景分析!$D$6=1,$J12,IF(情景分析!$D$6=2,$E12,IF(情景分析!$D$6=4,IF($C12="银行间",$J12,$L12),$G12)))+AV$2/100,情景分析!$D$7,"",,,,"",)*IF($H12="",1,$H12))</f>
        <v>12051.564301405471</v>
      </c>
      <c r="AW12" s="7">
        <f ca="1">IF($A12="","",[2]!B_CALC_PRICE($A12,$AQ$1,IF(情景分析!$D$6=1,$J12,IF(情景分析!$D$6=2,$E12,IF(情景分析!$D$6=4,IF($C12="银行间",$J12,$L12),$G12)))+AW$2/100,情景分析!$D$7,"",,,,"",)*IF($H12="",1,$H12))</f>
        <v>12058.77213022734</v>
      </c>
    </row>
    <row r="13" spans="1:49" x14ac:dyDescent="0.15">
      <c r="A13" s="20" t="s">
        <v>35</v>
      </c>
      <c r="B13" s="7" t="str">
        <f>IF(A13="","",[2]!b_info_name(A13))</f>
        <v>25惠安交发PPN002</v>
      </c>
      <c r="C13" s="7" t="str">
        <f>[2]!b_info_listedmkt(A13)</f>
        <v>银行间</v>
      </c>
      <c r="D13" s="7">
        <f ca="1">IFERROR(IF(A13="","", [2]!b_dq_avgprice(A13, 情景分析!$D$5, 情景分析!$D$7) * IF($H13="",1,$H13)),0)</f>
        <v>0</v>
      </c>
      <c r="E13" s="7">
        <f ca="1">IF(A13="","", N([2]!b_dq_avgprice(A13,情景分析!$D$5,3)))</f>
        <v>0</v>
      </c>
      <c r="F13" s="29">
        <f ca="1">IF($G13 = "",
"",
IFERROR(
[2]!b_calc_pv(A13, 情景分析!$D$5,$G13, "1", 情景分析!$D$7),
[2]!b_calc_pv(A13, 情景分析!$D$5,$G13, "2", 情景分析!$D$7)
)
)</f>
        <v>70.66348646092834</v>
      </c>
      <c r="G13" s="22">
        <v>20</v>
      </c>
      <c r="H13" s="21">
        <v>120</v>
      </c>
      <c r="I13" s="7">
        <f ca="1">IF(A13="","",IF(情景分析!$D$7=1,[2]!b_anal_net_cnbd(A13,情景分析!$D$5,1),[2]!b_anal_dirty_cnbd(A13,情景分析!$D$5,1))*IF($H13="",1,$H13))</f>
        <v>12054.624</v>
      </c>
      <c r="J13" s="7">
        <f ca="1">IF(A13="","",[2]!b_anal_yield_cnbd(A13,情景分析!$D$5,1))</f>
        <v>2.2663000000000002</v>
      </c>
      <c r="K13" s="29">
        <f ca="1">IF(A13="","",IF(情景分析!$D$7=1,[2]!b_anal_net_csi1(A13,情景分析!$D$5,1),[2]!b_anal_dirty_csi1(A13,情景分析!$D$5,1))*IF($H13="",1,$H13))</f>
        <v>12064.307999999999</v>
      </c>
      <c r="L13" s="29">
        <f ca="1">IF(A13="","",[2]!b_anal_yield_csi1(A13,情景分析!$D$5,1))</f>
        <v>2.2259000000000002</v>
      </c>
      <c r="M13" s="29">
        <f t="shared" ca="1" si="4"/>
        <v>12054.624</v>
      </c>
      <c r="N13" s="29">
        <f t="shared" ca="1" si="5"/>
        <v>2.2663000000000002</v>
      </c>
      <c r="O13" s="7">
        <f ca="1">IF($A13="","",[2]!B_CALC_PRICE($A13,$O$1,IF(情景分析!$D$6=1,$J13,IF(情景分析!$D$6=2,$E13,IF(情景分析!$D$6=4,IF($C13="银行间",$J13,$L13),$G13)))+O$2/100,情景分析!$D$7,"",,,,"",)*IF($H13="",1,$H13))</f>
        <v>12002.89567491052</v>
      </c>
      <c r="P13" s="7">
        <f ca="1">IF($A13="","",[2]!B_CALC_PRICE($A13,$O$1,IF(情景分析!$D$6=1,$J13,IF(情景分析!$D$6=2,$E13,IF(情景分析!$D$6=4,IF($C13="银行间",$J13,$L13),$G13)))+P$2/100,情景分析!$D$7,"",,,,"",)*IF($H13="",1,$H13))</f>
        <v>12015.632005654055</v>
      </c>
      <c r="Q13" s="7">
        <f ca="1">IF($A13="","",[2]!B_CALC_PRICE($A13,$O$1,IF(情景分析!$D$6=1,$J13,IF(情景分析!$D$6=2,$E13,IF(情景分析!$D$6=4,IF($C13="银行间",$J13,$L13),$G13)))+Q$2/100,情景分析!$D$7,"",,,,"",)*IF($H13="",1,$H13))</f>
        <v>12028.388154756014</v>
      </c>
      <c r="R13" s="7">
        <f ca="1">IF($A13="","",[2]!B_CALC_PRICE($A13,$O$1,IF(情景分析!$D$6=1,$J13,IF(情景分析!$D$6=2,$E13,IF(情景分析!$D$6=4,IF($C13="银行间",$J13,$L13),$G13)))+R$2/100,情景分析!$D$7,"",,,,"",)*IF($H13="",1,$H13))</f>
        <v>12053.960070573177</v>
      </c>
      <c r="S13" s="7">
        <f ca="1">IF($A13="","",[2]!B_CALC_PRICE($A13,$O$1,IF(情景分析!$D$6=1,$J13,IF(情景分析!$D$6=2,$E13,IF(情景分析!$D$6=4,IF($C13="银行间",$J13,$L13),$G13)))+S$2/100,情景分析!$D$7,"",,,,"",)*IF($H13="",1,$H13))</f>
        <v>12079.611748471483</v>
      </c>
      <c r="T13" s="7">
        <f ca="1">IF($A13="","",[2]!B_CALC_PRICE($A13,$O$1,IF(情景分析!$D$6=1,$J13,IF(情景分析!$D$6=2,$E13,IF(情景分析!$D$6=4,IF($C13="银行间",$J13,$L13),$G13)))+T$2/100,情景分析!$D$7,"",,,,"",)*IF($H13="",1,$H13))</f>
        <v>12092.467600564107</v>
      </c>
      <c r="U13" s="7">
        <f ca="1">IF($A13="","",[2]!B_CALC_PRICE($A13,$O$1,IF(情景分析!$D$6=1,$J13,IF(情景分析!$D$6=2,$E13,IF(情景分析!$D$6=4,IF($C13="银行间",$J13,$L13),$G13)))+U$2/100,情景分析!$D$7,"",,,,"",)*IF($H13="",1,$H13))</f>
        <v>12105.343516221143</v>
      </c>
      <c r="V13" s="7">
        <f ca="1">IF($A13="","",[2]!B_CALC_PRICE($A13,$V$1,IF(情景分析!$D$6=1,$J13,IF(情景分析!$D$6=2,$E13,IF(情景分析!$D$6=4,IF($C13="银行间",$J13,$L13),$G13)))+V$2/100,情景分析!$D$7,"",,,,"",)*IF($H13="",1,$H13))</f>
        <v>12002.951930179546</v>
      </c>
      <c r="W13" s="7">
        <f ca="1">IF($A13="","",[2]!B_CALC_PRICE($A13,$V$1,IF(情景分析!$D$6=1,$J13,IF(情景分析!$D$6=2,$E13,IF(情景分析!$D$6=4,IF($C13="银行间",$J13,$L13),$G13)))+W$2/100,情景分析!$D$7,"",,,,"",)*IF($H13="",1,$H13))</f>
        <v>12015.314821830043</v>
      </c>
      <c r="X13" s="7">
        <f ca="1">IF($A13="","",[2]!B_CALC_PRICE($A13,$V$1,IF(情景分析!$D$6=1,$J13,IF(情景分析!$D$6=2,$E13,IF(情景分析!$D$6=4,IF($C13="银行间",$J13,$L13),$G13)))+X$2/100,情景分析!$D$7,"",,,,"",)*IF($H13="",1,$H13))</f>
        <v>12027.696563673921</v>
      </c>
      <c r="Y13" s="7">
        <f ca="1">IF($A13="","",[2]!B_CALC_PRICE($A13,$V$1,IF(情景分析!$D$6=1,$J13,IF(情景分析!$D$6=2,$E13,IF(情景分析!$D$6=4,IF($C13="银行间",$J13,$L13),$G13)))+Y$2/100,情景分析!$D$7,"",,,,"",)*IF($H13="",1,$H13))</f>
        <v>12052.516750143401</v>
      </c>
      <c r="Z13" s="7">
        <f ca="1">IF($A13="","",[2]!B_CALC_PRICE($A13,$V$1,IF(情景分析!$D$6=1,$J13,IF(情景分析!$D$6=2,$E13,IF(情景分析!$D$6=4,IF($C13="银行间",$J13,$L13),$G13)))+Z$2/100,情景分析!$D$7,"",,,,"",)*IF($H13="",1,$H13))</f>
        <v>12077.41279494684</v>
      </c>
      <c r="AA13" s="7">
        <f ca="1">IF($A13="","",[2]!B_CALC_PRICE($A13,$V$1,IF(情景分析!$D$6=1,$J13,IF(情景分析!$D$6=2,$E13,IF(情景分析!$D$6=4,IF($C13="银行间",$J13,$L13),$G13)))+AA$2/100,情景分析!$D$7,"",,,,"",)*IF($H13="",1,$H13))</f>
        <v>12089.889360068042</v>
      </c>
      <c r="AB13" s="7">
        <f ca="1">IF($A13="","",[2]!B_CALC_PRICE($A13,$V$1,IF(情景分析!$D$6=1,$J13,IF(情景分析!$D$6=2,$E13,IF(情景分析!$D$6=4,IF($C13="银行间",$J13,$L13),$G13)))+AB$2/100,情景分析!$D$7,"",,,,"",)*IF($H13="",1,$H13))</f>
        <v>12102.385004978583</v>
      </c>
      <c r="AC13" s="7">
        <f ca="1">IF($A13="","",[2]!B_CALC_PRICE($A13,$AC$1,IF(情景分析!$D$6=1,$J13,IF(情景分析!$D$6=2,$E13,IF(情景分析!$D$6=4,IF($C13="银行间",$J13,$L13),$G13)))+AC$2/100,情景分析!$D$7,"",,,,"",)*IF($H13="",1,$H13))</f>
        <v>12003.018049423032</v>
      </c>
      <c r="AD13" s="7">
        <f ca="1">IF($A13="","",[2]!B_CALC_PRICE($A13,$AC$1,IF(情景分析!$D$6=1,$J13,IF(情景分析!$D$6=2,$E13,IF(情景分析!$D$6=4,IF($C13="银行间",$J13,$L13),$G13)))+AD$2/100,情景分析!$D$7,"",,,,"",)*IF($H13="",1,$H13))</f>
        <v>12014.430677333987</v>
      </c>
      <c r="AE13" s="7">
        <f ca="1">IF($A13="","",[2]!B_CALC_PRICE($A13,$AC$1,IF(情景分析!$D$6=1,$J13,IF(情景分析!$D$6=2,$E13,IF(情景分析!$D$6=4,IF($C13="银行间",$J13,$L13),$G13)))+AE$2/100,情景分析!$D$7,"",,,,"",)*IF($H13="",1,$H13))</f>
        <v>12025.859797123139</v>
      </c>
      <c r="AF13" s="7">
        <f ca="1">IF($A13="","",[2]!B_CALC_PRICE($A13,$AC$1,IF(情景分析!$D$6=1,$J13,IF(情景分析!$D$6=2,$E13,IF(情景分析!$D$6=4,IF($C13="银行间",$J13,$L13),$G13)))+AF$2/100,情景分析!$D$7,"",,,,"",)*IF($H13="",1,$H13))</f>
        <v>12048.767640161497</v>
      </c>
      <c r="AG13" s="7">
        <f ca="1">IF($A13="","",[2]!B_CALC_PRICE($A13,$AC$1,IF(情景分析!$D$6=1,$J13,IF(情景分析!$D$6=2,$E13,IF(情景分析!$D$6=4,IF($C13="银行间",$J13,$L13),$G13)))+AG$2/100,情景分析!$D$7,"",,,,"",)*IF($H13="",1,$H13))</f>
        <v>12071.741834965627</v>
      </c>
      <c r="AH13" s="7">
        <f ca="1">IF($A13="","",[2]!B_CALC_PRICE($A13,$AC$1,IF(情景分析!$D$6=1,$J13,IF(情景分析!$D$6=2,$E13,IF(情景分析!$D$6=4,IF($C13="银行间",$J13,$L13),$G13)))+AH$2/100,情景分析!$D$7,"",,,,"",)*IF($H13="",1,$H13))</f>
        <v>12083.253894754416</v>
      </c>
      <c r="AI13" s="7">
        <f ca="1">IF($A13="","",[2]!B_CALC_PRICE($A13,$AC$1,IF(情景分析!$D$6=1,$J13,IF(情景分析!$D$6=2,$E13,IF(情景分析!$D$6=4,IF($C13="银行间",$J13,$L13),$G13)))+AI$2/100,情景分析!$D$7,"",,,,"",)*IF($H13="",1,$H13))</f>
        <v>12094.782639210724</v>
      </c>
      <c r="AJ13" s="7">
        <f ca="1">IF($A13="","",[2]!B_CALC_PRICE($A13,$AJ$1,IF(情景分析!$D$6=1,$J13,IF(情景分析!$D$6=2,$E13,IF(情景分析!$D$6=4,IF($C13="银行间",$J13,$L13),$G13)))+AJ$2/100,情景分析!$D$7,"",,,,"",)*IF($H13="",1,$H13))</f>
        <v>12003.018049423032</v>
      </c>
      <c r="AK13" s="7">
        <f ca="1">IF($A13="","",[2]!B_CALC_PRICE($A13,$AJ$1,IF(情景分析!$D$6=1,$J13,IF(情景分析!$D$6=2,$E13,IF(情景分析!$D$6=4,IF($C13="银行间",$J13,$L13),$G13)))+AK$2/100,情景分析!$D$7,"",,,,"",)*IF($H13="",1,$H13))</f>
        <v>12014.430677333987</v>
      </c>
      <c r="AL13" s="7">
        <f ca="1">IF($A13="","",[2]!B_CALC_PRICE($A13,$AJ$1,IF(情景分析!$D$6=1,$J13,IF(情景分析!$D$6=2,$E13,IF(情景分析!$D$6=4,IF($C13="银行间",$J13,$L13),$G13)))+AL$2/100,情景分析!$D$7,"",,,,"",)*IF($H13="",1,$H13))</f>
        <v>12025.859797123139</v>
      </c>
      <c r="AM13" s="7">
        <f ca="1">IF($A13="","",[2]!B_CALC_PRICE($A13,$AJ$1,IF(情景分析!$D$6=1,$J13,IF(情景分析!$D$6=2,$E13,IF(情景分析!$D$6=4,IF($C13="银行间",$J13,$L13),$G13)))+AM$2/100,情景分析!$D$7,"",,,,"",)*IF($H13="",1,$H13))</f>
        <v>12048.767640161497</v>
      </c>
      <c r="AN13" s="7">
        <f ca="1">IF($A13="","",[2]!B_CALC_PRICE($A13,$AJ$1,IF(情景分析!$D$6=1,$J13,IF(情景分析!$D$6=2,$E13,IF(情景分析!$D$6=4,IF($C13="银行间",$J13,$L13),$G13)))+AN$2/100,情景分析!$D$7,"",,,,"",)*IF($H13="",1,$H13))</f>
        <v>12071.741834965627</v>
      </c>
      <c r="AO13" s="7">
        <f ca="1">IF($A13="","",[2]!B_CALC_PRICE($A13,$AJ$1,IF(情景分析!$D$6=1,$J13,IF(情景分析!$D$6=2,$E13,IF(情景分析!$D$6=4,IF($C13="银行间",$J13,$L13),$G13)))+AO$2/100,情景分析!$D$7,"",,,,"",)*IF($H13="",1,$H13))</f>
        <v>12083.253894754416</v>
      </c>
      <c r="AP13" s="7">
        <f ca="1">IF($A13="","",[2]!B_CALC_PRICE($A13,$AJ$1,IF(情景分析!$D$6=1,$J13,IF(情景分析!$D$6=2,$E13,IF(情景分析!$D$6=4,IF($C13="银行间",$J13,$L13),$G13)))+AP$2/100,情景分析!$D$7,"",,,,"",)*IF($H13="",1,$H13))</f>
        <v>12094.782639210724</v>
      </c>
      <c r="AQ13" s="7">
        <f ca="1">IF($A13="","",[2]!B_CALC_PRICE($A13,$AQ$1,IF(情景分析!$D$6=1,$J13,IF(情景分析!$D$6=2,$E13,IF(情景分析!$D$6=4,IF($C13="银行间",$J13,$L13),$G13)))+AQ$2/100,情景分析!$D$7,"",,,,"",)*IF($H13="",1,$H13))</f>
        <v>12001.327817424097</v>
      </c>
      <c r="AR13" s="7">
        <f ca="1">IF($A13="","",[2]!B_CALC_PRICE($A13,$AQ$1,IF(情景分析!$D$6=1,$J13,IF(情景分析!$D$6=2,$E13,IF(情景分析!$D$6=4,IF($C13="银行间",$J13,$L13),$G13)))+AR$2/100,情景分析!$D$7,"",,,,"",)*IF($H13="",1,$H13))</f>
        <v>12008.481152578959</v>
      </c>
      <c r="AS13" s="7">
        <f ca="1">IF($A13="","",[2]!B_CALC_PRICE($A13,$AQ$1,IF(情景分析!$D$6=1,$J13,IF(情景分析!$D$6=2,$E13,IF(情景分析!$D$6=4,IF($C13="银行间",$J13,$L13),$G13)))+AS$2/100,情景分析!$D$7,"",,,,"",)*IF($H13="",1,$H13))</f>
        <v>12015.642235845427</v>
      </c>
      <c r="AT13" s="7">
        <f ca="1">IF($A13="","",[2]!B_CALC_PRICE($A13,$AQ$1,IF(情景分析!$D$6=1,$J13,IF(情景分析!$D$6=2,$E13,IF(情景分析!$D$6=4,IF($C13="银行间",$J13,$L13),$G13)))+AT$2/100,情景分析!$D$7,"",,,,"",)*IF($H13="",1,$H13))</f>
        <v>12029.987695500839</v>
      </c>
      <c r="AU13" s="7">
        <f ca="1">IF($A13="","",[2]!B_CALC_PRICE($A13,$AQ$1,IF(情景分析!$D$6=1,$J13,IF(情景分析!$D$6=2,$E13,IF(情景分析!$D$6=4,IF($C13="银行间",$J13,$L13),$G13)))+AU$2/100,情景分析!$D$7,"",,,,"",)*IF($H13="",1,$H13))</f>
        <v>12044.364294217556</v>
      </c>
      <c r="AV13" s="7">
        <f ca="1">IF($A13="","",[2]!B_CALC_PRICE($A13,$AQ$1,IF(情景分析!$D$6=1,$J13,IF(情景分析!$D$6=2,$E13,IF(情景分析!$D$6=4,IF($C13="银行间",$J13,$L13),$G13)))+AV$2/100,情景分析!$D$7,"",,,,"",)*IF($H13="",1,$H13))</f>
        <v>12051.564301405471</v>
      </c>
      <c r="AW13" s="7">
        <f ca="1">IF($A13="","",[2]!B_CALC_PRICE($A13,$AQ$1,IF(情景分析!$D$6=1,$J13,IF(情景分析!$D$6=2,$E13,IF(情景分析!$D$6=4,IF($C13="银行间",$J13,$L13),$G13)))+AW$2/100,情景分析!$D$7,"",,,,"",)*IF($H13="",1,$H13))</f>
        <v>12058.77213022734</v>
      </c>
    </row>
    <row r="14" spans="1:49" x14ac:dyDescent="0.15">
      <c r="A14" s="20" t="s">
        <v>40</v>
      </c>
      <c r="B14" s="7" t="str">
        <f>IF(A14="","",[2]!b_info_name(A14))</f>
        <v>25泉州台商PPN001</v>
      </c>
      <c r="C14" s="7" t="str">
        <f>[2]!b_info_listedmkt(A14)</f>
        <v>银行间</v>
      </c>
      <c r="D14" s="7">
        <f ca="1">IFERROR(IF(A14="","", [2]!b_dq_avgprice(A14, 情景分析!$D$5, 情景分析!$D$7) * IF($H14="",1,$H14)),0)</f>
        <v>0</v>
      </c>
      <c r="E14" s="7">
        <f ca="1">IF(A14="","", N([2]!b_dq_avgprice(A14,情景分析!$D$5,3)))</f>
        <v>0</v>
      </c>
      <c r="F14" s="29">
        <f ca="1">IF($G14 = "",
"",
IFERROR(
[2]!b_calc_pv(A14, 情景分析!$D$5,$G14, "1", 情景分析!$D$7),
[2]!b_calc_pv(A14, 情景分析!$D$5,$G14, "2", 情景分析!$D$7)
)
)</f>
        <v>52.533518901582653</v>
      </c>
      <c r="G14" s="22">
        <v>20</v>
      </c>
      <c r="H14" s="21">
        <v>120</v>
      </c>
      <c r="I14" s="7">
        <f ca="1">IF(A14="","",IF(情景分析!$D$7=1,[2]!b_anal_net_cnbd(A14,情景分析!$D$5,1),[2]!b_anal_dirty_cnbd(A14,情景分析!$D$5,1))*IF($H14="",1,$H14))</f>
        <v>12022.019999999999</v>
      </c>
      <c r="J14" s="7">
        <f ca="1">IF(A14="","",[2]!b_anal_yield_cnbd(A14,情景分析!$D$5,1))</f>
        <v>2.2121</v>
      </c>
      <c r="K14" s="29">
        <f ca="1">IF(A14="","",IF(情景分析!$D$7=1,[2]!b_anal_net_csi1(A14,情景分析!$D$5,1),[2]!b_anal_dirty_csi1(A14,情景分析!$D$5,1))*IF($H14="",1,$H14))</f>
        <v>12026.316000000001</v>
      </c>
      <c r="L14" s="29">
        <f ca="1">IF(A14="","",[2]!b_anal_yield_csi1(A14,情景分析!$D$5,1))</f>
        <v>2.1924000000000001</v>
      </c>
      <c r="M14" s="29">
        <f t="shared" ca="1" si="4"/>
        <v>12022.019999999999</v>
      </c>
      <c r="N14" s="29">
        <f t="shared" ca="1" si="5"/>
        <v>2.2121</v>
      </c>
      <c r="O14" s="7">
        <f ca="1">IF($A14="","",[2]!B_CALC_PRICE($A14,$O$1,IF(情景分析!$D$6=1,$J14,IF(情景分析!$D$6=2,$E14,IF(情景分析!$D$6=4,IF($C14="银行间",$J14,$L14),$G14)))+O$2/100,情景分析!$D$7,"",,,,"",)*IF($H14="",1,$H14))</f>
        <v>11946.617865276326</v>
      </c>
      <c r="P14" s="7">
        <f ca="1">IF($A14="","",[2]!B_CALC_PRICE($A14,$O$1,IF(情景分析!$D$6=1,$J14,IF(情景分析!$D$6=2,$E14,IF(情景分析!$D$6=4,IF($C14="银行间",$J14,$L14),$G14)))+P$2/100,情景分析!$D$7,"",,,,"",)*IF($H14="",1,$H14))</f>
        <v>11970.183461861321</v>
      </c>
      <c r="Q14" s="7">
        <f ca="1">IF($A14="","",[2]!B_CALC_PRICE($A14,$O$1,IF(情景分析!$D$6=1,$J14,IF(情景分析!$D$6=2,$E14,IF(情景分析!$D$6=4,IF($C14="银行间",$J14,$L14),$G14)))+Q$2/100,情景分析!$D$7,"",,,,"",)*IF($H14="",1,$H14))</f>
        <v>11993.808027151939</v>
      </c>
      <c r="R14" s="7">
        <f ca="1">IF($A14="","",[2]!B_CALC_PRICE($A14,$O$1,IF(情景分析!$D$6=1,$J14,IF(情景分析!$D$6=2,$E14,IF(情景分析!$D$6=4,IF($C14="银行间",$J14,$L14),$G14)))+R$2/100,情景分析!$D$7,"",,,,"",)*IF($H14="",1,$H14))</f>
        <v>12041.234773476976</v>
      </c>
      <c r="S14" s="7">
        <f ca="1">IF($A14="","",[2]!B_CALC_PRICE($A14,$O$1,IF(情景分析!$D$6=1,$J14,IF(情景分析!$D$6=2,$E14,IF(情景分析!$D$6=4,IF($C14="银行间",$J14,$L14),$G14)))+S$2/100,情景分析!$D$7,"",,,,"",)*IF($H14="",1,$H14))</f>
        <v>12088.899529728449</v>
      </c>
      <c r="T14" s="7">
        <f ca="1">IF($A14="","",[2]!B_CALC_PRICE($A14,$O$1,IF(情景分析!$D$6=1,$J14,IF(情景分析!$D$6=2,$E14,IF(情景分析!$D$6=4,IF($C14="银行间",$J14,$L14),$G14)))+T$2/100,情景分析!$D$7,"",,,,"",)*IF($H14="",1,$H14))</f>
        <v>12112.82160977388</v>
      </c>
      <c r="U14" s="7">
        <f ca="1">IF($A14="","",[2]!B_CALC_PRICE($A14,$O$1,IF(情景分析!$D$6=1,$J14,IF(情景分析!$D$6=2,$E14,IF(情景分析!$D$6=4,IF($C14="银行间",$J14,$L14),$G14)))+U$2/100,情景分析!$D$7,"",,,,"",)*IF($H14="",1,$H14))</f>
        <v>12136.803731396294</v>
      </c>
      <c r="V14" s="7">
        <f ca="1">IF($A14="","",[2]!B_CALC_PRICE($A14,$V$1,IF(情景分析!$D$6=1,$J14,IF(情景分析!$D$6=2,$E14,IF(情景分析!$D$6=4,IF($C14="银行间",$J14,$L14),$G14)))+V$2/100,情景分析!$D$7,"",,,,"",)*IF($H14="",1,$H14))</f>
        <v>11947.562096644357</v>
      </c>
      <c r="W14" s="7">
        <f ca="1">IF($A14="","",[2]!B_CALC_PRICE($A14,$V$1,IF(情景分析!$D$6=1,$J14,IF(情景分析!$D$6=2,$E14,IF(情景分析!$D$6=4,IF($C14="银行间",$J14,$L14),$G14)))+W$2/100,情景分析!$D$7,"",,,,"",)*IF($H14="",1,$H14))</f>
        <v>11970.772421524049</v>
      </c>
      <c r="X14" s="7">
        <f ca="1">IF($A14="","",[2]!B_CALC_PRICE($A14,$V$1,IF(情景分析!$D$6=1,$J14,IF(情景分析!$D$6=2,$E14,IF(情景分析!$D$6=4,IF($C14="银行间",$J14,$L14),$G14)))+X$2/100,情景分析!$D$7,"",,,,"",)*IF($H14="",1,$H14))</f>
        <v>11994.040108682764</v>
      </c>
      <c r="Y14" s="7">
        <f ca="1">IF($A14="","",[2]!B_CALC_PRICE($A14,$V$1,IF(情景分析!$D$6=1,$J14,IF(情景分析!$D$6=2,$E14,IF(情景分析!$D$6=4,IF($C14="银行间",$J14,$L14),$G14)))+Y$2/100,情景分析!$D$7,"",,,,"",)*IF($H14="",1,$H14))</f>
        <v>12040.748252870222</v>
      </c>
      <c r="Z14" s="7">
        <f ca="1">IF($A14="","",[2]!B_CALC_PRICE($A14,$V$1,IF(情景分析!$D$6=1,$J14,IF(情景分析!$D$6=2,$E14,IF(情景分析!$D$6=4,IF($C14="银行间",$J14,$L14),$G14)))+Z$2/100,情景分析!$D$7,"",,,,"",)*IF($H14="",1,$H14))</f>
        <v>12087.687901208021</v>
      </c>
      <c r="AA14" s="7">
        <f ca="1">IF($A14="","",[2]!B_CALC_PRICE($A14,$V$1,IF(情景分析!$D$6=1,$J14,IF(情景分析!$D$6=2,$E14,IF(情景分析!$D$6=4,IF($C14="银行间",$J14,$L14),$G14)))+AA$2/100,情景分析!$D$7,"",,,,"",)*IF($H14="",1,$H14))</f>
        <v>12111.244970792819</v>
      </c>
      <c r="AB14" s="7">
        <f ca="1">IF($A14="","",[2]!B_CALC_PRICE($A14,$V$1,IF(情景分析!$D$6=1,$J14,IF(情景分析!$D$6=2,$E14,IF(情景分析!$D$6=4,IF($C14="银行间",$J14,$L14),$G14)))+AB$2/100,情景分析!$D$7,"",,,,"",)*IF($H14="",1,$H14))</f>
        <v>12134.860435246957</v>
      </c>
      <c r="AC14" s="7">
        <f ca="1">IF($A14="","",[2]!B_CALC_PRICE($A14,$AC$1,IF(情景分析!$D$6=1,$J14,IF(情景分析!$D$6=2,$E14,IF(情景分析!$D$6=4,IF($C14="银行间",$J14,$L14),$G14)))+AC$2/100,情景分析!$D$7,"",,,,"",)*IF($H14="",1,$H14))</f>
        <v>11949.754256597018</v>
      </c>
      <c r="AD14" s="7">
        <f ca="1">IF($A14="","",[2]!B_CALC_PRICE($A14,$AC$1,IF(情景分析!$D$6=1,$J14,IF(情景分析!$D$6=2,$E14,IF(情景分析!$D$6=4,IF($C14="银行间",$J14,$L14),$G14)))+AD$2/100,情景分析!$D$7,"",,,,"",)*IF($H14="",1,$H14))</f>
        <v>11972.063397458987</v>
      </c>
      <c r="AE14" s="7">
        <f ca="1">IF($A14="","",[2]!B_CALC_PRICE($A14,$AC$1,IF(情景分析!$D$6=1,$J14,IF(情景分析!$D$6=2,$E14,IF(情景分析!$D$6=4,IF($C14="银行间",$J14,$L14),$G14)))+AE$2/100,情景分析!$D$7,"",,,,"",)*IF($H14="",1,$H14))</f>
        <v>11994.425911854569</v>
      </c>
      <c r="AF14" s="7">
        <f ca="1">IF($A14="","",[2]!B_CALC_PRICE($A14,$AC$1,IF(情景分析!$D$6=1,$J14,IF(情景分析!$D$6=2,$E14,IF(情景分析!$D$6=4,IF($C14="银行间",$J14,$L14),$G14)))+AF$2/100,情景分析!$D$7,"",,,,"",)*IF($H14="",1,$H14))</f>
        <v>12039.311679581899</v>
      </c>
      <c r="AG14" s="7">
        <f ca="1">IF($A14="","",[2]!B_CALC_PRICE($A14,$AC$1,IF(情景分析!$D$6=1,$J14,IF(情景分析!$D$6=2,$E14,IF(情景分析!$D$6=4,IF($C14="银行间",$J14,$L14),$G14)))+AG$2/100,情景分析!$D$7,"",,,,"",)*IF($H14="",1,$H14))</f>
        <v>12084.41280169729</v>
      </c>
      <c r="AH14" s="7">
        <f ca="1">IF($A14="","",[2]!B_CALC_PRICE($A14,$AC$1,IF(情景分析!$D$6=1,$J14,IF(情景分析!$D$6=2,$E14,IF(情景分析!$D$6=4,IF($C14="银行间",$J14,$L14),$G14)))+AH$2/100,情景分析!$D$7,"",,,,"",)*IF($H14="",1,$H14))</f>
        <v>12107.044511056525</v>
      </c>
      <c r="AI14" s="7">
        <f ca="1">IF($A14="","",[2]!B_CALC_PRICE($A14,$AC$1,IF(情景分析!$D$6=1,$J14,IF(情景分析!$D$6=2,$E14,IF(情景分析!$D$6=4,IF($C14="银行间",$J14,$L14),$G14)))+AI$2/100,情景分析!$D$7,"",,,,"",)*IF($H14="",1,$H14))</f>
        <v>12129.730528561009</v>
      </c>
      <c r="AJ14" s="7">
        <f ca="1">IF($A14="","",[2]!B_CALC_PRICE($A14,$AJ$1,IF(情景分析!$D$6=1,$J14,IF(情景分析!$D$6=2,$E14,IF(情景分析!$D$6=4,IF($C14="银行间",$J14,$L14),$G14)))+AJ$2/100,情景分析!$D$7,"",,,,"",)*IF($H14="",1,$H14))</f>
        <v>11949.754256597018</v>
      </c>
      <c r="AK14" s="7">
        <f ca="1">IF($A14="","",[2]!B_CALC_PRICE($A14,$AJ$1,IF(情景分析!$D$6=1,$J14,IF(情景分析!$D$6=2,$E14,IF(情景分析!$D$6=4,IF($C14="银行间",$J14,$L14),$G14)))+AK$2/100,情景分析!$D$7,"",,,,"",)*IF($H14="",1,$H14))</f>
        <v>11972.063397458987</v>
      </c>
      <c r="AL14" s="7">
        <f ca="1">IF($A14="","",[2]!B_CALC_PRICE($A14,$AJ$1,IF(情景分析!$D$6=1,$J14,IF(情景分析!$D$6=2,$E14,IF(情景分析!$D$6=4,IF($C14="银行间",$J14,$L14),$G14)))+AL$2/100,情景分析!$D$7,"",,,,"",)*IF($H14="",1,$H14))</f>
        <v>11994.425911854569</v>
      </c>
      <c r="AM14" s="7">
        <f ca="1">IF($A14="","",[2]!B_CALC_PRICE($A14,$AJ$1,IF(情景分析!$D$6=1,$J14,IF(情景分析!$D$6=2,$E14,IF(情景分析!$D$6=4,IF($C14="银行间",$J14,$L14),$G14)))+AM$2/100,情景分析!$D$7,"",,,,"",)*IF($H14="",1,$H14))</f>
        <v>12039.311679581899</v>
      </c>
      <c r="AN14" s="7">
        <f ca="1">IF($A14="","",[2]!B_CALC_PRICE($A14,$AJ$1,IF(情景分析!$D$6=1,$J14,IF(情景分析!$D$6=2,$E14,IF(情景分析!$D$6=4,IF($C14="银行间",$J14,$L14),$G14)))+AN$2/100,情景分析!$D$7,"",,,,"",)*IF($H14="",1,$H14))</f>
        <v>12084.41280169729</v>
      </c>
      <c r="AO14" s="7">
        <f ca="1">IF($A14="","",[2]!B_CALC_PRICE($A14,$AJ$1,IF(情景分析!$D$6=1,$J14,IF(情景分析!$D$6=2,$E14,IF(情景分析!$D$6=4,IF($C14="银行间",$J14,$L14),$G14)))+AO$2/100,情景分析!$D$7,"",,,,"",)*IF($H14="",1,$H14))</f>
        <v>12107.044511056525</v>
      </c>
      <c r="AP14" s="7">
        <f ca="1">IF($A14="","",[2]!B_CALC_PRICE($A14,$AJ$1,IF(情景分析!$D$6=1,$J14,IF(情景分析!$D$6=2,$E14,IF(情景分析!$D$6=4,IF($C14="银行间",$J14,$L14),$G14)))+AP$2/100,情景分析!$D$7,"",,,,"",)*IF($H14="",1,$H14))</f>
        <v>12129.730528561009</v>
      </c>
      <c r="AQ14" s="7">
        <f ca="1">IF($A14="","",[2]!B_CALC_PRICE($A14,$AQ$1,IF(情景分析!$D$6=1,$J14,IF(情景分析!$D$6=2,$E14,IF(情景分析!$D$6=4,IF($C14="银行间",$J14,$L14),$G14)))+AQ$2/100,情景分析!$D$7,"",,,,"",)*IF($H14="",1,$H14))</f>
        <v>11958.518685177811</v>
      </c>
      <c r="AR14" s="7">
        <f ca="1">IF($A14="","",[2]!B_CALC_PRICE($A14,$AQ$1,IF(情景分析!$D$6=1,$J14,IF(情景分析!$D$6=2,$E14,IF(情景分析!$D$6=4,IF($C14="银行间",$J14,$L14),$G14)))+AR$2/100,情景分析!$D$7,"",,,,"",)*IF($H14="",1,$H14))</f>
        <v>11976.773076335514</v>
      </c>
      <c r="AS14" s="7">
        <f ca="1">IF($A14="","",[2]!B_CALC_PRICE($A14,$AQ$1,IF(情景分析!$D$6=1,$J14,IF(情景分析!$D$6=2,$E14,IF(情景分析!$D$6=4,IF($C14="银行间",$J14,$L14),$G14)))+AS$2/100,情景分析!$D$7,"",,,,"",)*IF($H14="",1,$H14))</f>
        <v>11995.064624595019</v>
      </c>
      <c r="AT14" s="7">
        <f ca="1">IF($A14="","",[2]!B_CALC_PRICE($A14,$AQ$1,IF(情景分析!$D$6=1,$J14,IF(情景分析!$D$6=2,$E14,IF(情景分析!$D$6=4,IF($C14="银行间",$J14,$L14),$G14)))+AT$2/100,情景分析!$D$7,"",,,,"",)*IF($H14="",1,$H14))</f>
        <v>12031.759569176151</v>
      </c>
      <c r="AU14" s="7">
        <f ca="1">IF($A14="","",[2]!B_CALC_PRICE($A14,$AQ$1,IF(情景分析!$D$6=1,$J14,IF(情景分析!$D$6=2,$E14,IF(情景分析!$D$6=4,IF($C14="银行间",$J14,$L14),$G14)))+AU$2/100,情景分析!$D$7,"",,,,"",)*IF($H14="",1,$H14))</f>
        <v>12068.604275289388</v>
      </c>
      <c r="AV14" s="7">
        <f ca="1">IF($A14="","",[2]!B_CALC_PRICE($A14,$AQ$1,IF(情景分析!$D$6=1,$J14,IF(情景分析!$D$6=2,$E14,IF(情景分析!$D$6=4,IF($C14="银行间",$J14,$L14),$G14)))+AV$2/100,情景分析!$D$7,"",,,,"",)*IF($H14="",1,$H14))</f>
        <v>12087.083026539844</v>
      </c>
      <c r="AW14" s="7">
        <f ca="1">IF($A14="","",[2]!B_CALC_PRICE($A14,$AQ$1,IF(情景分析!$D$6=1,$J14,IF(情景分析!$D$6=2,$E14,IF(情景分析!$D$6=4,IF($C14="银行间",$J14,$L14),$G14)))+AW$2/100,情景分析!$D$7,"",,,,"",)*IF($H14="",1,$H14))</f>
        <v>12105.599503893098</v>
      </c>
    </row>
    <row r="15" spans="1:49" x14ac:dyDescent="0.15">
      <c r="A15" s="20" t="s">
        <v>38</v>
      </c>
      <c r="B15" s="7" t="str">
        <f>IF(A15="","",[2]!b_info_name(A15))</f>
        <v>24晋江产投MTN002</v>
      </c>
      <c r="C15" s="7" t="str">
        <f>[2]!b_info_listedmkt(A15)</f>
        <v>银行间</v>
      </c>
      <c r="D15" s="7">
        <f ca="1">IFERROR(IF(A15="","", [2]!b_dq_avgprice(A15, 情景分析!$D$5, 情景分析!$D$7) * IF($H15="",1,$H15)),0)</f>
        <v>0</v>
      </c>
      <c r="E15" s="7">
        <f ca="1">IF(A15="","", N([2]!b_dq_avgprice(A15,情景分析!$D$5,3)))</f>
        <v>0</v>
      </c>
      <c r="F15" s="29">
        <f ca="1">IF($G15 = "",
"",
IFERROR(
[2]!b_calc_pv(A15, 情景分析!$D$5,$G15, "1", 情景分析!$D$7),
[2]!b_calc_pv(A15, 情景分析!$D$5,$G15, "2", 情景分析!$D$7)
)
)</f>
        <v>76.709464564322715</v>
      </c>
      <c r="G15" s="22">
        <v>20</v>
      </c>
      <c r="H15" s="21">
        <v>120</v>
      </c>
      <c r="I15" s="7">
        <f ca="1">IF(A15="","",IF(情景分析!$D$7=1,[2]!b_anal_net_cnbd(A15,情景分析!$D$5,1),[2]!b_anal_dirty_cnbd(A15,情景分析!$D$5,1))*IF($H15="",1,$H15))</f>
        <v>12032.556</v>
      </c>
      <c r="J15" s="7">
        <f ca="1">IF(A15="","",[2]!b_anal_yield_cnbd(A15,情景分析!$D$5,1))</f>
        <v>1.8238000000000001</v>
      </c>
      <c r="K15" s="29">
        <f ca="1">IF(A15="","",IF(情景分析!$D$7=1,[2]!b_anal_net_csi1(A15,情景分析!$D$5,1),[2]!b_anal_dirty_csi1(A15,情景分析!$D$5,1))*IF($H15="",1,$H15))</f>
        <v>12032.412</v>
      </c>
      <c r="L15" s="29">
        <f ca="1">IF(A15="","",[2]!b_anal_yield_csi1(A15,情景分析!$D$5,1))</f>
        <v>1.8163</v>
      </c>
      <c r="M15" s="29">
        <f t="shared" ca="1" si="4"/>
        <v>12032.556</v>
      </c>
      <c r="N15" s="29">
        <f t="shared" ca="1" si="5"/>
        <v>1.8238000000000001</v>
      </c>
      <c r="O15" s="7">
        <f ca="1">IF($A15="","",[2]!B_CALC_PRICE($A15,$O$1,IF(情景分析!$D$6=1,$J15,IF(情景分析!$D$6=2,$E15,IF(情景分析!$D$6=4,IF($C15="银行间",$J15,$L15),$G15)))+O$2/100,情景分析!$D$7,"",,,,"",)*IF($H15="",1,$H15))</f>
        <v>12042.615589686004</v>
      </c>
      <c r="P15" s="7">
        <f ca="1">IF($A15="","",[2]!B_CALC_PRICE($A15,$O$1,IF(情景分析!$D$6=1,$J15,IF(情景分析!$D$6=2,$E15,IF(情景分析!$D$6=4,IF($C15="银行间",$J15,$L15),$G15)))+P$2/100,情景分析!$D$7,"",,,,"",)*IF($H15="",1,$H15))</f>
        <v>12052.223177942231</v>
      </c>
      <c r="Q15" s="7">
        <f ca="1">IF($A15="","",[2]!B_CALC_PRICE($A15,$O$1,IF(情景分析!$D$6=1,$J15,IF(情景分析!$D$6=2,$E15,IF(情景分析!$D$6=4,IF($C15="银行间",$J15,$L15),$G15)))+Q$2/100,情景分析!$D$7,"",,,,"",)*IF($H15="",1,$H15))</f>
        <v>12061.843149343247</v>
      </c>
      <c r="R15" s="7">
        <f ca="1">IF($A15="","",[2]!B_CALC_PRICE($A15,$O$1,IF(情景分析!$D$6=1,$J15,IF(情景分析!$D$6=2,$E15,IF(情景分析!$D$6=4,IF($C15="银行间",$J15,$L15),$G15)))+R$2/100,情景分析!$D$7,"",,,,"",)*IF($H15="",1,$H15))</f>
        <v>12081.120329897254</v>
      </c>
      <c r="S15" s="7">
        <f ca="1">IF($A15="","",[2]!B_CALC_PRICE($A15,$O$1,IF(情景分析!$D$6=1,$J15,IF(情景分析!$D$6=2,$E15,IF(情景分析!$D$6=4,IF($C15="银行间",$J15,$L15),$G15)))+S$2/100,情景分析!$D$7,"",,,,"",)*IF($H15="",1,$H15))</f>
        <v>12100.447308486016</v>
      </c>
      <c r="T15" s="7">
        <f ca="1">IF($A15="","",[2]!B_CALC_PRICE($A15,$O$1,IF(情景分析!$D$6=1,$J15,IF(情景分析!$D$6=2,$E15,IF(情景分析!$D$6=4,IF($C15="银行间",$J15,$L15),$G15)))+T$2/100,情景分析!$D$7,"",,,,"",)*IF($H15="",1,$H15))</f>
        <v>12110.129527619769</v>
      </c>
      <c r="U15" s="7">
        <f ca="1">IF($A15="","",[2]!B_CALC_PRICE($A15,$O$1,IF(情景分析!$D$6=1,$J15,IF(情景分析!$D$6=2,$E15,IF(情景分析!$D$6=4,IF($C15="银行间",$J15,$L15),$G15)))+U$2/100,情景分析!$D$7,"",,,,"",)*IF($H15="",1,$H15))</f>
        <v>12119.824263055139</v>
      </c>
      <c r="V15" s="7">
        <f ca="1">IF($A15="","",[2]!B_CALC_PRICE($A15,$V$1,IF(情景分析!$D$6=1,$J15,IF(情景分析!$D$6=2,$E15,IF(情景分析!$D$6=4,IF($C15="银行间",$J15,$L15),$G15)))+V$2/100,情景分析!$D$7,"",,,,"",)*IF($H15="",1,$H15))</f>
        <v>12040.867637310808</v>
      </c>
      <c r="W15" s="7">
        <f ca="1">IF($A15="","",[2]!B_CALC_PRICE($A15,$V$1,IF(情景分析!$D$6=1,$J15,IF(情景分析!$D$6=2,$E15,IF(情景分析!$D$6=4,IF($C15="银行间",$J15,$L15),$G15)))+W$2/100,情景分析!$D$7,"",,,,"",)*IF($H15="",1,$H15))</f>
        <v>12050.09573742795</v>
      </c>
      <c r="X15" s="7">
        <f ca="1">IF($A15="","",[2]!B_CALC_PRICE($A15,$V$1,IF(情景分析!$D$6=1,$J15,IF(情景分析!$D$6=2,$E15,IF(情景分析!$D$6=4,IF($C15="银行间",$J15,$L15),$G15)))+X$2/100,情景分析!$D$7,"",,,,"",)*IF($H15="",1,$H15))</f>
        <v>12059.335436234634</v>
      </c>
      <c r="Y15" s="7">
        <f ca="1">IF($A15="","",[2]!B_CALC_PRICE($A15,$V$1,IF(情景分析!$D$6=1,$J15,IF(情景分析!$D$6=2,$E15,IF(情景分析!$D$6=4,IF($C15="银行间",$J15,$L15),$G15)))+Y$2/100,情景分析!$D$7,"",,,,"",)*IF($H15="",1,$H15))</f>
        <v>12077.849711148971</v>
      </c>
      <c r="Z15" s="7">
        <f ca="1">IF($A15="","",[2]!B_CALC_PRICE($A15,$V$1,IF(情景分析!$D$6=1,$J15,IF(情景分析!$D$6=2,$E15,IF(情景分析!$D$6=4,IF($C15="银行间",$J15,$L15),$G15)))+Z$2/100,情景分析!$D$7,"",,,,"",)*IF($H15="",1,$H15))</f>
        <v>12096.410624974391</v>
      </c>
      <c r="AA15" s="7">
        <f ca="1">IF($A15="","",[2]!B_CALC_PRICE($A15,$V$1,IF(情景分析!$D$6=1,$J15,IF(情景分析!$D$6=2,$E15,IF(情景分析!$D$6=4,IF($C15="银行间",$J15,$L15),$G15)))+AA$2/100,情景分析!$D$7,"",,,,"",)*IF($H15="",1,$H15))</f>
        <v>12105.708622591568</v>
      </c>
      <c r="AB15" s="7">
        <f ca="1">IF($A15="","",[2]!B_CALC_PRICE($A15,$V$1,IF(情景分析!$D$6=1,$J15,IF(情景分析!$D$6=2,$E15,IF(情景分析!$D$6=4,IF($C15="银行间",$J15,$L15),$G15)))+AB$2/100,情景分析!$D$7,"",,,,"",)*IF($H15="",1,$H15))</f>
        <v>12115.018341363762</v>
      </c>
      <c r="AC15" s="7">
        <f ca="1">IF($A15="","",[2]!B_CALC_PRICE($A15,$AC$1,IF(情景分析!$D$6=1,$J15,IF(情景分析!$D$6=2,$E15,IF(情景分析!$D$6=4,IF($C15="银行间",$J15,$L15),$G15)))+AC$2/100,情景分析!$D$7,"",,,,"",)*IF($H15="",1,$H15))</f>
        <v>12036.519957711072</v>
      </c>
      <c r="AD15" s="7">
        <f ca="1">IF($A15="","",[2]!B_CALC_PRICE($A15,$AC$1,IF(情景分析!$D$6=1,$J15,IF(情景分析!$D$6=2,$E15,IF(情景分析!$D$6=4,IF($C15="银行间",$J15,$L15),$G15)))+AD$2/100,情景分析!$D$7,"",,,,"",)*IF($H15="",1,$H15))</f>
        <v>12044.77899934454</v>
      </c>
      <c r="AE15" s="7">
        <f ca="1">IF($A15="","",[2]!B_CALC_PRICE($A15,$AC$1,IF(情景分析!$D$6=1,$J15,IF(情景分析!$D$6=2,$E15,IF(情景分析!$D$6=4,IF($C15="银行间",$J15,$L15),$G15)))+AE$2/100,情景分析!$D$7,"",,,,"",)*IF($H15="",1,$H15))</f>
        <v>12053.047750870468</v>
      </c>
      <c r="AF15" s="7">
        <f ca="1">IF($A15="","",[2]!B_CALC_PRICE($A15,$AC$1,IF(情景分析!$D$6=1,$J15,IF(情景分析!$D$6=2,$E15,IF(情景分析!$D$6=4,IF($C15="银行间",$J15,$L15),$G15)))+AF$2/100,情景分析!$D$7,"",,,,"",)*IF($H15="",1,$H15))</f>
        <v>12069.614448434675</v>
      </c>
      <c r="AG15" s="7">
        <f ca="1">IF($A15="","",[2]!B_CALC_PRICE($A15,$AC$1,IF(情景分析!$D$6=1,$J15,IF(情景分析!$D$6=2,$E15,IF(情景分析!$D$6=4,IF($C15="银行间",$J15,$L15),$G15)))+AG$2/100,情景分析!$D$7,"",,,,"",)*IF($H15="",1,$H15))</f>
        <v>12086.22018042424</v>
      </c>
      <c r="AH15" s="7">
        <f ca="1">IF($A15="","",[2]!B_CALC_PRICE($A15,$AC$1,IF(情景分析!$D$6=1,$J15,IF(情景分析!$D$6=2,$E15,IF(情景分析!$D$6=4,IF($C15="银行间",$J15,$L15),$G15)))+AH$2/100,情景分析!$D$7,"",,,,"",)*IF($H15="",1,$H15))</f>
        <v>12094.537725113842</v>
      </c>
      <c r="AI15" s="7">
        <f ca="1">IF($A15="","",[2]!B_CALC_PRICE($A15,$AC$1,IF(情景分析!$D$6=1,$J15,IF(情景分析!$D$6=2,$E15,IF(情景分析!$D$6=4,IF($C15="银行间",$J15,$L15),$G15)))+AI$2/100,情景分析!$D$7,"",,,,"",)*IF($H15="",1,$H15))</f>
        <v>12102.865077422797</v>
      </c>
      <c r="AJ15" s="7">
        <f ca="1">IF($A15="","",[2]!B_CALC_PRICE($A15,$AJ$1,IF(情景分析!$D$6=1,$J15,IF(情景分析!$D$6=2,$E15,IF(情景分析!$D$6=4,IF($C15="银行间",$J15,$L15),$G15)))+AJ$2/100,情景分析!$D$7,"",,,,"",)*IF($H15="",1,$H15))</f>
        <v>12036.519957711072</v>
      </c>
      <c r="AK15" s="7">
        <f ca="1">IF($A15="","",[2]!B_CALC_PRICE($A15,$AJ$1,IF(情景分析!$D$6=1,$J15,IF(情景分析!$D$6=2,$E15,IF(情景分析!$D$6=4,IF($C15="银行间",$J15,$L15),$G15)))+AK$2/100,情景分析!$D$7,"",,,,"",)*IF($H15="",1,$H15))</f>
        <v>12044.77899934454</v>
      </c>
      <c r="AL15" s="7">
        <f ca="1">IF($A15="","",[2]!B_CALC_PRICE($A15,$AJ$1,IF(情景分析!$D$6=1,$J15,IF(情景分析!$D$6=2,$E15,IF(情景分析!$D$6=4,IF($C15="银行间",$J15,$L15),$G15)))+AL$2/100,情景分析!$D$7,"",,,,"",)*IF($H15="",1,$H15))</f>
        <v>12053.047750870468</v>
      </c>
      <c r="AM15" s="7">
        <f ca="1">IF($A15="","",[2]!B_CALC_PRICE($A15,$AJ$1,IF(情景分析!$D$6=1,$J15,IF(情景分析!$D$6=2,$E15,IF(情景分析!$D$6=4,IF($C15="银行间",$J15,$L15),$G15)))+AM$2/100,情景分析!$D$7,"",,,,"",)*IF($H15="",1,$H15))</f>
        <v>12069.614448434675</v>
      </c>
      <c r="AN15" s="7">
        <f ca="1">IF($A15="","",[2]!B_CALC_PRICE($A15,$AJ$1,IF(情景分析!$D$6=1,$J15,IF(情景分析!$D$6=2,$E15,IF(情景分析!$D$6=4,IF($C15="银行间",$J15,$L15),$G15)))+AN$2/100,情景分析!$D$7,"",,,,"",)*IF($H15="",1,$H15))</f>
        <v>12086.22018042424</v>
      </c>
      <c r="AO15" s="7">
        <f ca="1">IF($A15="","",[2]!B_CALC_PRICE($A15,$AJ$1,IF(情景分析!$D$6=1,$J15,IF(情景分析!$D$6=2,$E15,IF(情景分析!$D$6=4,IF($C15="银行间",$J15,$L15),$G15)))+AO$2/100,情景分析!$D$7,"",,,,"",)*IF($H15="",1,$H15))</f>
        <v>12094.537725113842</v>
      </c>
      <c r="AP15" s="7">
        <f ca="1">IF($A15="","",[2]!B_CALC_PRICE($A15,$AJ$1,IF(情景分析!$D$6=1,$J15,IF(情景分析!$D$6=2,$E15,IF(情景分析!$D$6=4,IF($C15="银行间",$J15,$L15),$G15)))+AP$2/100,情景分析!$D$7,"",,,,"",)*IF($H15="",1,$H15))</f>
        <v>12102.865077422797</v>
      </c>
      <c r="AQ15" s="7">
        <f ca="1">IF($A15="","",[2]!B_CALC_PRICE($A15,$AQ$1,IF(情景分析!$D$6=1,$J15,IF(情景分析!$D$6=2,$E15,IF(情景分析!$D$6=4,IF($C15="银行间",$J15,$L15),$G15)))+AQ$2/100,情景分析!$D$7,"",,,,"",)*IF($H15="",1,$H15))</f>
        <v>12016.322309612531</v>
      </c>
      <c r="AR15" s="7">
        <f ca="1">IF($A15="","",[2]!B_CALC_PRICE($A15,$AQ$1,IF(情景分析!$D$6=1,$J15,IF(情景分析!$D$6=2,$E15,IF(情景分析!$D$6=4,IF($C15="银行间",$J15,$L15),$G15)))+AR$2/100,情景分析!$D$7,"",,,,"",)*IF($H15="",1,$H15))</f>
        <v>12020.236349474453</v>
      </c>
      <c r="AS15" s="7">
        <f ca="1">IF($A15="","",[2]!B_CALC_PRICE($A15,$AQ$1,IF(情景分析!$D$6=1,$J15,IF(情景分析!$D$6=2,$E15,IF(情景分析!$D$6=4,IF($C15="银行间",$J15,$L15),$G15)))+AS$2/100,情景分析!$D$7,"",,,,"",)*IF($H15="",1,$H15))</f>
        <v>12024.15292034527</v>
      </c>
      <c r="AT15" s="7">
        <f ca="1">IF($A15="","",[2]!B_CALC_PRICE($A15,$AQ$1,IF(情景分析!$D$6=1,$J15,IF(情景分析!$D$6=2,$E15,IF(情景分析!$D$6=4,IF($C15="银行间",$J15,$L15),$G15)))+AT$2/100,情景分析!$D$7,"",,,,"",)*IF($H15="",1,$H15))</f>
        <v>12031.993664939986</v>
      </c>
      <c r="AU15" s="7">
        <f ca="1">IF($A15="","",[2]!B_CALC_PRICE($A15,$AQ$1,IF(情景分析!$D$6=1,$J15,IF(情景分析!$D$6=2,$E15,IF(情景分析!$D$6=4,IF($C15="银行间",$J15,$L15),$G15)))+AU$2/100,情景分析!$D$7,"",,,,"",)*IF($H15="",1,$H15))</f>
        <v>12039.84456308128</v>
      </c>
      <c r="AV15" s="7">
        <f ca="1">IF($A15="","",[2]!B_CALC_PRICE($A15,$AQ$1,IF(情景分析!$D$6=1,$J15,IF(情景分析!$D$6=2,$E15,IF(情景分析!$D$6=4,IF($C15="银行间",$J15,$L15),$G15)))+AV$2/100,情景分析!$D$7,"",,,,"",)*IF($H15="",1,$H15))</f>
        <v>12043.773825897282</v>
      </c>
      <c r="AW15" s="7">
        <f ca="1">IF($A15="","",[2]!B_CALC_PRICE($A15,$AQ$1,IF(情景分析!$D$6=1,$J15,IF(情景分析!$D$6=2,$E15,IF(情景分析!$D$6=4,IF($C15="银行间",$J15,$L15),$G15)))+AW$2/100,情景分析!$D$7,"",,,,"",)*IF($H15="",1,$H15))</f>
        <v>12047.70563450478</v>
      </c>
    </row>
    <row r="16" spans="1:49" x14ac:dyDescent="0.15">
      <c r="A16" s="20" t="s">
        <v>40</v>
      </c>
      <c r="B16" s="7" t="str">
        <f>IF(A16="","",[2]!b_info_name(A16))</f>
        <v>25泉州台商PPN001</v>
      </c>
      <c r="C16" s="7" t="str">
        <f>[2]!b_info_listedmkt(A16)</f>
        <v>银行间</v>
      </c>
      <c r="D16" s="7">
        <f ca="1">IFERROR(IF(A16="","", [2]!b_dq_avgprice(A16, 情景分析!$D$5, 情景分析!$D$7) * IF($H16="",1,$H16)),0)</f>
        <v>0</v>
      </c>
      <c r="E16" s="7">
        <f ca="1">IF(A16="","", N([2]!b_dq_avgprice(A16,情景分析!$D$5,3)))</f>
        <v>0</v>
      </c>
      <c r="F16" s="29">
        <f ca="1">IF($G16 = "",
"",
IFERROR(
[2]!b_calc_pv(A16, 情景分析!$D$5,$G16, "1", 情景分析!$D$7),
[2]!b_calc_pv(A16, 情景分析!$D$5,$G16, "2", 情景分析!$D$7)
)
)</f>
        <v>52.533518901582653</v>
      </c>
      <c r="G16" s="22">
        <v>20</v>
      </c>
      <c r="H16" s="21">
        <v>120</v>
      </c>
      <c r="I16" s="7">
        <f ca="1">IF(A16="","",IF(情景分析!$D$7=1,[2]!b_anal_net_cnbd(A16,情景分析!$D$5,1),[2]!b_anal_dirty_cnbd(A16,情景分析!$D$5,1))*IF($H16="",1,$H16))</f>
        <v>12022.019999999999</v>
      </c>
      <c r="J16" s="7">
        <f ca="1">IF(A16="","",[2]!b_anal_yield_cnbd(A16,情景分析!$D$5,1))</f>
        <v>2.2121</v>
      </c>
      <c r="K16" s="29">
        <f ca="1">IF(A16="","",IF(情景分析!$D$7=1,[2]!b_anal_net_csi1(A16,情景分析!$D$5,1),[2]!b_anal_dirty_csi1(A16,情景分析!$D$5,1))*IF($H16="",1,$H16))</f>
        <v>12026.316000000001</v>
      </c>
      <c r="L16" s="29">
        <f ca="1">IF(A16="","",[2]!b_anal_yield_csi1(A16,情景分析!$D$5,1))</f>
        <v>2.1924000000000001</v>
      </c>
      <c r="M16" s="29">
        <f t="shared" ca="1" si="4"/>
        <v>12022.019999999999</v>
      </c>
      <c r="N16" s="29">
        <f t="shared" ca="1" si="5"/>
        <v>2.2121</v>
      </c>
      <c r="O16" s="7">
        <f ca="1">IF($A16="","",[2]!B_CALC_PRICE($A16,$O$1,IF(情景分析!$D$6=1,$J16,IF(情景分析!$D$6=2,$E16,IF(情景分析!$D$6=4,IF($C16="银行间",$J16,$L16),$G16)))+O$2/100,情景分析!$D$7,"",,,,"",)*IF($H16="",1,$H16))</f>
        <v>11946.617865276326</v>
      </c>
      <c r="P16" s="7">
        <f ca="1">IF($A16="","",[2]!B_CALC_PRICE($A16,$O$1,IF(情景分析!$D$6=1,$J16,IF(情景分析!$D$6=2,$E16,IF(情景分析!$D$6=4,IF($C16="银行间",$J16,$L16),$G16)))+P$2/100,情景分析!$D$7,"",,,,"",)*IF($H16="",1,$H16))</f>
        <v>11970.183461861321</v>
      </c>
      <c r="Q16" s="7">
        <f ca="1">IF($A16="","",[2]!B_CALC_PRICE($A16,$O$1,IF(情景分析!$D$6=1,$J16,IF(情景分析!$D$6=2,$E16,IF(情景分析!$D$6=4,IF($C16="银行间",$J16,$L16),$G16)))+Q$2/100,情景分析!$D$7,"",,,,"",)*IF($H16="",1,$H16))</f>
        <v>11993.808027151939</v>
      </c>
      <c r="R16" s="7">
        <f ca="1">IF($A16="","",[2]!B_CALC_PRICE($A16,$O$1,IF(情景分析!$D$6=1,$J16,IF(情景分析!$D$6=2,$E16,IF(情景分析!$D$6=4,IF($C16="银行间",$J16,$L16),$G16)))+R$2/100,情景分析!$D$7,"",,,,"",)*IF($H16="",1,$H16))</f>
        <v>12041.234773476976</v>
      </c>
      <c r="S16" s="7">
        <f ca="1">IF($A16="","",[2]!B_CALC_PRICE($A16,$O$1,IF(情景分析!$D$6=1,$J16,IF(情景分析!$D$6=2,$E16,IF(情景分析!$D$6=4,IF($C16="银行间",$J16,$L16),$G16)))+S$2/100,情景分析!$D$7,"",,,,"",)*IF($H16="",1,$H16))</f>
        <v>12088.899529728449</v>
      </c>
      <c r="T16" s="7">
        <f ca="1">IF($A16="","",[2]!B_CALC_PRICE($A16,$O$1,IF(情景分析!$D$6=1,$J16,IF(情景分析!$D$6=2,$E16,IF(情景分析!$D$6=4,IF($C16="银行间",$J16,$L16),$G16)))+T$2/100,情景分析!$D$7,"",,,,"",)*IF($H16="",1,$H16))</f>
        <v>12112.82160977388</v>
      </c>
      <c r="U16" s="7">
        <f ca="1">IF($A16="","",[2]!B_CALC_PRICE($A16,$O$1,IF(情景分析!$D$6=1,$J16,IF(情景分析!$D$6=2,$E16,IF(情景分析!$D$6=4,IF($C16="银行间",$J16,$L16),$G16)))+U$2/100,情景分析!$D$7,"",,,,"",)*IF($H16="",1,$H16))</f>
        <v>12136.803731396294</v>
      </c>
      <c r="V16" s="7">
        <f ca="1">IF($A16="","",[2]!B_CALC_PRICE($A16,$V$1,IF(情景分析!$D$6=1,$J16,IF(情景分析!$D$6=2,$E16,IF(情景分析!$D$6=4,IF($C16="银行间",$J16,$L16),$G16)))+V$2/100,情景分析!$D$7,"",,,,"",)*IF($H16="",1,$H16))</f>
        <v>11947.562096644357</v>
      </c>
      <c r="W16" s="7">
        <f ca="1">IF($A16="","",[2]!B_CALC_PRICE($A16,$V$1,IF(情景分析!$D$6=1,$J16,IF(情景分析!$D$6=2,$E16,IF(情景分析!$D$6=4,IF($C16="银行间",$J16,$L16),$G16)))+W$2/100,情景分析!$D$7,"",,,,"",)*IF($H16="",1,$H16))</f>
        <v>11970.772421524049</v>
      </c>
      <c r="X16" s="7">
        <f ca="1">IF($A16="","",[2]!B_CALC_PRICE($A16,$V$1,IF(情景分析!$D$6=1,$J16,IF(情景分析!$D$6=2,$E16,IF(情景分析!$D$6=4,IF($C16="银行间",$J16,$L16),$G16)))+X$2/100,情景分析!$D$7,"",,,,"",)*IF($H16="",1,$H16))</f>
        <v>11994.040108682764</v>
      </c>
      <c r="Y16" s="7">
        <f ca="1">IF($A16="","",[2]!B_CALC_PRICE($A16,$V$1,IF(情景分析!$D$6=1,$J16,IF(情景分析!$D$6=2,$E16,IF(情景分析!$D$6=4,IF($C16="银行间",$J16,$L16),$G16)))+Y$2/100,情景分析!$D$7,"",,,,"",)*IF($H16="",1,$H16))</f>
        <v>12040.748252870222</v>
      </c>
      <c r="Z16" s="7">
        <f ca="1">IF($A16="","",[2]!B_CALC_PRICE($A16,$V$1,IF(情景分析!$D$6=1,$J16,IF(情景分析!$D$6=2,$E16,IF(情景分析!$D$6=4,IF($C16="银行间",$J16,$L16),$G16)))+Z$2/100,情景分析!$D$7,"",,,,"",)*IF($H16="",1,$H16))</f>
        <v>12087.687901208021</v>
      </c>
      <c r="AA16" s="7">
        <f ca="1">IF($A16="","",[2]!B_CALC_PRICE($A16,$V$1,IF(情景分析!$D$6=1,$J16,IF(情景分析!$D$6=2,$E16,IF(情景分析!$D$6=4,IF($C16="银行间",$J16,$L16),$G16)))+AA$2/100,情景分析!$D$7,"",,,,"",)*IF($H16="",1,$H16))</f>
        <v>12111.244970792819</v>
      </c>
      <c r="AB16" s="7">
        <f ca="1">IF($A16="","",[2]!B_CALC_PRICE($A16,$V$1,IF(情景分析!$D$6=1,$J16,IF(情景分析!$D$6=2,$E16,IF(情景分析!$D$6=4,IF($C16="银行间",$J16,$L16),$G16)))+AB$2/100,情景分析!$D$7,"",,,,"",)*IF($H16="",1,$H16))</f>
        <v>12134.860435246957</v>
      </c>
      <c r="AC16" s="7">
        <f ca="1">IF($A16="","",[2]!B_CALC_PRICE($A16,$AC$1,IF(情景分析!$D$6=1,$J16,IF(情景分析!$D$6=2,$E16,IF(情景分析!$D$6=4,IF($C16="银行间",$J16,$L16),$G16)))+AC$2/100,情景分析!$D$7,"",,,,"",)*IF($H16="",1,$H16))</f>
        <v>11949.754256597018</v>
      </c>
      <c r="AD16" s="7">
        <f ca="1">IF($A16="","",[2]!B_CALC_PRICE($A16,$AC$1,IF(情景分析!$D$6=1,$J16,IF(情景分析!$D$6=2,$E16,IF(情景分析!$D$6=4,IF($C16="银行间",$J16,$L16),$G16)))+AD$2/100,情景分析!$D$7,"",,,,"",)*IF($H16="",1,$H16))</f>
        <v>11972.063397458987</v>
      </c>
      <c r="AE16" s="7">
        <f ca="1">IF($A16="","",[2]!B_CALC_PRICE($A16,$AC$1,IF(情景分析!$D$6=1,$J16,IF(情景分析!$D$6=2,$E16,IF(情景分析!$D$6=4,IF($C16="银行间",$J16,$L16),$G16)))+AE$2/100,情景分析!$D$7,"",,,,"",)*IF($H16="",1,$H16))</f>
        <v>11994.425911854569</v>
      </c>
      <c r="AF16" s="7">
        <f ca="1">IF($A16="","",[2]!B_CALC_PRICE($A16,$AC$1,IF(情景分析!$D$6=1,$J16,IF(情景分析!$D$6=2,$E16,IF(情景分析!$D$6=4,IF($C16="银行间",$J16,$L16),$G16)))+AF$2/100,情景分析!$D$7,"",,,,"",)*IF($H16="",1,$H16))</f>
        <v>12039.311679581899</v>
      </c>
      <c r="AG16" s="7">
        <f ca="1">IF($A16="","",[2]!B_CALC_PRICE($A16,$AC$1,IF(情景分析!$D$6=1,$J16,IF(情景分析!$D$6=2,$E16,IF(情景分析!$D$6=4,IF($C16="银行间",$J16,$L16),$G16)))+AG$2/100,情景分析!$D$7,"",,,,"",)*IF($H16="",1,$H16))</f>
        <v>12084.41280169729</v>
      </c>
      <c r="AH16" s="7">
        <f ca="1">IF($A16="","",[2]!B_CALC_PRICE($A16,$AC$1,IF(情景分析!$D$6=1,$J16,IF(情景分析!$D$6=2,$E16,IF(情景分析!$D$6=4,IF($C16="银行间",$J16,$L16),$G16)))+AH$2/100,情景分析!$D$7,"",,,,"",)*IF($H16="",1,$H16))</f>
        <v>12107.044511056525</v>
      </c>
      <c r="AI16" s="7">
        <f ca="1">IF($A16="","",[2]!B_CALC_PRICE($A16,$AC$1,IF(情景分析!$D$6=1,$J16,IF(情景分析!$D$6=2,$E16,IF(情景分析!$D$6=4,IF($C16="银行间",$J16,$L16),$G16)))+AI$2/100,情景分析!$D$7,"",,,,"",)*IF($H16="",1,$H16))</f>
        <v>12129.730528561009</v>
      </c>
      <c r="AJ16" s="7">
        <f ca="1">IF($A16="","",[2]!B_CALC_PRICE($A16,$AJ$1,IF(情景分析!$D$6=1,$J16,IF(情景分析!$D$6=2,$E16,IF(情景分析!$D$6=4,IF($C16="银行间",$J16,$L16),$G16)))+AJ$2/100,情景分析!$D$7,"",,,,"",)*IF($H16="",1,$H16))</f>
        <v>11949.754256597018</v>
      </c>
      <c r="AK16" s="7">
        <f ca="1">IF($A16="","",[2]!B_CALC_PRICE($A16,$AJ$1,IF(情景分析!$D$6=1,$J16,IF(情景分析!$D$6=2,$E16,IF(情景分析!$D$6=4,IF($C16="银行间",$J16,$L16),$G16)))+AK$2/100,情景分析!$D$7,"",,,,"",)*IF($H16="",1,$H16))</f>
        <v>11972.063397458987</v>
      </c>
      <c r="AL16" s="7">
        <f ca="1">IF($A16="","",[2]!B_CALC_PRICE($A16,$AJ$1,IF(情景分析!$D$6=1,$J16,IF(情景分析!$D$6=2,$E16,IF(情景分析!$D$6=4,IF($C16="银行间",$J16,$L16),$G16)))+AL$2/100,情景分析!$D$7,"",,,,"",)*IF($H16="",1,$H16))</f>
        <v>11994.425911854569</v>
      </c>
      <c r="AM16" s="7">
        <f ca="1">IF($A16="","",[2]!B_CALC_PRICE($A16,$AJ$1,IF(情景分析!$D$6=1,$J16,IF(情景分析!$D$6=2,$E16,IF(情景分析!$D$6=4,IF($C16="银行间",$J16,$L16),$G16)))+AM$2/100,情景分析!$D$7,"",,,,"",)*IF($H16="",1,$H16))</f>
        <v>12039.311679581899</v>
      </c>
      <c r="AN16" s="7">
        <f ca="1">IF($A16="","",[2]!B_CALC_PRICE($A16,$AJ$1,IF(情景分析!$D$6=1,$J16,IF(情景分析!$D$6=2,$E16,IF(情景分析!$D$6=4,IF($C16="银行间",$J16,$L16),$G16)))+AN$2/100,情景分析!$D$7,"",,,,"",)*IF($H16="",1,$H16))</f>
        <v>12084.41280169729</v>
      </c>
      <c r="AO16" s="7">
        <f ca="1">IF($A16="","",[2]!B_CALC_PRICE($A16,$AJ$1,IF(情景分析!$D$6=1,$J16,IF(情景分析!$D$6=2,$E16,IF(情景分析!$D$6=4,IF($C16="银行间",$J16,$L16),$G16)))+AO$2/100,情景分析!$D$7,"",,,,"",)*IF($H16="",1,$H16))</f>
        <v>12107.044511056525</v>
      </c>
      <c r="AP16" s="7">
        <f ca="1">IF($A16="","",[2]!B_CALC_PRICE($A16,$AJ$1,IF(情景分析!$D$6=1,$J16,IF(情景分析!$D$6=2,$E16,IF(情景分析!$D$6=4,IF($C16="银行间",$J16,$L16),$G16)))+AP$2/100,情景分析!$D$7,"",,,,"",)*IF($H16="",1,$H16))</f>
        <v>12129.730528561009</v>
      </c>
      <c r="AQ16" s="7">
        <f ca="1">IF($A16="","",[2]!B_CALC_PRICE($A16,$AQ$1,IF(情景分析!$D$6=1,$J16,IF(情景分析!$D$6=2,$E16,IF(情景分析!$D$6=4,IF($C16="银行间",$J16,$L16),$G16)))+AQ$2/100,情景分析!$D$7,"",,,,"",)*IF($H16="",1,$H16))</f>
        <v>11958.518685177811</v>
      </c>
      <c r="AR16" s="7">
        <f ca="1">IF($A16="","",[2]!B_CALC_PRICE($A16,$AQ$1,IF(情景分析!$D$6=1,$J16,IF(情景分析!$D$6=2,$E16,IF(情景分析!$D$6=4,IF($C16="银行间",$J16,$L16),$G16)))+AR$2/100,情景分析!$D$7,"",,,,"",)*IF($H16="",1,$H16))</f>
        <v>11976.773076335514</v>
      </c>
      <c r="AS16" s="7">
        <f ca="1">IF($A16="","",[2]!B_CALC_PRICE($A16,$AQ$1,IF(情景分析!$D$6=1,$J16,IF(情景分析!$D$6=2,$E16,IF(情景分析!$D$6=4,IF($C16="银行间",$J16,$L16),$G16)))+AS$2/100,情景分析!$D$7,"",,,,"",)*IF($H16="",1,$H16))</f>
        <v>11995.064624595019</v>
      </c>
      <c r="AT16" s="7">
        <f ca="1">IF($A16="","",[2]!B_CALC_PRICE($A16,$AQ$1,IF(情景分析!$D$6=1,$J16,IF(情景分析!$D$6=2,$E16,IF(情景分析!$D$6=4,IF($C16="银行间",$J16,$L16),$G16)))+AT$2/100,情景分析!$D$7,"",,,,"",)*IF($H16="",1,$H16))</f>
        <v>12031.759569176151</v>
      </c>
      <c r="AU16" s="7">
        <f ca="1">IF($A16="","",[2]!B_CALC_PRICE($A16,$AQ$1,IF(情景分析!$D$6=1,$J16,IF(情景分析!$D$6=2,$E16,IF(情景分析!$D$6=4,IF($C16="银行间",$J16,$L16),$G16)))+AU$2/100,情景分析!$D$7,"",,,,"",)*IF($H16="",1,$H16))</f>
        <v>12068.604275289388</v>
      </c>
      <c r="AV16" s="7">
        <f ca="1">IF($A16="","",[2]!B_CALC_PRICE($A16,$AQ$1,IF(情景分析!$D$6=1,$J16,IF(情景分析!$D$6=2,$E16,IF(情景分析!$D$6=4,IF($C16="银行间",$J16,$L16),$G16)))+AV$2/100,情景分析!$D$7,"",,,,"",)*IF($H16="",1,$H16))</f>
        <v>12087.083026539844</v>
      </c>
      <c r="AW16" s="7">
        <f ca="1">IF($A16="","",[2]!B_CALC_PRICE($A16,$AQ$1,IF(情景分析!$D$6=1,$J16,IF(情景分析!$D$6=2,$E16,IF(情景分析!$D$6=4,IF($C16="银行间",$J16,$L16),$G16)))+AW$2/100,情景分析!$D$7,"",,,,"",)*IF($H16="",1,$H16))</f>
        <v>12105.599503893098</v>
      </c>
    </row>
    <row r="17" spans="1:49" x14ac:dyDescent="0.15">
      <c r="A17" s="20" t="s">
        <v>36</v>
      </c>
      <c r="B17" s="7" t="str">
        <f>IF(A17="","",[2]!b_info_name(A17))</f>
        <v>23晋江建控PPN002</v>
      </c>
      <c r="C17" s="7" t="str">
        <f>[2]!b_info_listedmkt(A17)</f>
        <v>银行间</v>
      </c>
      <c r="D17" s="7">
        <f ca="1">IFERROR(IF(A17="","", [2]!b_dq_avgprice(A17, 情景分析!$D$5, 情景分析!$D$7) * IF($H17="",1,$H17)),0)</f>
        <v>0</v>
      </c>
      <c r="E17" s="7">
        <f ca="1">IF(A17="","", N([2]!b_dq_avgprice(A17,情景分析!$D$5,3)))</f>
        <v>0</v>
      </c>
      <c r="F17" s="29">
        <f ca="1">IF($G17 = "",
"",
IFERROR(
[2]!b_calc_pv(A17, 情景分析!$D$5,$G17, "1", 情景分析!$D$7),
[2]!b_calc_pv(A17, 情景分析!$D$5,$G17, "2", 情景分析!$D$7)
)
)</f>
        <v>67.522095936224076</v>
      </c>
      <c r="G17" s="22">
        <v>20</v>
      </c>
      <c r="H17" s="21">
        <v>120</v>
      </c>
      <c r="I17" s="7">
        <f ca="1">IF(A17="","",IF(情景分析!$D$7=1,[2]!b_anal_net_cnbd(A17,情景分析!$D$5,1),[2]!b_anal_dirty_cnbd(A17,情景分析!$D$5,1))*IF($H17="",1,$H17))</f>
        <v>12172.980000000001</v>
      </c>
      <c r="J17" s="7">
        <f ca="1">IF(A17="","",[2]!b_anal_yield_cnbd(A17,情景分析!$D$5,1))</f>
        <v>1.8454999999999999</v>
      </c>
      <c r="K17" s="29">
        <f ca="1">IF(A17="","",IF(情景分析!$D$7=1,[2]!b_anal_net_csi1(A17,情景分析!$D$5,1),[2]!b_anal_dirty_csi1(A17,情景分析!$D$5,1))*IF($H17="",1,$H17))</f>
        <v>12175.896000000001</v>
      </c>
      <c r="L17" s="29">
        <f ca="1">IF(A17="","",[2]!b_anal_yield_csi1(A17,情景分析!$D$5,1))</f>
        <v>1.8019000000000001</v>
      </c>
      <c r="M17" s="29">
        <f t="shared" ca="1" si="4"/>
        <v>12172.980000000001</v>
      </c>
      <c r="N17" s="29">
        <f t="shared" ca="1" si="5"/>
        <v>1.8454999999999999</v>
      </c>
      <c r="O17" s="7">
        <f ca="1">IF($A17="","",[2]!B_CALC_PRICE($A17,$O$1,IF(情景分析!$D$6=1,$J17,IF(情景分析!$D$6=2,$E17,IF(情景分析!$D$6=4,IF($C17="银行间",$J17,$L17),$G17)))+O$2/100,情景分析!$D$7,"",,,,"",)*IF($H17="",1,$H17))</f>
        <v>12532.386222249292</v>
      </c>
      <c r="P17" s="7">
        <f ca="1">IF($A17="","",[2]!B_CALC_PRICE($A17,$O$1,IF(情景分析!$D$6=1,$J17,IF(情景分析!$D$6=2,$E17,IF(情景分析!$D$6=4,IF($C17="银行间",$J17,$L17),$G17)))+P$2/100,情景分析!$D$7,"",,,,"",)*IF($H17="",1,$H17))</f>
        <v>12548.830755507764</v>
      </c>
      <c r="Q17" s="7">
        <f ca="1">IF($A17="","",[2]!B_CALC_PRICE($A17,$O$1,IF(情景分析!$D$6=1,$J17,IF(情景分析!$D$6=2,$E17,IF(情景分析!$D$6=4,IF($C17="银行间",$J17,$L17),$G17)))+Q$2/100,情景分析!$D$7,"",,,,"",)*IF($H17="",1,$H17))</f>
        <v>12565.305254498771</v>
      </c>
      <c r="R17" s="7">
        <f ca="1">IF($A17="","",[2]!B_CALC_PRICE($A17,$O$1,IF(情景分析!$D$6=1,$J17,IF(情景分析!$D$6=2,$E17,IF(情景分析!$D$6=4,IF($C17="银行间",$J17,$L17),$G17)))+R$2/100,情景分析!$D$7,"",,,,"",)*IF($H17="",1,$H17))</f>
        <v>12598.344428199127</v>
      </c>
      <c r="S17" s="7">
        <f ca="1">IF($A17="","",[2]!B_CALC_PRICE($A17,$O$1,IF(情景分析!$D$6=1,$J17,IF(情景分析!$D$6=2,$E17,IF(情景分析!$D$6=4,IF($C17="银行间",$J17,$L17),$G17)))+S$2/100,情景分析!$D$7,"",,,,"",)*IF($H17="",1,$H17))</f>
        <v>12631.504302356429</v>
      </c>
      <c r="T17" s="7">
        <f ca="1">IF($A17="","",[2]!B_CALC_PRICE($A17,$O$1,IF(情景分析!$D$6=1,$J17,IF(情景分析!$D$6=2,$E17,IF(情景分析!$D$6=4,IF($C17="银行间",$J17,$L17),$G17)))+T$2/100,情景分析!$D$7,"",,,,"",)*IF($H17="",1,$H17))</f>
        <v>12648.12967765879</v>
      </c>
      <c r="U17" s="7">
        <f ca="1">IF($A17="","",[2]!B_CALC_PRICE($A17,$O$1,IF(情景分析!$D$6=1,$J17,IF(情景分析!$D$6=2,$E17,IF(情景分析!$D$6=4,IF($C17="银行间",$J17,$L17),$G17)))+U$2/100,情景分析!$D$7,"",,,,"",)*IF($H17="",1,$H17))</f>
        <v>12664.785439134801</v>
      </c>
      <c r="V17" s="7">
        <f ca="1">IF($A17="","",[2]!B_CALC_PRICE($A17,$V$1,IF(情景分析!$D$6=1,$J17,IF(情景分析!$D$6=2,$E17,IF(情景分析!$D$6=4,IF($C17="银行间",$J17,$L17),$G17)))+V$2/100,情景分析!$D$7,"",,,,"",)*IF($H17="",1,$H17))</f>
        <v>12519.875834565575</v>
      </c>
      <c r="W17" s="7">
        <f ca="1">IF($A17="","",[2]!B_CALC_PRICE($A17,$V$1,IF(情景分析!$D$6=1,$J17,IF(情景分析!$D$6=2,$E17,IF(情景分析!$D$6=4,IF($C17="银行间",$J17,$L17),$G17)))+W$2/100,情景分析!$D$7,"",,,,"",)*IF($H17="",1,$H17))</f>
        <v>12535.933838806721</v>
      </c>
      <c r="X17" s="7">
        <f ca="1">IF($A17="","",[2]!B_CALC_PRICE($A17,$V$1,IF(情景分析!$D$6=1,$J17,IF(情景分析!$D$6=2,$E17,IF(情景分析!$D$6=4,IF($C17="银行间",$J17,$L17),$G17)))+X$2/100,情景分析!$D$7,"",,,,"",)*IF($H17="",1,$H17))</f>
        <v>12552.02059816066</v>
      </c>
      <c r="Y17" s="7">
        <f ca="1">IF($A17="","",[2]!B_CALC_PRICE($A17,$V$1,IF(情景分析!$D$6=1,$J17,IF(情景分析!$D$6=2,$E17,IF(情景分析!$D$6=4,IF($C17="银行间",$J17,$L17),$G17)))+Y$2/100,情景分析!$D$7,"",,,,"",)*IF($H17="",1,$H17))</f>
        <v>12584.280645816154</v>
      </c>
      <c r="Z17" s="7">
        <f ca="1">IF($A17="","",[2]!B_CALC_PRICE($A17,$V$1,IF(情景分析!$D$6=1,$J17,IF(情景分析!$D$6=2,$E17,IF(情景分析!$D$6=4,IF($C17="银行间",$J17,$L17),$G17)))+Z$2/100,情景分析!$D$7,"",,,,"",)*IF($H17="",1,$H17))</f>
        <v>12616.656506588832</v>
      </c>
      <c r="AA17" s="7">
        <f ca="1">IF($A17="","",[2]!B_CALC_PRICE($A17,$V$1,IF(情景分析!$D$6=1,$J17,IF(情景分析!$D$6=2,$E17,IF(情景分析!$D$6=4,IF($C17="银行间",$J17,$L17),$G17)))+AA$2/100,情景分析!$D$7,"",,,,"",)*IF($H17="",1,$H17))</f>
        <v>12632.888033031813</v>
      </c>
      <c r="AB17" s="7">
        <f ca="1">IF($A17="","",[2]!B_CALC_PRICE($A17,$V$1,IF(情景分析!$D$6=1,$J17,IF(情景分析!$D$6=2,$E17,IF(情景分析!$D$6=4,IF($C17="银行间",$J17,$L17),$G17)))+AB$2/100,情景分析!$D$7,"",,,,"",)*IF($H17="",1,$H17))</f>
        <v>12649.1487124904</v>
      </c>
      <c r="AC17" s="7">
        <f ca="1">IF($A17="","",[2]!B_CALC_PRICE($A17,$AC$1,IF(情景分析!$D$6=1,$J17,IF(情景分析!$D$6=2,$E17,IF(情景分析!$D$6=4,IF($C17="银行间",$J17,$L17),$G17)))+AC$2/100,情景分析!$D$7,"",,,,"",)*IF($H17="",1,$H17))</f>
        <v>12488.179661316517</v>
      </c>
      <c r="AD17" s="7">
        <f ca="1">IF($A17="","",[2]!B_CALC_PRICE($A17,$AC$1,IF(情景分析!$D$6=1,$J17,IF(情景分析!$D$6=2,$E17,IF(情景分析!$D$6=4,IF($C17="银行间",$J17,$L17),$G17)))+AD$2/100,情景分析!$D$7,"",,,,"",)*IF($H17="",1,$H17))</f>
        <v>12503.250525104389</v>
      </c>
      <c r="AE17" s="7">
        <f ca="1">IF($A17="","",[2]!B_CALC_PRICE($A17,$AC$1,IF(情景分析!$D$6=1,$J17,IF(情景分析!$D$6=2,$E17,IF(情景分析!$D$6=4,IF($C17="银行间",$J17,$L17),$G17)))+AE$2/100,情景分析!$D$7,"",,,,"",)*IF($H17="",1,$H17))</f>
        <v>12518.3471715342</v>
      </c>
      <c r="AF17" s="7">
        <f ca="1">IF($A17="","",[2]!B_CALC_PRICE($A17,$AC$1,IF(情景分析!$D$6=1,$J17,IF(情景分析!$D$6=2,$E17,IF(情景分析!$D$6=4,IF($C17="银行间",$J17,$L17),$G17)))+AF$2/100,情景分析!$D$7,"",,,,"",)*IF($H17="",1,$H17))</f>
        <v>12548.618040346109</v>
      </c>
      <c r="AG17" s="7">
        <f ca="1">IF($A17="","",[2]!B_CALC_PRICE($A17,$AC$1,IF(情景分析!$D$6=1,$J17,IF(情景分析!$D$6=2,$E17,IF(情景分析!$D$6=4,IF($C17="银行间",$J17,$L17),$G17)))+AG$2/100,情景分析!$D$7,"",,,,"",)*IF($H17="",1,$H17))</f>
        <v>12578.992725349033</v>
      </c>
      <c r="AH17" s="7">
        <f ca="1">IF($A17="","",[2]!B_CALC_PRICE($A17,$AC$1,IF(情景分析!$D$6=1,$J17,IF(情景分析!$D$6=2,$E17,IF(情景分析!$D$6=4,IF($C17="银行间",$J17,$L17),$G17)))+AH$2/100,情景分析!$D$7,"",,,,"",)*IF($H17="",1,$H17))</f>
        <v>12594.219142599162</v>
      </c>
      <c r="AI17" s="7">
        <f ca="1">IF($A17="","",[2]!B_CALC_PRICE($A17,$AC$1,IF(情景分析!$D$6=1,$J17,IF(情景分析!$D$6=2,$E17,IF(情景分析!$D$6=4,IF($C17="银行间",$J17,$L17),$G17)))+AI$2/100,情景分析!$D$7,"",,,,"",)*IF($H17="",1,$H17))</f>
        <v>12609.471686621029</v>
      </c>
      <c r="AJ17" s="7">
        <f ca="1">IF($A17="","",[2]!B_CALC_PRICE($A17,$AJ$1,IF(情景分析!$D$6=1,$J17,IF(情景分析!$D$6=2,$E17,IF(情景分析!$D$6=4,IF($C17="银行间",$J17,$L17),$G17)))+AJ$2/100,情景分析!$D$7,"",,,,"",)*IF($H17="",1,$H17))</f>
        <v>12488.179661316517</v>
      </c>
      <c r="AK17" s="7">
        <f ca="1">IF($A17="","",[2]!B_CALC_PRICE($A17,$AJ$1,IF(情景分析!$D$6=1,$J17,IF(情景分析!$D$6=2,$E17,IF(情景分析!$D$6=4,IF($C17="银行间",$J17,$L17),$G17)))+AK$2/100,情景分析!$D$7,"",,,,"",)*IF($H17="",1,$H17))</f>
        <v>12503.250525104389</v>
      </c>
      <c r="AL17" s="7">
        <f ca="1">IF($A17="","",[2]!B_CALC_PRICE($A17,$AJ$1,IF(情景分析!$D$6=1,$J17,IF(情景分析!$D$6=2,$E17,IF(情景分析!$D$6=4,IF($C17="银行间",$J17,$L17),$G17)))+AL$2/100,情景分析!$D$7,"",,,,"",)*IF($H17="",1,$H17))</f>
        <v>12518.3471715342</v>
      </c>
      <c r="AM17" s="7">
        <f ca="1">IF($A17="","",[2]!B_CALC_PRICE($A17,$AJ$1,IF(情景分析!$D$6=1,$J17,IF(情景分析!$D$6=2,$E17,IF(情景分析!$D$6=4,IF($C17="银行间",$J17,$L17),$G17)))+AM$2/100,情景分析!$D$7,"",,,,"",)*IF($H17="",1,$H17))</f>
        <v>12548.618040346109</v>
      </c>
      <c r="AN17" s="7">
        <f ca="1">IF($A17="","",[2]!B_CALC_PRICE($A17,$AJ$1,IF(情景分析!$D$6=1,$J17,IF(情景分析!$D$6=2,$E17,IF(情景分析!$D$6=4,IF($C17="银行间",$J17,$L17),$G17)))+AN$2/100,情景分析!$D$7,"",,,,"",)*IF($H17="",1,$H17))</f>
        <v>12578.992725349033</v>
      </c>
      <c r="AO17" s="7">
        <f ca="1">IF($A17="","",[2]!B_CALC_PRICE($A17,$AJ$1,IF(情景分析!$D$6=1,$J17,IF(情景分析!$D$6=2,$E17,IF(情景分析!$D$6=4,IF($C17="银行间",$J17,$L17),$G17)))+AO$2/100,情景分析!$D$7,"",,,,"",)*IF($H17="",1,$H17))</f>
        <v>12594.219142599162</v>
      </c>
      <c r="AP17" s="7">
        <f ca="1">IF($A17="","",[2]!B_CALC_PRICE($A17,$AJ$1,IF(情景分析!$D$6=1,$J17,IF(情景分析!$D$6=2,$E17,IF(情景分析!$D$6=4,IF($C17="银行间",$J17,$L17),$G17)))+AP$2/100,情景分析!$D$7,"",,,,"",)*IF($H17="",1,$H17))</f>
        <v>12609.471686621029</v>
      </c>
      <c r="AQ17" s="7">
        <f ca="1">IF($A17="","",[2]!B_CALC_PRICE($A17,$AQ$1,IF(情景分析!$D$6=1,$J17,IF(情景分析!$D$6=2,$E17,IF(情景分析!$D$6=4,IF($C17="银行间",$J17,$L17),$G17)))+AQ$2/100,情景分析!$D$7,"",,,,"",)*IF($H17="",1,$H17))</f>
        <v>12346.080064623995</v>
      </c>
      <c r="AR17" s="7">
        <f ca="1">IF($A17="","",[2]!B_CALC_PRICE($A17,$AQ$1,IF(情景分析!$D$6=1,$J17,IF(情景分析!$D$6=2,$E17,IF(情景分析!$D$6=4,IF($C17="银行间",$J17,$L17),$G17)))+AR$2/100,情景分析!$D$7,"",,,,"",)*IF($H17="",1,$H17))</f>
        <v>12356.698743840627</v>
      </c>
      <c r="AS17" s="7">
        <f ca="1">IF($A17="","",[2]!B_CALC_PRICE($A17,$AQ$1,IF(情景分析!$D$6=1,$J17,IF(情景分析!$D$6=2,$E17,IF(情景分析!$D$6=4,IF($C17="银行间",$J17,$L17),$G17)))+AS$2/100,情景分析!$D$7,"",,,,"",)*IF($H17="",1,$H17))</f>
        <v>12367.331797870831</v>
      </c>
      <c r="AT17" s="7">
        <f ca="1">IF($A17="","",[2]!B_CALC_PRICE($A17,$AQ$1,IF(情景分析!$D$6=1,$J17,IF(情景分析!$D$6=2,$E17,IF(情景分析!$D$6=4,IF($C17="银行间",$J17,$L17),$G17)))+AT$2/100,情景分析!$D$7,"",,,,"",)*IF($H17="",1,$H17))</f>
        <v>12388.641136689343</v>
      </c>
      <c r="AU17" s="7">
        <f ca="1">IF($A17="","",[2]!B_CALC_PRICE($A17,$AQ$1,IF(情景分析!$D$6=1,$J17,IF(情景分析!$D$6=2,$E17,IF(情景分析!$D$6=4,IF($C17="银行间",$J17,$L17),$G17)))+AU$2/100,情景分析!$D$7,"",,,,"",)*IF($H17="",1,$H17))</f>
        <v>12410.008294337207</v>
      </c>
      <c r="AV17" s="7">
        <f ca="1">IF($A17="","",[2]!B_CALC_PRICE($A17,$AQ$1,IF(情景分析!$D$6=1,$J17,IF(情景分析!$D$6=2,$E17,IF(情景分析!$D$6=4,IF($C17="银行间",$J17,$L17),$G17)))+AV$2/100,情景分析!$D$7,"",,,,"",)*IF($H17="",1,$H17))</f>
        <v>12420.713622138654</v>
      </c>
      <c r="AW17" s="7">
        <f ca="1">IF($A17="","",[2]!B_CALC_PRICE($A17,$AQ$1,IF(情景分析!$D$6=1,$J17,IF(情景分析!$D$6=2,$E17,IF(情景分析!$D$6=4,IF($C17="银行间",$J17,$L17),$G17)))+AW$2/100,情景分析!$D$7,"",,,,"",)*IF($H17="",1,$H17))</f>
        <v>12431.43348507283</v>
      </c>
    </row>
    <row r="18" spans="1:49" x14ac:dyDescent="0.15">
      <c r="A18" s="20" t="s">
        <v>41</v>
      </c>
      <c r="B18" s="7" t="str">
        <f>IF(A18="","",[2]!b_info_name(A18))</f>
        <v>25台商03</v>
      </c>
      <c r="C18" s="7" t="str">
        <f>[2]!b_info_listedmkt(A18)</f>
        <v>上海</v>
      </c>
      <c r="D18" s="7">
        <f ca="1">IFERROR(IF(A18="","", [2]!b_dq_avgprice(A18, 情景分析!$D$5, 情景分析!$D$7) * IF($H18="",1,$H18)),0)</f>
        <v>0</v>
      </c>
      <c r="E18" s="7">
        <f ca="1">IF(A18="","", N([2]!b_dq_avgprice(A18,情景分析!$D$5,3)))</f>
        <v>0</v>
      </c>
      <c r="F18" s="29">
        <f ca="1">IF($G18 = "",
"",
IFERROR(
[2]!b_calc_pv(A18, 情景分析!$D$5,$G18, "1", 情景分析!$D$7),
[2]!b_calc_pv(A18, 情景分析!$D$5,$G18, "2", 情景分析!$D$7)
)
)</f>
        <v>29.402250434684635</v>
      </c>
      <c r="G18" s="22">
        <v>20</v>
      </c>
      <c r="H18" s="21">
        <v>120</v>
      </c>
      <c r="I18" s="7">
        <f ca="1">IF(A18="","",IF(情景分析!$D$7=1,[2]!b_anal_net_cnbd(A18,情景分析!$D$5,1),[2]!b_anal_dirty_cnbd(A18,情景分析!$D$5,1))*IF($H18="",1,$H18))</f>
        <v>12052.475999999999</v>
      </c>
      <c r="J18" s="7">
        <f ca="1">IF(A18="","",[2]!b_anal_yield_cnbd(A18,情景分析!$D$5,1))</f>
        <v>2.3268</v>
      </c>
      <c r="K18" s="29">
        <f ca="1">IF(A18="","",IF(情景分析!$D$7=1,[2]!b_anal_net_csi1(A18,情景分析!$D$5,1),[2]!b_anal_dirty_csi1(A18,情景分析!$D$5,1))*IF($H18="",1,$H18))</f>
        <v>12014.436</v>
      </c>
      <c r="L18" s="29">
        <f ca="1">IF(A18="","",[2]!b_anal_yield_csi1(A18,情景分析!$D$5,1))</f>
        <v>2.4352999999999998</v>
      </c>
      <c r="M18" s="29">
        <f t="shared" ca="1" si="4"/>
        <v>12014.436</v>
      </c>
      <c r="N18" s="29">
        <f t="shared" ca="1" si="5"/>
        <v>2.4352999999999998</v>
      </c>
      <c r="O18" s="7">
        <f ca="1">IF($A18="","",[2]!B_CALC_PRICE($A18,$O$1,IF(情景分析!$D$6=1,$J18,IF(情景分析!$D$6=2,$E18,IF(情景分析!$D$6=4,IF($C18="银行间",$J18,$L18),$G18)))+O$2/100,情景分析!$D$7,"",,,,"",)*IF($H18="",1,$H18))</f>
        <v>11954.513225741775</v>
      </c>
      <c r="P18" s="7">
        <f ca="1">IF($A18="","",[2]!B_CALC_PRICE($A18,$O$1,IF(情景分析!$D$6=1,$J18,IF(情景分析!$D$6=2,$E18,IF(情景分析!$D$6=4,IF($C18="银行间",$J18,$L18),$G18)))+P$2/100,情景分析!$D$7,"",,,,"",)*IF($H18="",1,$H18))</f>
        <v>12002.093381579849</v>
      </c>
      <c r="Q18" s="7">
        <f ca="1">IF($A18="","",[2]!B_CALC_PRICE($A18,$O$1,IF(情景分析!$D$6=1,$J18,IF(情景分析!$D$6=2,$E18,IF(情景分析!$D$6=4,IF($C18="银行间",$J18,$L18),$G18)))+Q$2/100,情景分析!$D$7,"",,,,"",)*IF($H18="",1,$H18))</f>
        <v>12049.897743620972</v>
      </c>
      <c r="R18" s="7">
        <f ca="1">IF($A18="","",[2]!B_CALC_PRICE($A18,$O$1,IF(情景分析!$D$6=1,$J18,IF(情景分析!$D$6=2,$E18,IF(情景分析!$D$6=4,IF($C18="银行间",$J18,$L18),$G18)))+R$2/100,情景分析!$D$7,"",,,,"",)*IF($H18="",1,$H18))</f>
        <v>12146.183823045047</v>
      </c>
      <c r="S18" s="7">
        <f ca="1">IF($A18="","",[2]!B_CALC_PRICE($A18,$O$1,IF(情景分析!$D$6=1,$J18,IF(情景分析!$D$6=2,$E18,IF(情景分析!$D$6=4,IF($C18="银行间",$J18,$L18),$G18)))+S$2/100,情景分析!$D$7,"",,,,"",)*IF($H18="",1,$H18))</f>
        <v>12243.38100628123</v>
      </c>
      <c r="T18" s="7">
        <f ca="1">IF($A18="","",[2]!B_CALC_PRICE($A18,$O$1,IF(情景分析!$D$6=1,$J18,IF(情景分析!$D$6=2,$E18,IF(情景分析!$D$6=4,IF($C18="银行间",$J18,$L18),$G18)))+T$2/100,情景分析!$D$7,"",,,,"",)*IF($H18="",1,$H18))</f>
        <v>12292.324274116396</v>
      </c>
      <c r="U18" s="7">
        <f ca="1">IF($A18="","",[2]!B_CALC_PRICE($A18,$O$1,IF(情景分析!$D$6=1,$J18,IF(情景分析!$D$6=2,$E18,IF(情景分析!$D$6=4,IF($C18="银行间",$J18,$L18),$G18)))+U$2/100,情景分析!$D$7,"",,,,"",)*IF($H18="",1,$H18))</f>
        <v>12341.498946654539</v>
      </c>
      <c r="V18" s="7">
        <f ca="1">IF($A18="","",[2]!B_CALC_PRICE($A18,$V$1,IF(情景分析!$D$6=1,$J18,IF(情景分析!$D$6=2,$E18,IF(情景分析!$D$6=4,IF($C18="银行间",$J18,$L18),$G18)))+V$2/100,情景分析!$D$7,"",,,,"",)*IF($H18="",1,$H18))</f>
        <v>11954.597659716566</v>
      </c>
      <c r="W18" s="7">
        <f ca="1">IF($A18="","",[2]!B_CALC_PRICE($A18,$V$1,IF(情景分析!$D$6=1,$J18,IF(情景分析!$D$6=2,$E18,IF(情景分析!$D$6=4,IF($C18="银行间",$J18,$L18),$G18)))+W$2/100,情景分析!$D$7,"",,,,"",)*IF($H18="",1,$H18))</f>
        <v>12001.869946238463</v>
      </c>
      <c r="X18" s="7">
        <f ca="1">IF($A18="","",[2]!B_CALC_PRICE($A18,$V$1,IF(情景分析!$D$6=1,$J18,IF(情景分析!$D$6=2,$E18,IF(情景分析!$D$6=4,IF($C18="银行间",$J18,$L18),$G18)))+X$2/100,情景分析!$D$7,"",,,,"",)*IF($H18="",1,$H18))</f>
        <v>12049.363558884994</v>
      </c>
      <c r="Y18" s="7">
        <f ca="1">IF($A18="","",[2]!B_CALC_PRICE($A18,$V$1,IF(情景分析!$D$6=1,$J18,IF(情景分析!$D$6=2,$E18,IF(情景分析!$D$6=4,IF($C18="银行间",$J18,$L18),$G18)))+Y$2/100,情景分析!$D$7,"",,,,"",)*IF($H18="",1,$H18))</f>
        <v>12145.019410883811</v>
      </c>
      <c r="Z18" s="7">
        <f ca="1">IF($A18="","",[2]!B_CALC_PRICE($A18,$V$1,IF(情景分析!$D$6=1,$J18,IF(情景分析!$D$6=2,$E18,IF(情景分析!$D$6=4,IF($C18="银行间",$J18,$L18),$G18)))+Z$2/100,情景分析!$D$7,"",,,,"",)*IF($H18="",1,$H18))</f>
        <v>12241.574579527076</v>
      </c>
      <c r="AA18" s="7">
        <f ca="1">IF($A18="","",[2]!B_CALC_PRICE($A18,$V$1,IF(情景分析!$D$6=1,$J18,IF(情景分析!$D$6=2,$E18,IF(情景分析!$D$6=4,IF($C18="银行间",$J18,$L18),$G18)))+AA$2/100,情景分析!$D$7,"",,,,"",)*IF($H18="",1,$H18))</f>
        <v>12290.192363382144</v>
      </c>
      <c r="AB18" s="7">
        <f ca="1">IF($A18="","",[2]!B_CALC_PRICE($A18,$V$1,IF(情景分析!$D$6=1,$J18,IF(情景分析!$D$6=2,$E18,IF(情景分析!$D$6=4,IF($C18="银行间",$J18,$L18),$G18)))+AB$2/100,情景分析!$D$7,"",,,,"",)*IF($H18="",1,$H18))</f>
        <v>12339.038537015973</v>
      </c>
      <c r="AC18" s="7">
        <f ca="1">IF($A18="","",[2]!B_CALC_PRICE($A18,$AC$1,IF(情景分析!$D$6=1,$J18,IF(情景分析!$D$6=2,$E18,IF(情景分析!$D$6=4,IF($C18="银行间",$J18,$L18),$G18)))+AC$2/100,情景分析!$D$7,"",,,,"",)*IF($H18="",1,$H18))</f>
        <v>11954.957641012619</v>
      </c>
      <c r="AD18" s="7">
        <f ca="1">IF($A18="","",[2]!B_CALC_PRICE($A18,$AC$1,IF(情景分析!$D$6=1,$J18,IF(情景分析!$D$6=2,$E18,IF(情景分析!$D$6=4,IF($C18="银行间",$J18,$L18),$G18)))+AD$2/100,情景分析!$D$7,"",,,,"",)*IF($H18="",1,$H18))</f>
        <v>12001.442347056416</v>
      </c>
      <c r="AE18" s="7">
        <f ca="1">IF($A18="","",[2]!B_CALC_PRICE($A18,$AC$1,IF(情景分析!$D$6=1,$J18,IF(情景分析!$D$6=2,$E18,IF(情景分析!$D$6=4,IF($C18="银行间",$J18,$L18),$G18)))+AE$2/100,情景分析!$D$7,"",,,,"",)*IF($H18="",1,$H18))</f>
        <v>12048.141126571527</v>
      </c>
      <c r="AF18" s="7">
        <f ca="1">IF($A18="","",[2]!B_CALC_PRICE($A18,$AC$1,IF(情景分析!$D$6=1,$J18,IF(情景分析!$D$6=2,$E18,IF(情景分析!$D$6=4,IF($C18="银行间",$J18,$L18),$G18)))+AF$2/100,情景分析!$D$7,"",,,,"",)*IF($H18="",1,$H18))</f>
        <v>12142.185334292686</v>
      </c>
      <c r="AG18" s="7">
        <f ca="1">IF($A18="","",[2]!B_CALC_PRICE($A18,$AC$1,IF(情景分析!$D$6=1,$J18,IF(情景分析!$D$6=2,$E18,IF(情景分析!$D$6=4,IF($C18="银行间",$J18,$L18),$G18)))+AG$2/100,情景分析!$D$7,"",,,,"",)*IF($H18="",1,$H18))</f>
        <v>12237.099183811582</v>
      </c>
      <c r="AH18" s="7">
        <f ca="1">IF($A18="","",[2]!B_CALC_PRICE($A18,$AC$1,IF(情景分析!$D$6=1,$J18,IF(情景分析!$D$6=2,$E18,IF(情景分析!$D$6=4,IF($C18="银行间",$J18,$L18),$G18)))+AH$2/100,情景分析!$D$7,"",,,,"",)*IF($H18="",1,$H18))</f>
        <v>12284.885039434903</v>
      </c>
      <c r="AI18" s="7">
        <f ca="1">IF($A18="","",[2]!B_CALC_PRICE($A18,$AC$1,IF(情景分析!$D$6=1,$J18,IF(情景分析!$D$6=2,$E18,IF(情景分析!$D$6=4,IF($C18="银行间",$J18,$L18),$G18)))+AI$2/100,情景分析!$D$7,"",,,,"",)*IF($H18="",1,$H18))</f>
        <v>12332.891696571809</v>
      </c>
      <c r="AJ18" s="7">
        <f ca="1">IF($A18="","",[2]!B_CALC_PRICE($A18,$AJ$1,IF(情景分析!$D$6=1,$J18,IF(情景分析!$D$6=2,$E18,IF(情景分析!$D$6=4,IF($C18="银行间",$J18,$L18),$G18)))+AJ$2/100,情景分析!$D$7,"",,,,"",)*IF($H18="",1,$H18))</f>
        <v>11954.957641012619</v>
      </c>
      <c r="AK18" s="7">
        <f ca="1">IF($A18="","",[2]!B_CALC_PRICE($A18,$AJ$1,IF(情景分析!$D$6=1,$J18,IF(情景分析!$D$6=2,$E18,IF(情景分析!$D$6=4,IF($C18="银行间",$J18,$L18),$G18)))+AK$2/100,情景分析!$D$7,"",,,,"",)*IF($H18="",1,$H18))</f>
        <v>12001.442347056416</v>
      </c>
      <c r="AL18" s="7">
        <f ca="1">IF($A18="","",[2]!B_CALC_PRICE($A18,$AJ$1,IF(情景分析!$D$6=1,$J18,IF(情景分析!$D$6=2,$E18,IF(情景分析!$D$6=4,IF($C18="银行间",$J18,$L18),$G18)))+AL$2/100,情景分析!$D$7,"",,,,"",)*IF($H18="",1,$H18))</f>
        <v>12048.141126571527</v>
      </c>
      <c r="AM18" s="7">
        <f ca="1">IF($A18="","",[2]!B_CALC_PRICE($A18,$AJ$1,IF(情景分析!$D$6=1,$J18,IF(情景分析!$D$6=2,$E18,IF(情景分析!$D$6=4,IF($C18="银行间",$J18,$L18),$G18)))+AM$2/100,情景分析!$D$7,"",,,,"",)*IF($H18="",1,$H18))</f>
        <v>12142.185334292686</v>
      </c>
      <c r="AN18" s="7">
        <f ca="1">IF($A18="","",[2]!B_CALC_PRICE($A18,$AJ$1,IF(情景分析!$D$6=1,$J18,IF(情景分析!$D$6=2,$E18,IF(情景分析!$D$6=4,IF($C18="银行间",$J18,$L18),$G18)))+AN$2/100,情景分析!$D$7,"",,,,"",)*IF($H18="",1,$H18))</f>
        <v>12237.099183811582</v>
      </c>
      <c r="AO18" s="7">
        <f ca="1">IF($A18="","",[2]!B_CALC_PRICE($A18,$AJ$1,IF(情景分析!$D$6=1,$J18,IF(情景分析!$D$6=2,$E18,IF(情景分析!$D$6=4,IF($C18="银行间",$J18,$L18),$G18)))+AO$2/100,情景分析!$D$7,"",,,,"",)*IF($H18="",1,$H18))</f>
        <v>12284.885039434903</v>
      </c>
      <c r="AP18" s="7">
        <f ca="1">IF($A18="","",[2]!B_CALC_PRICE($A18,$AJ$1,IF(情景分析!$D$6=1,$J18,IF(情景分析!$D$6=2,$E18,IF(情景分析!$D$6=4,IF($C18="银行间",$J18,$L18),$G18)))+AP$2/100,情景分析!$D$7,"",,,,"",)*IF($H18="",1,$H18))</f>
        <v>12332.891696571809</v>
      </c>
      <c r="AQ18" s="7">
        <f ca="1">IF($A18="","",[2]!B_CALC_PRICE($A18,$AQ$1,IF(情景分析!$D$6=1,$J18,IF(情景分析!$D$6=2,$E18,IF(情景分析!$D$6=4,IF($C18="银行间",$J18,$L18),$G18)))+AQ$2/100,情景分析!$D$7,"",,,,"",)*IF($H18="",1,$H18))</f>
        <v>11958.983447477338</v>
      </c>
      <c r="AR18" s="7">
        <f ca="1">IF($A18="","",[2]!B_CALC_PRICE($A18,$AQ$1,IF(情景分析!$D$6=1,$J18,IF(情景分析!$D$6=2,$E18,IF(情景分析!$D$6=4,IF($C18="银行间",$J18,$L18),$G18)))+AR$2/100,情景分析!$D$7,"",,,,"",)*IF($H18="",1,$H18))</f>
        <v>12001.85613785731</v>
      </c>
      <c r="AS18" s="7">
        <f ca="1">IF($A18="","",[2]!B_CALC_PRICE($A18,$AQ$1,IF(情景分析!$D$6=1,$J18,IF(情景分析!$D$6=2,$E18,IF(情景分析!$D$6=4,IF($C18="银行间",$J18,$L18),$G18)))+AS$2/100,情景分析!$D$7,"",,,,"",)*IF($H18="",1,$H18))</f>
        <v>12044.911670537422</v>
      </c>
      <c r="AT18" s="7">
        <f ca="1">IF($A18="","",[2]!B_CALC_PRICE($A18,$AQ$1,IF(情景分析!$D$6=1,$J18,IF(情景分析!$D$6=2,$E18,IF(情景分析!$D$6=4,IF($C18="银行间",$J18,$L18),$G18)))+AT$2/100,情景分析!$D$7,"",,,,"",)*IF($H18="",1,$H18))</f>
        <v>12131.574786039515</v>
      </c>
      <c r="AU18" s="7">
        <f ca="1">IF($A18="","",[2]!B_CALC_PRICE($A18,$AQ$1,IF(情景分析!$D$6=1,$J18,IF(情景分析!$D$6=2,$E18,IF(情景分析!$D$6=4,IF($C18="银行间",$J18,$L18),$G18)))+AU$2/100,情景分析!$D$7,"",,,,"",)*IF($H18="",1,$H18))</f>
        <v>12218.979887484968</v>
      </c>
      <c r="AV18" s="7">
        <f ca="1">IF($A18="","",[2]!B_CALC_PRICE($A18,$AQ$1,IF(情景分析!$D$6=1,$J18,IF(情景分析!$D$6=2,$E18,IF(情景分析!$D$6=4,IF($C18="银行间",$J18,$L18),$G18)))+AV$2/100,情景分析!$D$7,"",,,,"",)*IF($H18="",1,$H18))</f>
        <v>12262.962920370421</v>
      </c>
      <c r="AW18" s="7">
        <f ca="1">IF($A18="","",[2]!B_CALC_PRICE($A18,$AQ$1,IF(情景分析!$D$6=1,$J18,IF(情景分析!$D$6=2,$E18,IF(情景分析!$D$6=4,IF($C18="银行间",$J18,$L18),$G18)))+AW$2/100,情景分析!$D$7,"",,,,"",)*IF($H18="",1,$H18))</f>
        <v>12307.134144220654</v>
      </c>
    </row>
    <row r="19" spans="1:49" x14ac:dyDescent="0.15">
      <c r="A19" s="20" t="s">
        <v>53</v>
      </c>
      <c r="B19" s="7" t="str">
        <f>IF(A19="","",[2]!b_info_name(A19))</f>
        <v>23惠安01</v>
      </c>
      <c r="C19" s="7" t="str">
        <f>[2]!b_info_listedmkt(A19)</f>
        <v>上海</v>
      </c>
      <c r="D19" s="7">
        <f ca="1">IFERROR(IF(A19="","", [2]!b_dq_avgprice(A19, 情景分析!$D$5, 情景分析!$D$7) * IF($H19="",1,$H19)),0)</f>
        <v>0</v>
      </c>
      <c r="E19" s="7">
        <f ca="1">IF(A19="","", N([2]!b_dq_avgprice(A19,情景分析!$D$5,3)))</f>
        <v>0</v>
      </c>
      <c r="F19" s="29">
        <f ca="1">IF($G19 = "",
"",
IFERROR(
[2]!b_calc_pv(A19, 情景分析!$D$5,$G19, "1", 情景分析!$D$7),
[2]!b_calc_pv(A19, 情景分析!$D$5,$G19, "2", 情景分析!$D$7)
)
)</f>
        <v>92.471528554169993</v>
      </c>
      <c r="G19" s="22">
        <v>20</v>
      </c>
      <c r="H19" s="21">
        <v>120</v>
      </c>
      <c r="I19" s="7">
        <f ca="1">IF(A19="","",IF(情景分析!$D$7=1,[2]!b_anal_net_cnbd(A19,情景分析!$D$5,1),[2]!b_anal_dirty_cnbd(A19,情景分析!$D$5,1))*IF($H19="",1,$H19))</f>
        <v>12110.796</v>
      </c>
      <c r="J19" s="7">
        <f ca="1">IF(A19="","",[2]!b_anal_yield_cnbd(A19,情景分析!$D$5,1))</f>
        <v>1.8947000000000001</v>
      </c>
      <c r="K19" s="29">
        <f ca="1">IF(A19="","",IF(情景分析!$D$7=1,[2]!b_anal_net_csi1(A19,情景分析!$D$5,1),[2]!b_anal_dirty_csi1(A19,情景分析!$D$5,1))*IF($H19="",1,$H19))</f>
        <v>12112.271999999999</v>
      </c>
      <c r="L19" s="29">
        <f ca="1">IF(A19="","",[2]!b_anal_yield_csi1(A19,情景分析!$D$5,1))</f>
        <v>1.85</v>
      </c>
      <c r="M19" s="29">
        <f t="shared" ca="1" si="4"/>
        <v>12112.271999999999</v>
      </c>
      <c r="N19" s="29">
        <f t="shared" ca="1" si="5"/>
        <v>1.85</v>
      </c>
      <c r="O19" s="7">
        <f ca="1">IF($A19="","",[2]!B_CALC_PRICE($A19,$O$1,IF(情景分析!$D$6=1,$J19,IF(情景分析!$D$6=2,$E19,IF(情景分析!$D$6=4,IF($C19="银行间",$J19,$L19),$G19)))+O$2/100,情景分析!$D$7,"",,,,"",)*IF($H19="",1,$H19))</f>
        <v>12091.334202483296</v>
      </c>
      <c r="P19" s="7">
        <f ca="1">IF($A19="","",[2]!B_CALC_PRICE($A19,$O$1,IF(情景分析!$D$6=1,$J19,IF(情景分析!$D$6=2,$E19,IF(情景分析!$D$6=4,IF($C19="银行间",$J19,$L19),$G19)))+P$2/100,情景分析!$D$7,"",,,,"",)*IF($H19="",1,$H19))</f>
        <v>12094.196206491741</v>
      </c>
      <c r="Q19" s="7">
        <f ca="1">IF($A19="","",[2]!B_CALC_PRICE($A19,$O$1,IF(情景分析!$D$6=1,$J19,IF(情景分析!$D$6=2,$E19,IF(情景分析!$D$6=4,IF($C19="银行间",$J19,$L19),$G19)))+Q$2/100,情景分析!$D$7,"",,,,"",)*IF($H19="",1,$H19))</f>
        <v>12097.059538915379</v>
      </c>
      <c r="R19" s="7">
        <f ca="1">IF($A19="","",[2]!B_CALC_PRICE($A19,$O$1,IF(情景分析!$D$6=1,$J19,IF(情景分析!$D$6=2,$E19,IF(情景分析!$D$6=4,IF($C19="银行间",$J19,$L19),$G19)))+R$2/100,情景分析!$D$7,"",,,,"",)*IF($H19="",1,$H19))</f>
        <v>12102.790192709494</v>
      </c>
      <c r="S19" s="7">
        <f ca="1">IF($A19="","",[2]!B_CALC_PRICE($A19,$O$1,IF(情景分析!$D$6=1,$J19,IF(情景分析!$D$6=2,$E19,IF(情景分析!$D$6=4,IF($C19="银行间",$J19,$L19),$G19)))+S$2/100,情景分析!$D$7,"",,,,"",)*IF($H19="",1,$H19))</f>
        <v>12108.52617127677</v>
      </c>
      <c r="T19" s="7">
        <f ca="1">IF($A19="","",[2]!B_CALC_PRICE($A19,$O$1,IF(情景分析!$D$6=1,$J19,IF(情景分析!$D$6=2,$E19,IF(情景分析!$D$6=4,IF($C19="银行间",$J19,$L19),$G19)))+T$2/100,情景分析!$D$7,"",,,,"",)*IF($H19="",1,$H19))</f>
        <v>12111.396159670088</v>
      </c>
      <c r="U19" s="7">
        <f ca="1">IF($A19="","",[2]!B_CALC_PRICE($A19,$O$1,IF(情景分析!$D$6=1,$J19,IF(情景分析!$D$6=2,$E19,IF(情景分析!$D$6=4,IF($C19="银行间",$J19,$L19),$G19)))+U$2/100,情景分析!$D$7,"",,,,"",)*IF($H19="",1,$H19))</f>
        <v>12114.267482042116</v>
      </c>
      <c r="V19" s="7">
        <f ca="1">IF($A19="","",[2]!B_CALC_PRICE($A19,$V$1,IF(情景分析!$D$6=1,$J19,IF(情景分析!$D$6=2,$E19,IF(情景分析!$D$6=4,IF($C19="银行间",$J19,$L19),$G19)))+V$2/100,情景分析!$D$7,"",,,,"",)*IF($H19="",1,$H19))</f>
        <v>12078.197897935603</v>
      </c>
      <c r="W19" s="7">
        <f ca="1">IF($A19="","",[2]!B_CALC_PRICE($A19,$V$1,IF(情景分析!$D$6=1,$J19,IF(情景分析!$D$6=2,$E19,IF(情景分析!$D$6=4,IF($C19="银行间",$J19,$L19),$G19)))+W$2/100,情景分析!$D$7,"",,,,"",)*IF($H19="",1,$H19))</f>
        <v>12080.664862776897</v>
      </c>
      <c r="X19" s="7">
        <f ca="1">IF($A19="","",[2]!B_CALC_PRICE($A19,$V$1,IF(情景分析!$D$6=1,$J19,IF(情景分析!$D$6=2,$E19,IF(情景分析!$D$6=4,IF($C19="银行间",$J19,$L19),$G19)))+X$2/100,情景分析!$D$7,"",,,,"",)*IF($H19="",1,$H19))</f>
        <v>12083.132813244954</v>
      </c>
      <c r="Y19" s="7">
        <f ca="1">IF($A19="","",[2]!B_CALC_PRICE($A19,$V$1,IF(情景分析!$D$6=1,$J19,IF(情景分析!$D$6=2,$E19,IF(情景分析!$D$6=4,IF($C19="银行间",$J19,$L19),$G19)))+Y$2/100,情景分析!$D$7,"",,,,"",)*IF($H19="",1,$H19))</f>
        <v>12088.071673425016</v>
      </c>
      <c r="Z19" s="7">
        <f ca="1">IF($A19="","",[2]!B_CALC_PRICE($A19,$V$1,IF(情景分析!$D$6=1,$J19,IF(情景分析!$D$6=2,$E19,IF(情景分析!$D$6=4,IF($C19="银行间",$J19,$L19),$G19)))+Z$2/100,情景分析!$D$7,"",,,,"",)*IF($H19="",1,$H19))</f>
        <v>12093.014483207864</v>
      </c>
      <c r="AA19" s="7">
        <f ca="1">IF($A19="","",[2]!B_CALC_PRICE($A19,$V$1,IF(情景分析!$D$6=1,$J19,IF(情景分析!$D$6=2,$E19,IF(情景分析!$D$6=4,IF($C19="银行间",$J19,$L19),$G19)))+AA$2/100,情景分析!$D$7,"",,,,"",)*IF($H19="",1,$H19))</f>
        <v>12095.487370681169</v>
      </c>
      <c r="AB19" s="7">
        <f ca="1">IF($A19="","",[2]!B_CALC_PRICE($A19,$V$1,IF(情景分析!$D$6=1,$J19,IF(情景分析!$D$6=2,$E19,IF(情景分析!$D$6=4,IF($C19="银行间",$J19,$L19),$G19)))+AB$2/100,情景分析!$D$7,"",,,,"",)*IF($H19="",1,$H19))</f>
        <v>12097.961247333131</v>
      </c>
      <c r="AC19" s="7">
        <f ca="1">IF($A19="","",[2]!B_CALC_PRICE($A19,$AC$1,IF(情景分析!$D$6=1,$J19,IF(情景分析!$D$6=2,$E19,IF(情景分析!$D$6=4,IF($C19="银行间",$J19,$L19),$G19)))+AC$2/100,情景分析!$D$7,"",,,,"",)*IF($H19="",1,$H19))</f>
        <v>12045.017644129184</v>
      </c>
      <c r="AD19" s="7">
        <f ca="1">IF($A19="","",[2]!B_CALC_PRICE($A19,$AC$1,IF(情景分析!$D$6=1,$J19,IF(情景分析!$D$6=2,$E19,IF(情景分析!$D$6=4,IF($C19="银行间",$J19,$L19),$G19)))+AD$2/100,情景分析!$D$7,"",,,,"",)*IF($H19="",1,$H19))</f>
        <v>12046.470855428741</v>
      </c>
      <c r="AE19" s="7">
        <f ca="1">IF($A19="","",[2]!B_CALC_PRICE($A19,$AC$1,IF(情景分析!$D$6=1,$J19,IF(情景分析!$D$6=2,$E19,IF(情景分析!$D$6=4,IF($C19="银行间",$J19,$L19),$G19)))+AE$2/100,情景分析!$D$7,"",,,,"",)*IF($H19="",1,$H19))</f>
        <v>12047.924407527065</v>
      </c>
      <c r="AF19" s="7">
        <f ca="1">IF($A19="","",[2]!B_CALC_PRICE($A19,$AC$1,IF(情景分析!$D$6=1,$J19,IF(情景分析!$D$6=2,$E19,IF(情景分析!$D$6=4,IF($C19="银行间",$J19,$L19),$G19)))+AF$2/100,情景分析!$D$7,"",,,,"",)*IF($H19="",1,$H19))</f>
        <v>12050.83253459968</v>
      </c>
      <c r="AG19" s="7">
        <f ca="1">IF($A19="","",[2]!B_CALC_PRICE($A19,$AC$1,IF(情景分析!$D$6=1,$J19,IF(情景分析!$D$6=2,$E19,IF(情景分析!$D$6=4,IF($C19="银行间",$J19,$L19),$G19)))+AG$2/100,情景分析!$D$7,"",,,,"",)*IF($H19="",1,$H19))</f>
        <v>12053.742026306873</v>
      </c>
      <c r="AH19" s="7">
        <f ca="1">IF($A19="","",[2]!B_CALC_PRICE($A19,$AC$1,IF(情景分析!$D$6=1,$J19,IF(情景分析!$D$6=2,$E19,IF(情景分析!$D$6=4,IF($C19="银行间",$J19,$L19),$G19)))+AH$2/100,情景分析!$D$7,"",,,,"",)*IF($H19="",1,$H19))</f>
        <v>12055.197284198635</v>
      </c>
      <c r="AI19" s="7">
        <f ca="1">IF($A19="","",[2]!B_CALC_PRICE($A19,$AC$1,IF(情景分析!$D$6=1,$J19,IF(情景分析!$D$6=2,$E19,IF(情景分析!$D$6=4,IF($C19="银行间",$J19,$L19),$G19)))+AI$2/100,情景分析!$D$7,"",,,,"",)*IF($H19="",1,$H19))</f>
        <v>12056.6528836094</v>
      </c>
      <c r="AJ19" s="7">
        <f ca="1">IF($A19="","",[2]!B_CALC_PRICE($A19,$AJ$1,IF(情景分析!$D$6=1,$J19,IF(情景分析!$D$6=2,$E19,IF(情景分析!$D$6=4,IF($C19="银行间",$J19,$L19),$G19)))+AJ$2/100,情景分析!$D$7,"",,,,"",)*IF($H19="",1,$H19))</f>
        <v>12045.017644129184</v>
      </c>
      <c r="AK19" s="7">
        <f ca="1">IF($A19="","",[2]!B_CALC_PRICE($A19,$AJ$1,IF(情景分析!$D$6=1,$J19,IF(情景分析!$D$6=2,$E19,IF(情景分析!$D$6=4,IF($C19="银行间",$J19,$L19),$G19)))+AK$2/100,情景分析!$D$7,"",,,,"",)*IF($H19="",1,$H19))</f>
        <v>12046.470855428741</v>
      </c>
      <c r="AL19" s="7">
        <f ca="1">IF($A19="","",[2]!B_CALC_PRICE($A19,$AJ$1,IF(情景分析!$D$6=1,$J19,IF(情景分析!$D$6=2,$E19,IF(情景分析!$D$6=4,IF($C19="银行间",$J19,$L19),$G19)))+AL$2/100,情景分析!$D$7,"",,,,"",)*IF($H19="",1,$H19))</f>
        <v>12047.924407527065</v>
      </c>
      <c r="AM19" s="7">
        <f ca="1">IF($A19="","",[2]!B_CALC_PRICE($A19,$AJ$1,IF(情景分析!$D$6=1,$J19,IF(情景分析!$D$6=2,$E19,IF(情景分析!$D$6=4,IF($C19="银行间",$J19,$L19),$G19)))+AM$2/100,情景分析!$D$7,"",,,,"",)*IF($H19="",1,$H19))</f>
        <v>12050.83253459968</v>
      </c>
      <c r="AN19" s="7">
        <f ca="1">IF($A19="","",[2]!B_CALC_PRICE($A19,$AJ$1,IF(情景分析!$D$6=1,$J19,IF(情景分析!$D$6=2,$E19,IF(情景分析!$D$6=4,IF($C19="银行间",$J19,$L19),$G19)))+AN$2/100,情景分析!$D$7,"",,,,"",)*IF($H19="",1,$H19))</f>
        <v>12053.742026306873</v>
      </c>
      <c r="AO19" s="7">
        <f ca="1">IF($A19="","",[2]!B_CALC_PRICE($A19,$AJ$1,IF(情景分析!$D$6=1,$J19,IF(情景分析!$D$6=2,$E19,IF(情景分析!$D$6=4,IF($C19="银行间",$J19,$L19),$G19)))+AO$2/100,情景分析!$D$7,"",,,,"",)*IF($H19="",1,$H19))</f>
        <v>12055.197284198635</v>
      </c>
      <c r="AP19" s="7">
        <f ca="1">IF($A19="","",[2]!B_CALC_PRICE($A19,$AJ$1,IF(情景分析!$D$6=1,$J19,IF(情景分析!$D$6=2,$E19,IF(情景分析!$D$6=4,IF($C19="银行间",$J19,$L19),$G19)))+AP$2/100,情景分析!$D$7,"",,,,"",)*IF($H19="",1,$H19))</f>
        <v>12056.6528836094</v>
      </c>
      <c r="AQ19" s="7" t="e">
        <f ca="1">IF($A19="","",[2]!B_CALC_PRICE($A19,$AQ$1,IF(情景分析!$D$6=1,$J19,IF(情景分析!$D$6=2,$E19,IF(情景分析!$D$6=4,IF($C19="银行间",$J19,$L19),$G19)))+AQ$2/100,情景分析!$D$7,"",,,,"",)*IF($H19="",1,$H19))</f>
        <v>#VALUE!</v>
      </c>
      <c r="AR19" s="7" t="e">
        <f ca="1">IF($A19="","",[2]!B_CALC_PRICE($A19,$AQ$1,IF(情景分析!$D$6=1,$J19,IF(情景分析!$D$6=2,$E19,IF(情景分析!$D$6=4,IF($C19="银行间",$J19,$L19),$G19)))+AR$2/100,情景分析!$D$7,"",,,,"",)*IF($H19="",1,$H19))</f>
        <v>#VALUE!</v>
      </c>
      <c r="AS19" s="7" t="e">
        <f ca="1">IF($A19="","",[2]!B_CALC_PRICE($A19,$AQ$1,IF(情景分析!$D$6=1,$J19,IF(情景分析!$D$6=2,$E19,IF(情景分析!$D$6=4,IF($C19="银行间",$J19,$L19),$G19)))+AS$2/100,情景分析!$D$7,"",,,,"",)*IF($H19="",1,$H19))</f>
        <v>#VALUE!</v>
      </c>
      <c r="AT19" s="7" t="e">
        <f ca="1">IF($A19="","",[2]!B_CALC_PRICE($A19,$AQ$1,IF(情景分析!$D$6=1,$J19,IF(情景分析!$D$6=2,$E19,IF(情景分析!$D$6=4,IF($C19="银行间",$J19,$L19),$G19)))+AT$2/100,情景分析!$D$7,"",,,,"",)*IF($H19="",1,$H19))</f>
        <v>#VALUE!</v>
      </c>
      <c r="AU19" s="7" t="e">
        <f ca="1">IF($A19="","",[2]!B_CALC_PRICE($A19,$AQ$1,IF(情景分析!$D$6=1,$J19,IF(情景分析!$D$6=2,$E19,IF(情景分析!$D$6=4,IF($C19="银行间",$J19,$L19),$G19)))+AU$2/100,情景分析!$D$7,"",,,,"",)*IF($H19="",1,$H19))</f>
        <v>#VALUE!</v>
      </c>
      <c r="AV19" s="7" t="e">
        <f ca="1">IF($A19="","",[2]!B_CALC_PRICE($A19,$AQ$1,IF(情景分析!$D$6=1,$J19,IF(情景分析!$D$6=2,$E19,IF(情景分析!$D$6=4,IF($C19="银行间",$J19,$L19),$G19)))+AV$2/100,情景分析!$D$7,"",,,,"",)*IF($H19="",1,$H19))</f>
        <v>#VALUE!</v>
      </c>
      <c r="AW19" s="7" t="e">
        <f ca="1">IF($A19="","",[2]!B_CALC_PRICE($A19,$AQ$1,IF(情景分析!$D$6=1,$J19,IF(情景分析!$D$6=2,$E19,IF(情景分析!$D$6=4,IF($C19="银行间",$J19,$L19),$G19)))+AW$2/100,情景分析!$D$7,"",,,,"",)*IF($H19="",1,$H19))</f>
        <v>#VALUE!</v>
      </c>
    </row>
    <row r="20" spans="1:49" x14ac:dyDescent="0.15">
      <c r="A20" s="20" t="s">
        <v>42</v>
      </c>
      <c r="B20" s="7" t="str">
        <f>IF(A20="","",[2]!b_info_name(A20))</f>
        <v>23惠安01</v>
      </c>
      <c r="C20" s="7" t="str">
        <f>[2]!b_info_listedmkt(A20)</f>
        <v>上海</v>
      </c>
      <c r="D20" s="7">
        <f ca="1">IFERROR(IF(A20="","", [2]!b_dq_avgprice(A20, 情景分析!$D$5, 情景分析!$D$7) * IF($H20="",1,$H20)),0)</f>
        <v>0</v>
      </c>
      <c r="E20" s="7">
        <f ca="1">IF(A20="","", N([2]!b_dq_avgprice(A20,情景分析!$D$5,3)))</f>
        <v>0</v>
      </c>
      <c r="F20" s="29">
        <f ca="1">IF($G20 = "",
"",
IFERROR(
[2]!b_calc_pv(A20, 情景分析!$D$5,$G20, "1", 情景分析!$D$7),
[2]!b_calc_pv(A20, 情景分析!$D$5,$G20, "2", 情景分析!$D$7)
)
)</f>
        <v>92.471528554169993</v>
      </c>
      <c r="G20" s="22">
        <v>20</v>
      </c>
      <c r="H20" s="21">
        <v>120</v>
      </c>
      <c r="I20" s="7">
        <f ca="1">IF(A20="","",IF(情景分析!$D$7=1,[2]!b_anal_net_cnbd(A20,情景分析!$D$5,1),[2]!b_anal_dirty_cnbd(A20,情景分析!$D$5,1))*IF($H20="",1,$H20))</f>
        <v>12110.796</v>
      </c>
      <c r="J20" s="7">
        <f ca="1">IF(A20="","",[2]!b_anal_yield_cnbd(A20,情景分析!$D$5,1))</f>
        <v>1.8947000000000001</v>
      </c>
      <c r="K20" s="29">
        <f ca="1">IF(A20="","",IF(情景分析!$D$7=1,[2]!b_anal_net_csi1(A20,情景分析!$D$5,1),[2]!b_anal_dirty_csi1(A20,情景分析!$D$5,1))*IF($H20="",1,$H20))</f>
        <v>12112.271999999999</v>
      </c>
      <c r="L20" s="29">
        <f ca="1">IF(A20="","",[2]!b_anal_yield_csi1(A20,情景分析!$D$5,1))</f>
        <v>1.85</v>
      </c>
      <c r="M20" s="29">
        <f t="shared" ca="1" si="4"/>
        <v>12112.271999999999</v>
      </c>
      <c r="N20" s="29">
        <f t="shared" ca="1" si="5"/>
        <v>1.85</v>
      </c>
      <c r="O20" s="7">
        <f ca="1">IF($A20="","",[2]!B_CALC_PRICE($A20,$O$1,IF(情景分析!$D$6=1,$J20,IF(情景分析!$D$6=2,$E20,IF(情景分析!$D$6=4,IF($C20="银行间",$J20,$L20),$G20)))+O$2/100,情景分析!$D$7,"",,,,"",)*IF($H20="",1,$H20))</f>
        <v>12091.334202483296</v>
      </c>
      <c r="P20" s="7">
        <f ca="1">IF($A20="","",[2]!B_CALC_PRICE($A20,$O$1,IF(情景分析!$D$6=1,$J20,IF(情景分析!$D$6=2,$E20,IF(情景分析!$D$6=4,IF($C20="银行间",$J20,$L20),$G20)))+P$2/100,情景分析!$D$7,"",,,,"",)*IF($H20="",1,$H20))</f>
        <v>12094.196206491741</v>
      </c>
      <c r="Q20" s="7">
        <f ca="1">IF($A20="","",[2]!B_CALC_PRICE($A20,$O$1,IF(情景分析!$D$6=1,$J20,IF(情景分析!$D$6=2,$E20,IF(情景分析!$D$6=4,IF($C20="银行间",$J20,$L20),$G20)))+Q$2/100,情景分析!$D$7,"",,,,"",)*IF($H20="",1,$H20))</f>
        <v>12097.059538915379</v>
      </c>
      <c r="R20" s="7">
        <f ca="1">IF($A20="","",[2]!B_CALC_PRICE($A20,$O$1,IF(情景分析!$D$6=1,$J20,IF(情景分析!$D$6=2,$E20,IF(情景分析!$D$6=4,IF($C20="银行间",$J20,$L20),$G20)))+R$2/100,情景分析!$D$7,"",,,,"",)*IF($H20="",1,$H20))</f>
        <v>12102.790192709494</v>
      </c>
      <c r="S20" s="7">
        <f ca="1">IF($A20="","",[2]!B_CALC_PRICE($A20,$O$1,IF(情景分析!$D$6=1,$J20,IF(情景分析!$D$6=2,$E20,IF(情景分析!$D$6=4,IF($C20="银行间",$J20,$L20),$G20)))+S$2/100,情景分析!$D$7,"",,,,"",)*IF($H20="",1,$H20))</f>
        <v>12108.52617127677</v>
      </c>
      <c r="T20" s="7">
        <f ca="1">IF($A20="","",[2]!B_CALC_PRICE($A20,$O$1,IF(情景分析!$D$6=1,$J20,IF(情景分析!$D$6=2,$E20,IF(情景分析!$D$6=4,IF($C20="银行间",$J20,$L20),$G20)))+T$2/100,情景分析!$D$7,"",,,,"",)*IF($H20="",1,$H20))</f>
        <v>12111.396159670088</v>
      </c>
      <c r="U20" s="7">
        <f ca="1">IF($A20="","",[2]!B_CALC_PRICE($A20,$O$1,IF(情景分析!$D$6=1,$J20,IF(情景分析!$D$6=2,$E20,IF(情景分析!$D$6=4,IF($C20="银行间",$J20,$L20),$G20)))+U$2/100,情景分析!$D$7,"",,,,"",)*IF($H20="",1,$H20))</f>
        <v>12114.267482042116</v>
      </c>
      <c r="V20" s="7">
        <f ca="1">IF($A20="","",[2]!B_CALC_PRICE($A20,$V$1,IF(情景分析!$D$6=1,$J20,IF(情景分析!$D$6=2,$E20,IF(情景分析!$D$6=4,IF($C20="银行间",$J20,$L20),$G20)))+V$2/100,情景分析!$D$7,"",,,,"",)*IF($H20="",1,$H20))</f>
        <v>12078.197897935603</v>
      </c>
      <c r="W20" s="7">
        <f ca="1">IF($A20="","",[2]!B_CALC_PRICE($A20,$V$1,IF(情景分析!$D$6=1,$J20,IF(情景分析!$D$6=2,$E20,IF(情景分析!$D$6=4,IF($C20="银行间",$J20,$L20),$G20)))+W$2/100,情景分析!$D$7,"",,,,"",)*IF($H20="",1,$H20))</f>
        <v>12080.664862776897</v>
      </c>
      <c r="X20" s="7">
        <f ca="1">IF($A20="","",[2]!B_CALC_PRICE($A20,$V$1,IF(情景分析!$D$6=1,$J20,IF(情景分析!$D$6=2,$E20,IF(情景分析!$D$6=4,IF($C20="银行间",$J20,$L20),$G20)))+X$2/100,情景分析!$D$7,"",,,,"",)*IF($H20="",1,$H20))</f>
        <v>12083.132813244954</v>
      </c>
      <c r="Y20" s="7">
        <f ca="1">IF($A20="","",[2]!B_CALC_PRICE($A20,$V$1,IF(情景分析!$D$6=1,$J20,IF(情景分析!$D$6=2,$E20,IF(情景分析!$D$6=4,IF($C20="银行间",$J20,$L20),$G20)))+Y$2/100,情景分析!$D$7,"",,,,"",)*IF($H20="",1,$H20))</f>
        <v>12088.071673425016</v>
      </c>
      <c r="Z20" s="7">
        <f ca="1">IF($A20="","",[2]!B_CALC_PRICE($A20,$V$1,IF(情景分析!$D$6=1,$J20,IF(情景分析!$D$6=2,$E20,IF(情景分析!$D$6=4,IF($C20="银行间",$J20,$L20),$G20)))+Z$2/100,情景分析!$D$7,"",,,,"",)*IF($H20="",1,$H20))</f>
        <v>12093.014483207864</v>
      </c>
      <c r="AA20" s="7">
        <f ca="1">IF($A20="","",[2]!B_CALC_PRICE($A20,$V$1,IF(情景分析!$D$6=1,$J20,IF(情景分析!$D$6=2,$E20,IF(情景分析!$D$6=4,IF($C20="银行间",$J20,$L20),$G20)))+AA$2/100,情景分析!$D$7,"",,,,"",)*IF($H20="",1,$H20))</f>
        <v>12095.487370681169</v>
      </c>
      <c r="AB20" s="7">
        <f ca="1">IF($A20="","",[2]!B_CALC_PRICE($A20,$V$1,IF(情景分析!$D$6=1,$J20,IF(情景分析!$D$6=2,$E20,IF(情景分析!$D$6=4,IF($C20="银行间",$J20,$L20),$G20)))+AB$2/100,情景分析!$D$7,"",,,,"",)*IF($H20="",1,$H20))</f>
        <v>12097.961247333131</v>
      </c>
      <c r="AC20" s="7">
        <f ca="1">IF($A20="","",[2]!B_CALC_PRICE($A20,$AC$1,IF(情景分析!$D$6=1,$J20,IF(情景分析!$D$6=2,$E20,IF(情景分析!$D$6=4,IF($C20="银行间",$J20,$L20),$G20)))+AC$2/100,情景分析!$D$7,"",,,,"",)*IF($H20="",1,$H20))</f>
        <v>12045.017644129184</v>
      </c>
      <c r="AD20" s="7">
        <f ca="1">IF($A20="","",[2]!B_CALC_PRICE($A20,$AC$1,IF(情景分析!$D$6=1,$J20,IF(情景分析!$D$6=2,$E20,IF(情景分析!$D$6=4,IF($C20="银行间",$J20,$L20),$G20)))+AD$2/100,情景分析!$D$7,"",,,,"",)*IF($H20="",1,$H20))</f>
        <v>12046.470855428741</v>
      </c>
      <c r="AE20" s="7">
        <f ca="1">IF($A20="","",[2]!B_CALC_PRICE($A20,$AC$1,IF(情景分析!$D$6=1,$J20,IF(情景分析!$D$6=2,$E20,IF(情景分析!$D$6=4,IF($C20="银行间",$J20,$L20),$G20)))+AE$2/100,情景分析!$D$7,"",,,,"",)*IF($H20="",1,$H20))</f>
        <v>12047.924407527065</v>
      </c>
      <c r="AF20" s="7">
        <f ca="1">IF($A20="","",[2]!B_CALC_PRICE($A20,$AC$1,IF(情景分析!$D$6=1,$J20,IF(情景分析!$D$6=2,$E20,IF(情景分析!$D$6=4,IF($C20="银行间",$J20,$L20),$G20)))+AF$2/100,情景分析!$D$7,"",,,,"",)*IF($H20="",1,$H20))</f>
        <v>12050.83253459968</v>
      </c>
      <c r="AG20" s="7">
        <f ca="1">IF($A20="","",[2]!B_CALC_PRICE($A20,$AC$1,IF(情景分析!$D$6=1,$J20,IF(情景分析!$D$6=2,$E20,IF(情景分析!$D$6=4,IF($C20="银行间",$J20,$L20),$G20)))+AG$2/100,情景分析!$D$7,"",,,,"",)*IF($H20="",1,$H20))</f>
        <v>12053.742026306873</v>
      </c>
      <c r="AH20" s="7">
        <f ca="1">IF($A20="","",[2]!B_CALC_PRICE($A20,$AC$1,IF(情景分析!$D$6=1,$J20,IF(情景分析!$D$6=2,$E20,IF(情景分析!$D$6=4,IF($C20="银行间",$J20,$L20),$G20)))+AH$2/100,情景分析!$D$7,"",,,,"",)*IF($H20="",1,$H20))</f>
        <v>12055.197284198635</v>
      </c>
      <c r="AI20" s="7">
        <f ca="1">IF($A20="","",[2]!B_CALC_PRICE($A20,$AC$1,IF(情景分析!$D$6=1,$J20,IF(情景分析!$D$6=2,$E20,IF(情景分析!$D$6=4,IF($C20="银行间",$J20,$L20),$G20)))+AI$2/100,情景分析!$D$7,"",,,,"",)*IF($H20="",1,$H20))</f>
        <v>12056.6528836094</v>
      </c>
      <c r="AJ20" s="7">
        <f ca="1">IF($A20="","",[2]!B_CALC_PRICE($A20,$AJ$1,IF(情景分析!$D$6=1,$J20,IF(情景分析!$D$6=2,$E20,IF(情景分析!$D$6=4,IF($C20="银行间",$J20,$L20),$G20)))+AJ$2/100,情景分析!$D$7,"",,,,"",)*IF($H20="",1,$H20))</f>
        <v>12045.017644129184</v>
      </c>
      <c r="AK20" s="7">
        <f ca="1">IF($A20="","",[2]!B_CALC_PRICE($A20,$AJ$1,IF(情景分析!$D$6=1,$J20,IF(情景分析!$D$6=2,$E20,IF(情景分析!$D$6=4,IF($C20="银行间",$J20,$L20),$G20)))+AK$2/100,情景分析!$D$7,"",,,,"",)*IF($H20="",1,$H20))</f>
        <v>12046.470855428741</v>
      </c>
      <c r="AL20" s="7">
        <f ca="1">IF($A20="","",[2]!B_CALC_PRICE($A20,$AJ$1,IF(情景分析!$D$6=1,$J20,IF(情景分析!$D$6=2,$E20,IF(情景分析!$D$6=4,IF($C20="银行间",$J20,$L20),$G20)))+AL$2/100,情景分析!$D$7,"",,,,"",)*IF($H20="",1,$H20))</f>
        <v>12047.924407527065</v>
      </c>
      <c r="AM20" s="7">
        <f ca="1">IF($A20="","",[2]!B_CALC_PRICE($A20,$AJ$1,IF(情景分析!$D$6=1,$J20,IF(情景分析!$D$6=2,$E20,IF(情景分析!$D$6=4,IF($C20="银行间",$J20,$L20),$G20)))+AM$2/100,情景分析!$D$7,"",,,,"",)*IF($H20="",1,$H20))</f>
        <v>12050.83253459968</v>
      </c>
      <c r="AN20" s="7">
        <f ca="1">IF($A20="","",[2]!B_CALC_PRICE($A20,$AJ$1,IF(情景分析!$D$6=1,$J20,IF(情景分析!$D$6=2,$E20,IF(情景分析!$D$6=4,IF($C20="银行间",$J20,$L20),$G20)))+AN$2/100,情景分析!$D$7,"",,,,"",)*IF($H20="",1,$H20))</f>
        <v>12053.742026306873</v>
      </c>
      <c r="AO20" s="7">
        <f ca="1">IF($A20="","",[2]!B_CALC_PRICE($A20,$AJ$1,IF(情景分析!$D$6=1,$J20,IF(情景分析!$D$6=2,$E20,IF(情景分析!$D$6=4,IF($C20="银行间",$J20,$L20),$G20)))+AO$2/100,情景分析!$D$7,"",,,,"",)*IF($H20="",1,$H20))</f>
        <v>12055.197284198635</v>
      </c>
      <c r="AP20" s="7">
        <f ca="1">IF($A20="","",[2]!B_CALC_PRICE($A20,$AJ$1,IF(情景分析!$D$6=1,$J20,IF(情景分析!$D$6=2,$E20,IF(情景分析!$D$6=4,IF($C20="银行间",$J20,$L20),$G20)))+AP$2/100,情景分析!$D$7,"",,,,"",)*IF($H20="",1,$H20))</f>
        <v>12056.6528836094</v>
      </c>
      <c r="AQ20" s="7" t="e">
        <f ca="1">IF($A20="","",[2]!B_CALC_PRICE($A20,$AQ$1,IF(情景分析!$D$6=1,$J20,IF(情景分析!$D$6=2,$E20,IF(情景分析!$D$6=4,IF($C20="银行间",$J20,$L20),$G20)))+AQ$2/100,情景分析!$D$7,"",,,,"",)*IF($H20="",1,$H20))</f>
        <v>#VALUE!</v>
      </c>
      <c r="AR20" s="7" t="e">
        <f ca="1">IF($A20="","",[2]!B_CALC_PRICE($A20,$AQ$1,IF(情景分析!$D$6=1,$J20,IF(情景分析!$D$6=2,$E20,IF(情景分析!$D$6=4,IF($C20="银行间",$J20,$L20),$G20)))+AR$2/100,情景分析!$D$7,"",,,,"",)*IF($H20="",1,$H20))</f>
        <v>#VALUE!</v>
      </c>
      <c r="AS20" s="7" t="e">
        <f ca="1">IF($A20="","",[2]!B_CALC_PRICE($A20,$AQ$1,IF(情景分析!$D$6=1,$J20,IF(情景分析!$D$6=2,$E20,IF(情景分析!$D$6=4,IF($C20="银行间",$J20,$L20),$G20)))+AS$2/100,情景分析!$D$7,"",,,,"",)*IF($H20="",1,$H20))</f>
        <v>#VALUE!</v>
      </c>
      <c r="AT20" s="7" t="e">
        <f ca="1">IF($A20="","",[2]!B_CALC_PRICE($A20,$AQ$1,IF(情景分析!$D$6=1,$J20,IF(情景分析!$D$6=2,$E20,IF(情景分析!$D$6=4,IF($C20="银行间",$J20,$L20),$G20)))+AT$2/100,情景分析!$D$7,"",,,,"",)*IF($H20="",1,$H20))</f>
        <v>#VALUE!</v>
      </c>
      <c r="AU20" s="7" t="e">
        <f ca="1">IF($A20="","",[2]!B_CALC_PRICE($A20,$AQ$1,IF(情景分析!$D$6=1,$J20,IF(情景分析!$D$6=2,$E20,IF(情景分析!$D$6=4,IF($C20="银行间",$J20,$L20),$G20)))+AU$2/100,情景分析!$D$7,"",,,,"",)*IF($H20="",1,$H20))</f>
        <v>#VALUE!</v>
      </c>
      <c r="AV20" s="7" t="e">
        <f ca="1">IF($A20="","",[2]!B_CALC_PRICE($A20,$AQ$1,IF(情景分析!$D$6=1,$J20,IF(情景分析!$D$6=2,$E20,IF(情景分析!$D$6=4,IF($C20="银行间",$J20,$L20),$G20)))+AV$2/100,情景分析!$D$7,"",,,,"",)*IF($H20="",1,$H20))</f>
        <v>#VALUE!</v>
      </c>
      <c r="AW20" s="7" t="e">
        <f ca="1">IF($A20="","",[2]!B_CALC_PRICE($A20,$AQ$1,IF(情景分析!$D$6=1,$J20,IF(情景分析!$D$6=2,$E20,IF(情景分析!$D$6=4,IF($C20="银行间",$J20,$L20),$G20)))+AW$2/100,情景分析!$D$7,"",,,,"",)*IF($H20="",1,$H20))</f>
        <v>#VALUE!</v>
      </c>
    </row>
    <row r="21" spans="1:49" x14ac:dyDescent="0.15">
      <c r="A21" s="20" t="s">
        <v>42</v>
      </c>
      <c r="B21" s="7" t="str">
        <f>IF(A21="","",[2]!b_info_name(A21))</f>
        <v>23惠安01</v>
      </c>
      <c r="C21" s="7" t="str">
        <f>[2]!b_info_listedmkt(A21)</f>
        <v>上海</v>
      </c>
      <c r="D21" s="7">
        <f ca="1">IFERROR(IF(A21="","", [2]!b_dq_avgprice(A21, 情景分析!$D$5, 情景分析!$D$7) * IF($H21="",1,$H21)),0)</f>
        <v>0</v>
      </c>
      <c r="E21" s="7">
        <f ca="1">IF(A21="","", N([2]!b_dq_avgprice(A21,情景分析!$D$5,3)))</f>
        <v>0</v>
      </c>
      <c r="F21" s="29">
        <f ca="1">IF($G21 = "",
"",
IFERROR(
[2]!b_calc_pv(A21, 情景分析!$D$5,$G21, "1", 情景分析!$D$7),
[2]!b_calc_pv(A21, 情景分析!$D$5,$G21, "2", 情景分析!$D$7)
)
)</f>
        <v>92.471528554169993</v>
      </c>
      <c r="G21" s="22">
        <v>20</v>
      </c>
      <c r="H21" s="21">
        <v>120</v>
      </c>
      <c r="I21" s="7">
        <f ca="1">IF(A21="","",IF(情景分析!$D$7=1,[2]!b_anal_net_cnbd(A21,情景分析!$D$5,1),[2]!b_anal_dirty_cnbd(A21,情景分析!$D$5,1))*IF($H21="",1,$H21))</f>
        <v>12110.796</v>
      </c>
      <c r="J21" s="7">
        <f ca="1">IF(A21="","",[2]!b_anal_yield_cnbd(A21,情景分析!$D$5,1))</f>
        <v>1.8947000000000001</v>
      </c>
      <c r="K21" s="29">
        <f ca="1">IF(A21="","",IF(情景分析!$D$7=1,[2]!b_anal_net_csi1(A21,情景分析!$D$5,1),[2]!b_anal_dirty_csi1(A21,情景分析!$D$5,1))*IF($H21="",1,$H21))</f>
        <v>12112.271999999999</v>
      </c>
      <c r="L21" s="29">
        <f ca="1">IF(A21="","",[2]!b_anal_yield_csi1(A21,情景分析!$D$5,1))</f>
        <v>1.85</v>
      </c>
      <c r="M21" s="29">
        <f t="shared" ca="1" si="4"/>
        <v>12112.271999999999</v>
      </c>
      <c r="N21" s="29">
        <f t="shared" ca="1" si="5"/>
        <v>1.85</v>
      </c>
      <c r="O21" s="7">
        <f ca="1">IF($A21="","",[2]!B_CALC_PRICE($A21,$O$1,IF(情景分析!$D$6=1,$J21,IF(情景分析!$D$6=2,$E21,IF(情景分析!$D$6=4,IF($C21="银行间",$J21,$L21),$G21)))+O$2/100,情景分析!$D$7,"",,,,"",)*IF($H21="",1,$H21))</f>
        <v>12091.334202483296</v>
      </c>
      <c r="P21" s="7">
        <f ca="1">IF($A21="","",[2]!B_CALC_PRICE($A21,$O$1,IF(情景分析!$D$6=1,$J21,IF(情景分析!$D$6=2,$E21,IF(情景分析!$D$6=4,IF($C21="银行间",$J21,$L21),$G21)))+P$2/100,情景分析!$D$7,"",,,,"",)*IF($H21="",1,$H21))</f>
        <v>12094.196206491741</v>
      </c>
      <c r="Q21" s="7">
        <f ca="1">IF($A21="","",[2]!B_CALC_PRICE($A21,$O$1,IF(情景分析!$D$6=1,$J21,IF(情景分析!$D$6=2,$E21,IF(情景分析!$D$6=4,IF($C21="银行间",$J21,$L21),$G21)))+Q$2/100,情景分析!$D$7,"",,,,"",)*IF($H21="",1,$H21))</f>
        <v>12097.059538915379</v>
      </c>
      <c r="R21" s="7">
        <f ca="1">IF($A21="","",[2]!B_CALC_PRICE($A21,$O$1,IF(情景分析!$D$6=1,$J21,IF(情景分析!$D$6=2,$E21,IF(情景分析!$D$6=4,IF($C21="银行间",$J21,$L21),$G21)))+R$2/100,情景分析!$D$7,"",,,,"",)*IF($H21="",1,$H21))</f>
        <v>12102.790192709494</v>
      </c>
      <c r="S21" s="7">
        <f ca="1">IF($A21="","",[2]!B_CALC_PRICE($A21,$O$1,IF(情景分析!$D$6=1,$J21,IF(情景分析!$D$6=2,$E21,IF(情景分析!$D$6=4,IF($C21="银行间",$J21,$L21),$G21)))+S$2/100,情景分析!$D$7,"",,,,"",)*IF($H21="",1,$H21))</f>
        <v>12108.52617127677</v>
      </c>
      <c r="T21" s="7">
        <f ca="1">IF($A21="","",[2]!B_CALC_PRICE($A21,$O$1,IF(情景分析!$D$6=1,$J21,IF(情景分析!$D$6=2,$E21,IF(情景分析!$D$6=4,IF($C21="银行间",$J21,$L21),$G21)))+T$2/100,情景分析!$D$7,"",,,,"",)*IF($H21="",1,$H21))</f>
        <v>12111.396159670088</v>
      </c>
      <c r="U21" s="7">
        <f ca="1">IF($A21="","",[2]!B_CALC_PRICE($A21,$O$1,IF(情景分析!$D$6=1,$J21,IF(情景分析!$D$6=2,$E21,IF(情景分析!$D$6=4,IF($C21="银行间",$J21,$L21),$G21)))+U$2/100,情景分析!$D$7,"",,,,"",)*IF($H21="",1,$H21))</f>
        <v>12114.267482042116</v>
      </c>
      <c r="V21" s="7">
        <f ca="1">IF($A21="","",[2]!B_CALC_PRICE($A21,$V$1,IF(情景分析!$D$6=1,$J21,IF(情景分析!$D$6=2,$E21,IF(情景分析!$D$6=4,IF($C21="银行间",$J21,$L21),$G21)))+V$2/100,情景分析!$D$7,"",,,,"",)*IF($H21="",1,$H21))</f>
        <v>12078.197897935603</v>
      </c>
      <c r="W21" s="7">
        <f ca="1">IF($A21="","",[2]!B_CALC_PRICE($A21,$V$1,IF(情景分析!$D$6=1,$J21,IF(情景分析!$D$6=2,$E21,IF(情景分析!$D$6=4,IF($C21="银行间",$J21,$L21),$G21)))+W$2/100,情景分析!$D$7,"",,,,"",)*IF($H21="",1,$H21))</f>
        <v>12080.664862776897</v>
      </c>
      <c r="X21" s="7">
        <f ca="1">IF($A21="","",[2]!B_CALC_PRICE($A21,$V$1,IF(情景分析!$D$6=1,$J21,IF(情景分析!$D$6=2,$E21,IF(情景分析!$D$6=4,IF($C21="银行间",$J21,$L21),$G21)))+X$2/100,情景分析!$D$7,"",,,,"",)*IF($H21="",1,$H21))</f>
        <v>12083.132813244954</v>
      </c>
      <c r="Y21" s="7">
        <f ca="1">IF($A21="","",[2]!B_CALC_PRICE($A21,$V$1,IF(情景分析!$D$6=1,$J21,IF(情景分析!$D$6=2,$E21,IF(情景分析!$D$6=4,IF($C21="银行间",$J21,$L21),$G21)))+Y$2/100,情景分析!$D$7,"",,,,"",)*IF($H21="",1,$H21))</f>
        <v>12088.071673425016</v>
      </c>
      <c r="Z21" s="7">
        <f ca="1">IF($A21="","",[2]!B_CALC_PRICE($A21,$V$1,IF(情景分析!$D$6=1,$J21,IF(情景分析!$D$6=2,$E21,IF(情景分析!$D$6=4,IF($C21="银行间",$J21,$L21),$G21)))+Z$2/100,情景分析!$D$7,"",,,,"",)*IF($H21="",1,$H21))</f>
        <v>12093.014483207864</v>
      </c>
      <c r="AA21" s="7">
        <f ca="1">IF($A21="","",[2]!B_CALC_PRICE($A21,$V$1,IF(情景分析!$D$6=1,$J21,IF(情景分析!$D$6=2,$E21,IF(情景分析!$D$6=4,IF($C21="银行间",$J21,$L21),$G21)))+AA$2/100,情景分析!$D$7,"",,,,"",)*IF($H21="",1,$H21))</f>
        <v>12095.487370681169</v>
      </c>
      <c r="AB21" s="7">
        <f ca="1">IF($A21="","",[2]!B_CALC_PRICE($A21,$V$1,IF(情景分析!$D$6=1,$J21,IF(情景分析!$D$6=2,$E21,IF(情景分析!$D$6=4,IF($C21="银行间",$J21,$L21),$G21)))+AB$2/100,情景分析!$D$7,"",,,,"",)*IF($H21="",1,$H21))</f>
        <v>12097.961247333131</v>
      </c>
      <c r="AC21" s="7">
        <f ca="1">IF($A21="","",[2]!B_CALC_PRICE($A21,$AC$1,IF(情景分析!$D$6=1,$J21,IF(情景分析!$D$6=2,$E21,IF(情景分析!$D$6=4,IF($C21="银行间",$J21,$L21),$G21)))+AC$2/100,情景分析!$D$7,"",,,,"",)*IF($H21="",1,$H21))</f>
        <v>12045.017644129184</v>
      </c>
      <c r="AD21" s="7">
        <f ca="1">IF($A21="","",[2]!B_CALC_PRICE($A21,$AC$1,IF(情景分析!$D$6=1,$J21,IF(情景分析!$D$6=2,$E21,IF(情景分析!$D$6=4,IF($C21="银行间",$J21,$L21),$G21)))+AD$2/100,情景分析!$D$7,"",,,,"",)*IF($H21="",1,$H21))</f>
        <v>12046.470855428741</v>
      </c>
      <c r="AE21" s="7">
        <f ca="1">IF($A21="","",[2]!B_CALC_PRICE($A21,$AC$1,IF(情景分析!$D$6=1,$J21,IF(情景分析!$D$6=2,$E21,IF(情景分析!$D$6=4,IF($C21="银行间",$J21,$L21),$G21)))+AE$2/100,情景分析!$D$7,"",,,,"",)*IF($H21="",1,$H21))</f>
        <v>12047.924407527065</v>
      </c>
      <c r="AF21" s="7">
        <f ca="1">IF($A21="","",[2]!B_CALC_PRICE($A21,$AC$1,IF(情景分析!$D$6=1,$J21,IF(情景分析!$D$6=2,$E21,IF(情景分析!$D$6=4,IF($C21="银行间",$J21,$L21),$G21)))+AF$2/100,情景分析!$D$7,"",,,,"",)*IF($H21="",1,$H21))</f>
        <v>12050.83253459968</v>
      </c>
      <c r="AG21" s="7">
        <f ca="1">IF($A21="","",[2]!B_CALC_PRICE($A21,$AC$1,IF(情景分析!$D$6=1,$J21,IF(情景分析!$D$6=2,$E21,IF(情景分析!$D$6=4,IF($C21="银行间",$J21,$L21),$G21)))+AG$2/100,情景分析!$D$7,"",,,,"",)*IF($H21="",1,$H21))</f>
        <v>12053.742026306873</v>
      </c>
      <c r="AH21" s="7">
        <f ca="1">IF($A21="","",[2]!B_CALC_PRICE($A21,$AC$1,IF(情景分析!$D$6=1,$J21,IF(情景分析!$D$6=2,$E21,IF(情景分析!$D$6=4,IF($C21="银行间",$J21,$L21),$G21)))+AH$2/100,情景分析!$D$7,"",,,,"",)*IF($H21="",1,$H21))</f>
        <v>12055.197284198635</v>
      </c>
      <c r="AI21" s="7">
        <f ca="1">IF($A21="","",[2]!B_CALC_PRICE($A21,$AC$1,IF(情景分析!$D$6=1,$J21,IF(情景分析!$D$6=2,$E21,IF(情景分析!$D$6=4,IF($C21="银行间",$J21,$L21),$G21)))+AI$2/100,情景分析!$D$7,"",,,,"",)*IF($H21="",1,$H21))</f>
        <v>12056.6528836094</v>
      </c>
      <c r="AJ21" s="7">
        <f ca="1">IF($A21="","",[2]!B_CALC_PRICE($A21,$AJ$1,IF(情景分析!$D$6=1,$J21,IF(情景分析!$D$6=2,$E21,IF(情景分析!$D$6=4,IF($C21="银行间",$J21,$L21),$G21)))+AJ$2/100,情景分析!$D$7,"",,,,"",)*IF($H21="",1,$H21))</f>
        <v>12045.017644129184</v>
      </c>
      <c r="AK21" s="7">
        <f ca="1">IF($A21="","",[2]!B_CALC_PRICE($A21,$AJ$1,IF(情景分析!$D$6=1,$J21,IF(情景分析!$D$6=2,$E21,IF(情景分析!$D$6=4,IF($C21="银行间",$J21,$L21),$G21)))+AK$2/100,情景分析!$D$7,"",,,,"",)*IF($H21="",1,$H21))</f>
        <v>12046.470855428741</v>
      </c>
      <c r="AL21" s="7">
        <f ca="1">IF($A21="","",[2]!B_CALC_PRICE($A21,$AJ$1,IF(情景分析!$D$6=1,$J21,IF(情景分析!$D$6=2,$E21,IF(情景分析!$D$6=4,IF($C21="银行间",$J21,$L21),$G21)))+AL$2/100,情景分析!$D$7,"",,,,"",)*IF($H21="",1,$H21))</f>
        <v>12047.924407527065</v>
      </c>
      <c r="AM21" s="7">
        <f ca="1">IF($A21="","",[2]!B_CALC_PRICE($A21,$AJ$1,IF(情景分析!$D$6=1,$J21,IF(情景分析!$D$6=2,$E21,IF(情景分析!$D$6=4,IF($C21="银行间",$J21,$L21),$G21)))+AM$2/100,情景分析!$D$7,"",,,,"",)*IF($H21="",1,$H21))</f>
        <v>12050.83253459968</v>
      </c>
      <c r="AN21" s="7">
        <f ca="1">IF($A21="","",[2]!B_CALC_PRICE($A21,$AJ$1,IF(情景分析!$D$6=1,$J21,IF(情景分析!$D$6=2,$E21,IF(情景分析!$D$6=4,IF($C21="银行间",$J21,$L21),$G21)))+AN$2/100,情景分析!$D$7,"",,,,"",)*IF($H21="",1,$H21))</f>
        <v>12053.742026306873</v>
      </c>
      <c r="AO21" s="7">
        <f ca="1">IF($A21="","",[2]!B_CALC_PRICE($A21,$AJ$1,IF(情景分析!$D$6=1,$J21,IF(情景分析!$D$6=2,$E21,IF(情景分析!$D$6=4,IF($C21="银行间",$J21,$L21),$G21)))+AO$2/100,情景分析!$D$7,"",,,,"",)*IF($H21="",1,$H21))</f>
        <v>12055.197284198635</v>
      </c>
      <c r="AP21" s="7">
        <f ca="1">IF($A21="","",[2]!B_CALC_PRICE($A21,$AJ$1,IF(情景分析!$D$6=1,$J21,IF(情景分析!$D$6=2,$E21,IF(情景分析!$D$6=4,IF($C21="银行间",$J21,$L21),$G21)))+AP$2/100,情景分析!$D$7,"",,,,"",)*IF($H21="",1,$H21))</f>
        <v>12056.6528836094</v>
      </c>
      <c r="AQ21" s="7" t="e">
        <f ca="1">IF($A21="","",[2]!B_CALC_PRICE($A21,$AQ$1,IF(情景分析!$D$6=1,$J21,IF(情景分析!$D$6=2,$E21,IF(情景分析!$D$6=4,IF($C21="银行间",$J21,$L21),$G21)))+AQ$2/100,情景分析!$D$7,"",,,,"",)*IF($H21="",1,$H21))</f>
        <v>#VALUE!</v>
      </c>
      <c r="AR21" s="7" t="e">
        <f ca="1">IF($A21="","",[2]!B_CALC_PRICE($A21,$AQ$1,IF(情景分析!$D$6=1,$J21,IF(情景分析!$D$6=2,$E21,IF(情景分析!$D$6=4,IF($C21="银行间",$J21,$L21),$G21)))+AR$2/100,情景分析!$D$7,"",,,,"",)*IF($H21="",1,$H21))</f>
        <v>#VALUE!</v>
      </c>
      <c r="AS21" s="7" t="e">
        <f ca="1">IF($A21="","",[2]!B_CALC_PRICE($A21,$AQ$1,IF(情景分析!$D$6=1,$J21,IF(情景分析!$D$6=2,$E21,IF(情景分析!$D$6=4,IF($C21="银行间",$J21,$L21),$G21)))+AS$2/100,情景分析!$D$7,"",,,,"",)*IF($H21="",1,$H21))</f>
        <v>#VALUE!</v>
      </c>
      <c r="AT21" s="7" t="e">
        <f ca="1">IF($A21="","",[2]!B_CALC_PRICE($A21,$AQ$1,IF(情景分析!$D$6=1,$J21,IF(情景分析!$D$6=2,$E21,IF(情景分析!$D$6=4,IF($C21="银行间",$J21,$L21),$G21)))+AT$2/100,情景分析!$D$7,"",,,,"",)*IF($H21="",1,$H21))</f>
        <v>#VALUE!</v>
      </c>
      <c r="AU21" s="7" t="e">
        <f ca="1">IF($A21="","",[2]!B_CALC_PRICE($A21,$AQ$1,IF(情景分析!$D$6=1,$J21,IF(情景分析!$D$6=2,$E21,IF(情景分析!$D$6=4,IF($C21="银行间",$J21,$L21),$G21)))+AU$2/100,情景分析!$D$7,"",,,,"",)*IF($H21="",1,$H21))</f>
        <v>#VALUE!</v>
      </c>
      <c r="AV21" s="7" t="e">
        <f ca="1">IF($A21="","",[2]!B_CALC_PRICE($A21,$AQ$1,IF(情景分析!$D$6=1,$J21,IF(情景分析!$D$6=2,$E21,IF(情景分析!$D$6=4,IF($C21="银行间",$J21,$L21),$G21)))+AV$2/100,情景分析!$D$7,"",,,,"",)*IF($H21="",1,$H21))</f>
        <v>#VALUE!</v>
      </c>
      <c r="AW21" s="7" t="e">
        <f ca="1">IF($A21="","",[2]!B_CALC_PRICE($A21,$AQ$1,IF(情景分析!$D$6=1,$J21,IF(情景分析!$D$6=2,$E21,IF(情景分析!$D$6=4,IF($C21="银行间",$J21,$L21),$G21)))+AW$2/100,情景分析!$D$7,"",,,,"",)*IF($H21="",1,$H21))</f>
        <v>#VALUE!</v>
      </c>
    </row>
    <row r="22" spans="1:49" x14ac:dyDescent="0.15">
      <c r="A22" s="20" t="s">
        <v>42</v>
      </c>
      <c r="B22" s="7" t="str">
        <f>IF(A22="","",[2]!b_info_name(A22))</f>
        <v>23惠安01</v>
      </c>
      <c r="C22" s="7" t="str">
        <f>[2]!b_info_listedmkt(A22)</f>
        <v>上海</v>
      </c>
      <c r="D22" s="7">
        <f ca="1">IFERROR(IF(A22="","", [2]!b_dq_avgprice(A22, 情景分析!$D$5, 情景分析!$D$7) * IF($H22="",1,$H22)),0)</f>
        <v>0</v>
      </c>
      <c r="E22" s="7">
        <f ca="1">IF(A22="","", N([2]!b_dq_avgprice(A22,情景分析!$D$5,3)))</f>
        <v>0</v>
      </c>
      <c r="F22" s="29">
        <f ca="1">IF($G22 = "",
"",
IFERROR(
[2]!b_calc_pv(A22, 情景分析!$D$5,$G22, "1", 情景分析!$D$7),
[2]!b_calc_pv(A22, 情景分析!$D$5,$G22, "2", 情景分析!$D$7)
)
)</f>
        <v>92.471528554169993</v>
      </c>
      <c r="G22" s="22">
        <v>20</v>
      </c>
      <c r="H22" s="21">
        <v>120</v>
      </c>
      <c r="I22" s="7">
        <f ca="1">IF(A22="","",IF(情景分析!$D$7=1,[2]!b_anal_net_cnbd(A22,情景分析!$D$5,1),[2]!b_anal_dirty_cnbd(A22,情景分析!$D$5,1))*IF($H22="",1,$H22))</f>
        <v>12110.796</v>
      </c>
      <c r="J22" s="7">
        <f ca="1">IF(A22="","",[2]!b_anal_yield_cnbd(A22,情景分析!$D$5,1))</f>
        <v>1.8947000000000001</v>
      </c>
      <c r="K22" s="29">
        <f ca="1">IF(A22="","",IF(情景分析!$D$7=1,[2]!b_anal_net_csi1(A22,情景分析!$D$5,1),[2]!b_anal_dirty_csi1(A22,情景分析!$D$5,1))*IF($H22="",1,$H22))</f>
        <v>12112.271999999999</v>
      </c>
      <c r="L22" s="29">
        <f ca="1">IF(A22="","",[2]!b_anal_yield_csi1(A22,情景分析!$D$5,1))</f>
        <v>1.85</v>
      </c>
      <c r="M22" s="29">
        <f t="shared" ca="1" si="4"/>
        <v>12112.271999999999</v>
      </c>
      <c r="N22" s="29">
        <f t="shared" ca="1" si="5"/>
        <v>1.85</v>
      </c>
      <c r="O22" s="7">
        <f ca="1">IF($A22="","",[2]!B_CALC_PRICE($A22,$O$1,IF(情景分析!$D$6=1,$J22,IF(情景分析!$D$6=2,$E22,IF(情景分析!$D$6=4,IF($C22="银行间",$J22,$L22),$G22)))+O$2/100,情景分析!$D$7,"",,,,"",)*IF($H22="",1,$H22))</f>
        <v>12091.334202483296</v>
      </c>
      <c r="P22" s="7">
        <f ca="1">IF($A22="","",[2]!B_CALC_PRICE($A22,$O$1,IF(情景分析!$D$6=1,$J22,IF(情景分析!$D$6=2,$E22,IF(情景分析!$D$6=4,IF($C22="银行间",$J22,$L22),$G22)))+P$2/100,情景分析!$D$7,"",,,,"",)*IF($H22="",1,$H22))</f>
        <v>12094.196206491741</v>
      </c>
      <c r="Q22" s="7">
        <f ca="1">IF($A22="","",[2]!B_CALC_PRICE($A22,$O$1,IF(情景分析!$D$6=1,$J22,IF(情景分析!$D$6=2,$E22,IF(情景分析!$D$6=4,IF($C22="银行间",$J22,$L22),$G22)))+Q$2/100,情景分析!$D$7,"",,,,"",)*IF($H22="",1,$H22))</f>
        <v>12097.059538915379</v>
      </c>
      <c r="R22" s="7">
        <f ca="1">IF($A22="","",[2]!B_CALC_PRICE($A22,$O$1,IF(情景分析!$D$6=1,$J22,IF(情景分析!$D$6=2,$E22,IF(情景分析!$D$6=4,IF($C22="银行间",$J22,$L22),$G22)))+R$2/100,情景分析!$D$7,"",,,,"",)*IF($H22="",1,$H22))</f>
        <v>12102.790192709494</v>
      </c>
      <c r="S22" s="7">
        <f ca="1">IF($A22="","",[2]!B_CALC_PRICE($A22,$O$1,IF(情景分析!$D$6=1,$J22,IF(情景分析!$D$6=2,$E22,IF(情景分析!$D$6=4,IF($C22="银行间",$J22,$L22),$G22)))+S$2/100,情景分析!$D$7,"",,,,"",)*IF($H22="",1,$H22))</f>
        <v>12108.52617127677</v>
      </c>
      <c r="T22" s="7">
        <f ca="1">IF($A22="","",[2]!B_CALC_PRICE($A22,$O$1,IF(情景分析!$D$6=1,$J22,IF(情景分析!$D$6=2,$E22,IF(情景分析!$D$6=4,IF($C22="银行间",$J22,$L22),$G22)))+T$2/100,情景分析!$D$7,"",,,,"",)*IF($H22="",1,$H22))</f>
        <v>12111.396159670088</v>
      </c>
      <c r="U22" s="7">
        <f ca="1">IF($A22="","",[2]!B_CALC_PRICE($A22,$O$1,IF(情景分析!$D$6=1,$J22,IF(情景分析!$D$6=2,$E22,IF(情景分析!$D$6=4,IF($C22="银行间",$J22,$L22),$G22)))+U$2/100,情景分析!$D$7,"",,,,"",)*IF($H22="",1,$H22))</f>
        <v>12114.267482042116</v>
      </c>
      <c r="V22" s="7">
        <f ca="1">IF($A22="","",[2]!B_CALC_PRICE($A22,$V$1,IF(情景分析!$D$6=1,$J22,IF(情景分析!$D$6=2,$E22,IF(情景分析!$D$6=4,IF($C22="银行间",$J22,$L22),$G22)))+V$2/100,情景分析!$D$7,"",,,,"",)*IF($H22="",1,$H22))</f>
        <v>12078.197897935603</v>
      </c>
      <c r="W22" s="7">
        <f ca="1">IF($A22="","",[2]!B_CALC_PRICE($A22,$V$1,IF(情景分析!$D$6=1,$J22,IF(情景分析!$D$6=2,$E22,IF(情景分析!$D$6=4,IF($C22="银行间",$J22,$L22),$G22)))+W$2/100,情景分析!$D$7,"",,,,"",)*IF($H22="",1,$H22))</f>
        <v>12080.664862776897</v>
      </c>
      <c r="X22" s="7">
        <f ca="1">IF($A22="","",[2]!B_CALC_PRICE($A22,$V$1,IF(情景分析!$D$6=1,$J22,IF(情景分析!$D$6=2,$E22,IF(情景分析!$D$6=4,IF($C22="银行间",$J22,$L22),$G22)))+X$2/100,情景分析!$D$7,"",,,,"",)*IF($H22="",1,$H22))</f>
        <v>12083.132813244954</v>
      </c>
      <c r="Y22" s="7">
        <f ca="1">IF($A22="","",[2]!B_CALC_PRICE($A22,$V$1,IF(情景分析!$D$6=1,$J22,IF(情景分析!$D$6=2,$E22,IF(情景分析!$D$6=4,IF($C22="银行间",$J22,$L22),$G22)))+Y$2/100,情景分析!$D$7,"",,,,"",)*IF($H22="",1,$H22))</f>
        <v>12088.071673425016</v>
      </c>
      <c r="Z22" s="7">
        <f ca="1">IF($A22="","",[2]!B_CALC_PRICE($A22,$V$1,IF(情景分析!$D$6=1,$J22,IF(情景分析!$D$6=2,$E22,IF(情景分析!$D$6=4,IF($C22="银行间",$J22,$L22),$G22)))+Z$2/100,情景分析!$D$7,"",,,,"",)*IF($H22="",1,$H22))</f>
        <v>12093.014483207864</v>
      </c>
      <c r="AA22" s="7">
        <f ca="1">IF($A22="","",[2]!B_CALC_PRICE($A22,$V$1,IF(情景分析!$D$6=1,$J22,IF(情景分析!$D$6=2,$E22,IF(情景分析!$D$6=4,IF($C22="银行间",$J22,$L22),$G22)))+AA$2/100,情景分析!$D$7,"",,,,"",)*IF($H22="",1,$H22))</f>
        <v>12095.487370681169</v>
      </c>
      <c r="AB22" s="7">
        <f ca="1">IF($A22="","",[2]!B_CALC_PRICE($A22,$V$1,IF(情景分析!$D$6=1,$J22,IF(情景分析!$D$6=2,$E22,IF(情景分析!$D$6=4,IF($C22="银行间",$J22,$L22),$G22)))+AB$2/100,情景分析!$D$7,"",,,,"",)*IF($H22="",1,$H22))</f>
        <v>12097.961247333131</v>
      </c>
      <c r="AC22" s="7">
        <f ca="1">IF($A22="","",[2]!B_CALC_PRICE($A22,$AC$1,IF(情景分析!$D$6=1,$J22,IF(情景分析!$D$6=2,$E22,IF(情景分析!$D$6=4,IF($C22="银行间",$J22,$L22),$G22)))+AC$2/100,情景分析!$D$7,"",,,,"",)*IF($H22="",1,$H22))</f>
        <v>12045.017644129184</v>
      </c>
      <c r="AD22" s="7">
        <f ca="1">IF($A22="","",[2]!B_CALC_PRICE($A22,$AC$1,IF(情景分析!$D$6=1,$J22,IF(情景分析!$D$6=2,$E22,IF(情景分析!$D$6=4,IF($C22="银行间",$J22,$L22),$G22)))+AD$2/100,情景分析!$D$7,"",,,,"",)*IF($H22="",1,$H22))</f>
        <v>12046.470855428741</v>
      </c>
      <c r="AE22" s="7">
        <f ca="1">IF($A22="","",[2]!B_CALC_PRICE($A22,$AC$1,IF(情景分析!$D$6=1,$J22,IF(情景分析!$D$6=2,$E22,IF(情景分析!$D$6=4,IF($C22="银行间",$J22,$L22),$G22)))+AE$2/100,情景分析!$D$7,"",,,,"",)*IF($H22="",1,$H22))</f>
        <v>12047.924407527065</v>
      </c>
      <c r="AF22" s="7">
        <f ca="1">IF($A22="","",[2]!B_CALC_PRICE($A22,$AC$1,IF(情景分析!$D$6=1,$J22,IF(情景分析!$D$6=2,$E22,IF(情景分析!$D$6=4,IF($C22="银行间",$J22,$L22),$G22)))+AF$2/100,情景分析!$D$7,"",,,,"",)*IF($H22="",1,$H22))</f>
        <v>12050.83253459968</v>
      </c>
      <c r="AG22" s="7">
        <f ca="1">IF($A22="","",[2]!B_CALC_PRICE($A22,$AC$1,IF(情景分析!$D$6=1,$J22,IF(情景分析!$D$6=2,$E22,IF(情景分析!$D$6=4,IF($C22="银行间",$J22,$L22),$G22)))+AG$2/100,情景分析!$D$7,"",,,,"",)*IF($H22="",1,$H22))</f>
        <v>12053.742026306873</v>
      </c>
      <c r="AH22" s="7">
        <f ca="1">IF($A22="","",[2]!B_CALC_PRICE($A22,$AC$1,IF(情景分析!$D$6=1,$J22,IF(情景分析!$D$6=2,$E22,IF(情景分析!$D$6=4,IF($C22="银行间",$J22,$L22),$G22)))+AH$2/100,情景分析!$D$7,"",,,,"",)*IF($H22="",1,$H22))</f>
        <v>12055.197284198635</v>
      </c>
      <c r="AI22" s="7">
        <f ca="1">IF($A22="","",[2]!B_CALC_PRICE($A22,$AC$1,IF(情景分析!$D$6=1,$J22,IF(情景分析!$D$6=2,$E22,IF(情景分析!$D$6=4,IF($C22="银行间",$J22,$L22),$G22)))+AI$2/100,情景分析!$D$7,"",,,,"",)*IF($H22="",1,$H22))</f>
        <v>12056.6528836094</v>
      </c>
      <c r="AJ22" s="7">
        <f ca="1">IF($A22="","",[2]!B_CALC_PRICE($A22,$AJ$1,IF(情景分析!$D$6=1,$J22,IF(情景分析!$D$6=2,$E22,IF(情景分析!$D$6=4,IF($C22="银行间",$J22,$L22),$G22)))+AJ$2/100,情景分析!$D$7,"",,,,"",)*IF($H22="",1,$H22))</f>
        <v>12045.017644129184</v>
      </c>
      <c r="AK22" s="7">
        <f ca="1">IF($A22="","",[2]!B_CALC_PRICE($A22,$AJ$1,IF(情景分析!$D$6=1,$J22,IF(情景分析!$D$6=2,$E22,IF(情景分析!$D$6=4,IF($C22="银行间",$J22,$L22),$G22)))+AK$2/100,情景分析!$D$7,"",,,,"",)*IF($H22="",1,$H22))</f>
        <v>12046.470855428741</v>
      </c>
      <c r="AL22" s="7">
        <f ca="1">IF($A22="","",[2]!B_CALC_PRICE($A22,$AJ$1,IF(情景分析!$D$6=1,$J22,IF(情景分析!$D$6=2,$E22,IF(情景分析!$D$6=4,IF($C22="银行间",$J22,$L22),$G22)))+AL$2/100,情景分析!$D$7,"",,,,"",)*IF($H22="",1,$H22))</f>
        <v>12047.924407527065</v>
      </c>
      <c r="AM22" s="7">
        <f ca="1">IF($A22="","",[2]!B_CALC_PRICE($A22,$AJ$1,IF(情景分析!$D$6=1,$J22,IF(情景分析!$D$6=2,$E22,IF(情景分析!$D$6=4,IF($C22="银行间",$J22,$L22),$G22)))+AM$2/100,情景分析!$D$7,"",,,,"",)*IF($H22="",1,$H22))</f>
        <v>12050.83253459968</v>
      </c>
      <c r="AN22" s="7">
        <f ca="1">IF($A22="","",[2]!B_CALC_PRICE($A22,$AJ$1,IF(情景分析!$D$6=1,$J22,IF(情景分析!$D$6=2,$E22,IF(情景分析!$D$6=4,IF($C22="银行间",$J22,$L22),$G22)))+AN$2/100,情景分析!$D$7,"",,,,"",)*IF($H22="",1,$H22))</f>
        <v>12053.742026306873</v>
      </c>
      <c r="AO22" s="7">
        <f ca="1">IF($A22="","",[2]!B_CALC_PRICE($A22,$AJ$1,IF(情景分析!$D$6=1,$J22,IF(情景分析!$D$6=2,$E22,IF(情景分析!$D$6=4,IF($C22="银行间",$J22,$L22),$G22)))+AO$2/100,情景分析!$D$7,"",,,,"",)*IF($H22="",1,$H22))</f>
        <v>12055.197284198635</v>
      </c>
      <c r="AP22" s="7">
        <f ca="1">IF($A22="","",[2]!B_CALC_PRICE($A22,$AJ$1,IF(情景分析!$D$6=1,$J22,IF(情景分析!$D$6=2,$E22,IF(情景分析!$D$6=4,IF($C22="银行间",$J22,$L22),$G22)))+AP$2/100,情景分析!$D$7,"",,,,"",)*IF($H22="",1,$H22))</f>
        <v>12056.6528836094</v>
      </c>
      <c r="AQ22" s="7" t="e">
        <f ca="1">IF($A22="","",[2]!B_CALC_PRICE($A22,$AQ$1,IF(情景分析!$D$6=1,$J22,IF(情景分析!$D$6=2,$E22,IF(情景分析!$D$6=4,IF($C22="银行间",$J22,$L22),$G22)))+AQ$2/100,情景分析!$D$7,"",,,,"",)*IF($H22="",1,$H22))</f>
        <v>#VALUE!</v>
      </c>
      <c r="AR22" s="7" t="e">
        <f ca="1">IF($A22="","",[2]!B_CALC_PRICE($A22,$AQ$1,IF(情景分析!$D$6=1,$J22,IF(情景分析!$D$6=2,$E22,IF(情景分析!$D$6=4,IF($C22="银行间",$J22,$L22),$G22)))+AR$2/100,情景分析!$D$7,"",,,,"",)*IF($H22="",1,$H22))</f>
        <v>#VALUE!</v>
      </c>
      <c r="AS22" s="7" t="e">
        <f ca="1">IF($A22="","",[2]!B_CALC_PRICE($A22,$AQ$1,IF(情景分析!$D$6=1,$J22,IF(情景分析!$D$6=2,$E22,IF(情景分析!$D$6=4,IF($C22="银行间",$J22,$L22),$G22)))+AS$2/100,情景分析!$D$7,"",,,,"",)*IF($H22="",1,$H22))</f>
        <v>#VALUE!</v>
      </c>
      <c r="AT22" s="7" t="e">
        <f ca="1">IF($A22="","",[2]!B_CALC_PRICE($A22,$AQ$1,IF(情景分析!$D$6=1,$J22,IF(情景分析!$D$6=2,$E22,IF(情景分析!$D$6=4,IF($C22="银行间",$J22,$L22),$G22)))+AT$2/100,情景分析!$D$7,"",,,,"",)*IF($H22="",1,$H22))</f>
        <v>#VALUE!</v>
      </c>
      <c r="AU22" s="7" t="e">
        <f ca="1">IF($A22="","",[2]!B_CALC_PRICE($A22,$AQ$1,IF(情景分析!$D$6=1,$J22,IF(情景分析!$D$6=2,$E22,IF(情景分析!$D$6=4,IF($C22="银行间",$J22,$L22),$G22)))+AU$2/100,情景分析!$D$7,"",,,,"",)*IF($H22="",1,$H22))</f>
        <v>#VALUE!</v>
      </c>
      <c r="AV22" s="7" t="e">
        <f ca="1">IF($A22="","",[2]!B_CALC_PRICE($A22,$AQ$1,IF(情景分析!$D$6=1,$J22,IF(情景分析!$D$6=2,$E22,IF(情景分析!$D$6=4,IF($C22="银行间",$J22,$L22),$G22)))+AV$2/100,情景分析!$D$7,"",,,,"",)*IF($H22="",1,$H22))</f>
        <v>#VALUE!</v>
      </c>
      <c r="AW22" s="7" t="e">
        <f ca="1">IF($A22="","",[2]!B_CALC_PRICE($A22,$AQ$1,IF(情景分析!$D$6=1,$J22,IF(情景分析!$D$6=2,$E22,IF(情景分析!$D$6=4,IF($C22="银行间",$J22,$L22),$G22)))+AW$2/100,情景分析!$D$7,"",,,,"",)*IF($H22="",1,$H22))</f>
        <v>#VALUE!</v>
      </c>
    </row>
    <row r="23" spans="1:49" x14ac:dyDescent="0.15">
      <c r="A23" s="20" t="s">
        <v>42</v>
      </c>
      <c r="B23" s="7" t="str">
        <f>IF(A23="","",[2]!b_info_name(A23))</f>
        <v>23惠安01</v>
      </c>
      <c r="C23" s="7" t="str">
        <f>[2]!b_info_listedmkt(A23)</f>
        <v>上海</v>
      </c>
      <c r="D23" s="7">
        <f ca="1">IFERROR(IF(A23="","", [2]!b_dq_avgprice(A23, 情景分析!$D$5, 情景分析!$D$7) * IF($H23="",1,$H23)),0)</f>
        <v>0</v>
      </c>
      <c r="E23" s="7">
        <f ca="1">IF(A23="","", N([2]!b_dq_avgprice(A23,情景分析!$D$5,3)))</f>
        <v>0</v>
      </c>
      <c r="F23" s="29">
        <f ca="1">IF($G23 = "",
"",
IFERROR(
[2]!b_calc_pv(A23, 情景分析!$D$5,$G23, "1", 情景分析!$D$7),
[2]!b_calc_pv(A23, 情景分析!$D$5,$G23, "2", 情景分析!$D$7)
)
)</f>
        <v>92.471528554169993</v>
      </c>
      <c r="G23" s="22">
        <v>20</v>
      </c>
      <c r="H23" s="21">
        <v>120</v>
      </c>
      <c r="I23" s="7">
        <f ca="1">IF(A23="","",IF(情景分析!$D$7=1,[2]!b_anal_net_cnbd(A23,情景分析!$D$5,1),[2]!b_anal_dirty_cnbd(A23,情景分析!$D$5,1))*IF($H23="",1,$H23))</f>
        <v>12110.796</v>
      </c>
      <c r="J23" s="7">
        <f ca="1">IF(A23="","",[2]!b_anal_yield_cnbd(A23,情景分析!$D$5,1))</f>
        <v>1.8947000000000001</v>
      </c>
      <c r="K23" s="29">
        <f ca="1">IF(A23="","",IF(情景分析!$D$7=1,[2]!b_anal_net_csi1(A23,情景分析!$D$5,1),[2]!b_anal_dirty_csi1(A23,情景分析!$D$5,1))*IF($H23="",1,$H23))</f>
        <v>12112.271999999999</v>
      </c>
      <c r="L23" s="29">
        <f ca="1">IF(A23="","",[2]!b_anal_yield_csi1(A23,情景分析!$D$5,1))</f>
        <v>1.85</v>
      </c>
      <c r="M23" s="29">
        <f t="shared" ca="1" si="4"/>
        <v>12112.271999999999</v>
      </c>
      <c r="N23" s="29">
        <f t="shared" ca="1" si="5"/>
        <v>1.85</v>
      </c>
      <c r="O23" s="7">
        <f ca="1">IF($A23="","",[2]!B_CALC_PRICE($A23,$O$1,IF(情景分析!$D$6=1,$J23,IF(情景分析!$D$6=2,$E23,IF(情景分析!$D$6=4,IF($C23="银行间",$J23,$L23),$G23)))+O$2/100,情景分析!$D$7,"",,,,"",)*IF($H23="",1,$H23))</f>
        <v>12091.334202483296</v>
      </c>
      <c r="P23" s="7">
        <f ca="1">IF($A23="","",[2]!B_CALC_PRICE($A23,$O$1,IF(情景分析!$D$6=1,$J23,IF(情景分析!$D$6=2,$E23,IF(情景分析!$D$6=4,IF($C23="银行间",$J23,$L23),$G23)))+P$2/100,情景分析!$D$7,"",,,,"",)*IF($H23="",1,$H23))</f>
        <v>12094.196206491741</v>
      </c>
      <c r="Q23" s="7">
        <f ca="1">IF($A23="","",[2]!B_CALC_PRICE($A23,$O$1,IF(情景分析!$D$6=1,$J23,IF(情景分析!$D$6=2,$E23,IF(情景分析!$D$6=4,IF($C23="银行间",$J23,$L23),$G23)))+Q$2/100,情景分析!$D$7,"",,,,"",)*IF($H23="",1,$H23))</f>
        <v>12097.059538915379</v>
      </c>
      <c r="R23" s="7">
        <f ca="1">IF($A23="","",[2]!B_CALC_PRICE($A23,$O$1,IF(情景分析!$D$6=1,$J23,IF(情景分析!$D$6=2,$E23,IF(情景分析!$D$6=4,IF($C23="银行间",$J23,$L23),$G23)))+R$2/100,情景分析!$D$7,"",,,,"",)*IF($H23="",1,$H23))</f>
        <v>12102.790192709494</v>
      </c>
      <c r="S23" s="7">
        <f ca="1">IF($A23="","",[2]!B_CALC_PRICE($A23,$O$1,IF(情景分析!$D$6=1,$J23,IF(情景分析!$D$6=2,$E23,IF(情景分析!$D$6=4,IF($C23="银行间",$J23,$L23),$G23)))+S$2/100,情景分析!$D$7,"",,,,"",)*IF($H23="",1,$H23))</f>
        <v>12108.52617127677</v>
      </c>
      <c r="T23" s="7">
        <f ca="1">IF($A23="","",[2]!B_CALC_PRICE($A23,$O$1,IF(情景分析!$D$6=1,$J23,IF(情景分析!$D$6=2,$E23,IF(情景分析!$D$6=4,IF($C23="银行间",$J23,$L23),$G23)))+T$2/100,情景分析!$D$7,"",,,,"",)*IF($H23="",1,$H23))</f>
        <v>12111.396159670088</v>
      </c>
      <c r="U23" s="7">
        <f ca="1">IF($A23="","",[2]!B_CALC_PRICE($A23,$O$1,IF(情景分析!$D$6=1,$J23,IF(情景分析!$D$6=2,$E23,IF(情景分析!$D$6=4,IF($C23="银行间",$J23,$L23),$G23)))+U$2/100,情景分析!$D$7,"",,,,"",)*IF($H23="",1,$H23))</f>
        <v>12114.267482042116</v>
      </c>
      <c r="V23" s="7">
        <f ca="1">IF($A23="","",[2]!B_CALC_PRICE($A23,$V$1,IF(情景分析!$D$6=1,$J23,IF(情景分析!$D$6=2,$E23,IF(情景分析!$D$6=4,IF($C23="银行间",$J23,$L23),$G23)))+V$2/100,情景分析!$D$7,"",,,,"",)*IF($H23="",1,$H23))</f>
        <v>12078.197897935603</v>
      </c>
      <c r="W23" s="7">
        <f ca="1">IF($A23="","",[2]!B_CALC_PRICE($A23,$V$1,IF(情景分析!$D$6=1,$J23,IF(情景分析!$D$6=2,$E23,IF(情景分析!$D$6=4,IF($C23="银行间",$J23,$L23),$G23)))+W$2/100,情景分析!$D$7,"",,,,"",)*IF($H23="",1,$H23))</f>
        <v>12080.664862776897</v>
      </c>
      <c r="X23" s="7">
        <f ca="1">IF($A23="","",[2]!B_CALC_PRICE($A23,$V$1,IF(情景分析!$D$6=1,$J23,IF(情景分析!$D$6=2,$E23,IF(情景分析!$D$6=4,IF($C23="银行间",$J23,$L23),$G23)))+X$2/100,情景分析!$D$7,"",,,,"",)*IF($H23="",1,$H23))</f>
        <v>12083.132813244954</v>
      </c>
      <c r="Y23" s="7">
        <f ca="1">IF($A23="","",[2]!B_CALC_PRICE($A23,$V$1,IF(情景分析!$D$6=1,$J23,IF(情景分析!$D$6=2,$E23,IF(情景分析!$D$6=4,IF($C23="银行间",$J23,$L23),$G23)))+Y$2/100,情景分析!$D$7,"",,,,"",)*IF($H23="",1,$H23))</f>
        <v>12088.071673425016</v>
      </c>
      <c r="Z23" s="7">
        <f ca="1">IF($A23="","",[2]!B_CALC_PRICE($A23,$V$1,IF(情景分析!$D$6=1,$J23,IF(情景分析!$D$6=2,$E23,IF(情景分析!$D$6=4,IF($C23="银行间",$J23,$L23),$G23)))+Z$2/100,情景分析!$D$7,"",,,,"",)*IF($H23="",1,$H23))</f>
        <v>12093.014483207864</v>
      </c>
      <c r="AA23" s="7">
        <f ca="1">IF($A23="","",[2]!B_CALC_PRICE($A23,$V$1,IF(情景分析!$D$6=1,$J23,IF(情景分析!$D$6=2,$E23,IF(情景分析!$D$6=4,IF($C23="银行间",$J23,$L23),$G23)))+AA$2/100,情景分析!$D$7,"",,,,"",)*IF($H23="",1,$H23))</f>
        <v>12095.487370681169</v>
      </c>
      <c r="AB23" s="7">
        <f ca="1">IF($A23="","",[2]!B_CALC_PRICE($A23,$V$1,IF(情景分析!$D$6=1,$J23,IF(情景分析!$D$6=2,$E23,IF(情景分析!$D$6=4,IF($C23="银行间",$J23,$L23),$G23)))+AB$2/100,情景分析!$D$7,"",,,,"",)*IF($H23="",1,$H23))</f>
        <v>12097.961247333131</v>
      </c>
      <c r="AC23" s="7">
        <f ca="1">IF($A23="","",[2]!B_CALC_PRICE($A23,$AC$1,IF(情景分析!$D$6=1,$J23,IF(情景分析!$D$6=2,$E23,IF(情景分析!$D$6=4,IF($C23="银行间",$J23,$L23),$G23)))+AC$2/100,情景分析!$D$7,"",,,,"",)*IF($H23="",1,$H23))</f>
        <v>12045.017644129184</v>
      </c>
      <c r="AD23" s="7">
        <f ca="1">IF($A23="","",[2]!B_CALC_PRICE($A23,$AC$1,IF(情景分析!$D$6=1,$J23,IF(情景分析!$D$6=2,$E23,IF(情景分析!$D$6=4,IF($C23="银行间",$J23,$L23),$G23)))+AD$2/100,情景分析!$D$7,"",,,,"",)*IF($H23="",1,$H23))</f>
        <v>12046.470855428741</v>
      </c>
      <c r="AE23" s="7">
        <f ca="1">IF($A23="","",[2]!B_CALC_PRICE($A23,$AC$1,IF(情景分析!$D$6=1,$J23,IF(情景分析!$D$6=2,$E23,IF(情景分析!$D$6=4,IF($C23="银行间",$J23,$L23),$G23)))+AE$2/100,情景分析!$D$7,"",,,,"",)*IF($H23="",1,$H23))</f>
        <v>12047.924407527065</v>
      </c>
      <c r="AF23" s="7">
        <f ca="1">IF($A23="","",[2]!B_CALC_PRICE($A23,$AC$1,IF(情景分析!$D$6=1,$J23,IF(情景分析!$D$6=2,$E23,IF(情景分析!$D$6=4,IF($C23="银行间",$J23,$L23),$G23)))+AF$2/100,情景分析!$D$7,"",,,,"",)*IF($H23="",1,$H23))</f>
        <v>12050.83253459968</v>
      </c>
      <c r="AG23" s="7">
        <f ca="1">IF($A23="","",[2]!B_CALC_PRICE($A23,$AC$1,IF(情景分析!$D$6=1,$J23,IF(情景分析!$D$6=2,$E23,IF(情景分析!$D$6=4,IF($C23="银行间",$J23,$L23),$G23)))+AG$2/100,情景分析!$D$7,"",,,,"",)*IF($H23="",1,$H23))</f>
        <v>12053.742026306873</v>
      </c>
      <c r="AH23" s="7">
        <f ca="1">IF($A23="","",[2]!B_CALC_PRICE($A23,$AC$1,IF(情景分析!$D$6=1,$J23,IF(情景分析!$D$6=2,$E23,IF(情景分析!$D$6=4,IF($C23="银行间",$J23,$L23),$G23)))+AH$2/100,情景分析!$D$7,"",,,,"",)*IF($H23="",1,$H23))</f>
        <v>12055.197284198635</v>
      </c>
      <c r="AI23" s="7">
        <f ca="1">IF($A23="","",[2]!B_CALC_PRICE($A23,$AC$1,IF(情景分析!$D$6=1,$J23,IF(情景分析!$D$6=2,$E23,IF(情景分析!$D$6=4,IF($C23="银行间",$J23,$L23),$G23)))+AI$2/100,情景分析!$D$7,"",,,,"",)*IF($H23="",1,$H23))</f>
        <v>12056.6528836094</v>
      </c>
      <c r="AJ23" s="7">
        <f ca="1">IF($A23="","",[2]!B_CALC_PRICE($A23,$AJ$1,IF(情景分析!$D$6=1,$J23,IF(情景分析!$D$6=2,$E23,IF(情景分析!$D$6=4,IF($C23="银行间",$J23,$L23),$G23)))+AJ$2/100,情景分析!$D$7,"",,,,"",)*IF($H23="",1,$H23))</f>
        <v>12045.017644129184</v>
      </c>
      <c r="AK23" s="7">
        <f ca="1">IF($A23="","",[2]!B_CALC_PRICE($A23,$AJ$1,IF(情景分析!$D$6=1,$J23,IF(情景分析!$D$6=2,$E23,IF(情景分析!$D$6=4,IF($C23="银行间",$J23,$L23),$G23)))+AK$2/100,情景分析!$D$7,"",,,,"",)*IF($H23="",1,$H23))</f>
        <v>12046.470855428741</v>
      </c>
      <c r="AL23" s="7">
        <f ca="1">IF($A23="","",[2]!B_CALC_PRICE($A23,$AJ$1,IF(情景分析!$D$6=1,$J23,IF(情景分析!$D$6=2,$E23,IF(情景分析!$D$6=4,IF($C23="银行间",$J23,$L23),$G23)))+AL$2/100,情景分析!$D$7,"",,,,"",)*IF($H23="",1,$H23))</f>
        <v>12047.924407527065</v>
      </c>
      <c r="AM23" s="7">
        <f ca="1">IF($A23="","",[2]!B_CALC_PRICE($A23,$AJ$1,IF(情景分析!$D$6=1,$J23,IF(情景分析!$D$6=2,$E23,IF(情景分析!$D$6=4,IF($C23="银行间",$J23,$L23),$G23)))+AM$2/100,情景分析!$D$7,"",,,,"",)*IF($H23="",1,$H23))</f>
        <v>12050.83253459968</v>
      </c>
      <c r="AN23" s="7">
        <f ca="1">IF($A23="","",[2]!B_CALC_PRICE($A23,$AJ$1,IF(情景分析!$D$6=1,$J23,IF(情景分析!$D$6=2,$E23,IF(情景分析!$D$6=4,IF($C23="银行间",$J23,$L23),$G23)))+AN$2/100,情景分析!$D$7,"",,,,"",)*IF($H23="",1,$H23))</f>
        <v>12053.742026306873</v>
      </c>
      <c r="AO23" s="7">
        <f ca="1">IF($A23="","",[2]!B_CALC_PRICE($A23,$AJ$1,IF(情景分析!$D$6=1,$J23,IF(情景分析!$D$6=2,$E23,IF(情景分析!$D$6=4,IF($C23="银行间",$J23,$L23),$G23)))+AO$2/100,情景分析!$D$7,"",,,,"",)*IF($H23="",1,$H23))</f>
        <v>12055.197284198635</v>
      </c>
      <c r="AP23" s="7">
        <f ca="1">IF($A23="","",[2]!B_CALC_PRICE($A23,$AJ$1,IF(情景分析!$D$6=1,$J23,IF(情景分析!$D$6=2,$E23,IF(情景分析!$D$6=4,IF($C23="银行间",$J23,$L23),$G23)))+AP$2/100,情景分析!$D$7,"",,,,"",)*IF($H23="",1,$H23))</f>
        <v>12056.6528836094</v>
      </c>
      <c r="AQ23" s="7" t="e">
        <f ca="1">IF($A23="","",[2]!B_CALC_PRICE($A23,$AQ$1,IF(情景分析!$D$6=1,$J23,IF(情景分析!$D$6=2,$E23,IF(情景分析!$D$6=4,IF($C23="银行间",$J23,$L23),$G23)))+AQ$2/100,情景分析!$D$7,"",,,,"",)*IF($H23="",1,$H23))</f>
        <v>#VALUE!</v>
      </c>
      <c r="AR23" s="7" t="e">
        <f ca="1">IF($A23="","",[2]!B_CALC_PRICE($A23,$AQ$1,IF(情景分析!$D$6=1,$J23,IF(情景分析!$D$6=2,$E23,IF(情景分析!$D$6=4,IF($C23="银行间",$J23,$L23),$G23)))+AR$2/100,情景分析!$D$7,"",,,,"",)*IF($H23="",1,$H23))</f>
        <v>#VALUE!</v>
      </c>
      <c r="AS23" s="7" t="e">
        <f ca="1">IF($A23="","",[2]!B_CALC_PRICE($A23,$AQ$1,IF(情景分析!$D$6=1,$J23,IF(情景分析!$D$6=2,$E23,IF(情景分析!$D$6=4,IF($C23="银行间",$J23,$L23),$G23)))+AS$2/100,情景分析!$D$7,"",,,,"",)*IF($H23="",1,$H23))</f>
        <v>#VALUE!</v>
      </c>
      <c r="AT23" s="7" t="e">
        <f ca="1">IF($A23="","",[2]!B_CALC_PRICE($A23,$AQ$1,IF(情景分析!$D$6=1,$J23,IF(情景分析!$D$6=2,$E23,IF(情景分析!$D$6=4,IF($C23="银行间",$J23,$L23),$G23)))+AT$2/100,情景分析!$D$7,"",,,,"",)*IF($H23="",1,$H23))</f>
        <v>#VALUE!</v>
      </c>
      <c r="AU23" s="7" t="e">
        <f ca="1">IF($A23="","",[2]!B_CALC_PRICE($A23,$AQ$1,IF(情景分析!$D$6=1,$J23,IF(情景分析!$D$6=2,$E23,IF(情景分析!$D$6=4,IF($C23="银行间",$J23,$L23),$G23)))+AU$2/100,情景分析!$D$7,"",,,,"",)*IF($H23="",1,$H23))</f>
        <v>#VALUE!</v>
      </c>
      <c r="AV23" s="7" t="e">
        <f ca="1">IF($A23="","",[2]!B_CALC_PRICE($A23,$AQ$1,IF(情景分析!$D$6=1,$J23,IF(情景分析!$D$6=2,$E23,IF(情景分析!$D$6=4,IF($C23="银行间",$J23,$L23),$G23)))+AV$2/100,情景分析!$D$7,"",,,,"",)*IF($H23="",1,$H23))</f>
        <v>#VALUE!</v>
      </c>
      <c r="AW23" s="7" t="e">
        <f ca="1">IF($A23="","",[2]!B_CALC_PRICE($A23,$AQ$1,IF(情景分析!$D$6=1,$J23,IF(情景分析!$D$6=2,$E23,IF(情景分析!$D$6=4,IF($C23="银行间",$J23,$L23),$G23)))+AW$2/100,情景分析!$D$7,"",,,,"",)*IF($H23="",1,$H23))</f>
        <v>#VALUE!</v>
      </c>
    </row>
    <row r="24" spans="1:49" x14ac:dyDescent="0.15">
      <c r="A24" s="20" t="s">
        <v>43</v>
      </c>
      <c r="B24" s="7" t="str">
        <f>IF(A24="","",[2]!b_info_name(A24))</f>
        <v>23晋投03</v>
      </c>
      <c r="C24" s="7" t="str">
        <f>[2]!b_info_listedmkt(A24)</f>
        <v>上海</v>
      </c>
      <c r="D24" s="7">
        <f ca="1">IFERROR(IF(A24="","", [2]!b_dq_avgprice(A24, 情景分析!$D$5, 情景分析!$D$7) * IF($H24="",1,$H24)),0)</f>
        <v>0</v>
      </c>
      <c r="E24" s="7">
        <f ca="1">IF(A24="","", N([2]!b_dq_avgprice(A24,情景分析!$D$5,3)))</f>
        <v>0</v>
      </c>
      <c r="F24" s="29">
        <f ca="1">IF($G24 = "",
"",
IFERROR(
[2]!b_calc_pv(A24, 情景分析!$D$5,$G24, "1", 情景分析!$D$7),
[2]!b_calc_pv(A24, 情景分析!$D$5,$G24, "2", 情景分析!$D$7)
)
)</f>
        <v>69.116436031742964</v>
      </c>
      <c r="G24" s="22">
        <v>20</v>
      </c>
      <c r="H24" s="21">
        <v>120</v>
      </c>
      <c r="I24" s="7">
        <f ca="1">IF(A24="","",IF(情景分析!$D$7=1,[2]!b_anal_net_cnbd(A24,情景分析!$D$5,1),[2]!b_anal_dirty_cnbd(A24,情景分析!$D$5,1))*IF($H24="",1,$H24))</f>
        <v>12162.192000000001</v>
      </c>
      <c r="J24" s="7">
        <f ca="1">IF(A24="","",[2]!b_anal_yield_cnbd(A24,情景分析!$D$5,1))</f>
        <v>1.8208</v>
      </c>
      <c r="K24" s="29">
        <f ca="1">IF(A24="","",IF(情景分析!$D$7=1,[2]!b_anal_net_csi1(A24,情景分析!$D$5,1),[2]!b_anal_dirty_csi1(A24,情景分析!$D$5,1))*IF($H24="",1,$H24))</f>
        <v>12162.66</v>
      </c>
      <c r="L24" s="29">
        <f ca="1">IF(A24="","",[2]!b_anal_yield_csi1(A24,情景分析!$D$5,1))</f>
        <v>1.8138000000000001</v>
      </c>
      <c r="M24" s="29">
        <f t="shared" ca="1" si="4"/>
        <v>12162.66</v>
      </c>
      <c r="N24" s="29">
        <f t="shared" ca="1" si="5"/>
        <v>1.8138000000000001</v>
      </c>
      <c r="O24" s="7">
        <f ca="1">IF($A24="","",[2]!B_CALC_PRICE($A24,$O$1,IF(情景分析!$D$6=1,$J24,IF(情景分析!$D$6=2,$E24,IF(情景分析!$D$6=4,IF($C24="银行间",$J24,$L24),$G24)))+O$2/100,情景分析!$D$7,"",,,,"",)*IF($H24="",1,$H24))</f>
        <v>12583.630205747178</v>
      </c>
      <c r="P24" s="7">
        <f ca="1">IF($A24="","",[2]!B_CALC_PRICE($A24,$O$1,IF(情景分析!$D$6=1,$J24,IF(情景分析!$D$6=2,$E24,IF(情景分析!$D$6=4,IF($C24="银行间",$J24,$L24),$G24)))+P$2/100,情景分析!$D$7,"",,,,"",)*IF($H24="",1,$H24))</f>
        <v>12599.377597240202</v>
      </c>
      <c r="Q24" s="7">
        <f ca="1">IF($A24="","",[2]!B_CALC_PRICE($A24,$O$1,IF(情景分析!$D$6=1,$J24,IF(情景分析!$D$6=2,$E24,IF(情景分析!$D$6=4,IF($C24="银行间",$J24,$L24),$G24)))+Q$2/100,情景分析!$D$7,"",,,,"",)*IF($H24="",1,$H24))</f>
        <v>12615.152681178795</v>
      </c>
      <c r="R24" s="7">
        <f ca="1">IF($A24="","",[2]!B_CALC_PRICE($A24,$O$1,IF(情景分析!$D$6=1,$J24,IF(情景分析!$D$6=2,$E24,IF(情景分析!$D$6=4,IF($C24="银行间",$J24,$L24),$G24)))+R$2/100,情景分析!$D$7,"",,,,"",)*IF($H24="",1,$H24))</f>
        <v>12646.786176722922</v>
      </c>
      <c r="S24" s="7">
        <f ca="1">IF($A24="","",[2]!B_CALC_PRICE($A24,$O$1,IF(情景分析!$D$6=1,$J24,IF(情景分析!$D$6=2,$E24,IF(情景分析!$D$6=4,IF($C24="银行间",$J24,$L24),$G24)))+S$2/100,情景分析!$D$7,"",,,,"",)*IF($H24="",1,$H24))</f>
        <v>12678.531194765943</v>
      </c>
      <c r="T24" s="7">
        <f ca="1">IF($A24="","",[2]!B_CALC_PRICE($A24,$O$1,IF(情景分析!$D$6=1,$J24,IF(情景分析!$D$6=2,$E24,IF(情景分析!$D$6=4,IF($C24="银行间",$J24,$L24),$G24)))+T$2/100,情景分析!$D$7,"",,,,"",)*IF($H24="",1,$H24))</f>
        <v>12694.445682478292</v>
      </c>
      <c r="U24" s="7">
        <f ca="1">IF($A24="","",[2]!B_CALC_PRICE($A24,$O$1,IF(情景分析!$D$6=1,$J24,IF(情景分析!$D$6=2,$E24,IF(情景分析!$D$6=4,IF($C24="银行间",$J24,$L24),$G24)))+U$2/100,情景分析!$D$7,"",,,,"",)*IF($H24="",1,$H24))</f>
        <v>12710.388240468177</v>
      </c>
      <c r="V24" s="7">
        <f ca="1">IF($A24="","",[2]!B_CALC_PRICE($A24,$V$1,IF(情景分析!$D$6=1,$J24,IF(情景分析!$D$6=2,$E24,IF(情景分析!$D$6=4,IF($C24="银行间",$J24,$L24),$G24)))+V$2/100,情景分析!$D$7,"",,,,"",)*IF($H24="",1,$H24))</f>
        <v>12569.26361923388</v>
      </c>
      <c r="W24" s="7">
        <f ca="1">IF($A24="","",[2]!B_CALC_PRICE($A24,$V$1,IF(情景分析!$D$6=1,$J24,IF(情景分析!$D$6=2,$E24,IF(情景分析!$D$6=4,IF($C24="银行间",$J24,$L24),$G24)))+W$2/100,情景分析!$D$7,"",,,,"",)*IF($H24="",1,$H24))</f>
        <v>12584.619307115756</v>
      </c>
      <c r="X24" s="7">
        <f ca="1">IF($A24="","",[2]!B_CALC_PRICE($A24,$V$1,IF(情景分析!$D$6=1,$J24,IF(情景分析!$D$6=2,$E24,IF(情景分析!$D$6=4,IF($C24="银行间",$J24,$L24),$G24)))+X$2/100,情景分析!$D$7,"",,,,"",)*IF($H24="",1,$H24))</f>
        <v>12600.001516394994</v>
      </c>
      <c r="Y24" s="7">
        <f ca="1">IF($A24="","",[2]!B_CALC_PRICE($A24,$V$1,IF(情景分析!$D$6=1,$J24,IF(情景分析!$D$6=2,$E24,IF(情景分析!$D$6=4,IF($C24="银行间",$J24,$L24),$G24)))+Y$2/100,情景分析!$D$7,"",,,,"",)*IF($H24="",1,$H24))</f>
        <v>12630.845735520374</v>
      </c>
      <c r="Z24" s="7">
        <f ca="1">IF($A24="","",[2]!B_CALC_PRICE($A24,$V$1,IF(情景分析!$D$6=1,$J24,IF(情景分析!$D$6=2,$E24,IF(情景分析!$D$6=4,IF($C24="银行间",$J24,$L24),$G24)))+Z$2/100,情景分析!$D$7,"",,,,"",)*IF($H24="",1,$H24))</f>
        <v>12661.796750970432</v>
      </c>
      <c r="AA24" s="7">
        <f ca="1">IF($A24="","",[2]!B_CALC_PRICE($A24,$V$1,IF(情景分析!$D$6=1,$J24,IF(情景分析!$D$6=2,$E24,IF(情景分析!$D$6=4,IF($C24="银行间",$J24,$L24),$G24)))+AA$2/100,情景分析!$D$7,"",,,,"",)*IF($H24="",1,$H24))</f>
        <v>12677.312456262274</v>
      </c>
      <c r="AB24" s="7">
        <f ca="1">IF($A24="","",[2]!B_CALC_PRICE($A24,$V$1,IF(情景分析!$D$6=1,$J24,IF(情景分析!$D$6=2,$E24,IF(情景分析!$D$6=4,IF($C24="银行间",$J24,$L24),$G24)))+AB$2/100,情景分析!$D$7,"",,,,"",)*IF($H24="",1,$H24))</f>
        <v>12692.855039694397</v>
      </c>
      <c r="AC24" s="7">
        <f ca="1">IF($A24="","",[2]!B_CALC_PRICE($A24,$AC$1,IF(情景分析!$D$6=1,$J24,IF(情景分析!$D$6=2,$E24,IF(情景分析!$D$6=4,IF($C24="银行间",$J24,$L24),$G24)))+AC$2/100,情景分析!$D$7,"",,,,"",)*IF($H24="",1,$H24))</f>
        <v>12532.848151975159</v>
      </c>
      <c r="AD24" s="7">
        <f ca="1">IF($A24="","",[2]!B_CALC_PRICE($A24,$AC$1,IF(情景分析!$D$6=1,$J24,IF(情景分析!$D$6=2,$E24,IF(情景分析!$D$6=4,IF($C24="银行间",$J24,$L24),$G24)))+AD$2/100,情景分析!$D$7,"",,,,"",)*IF($H24="",1,$H24))</f>
        <v>12547.203550671566</v>
      </c>
      <c r="AE24" s="7">
        <f ca="1">IF($A24="","",[2]!B_CALC_PRICE($A24,$AC$1,IF(情景分析!$D$6=1,$J24,IF(情景分析!$D$6=2,$E24,IF(情景分析!$D$6=4,IF($C24="银行间",$J24,$L24),$G24)))+AE$2/100,情景分析!$D$7,"",,,,"",)*IF($H24="",1,$H24))</f>
        <v>12561.582600714002</v>
      </c>
      <c r="AF24" s="7">
        <f ca="1">IF($A24="","",[2]!B_CALC_PRICE($A24,$AC$1,IF(情景分析!$D$6=1,$J24,IF(情景分析!$D$6=2,$E24,IF(情景分析!$D$6=4,IF($C24="银行间",$J24,$L24),$G24)))+AF$2/100,情景分析!$D$7,"",,,,"",)*IF($H24="",1,$H24))</f>
        <v>12590.411858000558</v>
      </c>
      <c r="AG24" s="7">
        <f ca="1">IF($A24="","",[2]!B_CALC_PRICE($A24,$AC$1,IF(情景分析!$D$6=1,$J24,IF(情景分析!$D$6=2,$E24,IF(情景分析!$D$6=4,IF($C24="银行间",$J24,$L24),$G24)))+AG$2/100,情景分析!$D$7,"",,,,"",)*IF($H24="",1,$H24))</f>
        <v>12619.336331505219</v>
      </c>
      <c r="AH24" s="7">
        <f ca="1">IF($A24="","",[2]!B_CALC_PRICE($A24,$AC$1,IF(情景分析!$D$6=1,$J24,IF(情景分析!$D$6=2,$E24,IF(情景分析!$D$6=4,IF($C24="银行间",$J24,$L24),$G24)))+AH$2/100,情景分析!$D$7,"",,,,"",)*IF($H24="",1,$H24))</f>
        <v>12633.834402326178</v>
      </c>
      <c r="AI24" s="7">
        <f ca="1">IF($A24="","",[2]!B_CALC_PRICE($A24,$AC$1,IF(情景分析!$D$6=1,$J24,IF(情景分析!$D$6=2,$E24,IF(情景分析!$D$6=4,IF($C24="银行间",$J24,$L24),$G24)))+AI$2/100,情景分析!$D$7,"",,,,"",)*IF($H24="",1,$H24))</f>
        <v>12648.356431056849</v>
      </c>
      <c r="AJ24" s="7">
        <f ca="1">IF($A24="","",[2]!B_CALC_PRICE($A24,$AJ$1,IF(情景分析!$D$6=1,$J24,IF(情景分析!$D$6=2,$E24,IF(情景分析!$D$6=4,IF($C24="银行间",$J24,$L24),$G24)))+AJ$2/100,情景分析!$D$7,"",,,,"",)*IF($H24="",1,$H24))</f>
        <v>12532.848151975159</v>
      </c>
      <c r="AK24" s="7">
        <f ca="1">IF($A24="","",[2]!B_CALC_PRICE($A24,$AJ$1,IF(情景分析!$D$6=1,$J24,IF(情景分析!$D$6=2,$E24,IF(情景分析!$D$6=4,IF($C24="银行间",$J24,$L24),$G24)))+AK$2/100,情景分析!$D$7,"",,,,"",)*IF($H24="",1,$H24))</f>
        <v>12547.203550671566</v>
      </c>
      <c r="AL24" s="7">
        <f ca="1">IF($A24="","",[2]!B_CALC_PRICE($A24,$AJ$1,IF(情景分析!$D$6=1,$J24,IF(情景分析!$D$6=2,$E24,IF(情景分析!$D$6=4,IF($C24="银行间",$J24,$L24),$G24)))+AL$2/100,情景分析!$D$7,"",,,,"",)*IF($H24="",1,$H24))</f>
        <v>12561.582600714002</v>
      </c>
      <c r="AM24" s="7">
        <f ca="1">IF($A24="","",[2]!B_CALC_PRICE($A24,$AJ$1,IF(情景分析!$D$6=1,$J24,IF(情景分析!$D$6=2,$E24,IF(情景分析!$D$6=4,IF($C24="银行间",$J24,$L24),$G24)))+AM$2/100,情景分析!$D$7,"",,,,"",)*IF($H24="",1,$H24))</f>
        <v>12590.411858000558</v>
      </c>
      <c r="AN24" s="7">
        <f ca="1">IF($A24="","",[2]!B_CALC_PRICE($A24,$AJ$1,IF(情景分析!$D$6=1,$J24,IF(情景分析!$D$6=2,$E24,IF(情景分析!$D$6=4,IF($C24="银行间",$J24,$L24),$G24)))+AN$2/100,情景分析!$D$7,"",,,,"",)*IF($H24="",1,$H24))</f>
        <v>12619.336331505219</v>
      </c>
      <c r="AO24" s="7">
        <f ca="1">IF($A24="","",[2]!B_CALC_PRICE($A24,$AJ$1,IF(情景分析!$D$6=1,$J24,IF(情景分析!$D$6=2,$E24,IF(情景分析!$D$6=4,IF($C24="银行间",$J24,$L24),$G24)))+AO$2/100,情景分析!$D$7,"",,,,"",)*IF($H24="",1,$H24))</f>
        <v>12633.834402326178</v>
      </c>
      <c r="AP24" s="7">
        <f ca="1">IF($A24="","",[2]!B_CALC_PRICE($A24,$AJ$1,IF(情景分析!$D$6=1,$J24,IF(情景分析!$D$6=2,$E24,IF(情景分析!$D$6=4,IF($C24="银行间",$J24,$L24),$G24)))+AP$2/100,情景分析!$D$7,"",,,,"",)*IF($H24="",1,$H24))</f>
        <v>12648.356431056849</v>
      </c>
      <c r="AQ24" s="7">
        <f ca="1">IF($A24="","",[2]!B_CALC_PRICE($A24,$AQ$1,IF(情景分析!$D$6=1,$J24,IF(情景分析!$D$6=2,$E24,IF(情景分析!$D$6=4,IF($C24="银行间",$J24,$L24),$G24)))+AQ$2/100,情景分析!$D$7,"",,,,"",)*IF($H24="",1,$H24))</f>
        <v>12368.247575234025</v>
      </c>
      <c r="AR24" s="7">
        <f ca="1">IF($A24="","",[2]!B_CALC_PRICE($A24,$AQ$1,IF(情景分析!$D$6=1,$J24,IF(情景分析!$D$6=2,$E24,IF(情景分析!$D$6=4,IF($C24="银行间",$J24,$L24),$G24)))+AR$2/100,情景分析!$D$7,"",,,,"",)*IF($H24="",1,$H24))</f>
        <v>12378.125985523846</v>
      </c>
      <c r="AS24" s="7">
        <f ca="1">IF($A24="","",[2]!B_CALC_PRICE($A24,$AQ$1,IF(情景分析!$D$6=1,$J24,IF(情景分析!$D$6=2,$E24,IF(情景分析!$D$6=4,IF($C24="银行间",$J24,$L24),$G24)))+AS$2/100,情景分析!$D$7,"",,,,"",)*IF($H24="",1,$H24))</f>
        <v>12388.017137678986</v>
      </c>
      <c r="AT24" s="7">
        <f ca="1">IF($A24="","",[2]!B_CALC_PRICE($A24,$AQ$1,IF(情景分析!$D$6=1,$J24,IF(情景分析!$D$6=2,$E24,IF(情景分析!$D$6=4,IF($C24="银行间",$J24,$L24),$G24)))+AT$2/100,情景分析!$D$7,"",,,,"",)*IF($H24="",1,$H24))</f>
        <v>12407.83775857058</v>
      </c>
      <c r="AU24" s="7">
        <f ca="1">IF($A24="","",[2]!B_CALC_PRICE($A24,$AQ$1,IF(情景分析!$D$6=1,$J24,IF(情景分析!$D$6=2,$E24,IF(情景分析!$D$6=4,IF($C24="银行间",$J24,$L24),$G24)))+AU$2/100,情景分析!$D$7,"",,,,"",)*IF($H24="",1,$H24))</f>
        <v>12427.709620398149</v>
      </c>
      <c r="AV24" s="7">
        <f ca="1">IF($A24="","",[2]!B_CALC_PRICE($A24,$AQ$1,IF(情景分析!$D$6=1,$J24,IF(情景分析!$D$6=2,$E24,IF(情景分析!$D$6=4,IF($C24="银行间",$J24,$L24),$G24)))+AV$2/100,情景分析!$D$7,"",,,,"",)*IF($H24="",1,$H24))</f>
        <v>12437.664823918487</v>
      </c>
      <c r="AW24" s="7">
        <f ca="1">IF($A24="","",[2]!B_CALC_PRICE($A24,$AQ$1,IF(情景分析!$D$6=1,$J24,IF(情景分析!$D$6=2,$E24,IF(情景分析!$D$6=4,IF($C24="银行间",$J24,$L24),$G24)))+AW$2/100,情景分析!$D$7,"",,,,"",)*IF($H24="",1,$H24))</f>
        <v>12447.63290648401</v>
      </c>
    </row>
    <row r="25" spans="1:49" x14ac:dyDescent="0.15">
      <c r="A25" s="20" t="s">
        <v>44</v>
      </c>
      <c r="B25" s="7" t="str">
        <f>IF(A25="","",[2]!b_info_name(A25))</f>
        <v>25晋产01</v>
      </c>
      <c r="C25" s="7" t="str">
        <f>[2]!b_info_listedmkt(A25)</f>
        <v>上海</v>
      </c>
      <c r="D25" s="7">
        <f ca="1">IFERROR(IF(A25="","", [2]!b_dq_avgprice(A25, 情景分析!$D$5, 情景分析!$D$7) * IF($H25="",1,$H25)),0)</f>
        <v>0</v>
      </c>
      <c r="E25" s="7">
        <f ca="1">IF(A25="","", N([2]!b_dq_avgprice(A25,情景分析!$D$5,3)))</f>
        <v>0</v>
      </c>
      <c r="F25" s="29">
        <f ca="1">IF($G25 = "",
"",
IFERROR(
[2]!b_calc_pv(A25, 情景分析!$D$5,$G25, "1", 情景分析!$D$7),
[2]!b_calc_pv(A25, 情景分析!$D$5,$G25, "2", 情景分析!$D$7)
)
)</f>
        <v>51.984443389670737</v>
      </c>
      <c r="G25" s="22">
        <v>20</v>
      </c>
      <c r="H25" s="21">
        <v>120</v>
      </c>
      <c r="I25" s="7">
        <f ca="1">IF(A25="","",IF(情景分析!$D$7=1,[2]!b_anal_net_cnbd(A25,情景分析!$D$5,1),[2]!b_anal_dirty_cnbd(A25,情景分析!$D$5,1))*IF($H25="",1,$H25))</f>
        <v>12092.255999999999</v>
      </c>
      <c r="J25" s="7">
        <f ca="1">IF(A25="","",[2]!b_anal_yield_cnbd(A25,情景分析!$D$5,1))</f>
        <v>2.2425999999999999</v>
      </c>
      <c r="K25" s="29">
        <f ca="1">IF(A25="","",IF(情景分析!$D$7=1,[2]!b_anal_net_csi1(A25,情景分析!$D$5,1),[2]!b_anal_dirty_csi1(A25,情景分析!$D$5,1))*IF($H25="",1,$H25))</f>
        <v>12094.907999999999</v>
      </c>
      <c r="L25" s="29">
        <f ca="1">IF(A25="","",[2]!b_anal_yield_csi1(A25,情景分析!$D$5,1))</f>
        <v>2.23</v>
      </c>
      <c r="M25" s="29">
        <f t="shared" ca="1" si="4"/>
        <v>12094.907999999999</v>
      </c>
      <c r="N25" s="29">
        <f t="shared" ca="1" si="5"/>
        <v>2.23</v>
      </c>
      <c r="O25" s="7">
        <f ca="1">IF($A25="","",[2]!B_CALC_PRICE($A25,$O$1,IF(情景分析!$D$6=1,$J25,IF(情景分析!$D$6=2,$E25,IF(情景分析!$D$6=4,IF($C25="银行间",$J25,$L25),$G25)))+O$2/100,情景分析!$D$7,"",,,,"",)*IF($H25="",1,$H25))</f>
        <v>12065.652871819419</v>
      </c>
      <c r="P25" s="7">
        <f ca="1">IF($A25="","",[2]!B_CALC_PRICE($A25,$O$1,IF(情景分析!$D$6=1,$J25,IF(情景分析!$D$6=2,$E25,IF(情景分析!$D$6=4,IF($C25="银行间",$J25,$L25),$G25)))+P$2/100,情景分析!$D$7,"",,,,"",)*IF($H25="",1,$H25))</f>
        <v>12090.300730971656</v>
      </c>
      <c r="Q25" s="7">
        <f ca="1">IF($A25="","",[2]!B_CALC_PRICE($A25,$O$1,IF(情景分析!$D$6=1,$J25,IF(情景分析!$D$6=2,$E25,IF(情景分析!$D$6=4,IF($C25="银行间",$J25,$L25),$G25)))+Q$2/100,情景分析!$D$7,"",,,,"",)*IF($H25="",1,$H25))</f>
        <v>12115.012186754584</v>
      </c>
      <c r="R25" s="7">
        <f ca="1">IF($A25="","",[2]!B_CALC_PRICE($A25,$O$1,IF(情景分析!$D$6=1,$J25,IF(情景分析!$D$6=2,$E25,IF(情景分析!$D$6=4,IF($C25="银行间",$J25,$L25),$G25)))+R$2/100,情景分析!$D$7,"",,,,"",)*IF($H25="",1,$H25))</f>
        <v>12164.626674170853</v>
      </c>
      <c r="S25" s="7">
        <f ca="1">IF($A25="","",[2]!B_CALC_PRICE($A25,$O$1,IF(情景分析!$D$6=1,$J25,IF(情景分析!$D$6=2,$E25,IF(情景分析!$D$6=4,IF($C25="银行间",$J25,$L25),$G25)))+S$2/100,情景分析!$D$7,"",,,,"",)*IF($H25="",1,$H25))</f>
        <v>12214.497913039493</v>
      </c>
      <c r="T25" s="7">
        <f ca="1">IF($A25="","",[2]!B_CALC_PRICE($A25,$O$1,IF(情景分析!$D$6=1,$J25,IF(情景分析!$D$6=2,$E25,IF(情景分析!$D$6=4,IF($C25="银行间",$J25,$L25),$G25)))+T$2/100,情景分析!$D$7,"",,,,"",)*IF($H25="",1,$H25))</f>
        <v>12239.530310798473</v>
      </c>
      <c r="U25" s="7">
        <f ca="1">IF($A25="","",[2]!B_CALC_PRICE($A25,$O$1,IF(情景分析!$D$6=1,$J25,IF(情景分析!$D$6=2,$E25,IF(情景分析!$D$6=4,IF($C25="银行间",$J25,$L25),$G25)))+U$2/100,情景分析!$D$7,"",,,,"",)*IF($H25="",1,$H25))</f>
        <v>12264.627493683683</v>
      </c>
      <c r="V25" s="7">
        <f ca="1">IF($A25="","",[2]!B_CALC_PRICE($A25,$V$1,IF(情景分析!$D$6=1,$J25,IF(情景分析!$D$6=2,$E25,IF(情景分析!$D$6=4,IF($C25="银行间",$J25,$L25),$G25)))+V$2/100,情景分析!$D$7,"",,,,"",)*IF($H25="",1,$H25))</f>
        <v>12064.774382086149</v>
      </c>
      <c r="W25" s="7">
        <f ca="1">IF($A25="","",[2]!B_CALC_PRICE($A25,$V$1,IF(情景分析!$D$6=1,$J25,IF(情景分析!$D$6=2,$E25,IF(情景分析!$D$6=4,IF($C25="银行间",$J25,$L25),$G25)))+W$2/100,情景分析!$D$7,"",,,,"",)*IF($H25="",1,$H25))</f>
        <v>12089.066230722658</v>
      </c>
      <c r="X25" s="7">
        <f ca="1">IF($A25="","",[2]!B_CALC_PRICE($A25,$V$1,IF(情景分析!$D$6=1,$J25,IF(情景分析!$D$6=2,$E25,IF(情景分析!$D$6=4,IF($C25="银行间",$J25,$L25),$G25)))+X$2/100,情景分析!$D$7,"",,,,"",)*IF($H25="",1,$H25))</f>
        <v>12113.420007307674</v>
      </c>
      <c r="Y25" s="7">
        <f ca="1">IF($A25="","",[2]!B_CALC_PRICE($A25,$V$1,IF(情景分析!$D$6=1,$J25,IF(情景分析!$D$6=2,$E25,IF(情景分析!$D$6=4,IF($C25="银行间",$J25,$L25),$G25)))+Y$2/100,情景分析!$D$7,"",,,,"",)*IF($H25="",1,$H25))</f>
        <v>12162.314101838763</v>
      </c>
      <c r="Z25" s="7">
        <f ca="1">IF($A25="","",[2]!B_CALC_PRICE($A25,$V$1,IF(情景分析!$D$6=1,$J25,IF(情景分析!$D$6=2,$E25,IF(情景分析!$D$6=4,IF($C25="银行间",$J25,$L25),$G25)))+Z$2/100,情景分析!$D$7,"",,,,"",)*IF($H25="",1,$H25))</f>
        <v>12211.458187449403</v>
      </c>
      <c r="AA25" s="7">
        <f ca="1">IF($A25="","",[2]!B_CALC_PRICE($A25,$V$1,IF(情景分析!$D$6=1,$J25,IF(情景分析!$D$6=2,$E25,IF(情景分析!$D$6=4,IF($C25="银行间",$J25,$L25),$G25)))+AA$2/100,情景分析!$D$7,"",,,,"",)*IF($H25="",1,$H25))</f>
        <v>12236.124455425283</v>
      </c>
      <c r="AB25" s="7">
        <f ca="1">IF($A25="","",[2]!B_CALC_PRICE($A25,$V$1,IF(情景分析!$D$6=1,$J25,IF(情景分析!$D$6=2,$E25,IF(情景分析!$D$6=4,IF($C25="银行间",$J25,$L25),$G25)))+AB$2/100,情景分析!$D$7,"",,,,"",)*IF($H25="",1,$H25))</f>
        <v>12260.853796753059</v>
      </c>
      <c r="AC25" s="7">
        <f ca="1">IF($A25="","",[2]!B_CALC_PRICE($A25,$AC$1,IF(情景分析!$D$6=1,$J25,IF(情景分析!$D$6=2,$E25,IF(情景分析!$D$6=4,IF($C25="银行间",$J25,$L25),$G25)))+AC$2/100,情景分析!$D$7,"",,,,"",)*IF($H25="",1,$H25))</f>
        <v>12062.680894295467</v>
      </c>
      <c r="AD25" s="7">
        <f ca="1">IF($A25="","",[2]!B_CALC_PRICE($A25,$AC$1,IF(情景分析!$D$6=1,$J25,IF(情景分析!$D$6=2,$E25,IF(情景分析!$D$6=4,IF($C25="银行间",$J25,$L25),$G25)))+AD$2/100,情景分析!$D$7,"",,,,"",)*IF($H25="",1,$H25))</f>
        <v>12086.062564483409</v>
      </c>
      <c r="AE25" s="7">
        <f ca="1">IF($A25="","",[2]!B_CALC_PRICE($A25,$AC$1,IF(情景分析!$D$6=1,$J25,IF(情景分析!$D$6=2,$E25,IF(情景分析!$D$6=4,IF($C25="银行间",$J25,$L25),$G25)))+AE$2/100,情景分析!$D$7,"",,,,"",)*IF($H25="",1,$H25))</f>
        <v>12109.502011983217</v>
      </c>
      <c r="AF25" s="7">
        <f ca="1">IF($A25="","",[2]!B_CALC_PRICE($A25,$AC$1,IF(情景分析!$D$6=1,$J25,IF(情景分析!$D$6=2,$E25,IF(情景分析!$D$6=4,IF($C25="银行间",$J25,$L25),$G25)))+AF$2/100,情景分析!$D$7,"",,,,"",)*IF($H25="",1,$H25))</f>
        <v>12156.554927118326</v>
      </c>
      <c r="AG25" s="7">
        <f ca="1">IF($A25="","",[2]!B_CALC_PRICE($A25,$AC$1,IF(情景分析!$D$6=1,$J25,IF(情景分析!$D$6=2,$E25,IF(情景分析!$D$6=4,IF($C25="银行间",$J25,$L25),$G25)))+AG$2/100,情景分析!$D$7,"",,,,"",)*IF($H25="",1,$H25))</f>
        <v>12203.841022083463</v>
      </c>
      <c r="AH25" s="7">
        <f ca="1">IF($A25="","",[2]!B_CALC_PRICE($A25,$AC$1,IF(情景分析!$D$6=1,$J25,IF(情景分析!$D$6=2,$E25,IF(情景分析!$D$6=4,IF($C25="银行间",$J25,$L25),$G25)))+AH$2/100,情景分析!$D$7,"",,,,"",)*IF($H25="",1,$H25))</f>
        <v>12227.571946626853</v>
      </c>
      <c r="AI25" s="7">
        <f ca="1">IF($A25="","",[2]!B_CALC_PRICE($A25,$AC$1,IF(情景分析!$D$6=1,$J25,IF(情景分析!$D$6=2,$E25,IF(情景分析!$D$6=4,IF($C25="银行间",$J25,$L25),$G25)))+AI$2/100,情景分析!$D$7,"",,,,"",)*IF($H25="",1,$H25))</f>
        <v>12251.361688887158</v>
      </c>
      <c r="AJ25" s="7">
        <f ca="1">IF($A25="","",[2]!B_CALC_PRICE($A25,$AJ$1,IF(情景分析!$D$6=1,$J25,IF(情景分析!$D$6=2,$E25,IF(情景分析!$D$6=4,IF($C25="银行间",$J25,$L25),$G25)))+AJ$2/100,情景分析!$D$7,"",,,,"",)*IF($H25="",1,$H25))</f>
        <v>12062.680894295467</v>
      </c>
      <c r="AK25" s="7">
        <f ca="1">IF($A25="","",[2]!B_CALC_PRICE($A25,$AJ$1,IF(情景分析!$D$6=1,$J25,IF(情景分析!$D$6=2,$E25,IF(情景分析!$D$6=4,IF($C25="银行间",$J25,$L25),$G25)))+AK$2/100,情景分析!$D$7,"",,,,"",)*IF($H25="",1,$H25))</f>
        <v>12086.062564483409</v>
      </c>
      <c r="AL25" s="7">
        <f ca="1">IF($A25="","",[2]!B_CALC_PRICE($A25,$AJ$1,IF(情景分析!$D$6=1,$J25,IF(情景分析!$D$6=2,$E25,IF(情景分析!$D$6=4,IF($C25="银行间",$J25,$L25),$G25)))+AL$2/100,情景分析!$D$7,"",,,,"",)*IF($H25="",1,$H25))</f>
        <v>12109.502011983217</v>
      </c>
      <c r="AM25" s="7">
        <f ca="1">IF($A25="","",[2]!B_CALC_PRICE($A25,$AJ$1,IF(情景分析!$D$6=1,$J25,IF(情景分析!$D$6=2,$E25,IF(情景分析!$D$6=4,IF($C25="银行间",$J25,$L25),$G25)))+AM$2/100,情景分析!$D$7,"",,,,"",)*IF($H25="",1,$H25))</f>
        <v>12156.554927118326</v>
      </c>
      <c r="AN25" s="7">
        <f ca="1">IF($A25="","",[2]!B_CALC_PRICE($A25,$AJ$1,IF(情景分析!$D$6=1,$J25,IF(情景分析!$D$6=2,$E25,IF(情景分析!$D$6=4,IF($C25="银行间",$J25,$L25),$G25)))+AN$2/100,情景分析!$D$7,"",,,,"",)*IF($H25="",1,$H25))</f>
        <v>12203.841022083463</v>
      </c>
      <c r="AO25" s="7">
        <f ca="1">IF($A25="","",[2]!B_CALC_PRICE($A25,$AJ$1,IF(情景分析!$D$6=1,$J25,IF(情景分析!$D$6=2,$E25,IF(情景分析!$D$6=4,IF($C25="银行间",$J25,$L25),$G25)))+AO$2/100,情景分析!$D$7,"",,,,"",)*IF($H25="",1,$H25))</f>
        <v>12227.571946626853</v>
      </c>
      <c r="AP25" s="7">
        <f ca="1">IF($A25="","",[2]!B_CALC_PRICE($A25,$AJ$1,IF(情景分析!$D$6=1,$J25,IF(情景分析!$D$6=2,$E25,IF(情景分析!$D$6=4,IF($C25="银行间",$J25,$L25),$G25)))+AP$2/100,情景分析!$D$7,"",,,,"",)*IF($H25="",1,$H25))</f>
        <v>12251.361688887158</v>
      </c>
      <c r="AQ25" s="7">
        <f ca="1">IF($A25="","",[2]!B_CALC_PRICE($A25,$AQ$1,IF(情景分析!$D$6=1,$J25,IF(情景分析!$D$6=2,$E25,IF(情景分析!$D$6=4,IF($C25="银行间",$J25,$L25),$G25)))+AQ$2/100,情景分析!$D$7,"",,,,"",)*IF($H25="",1,$H25))</f>
        <v>12051.079089492066</v>
      </c>
      <c r="AR25" s="7">
        <f ca="1">IF($A25="","",[2]!B_CALC_PRICE($A25,$AQ$1,IF(情景分析!$D$6=1,$J25,IF(情景分析!$D$6=2,$E25,IF(情景分析!$D$6=4,IF($C25="银行间",$J25,$L25),$G25)))+AR$2/100,情景分析!$D$7,"",,,,"",)*IF($H25="",1,$H25))</f>
        <v>12070.388522192232</v>
      </c>
      <c r="AS25" s="7">
        <f ca="1">IF($A25="","",[2]!B_CALC_PRICE($A25,$AQ$1,IF(情景分析!$D$6=1,$J25,IF(情景分析!$D$6=2,$E25,IF(情景分析!$D$6=4,IF($C25="银行间",$J25,$L25),$G25)))+AS$2/100,情景分析!$D$7,"",,,,"",)*IF($H25="",1,$H25))</f>
        <v>12089.738809385461</v>
      </c>
      <c r="AT25" s="7">
        <f ca="1">IF($A25="","",[2]!B_CALC_PRICE($A25,$AQ$1,IF(情景分析!$D$6=1,$J25,IF(情景分析!$D$6=2,$E25,IF(情景分析!$D$6=4,IF($C25="银行间",$J25,$L25),$G25)))+AT$2/100,情景分析!$D$7,"",,,,"",)*IF($H25="",1,$H25))</f>
        <v>12128.562374970848</v>
      </c>
      <c r="AU25" s="7">
        <f ca="1">IF($A25="","",[2]!B_CALC_PRICE($A25,$AQ$1,IF(情景分析!$D$6=1,$J25,IF(情景分析!$D$6=2,$E25,IF(情景分析!$D$6=4,IF($C25="银行间",$J25,$L25),$G25)))+AU$2/100,情景分析!$D$7,"",,,,"",)*IF($H25="",1,$H25))</f>
        <v>12167.550645017734</v>
      </c>
      <c r="AV25" s="7">
        <f ca="1">IF($A25="","",[2]!B_CALC_PRICE($A25,$AQ$1,IF(情景分析!$D$6=1,$J25,IF(情景分析!$D$6=2,$E25,IF(情景分析!$D$6=4,IF($C25="银行间",$J25,$L25),$G25)))+AV$2/100,情景分析!$D$7,"",,,,"",)*IF($H25="",1,$H25))</f>
        <v>12187.106814042907</v>
      </c>
      <c r="AW25" s="7">
        <f ca="1">IF($A25="","",[2]!B_CALC_PRICE($A25,$AQ$1,IF(情景分析!$D$6=1,$J25,IF(情景分析!$D$6=2,$E25,IF(情景分析!$D$6=4,IF($C25="银行间",$J25,$L25),$G25)))+AW$2/100,情景分析!$D$7,"",,,,"",)*IF($H25="",1,$H25))</f>
        <v>12206.704483650619</v>
      </c>
    </row>
    <row r="26" spans="1:49" x14ac:dyDescent="0.15">
      <c r="A26" s="20" t="s">
        <v>44</v>
      </c>
      <c r="B26" s="7" t="str">
        <f>IF(A26="","",[2]!b_info_name(A26))</f>
        <v>25晋产01</v>
      </c>
      <c r="C26" s="7" t="str">
        <f>[2]!b_info_listedmkt(A26)</f>
        <v>上海</v>
      </c>
      <c r="D26" s="7">
        <f ca="1">IFERROR(IF(A26="","", [2]!b_dq_avgprice(A26, 情景分析!$D$5, 情景分析!$D$7) * IF($H26="",1,$H26)),0)</f>
        <v>0</v>
      </c>
      <c r="E26" s="7">
        <f ca="1">IF(A26="","", N([2]!b_dq_avgprice(A26,情景分析!$D$5,3)))</f>
        <v>0</v>
      </c>
      <c r="F26" s="29">
        <f ca="1">IF($G26 = "",
"",
IFERROR(
[2]!b_calc_pv(A26, 情景分析!$D$5,$G26, "1", 情景分析!$D$7),
[2]!b_calc_pv(A26, 情景分析!$D$5,$G26, "2", 情景分析!$D$7)
)
)</f>
        <v>51.984443389670737</v>
      </c>
      <c r="G26" s="22">
        <v>20</v>
      </c>
      <c r="H26" s="21">
        <v>120</v>
      </c>
      <c r="I26" s="7">
        <f ca="1">IF(A26="","",IF(情景分析!$D$7=1,[2]!b_anal_net_cnbd(A26,情景分析!$D$5,1),[2]!b_anal_dirty_cnbd(A26,情景分析!$D$5,1))*IF($H26="",1,$H26))</f>
        <v>12092.255999999999</v>
      </c>
      <c r="J26" s="7">
        <f ca="1">IF(A26="","",[2]!b_anal_yield_cnbd(A26,情景分析!$D$5,1))</f>
        <v>2.2425999999999999</v>
      </c>
      <c r="K26" s="29">
        <f ca="1">IF(A26="","",IF(情景分析!$D$7=1,[2]!b_anal_net_csi1(A26,情景分析!$D$5,1),[2]!b_anal_dirty_csi1(A26,情景分析!$D$5,1))*IF($H26="",1,$H26))</f>
        <v>12094.907999999999</v>
      </c>
      <c r="L26" s="29">
        <f ca="1">IF(A26="","",[2]!b_anal_yield_csi1(A26,情景分析!$D$5,1))</f>
        <v>2.23</v>
      </c>
      <c r="M26" s="29">
        <f t="shared" ca="1" si="4"/>
        <v>12094.907999999999</v>
      </c>
      <c r="N26" s="29">
        <f t="shared" ca="1" si="5"/>
        <v>2.23</v>
      </c>
      <c r="O26" s="7">
        <f ca="1">IF($A26="","",[2]!B_CALC_PRICE($A26,$O$1,IF(情景分析!$D$6=1,$J26,IF(情景分析!$D$6=2,$E26,IF(情景分析!$D$6=4,IF($C26="银行间",$J26,$L26),$G26)))+O$2/100,情景分析!$D$7,"",,,,"",)*IF($H26="",1,$H26))</f>
        <v>12065.652871819419</v>
      </c>
      <c r="P26" s="7">
        <f ca="1">IF($A26="","",[2]!B_CALC_PRICE($A26,$O$1,IF(情景分析!$D$6=1,$J26,IF(情景分析!$D$6=2,$E26,IF(情景分析!$D$6=4,IF($C26="银行间",$J26,$L26),$G26)))+P$2/100,情景分析!$D$7,"",,,,"",)*IF($H26="",1,$H26))</f>
        <v>12090.300730971656</v>
      </c>
      <c r="Q26" s="7">
        <f ca="1">IF($A26="","",[2]!B_CALC_PRICE($A26,$O$1,IF(情景分析!$D$6=1,$J26,IF(情景分析!$D$6=2,$E26,IF(情景分析!$D$6=4,IF($C26="银行间",$J26,$L26),$G26)))+Q$2/100,情景分析!$D$7,"",,,,"",)*IF($H26="",1,$H26))</f>
        <v>12115.012186754584</v>
      </c>
      <c r="R26" s="7">
        <f ca="1">IF($A26="","",[2]!B_CALC_PRICE($A26,$O$1,IF(情景分析!$D$6=1,$J26,IF(情景分析!$D$6=2,$E26,IF(情景分析!$D$6=4,IF($C26="银行间",$J26,$L26),$G26)))+R$2/100,情景分析!$D$7,"",,,,"",)*IF($H26="",1,$H26))</f>
        <v>12164.626674170853</v>
      </c>
      <c r="S26" s="7">
        <f ca="1">IF($A26="","",[2]!B_CALC_PRICE($A26,$O$1,IF(情景分析!$D$6=1,$J26,IF(情景分析!$D$6=2,$E26,IF(情景分析!$D$6=4,IF($C26="银行间",$J26,$L26),$G26)))+S$2/100,情景分析!$D$7,"",,,,"",)*IF($H26="",1,$H26))</f>
        <v>12214.497913039493</v>
      </c>
      <c r="T26" s="7">
        <f ca="1">IF($A26="","",[2]!B_CALC_PRICE($A26,$O$1,IF(情景分析!$D$6=1,$J26,IF(情景分析!$D$6=2,$E26,IF(情景分析!$D$6=4,IF($C26="银行间",$J26,$L26),$G26)))+T$2/100,情景分析!$D$7,"",,,,"",)*IF($H26="",1,$H26))</f>
        <v>12239.530310798473</v>
      </c>
      <c r="U26" s="7">
        <f ca="1">IF($A26="","",[2]!B_CALC_PRICE($A26,$O$1,IF(情景分析!$D$6=1,$J26,IF(情景分析!$D$6=2,$E26,IF(情景分析!$D$6=4,IF($C26="银行间",$J26,$L26),$G26)))+U$2/100,情景分析!$D$7,"",,,,"",)*IF($H26="",1,$H26))</f>
        <v>12264.627493683683</v>
      </c>
      <c r="V26" s="7">
        <f ca="1">IF($A26="","",[2]!B_CALC_PRICE($A26,$V$1,IF(情景分析!$D$6=1,$J26,IF(情景分析!$D$6=2,$E26,IF(情景分析!$D$6=4,IF($C26="银行间",$J26,$L26),$G26)))+V$2/100,情景分析!$D$7,"",,,,"",)*IF($H26="",1,$H26))</f>
        <v>12064.774382086149</v>
      </c>
      <c r="W26" s="7">
        <f ca="1">IF($A26="","",[2]!B_CALC_PRICE($A26,$V$1,IF(情景分析!$D$6=1,$J26,IF(情景分析!$D$6=2,$E26,IF(情景分析!$D$6=4,IF($C26="银行间",$J26,$L26),$G26)))+W$2/100,情景分析!$D$7,"",,,,"",)*IF($H26="",1,$H26))</f>
        <v>12089.066230722658</v>
      </c>
      <c r="X26" s="7">
        <f ca="1">IF($A26="","",[2]!B_CALC_PRICE($A26,$V$1,IF(情景分析!$D$6=1,$J26,IF(情景分析!$D$6=2,$E26,IF(情景分析!$D$6=4,IF($C26="银行间",$J26,$L26),$G26)))+X$2/100,情景分析!$D$7,"",,,,"",)*IF($H26="",1,$H26))</f>
        <v>12113.420007307674</v>
      </c>
      <c r="Y26" s="7">
        <f ca="1">IF($A26="","",[2]!B_CALC_PRICE($A26,$V$1,IF(情景分析!$D$6=1,$J26,IF(情景分析!$D$6=2,$E26,IF(情景分析!$D$6=4,IF($C26="银行间",$J26,$L26),$G26)))+Y$2/100,情景分析!$D$7,"",,,,"",)*IF($H26="",1,$H26))</f>
        <v>12162.314101838763</v>
      </c>
      <c r="Z26" s="7">
        <f ca="1">IF($A26="","",[2]!B_CALC_PRICE($A26,$V$1,IF(情景分析!$D$6=1,$J26,IF(情景分析!$D$6=2,$E26,IF(情景分析!$D$6=4,IF($C26="银行间",$J26,$L26),$G26)))+Z$2/100,情景分析!$D$7,"",,,,"",)*IF($H26="",1,$H26))</f>
        <v>12211.458187449403</v>
      </c>
      <c r="AA26" s="7">
        <f ca="1">IF($A26="","",[2]!B_CALC_PRICE($A26,$V$1,IF(情景分析!$D$6=1,$J26,IF(情景分析!$D$6=2,$E26,IF(情景分析!$D$6=4,IF($C26="银行间",$J26,$L26),$G26)))+AA$2/100,情景分析!$D$7,"",,,,"",)*IF($H26="",1,$H26))</f>
        <v>12236.124455425283</v>
      </c>
      <c r="AB26" s="7">
        <f ca="1">IF($A26="","",[2]!B_CALC_PRICE($A26,$V$1,IF(情景分析!$D$6=1,$J26,IF(情景分析!$D$6=2,$E26,IF(情景分析!$D$6=4,IF($C26="银行间",$J26,$L26),$G26)))+AB$2/100,情景分析!$D$7,"",,,,"",)*IF($H26="",1,$H26))</f>
        <v>12260.853796753059</v>
      </c>
      <c r="AC26" s="7">
        <f ca="1">IF($A26="","",[2]!B_CALC_PRICE($A26,$AC$1,IF(情景分析!$D$6=1,$J26,IF(情景分析!$D$6=2,$E26,IF(情景分析!$D$6=4,IF($C26="银行间",$J26,$L26),$G26)))+AC$2/100,情景分析!$D$7,"",,,,"",)*IF($H26="",1,$H26))</f>
        <v>12062.680894295467</v>
      </c>
      <c r="AD26" s="7">
        <f ca="1">IF($A26="","",[2]!B_CALC_PRICE($A26,$AC$1,IF(情景分析!$D$6=1,$J26,IF(情景分析!$D$6=2,$E26,IF(情景分析!$D$6=4,IF($C26="银行间",$J26,$L26),$G26)))+AD$2/100,情景分析!$D$7,"",,,,"",)*IF($H26="",1,$H26))</f>
        <v>12086.062564483409</v>
      </c>
      <c r="AE26" s="7">
        <f ca="1">IF($A26="","",[2]!B_CALC_PRICE($A26,$AC$1,IF(情景分析!$D$6=1,$J26,IF(情景分析!$D$6=2,$E26,IF(情景分析!$D$6=4,IF($C26="银行间",$J26,$L26),$G26)))+AE$2/100,情景分析!$D$7,"",,,,"",)*IF($H26="",1,$H26))</f>
        <v>12109.502011983217</v>
      </c>
      <c r="AF26" s="7">
        <f ca="1">IF($A26="","",[2]!B_CALC_PRICE($A26,$AC$1,IF(情景分析!$D$6=1,$J26,IF(情景分析!$D$6=2,$E26,IF(情景分析!$D$6=4,IF($C26="银行间",$J26,$L26),$G26)))+AF$2/100,情景分析!$D$7,"",,,,"",)*IF($H26="",1,$H26))</f>
        <v>12156.554927118326</v>
      </c>
      <c r="AG26" s="7">
        <f ca="1">IF($A26="","",[2]!B_CALC_PRICE($A26,$AC$1,IF(情景分析!$D$6=1,$J26,IF(情景分析!$D$6=2,$E26,IF(情景分析!$D$6=4,IF($C26="银行间",$J26,$L26),$G26)))+AG$2/100,情景分析!$D$7,"",,,,"",)*IF($H26="",1,$H26))</f>
        <v>12203.841022083463</v>
      </c>
      <c r="AH26" s="7">
        <f ca="1">IF($A26="","",[2]!B_CALC_PRICE($A26,$AC$1,IF(情景分析!$D$6=1,$J26,IF(情景分析!$D$6=2,$E26,IF(情景分析!$D$6=4,IF($C26="银行间",$J26,$L26),$G26)))+AH$2/100,情景分析!$D$7,"",,,,"",)*IF($H26="",1,$H26))</f>
        <v>12227.571946626853</v>
      </c>
      <c r="AI26" s="7">
        <f ca="1">IF($A26="","",[2]!B_CALC_PRICE($A26,$AC$1,IF(情景分析!$D$6=1,$J26,IF(情景分析!$D$6=2,$E26,IF(情景分析!$D$6=4,IF($C26="银行间",$J26,$L26),$G26)))+AI$2/100,情景分析!$D$7,"",,,,"",)*IF($H26="",1,$H26))</f>
        <v>12251.361688887158</v>
      </c>
      <c r="AJ26" s="7">
        <f ca="1">IF($A26="","",[2]!B_CALC_PRICE($A26,$AJ$1,IF(情景分析!$D$6=1,$J26,IF(情景分析!$D$6=2,$E26,IF(情景分析!$D$6=4,IF($C26="银行间",$J26,$L26),$G26)))+AJ$2/100,情景分析!$D$7,"",,,,"",)*IF($H26="",1,$H26))</f>
        <v>12062.680894295467</v>
      </c>
      <c r="AK26" s="7">
        <f ca="1">IF($A26="","",[2]!B_CALC_PRICE($A26,$AJ$1,IF(情景分析!$D$6=1,$J26,IF(情景分析!$D$6=2,$E26,IF(情景分析!$D$6=4,IF($C26="银行间",$J26,$L26),$G26)))+AK$2/100,情景分析!$D$7,"",,,,"",)*IF($H26="",1,$H26))</f>
        <v>12086.062564483409</v>
      </c>
      <c r="AL26" s="7">
        <f ca="1">IF($A26="","",[2]!B_CALC_PRICE($A26,$AJ$1,IF(情景分析!$D$6=1,$J26,IF(情景分析!$D$6=2,$E26,IF(情景分析!$D$6=4,IF($C26="银行间",$J26,$L26),$G26)))+AL$2/100,情景分析!$D$7,"",,,,"",)*IF($H26="",1,$H26))</f>
        <v>12109.502011983217</v>
      </c>
      <c r="AM26" s="7">
        <f ca="1">IF($A26="","",[2]!B_CALC_PRICE($A26,$AJ$1,IF(情景分析!$D$6=1,$J26,IF(情景分析!$D$6=2,$E26,IF(情景分析!$D$6=4,IF($C26="银行间",$J26,$L26),$G26)))+AM$2/100,情景分析!$D$7,"",,,,"",)*IF($H26="",1,$H26))</f>
        <v>12156.554927118326</v>
      </c>
      <c r="AN26" s="7">
        <f ca="1">IF($A26="","",[2]!B_CALC_PRICE($A26,$AJ$1,IF(情景分析!$D$6=1,$J26,IF(情景分析!$D$6=2,$E26,IF(情景分析!$D$6=4,IF($C26="银行间",$J26,$L26),$G26)))+AN$2/100,情景分析!$D$7,"",,,,"",)*IF($H26="",1,$H26))</f>
        <v>12203.841022083463</v>
      </c>
      <c r="AO26" s="7">
        <f ca="1">IF($A26="","",[2]!B_CALC_PRICE($A26,$AJ$1,IF(情景分析!$D$6=1,$J26,IF(情景分析!$D$6=2,$E26,IF(情景分析!$D$6=4,IF($C26="银行间",$J26,$L26),$G26)))+AO$2/100,情景分析!$D$7,"",,,,"",)*IF($H26="",1,$H26))</f>
        <v>12227.571946626853</v>
      </c>
      <c r="AP26" s="7">
        <f ca="1">IF($A26="","",[2]!B_CALC_PRICE($A26,$AJ$1,IF(情景分析!$D$6=1,$J26,IF(情景分析!$D$6=2,$E26,IF(情景分析!$D$6=4,IF($C26="银行间",$J26,$L26),$G26)))+AP$2/100,情景分析!$D$7,"",,,,"",)*IF($H26="",1,$H26))</f>
        <v>12251.361688887158</v>
      </c>
      <c r="AQ26" s="7">
        <f ca="1">IF($A26="","",[2]!B_CALC_PRICE($A26,$AQ$1,IF(情景分析!$D$6=1,$J26,IF(情景分析!$D$6=2,$E26,IF(情景分析!$D$6=4,IF($C26="银行间",$J26,$L26),$G26)))+AQ$2/100,情景分析!$D$7,"",,,,"",)*IF($H26="",1,$H26))</f>
        <v>12051.079089492066</v>
      </c>
      <c r="AR26" s="7">
        <f ca="1">IF($A26="","",[2]!B_CALC_PRICE($A26,$AQ$1,IF(情景分析!$D$6=1,$J26,IF(情景分析!$D$6=2,$E26,IF(情景分析!$D$6=4,IF($C26="银行间",$J26,$L26),$G26)))+AR$2/100,情景分析!$D$7,"",,,,"",)*IF($H26="",1,$H26))</f>
        <v>12070.388522192232</v>
      </c>
      <c r="AS26" s="7">
        <f ca="1">IF($A26="","",[2]!B_CALC_PRICE($A26,$AQ$1,IF(情景分析!$D$6=1,$J26,IF(情景分析!$D$6=2,$E26,IF(情景分析!$D$6=4,IF($C26="银行间",$J26,$L26),$G26)))+AS$2/100,情景分析!$D$7,"",,,,"",)*IF($H26="",1,$H26))</f>
        <v>12089.738809385461</v>
      </c>
      <c r="AT26" s="7">
        <f ca="1">IF($A26="","",[2]!B_CALC_PRICE($A26,$AQ$1,IF(情景分析!$D$6=1,$J26,IF(情景分析!$D$6=2,$E26,IF(情景分析!$D$6=4,IF($C26="银行间",$J26,$L26),$G26)))+AT$2/100,情景分析!$D$7,"",,,,"",)*IF($H26="",1,$H26))</f>
        <v>12128.562374970848</v>
      </c>
      <c r="AU26" s="7">
        <f ca="1">IF($A26="","",[2]!B_CALC_PRICE($A26,$AQ$1,IF(情景分析!$D$6=1,$J26,IF(情景分析!$D$6=2,$E26,IF(情景分析!$D$6=4,IF($C26="银行间",$J26,$L26),$G26)))+AU$2/100,情景分析!$D$7,"",,,,"",)*IF($H26="",1,$H26))</f>
        <v>12167.550645017734</v>
      </c>
      <c r="AV26" s="7">
        <f ca="1">IF($A26="","",[2]!B_CALC_PRICE($A26,$AQ$1,IF(情景分析!$D$6=1,$J26,IF(情景分析!$D$6=2,$E26,IF(情景分析!$D$6=4,IF($C26="银行间",$J26,$L26),$G26)))+AV$2/100,情景分析!$D$7,"",,,,"",)*IF($H26="",1,$H26))</f>
        <v>12187.106814042907</v>
      </c>
      <c r="AW26" s="7">
        <f ca="1">IF($A26="","",[2]!B_CALC_PRICE($A26,$AQ$1,IF(情景分析!$D$6=1,$J26,IF(情景分析!$D$6=2,$E26,IF(情景分析!$D$6=4,IF($C26="银行间",$J26,$L26),$G26)))+AW$2/100,情景分析!$D$7,"",,,,"",)*IF($H26="",1,$H26))</f>
        <v>12206.704483650619</v>
      </c>
    </row>
    <row r="27" spans="1:49" x14ac:dyDescent="0.15">
      <c r="A27" s="20" t="s">
        <v>43</v>
      </c>
      <c r="B27" s="7" t="str">
        <f>IF(A27="","",[2]!b_info_name(A27))</f>
        <v>23晋投03</v>
      </c>
      <c r="C27" s="7" t="str">
        <f>[2]!b_info_listedmkt(A27)</f>
        <v>上海</v>
      </c>
      <c r="D27" s="7">
        <f ca="1">IFERROR(IF(A27="","", [2]!b_dq_avgprice(A27, 情景分析!$D$5, 情景分析!$D$7) * IF($H27="",1,$H27)),0)</f>
        <v>0</v>
      </c>
      <c r="E27" s="7">
        <f ca="1">IF(A27="","", N([2]!b_dq_avgprice(A27,情景分析!$D$5,3)))</f>
        <v>0</v>
      </c>
      <c r="F27" s="29">
        <f ca="1">IF($G27 = "",
"",
IFERROR(
[2]!b_calc_pv(A27, 情景分析!$D$5,$G27, "1", 情景分析!$D$7),
[2]!b_calc_pv(A27, 情景分析!$D$5,$G27, "2", 情景分析!$D$7)
)
)</f>
        <v>69.116436031742964</v>
      </c>
      <c r="G27" s="22">
        <v>20</v>
      </c>
      <c r="H27" s="21">
        <v>120</v>
      </c>
      <c r="I27" s="7">
        <f ca="1">IF(A27="","",IF(情景分析!$D$7=1,[2]!b_anal_net_cnbd(A27,情景分析!$D$5,1),[2]!b_anal_dirty_cnbd(A27,情景分析!$D$5,1))*IF($H27="",1,$H27))</f>
        <v>12162.192000000001</v>
      </c>
      <c r="J27" s="7">
        <f ca="1">IF(A27="","",[2]!b_anal_yield_cnbd(A27,情景分析!$D$5,1))</f>
        <v>1.8208</v>
      </c>
      <c r="K27" s="29">
        <f ca="1">IF(A27="","",IF(情景分析!$D$7=1,[2]!b_anal_net_csi1(A27,情景分析!$D$5,1),[2]!b_anal_dirty_csi1(A27,情景分析!$D$5,1))*IF($H27="",1,$H27))</f>
        <v>12162.66</v>
      </c>
      <c r="L27" s="29">
        <f ca="1">IF(A27="","",[2]!b_anal_yield_csi1(A27,情景分析!$D$5,1))</f>
        <v>1.8138000000000001</v>
      </c>
      <c r="M27" s="29">
        <f t="shared" ca="1" si="4"/>
        <v>12162.66</v>
      </c>
      <c r="N27" s="29">
        <f t="shared" ca="1" si="5"/>
        <v>1.8138000000000001</v>
      </c>
      <c r="O27" s="7">
        <f ca="1">IF($A27="","",[2]!B_CALC_PRICE($A27,$O$1,IF(情景分析!$D$6=1,$J27,IF(情景分析!$D$6=2,$E27,IF(情景分析!$D$6=4,IF($C27="银行间",$J27,$L27),$G27)))+O$2/100,情景分析!$D$7,"",,,,"",)*IF($H27="",1,$H27))</f>
        <v>12583.630205747178</v>
      </c>
      <c r="P27" s="7">
        <f ca="1">IF($A27="","",[2]!B_CALC_PRICE($A27,$O$1,IF(情景分析!$D$6=1,$J27,IF(情景分析!$D$6=2,$E27,IF(情景分析!$D$6=4,IF($C27="银行间",$J27,$L27),$G27)))+P$2/100,情景分析!$D$7,"",,,,"",)*IF($H27="",1,$H27))</f>
        <v>12599.377597240202</v>
      </c>
      <c r="Q27" s="7">
        <f ca="1">IF($A27="","",[2]!B_CALC_PRICE($A27,$O$1,IF(情景分析!$D$6=1,$J27,IF(情景分析!$D$6=2,$E27,IF(情景分析!$D$6=4,IF($C27="银行间",$J27,$L27),$G27)))+Q$2/100,情景分析!$D$7,"",,,,"",)*IF($H27="",1,$H27))</f>
        <v>12615.152681178795</v>
      </c>
      <c r="R27" s="7">
        <f ca="1">IF($A27="","",[2]!B_CALC_PRICE($A27,$O$1,IF(情景分析!$D$6=1,$J27,IF(情景分析!$D$6=2,$E27,IF(情景分析!$D$6=4,IF($C27="银行间",$J27,$L27),$G27)))+R$2/100,情景分析!$D$7,"",,,,"",)*IF($H27="",1,$H27))</f>
        <v>12646.786176722922</v>
      </c>
      <c r="S27" s="7">
        <f ca="1">IF($A27="","",[2]!B_CALC_PRICE($A27,$O$1,IF(情景分析!$D$6=1,$J27,IF(情景分析!$D$6=2,$E27,IF(情景分析!$D$6=4,IF($C27="银行间",$J27,$L27),$G27)))+S$2/100,情景分析!$D$7,"",,,,"",)*IF($H27="",1,$H27))</f>
        <v>12678.531194765943</v>
      </c>
      <c r="T27" s="7">
        <f ca="1">IF($A27="","",[2]!B_CALC_PRICE($A27,$O$1,IF(情景分析!$D$6=1,$J27,IF(情景分析!$D$6=2,$E27,IF(情景分析!$D$6=4,IF($C27="银行间",$J27,$L27),$G27)))+T$2/100,情景分析!$D$7,"",,,,"",)*IF($H27="",1,$H27))</f>
        <v>12694.445682478292</v>
      </c>
      <c r="U27" s="7">
        <f ca="1">IF($A27="","",[2]!B_CALC_PRICE($A27,$O$1,IF(情景分析!$D$6=1,$J27,IF(情景分析!$D$6=2,$E27,IF(情景分析!$D$6=4,IF($C27="银行间",$J27,$L27),$G27)))+U$2/100,情景分析!$D$7,"",,,,"",)*IF($H27="",1,$H27))</f>
        <v>12710.388240468177</v>
      </c>
      <c r="V27" s="7">
        <f ca="1">IF($A27="","",[2]!B_CALC_PRICE($A27,$V$1,IF(情景分析!$D$6=1,$J27,IF(情景分析!$D$6=2,$E27,IF(情景分析!$D$6=4,IF($C27="银行间",$J27,$L27),$G27)))+V$2/100,情景分析!$D$7,"",,,,"",)*IF($H27="",1,$H27))</f>
        <v>12569.26361923388</v>
      </c>
      <c r="W27" s="7">
        <f ca="1">IF($A27="","",[2]!B_CALC_PRICE($A27,$V$1,IF(情景分析!$D$6=1,$J27,IF(情景分析!$D$6=2,$E27,IF(情景分析!$D$6=4,IF($C27="银行间",$J27,$L27),$G27)))+W$2/100,情景分析!$D$7,"",,,,"",)*IF($H27="",1,$H27))</f>
        <v>12584.619307115756</v>
      </c>
      <c r="X27" s="7">
        <f ca="1">IF($A27="","",[2]!B_CALC_PRICE($A27,$V$1,IF(情景分析!$D$6=1,$J27,IF(情景分析!$D$6=2,$E27,IF(情景分析!$D$6=4,IF($C27="银行间",$J27,$L27),$G27)))+X$2/100,情景分析!$D$7,"",,,,"",)*IF($H27="",1,$H27))</f>
        <v>12600.001516394994</v>
      </c>
      <c r="Y27" s="7">
        <f ca="1">IF($A27="","",[2]!B_CALC_PRICE($A27,$V$1,IF(情景分析!$D$6=1,$J27,IF(情景分析!$D$6=2,$E27,IF(情景分析!$D$6=4,IF($C27="银行间",$J27,$L27),$G27)))+Y$2/100,情景分析!$D$7,"",,,,"",)*IF($H27="",1,$H27))</f>
        <v>12630.845735520374</v>
      </c>
      <c r="Z27" s="7">
        <f ca="1">IF($A27="","",[2]!B_CALC_PRICE($A27,$V$1,IF(情景分析!$D$6=1,$J27,IF(情景分析!$D$6=2,$E27,IF(情景分析!$D$6=4,IF($C27="银行间",$J27,$L27),$G27)))+Z$2/100,情景分析!$D$7,"",,,,"",)*IF($H27="",1,$H27))</f>
        <v>12661.796750970432</v>
      </c>
      <c r="AA27" s="7">
        <f ca="1">IF($A27="","",[2]!B_CALC_PRICE($A27,$V$1,IF(情景分析!$D$6=1,$J27,IF(情景分析!$D$6=2,$E27,IF(情景分析!$D$6=4,IF($C27="银行间",$J27,$L27),$G27)))+AA$2/100,情景分析!$D$7,"",,,,"",)*IF($H27="",1,$H27))</f>
        <v>12677.312456262274</v>
      </c>
      <c r="AB27" s="7">
        <f ca="1">IF($A27="","",[2]!B_CALC_PRICE($A27,$V$1,IF(情景分析!$D$6=1,$J27,IF(情景分析!$D$6=2,$E27,IF(情景分析!$D$6=4,IF($C27="银行间",$J27,$L27),$G27)))+AB$2/100,情景分析!$D$7,"",,,,"",)*IF($H27="",1,$H27))</f>
        <v>12692.855039694397</v>
      </c>
      <c r="AC27" s="7">
        <f ca="1">IF($A27="","",[2]!B_CALC_PRICE($A27,$AC$1,IF(情景分析!$D$6=1,$J27,IF(情景分析!$D$6=2,$E27,IF(情景分析!$D$6=4,IF($C27="银行间",$J27,$L27),$G27)))+AC$2/100,情景分析!$D$7,"",,,,"",)*IF($H27="",1,$H27))</f>
        <v>12532.848151975159</v>
      </c>
      <c r="AD27" s="7">
        <f ca="1">IF($A27="","",[2]!B_CALC_PRICE($A27,$AC$1,IF(情景分析!$D$6=1,$J27,IF(情景分析!$D$6=2,$E27,IF(情景分析!$D$6=4,IF($C27="银行间",$J27,$L27),$G27)))+AD$2/100,情景分析!$D$7,"",,,,"",)*IF($H27="",1,$H27))</f>
        <v>12547.203550671566</v>
      </c>
      <c r="AE27" s="7">
        <f ca="1">IF($A27="","",[2]!B_CALC_PRICE($A27,$AC$1,IF(情景分析!$D$6=1,$J27,IF(情景分析!$D$6=2,$E27,IF(情景分析!$D$6=4,IF($C27="银行间",$J27,$L27),$G27)))+AE$2/100,情景分析!$D$7,"",,,,"",)*IF($H27="",1,$H27))</f>
        <v>12561.582600714002</v>
      </c>
      <c r="AF27" s="7">
        <f ca="1">IF($A27="","",[2]!B_CALC_PRICE($A27,$AC$1,IF(情景分析!$D$6=1,$J27,IF(情景分析!$D$6=2,$E27,IF(情景分析!$D$6=4,IF($C27="银行间",$J27,$L27),$G27)))+AF$2/100,情景分析!$D$7,"",,,,"",)*IF($H27="",1,$H27))</f>
        <v>12590.411858000558</v>
      </c>
      <c r="AG27" s="7">
        <f ca="1">IF($A27="","",[2]!B_CALC_PRICE($A27,$AC$1,IF(情景分析!$D$6=1,$J27,IF(情景分析!$D$6=2,$E27,IF(情景分析!$D$6=4,IF($C27="银行间",$J27,$L27),$G27)))+AG$2/100,情景分析!$D$7,"",,,,"",)*IF($H27="",1,$H27))</f>
        <v>12619.336331505219</v>
      </c>
      <c r="AH27" s="7">
        <f ca="1">IF($A27="","",[2]!B_CALC_PRICE($A27,$AC$1,IF(情景分析!$D$6=1,$J27,IF(情景分析!$D$6=2,$E27,IF(情景分析!$D$6=4,IF($C27="银行间",$J27,$L27),$G27)))+AH$2/100,情景分析!$D$7,"",,,,"",)*IF($H27="",1,$H27))</f>
        <v>12633.834402326178</v>
      </c>
      <c r="AI27" s="7">
        <f ca="1">IF($A27="","",[2]!B_CALC_PRICE($A27,$AC$1,IF(情景分析!$D$6=1,$J27,IF(情景分析!$D$6=2,$E27,IF(情景分析!$D$6=4,IF($C27="银行间",$J27,$L27),$G27)))+AI$2/100,情景分析!$D$7,"",,,,"",)*IF($H27="",1,$H27))</f>
        <v>12648.356431056849</v>
      </c>
      <c r="AJ27" s="7">
        <f ca="1">IF($A27="","",[2]!B_CALC_PRICE($A27,$AJ$1,IF(情景分析!$D$6=1,$J27,IF(情景分析!$D$6=2,$E27,IF(情景分析!$D$6=4,IF($C27="银行间",$J27,$L27),$G27)))+AJ$2/100,情景分析!$D$7,"",,,,"",)*IF($H27="",1,$H27))</f>
        <v>12532.848151975159</v>
      </c>
      <c r="AK27" s="7">
        <f ca="1">IF($A27="","",[2]!B_CALC_PRICE($A27,$AJ$1,IF(情景分析!$D$6=1,$J27,IF(情景分析!$D$6=2,$E27,IF(情景分析!$D$6=4,IF($C27="银行间",$J27,$L27),$G27)))+AK$2/100,情景分析!$D$7,"",,,,"",)*IF($H27="",1,$H27))</f>
        <v>12547.203550671566</v>
      </c>
      <c r="AL27" s="7">
        <f ca="1">IF($A27="","",[2]!B_CALC_PRICE($A27,$AJ$1,IF(情景分析!$D$6=1,$J27,IF(情景分析!$D$6=2,$E27,IF(情景分析!$D$6=4,IF($C27="银行间",$J27,$L27),$G27)))+AL$2/100,情景分析!$D$7,"",,,,"",)*IF($H27="",1,$H27))</f>
        <v>12561.582600714002</v>
      </c>
      <c r="AM27" s="7">
        <f ca="1">IF($A27="","",[2]!B_CALC_PRICE($A27,$AJ$1,IF(情景分析!$D$6=1,$J27,IF(情景分析!$D$6=2,$E27,IF(情景分析!$D$6=4,IF($C27="银行间",$J27,$L27),$G27)))+AM$2/100,情景分析!$D$7,"",,,,"",)*IF($H27="",1,$H27))</f>
        <v>12590.411858000558</v>
      </c>
      <c r="AN27" s="7">
        <f ca="1">IF($A27="","",[2]!B_CALC_PRICE($A27,$AJ$1,IF(情景分析!$D$6=1,$J27,IF(情景分析!$D$6=2,$E27,IF(情景分析!$D$6=4,IF($C27="银行间",$J27,$L27),$G27)))+AN$2/100,情景分析!$D$7,"",,,,"",)*IF($H27="",1,$H27))</f>
        <v>12619.336331505219</v>
      </c>
      <c r="AO27" s="7">
        <f ca="1">IF($A27="","",[2]!B_CALC_PRICE($A27,$AJ$1,IF(情景分析!$D$6=1,$J27,IF(情景分析!$D$6=2,$E27,IF(情景分析!$D$6=4,IF($C27="银行间",$J27,$L27),$G27)))+AO$2/100,情景分析!$D$7,"",,,,"",)*IF($H27="",1,$H27))</f>
        <v>12633.834402326178</v>
      </c>
      <c r="AP27" s="7">
        <f ca="1">IF($A27="","",[2]!B_CALC_PRICE($A27,$AJ$1,IF(情景分析!$D$6=1,$J27,IF(情景分析!$D$6=2,$E27,IF(情景分析!$D$6=4,IF($C27="银行间",$J27,$L27),$G27)))+AP$2/100,情景分析!$D$7,"",,,,"",)*IF($H27="",1,$H27))</f>
        <v>12648.356431056849</v>
      </c>
      <c r="AQ27" s="7">
        <f ca="1">IF($A27="","",[2]!B_CALC_PRICE($A27,$AQ$1,IF(情景分析!$D$6=1,$J27,IF(情景分析!$D$6=2,$E27,IF(情景分析!$D$6=4,IF($C27="银行间",$J27,$L27),$G27)))+AQ$2/100,情景分析!$D$7,"",,,,"",)*IF($H27="",1,$H27))</f>
        <v>12368.247575234025</v>
      </c>
      <c r="AR27" s="7">
        <f ca="1">IF($A27="","",[2]!B_CALC_PRICE($A27,$AQ$1,IF(情景分析!$D$6=1,$J27,IF(情景分析!$D$6=2,$E27,IF(情景分析!$D$6=4,IF($C27="银行间",$J27,$L27),$G27)))+AR$2/100,情景分析!$D$7,"",,,,"",)*IF($H27="",1,$H27))</f>
        <v>12378.125985523846</v>
      </c>
      <c r="AS27" s="7">
        <f ca="1">IF($A27="","",[2]!B_CALC_PRICE($A27,$AQ$1,IF(情景分析!$D$6=1,$J27,IF(情景分析!$D$6=2,$E27,IF(情景分析!$D$6=4,IF($C27="银行间",$J27,$L27),$G27)))+AS$2/100,情景分析!$D$7,"",,,,"",)*IF($H27="",1,$H27))</f>
        <v>12388.017137678986</v>
      </c>
      <c r="AT27" s="7">
        <f ca="1">IF($A27="","",[2]!B_CALC_PRICE($A27,$AQ$1,IF(情景分析!$D$6=1,$J27,IF(情景分析!$D$6=2,$E27,IF(情景分析!$D$6=4,IF($C27="银行间",$J27,$L27),$G27)))+AT$2/100,情景分析!$D$7,"",,,,"",)*IF($H27="",1,$H27))</f>
        <v>12407.83775857058</v>
      </c>
      <c r="AU27" s="7">
        <f ca="1">IF($A27="","",[2]!B_CALC_PRICE($A27,$AQ$1,IF(情景分析!$D$6=1,$J27,IF(情景分析!$D$6=2,$E27,IF(情景分析!$D$6=4,IF($C27="银行间",$J27,$L27),$G27)))+AU$2/100,情景分析!$D$7,"",,,,"",)*IF($H27="",1,$H27))</f>
        <v>12427.709620398149</v>
      </c>
      <c r="AV27" s="7">
        <f ca="1">IF($A27="","",[2]!B_CALC_PRICE($A27,$AQ$1,IF(情景分析!$D$6=1,$J27,IF(情景分析!$D$6=2,$E27,IF(情景分析!$D$6=4,IF($C27="银行间",$J27,$L27),$G27)))+AV$2/100,情景分析!$D$7,"",,,,"",)*IF($H27="",1,$H27))</f>
        <v>12437.664823918487</v>
      </c>
      <c r="AW27" s="7">
        <f ca="1">IF($A27="","",[2]!B_CALC_PRICE($A27,$AQ$1,IF(情景分析!$D$6=1,$J27,IF(情景分析!$D$6=2,$E27,IF(情景分析!$D$6=4,IF($C27="银行间",$J27,$L27),$G27)))+AW$2/100,情景分析!$D$7,"",,,,"",)*IF($H27="",1,$H27))</f>
        <v>12447.63290648401</v>
      </c>
    </row>
    <row r="28" spans="1:49" x14ac:dyDescent="0.15">
      <c r="A28" s="20" t="s">
        <v>45</v>
      </c>
      <c r="B28" s="7" t="str">
        <f>IF(A28="","",[2]!b_info_name(A28))</f>
        <v>21晋资02</v>
      </c>
      <c r="C28" s="7" t="str">
        <f>[2]!b_info_listedmkt(A28)</f>
        <v>上海</v>
      </c>
      <c r="D28" s="7">
        <f ca="1">IFERROR(IF(A28="","", [2]!b_dq_avgprice(A28, 情景分析!$D$5, 情景分析!$D$7) * IF($H28="",1,$H28)),0)</f>
        <v>0</v>
      </c>
      <c r="E28" s="7">
        <f ca="1">IF(A28="","", N([2]!b_dq_avgprice(A28,情景分析!$D$5,3)))</f>
        <v>0</v>
      </c>
      <c r="F28" s="29">
        <f ca="1">IF($G28 = "",
"",
IFERROR(
[2]!b_calc_pv(A28, 情景分析!$D$5,$G28, "1", 情景分析!$D$7),
[2]!b_calc_pv(A28, 情景分析!$D$5,$G28, "2", 情景分析!$D$7)
)
)</f>
        <v>93.890627946879448</v>
      </c>
      <c r="G28" s="22">
        <v>20</v>
      </c>
      <c r="H28" s="21">
        <v>120</v>
      </c>
      <c r="I28" s="7">
        <f ca="1">IF(A28="","",IF(情景分析!$D$7=1,[2]!b_anal_net_cnbd(A28,情景分析!$D$5,1),[2]!b_anal_dirty_cnbd(A28,情景分析!$D$5,1))*IF($H28="",1,$H28))</f>
        <v>12060.083999999999</v>
      </c>
      <c r="J28" s="7">
        <f ca="1">IF(A28="","",[2]!b_anal_yield_cnbd(A28,情景分析!$D$5,1))</f>
        <v>1.7911999999999999</v>
      </c>
      <c r="K28" s="29">
        <f ca="1">IF(A28="","",IF(情景分析!$D$7=1,[2]!b_anal_net_csi1(A28,情景分析!$D$5,1),[2]!b_anal_dirty_csi1(A28,情景分析!$D$5,1))*IF($H28="",1,$H28))</f>
        <v>12058.992</v>
      </c>
      <c r="L28" s="29">
        <f ca="1">IF(A28="","",[2]!b_anal_yield_csi1(A28,情景分析!$D$5,1))</f>
        <v>1.7927</v>
      </c>
      <c r="M28" s="29">
        <f t="shared" ca="1" si="4"/>
        <v>12058.992</v>
      </c>
      <c r="N28" s="29">
        <f t="shared" ca="1" si="5"/>
        <v>1.7927</v>
      </c>
      <c r="O28" s="7">
        <f ca="1">IF($A28="","",[2]!B_CALC_PRICE($A28,$O$1,IF(情景分析!$D$6=1,$J28,IF(情景分析!$D$6=2,$E28,IF(情景分析!$D$6=4,IF($C28="银行间",$J28,$L28),$G28)))+O$2/100,情景分析!$D$7,"",,,,"",)*IF($H28="",1,$H28))</f>
        <v>12045.689080890015</v>
      </c>
      <c r="P28" s="7">
        <f ca="1">IF($A28="","",[2]!B_CALC_PRICE($A28,$O$1,IF(情景分析!$D$6=1,$J28,IF(情景分析!$D$6=2,$E28,IF(情景分析!$D$6=4,IF($C28="银行间",$J28,$L28),$G28)))+P$2/100,情景分析!$D$7,"",,,,"",)*IF($H28="",1,$H28))</f>
        <v>12047.829846297931</v>
      </c>
      <c r="Q28" s="7">
        <f ca="1">IF($A28="","",[2]!B_CALC_PRICE($A28,$O$1,IF(情景分析!$D$6=1,$J28,IF(情景分析!$D$6=2,$E28,IF(情景分析!$D$6=4,IF($C28="银行间",$J28,$L28),$G28)))+Q$2/100,情景分析!$D$7,"",,,,"",)*IF($H28="",1,$H28))</f>
        <v>12049.971357493836</v>
      </c>
      <c r="R28" s="7">
        <f ca="1">IF($A28="","",[2]!B_CALC_PRICE($A28,$O$1,IF(情景分析!$D$6=1,$J28,IF(情景分析!$D$6=2,$E28,IF(情景分析!$D$6=4,IF($C28="银行间",$J28,$L28),$G28)))+R$2/100,情景分析!$D$7,"",,,,"",)*IF($H28="",1,$H28))</f>
        <v>12054.256618809042</v>
      </c>
      <c r="S28" s="7">
        <f ca="1">IF($A28="","",[2]!B_CALC_PRICE($A28,$O$1,IF(情景分析!$D$6=1,$J28,IF(情景分析!$D$6=2,$E28,IF(情景分析!$D$6=4,IF($C28="银行间",$J28,$L28),$G28)))+S$2/100,情景分析!$D$7,"",,,,"",)*IF($H28="",1,$H28))</f>
        <v>12058.544867957202</v>
      </c>
      <c r="T28" s="7">
        <f ca="1">IF($A28="","",[2]!B_CALC_PRICE($A28,$O$1,IF(情景分析!$D$6=1,$J28,IF(情景分析!$D$6=2,$E28,IF(情景分析!$D$6=4,IF($C28="银行间",$J28,$L28),$G28)))+T$2/100,情景分析!$D$7,"",,,,"",)*IF($H28="",1,$H28))</f>
        <v>12060.690113945317</v>
      </c>
      <c r="U28" s="7">
        <f ca="1">IF($A28="","",[2]!B_CALC_PRICE($A28,$O$1,IF(情景分析!$D$6=1,$J28,IF(情景分析!$D$6=2,$E28,IF(情景分析!$D$6=4,IF($C28="银行间",$J28,$L28),$G28)))+U$2/100,情景分析!$D$7,"",,,,"",)*IF($H28="",1,$H28))</f>
        <v>12062.836108064232</v>
      </c>
      <c r="V28" s="7">
        <f ca="1">IF($A28="","",[2]!B_CALC_PRICE($A28,$V$1,IF(情景分析!$D$6=1,$J28,IF(情景分析!$D$6=2,$E28,IF(情景分析!$D$6=4,IF($C28="银行间",$J28,$L28),$G28)))+V$2/100,情景分析!$D$7,"",,,,"",)*IF($H28="",1,$H28))</f>
        <v>12036.837405545495</v>
      </c>
      <c r="W28" s="7">
        <f ca="1">IF($A28="","",[2]!B_CALC_PRICE($A28,$V$1,IF(情景分析!$D$6=1,$J28,IF(情景分析!$D$6=2,$E28,IF(情景分析!$D$6=4,IF($C28="银行间",$J28,$L28),$G28)))+W$2/100,情景分析!$D$7,"",,,,"",)*IF($H28="",1,$H28))</f>
        <v>12038.581252726455</v>
      </c>
      <c r="X28" s="7">
        <f ca="1">IF($A28="","",[2]!B_CALC_PRICE($A28,$V$1,IF(情景分析!$D$6=1,$J28,IF(情景分析!$D$6=2,$E28,IF(情景分析!$D$6=4,IF($C28="银行间",$J28,$L28),$G28)))+X$2/100,情景分析!$D$7,"",,,,"",)*IF($H28="",1,$H28))</f>
        <v>12040.325594121288</v>
      </c>
      <c r="Y28" s="7">
        <f ca="1">IF($A28="","",[2]!B_CALC_PRICE($A28,$V$1,IF(情景分析!$D$6=1,$J28,IF(情景分析!$D$6=2,$E28,IF(情景分析!$D$6=4,IF($C28="银行间",$J28,$L28),$G28)))+Y$2/100,情景分析!$D$7,"",,,,"",)*IF($H28="",1,$H28))</f>
        <v>12043.815760393183</v>
      </c>
      <c r="Z28" s="7">
        <f ca="1">IF($A28="","",[2]!B_CALC_PRICE($A28,$V$1,IF(情景分析!$D$6=1,$J28,IF(情景分析!$D$6=2,$E28,IF(情景分析!$D$6=4,IF($C28="银行间",$J28,$L28),$G28)))+Z$2/100,情景分析!$D$7,"",,,,"",)*IF($H28="",1,$H28))</f>
        <v>12047.307906043598</v>
      </c>
      <c r="AA28" s="7">
        <f ca="1">IF($A28="","",[2]!B_CALC_PRICE($A28,$V$1,IF(情景分析!$D$6=1,$J28,IF(情景分析!$D$6=2,$E28,IF(情景分析!$D$6=4,IF($C28="银行间",$J28,$L28),$G28)))+AA$2/100,情景分析!$D$7,"",,,,"",)*IF($H28="",1,$H28))</f>
        <v>12049.054721662022</v>
      </c>
      <c r="AB28" s="7">
        <f ca="1">IF($A28="","",[2]!B_CALC_PRICE($A28,$V$1,IF(情景分析!$D$6=1,$J28,IF(情景分析!$D$6=2,$E28,IF(情景分析!$D$6=4,IF($C28="银行间",$J28,$L28),$G28)))+AB$2/100,情景分析!$D$7,"",,,,"",)*IF($H28="",1,$H28))</f>
        <v>12050.802032756848</v>
      </c>
      <c r="AC28" s="7">
        <f ca="1">IF($A28="","",[2]!B_CALC_PRICE($A28,$AC$1,IF(情景分析!$D$6=1,$J28,IF(情景分析!$D$6=2,$E28,IF(情景分析!$D$6=4,IF($C28="银行间",$J28,$L28),$G28)))+AC$2/100,情景分析!$D$7,"",,,,"",)*IF($H28="",1,$H28))</f>
        <v>12014.527565739934</v>
      </c>
      <c r="AD28" s="7">
        <f ca="1">IF($A28="","",[2]!B_CALC_PRICE($A28,$AC$1,IF(情景分析!$D$6=1,$J28,IF(情景分析!$D$6=2,$E28,IF(情景分析!$D$6=4,IF($C28="银行间",$J28,$L28),$G28)))+AD$2/100,情景分析!$D$7,"",,,,"",)*IF($H28="",1,$H28))</f>
        <v>12015.253314744628</v>
      </c>
      <c r="AE28" s="7">
        <f ca="1">IF($A28="","",[2]!B_CALC_PRICE($A28,$AC$1,IF(情景分析!$D$6=1,$J28,IF(情景分析!$D$6=2,$E28,IF(情景分析!$D$6=4,IF($C28="银行间",$J28,$L28),$G28)))+AE$2/100,情景分析!$D$7,"",,,,"",)*IF($H28="",1,$H28))</f>
        <v>12015.979149058454</v>
      </c>
      <c r="AF28" s="7">
        <f ca="1">IF($A28="","",[2]!B_CALC_PRICE($A28,$AC$1,IF(情景分析!$D$6=1,$J28,IF(情景分析!$D$6=2,$E28,IF(情景分析!$D$6=4,IF($C28="银行间",$J28,$L28),$G28)))+AF$2/100,情景分析!$D$7,"",,,,"",)*IF($H28="",1,$H28))</f>
        <v>12017.431073673668</v>
      </c>
      <c r="AG28" s="7">
        <f ca="1">IF($A28="","",[2]!B_CALC_PRICE($A28,$AC$1,IF(情景分析!$D$6=1,$J28,IF(情景分析!$D$6=2,$E28,IF(情景分析!$D$6=4,IF($C28="银行间",$J28,$L28),$G28)))+AG$2/100,情景分析!$D$7,"",,,,"",)*IF($H28="",1,$H28))</f>
        <v>12018.883339705953</v>
      </c>
      <c r="AH28" s="7">
        <f ca="1">IF($A28="","",[2]!B_CALC_PRICE($A28,$AC$1,IF(情景分析!$D$6=1,$J28,IF(情景分析!$D$6=2,$E28,IF(情景分析!$D$6=4,IF($C28="银行间",$J28,$L28),$G28)))+AH$2/100,情景分析!$D$7,"",,,,"",)*IF($H28="",1,$H28))</f>
        <v>12019.609600791138</v>
      </c>
      <c r="AI28" s="7">
        <f ca="1">IF($A28="","",[2]!B_CALC_PRICE($A28,$AC$1,IF(情景分析!$D$6=1,$J28,IF(情景分析!$D$6=2,$E28,IF(情景分析!$D$6=4,IF($C28="银行间",$J28,$L28),$G28)))+AI$2/100,情景分析!$D$7,"",,,,"",)*IF($H28="",1,$H28))</f>
        <v>12020.33594727576</v>
      </c>
      <c r="AJ28" s="7">
        <f ca="1">IF($A28="","",[2]!B_CALC_PRICE($A28,$AJ$1,IF(情景分析!$D$6=1,$J28,IF(情景分析!$D$6=2,$E28,IF(情景分析!$D$6=4,IF($C28="银行间",$J28,$L28),$G28)))+AJ$2/100,情景分析!$D$7,"",,,,"",)*IF($H28="",1,$H28))</f>
        <v>12014.527565739934</v>
      </c>
      <c r="AK28" s="7">
        <f ca="1">IF($A28="","",[2]!B_CALC_PRICE($A28,$AJ$1,IF(情景分析!$D$6=1,$J28,IF(情景分析!$D$6=2,$E28,IF(情景分析!$D$6=4,IF($C28="银行间",$J28,$L28),$G28)))+AK$2/100,情景分析!$D$7,"",,,,"",)*IF($H28="",1,$H28))</f>
        <v>12015.253314744628</v>
      </c>
      <c r="AL28" s="7">
        <f ca="1">IF($A28="","",[2]!B_CALC_PRICE($A28,$AJ$1,IF(情景分析!$D$6=1,$J28,IF(情景分析!$D$6=2,$E28,IF(情景分析!$D$6=4,IF($C28="银行间",$J28,$L28),$G28)))+AL$2/100,情景分析!$D$7,"",,,,"",)*IF($H28="",1,$H28))</f>
        <v>12015.979149058454</v>
      </c>
      <c r="AM28" s="7">
        <f ca="1">IF($A28="","",[2]!B_CALC_PRICE($A28,$AJ$1,IF(情景分析!$D$6=1,$J28,IF(情景分析!$D$6=2,$E28,IF(情景分析!$D$6=4,IF($C28="银行间",$J28,$L28),$G28)))+AM$2/100,情景分析!$D$7,"",,,,"",)*IF($H28="",1,$H28))</f>
        <v>12017.431073673668</v>
      </c>
      <c r="AN28" s="7">
        <f ca="1">IF($A28="","",[2]!B_CALC_PRICE($A28,$AJ$1,IF(情景分析!$D$6=1,$J28,IF(情景分析!$D$6=2,$E28,IF(情景分析!$D$6=4,IF($C28="银行间",$J28,$L28),$G28)))+AN$2/100,情景分析!$D$7,"",,,,"",)*IF($H28="",1,$H28))</f>
        <v>12018.883339705953</v>
      </c>
      <c r="AO28" s="7">
        <f ca="1">IF($A28="","",[2]!B_CALC_PRICE($A28,$AJ$1,IF(情景分析!$D$6=1,$J28,IF(情景分析!$D$6=2,$E28,IF(情景分析!$D$6=4,IF($C28="银行间",$J28,$L28),$G28)))+AO$2/100,情景分析!$D$7,"",,,,"",)*IF($H28="",1,$H28))</f>
        <v>12019.609600791138</v>
      </c>
      <c r="AP28" s="7">
        <f ca="1">IF($A28="","",[2]!B_CALC_PRICE($A28,$AJ$1,IF(情景分析!$D$6=1,$J28,IF(情景分析!$D$6=2,$E28,IF(情景分析!$D$6=4,IF($C28="银行间",$J28,$L28),$G28)))+AP$2/100,情景分析!$D$7,"",,,,"",)*IF($H28="",1,$H28))</f>
        <v>12020.33594727576</v>
      </c>
      <c r="AQ28" s="7" t="e">
        <f ca="1">IF($A28="","",[2]!B_CALC_PRICE($A28,$AQ$1,IF(情景分析!$D$6=1,$J28,IF(情景分析!$D$6=2,$E28,IF(情景分析!$D$6=4,IF($C28="银行间",$J28,$L28),$G28)))+AQ$2/100,情景分析!$D$7,"",,,,"",)*IF($H28="",1,$H28))</f>
        <v>#VALUE!</v>
      </c>
      <c r="AR28" s="7" t="e">
        <f ca="1">IF($A28="","",[2]!B_CALC_PRICE($A28,$AQ$1,IF(情景分析!$D$6=1,$J28,IF(情景分析!$D$6=2,$E28,IF(情景分析!$D$6=4,IF($C28="银行间",$J28,$L28),$G28)))+AR$2/100,情景分析!$D$7,"",,,,"",)*IF($H28="",1,$H28))</f>
        <v>#VALUE!</v>
      </c>
      <c r="AS28" s="7" t="e">
        <f ca="1">IF($A28="","",[2]!B_CALC_PRICE($A28,$AQ$1,IF(情景分析!$D$6=1,$J28,IF(情景分析!$D$6=2,$E28,IF(情景分析!$D$6=4,IF($C28="银行间",$J28,$L28),$G28)))+AS$2/100,情景分析!$D$7,"",,,,"",)*IF($H28="",1,$H28))</f>
        <v>#VALUE!</v>
      </c>
      <c r="AT28" s="7" t="e">
        <f ca="1">IF($A28="","",[2]!B_CALC_PRICE($A28,$AQ$1,IF(情景分析!$D$6=1,$J28,IF(情景分析!$D$6=2,$E28,IF(情景分析!$D$6=4,IF($C28="银行间",$J28,$L28),$G28)))+AT$2/100,情景分析!$D$7,"",,,,"",)*IF($H28="",1,$H28))</f>
        <v>#VALUE!</v>
      </c>
      <c r="AU28" s="7" t="e">
        <f ca="1">IF($A28="","",[2]!B_CALC_PRICE($A28,$AQ$1,IF(情景分析!$D$6=1,$J28,IF(情景分析!$D$6=2,$E28,IF(情景分析!$D$6=4,IF($C28="银行间",$J28,$L28),$G28)))+AU$2/100,情景分析!$D$7,"",,,,"",)*IF($H28="",1,$H28))</f>
        <v>#VALUE!</v>
      </c>
      <c r="AV28" s="7" t="e">
        <f ca="1">IF($A28="","",[2]!B_CALC_PRICE($A28,$AQ$1,IF(情景分析!$D$6=1,$J28,IF(情景分析!$D$6=2,$E28,IF(情景分析!$D$6=4,IF($C28="银行间",$J28,$L28),$G28)))+AV$2/100,情景分析!$D$7,"",,,,"",)*IF($H28="",1,$H28))</f>
        <v>#VALUE!</v>
      </c>
      <c r="AW28" s="7" t="e">
        <f ca="1">IF($A28="","",[2]!B_CALC_PRICE($A28,$AQ$1,IF(情景分析!$D$6=1,$J28,IF(情景分析!$D$6=2,$E28,IF(情景分析!$D$6=4,IF($C28="银行间",$J28,$L28),$G28)))+AW$2/100,情景分析!$D$7,"",,,,"",)*IF($H28="",1,$H28))</f>
        <v>#VALUE!</v>
      </c>
    </row>
    <row r="29" spans="1:49" x14ac:dyDescent="0.15">
      <c r="A29" s="20" t="s">
        <v>46</v>
      </c>
      <c r="B29" s="7" t="str">
        <f>IF(A29="","",[2]!b_info_name(A29))</f>
        <v>23泉港04</v>
      </c>
      <c r="C29" s="7" t="str">
        <f>[2]!b_info_listedmkt(A29)</f>
        <v>上海</v>
      </c>
      <c r="D29" s="7">
        <f ca="1">IFERROR(IF(A29="","", [2]!b_dq_avgprice(A29, 情景分析!$D$5, 情景分析!$D$7) * IF($H29="",1,$H29)),0)</f>
        <v>0</v>
      </c>
      <c r="E29" s="7">
        <f ca="1">IF(A29="","", N([2]!b_dq_avgprice(A29,情景分析!$D$5,3)))</f>
        <v>0</v>
      </c>
      <c r="F29" s="29">
        <f ca="1">IF($G29 = "",
"",
IFERROR(
[2]!b_calc_pv(A29, 情景分析!$D$5,$G29, "1", 情景分析!$D$7),
[2]!b_calc_pv(A29, 情景分析!$D$5,$G29, "2", 情景分析!$D$7)
)
)</f>
        <v>91.820564708887304</v>
      </c>
      <c r="G29" s="22">
        <v>20</v>
      </c>
      <c r="H29" s="21">
        <v>120</v>
      </c>
      <c r="I29" s="7">
        <f ca="1">IF(A29="","",IF(情景分析!$D$7=1,[2]!b_anal_net_cnbd(A29,情景分析!$D$5,1),[2]!b_anal_dirty_cnbd(A29,情景分析!$D$5,1))*IF($H29="",1,$H29))</f>
        <v>12200.268</v>
      </c>
      <c r="J29" s="7">
        <f ca="1">IF(A29="","",[2]!b_anal_yield_cnbd(A29,情景分析!$D$5,1))</f>
        <v>1.8429</v>
      </c>
      <c r="K29" s="29">
        <f ca="1">IF(A29="","",IF(情景分析!$D$7=1,[2]!b_anal_net_csi1(A29,情景分析!$D$5,1),[2]!b_anal_dirty_csi1(A29,情景分析!$D$5,1))*IF($H29="",1,$H29))</f>
        <v>12199.871999999999</v>
      </c>
      <c r="L29" s="29">
        <f ca="1">IF(A29="","",[2]!b_anal_yield_csi1(A29,情景分析!$D$5,1))</f>
        <v>1.8265</v>
      </c>
      <c r="M29" s="29">
        <f t="shared" ca="1" si="4"/>
        <v>12199.871999999999</v>
      </c>
      <c r="N29" s="29">
        <f t="shared" ca="1" si="5"/>
        <v>1.8265</v>
      </c>
      <c r="O29" s="7">
        <f ca="1">IF($A29="","",[2]!B_CALC_PRICE($A29,$O$1,IF(情景分析!$D$6=1,$J29,IF(情景分析!$D$6=2,$E29,IF(情景分析!$D$6=4,IF($C29="银行间",$J29,$L29),$G29)))+O$2/100,情景分析!$D$7,"",,,,"",)*IF($H29="",1,$H29))</f>
        <v>12174.658686689634</v>
      </c>
      <c r="P29" s="7">
        <f ca="1">IF($A29="","",[2]!B_CALC_PRICE($A29,$O$1,IF(情景分析!$D$6=1,$J29,IF(情景分析!$D$6=2,$E29,IF(情景分析!$D$6=4,IF($C29="银行间",$J29,$L29),$G29)))+P$2/100,情景分析!$D$7,"",,,,"",)*IF($H29="",1,$H29))</f>
        <v>12178.061204868522</v>
      </c>
      <c r="Q29" s="7">
        <f ca="1">IF($A29="","",[2]!B_CALC_PRICE($A29,$O$1,IF(情景分析!$D$6=1,$J29,IF(情景分析!$D$6=2,$E29,IF(情景分析!$D$6=4,IF($C29="银行间",$J29,$L29),$G29)))+Q$2/100,情景分析!$D$7,"",,,,"",)*IF($H29="",1,$H29))</f>
        <v>12181.465586052927</v>
      </c>
      <c r="R29" s="7">
        <f ca="1">IF($A29="","",[2]!B_CALC_PRICE($A29,$O$1,IF(情景分析!$D$6=1,$J29,IF(情景分析!$D$6=2,$E29,IF(情景分析!$D$6=4,IF($C29="银行间",$J29,$L29),$G29)))+R$2/100,情景分析!$D$7,"",,,,"",)*IF($H29="",1,$H29))</f>
        <v>12188.279943562018</v>
      </c>
      <c r="S29" s="7">
        <f ca="1">IF($A29="","",[2]!B_CALC_PRICE($A29,$O$1,IF(情景分析!$D$6=1,$J29,IF(情景分析!$D$6=2,$E29,IF(情景分析!$D$6=4,IF($C29="银行间",$J29,$L29),$G29)))+S$2/100,情景分析!$D$7,"",,,,"",)*IF($H29="",1,$H29))</f>
        <v>12195.101771481177</v>
      </c>
      <c r="T29" s="7">
        <f ca="1">IF($A29="","",[2]!B_CALC_PRICE($A29,$O$1,IF(情景分析!$D$6=1,$J29,IF(情景分析!$D$6=2,$E29,IF(情景分析!$D$6=4,IF($C29="银行间",$J29,$L29),$G29)))+T$2/100,情景分析!$D$7,"",,,,"",)*IF($H29="",1,$H29))</f>
        <v>12198.515490684469</v>
      </c>
      <c r="U29" s="7">
        <f ca="1">IF($A29="","",[2]!B_CALC_PRICE($A29,$O$1,IF(情景分析!$D$6=1,$J29,IF(情景分析!$D$6=2,$E29,IF(情景分析!$D$6=4,IF($C29="银行间",$J29,$L29),$G29)))+U$2/100,情景分析!$D$7,"",,,,"",)*IF($H29="",1,$H29))</f>
        <v>12201.931082101575</v>
      </c>
      <c r="V29" s="7">
        <f ca="1">IF($A29="","",[2]!B_CALC_PRICE($A29,$V$1,IF(情景分析!$D$6=1,$J29,IF(情景分析!$D$6=2,$E29,IF(情景分析!$D$6=4,IF($C29="银行间",$J29,$L29),$G29)))+V$2/100,情景分析!$D$7,"",,,,"",)*IF($H29="",1,$H29))</f>
        <v>12153.556107485001</v>
      </c>
      <c r="W29" s="7">
        <f ca="1">IF($A29="","",[2]!B_CALC_PRICE($A29,$V$1,IF(情景分析!$D$6=1,$J29,IF(情景分析!$D$6=2,$E29,IF(情景分析!$D$6=4,IF($C29="银行间",$J29,$L29),$G29)))+W$2/100,情景分析!$D$7,"",,,,"",)*IF($H29="",1,$H29))</f>
        <v>12156.562250117096</v>
      </c>
      <c r="X29" s="7">
        <f ca="1">IF($A29="","",[2]!B_CALC_PRICE($A29,$V$1,IF(情景分析!$D$6=1,$J29,IF(情景分析!$D$6=2,$E29,IF(情景分析!$D$6=4,IF($C29="银行间",$J29,$L29),$G29)))+X$2/100,情景分析!$D$7,"",,,,"",)*IF($H29="",1,$H29))</f>
        <v>12159.569844998463</v>
      </c>
      <c r="Y29" s="7">
        <f ca="1">IF($A29="","",[2]!B_CALC_PRICE($A29,$V$1,IF(情景分析!$D$6=1,$J29,IF(情景分析!$D$6=2,$E29,IF(情景分析!$D$6=4,IF($C29="银行间",$J29,$L29),$G29)))+Y$2/100,情景分析!$D$7,"",,,,"",)*IF($H29="",1,$H29))</f>
        <v>12165.58939572049</v>
      </c>
      <c r="Z29" s="7">
        <f ca="1">IF($A29="","",[2]!B_CALC_PRICE($A29,$V$1,IF(情景分析!$D$6=1,$J29,IF(情景分析!$D$6=2,$E29,IF(情景分析!$D$6=4,IF($C29="银行间",$J29,$L29),$G29)))+Z$2/100,情景分析!$D$7,"",,,,"",)*IF($H29="",1,$H29))</f>
        <v>12171.614768084206</v>
      </c>
      <c r="AA29" s="7">
        <f ca="1">IF($A29="","",[2]!B_CALC_PRICE($A29,$V$1,IF(情景分析!$D$6=1,$J29,IF(情景分析!$D$6=2,$E29,IF(情景分析!$D$6=4,IF($C29="银行间",$J29,$L29),$G29)))+AA$2/100,情景分析!$D$7,"",,,,"",)*IF($H29="",1,$H29))</f>
        <v>12174.629640021511</v>
      </c>
      <c r="AB29" s="7">
        <f ca="1">IF($A29="","",[2]!B_CALC_PRICE($A29,$V$1,IF(情景分析!$D$6=1,$J29,IF(情景分析!$D$6=2,$E29,IF(情景分析!$D$6=4,IF($C29="银行间",$J29,$L29),$G29)))+AB$2/100,情景分析!$D$7,"",,,,"",)*IF($H29="",1,$H29))</f>
        <v>12177.645970539059</v>
      </c>
      <c r="AC29" s="7">
        <f ca="1">IF($A29="","",[2]!B_CALC_PRICE($A29,$AC$1,IF(情景分析!$D$6=1,$J29,IF(情景分析!$D$6=2,$E29,IF(情景分析!$D$6=4,IF($C29="银行间",$J29,$L29),$G29)))+AC$2/100,情景分析!$D$7,"",,,,"",)*IF($H29="",1,$H29))</f>
        <v>12100.1190190208</v>
      </c>
      <c r="AD29" s="7">
        <f ca="1">IF($A29="","",[2]!B_CALC_PRICE($A29,$AC$1,IF(情景分析!$D$6=1,$J29,IF(情景分析!$D$6=2,$E29,IF(情景分析!$D$6=4,IF($C29="银行间",$J29,$L29),$G29)))+AD$2/100,情景分析!$D$7,"",,,,"",)*IF($H29="",1,$H29))</f>
        <v>12102.108230518734</v>
      </c>
      <c r="AE29" s="7">
        <f ca="1">IF($A29="","",[2]!B_CALC_PRICE($A29,$AC$1,IF(情景分析!$D$6=1,$J29,IF(情景分析!$D$6=2,$E29,IF(情景分析!$D$6=4,IF($C29="银行间",$J29,$L29),$G29)))+AE$2/100,情景分析!$D$7,"",,,,"",)*IF($H29="",1,$H29))</f>
        <v>12104.098075707741</v>
      </c>
      <c r="AF29" s="7">
        <f ca="1">IF($A29="","",[2]!B_CALC_PRICE($A29,$AC$1,IF(情景分析!$D$6=1,$J29,IF(情景分析!$D$6=2,$E29,IF(情景分析!$D$6=4,IF($C29="银行间",$J29,$L29),$G29)))+AF$2/100,情景分析!$D$7,"",,,,"",)*IF($H29="",1,$H29))</f>
        <v>12108.079668370601</v>
      </c>
      <c r="AG29" s="7">
        <f ca="1">IF($A29="","",[2]!B_CALC_PRICE($A29,$AC$1,IF(情景分析!$D$6=1,$J29,IF(情景分析!$D$6=2,$E29,IF(情景分析!$D$6=4,IF($C29="银行间",$J29,$L29),$G29)))+AG$2/100,情景分析!$D$7,"",,,,"",)*IF($H29="",1,$H29))</f>
        <v>12112.06379943454</v>
      </c>
      <c r="AH29" s="7">
        <f ca="1">IF($A29="","",[2]!B_CALC_PRICE($A29,$AC$1,IF(情景分析!$D$6=1,$J29,IF(情景分析!$D$6=2,$E29,IF(情景分析!$D$6=4,IF($C29="银行间",$J29,$L29),$G29)))+AH$2/100,情景分析!$D$7,"",,,,"",)*IF($H29="",1,$H29))</f>
        <v>12114.056817625622</v>
      </c>
      <c r="AI29" s="7">
        <f ca="1">IF($A29="","",[2]!B_CALC_PRICE($A29,$AC$1,IF(情景分析!$D$6=1,$J29,IF(情景分析!$D$6=2,$E29,IF(情景分析!$D$6=4,IF($C29="银行间",$J29,$L29),$G29)))+AI$2/100,情景分析!$D$7,"",,,,"",)*IF($H29="",1,$H29))</f>
        <v>12116.050471327808</v>
      </c>
      <c r="AJ29" s="7">
        <f ca="1">IF($A29="","",[2]!B_CALC_PRICE($A29,$AJ$1,IF(情景分析!$D$6=1,$J29,IF(情景分析!$D$6=2,$E29,IF(情景分析!$D$6=4,IF($C29="银行间",$J29,$L29),$G29)))+AJ$2/100,情景分析!$D$7,"",,,,"",)*IF($H29="",1,$H29))</f>
        <v>12100.1190190208</v>
      </c>
      <c r="AK29" s="7">
        <f ca="1">IF($A29="","",[2]!B_CALC_PRICE($A29,$AJ$1,IF(情景分析!$D$6=1,$J29,IF(情景分析!$D$6=2,$E29,IF(情景分析!$D$6=4,IF($C29="银行间",$J29,$L29),$G29)))+AK$2/100,情景分析!$D$7,"",,,,"",)*IF($H29="",1,$H29))</f>
        <v>12102.108230518734</v>
      </c>
      <c r="AL29" s="7">
        <f ca="1">IF($A29="","",[2]!B_CALC_PRICE($A29,$AJ$1,IF(情景分析!$D$6=1,$J29,IF(情景分析!$D$6=2,$E29,IF(情景分析!$D$6=4,IF($C29="银行间",$J29,$L29),$G29)))+AL$2/100,情景分析!$D$7,"",,,,"",)*IF($H29="",1,$H29))</f>
        <v>12104.098075707741</v>
      </c>
      <c r="AM29" s="7">
        <f ca="1">IF($A29="","",[2]!B_CALC_PRICE($A29,$AJ$1,IF(情景分析!$D$6=1,$J29,IF(情景分析!$D$6=2,$E29,IF(情景分析!$D$6=4,IF($C29="银行间",$J29,$L29),$G29)))+AM$2/100,情景分析!$D$7,"",,,,"",)*IF($H29="",1,$H29))</f>
        <v>12108.079668370601</v>
      </c>
      <c r="AN29" s="7">
        <f ca="1">IF($A29="","",[2]!B_CALC_PRICE($A29,$AJ$1,IF(情景分析!$D$6=1,$J29,IF(情景分析!$D$6=2,$E29,IF(情景分析!$D$6=4,IF($C29="银行间",$J29,$L29),$G29)))+AN$2/100,情景分析!$D$7,"",,,,"",)*IF($H29="",1,$H29))</f>
        <v>12112.06379943454</v>
      </c>
      <c r="AO29" s="7">
        <f ca="1">IF($A29="","",[2]!B_CALC_PRICE($A29,$AJ$1,IF(情景分析!$D$6=1,$J29,IF(情景分析!$D$6=2,$E29,IF(情景分析!$D$6=4,IF($C29="银行间",$J29,$L29),$G29)))+AO$2/100,情景分析!$D$7,"",,,,"",)*IF($H29="",1,$H29))</f>
        <v>12114.056817625622</v>
      </c>
      <c r="AP29" s="7">
        <f ca="1">IF($A29="","",[2]!B_CALC_PRICE($A29,$AJ$1,IF(情景分析!$D$6=1,$J29,IF(情景分析!$D$6=2,$E29,IF(情景分析!$D$6=4,IF($C29="银行间",$J29,$L29),$G29)))+AP$2/100,情景分析!$D$7,"",,,,"",)*IF($H29="",1,$H29))</f>
        <v>12116.050471327808</v>
      </c>
      <c r="AQ29" s="7" t="e">
        <f ca="1">IF($A29="","",[2]!B_CALC_PRICE($A29,$AQ$1,IF(情景分析!$D$6=1,$J29,IF(情景分析!$D$6=2,$E29,IF(情景分析!$D$6=4,IF($C29="银行间",$J29,$L29),$G29)))+AQ$2/100,情景分析!$D$7,"",,,,"",)*IF($H29="",1,$H29))</f>
        <v>#VALUE!</v>
      </c>
      <c r="AR29" s="7" t="e">
        <f ca="1">IF($A29="","",[2]!B_CALC_PRICE($A29,$AQ$1,IF(情景分析!$D$6=1,$J29,IF(情景分析!$D$6=2,$E29,IF(情景分析!$D$6=4,IF($C29="银行间",$J29,$L29),$G29)))+AR$2/100,情景分析!$D$7,"",,,,"",)*IF($H29="",1,$H29))</f>
        <v>#VALUE!</v>
      </c>
      <c r="AS29" s="7" t="e">
        <f ca="1">IF($A29="","",[2]!B_CALC_PRICE($A29,$AQ$1,IF(情景分析!$D$6=1,$J29,IF(情景分析!$D$6=2,$E29,IF(情景分析!$D$6=4,IF($C29="银行间",$J29,$L29),$G29)))+AS$2/100,情景分析!$D$7,"",,,,"",)*IF($H29="",1,$H29))</f>
        <v>#VALUE!</v>
      </c>
      <c r="AT29" s="7" t="e">
        <f ca="1">IF($A29="","",[2]!B_CALC_PRICE($A29,$AQ$1,IF(情景分析!$D$6=1,$J29,IF(情景分析!$D$6=2,$E29,IF(情景分析!$D$6=4,IF($C29="银行间",$J29,$L29),$G29)))+AT$2/100,情景分析!$D$7,"",,,,"",)*IF($H29="",1,$H29))</f>
        <v>#VALUE!</v>
      </c>
      <c r="AU29" s="7" t="e">
        <f ca="1">IF($A29="","",[2]!B_CALC_PRICE($A29,$AQ$1,IF(情景分析!$D$6=1,$J29,IF(情景分析!$D$6=2,$E29,IF(情景分析!$D$6=4,IF($C29="银行间",$J29,$L29),$G29)))+AU$2/100,情景分析!$D$7,"",,,,"",)*IF($H29="",1,$H29))</f>
        <v>#VALUE!</v>
      </c>
      <c r="AV29" s="7" t="e">
        <f ca="1">IF($A29="","",[2]!B_CALC_PRICE($A29,$AQ$1,IF(情景分析!$D$6=1,$J29,IF(情景分析!$D$6=2,$E29,IF(情景分析!$D$6=4,IF($C29="银行间",$J29,$L29),$G29)))+AV$2/100,情景分析!$D$7,"",,,,"",)*IF($H29="",1,$H29))</f>
        <v>#VALUE!</v>
      </c>
      <c r="AW29" s="7" t="e">
        <f ca="1">IF($A29="","",[2]!B_CALC_PRICE($A29,$AQ$1,IF(情景分析!$D$6=1,$J29,IF(情景分析!$D$6=2,$E29,IF(情景分析!$D$6=4,IF($C29="银行间",$J29,$L29),$G29)))+AW$2/100,情景分析!$D$7,"",,,,"",)*IF($H29="",1,$H29))</f>
        <v>#VALUE!</v>
      </c>
    </row>
    <row r="30" spans="1:49" x14ac:dyDescent="0.15">
      <c r="A30" s="20" t="s">
        <v>46</v>
      </c>
      <c r="B30" s="7" t="str">
        <f>IF(A30="","",[2]!b_info_name(A30))</f>
        <v>23泉港04</v>
      </c>
      <c r="C30" s="7" t="str">
        <f>[2]!b_info_listedmkt(A30)</f>
        <v>上海</v>
      </c>
      <c r="D30" s="7">
        <f ca="1">IFERROR(IF(A30="","", [2]!b_dq_avgprice(A30, 情景分析!$D$5, 情景分析!$D$7) * IF($H30="",1,$H30)),0)</f>
        <v>0</v>
      </c>
      <c r="E30" s="7">
        <f ca="1">IF(A30="","", N([2]!b_dq_avgprice(A30,情景分析!$D$5,3)))</f>
        <v>0</v>
      </c>
      <c r="F30" s="29">
        <f ca="1">IF($G30 = "",
"",
IFERROR(
[2]!b_calc_pv(A30, 情景分析!$D$5,$G30, "1", 情景分析!$D$7),
[2]!b_calc_pv(A30, 情景分析!$D$5,$G30, "2", 情景分析!$D$7)
)
)</f>
        <v>91.820564708887304</v>
      </c>
      <c r="G30" s="22">
        <v>20</v>
      </c>
      <c r="H30" s="21">
        <v>120</v>
      </c>
      <c r="I30" s="7">
        <f ca="1">IF(A30="","",IF(情景分析!$D$7=1,[2]!b_anal_net_cnbd(A30,情景分析!$D$5,1),[2]!b_anal_dirty_cnbd(A30,情景分析!$D$5,1))*IF($H30="",1,$H30))</f>
        <v>12200.268</v>
      </c>
      <c r="J30" s="7">
        <f ca="1">IF(A30="","",[2]!b_anal_yield_cnbd(A30,情景分析!$D$5,1))</f>
        <v>1.8429</v>
      </c>
      <c r="K30" s="29">
        <f ca="1">IF(A30="","",IF(情景分析!$D$7=1,[2]!b_anal_net_csi1(A30,情景分析!$D$5,1),[2]!b_anal_dirty_csi1(A30,情景分析!$D$5,1))*IF($H30="",1,$H30))</f>
        <v>12199.871999999999</v>
      </c>
      <c r="L30" s="29">
        <f ca="1">IF(A30="","",[2]!b_anal_yield_csi1(A30,情景分析!$D$5,1))</f>
        <v>1.8265</v>
      </c>
      <c r="M30" s="29">
        <f t="shared" ca="1" si="4"/>
        <v>12199.871999999999</v>
      </c>
      <c r="N30" s="29">
        <f t="shared" ca="1" si="5"/>
        <v>1.8265</v>
      </c>
      <c r="O30" s="7">
        <f ca="1">IF($A30="","",[2]!B_CALC_PRICE($A30,$O$1,IF(情景分析!$D$6=1,$J30,IF(情景分析!$D$6=2,$E30,IF(情景分析!$D$6=4,IF($C30="银行间",$J30,$L30),$G30)))+O$2/100,情景分析!$D$7,"",,,,"",)*IF($H30="",1,$H30))</f>
        <v>12174.658686689634</v>
      </c>
      <c r="P30" s="7">
        <f ca="1">IF($A30="","",[2]!B_CALC_PRICE($A30,$O$1,IF(情景分析!$D$6=1,$J30,IF(情景分析!$D$6=2,$E30,IF(情景分析!$D$6=4,IF($C30="银行间",$J30,$L30),$G30)))+P$2/100,情景分析!$D$7,"",,,,"",)*IF($H30="",1,$H30))</f>
        <v>12178.061204868522</v>
      </c>
      <c r="Q30" s="7">
        <f ca="1">IF($A30="","",[2]!B_CALC_PRICE($A30,$O$1,IF(情景分析!$D$6=1,$J30,IF(情景分析!$D$6=2,$E30,IF(情景分析!$D$6=4,IF($C30="银行间",$J30,$L30),$G30)))+Q$2/100,情景分析!$D$7,"",,,,"",)*IF($H30="",1,$H30))</f>
        <v>12181.465586052927</v>
      </c>
      <c r="R30" s="7">
        <f ca="1">IF($A30="","",[2]!B_CALC_PRICE($A30,$O$1,IF(情景分析!$D$6=1,$J30,IF(情景分析!$D$6=2,$E30,IF(情景分析!$D$6=4,IF($C30="银行间",$J30,$L30),$G30)))+R$2/100,情景分析!$D$7,"",,,,"",)*IF($H30="",1,$H30))</f>
        <v>12188.279943562018</v>
      </c>
      <c r="S30" s="7">
        <f ca="1">IF($A30="","",[2]!B_CALC_PRICE($A30,$O$1,IF(情景分析!$D$6=1,$J30,IF(情景分析!$D$6=2,$E30,IF(情景分析!$D$6=4,IF($C30="银行间",$J30,$L30),$G30)))+S$2/100,情景分析!$D$7,"",,,,"",)*IF($H30="",1,$H30))</f>
        <v>12195.101771481177</v>
      </c>
      <c r="T30" s="7">
        <f ca="1">IF($A30="","",[2]!B_CALC_PRICE($A30,$O$1,IF(情景分析!$D$6=1,$J30,IF(情景分析!$D$6=2,$E30,IF(情景分析!$D$6=4,IF($C30="银行间",$J30,$L30),$G30)))+T$2/100,情景分析!$D$7,"",,,,"",)*IF($H30="",1,$H30))</f>
        <v>12198.515490684469</v>
      </c>
      <c r="U30" s="7">
        <f ca="1">IF($A30="","",[2]!B_CALC_PRICE($A30,$O$1,IF(情景分析!$D$6=1,$J30,IF(情景分析!$D$6=2,$E30,IF(情景分析!$D$6=4,IF($C30="银行间",$J30,$L30),$G30)))+U$2/100,情景分析!$D$7,"",,,,"",)*IF($H30="",1,$H30))</f>
        <v>12201.931082101575</v>
      </c>
      <c r="V30" s="7">
        <f ca="1">IF($A30="","",[2]!B_CALC_PRICE($A30,$V$1,IF(情景分析!$D$6=1,$J30,IF(情景分析!$D$6=2,$E30,IF(情景分析!$D$6=4,IF($C30="银行间",$J30,$L30),$G30)))+V$2/100,情景分析!$D$7,"",,,,"",)*IF($H30="",1,$H30))</f>
        <v>12153.556107485001</v>
      </c>
      <c r="W30" s="7">
        <f ca="1">IF($A30="","",[2]!B_CALC_PRICE($A30,$V$1,IF(情景分析!$D$6=1,$J30,IF(情景分析!$D$6=2,$E30,IF(情景分析!$D$6=4,IF($C30="银行间",$J30,$L30),$G30)))+W$2/100,情景分析!$D$7,"",,,,"",)*IF($H30="",1,$H30))</f>
        <v>12156.562250117096</v>
      </c>
      <c r="X30" s="7">
        <f ca="1">IF($A30="","",[2]!B_CALC_PRICE($A30,$V$1,IF(情景分析!$D$6=1,$J30,IF(情景分析!$D$6=2,$E30,IF(情景分析!$D$6=4,IF($C30="银行间",$J30,$L30),$G30)))+X$2/100,情景分析!$D$7,"",,,,"",)*IF($H30="",1,$H30))</f>
        <v>12159.569844998463</v>
      </c>
      <c r="Y30" s="7">
        <f ca="1">IF($A30="","",[2]!B_CALC_PRICE($A30,$V$1,IF(情景分析!$D$6=1,$J30,IF(情景分析!$D$6=2,$E30,IF(情景分析!$D$6=4,IF($C30="银行间",$J30,$L30),$G30)))+Y$2/100,情景分析!$D$7,"",,,,"",)*IF($H30="",1,$H30))</f>
        <v>12165.58939572049</v>
      </c>
      <c r="Z30" s="7">
        <f ca="1">IF($A30="","",[2]!B_CALC_PRICE($A30,$V$1,IF(情景分析!$D$6=1,$J30,IF(情景分析!$D$6=2,$E30,IF(情景分析!$D$6=4,IF($C30="银行间",$J30,$L30),$G30)))+Z$2/100,情景分析!$D$7,"",,,,"",)*IF($H30="",1,$H30))</f>
        <v>12171.614768084206</v>
      </c>
      <c r="AA30" s="7">
        <f ca="1">IF($A30="","",[2]!B_CALC_PRICE($A30,$V$1,IF(情景分析!$D$6=1,$J30,IF(情景分析!$D$6=2,$E30,IF(情景分析!$D$6=4,IF($C30="银行间",$J30,$L30),$G30)))+AA$2/100,情景分析!$D$7,"",,,,"",)*IF($H30="",1,$H30))</f>
        <v>12174.629640021511</v>
      </c>
      <c r="AB30" s="7">
        <f ca="1">IF($A30="","",[2]!B_CALC_PRICE($A30,$V$1,IF(情景分析!$D$6=1,$J30,IF(情景分析!$D$6=2,$E30,IF(情景分析!$D$6=4,IF($C30="银行间",$J30,$L30),$G30)))+AB$2/100,情景分析!$D$7,"",,,,"",)*IF($H30="",1,$H30))</f>
        <v>12177.645970539059</v>
      </c>
      <c r="AC30" s="7">
        <f ca="1">IF($A30="","",[2]!B_CALC_PRICE($A30,$AC$1,IF(情景分析!$D$6=1,$J30,IF(情景分析!$D$6=2,$E30,IF(情景分析!$D$6=4,IF($C30="银行间",$J30,$L30),$G30)))+AC$2/100,情景分析!$D$7,"",,,,"",)*IF($H30="",1,$H30))</f>
        <v>12100.1190190208</v>
      </c>
      <c r="AD30" s="7">
        <f ca="1">IF($A30="","",[2]!B_CALC_PRICE($A30,$AC$1,IF(情景分析!$D$6=1,$J30,IF(情景分析!$D$6=2,$E30,IF(情景分析!$D$6=4,IF($C30="银行间",$J30,$L30),$G30)))+AD$2/100,情景分析!$D$7,"",,,,"",)*IF($H30="",1,$H30))</f>
        <v>12102.108230518734</v>
      </c>
      <c r="AE30" s="7">
        <f ca="1">IF($A30="","",[2]!B_CALC_PRICE($A30,$AC$1,IF(情景分析!$D$6=1,$J30,IF(情景分析!$D$6=2,$E30,IF(情景分析!$D$6=4,IF($C30="银行间",$J30,$L30),$G30)))+AE$2/100,情景分析!$D$7,"",,,,"",)*IF($H30="",1,$H30))</f>
        <v>12104.098075707741</v>
      </c>
      <c r="AF30" s="7">
        <f ca="1">IF($A30="","",[2]!B_CALC_PRICE($A30,$AC$1,IF(情景分析!$D$6=1,$J30,IF(情景分析!$D$6=2,$E30,IF(情景分析!$D$6=4,IF($C30="银行间",$J30,$L30),$G30)))+AF$2/100,情景分析!$D$7,"",,,,"",)*IF($H30="",1,$H30))</f>
        <v>12108.079668370601</v>
      </c>
      <c r="AG30" s="7">
        <f ca="1">IF($A30="","",[2]!B_CALC_PRICE($A30,$AC$1,IF(情景分析!$D$6=1,$J30,IF(情景分析!$D$6=2,$E30,IF(情景分析!$D$6=4,IF($C30="银行间",$J30,$L30),$G30)))+AG$2/100,情景分析!$D$7,"",,,,"",)*IF($H30="",1,$H30))</f>
        <v>12112.06379943454</v>
      </c>
      <c r="AH30" s="7">
        <f ca="1">IF($A30="","",[2]!B_CALC_PRICE($A30,$AC$1,IF(情景分析!$D$6=1,$J30,IF(情景分析!$D$6=2,$E30,IF(情景分析!$D$6=4,IF($C30="银行间",$J30,$L30),$G30)))+AH$2/100,情景分析!$D$7,"",,,,"",)*IF($H30="",1,$H30))</f>
        <v>12114.056817625622</v>
      </c>
      <c r="AI30" s="7">
        <f ca="1">IF($A30="","",[2]!B_CALC_PRICE($A30,$AC$1,IF(情景分析!$D$6=1,$J30,IF(情景分析!$D$6=2,$E30,IF(情景分析!$D$6=4,IF($C30="银行间",$J30,$L30),$G30)))+AI$2/100,情景分析!$D$7,"",,,,"",)*IF($H30="",1,$H30))</f>
        <v>12116.050471327808</v>
      </c>
      <c r="AJ30" s="7">
        <f ca="1">IF($A30="","",[2]!B_CALC_PRICE($A30,$AJ$1,IF(情景分析!$D$6=1,$J30,IF(情景分析!$D$6=2,$E30,IF(情景分析!$D$6=4,IF($C30="银行间",$J30,$L30),$G30)))+AJ$2/100,情景分析!$D$7,"",,,,"",)*IF($H30="",1,$H30))</f>
        <v>12100.1190190208</v>
      </c>
      <c r="AK30" s="7">
        <f ca="1">IF($A30="","",[2]!B_CALC_PRICE($A30,$AJ$1,IF(情景分析!$D$6=1,$J30,IF(情景分析!$D$6=2,$E30,IF(情景分析!$D$6=4,IF($C30="银行间",$J30,$L30),$G30)))+AK$2/100,情景分析!$D$7,"",,,,"",)*IF($H30="",1,$H30))</f>
        <v>12102.108230518734</v>
      </c>
      <c r="AL30" s="7">
        <f ca="1">IF($A30="","",[2]!B_CALC_PRICE($A30,$AJ$1,IF(情景分析!$D$6=1,$J30,IF(情景分析!$D$6=2,$E30,IF(情景分析!$D$6=4,IF($C30="银行间",$J30,$L30),$G30)))+AL$2/100,情景分析!$D$7,"",,,,"",)*IF($H30="",1,$H30))</f>
        <v>12104.098075707741</v>
      </c>
      <c r="AM30" s="7">
        <f ca="1">IF($A30="","",[2]!B_CALC_PRICE($A30,$AJ$1,IF(情景分析!$D$6=1,$J30,IF(情景分析!$D$6=2,$E30,IF(情景分析!$D$6=4,IF($C30="银行间",$J30,$L30),$G30)))+AM$2/100,情景分析!$D$7,"",,,,"",)*IF($H30="",1,$H30))</f>
        <v>12108.079668370601</v>
      </c>
      <c r="AN30" s="7">
        <f ca="1">IF($A30="","",[2]!B_CALC_PRICE($A30,$AJ$1,IF(情景分析!$D$6=1,$J30,IF(情景分析!$D$6=2,$E30,IF(情景分析!$D$6=4,IF($C30="银行间",$J30,$L30),$G30)))+AN$2/100,情景分析!$D$7,"",,,,"",)*IF($H30="",1,$H30))</f>
        <v>12112.06379943454</v>
      </c>
      <c r="AO30" s="7">
        <f ca="1">IF($A30="","",[2]!B_CALC_PRICE($A30,$AJ$1,IF(情景分析!$D$6=1,$J30,IF(情景分析!$D$6=2,$E30,IF(情景分析!$D$6=4,IF($C30="银行间",$J30,$L30),$G30)))+AO$2/100,情景分析!$D$7,"",,,,"",)*IF($H30="",1,$H30))</f>
        <v>12114.056817625622</v>
      </c>
      <c r="AP30" s="7">
        <f ca="1">IF($A30="","",[2]!B_CALC_PRICE($A30,$AJ$1,IF(情景分析!$D$6=1,$J30,IF(情景分析!$D$6=2,$E30,IF(情景分析!$D$6=4,IF($C30="银行间",$J30,$L30),$G30)))+AP$2/100,情景分析!$D$7,"",,,,"",)*IF($H30="",1,$H30))</f>
        <v>12116.050471327808</v>
      </c>
      <c r="AQ30" s="7" t="e">
        <f ca="1">IF($A30="","",[2]!B_CALC_PRICE($A30,$AQ$1,IF(情景分析!$D$6=1,$J30,IF(情景分析!$D$6=2,$E30,IF(情景分析!$D$6=4,IF($C30="银行间",$J30,$L30),$G30)))+AQ$2/100,情景分析!$D$7,"",,,,"",)*IF($H30="",1,$H30))</f>
        <v>#VALUE!</v>
      </c>
      <c r="AR30" s="7" t="e">
        <f ca="1">IF($A30="","",[2]!B_CALC_PRICE($A30,$AQ$1,IF(情景分析!$D$6=1,$J30,IF(情景分析!$D$6=2,$E30,IF(情景分析!$D$6=4,IF($C30="银行间",$J30,$L30),$G30)))+AR$2/100,情景分析!$D$7,"",,,,"",)*IF($H30="",1,$H30))</f>
        <v>#VALUE!</v>
      </c>
      <c r="AS30" s="7" t="e">
        <f ca="1">IF($A30="","",[2]!B_CALC_PRICE($A30,$AQ$1,IF(情景分析!$D$6=1,$J30,IF(情景分析!$D$6=2,$E30,IF(情景分析!$D$6=4,IF($C30="银行间",$J30,$L30),$G30)))+AS$2/100,情景分析!$D$7,"",,,,"",)*IF($H30="",1,$H30))</f>
        <v>#VALUE!</v>
      </c>
      <c r="AT30" s="7" t="e">
        <f ca="1">IF($A30="","",[2]!B_CALC_PRICE($A30,$AQ$1,IF(情景分析!$D$6=1,$J30,IF(情景分析!$D$6=2,$E30,IF(情景分析!$D$6=4,IF($C30="银行间",$J30,$L30),$G30)))+AT$2/100,情景分析!$D$7,"",,,,"",)*IF($H30="",1,$H30))</f>
        <v>#VALUE!</v>
      </c>
      <c r="AU30" s="7" t="e">
        <f ca="1">IF($A30="","",[2]!B_CALC_PRICE($A30,$AQ$1,IF(情景分析!$D$6=1,$J30,IF(情景分析!$D$6=2,$E30,IF(情景分析!$D$6=4,IF($C30="银行间",$J30,$L30),$G30)))+AU$2/100,情景分析!$D$7,"",,,,"",)*IF($H30="",1,$H30))</f>
        <v>#VALUE!</v>
      </c>
      <c r="AV30" s="7" t="e">
        <f ca="1">IF($A30="","",[2]!B_CALC_PRICE($A30,$AQ$1,IF(情景分析!$D$6=1,$J30,IF(情景分析!$D$6=2,$E30,IF(情景分析!$D$6=4,IF($C30="银行间",$J30,$L30),$G30)))+AV$2/100,情景分析!$D$7,"",,,,"",)*IF($H30="",1,$H30))</f>
        <v>#VALUE!</v>
      </c>
      <c r="AW30" s="7" t="e">
        <f ca="1">IF($A30="","",[2]!B_CALC_PRICE($A30,$AQ$1,IF(情景分析!$D$6=1,$J30,IF(情景分析!$D$6=2,$E30,IF(情景分析!$D$6=4,IF($C30="银行间",$J30,$L30),$G30)))+AW$2/100,情景分析!$D$7,"",,,,"",)*IF($H30="",1,$H30))</f>
        <v>#VALUE!</v>
      </c>
    </row>
    <row r="31" spans="1:49" x14ac:dyDescent="0.15">
      <c r="A31" s="20" t="s">
        <v>39</v>
      </c>
      <c r="B31" s="7" t="str">
        <f>IF(A31="","",[2]!b_info_name(A31))</f>
        <v>25晋江城投MTN004</v>
      </c>
      <c r="C31" s="7" t="str">
        <f>[2]!b_info_listedmkt(A31)</f>
        <v>银行间</v>
      </c>
      <c r="D31" s="7">
        <f ca="1">IFERROR(IF(A31="","", [2]!b_dq_avgprice(A31, 情景分析!$D$5, 情景分析!$D$7) * IF($H31="",1,$H31)),0)</f>
        <v>11931.036</v>
      </c>
      <c r="E31" s="7">
        <f ca="1">IF(A31="","", N([2]!b_dq_avgprice(A31,情景分析!$D$5,3)))</f>
        <v>0</v>
      </c>
      <c r="F31" s="29">
        <f ca="1">IF($G31 = "",
"",
IFERROR(
[2]!b_calc_pv(A31, 情景分析!$D$5,$G31, "1", 情景分析!$D$7),
[2]!b_calc_pv(A31, 情景分析!$D$5,$G31, "2", 情景分析!$D$7)
)
)</f>
        <v>18.583980752556901</v>
      </c>
      <c r="G31" s="22">
        <v>20</v>
      </c>
      <c r="H31" s="21">
        <v>120</v>
      </c>
      <c r="I31" s="7">
        <f ca="1">IF(A31="","",IF(情景分析!$D$7=1,[2]!b_anal_net_cnbd(A31,情景分析!$D$5,1),[2]!b_anal_dirty_cnbd(A31,情景分析!$D$5,1))*IF($H31="",1,$H31))</f>
        <v>11938.296</v>
      </c>
      <c r="J31" s="7">
        <f ca="1">IF(A31="","",[2]!b_anal_yield_cnbd(A31,情景分析!$D$5,1))</f>
        <v>2.5571000000000002</v>
      </c>
      <c r="K31" s="29">
        <f ca="1">IF(A31="","",IF(情景分析!$D$7=1,[2]!b_anal_net_csi1(A31,情景分析!$D$5,1),[2]!b_anal_dirty_csi1(A31,情景分析!$D$5,1))*IF($H31="",1,$H31))</f>
        <v>11936.004000000001</v>
      </c>
      <c r="L31" s="29">
        <f ca="1">IF(A31="","",[2]!b_anal_yield_csi1(A31,情景分析!$D$5,1))</f>
        <v>2.56</v>
      </c>
      <c r="M31" s="29">
        <f t="shared" ca="1" si="4"/>
        <v>11938.296</v>
      </c>
      <c r="N31" s="29">
        <f t="shared" ca="1" si="5"/>
        <v>2.5571000000000002</v>
      </c>
      <c r="O31" s="7">
        <f ca="1">IF($A31="","",[2]!B_CALC_PRICE($A31,$O$1,IF(情景分析!$D$6=1,$J31,IF(情景分析!$D$6=2,$E31,IF(情景分析!$D$6=4,IF($C31="银行间",$J31,$L31),$G31)))+O$2/100,情景分析!$D$7,"",,,,"",)*IF($H31="",1,$H31))</f>
        <v>19343.944630271988</v>
      </c>
      <c r="P31" s="7">
        <f ca="1">IF($A31="","",[2]!B_CALC_PRICE($A31,$O$1,IF(情景分析!$D$6=1,$J31,IF(情景分析!$D$6=2,$E31,IF(情景分析!$D$6=4,IF($C31="银行间",$J31,$L31),$G31)))+P$2/100,情景分析!$D$7,"",,,,"",)*IF($H31="",1,$H31))</f>
        <v>19599.53803122048</v>
      </c>
      <c r="Q31" s="7">
        <f ca="1">IF($A31="","",[2]!B_CALC_PRICE($A31,$O$1,IF(情景分析!$D$6=1,$J31,IF(情景分析!$D$6=2,$E31,IF(情景分析!$D$6=4,IF($C31="银行间",$J31,$L31),$G31)))+Q$2/100,情景分析!$D$7,"",,,,"",)*IF($H31="",1,$H31))</f>
        <v>19859.962161863637</v>
      </c>
      <c r="R31" s="7">
        <f ca="1">IF($A31="","",[2]!B_CALC_PRICE($A31,$O$1,IF(情景分析!$D$6=1,$J31,IF(情景分析!$D$6=2,$E31,IF(情景分析!$D$6=4,IF($C31="银行间",$J31,$L31),$G31)))+R$2/100,情景分析!$D$7,"",,,,"",)*IF($H31="",1,$H31))</f>
        <v>20395.734529065438</v>
      </c>
      <c r="S31" s="7">
        <f ca="1">IF($A31="","",[2]!B_CALC_PRICE($A31,$O$1,IF(情景分析!$D$6=1,$J31,IF(情景分析!$D$6=2,$E31,IF(情景分析!$D$6=4,IF($C31="银行间",$J31,$L31),$G31)))+S$2/100,情景分析!$D$7,"",,,,"",)*IF($H31="",1,$H31))</f>
        <v>20952.152022261587</v>
      </c>
      <c r="T31" s="7">
        <f ca="1">IF($A31="","",[2]!B_CALC_PRICE($A31,$O$1,IF(情景分析!$D$6=1,$J31,IF(情景分析!$D$6=2,$E31,IF(情景分析!$D$6=4,IF($C31="银行间",$J31,$L31),$G31)))+T$2/100,情景分析!$D$7,"",,,,"",)*IF($H31="",1,$H31))</f>
        <v>21238.39284095836</v>
      </c>
      <c r="U31" s="7">
        <f ca="1">IF($A31="","",[2]!B_CALC_PRICE($A31,$O$1,IF(情景分析!$D$6=1,$J31,IF(情景分析!$D$6=2,$E31,IF(情景分析!$D$6=4,IF($C31="银行间",$J31,$L31),$G31)))+U$2/100,情景分析!$D$7,"",,,,"",)*IF($H31="",1,$H31))</f>
        <v>21530.148802438118</v>
      </c>
      <c r="V31" s="7">
        <f ca="1">IF($A31="","",[2]!B_CALC_PRICE($A31,$V$1,IF(情景分析!$D$6=1,$J31,IF(情景分析!$D$6=2,$E31,IF(情景分析!$D$6=4,IF($C31="银行间",$J31,$L31),$G31)))+V$2/100,情景分析!$D$7,"",,,,"",)*IF($H31="",1,$H31))</f>
        <v>19359.517671333986</v>
      </c>
      <c r="W31" s="7">
        <f ca="1">IF($A31="","",[2]!B_CALC_PRICE($A31,$V$1,IF(情景分析!$D$6=1,$J31,IF(情景分析!$D$6=2,$E31,IF(情景分析!$D$6=4,IF($C31="银行间",$J31,$L31),$G31)))+W$2/100,情景分析!$D$7,"",,,,"",)*IF($H31="",1,$H31))</f>
        <v>19614.936625819308</v>
      </c>
      <c r="X31" s="7">
        <f ca="1">IF($A31="","",[2]!B_CALC_PRICE($A31,$V$1,IF(情景分析!$D$6=1,$J31,IF(情景分析!$D$6=2,$E31,IF(情景分析!$D$6=4,IF($C31="银行间",$J31,$L31),$G31)))+X$2/100,情景分析!$D$7,"",,,,"",)*IF($H31="",1,$H31))</f>
        <v>19875.177967516389</v>
      </c>
      <c r="Y31" s="7">
        <f ca="1">IF($A31="","",[2]!B_CALC_PRICE($A31,$V$1,IF(情景分析!$D$6=1,$J31,IF(情景分析!$D$6=2,$E31,IF(情景分析!$D$6=4,IF($C31="银行间",$J31,$L31),$G31)))+Y$2/100,情景分析!$D$7,"",,,,"",)*IF($H31="",1,$H31))</f>
        <v>20410.558540658378</v>
      </c>
      <c r="Z31" s="7">
        <f ca="1">IF($A31="","",[2]!B_CALC_PRICE($A31,$V$1,IF(情景分析!$D$6=1,$J31,IF(情景分析!$D$6=2,$E31,IF(情景分析!$D$6=4,IF($C31="银行间",$J31,$L31),$G31)))+Z$2/100,情景分析!$D$7,"",,,,"",)*IF($H31="",1,$H31))</f>
        <v>20966.547202830887</v>
      </c>
      <c r="AA31" s="7">
        <f ca="1">IF($A31="","",[2]!B_CALC_PRICE($A31,$V$1,IF(情景分析!$D$6=1,$J31,IF(情景分析!$D$6=2,$E31,IF(情景分析!$D$6=4,IF($C31="银行间",$J31,$L31),$G31)))+AA$2/100,情景分析!$D$7,"",,,,"",)*IF($H31="",1,$H31))</f>
        <v>21252.558896791674</v>
      </c>
      <c r="AB31" s="7">
        <f ca="1">IF($A31="","",[2]!B_CALC_PRICE($A31,$V$1,IF(情景分析!$D$6=1,$J31,IF(情景分析!$D$6=2,$E31,IF(情景分析!$D$6=4,IF($C31="银行间",$J31,$L31),$G31)))+AB$2/100,情景分析!$D$7,"",,,,"",)*IF($H31="",1,$H31))</f>
        <v>21544.075467769089</v>
      </c>
      <c r="AC31" s="7">
        <f ca="1">IF($A31="","",[2]!B_CALC_PRICE($A31,$AC$1,IF(情景分析!$D$6=1,$J31,IF(情景分析!$D$6=2,$E31,IF(情景分析!$D$6=4,IF($C31="银行间",$J31,$L31),$G31)))+AC$2/100,情景分析!$D$7,"",,,,"",)*IF($H31="",1,$H31))</f>
        <v>19399.379975080548</v>
      </c>
      <c r="AD31" s="7">
        <f ca="1">IF($A31="","",[2]!B_CALC_PRICE($A31,$AC$1,IF(情景分析!$D$6=1,$J31,IF(情景分析!$D$6=2,$E31,IF(情景分析!$D$6=4,IF($C31="银行间",$J31,$L31),$G31)))+AD$2/100,情景分析!$D$7,"",,,,"",)*IF($H31="",1,$H31))</f>
        <v>19654.349129038674</v>
      </c>
      <c r="AE31" s="7">
        <f ca="1">IF($A31="","",[2]!B_CALC_PRICE($A31,$AC$1,IF(情景分析!$D$6=1,$J31,IF(情景分析!$D$6=2,$E31,IF(情景分析!$D$6=4,IF($C31="银行间",$J31,$L31),$G31)))+AE$2/100,情景分析!$D$7,"",,,,"",)*IF($H31="",1,$H31))</f>
        <v>19914.119449870705</v>
      </c>
      <c r="AF31" s="7">
        <f ca="1">IF($A31="","",[2]!B_CALC_PRICE($A31,$AC$1,IF(情景分析!$D$6=1,$J31,IF(情景分析!$D$6=2,$E31,IF(情景分析!$D$6=4,IF($C31="银行间",$J31,$L31),$G31)))+AF$2/100,情景分析!$D$7,"",,,,"",)*IF($H31="",1,$H31))</f>
        <v>20448.491304650895</v>
      </c>
      <c r="AG31" s="7">
        <f ca="1">IF($A31="","",[2]!B_CALC_PRICE($A31,$AC$1,IF(情景分析!$D$6=1,$J31,IF(情景分析!$D$6=2,$E31,IF(情景分析!$D$6=4,IF($C31="银行间",$J31,$L31),$G31)))+AG$2/100,情景分析!$D$7,"",,,,"",)*IF($H31="",1,$H31))</f>
        <v>21003.377064891123</v>
      </c>
      <c r="AH31" s="7">
        <f ca="1">IF($A31="","",[2]!B_CALC_PRICE($A31,$AC$1,IF(情景分析!$D$6=1,$J31,IF(情景分析!$D$6=2,$E31,IF(情景分析!$D$6=4,IF($C31="银行间",$J31,$L31),$G31)))+AH$2/100,情景分析!$D$7,"",,,,"",)*IF($H31="",1,$H31))</f>
        <v>21288.79990832361</v>
      </c>
      <c r="AI31" s="7">
        <f ca="1">IF($A31="","",[2]!B_CALC_PRICE($A31,$AC$1,IF(情景分析!$D$6=1,$J31,IF(情景分析!$D$6=2,$E31,IF(情景分析!$D$6=4,IF($C31="银行间",$J31,$L31),$G31)))+AI$2/100,情景分析!$D$7,"",,,,"",)*IF($H31="",1,$H31))</f>
        <v>21579.701530101447</v>
      </c>
      <c r="AJ31" s="7">
        <f ca="1">IF($A31="","",[2]!B_CALC_PRICE($A31,$AJ$1,IF(情景分析!$D$6=1,$J31,IF(情景分析!$D$6=2,$E31,IF(情景分析!$D$6=4,IF($C31="银行间",$J31,$L31),$G31)))+AJ$2/100,情景分析!$D$7,"",,,,"",)*IF($H31="",1,$H31))</f>
        <v>19399.379975080548</v>
      </c>
      <c r="AK31" s="7">
        <f ca="1">IF($A31="","",[2]!B_CALC_PRICE($A31,$AJ$1,IF(情景分析!$D$6=1,$J31,IF(情景分析!$D$6=2,$E31,IF(情景分析!$D$6=4,IF($C31="银行间",$J31,$L31),$G31)))+AK$2/100,情景分析!$D$7,"",,,,"",)*IF($H31="",1,$H31))</f>
        <v>19654.349129038674</v>
      </c>
      <c r="AL31" s="7">
        <f ca="1">IF($A31="","",[2]!B_CALC_PRICE($A31,$AJ$1,IF(情景分析!$D$6=1,$J31,IF(情景分析!$D$6=2,$E31,IF(情景分析!$D$6=4,IF($C31="银行间",$J31,$L31),$G31)))+AL$2/100,情景分析!$D$7,"",,,,"",)*IF($H31="",1,$H31))</f>
        <v>19914.119449870705</v>
      </c>
      <c r="AM31" s="7">
        <f ca="1">IF($A31="","",[2]!B_CALC_PRICE($A31,$AJ$1,IF(情景分析!$D$6=1,$J31,IF(情景分析!$D$6=2,$E31,IF(情景分析!$D$6=4,IF($C31="银行间",$J31,$L31),$G31)))+AM$2/100,情景分析!$D$7,"",,,,"",)*IF($H31="",1,$H31))</f>
        <v>20448.491304650895</v>
      </c>
      <c r="AN31" s="7">
        <f ca="1">IF($A31="","",[2]!B_CALC_PRICE($A31,$AJ$1,IF(情景分析!$D$6=1,$J31,IF(情景分析!$D$6=2,$E31,IF(情景分析!$D$6=4,IF($C31="银行间",$J31,$L31),$G31)))+AN$2/100,情景分析!$D$7,"",,,,"",)*IF($H31="",1,$H31))</f>
        <v>21003.377064891123</v>
      </c>
      <c r="AO31" s="7">
        <f ca="1">IF($A31="","",[2]!B_CALC_PRICE($A31,$AJ$1,IF(情景分析!$D$6=1,$J31,IF(情景分析!$D$6=2,$E31,IF(情景分析!$D$6=4,IF($C31="银行间",$J31,$L31),$G31)))+AO$2/100,情景分析!$D$7,"",,,,"",)*IF($H31="",1,$H31))</f>
        <v>21288.79990832361</v>
      </c>
      <c r="AP31" s="7">
        <f ca="1">IF($A31="","",[2]!B_CALC_PRICE($A31,$AJ$1,IF(情景分析!$D$6=1,$J31,IF(情景分析!$D$6=2,$E31,IF(情景分析!$D$6=4,IF($C31="银行间",$J31,$L31),$G31)))+AP$2/100,情景分析!$D$7,"",,,,"",)*IF($H31="",1,$H31))</f>
        <v>21579.701530101447</v>
      </c>
      <c r="AQ31" s="7">
        <f ca="1">IF($A31="","",[2]!B_CALC_PRICE($A31,$AQ$1,IF(情景分析!$D$6=1,$J31,IF(情景分析!$D$6=2,$E31,IF(情景分析!$D$6=4,IF($C31="银行间",$J31,$L31),$G31)))+AQ$2/100,情景分析!$D$7,"",,,,"",)*IF($H31="",1,$H31))</f>
        <v>19579.846603355527</v>
      </c>
      <c r="AR31" s="7">
        <f ca="1">IF($A31="","",[2]!B_CALC_PRICE($A31,$AQ$1,IF(情景分析!$D$6=1,$J31,IF(情景分析!$D$6=2,$E31,IF(情景分析!$D$6=4,IF($C31="银行间",$J31,$L31),$G31)))+AR$2/100,情景分析!$D$7,"",,,,"",)*IF($H31="",1,$H31))</f>
        <v>19832.7405429104</v>
      </c>
      <c r="AS31" s="7">
        <f ca="1">IF($A31="","",[2]!B_CALC_PRICE($A31,$AQ$1,IF(情景分析!$D$6=1,$J31,IF(情景分析!$D$6=2,$E31,IF(情景分析!$D$6=4,IF($C31="银行间",$J31,$L31),$G31)))+AS$2/100,情景分析!$D$7,"",,,,"",)*IF($H31="",1,$H31))</f>
        <v>20090.3404388405</v>
      </c>
      <c r="AT31" s="7">
        <f ca="1">IF($A31="","",[2]!B_CALC_PRICE($A31,$AQ$1,IF(情景分析!$D$6=1,$J31,IF(情景分析!$D$6=2,$E31,IF(情景分析!$D$6=4,IF($C31="银行间",$J31,$L31),$G31)))+AT$2/100,情景分析!$D$7,"",,,,"",)*IF($H31="",1,$H31))</f>
        <v>20620.072418101205</v>
      </c>
      <c r="AU31" s="7">
        <f ca="1">IF($A31="","",[2]!B_CALC_PRICE($A31,$AQ$1,IF(情景分析!$D$6=1,$J31,IF(情景分析!$D$6=2,$E31,IF(情景分析!$D$6=4,IF($C31="银行间",$J31,$L31),$G31)))+AU$2/100,情景分析!$D$7,"",,,,"",)*IF($H31="",1,$H31))</f>
        <v>21169.896153346795</v>
      </c>
      <c r="AV31" s="7">
        <f ca="1">IF($A31="","",[2]!B_CALC_PRICE($A31,$AQ$1,IF(情景分析!$D$6=1,$J31,IF(情景分析!$D$6=2,$E31,IF(情景分析!$D$6=4,IF($C31="银行间",$J31,$L31),$G31)))+AV$2/100,情景分析!$D$7,"",,,,"",)*IF($H31="",1,$H31))</f>
        <v>21452.62044383182</v>
      </c>
      <c r="AW31" s="7">
        <f ca="1">IF($A31="","",[2]!B_CALC_PRICE($A31,$AQ$1,IF(情景分析!$D$6=1,$J31,IF(情景分析!$D$6=2,$E31,IF(情景分析!$D$6=4,IF($C31="银行间",$J31,$L31),$G31)))+AW$2/100,情景分析!$D$7,"",,,,"",)*IF($H31="",1,$H31))</f>
        <v>21740.706647917745</v>
      </c>
    </row>
    <row r="32" spans="1:49" x14ac:dyDescent="0.15">
      <c r="A32" s="20" t="s">
        <v>39</v>
      </c>
      <c r="B32" s="7" t="str">
        <f>IF(A32="","",[2]!b_info_name(A32))</f>
        <v>25晋江城投MTN004</v>
      </c>
      <c r="C32" s="7" t="str">
        <f>[2]!b_info_listedmkt(A32)</f>
        <v>银行间</v>
      </c>
      <c r="D32" s="7">
        <f ca="1">IFERROR(IF(A32="","", [2]!b_dq_avgprice(A32, 情景分析!$D$5, 情景分析!$D$7) * IF($H32="",1,$H32)),0)</f>
        <v>11931.036</v>
      </c>
      <c r="E32" s="7">
        <f ca="1">IF(A32="","", N([2]!b_dq_avgprice(A32,情景分析!$D$5,3)))</f>
        <v>0</v>
      </c>
      <c r="F32" s="29">
        <f ca="1">IF($G32 = "",
"",
IFERROR(
[2]!b_calc_pv(A32, 情景分析!$D$5,$G32, "1", 情景分析!$D$7),
[2]!b_calc_pv(A32, 情景分析!$D$5,$G32, "2", 情景分析!$D$7)
)
)</f>
        <v>18.583980752556901</v>
      </c>
      <c r="G32" s="22">
        <v>20</v>
      </c>
      <c r="H32" s="21">
        <v>120</v>
      </c>
      <c r="I32" s="7">
        <f ca="1">IF(A32="","",IF(情景分析!$D$7=1,[2]!b_anal_net_cnbd(A32,情景分析!$D$5,1),[2]!b_anal_dirty_cnbd(A32,情景分析!$D$5,1))*IF($H32="",1,$H32))</f>
        <v>11938.296</v>
      </c>
      <c r="J32" s="7">
        <f ca="1">IF(A32="","",[2]!b_anal_yield_cnbd(A32,情景分析!$D$5,1))</f>
        <v>2.5571000000000002</v>
      </c>
      <c r="K32" s="29">
        <f ca="1">IF(A32="","",IF(情景分析!$D$7=1,[2]!b_anal_net_csi1(A32,情景分析!$D$5,1),[2]!b_anal_dirty_csi1(A32,情景分析!$D$5,1))*IF($H32="",1,$H32))</f>
        <v>11936.004000000001</v>
      </c>
      <c r="L32" s="29">
        <f ca="1">IF(A32="","",[2]!b_anal_yield_csi1(A32,情景分析!$D$5,1))</f>
        <v>2.56</v>
      </c>
      <c r="M32" s="29">
        <f t="shared" ca="1" si="4"/>
        <v>11938.296</v>
      </c>
      <c r="N32" s="29">
        <f t="shared" ca="1" si="5"/>
        <v>2.5571000000000002</v>
      </c>
      <c r="O32" s="7">
        <f ca="1">IF($A32="","",[2]!B_CALC_PRICE($A32,$O$1,IF(情景分析!$D$6=1,$J32,IF(情景分析!$D$6=2,$E32,IF(情景分析!$D$6=4,IF($C32="银行间",$J32,$L32),$G32)))+O$2/100,情景分析!$D$7,"",,,,"",)*IF($H32="",1,$H32))</f>
        <v>19343.944630271988</v>
      </c>
      <c r="P32" s="7">
        <f ca="1">IF($A32="","",[2]!B_CALC_PRICE($A32,$O$1,IF(情景分析!$D$6=1,$J32,IF(情景分析!$D$6=2,$E32,IF(情景分析!$D$6=4,IF($C32="银行间",$J32,$L32),$G32)))+P$2/100,情景分析!$D$7,"",,,,"",)*IF($H32="",1,$H32))</f>
        <v>19599.53803122048</v>
      </c>
      <c r="Q32" s="7">
        <f ca="1">IF($A32="","",[2]!B_CALC_PRICE($A32,$O$1,IF(情景分析!$D$6=1,$J32,IF(情景分析!$D$6=2,$E32,IF(情景分析!$D$6=4,IF($C32="银行间",$J32,$L32),$G32)))+Q$2/100,情景分析!$D$7,"",,,,"",)*IF($H32="",1,$H32))</f>
        <v>19859.962161863637</v>
      </c>
      <c r="R32" s="7">
        <f ca="1">IF($A32="","",[2]!B_CALC_PRICE($A32,$O$1,IF(情景分析!$D$6=1,$J32,IF(情景分析!$D$6=2,$E32,IF(情景分析!$D$6=4,IF($C32="银行间",$J32,$L32),$G32)))+R$2/100,情景分析!$D$7,"",,,,"",)*IF($H32="",1,$H32))</f>
        <v>20395.734529065438</v>
      </c>
      <c r="S32" s="7">
        <f ca="1">IF($A32="","",[2]!B_CALC_PRICE($A32,$O$1,IF(情景分析!$D$6=1,$J32,IF(情景分析!$D$6=2,$E32,IF(情景分析!$D$6=4,IF($C32="银行间",$J32,$L32),$G32)))+S$2/100,情景分析!$D$7,"",,,,"",)*IF($H32="",1,$H32))</f>
        <v>20952.152022261587</v>
      </c>
      <c r="T32" s="7">
        <f ca="1">IF($A32="","",[2]!B_CALC_PRICE($A32,$O$1,IF(情景分析!$D$6=1,$J32,IF(情景分析!$D$6=2,$E32,IF(情景分析!$D$6=4,IF($C32="银行间",$J32,$L32),$G32)))+T$2/100,情景分析!$D$7,"",,,,"",)*IF($H32="",1,$H32))</f>
        <v>21238.39284095836</v>
      </c>
      <c r="U32" s="7">
        <f ca="1">IF($A32="","",[2]!B_CALC_PRICE($A32,$O$1,IF(情景分析!$D$6=1,$J32,IF(情景分析!$D$6=2,$E32,IF(情景分析!$D$6=4,IF($C32="银行间",$J32,$L32),$G32)))+U$2/100,情景分析!$D$7,"",,,,"",)*IF($H32="",1,$H32))</f>
        <v>21530.148802438118</v>
      </c>
      <c r="V32" s="7">
        <f ca="1">IF($A32="","",[2]!B_CALC_PRICE($A32,$V$1,IF(情景分析!$D$6=1,$J32,IF(情景分析!$D$6=2,$E32,IF(情景分析!$D$6=4,IF($C32="银行间",$J32,$L32),$G32)))+V$2/100,情景分析!$D$7,"",,,,"",)*IF($H32="",1,$H32))</f>
        <v>19359.517671333986</v>
      </c>
      <c r="W32" s="7">
        <f ca="1">IF($A32="","",[2]!B_CALC_PRICE($A32,$V$1,IF(情景分析!$D$6=1,$J32,IF(情景分析!$D$6=2,$E32,IF(情景分析!$D$6=4,IF($C32="银行间",$J32,$L32),$G32)))+W$2/100,情景分析!$D$7,"",,,,"",)*IF($H32="",1,$H32))</f>
        <v>19614.936625819308</v>
      </c>
      <c r="X32" s="7">
        <f ca="1">IF($A32="","",[2]!B_CALC_PRICE($A32,$V$1,IF(情景分析!$D$6=1,$J32,IF(情景分析!$D$6=2,$E32,IF(情景分析!$D$6=4,IF($C32="银行间",$J32,$L32),$G32)))+X$2/100,情景分析!$D$7,"",,,,"",)*IF($H32="",1,$H32))</f>
        <v>19875.177967516389</v>
      </c>
      <c r="Y32" s="7">
        <f ca="1">IF($A32="","",[2]!B_CALC_PRICE($A32,$V$1,IF(情景分析!$D$6=1,$J32,IF(情景分析!$D$6=2,$E32,IF(情景分析!$D$6=4,IF($C32="银行间",$J32,$L32),$G32)))+Y$2/100,情景分析!$D$7,"",,,,"",)*IF($H32="",1,$H32))</f>
        <v>20410.558540658378</v>
      </c>
      <c r="Z32" s="7">
        <f ca="1">IF($A32="","",[2]!B_CALC_PRICE($A32,$V$1,IF(情景分析!$D$6=1,$J32,IF(情景分析!$D$6=2,$E32,IF(情景分析!$D$6=4,IF($C32="银行间",$J32,$L32),$G32)))+Z$2/100,情景分析!$D$7,"",,,,"",)*IF($H32="",1,$H32))</f>
        <v>20966.547202830887</v>
      </c>
      <c r="AA32" s="7">
        <f ca="1">IF($A32="","",[2]!B_CALC_PRICE($A32,$V$1,IF(情景分析!$D$6=1,$J32,IF(情景分析!$D$6=2,$E32,IF(情景分析!$D$6=4,IF($C32="银行间",$J32,$L32),$G32)))+AA$2/100,情景分析!$D$7,"",,,,"",)*IF($H32="",1,$H32))</f>
        <v>21252.558896791674</v>
      </c>
      <c r="AB32" s="7">
        <f ca="1">IF($A32="","",[2]!B_CALC_PRICE($A32,$V$1,IF(情景分析!$D$6=1,$J32,IF(情景分析!$D$6=2,$E32,IF(情景分析!$D$6=4,IF($C32="银行间",$J32,$L32),$G32)))+AB$2/100,情景分析!$D$7,"",,,,"",)*IF($H32="",1,$H32))</f>
        <v>21544.075467769089</v>
      </c>
      <c r="AC32" s="7">
        <f ca="1">IF($A32="","",[2]!B_CALC_PRICE($A32,$AC$1,IF(情景分析!$D$6=1,$J32,IF(情景分析!$D$6=2,$E32,IF(情景分析!$D$6=4,IF($C32="银行间",$J32,$L32),$G32)))+AC$2/100,情景分析!$D$7,"",,,,"",)*IF($H32="",1,$H32))</f>
        <v>19399.379975080548</v>
      </c>
      <c r="AD32" s="7">
        <f ca="1">IF($A32="","",[2]!B_CALC_PRICE($A32,$AC$1,IF(情景分析!$D$6=1,$J32,IF(情景分析!$D$6=2,$E32,IF(情景分析!$D$6=4,IF($C32="银行间",$J32,$L32),$G32)))+AD$2/100,情景分析!$D$7,"",,,,"",)*IF($H32="",1,$H32))</f>
        <v>19654.349129038674</v>
      </c>
      <c r="AE32" s="7">
        <f ca="1">IF($A32="","",[2]!B_CALC_PRICE($A32,$AC$1,IF(情景分析!$D$6=1,$J32,IF(情景分析!$D$6=2,$E32,IF(情景分析!$D$6=4,IF($C32="银行间",$J32,$L32),$G32)))+AE$2/100,情景分析!$D$7,"",,,,"",)*IF($H32="",1,$H32))</f>
        <v>19914.119449870705</v>
      </c>
      <c r="AF32" s="7">
        <f ca="1">IF($A32="","",[2]!B_CALC_PRICE($A32,$AC$1,IF(情景分析!$D$6=1,$J32,IF(情景分析!$D$6=2,$E32,IF(情景分析!$D$6=4,IF($C32="银行间",$J32,$L32),$G32)))+AF$2/100,情景分析!$D$7,"",,,,"",)*IF($H32="",1,$H32))</f>
        <v>20448.491304650895</v>
      </c>
      <c r="AG32" s="7">
        <f ca="1">IF($A32="","",[2]!B_CALC_PRICE($A32,$AC$1,IF(情景分析!$D$6=1,$J32,IF(情景分析!$D$6=2,$E32,IF(情景分析!$D$6=4,IF($C32="银行间",$J32,$L32),$G32)))+AG$2/100,情景分析!$D$7,"",,,,"",)*IF($H32="",1,$H32))</f>
        <v>21003.377064891123</v>
      </c>
      <c r="AH32" s="7">
        <f ca="1">IF($A32="","",[2]!B_CALC_PRICE($A32,$AC$1,IF(情景分析!$D$6=1,$J32,IF(情景分析!$D$6=2,$E32,IF(情景分析!$D$6=4,IF($C32="银行间",$J32,$L32),$G32)))+AH$2/100,情景分析!$D$7,"",,,,"",)*IF($H32="",1,$H32))</f>
        <v>21288.79990832361</v>
      </c>
      <c r="AI32" s="7">
        <f ca="1">IF($A32="","",[2]!B_CALC_PRICE($A32,$AC$1,IF(情景分析!$D$6=1,$J32,IF(情景分析!$D$6=2,$E32,IF(情景分析!$D$6=4,IF($C32="银行间",$J32,$L32),$G32)))+AI$2/100,情景分析!$D$7,"",,,,"",)*IF($H32="",1,$H32))</f>
        <v>21579.701530101447</v>
      </c>
      <c r="AJ32" s="7">
        <f ca="1">IF($A32="","",[2]!B_CALC_PRICE($A32,$AJ$1,IF(情景分析!$D$6=1,$J32,IF(情景分析!$D$6=2,$E32,IF(情景分析!$D$6=4,IF($C32="银行间",$J32,$L32),$G32)))+AJ$2/100,情景分析!$D$7,"",,,,"",)*IF($H32="",1,$H32))</f>
        <v>19399.379975080548</v>
      </c>
      <c r="AK32" s="7">
        <f ca="1">IF($A32="","",[2]!B_CALC_PRICE($A32,$AJ$1,IF(情景分析!$D$6=1,$J32,IF(情景分析!$D$6=2,$E32,IF(情景分析!$D$6=4,IF($C32="银行间",$J32,$L32),$G32)))+AK$2/100,情景分析!$D$7,"",,,,"",)*IF($H32="",1,$H32))</f>
        <v>19654.349129038674</v>
      </c>
      <c r="AL32" s="7">
        <f ca="1">IF($A32="","",[2]!B_CALC_PRICE($A32,$AJ$1,IF(情景分析!$D$6=1,$J32,IF(情景分析!$D$6=2,$E32,IF(情景分析!$D$6=4,IF($C32="银行间",$J32,$L32),$G32)))+AL$2/100,情景分析!$D$7,"",,,,"",)*IF($H32="",1,$H32))</f>
        <v>19914.119449870705</v>
      </c>
      <c r="AM32" s="7">
        <f ca="1">IF($A32="","",[2]!B_CALC_PRICE($A32,$AJ$1,IF(情景分析!$D$6=1,$J32,IF(情景分析!$D$6=2,$E32,IF(情景分析!$D$6=4,IF($C32="银行间",$J32,$L32),$G32)))+AM$2/100,情景分析!$D$7,"",,,,"",)*IF($H32="",1,$H32))</f>
        <v>20448.491304650895</v>
      </c>
      <c r="AN32" s="7">
        <f ca="1">IF($A32="","",[2]!B_CALC_PRICE($A32,$AJ$1,IF(情景分析!$D$6=1,$J32,IF(情景分析!$D$6=2,$E32,IF(情景分析!$D$6=4,IF($C32="银行间",$J32,$L32),$G32)))+AN$2/100,情景分析!$D$7,"",,,,"",)*IF($H32="",1,$H32))</f>
        <v>21003.377064891123</v>
      </c>
      <c r="AO32" s="7">
        <f ca="1">IF($A32="","",[2]!B_CALC_PRICE($A32,$AJ$1,IF(情景分析!$D$6=1,$J32,IF(情景分析!$D$6=2,$E32,IF(情景分析!$D$6=4,IF($C32="银行间",$J32,$L32),$G32)))+AO$2/100,情景分析!$D$7,"",,,,"",)*IF($H32="",1,$H32))</f>
        <v>21288.79990832361</v>
      </c>
      <c r="AP32" s="7">
        <f ca="1">IF($A32="","",[2]!B_CALC_PRICE($A32,$AJ$1,IF(情景分析!$D$6=1,$J32,IF(情景分析!$D$6=2,$E32,IF(情景分析!$D$6=4,IF($C32="银行间",$J32,$L32),$G32)))+AP$2/100,情景分析!$D$7,"",,,,"",)*IF($H32="",1,$H32))</f>
        <v>21579.701530101447</v>
      </c>
      <c r="AQ32" s="7">
        <f ca="1">IF($A32="","",[2]!B_CALC_PRICE($A32,$AQ$1,IF(情景分析!$D$6=1,$J32,IF(情景分析!$D$6=2,$E32,IF(情景分析!$D$6=4,IF($C32="银行间",$J32,$L32),$G32)))+AQ$2/100,情景分析!$D$7,"",,,,"",)*IF($H32="",1,$H32))</f>
        <v>19579.846603355527</v>
      </c>
      <c r="AR32" s="7">
        <f ca="1">IF($A32="","",[2]!B_CALC_PRICE($A32,$AQ$1,IF(情景分析!$D$6=1,$J32,IF(情景分析!$D$6=2,$E32,IF(情景分析!$D$6=4,IF($C32="银行间",$J32,$L32),$G32)))+AR$2/100,情景分析!$D$7,"",,,,"",)*IF($H32="",1,$H32))</f>
        <v>19832.7405429104</v>
      </c>
      <c r="AS32" s="7">
        <f ca="1">IF($A32="","",[2]!B_CALC_PRICE($A32,$AQ$1,IF(情景分析!$D$6=1,$J32,IF(情景分析!$D$6=2,$E32,IF(情景分析!$D$6=4,IF($C32="银行间",$J32,$L32),$G32)))+AS$2/100,情景分析!$D$7,"",,,,"",)*IF($H32="",1,$H32))</f>
        <v>20090.3404388405</v>
      </c>
      <c r="AT32" s="7">
        <f ca="1">IF($A32="","",[2]!B_CALC_PRICE($A32,$AQ$1,IF(情景分析!$D$6=1,$J32,IF(情景分析!$D$6=2,$E32,IF(情景分析!$D$6=4,IF($C32="银行间",$J32,$L32),$G32)))+AT$2/100,情景分析!$D$7,"",,,,"",)*IF($H32="",1,$H32))</f>
        <v>20620.072418101205</v>
      </c>
      <c r="AU32" s="7">
        <f ca="1">IF($A32="","",[2]!B_CALC_PRICE($A32,$AQ$1,IF(情景分析!$D$6=1,$J32,IF(情景分析!$D$6=2,$E32,IF(情景分析!$D$6=4,IF($C32="银行间",$J32,$L32),$G32)))+AU$2/100,情景分析!$D$7,"",,,,"",)*IF($H32="",1,$H32))</f>
        <v>21169.896153346795</v>
      </c>
      <c r="AV32" s="7">
        <f ca="1">IF($A32="","",[2]!B_CALC_PRICE($A32,$AQ$1,IF(情景分析!$D$6=1,$J32,IF(情景分析!$D$6=2,$E32,IF(情景分析!$D$6=4,IF($C32="银行间",$J32,$L32),$G32)))+AV$2/100,情景分析!$D$7,"",,,,"",)*IF($H32="",1,$H32))</f>
        <v>21452.62044383182</v>
      </c>
      <c r="AW32" s="7">
        <f ca="1">IF($A32="","",[2]!B_CALC_PRICE($A32,$AQ$1,IF(情景分析!$D$6=1,$J32,IF(情景分析!$D$6=2,$E32,IF(情景分析!$D$6=4,IF($C32="银行间",$J32,$L32),$G32)))+AW$2/100,情景分析!$D$7,"",,,,"",)*IF($H32="",1,$H32))</f>
        <v>21740.706647917745</v>
      </c>
    </row>
    <row r="33" spans="1:49" x14ac:dyDescent="0.15">
      <c r="A33" s="20" t="s">
        <v>41</v>
      </c>
      <c r="B33" s="7" t="str">
        <f>IF(A33="","",[2]!b_info_name(A33))</f>
        <v>25台商03</v>
      </c>
      <c r="C33" s="7" t="str">
        <f>[2]!b_info_listedmkt(A33)</f>
        <v>上海</v>
      </c>
      <c r="D33" s="7">
        <f ca="1">IFERROR(IF(A33="","", [2]!b_dq_avgprice(A33, 情景分析!$D$5, 情景分析!$D$7) * IF($H33="",1,$H33)),0)</f>
        <v>0</v>
      </c>
      <c r="E33" s="7">
        <f ca="1">IF(A33="","", N([2]!b_dq_avgprice(A33,情景分析!$D$5,3)))</f>
        <v>0</v>
      </c>
      <c r="F33" s="29">
        <f ca="1">IF($G33 = "",
"",
IFERROR(
[2]!b_calc_pv(A33, 情景分析!$D$5,$G33, "1", 情景分析!$D$7),
[2]!b_calc_pv(A33, 情景分析!$D$5,$G33, "2", 情景分析!$D$7)
)
)</f>
        <v>29.402250434684635</v>
      </c>
      <c r="G33" s="22">
        <v>20</v>
      </c>
      <c r="H33" s="21">
        <v>120</v>
      </c>
      <c r="I33" s="7">
        <f ca="1">IF(A33="","",IF(情景分析!$D$7=1,[2]!b_anal_net_cnbd(A33,情景分析!$D$5,1),[2]!b_anal_dirty_cnbd(A33,情景分析!$D$5,1))*IF($H33="",1,$H33))</f>
        <v>12052.475999999999</v>
      </c>
      <c r="J33" s="7">
        <f ca="1">IF(A33="","",[2]!b_anal_yield_cnbd(A33,情景分析!$D$5,1))</f>
        <v>2.3268</v>
      </c>
      <c r="K33" s="29">
        <f ca="1">IF(A33="","",IF(情景分析!$D$7=1,[2]!b_anal_net_csi1(A33,情景分析!$D$5,1),[2]!b_anal_dirty_csi1(A33,情景分析!$D$5,1))*IF($H33="",1,$H33))</f>
        <v>12014.436</v>
      </c>
      <c r="L33" s="29">
        <f ca="1">IF(A33="","",[2]!b_anal_yield_csi1(A33,情景分析!$D$5,1))</f>
        <v>2.4352999999999998</v>
      </c>
      <c r="M33" s="29">
        <f t="shared" ca="1" si="4"/>
        <v>12014.436</v>
      </c>
      <c r="N33" s="29">
        <f t="shared" ca="1" si="5"/>
        <v>2.4352999999999998</v>
      </c>
      <c r="O33" s="7">
        <f ca="1">IF($A33="","",[2]!B_CALC_PRICE($A33,$O$1,IF(情景分析!$D$6=1,$J33,IF(情景分析!$D$6=2,$E33,IF(情景分析!$D$6=4,IF($C33="银行间",$J33,$L33),$G33)))+O$2/100,情景分析!$D$7,"",,,,"",)*IF($H33="",1,$H33))</f>
        <v>11954.513225741775</v>
      </c>
      <c r="P33" s="7">
        <f ca="1">IF($A33="","",[2]!B_CALC_PRICE($A33,$O$1,IF(情景分析!$D$6=1,$J33,IF(情景分析!$D$6=2,$E33,IF(情景分析!$D$6=4,IF($C33="银行间",$J33,$L33),$G33)))+P$2/100,情景分析!$D$7,"",,,,"",)*IF($H33="",1,$H33))</f>
        <v>12002.093381579849</v>
      </c>
      <c r="Q33" s="7">
        <f ca="1">IF($A33="","",[2]!B_CALC_PRICE($A33,$O$1,IF(情景分析!$D$6=1,$J33,IF(情景分析!$D$6=2,$E33,IF(情景分析!$D$6=4,IF($C33="银行间",$J33,$L33),$G33)))+Q$2/100,情景分析!$D$7,"",,,,"",)*IF($H33="",1,$H33))</f>
        <v>12049.897743620972</v>
      </c>
      <c r="R33" s="7">
        <f ca="1">IF($A33="","",[2]!B_CALC_PRICE($A33,$O$1,IF(情景分析!$D$6=1,$J33,IF(情景分析!$D$6=2,$E33,IF(情景分析!$D$6=4,IF($C33="银行间",$J33,$L33),$G33)))+R$2/100,情景分析!$D$7,"",,,,"",)*IF($H33="",1,$H33))</f>
        <v>12146.183823045047</v>
      </c>
      <c r="S33" s="7">
        <f ca="1">IF($A33="","",[2]!B_CALC_PRICE($A33,$O$1,IF(情景分析!$D$6=1,$J33,IF(情景分析!$D$6=2,$E33,IF(情景分析!$D$6=4,IF($C33="银行间",$J33,$L33),$G33)))+S$2/100,情景分析!$D$7,"",,,,"",)*IF($H33="",1,$H33))</f>
        <v>12243.38100628123</v>
      </c>
      <c r="T33" s="7">
        <f ca="1">IF($A33="","",[2]!B_CALC_PRICE($A33,$O$1,IF(情景分析!$D$6=1,$J33,IF(情景分析!$D$6=2,$E33,IF(情景分析!$D$6=4,IF($C33="银行间",$J33,$L33),$G33)))+T$2/100,情景分析!$D$7,"",,,,"",)*IF($H33="",1,$H33))</f>
        <v>12292.324274116396</v>
      </c>
      <c r="U33" s="7">
        <f ca="1">IF($A33="","",[2]!B_CALC_PRICE($A33,$O$1,IF(情景分析!$D$6=1,$J33,IF(情景分析!$D$6=2,$E33,IF(情景分析!$D$6=4,IF($C33="银行间",$J33,$L33),$G33)))+U$2/100,情景分析!$D$7,"",,,,"",)*IF($H33="",1,$H33))</f>
        <v>12341.498946654539</v>
      </c>
      <c r="V33" s="7">
        <f ca="1">IF($A33="","",[2]!B_CALC_PRICE($A33,$V$1,IF(情景分析!$D$6=1,$J33,IF(情景分析!$D$6=2,$E33,IF(情景分析!$D$6=4,IF($C33="银行间",$J33,$L33),$G33)))+V$2/100,情景分析!$D$7,"",,,,"",)*IF($H33="",1,$H33))</f>
        <v>11954.597659716566</v>
      </c>
      <c r="W33" s="7">
        <f ca="1">IF($A33="","",[2]!B_CALC_PRICE($A33,$V$1,IF(情景分析!$D$6=1,$J33,IF(情景分析!$D$6=2,$E33,IF(情景分析!$D$6=4,IF($C33="银行间",$J33,$L33),$G33)))+W$2/100,情景分析!$D$7,"",,,,"",)*IF($H33="",1,$H33))</f>
        <v>12001.869946238463</v>
      </c>
      <c r="X33" s="7">
        <f ca="1">IF($A33="","",[2]!B_CALC_PRICE($A33,$V$1,IF(情景分析!$D$6=1,$J33,IF(情景分析!$D$6=2,$E33,IF(情景分析!$D$6=4,IF($C33="银行间",$J33,$L33),$G33)))+X$2/100,情景分析!$D$7,"",,,,"",)*IF($H33="",1,$H33))</f>
        <v>12049.363558884994</v>
      </c>
      <c r="Y33" s="7">
        <f ca="1">IF($A33="","",[2]!B_CALC_PRICE($A33,$V$1,IF(情景分析!$D$6=1,$J33,IF(情景分析!$D$6=2,$E33,IF(情景分析!$D$6=4,IF($C33="银行间",$J33,$L33),$G33)))+Y$2/100,情景分析!$D$7,"",,,,"",)*IF($H33="",1,$H33))</f>
        <v>12145.019410883811</v>
      </c>
      <c r="Z33" s="7">
        <f ca="1">IF($A33="","",[2]!B_CALC_PRICE($A33,$V$1,IF(情景分析!$D$6=1,$J33,IF(情景分析!$D$6=2,$E33,IF(情景分析!$D$6=4,IF($C33="银行间",$J33,$L33),$G33)))+Z$2/100,情景分析!$D$7,"",,,,"",)*IF($H33="",1,$H33))</f>
        <v>12241.574579527076</v>
      </c>
      <c r="AA33" s="7">
        <f ca="1">IF($A33="","",[2]!B_CALC_PRICE($A33,$V$1,IF(情景分析!$D$6=1,$J33,IF(情景分析!$D$6=2,$E33,IF(情景分析!$D$6=4,IF($C33="银行间",$J33,$L33),$G33)))+AA$2/100,情景分析!$D$7,"",,,,"",)*IF($H33="",1,$H33))</f>
        <v>12290.192363382144</v>
      </c>
      <c r="AB33" s="7">
        <f ca="1">IF($A33="","",[2]!B_CALC_PRICE($A33,$V$1,IF(情景分析!$D$6=1,$J33,IF(情景分析!$D$6=2,$E33,IF(情景分析!$D$6=4,IF($C33="银行间",$J33,$L33),$G33)))+AB$2/100,情景分析!$D$7,"",,,,"",)*IF($H33="",1,$H33))</f>
        <v>12339.038537015973</v>
      </c>
      <c r="AC33" s="7">
        <f ca="1">IF($A33="","",[2]!B_CALC_PRICE($A33,$AC$1,IF(情景分析!$D$6=1,$J33,IF(情景分析!$D$6=2,$E33,IF(情景分析!$D$6=4,IF($C33="银行间",$J33,$L33),$G33)))+AC$2/100,情景分析!$D$7,"",,,,"",)*IF($H33="",1,$H33))</f>
        <v>11954.957641012619</v>
      </c>
      <c r="AD33" s="7">
        <f ca="1">IF($A33="","",[2]!B_CALC_PRICE($A33,$AC$1,IF(情景分析!$D$6=1,$J33,IF(情景分析!$D$6=2,$E33,IF(情景分析!$D$6=4,IF($C33="银行间",$J33,$L33),$G33)))+AD$2/100,情景分析!$D$7,"",,,,"",)*IF($H33="",1,$H33))</f>
        <v>12001.442347056416</v>
      </c>
      <c r="AE33" s="7">
        <f ca="1">IF($A33="","",[2]!B_CALC_PRICE($A33,$AC$1,IF(情景分析!$D$6=1,$J33,IF(情景分析!$D$6=2,$E33,IF(情景分析!$D$6=4,IF($C33="银行间",$J33,$L33),$G33)))+AE$2/100,情景分析!$D$7,"",,,,"",)*IF($H33="",1,$H33))</f>
        <v>12048.141126571527</v>
      </c>
      <c r="AF33" s="7">
        <f ca="1">IF($A33="","",[2]!B_CALC_PRICE($A33,$AC$1,IF(情景分析!$D$6=1,$J33,IF(情景分析!$D$6=2,$E33,IF(情景分析!$D$6=4,IF($C33="银行间",$J33,$L33),$G33)))+AF$2/100,情景分析!$D$7,"",,,,"",)*IF($H33="",1,$H33))</f>
        <v>12142.185334292686</v>
      </c>
      <c r="AG33" s="7">
        <f ca="1">IF($A33="","",[2]!B_CALC_PRICE($A33,$AC$1,IF(情景分析!$D$6=1,$J33,IF(情景分析!$D$6=2,$E33,IF(情景分析!$D$6=4,IF($C33="银行间",$J33,$L33),$G33)))+AG$2/100,情景分析!$D$7,"",,,,"",)*IF($H33="",1,$H33))</f>
        <v>12237.099183811582</v>
      </c>
      <c r="AH33" s="7">
        <f ca="1">IF($A33="","",[2]!B_CALC_PRICE($A33,$AC$1,IF(情景分析!$D$6=1,$J33,IF(情景分析!$D$6=2,$E33,IF(情景分析!$D$6=4,IF($C33="银行间",$J33,$L33),$G33)))+AH$2/100,情景分析!$D$7,"",,,,"",)*IF($H33="",1,$H33))</f>
        <v>12284.885039434903</v>
      </c>
      <c r="AI33" s="7">
        <f ca="1">IF($A33="","",[2]!B_CALC_PRICE($A33,$AC$1,IF(情景分析!$D$6=1,$J33,IF(情景分析!$D$6=2,$E33,IF(情景分析!$D$6=4,IF($C33="银行间",$J33,$L33),$G33)))+AI$2/100,情景分析!$D$7,"",,,,"",)*IF($H33="",1,$H33))</f>
        <v>12332.891696571809</v>
      </c>
      <c r="AJ33" s="7">
        <f ca="1">IF($A33="","",[2]!B_CALC_PRICE($A33,$AJ$1,IF(情景分析!$D$6=1,$J33,IF(情景分析!$D$6=2,$E33,IF(情景分析!$D$6=4,IF($C33="银行间",$J33,$L33),$G33)))+AJ$2/100,情景分析!$D$7,"",,,,"",)*IF($H33="",1,$H33))</f>
        <v>11954.957641012619</v>
      </c>
      <c r="AK33" s="7">
        <f ca="1">IF($A33="","",[2]!B_CALC_PRICE($A33,$AJ$1,IF(情景分析!$D$6=1,$J33,IF(情景分析!$D$6=2,$E33,IF(情景分析!$D$6=4,IF($C33="银行间",$J33,$L33),$G33)))+AK$2/100,情景分析!$D$7,"",,,,"",)*IF($H33="",1,$H33))</f>
        <v>12001.442347056416</v>
      </c>
      <c r="AL33" s="7">
        <f ca="1">IF($A33="","",[2]!B_CALC_PRICE($A33,$AJ$1,IF(情景分析!$D$6=1,$J33,IF(情景分析!$D$6=2,$E33,IF(情景分析!$D$6=4,IF($C33="银行间",$J33,$L33),$G33)))+AL$2/100,情景分析!$D$7,"",,,,"",)*IF($H33="",1,$H33))</f>
        <v>12048.141126571527</v>
      </c>
      <c r="AM33" s="7">
        <f ca="1">IF($A33="","",[2]!B_CALC_PRICE($A33,$AJ$1,IF(情景分析!$D$6=1,$J33,IF(情景分析!$D$6=2,$E33,IF(情景分析!$D$6=4,IF($C33="银行间",$J33,$L33),$G33)))+AM$2/100,情景分析!$D$7,"",,,,"",)*IF($H33="",1,$H33))</f>
        <v>12142.185334292686</v>
      </c>
      <c r="AN33" s="7">
        <f ca="1">IF($A33="","",[2]!B_CALC_PRICE($A33,$AJ$1,IF(情景分析!$D$6=1,$J33,IF(情景分析!$D$6=2,$E33,IF(情景分析!$D$6=4,IF($C33="银行间",$J33,$L33),$G33)))+AN$2/100,情景分析!$D$7,"",,,,"",)*IF($H33="",1,$H33))</f>
        <v>12237.099183811582</v>
      </c>
      <c r="AO33" s="7">
        <f ca="1">IF($A33="","",[2]!B_CALC_PRICE($A33,$AJ$1,IF(情景分析!$D$6=1,$J33,IF(情景分析!$D$6=2,$E33,IF(情景分析!$D$6=4,IF($C33="银行间",$J33,$L33),$G33)))+AO$2/100,情景分析!$D$7,"",,,,"",)*IF($H33="",1,$H33))</f>
        <v>12284.885039434903</v>
      </c>
      <c r="AP33" s="7">
        <f ca="1">IF($A33="","",[2]!B_CALC_PRICE($A33,$AJ$1,IF(情景分析!$D$6=1,$J33,IF(情景分析!$D$6=2,$E33,IF(情景分析!$D$6=4,IF($C33="银行间",$J33,$L33),$G33)))+AP$2/100,情景分析!$D$7,"",,,,"",)*IF($H33="",1,$H33))</f>
        <v>12332.891696571809</v>
      </c>
      <c r="AQ33" s="7">
        <f ca="1">IF($A33="","",[2]!B_CALC_PRICE($A33,$AQ$1,IF(情景分析!$D$6=1,$J33,IF(情景分析!$D$6=2,$E33,IF(情景分析!$D$6=4,IF($C33="银行间",$J33,$L33),$G33)))+AQ$2/100,情景分析!$D$7,"",,,,"",)*IF($H33="",1,$H33))</f>
        <v>11958.983447477338</v>
      </c>
      <c r="AR33" s="7">
        <f ca="1">IF($A33="","",[2]!B_CALC_PRICE($A33,$AQ$1,IF(情景分析!$D$6=1,$J33,IF(情景分析!$D$6=2,$E33,IF(情景分析!$D$6=4,IF($C33="银行间",$J33,$L33),$G33)))+AR$2/100,情景分析!$D$7,"",,,,"",)*IF($H33="",1,$H33))</f>
        <v>12001.85613785731</v>
      </c>
      <c r="AS33" s="7">
        <f ca="1">IF($A33="","",[2]!B_CALC_PRICE($A33,$AQ$1,IF(情景分析!$D$6=1,$J33,IF(情景分析!$D$6=2,$E33,IF(情景分析!$D$6=4,IF($C33="银行间",$J33,$L33),$G33)))+AS$2/100,情景分析!$D$7,"",,,,"",)*IF($H33="",1,$H33))</f>
        <v>12044.911670537422</v>
      </c>
      <c r="AT33" s="7">
        <f ca="1">IF($A33="","",[2]!B_CALC_PRICE($A33,$AQ$1,IF(情景分析!$D$6=1,$J33,IF(情景分析!$D$6=2,$E33,IF(情景分析!$D$6=4,IF($C33="银行间",$J33,$L33),$G33)))+AT$2/100,情景分析!$D$7,"",,,,"",)*IF($H33="",1,$H33))</f>
        <v>12131.574786039515</v>
      </c>
      <c r="AU33" s="7">
        <f ca="1">IF($A33="","",[2]!B_CALC_PRICE($A33,$AQ$1,IF(情景分析!$D$6=1,$J33,IF(情景分析!$D$6=2,$E33,IF(情景分析!$D$6=4,IF($C33="银行间",$J33,$L33),$G33)))+AU$2/100,情景分析!$D$7,"",,,,"",)*IF($H33="",1,$H33))</f>
        <v>12218.979887484968</v>
      </c>
      <c r="AV33" s="7">
        <f ca="1">IF($A33="","",[2]!B_CALC_PRICE($A33,$AQ$1,IF(情景分析!$D$6=1,$J33,IF(情景分析!$D$6=2,$E33,IF(情景分析!$D$6=4,IF($C33="银行间",$J33,$L33),$G33)))+AV$2/100,情景分析!$D$7,"",,,,"",)*IF($H33="",1,$H33))</f>
        <v>12262.962920370421</v>
      </c>
      <c r="AW33" s="7">
        <f ca="1">IF($A33="","",[2]!B_CALC_PRICE($A33,$AQ$1,IF(情景分析!$D$6=1,$J33,IF(情景分析!$D$6=2,$E33,IF(情景分析!$D$6=4,IF($C33="银行间",$J33,$L33),$G33)))+AW$2/100,情景分析!$D$7,"",,,,"",)*IF($H33="",1,$H33))</f>
        <v>12307.134144220654</v>
      </c>
    </row>
    <row r="34" spans="1:49" x14ac:dyDescent="0.15">
      <c r="A34" s="20" t="s">
        <v>47</v>
      </c>
      <c r="B34" s="7" t="str">
        <f>IF(A34="","",[2]!b_info_name(A34))</f>
        <v>25台商01</v>
      </c>
      <c r="C34" s="7" t="str">
        <f>[2]!b_info_listedmkt(A34)</f>
        <v>深圳</v>
      </c>
      <c r="D34" s="7">
        <f ca="1">IFERROR(IF(A34="","", [2]!b_dq_avgprice(A34, 情景分析!$D$5, 情景分析!$D$7) * IF($H34="",1,$H34)),0)</f>
        <v>0</v>
      </c>
      <c r="E34" s="7">
        <f ca="1">IF(A34="","", N([2]!b_dq_avgprice(A34,情景分析!$D$5,3)))</f>
        <v>0</v>
      </c>
      <c r="F34" s="29">
        <f ca="1">IF($G34 = "",
"",
IFERROR(
[2]!b_calc_pv(A34, 情景分析!$D$5,$G34, "1", 情景分析!$D$7),
[2]!b_calc_pv(A34, 情景分析!$D$5,$G34, "2", 情景分析!$D$7)
)
)</f>
        <v>30.957834279602078</v>
      </c>
      <c r="G34" s="22">
        <v>20</v>
      </c>
      <c r="H34" s="21">
        <v>120</v>
      </c>
      <c r="I34" s="7">
        <f ca="1">IF(A34="","",IF(情景分析!$D$7=1,[2]!b_anal_net_cnbd(A34,情景分析!$D$5,1),[2]!b_anal_dirty_cnbd(A34,情景分析!$D$5,1))*IF($H34="",1,$H34))</f>
        <v>12062.976000000001</v>
      </c>
      <c r="J34" s="7">
        <f ca="1">IF(A34="","",[2]!b_anal_yield_cnbd(A34,情景分析!$D$5,1))</f>
        <v>2.2583000000000002</v>
      </c>
      <c r="K34" s="29">
        <f ca="1">IF(A34="","",IF(情景分析!$D$7=1,[2]!b_anal_net_csi1(A34,情景分析!$D$5,1),[2]!b_anal_dirty_csi1(A34,情景分析!$D$5,1))*IF($H34="",1,$H34))</f>
        <v>12063.119999999999</v>
      </c>
      <c r="L34" s="29">
        <f ca="1">IF(A34="","",[2]!b_anal_yield_csi1(A34,情景分析!$D$5,1))</f>
        <v>2.2549000000000001</v>
      </c>
      <c r="M34" s="29">
        <f t="shared" ca="1" si="4"/>
        <v>12063.119999999999</v>
      </c>
      <c r="N34" s="29">
        <f t="shared" ca="1" si="5"/>
        <v>2.2549000000000001</v>
      </c>
      <c r="O34" s="7">
        <f ca="1">IF($A34="","",[2]!B_CALC_PRICE($A34,$O$1,IF(情景分析!$D$6=1,$J34,IF(情景分析!$D$6=2,$E34,IF(情景分析!$D$6=4,IF($C34="银行间",$J34,$L34),$G34)))+O$2/100,情景分析!$D$7,"",,,,"",)*IF($H34="",1,$H34))</f>
        <v>12017.965484572067</v>
      </c>
      <c r="P34" s="7">
        <f ca="1">IF($A34="","",[2]!B_CALC_PRICE($A34,$O$1,IF(情景分析!$D$6=1,$J34,IF(情景分析!$D$6=2,$E34,IF(情景分析!$D$6=4,IF($C34="银行间",$J34,$L34),$G34)))+P$2/100,情景分析!$D$7,"",,,,"",)*IF($H34="",1,$H34))</f>
        <v>12063.474036465501</v>
      </c>
      <c r="Q34" s="7">
        <f ca="1">IF($A34="","",[2]!B_CALC_PRICE($A34,$O$1,IF(情景分析!$D$6=1,$J34,IF(情景分析!$D$6=2,$E34,IF(情景分析!$D$6=4,IF($C34="银行间",$J34,$L34),$G34)))+Q$2/100,情景分析!$D$7,"",,,,"",)*IF($H34="",1,$H34))</f>
        <v>12109.186849452561</v>
      </c>
      <c r="R34" s="7">
        <f ca="1">IF($A34="","",[2]!B_CALC_PRICE($A34,$O$1,IF(情景分析!$D$6=1,$J34,IF(情景分析!$D$6=2,$E34,IF(情景分析!$D$6=4,IF($C34="银行间",$J34,$L34),$G34)))+R$2/100,情景分析!$D$7,"",,,,"",)*IF($H34="",1,$H34))</f>
        <v>12201.229385222683</v>
      </c>
      <c r="S34" s="7">
        <f ca="1">IF($A34="","",[2]!B_CALC_PRICE($A34,$O$1,IF(情景分析!$D$6=1,$J34,IF(情景分析!$D$6=2,$E34,IF(情景分析!$D$6=4,IF($C34="银行间",$J34,$L34),$G34)))+S$2/100,情景分析!$D$7,"",,,,"",)*IF($H34="",1,$H34))</f>
        <v>12294.101402430235</v>
      </c>
      <c r="T34" s="7">
        <f ca="1">IF($A34="","",[2]!B_CALC_PRICE($A34,$O$1,IF(情景分析!$D$6=1,$J34,IF(情景分析!$D$6=2,$E34,IF(情景分析!$D$6=4,IF($C34="银行间",$J34,$L34),$G34)))+T$2/100,情景分析!$D$7,"",,,,"",)*IF($H34="",1,$H34))</f>
        <v>12340.851088966663</v>
      </c>
      <c r="U34" s="7">
        <f ca="1">IF($A34="","",[2]!B_CALC_PRICE($A34,$O$1,IF(情景分析!$D$6=1,$J34,IF(情景分析!$D$6=2,$E34,IF(情景分析!$D$6=4,IF($C34="银行间",$J34,$L34),$G34)))+U$2/100,情景分析!$D$7,"",,,,"",)*IF($H34="",1,$H34))</f>
        <v>12387.811304434996</v>
      </c>
      <c r="V34" s="7">
        <f ca="1">IF($A34="","",[2]!B_CALC_PRICE($A34,$V$1,IF(情景分析!$D$6=1,$J34,IF(情景分析!$D$6=2,$E34,IF(情景分析!$D$6=4,IF($C34="银行间",$J34,$L34),$G34)))+V$2/100,情景分析!$D$7,"",,,,"",)*IF($H34="",1,$H34))</f>
        <v>12017.86039843692</v>
      </c>
      <c r="W34" s="7">
        <f ca="1">IF($A34="","",[2]!B_CALC_PRICE($A34,$V$1,IF(情景分析!$D$6=1,$J34,IF(情景分析!$D$6=2,$E34,IF(情景分析!$D$6=4,IF($C34="银行间",$J34,$L34),$G34)))+W$2/100,情景分析!$D$7,"",,,,"",)*IF($H34="",1,$H34))</f>
        <v>12063.048717550277</v>
      </c>
      <c r="X34" s="7">
        <f ca="1">IF($A34="","",[2]!B_CALC_PRICE($A34,$V$1,IF(情景分析!$D$6=1,$J34,IF(情景分析!$D$6=2,$E34,IF(情景分析!$D$6=4,IF($C34="银行间",$J34,$L34),$G34)))+X$2/100,情景分析!$D$7,"",,,,"",)*IF($H34="",1,$H34))</f>
        <v>12108.438505225173</v>
      </c>
      <c r="Y34" s="7">
        <f ca="1">IF($A34="","",[2]!B_CALC_PRICE($A34,$V$1,IF(情景分析!$D$6=1,$J34,IF(情景分析!$D$6=2,$E34,IF(情景分析!$D$6=4,IF($C34="银行间",$J34,$L34),$G34)))+Y$2/100,情景分析!$D$7,"",,,,"",)*IF($H34="",1,$H34))</f>
        <v>12199.826531258161</v>
      </c>
      <c r="Z34" s="7">
        <f ca="1">IF($A34="","",[2]!B_CALC_PRICE($A34,$V$1,IF(情景分析!$D$6=1,$J34,IF(情景分析!$D$6=2,$E34,IF(情景分析!$D$6=4,IF($C34="银行间",$J34,$L34),$G34)))+Z$2/100,情景分析!$D$7,"",,,,"",)*IF($H34="",1,$H34))</f>
        <v>12292.032622594183</v>
      </c>
      <c r="AA34" s="7">
        <f ca="1">IF($A34="","",[2]!B_CALC_PRICE($A34,$V$1,IF(情景分析!$D$6=1,$J34,IF(情景分析!$D$6=2,$E34,IF(情景分析!$D$6=4,IF($C34="银行间",$J34,$L34),$G34)))+AA$2/100,情景分析!$D$7,"",,,,"",)*IF($H34="",1,$H34))</f>
        <v>12338.445013098702</v>
      </c>
      <c r="AB34" s="7">
        <f ca="1">IF($A34="","",[2]!B_CALC_PRICE($A34,$V$1,IF(情景分析!$D$6=1,$J34,IF(情景分析!$D$6=2,$E34,IF(情景分析!$D$6=4,IF($C34="银行间",$J34,$L34),$G34)))+AB$2/100,情景分析!$D$7,"",,,,"",)*IF($H34="",1,$H34))</f>
        <v>12385.065015749369</v>
      </c>
      <c r="AC34" s="7">
        <f ca="1">IF($A34="","",[2]!B_CALC_PRICE($A34,$AC$1,IF(情景分析!$D$6=1,$J34,IF(情景分析!$D$6=2,$E34,IF(情景分析!$D$6=4,IF($C34="银行间",$J34,$L34),$G34)))+AC$2/100,情景分析!$D$7,"",,,,"",)*IF($H34="",1,$H34))</f>
        <v>12017.733418483933</v>
      </c>
      <c r="AD34" s="7">
        <f ca="1">IF($A34="","",[2]!B_CALC_PRICE($A34,$AC$1,IF(情景分析!$D$6=1,$J34,IF(情景分析!$D$6=2,$E34,IF(情景分析!$D$6=4,IF($C34="银行间",$J34,$L34),$G34)))+AD$2/100,情景分析!$D$7,"",,,,"",)*IF($H34="",1,$H34))</f>
        <v>12062.102733039941</v>
      </c>
      <c r="AE34" s="7">
        <f ca="1">IF($A34="","",[2]!B_CALC_PRICE($A34,$AC$1,IF(情景分析!$D$6=1,$J34,IF(情景分析!$D$6=2,$E34,IF(情景分析!$D$6=4,IF($C34="银行间",$J34,$L34),$G34)))+AE$2/100,情景分析!$D$7,"",,,,"",)*IF($H34="",1,$H34))</f>
        <v>12106.666490841488</v>
      </c>
      <c r="AF34" s="7">
        <f ca="1">IF($A34="","",[2]!B_CALC_PRICE($A34,$AC$1,IF(情景分析!$D$6=1,$J34,IF(情景分析!$D$6=2,$E34,IF(情景分析!$D$6=4,IF($C34="银行间",$J34,$L34),$G34)))+AF$2/100,情景分析!$D$7,"",,,,"",)*IF($H34="",1,$H34))</f>
        <v>12196.381178545524</v>
      </c>
      <c r="AG34" s="7">
        <f ca="1">IF($A34="","",[2]!B_CALC_PRICE($A34,$AC$1,IF(情景分析!$D$6=1,$J34,IF(情景分析!$D$6=2,$E34,IF(情景分析!$D$6=4,IF($C34="银行间",$J34,$L34),$G34)))+AG$2/100,情景分析!$D$7,"",,,,"",)*IF($H34="",1,$H34))</f>
        <v>12286.885218804255</v>
      </c>
      <c r="AH34" s="7">
        <f ca="1">IF($A34="","",[2]!B_CALC_PRICE($A34,$AC$1,IF(情景分析!$D$6=1,$J34,IF(情景分析!$D$6=2,$E34,IF(情景分析!$D$6=4,IF($C34="银行间",$J34,$L34),$G34)))+AH$2/100,情景分析!$D$7,"",,,,"",)*IF($H34="",1,$H34))</f>
        <v>12332.435687143299</v>
      </c>
      <c r="AI34" s="7">
        <f ca="1">IF($A34="","",[2]!B_CALC_PRICE($A34,$AC$1,IF(情景分析!$D$6=1,$J34,IF(情景分析!$D$6=2,$E34,IF(情景分析!$D$6=4,IF($C34="银行间",$J34,$L34),$G34)))+AI$2/100,情景分析!$D$7,"",,,,"",)*IF($H34="",1,$H34))</f>
        <v>12378.186433495053</v>
      </c>
      <c r="AJ34" s="7">
        <f ca="1">IF($A34="","",[2]!B_CALC_PRICE($A34,$AJ$1,IF(情景分析!$D$6=1,$J34,IF(情景分析!$D$6=2,$E34,IF(情景分析!$D$6=4,IF($C34="银行间",$J34,$L34),$G34)))+AJ$2/100,情景分析!$D$7,"",,,,"",)*IF($H34="",1,$H34))</f>
        <v>12017.733418483933</v>
      </c>
      <c r="AK34" s="7">
        <f ca="1">IF($A34="","",[2]!B_CALC_PRICE($A34,$AJ$1,IF(情景分析!$D$6=1,$J34,IF(情景分析!$D$6=2,$E34,IF(情景分析!$D$6=4,IF($C34="银行间",$J34,$L34),$G34)))+AK$2/100,情景分析!$D$7,"",,,,"",)*IF($H34="",1,$H34))</f>
        <v>12062.102733039941</v>
      </c>
      <c r="AL34" s="7">
        <f ca="1">IF($A34="","",[2]!B_CALC_PRICE($A34,$AJ$1,IF(情景分析!$D$6=1,$J34,IF(情景分析!$D$6=2,$E34,IF(情景分析!$D$6=4,IF($C34="银行间",$J34,$L34),$G34)))+AL$2/100,情景分析!$D$7,"",,,,"",)*IF($H34="",1,$H34))</f>
        <v>12106.666490841488</v>
      </c>
      <c r="AM34" s="7">
        <f ca="1">IF($A34="","",[2]!B_CALC_PRICE($A34,$AJ$1,IF(情景分析!$D$6=1,$J34,IF(情景分析!$D$6=2,$E34,IF(情景分析!$D$6=4,IF($C34="银行间",$J34,$L34),$G34)))+AM$2/100,情景分析!$D$7,"",,,,"",)*IF($H34="",1,$H34))</f>
        <v>12196.381178545524</v>
      </c>
      <c r="AN34" s="7">
        <f ca="1">IF($A34="","",[2]!B_CALC_PRICE($A34,$AJ$1,IF(情景分析!$D$6=1,$J34,IF(情景分析!$D$6=2,$E34,IF(情景分析!$D$6=4,IF($C34="银行间",$J34,$L34),$G34)))+AN$2/100,情景分析!$D$7,"",,,,"",)*IF($H34="",1,$H34))</f>
        <v>12286.885218804255</v>
      </c>
      <c r="AO34" s="7">
        <f ca="1">IF($A34="","",[2]!B_CALC_PRICE($A34,$AJ$1,IF(情景分析!$D$6=1,$J34,IF(情景分析!$D$6=2,$E34,IF(情景分析!$D$6=4,IF($C34="银行间",$J34,$L34),$G34)))+AO$2/100,情景分析!$D$7,"",,,,"",)*IF($H34="",1,$H34))</f>
        <v>12332.435687143299</v>
      </c>
      <c r="AP34" s="7">
        <f ca="1">IF($A34="","",[2]!B_CALC_PRICE($A34,$AJ$1,IF(情景分析!$D$6=1,$J34,IF(情景分析!$D$6=2,$E34,IF(情景分析!$D$6=4,IF($C34="银行间",$J34,$L34),$G34)))+AP$2/100,情景分析!$D$7,"",,,,"",)*IF($H34="",1,$H34))</f>
        <v>12378.186433495053</v>
      </c>
      <c r="AQ34" s="7">
        <f ca="1">IF($A34="","",[2]!B_CALC_PRICE($A34,$AQ$1,IF(情景分析!$D$6=1,$J34,IF(情景分析!$D$6=2,$E34,IF(情景分析!$D$6=4,IF($C34="银行间",$J34,$L34),$G34)))+AQ$2/100,情景分析!$D$7,"",,,,"",)*IF($H34="",1,$H34))</f>
        <v>12015.882756845491</v>
      </c>
      <c r="AR34" s="7">
        <f ca="1">IF($A34="","",[2]!B_CALC_PRICE($A34,$AQ$1,IF(情景分析!$D$6=1,$J34,IF(情景分析!$D$6=2,$E34,IF(情景分析!$D$6=4,IF($C34="银行间",$J34,$L34),$G34)))+AR$2/100,情景分析!$D$7,"",,,,"",)*IF($H34="",1,$H34))</f>
        <v>12056.57242805464</v>
      </c>
      <c r="AS34" s="7">
        <f ca="1">IF($A34="","",[2]!B_CALC_PRICE($A34,$AQ$1,IF(情景分析!$D$6=1,$J34,IF(情景分析!$D$6=2,$E34,IF(情景分析!$D$6=4,IF($C34="银行间",$J34,$L34),$G34)))+AS$2/100,情景分析!$D$7,"",,,,"",)*IF($H34="",1,$H34))</f>
        <v>12097.426430411222</v>
      </c>
      <c r="AT34" s="7">
        <f ca="1">IF($A34="","",[2]!B_CALC_PRICE($A34,$AQ$1,IF(情景分析!$D$6=1,$J34,IF(情景分析!$D$6=2,$E34,IF(情景分析!$D$6=4,IF($C34="银行间",$J34,$L34),$G34)))+AT$2/100,情景分析!$D$7,"",,,,"",)*IF($H34="",1,$H34))</f>
        <v>12179.630442359899</v>
      </c>
      <c r="AU34" s="7">
        <f ca="1">IF($A34="","",[2]!B_CALC_PRICE($A34,$AQ$1,IF(情景分析!$D$6=1,$J34,IF(情景分析!$D$6=2,$E34,IF(情景分析!$D$6=4,IF($C34="银行间",$J34,$L34),$G34)))+AU$2/100,情景分析!$D$7,"",,,,"",)*IF($H34="",1,$H34))</f>
        <v>12262.500858723824</v>
      </c>
      <c r="AV34" s="7">
        <f ca="1">IF($A34="","",[2]!B_CALC_PRICE($A34,$AQ$1,IF(情景分析!$D$6=1,$J34,IF(情景分析!$D$6=2,$E34,IF(情景分析!$D$6=4,IF($C34="银行间",$J34,$L34),$G34)))+AV$2/100,情景分析!$D$7,"",,,,"",)*IF($H34="",1,$H34))</f>
        <v>12304.187881129659</v>
      </c>
      <c r="AW34" s="7">
        <f ca="1">IF($A34="","",[2]!B_CALC_PRICE($A34,$AQ$1,IF(情景分析!$D$6=1,$J34,IF(情景分析!$D$6=2,$E34,IF(情景分析!$D$6=4,IF($C34="银行间",$J34,$L34),$G34)))+AW$2/100,情景分析!$D$7,"",,,,"",)*IF($H34="",1,$H34))</f>
        <v>12346.043807531409</v>
      </c>
    </row>
    <row r="35" spans="1:49" x14ac:dyDescent="0.15">
      <c r="A35" s="20" t="s">
        <v>48</v>
      </c>
      <c r="B35" s="7" t="str">
        <f>IF(A35="","",[2]!b_info_name(A35))</f>
        <v>21晋文01</v>
      </c>
      <c r="C35" s="7" t="str">
        <f>[2]!b_info_listedmkt(A35)</f>
        <v>深圳</v>
      </c>
      <c r="D35" s="7">
        <f ca="1">IFERROR(IF(A35="","", [2]!b_dq_avgprice(A35, 情景分析!$D$5, 情景分析!$D$7) * IF($H35="",1,$H35)),0)</f>
        <v>0</v>
      </c>
      <c r="E35" s="7">
        <f ca="1">IF(A35="","", N([2]!b_dq_avgprice(A35,情景分析!$D$5,3)))</f>
        <v>0</v>
      </c>
      <c r="F35" s="29">
        <f ca="1">IF($G35 = "",
"",
IFERROR(
[2]!b_calc_pv(A35, 情景分析!$D$5,$G35, "1", 情景分析!$D$7),
[2]!b_calc_pv(A35, 情景分析!$D$5,$G35, "2", 情景分析!$D$7)
)
)</f>
        <v>95.883695988921161</v>
      </c>
      <c r="G35" s="22">
        <v>20</v>
      </c>
      <c r="H35" s="21">
        <v>120</v>
      </c>
      <c r="I35" s="7">
        <f ca="1">IF(A35="","",IF(情景分析!$D$7=1,[2]!b_anal_net_cnbd(A35,情景分析!$D$5,1),[2]!b_anal_dirty_cnbd(A35,情景分析!$D$5,1))*IF($H35="",1,$H35))</f>
        <v>12055.956</v>
      </c>
      <c r="J35" s="7">
        <f ca="1">IF(A35="","",[2]!b_anal_yield_cnbd(A35,情景分析!$D$5,1))</f>
        <v>1.9258999999999999</v>
      </c>
      <c r="K35" s="29">
        <f ca="1">IF(A35="","",IF(情景分析!$D$7=1,[2]!b_anal_net_csi1(A35,情景分析!$D$5,1),[2]!b_anal_dirty_csi1(A35,情景分析!$D$5,1))*IF($H35="",1,$H35))</f>
        <v>12056.472</v>
      </c>
      <c r="L35" s="29">
        <f ca="1">IF(A35="","",[2]!b_anal_yield_csi1(A35,情景分析!$D$5,1))</f>
        <v>1.8705000000000001</v>
      </c>
      <c r="M35" s="29">
        <f t="shared" ca="1" si="4"/>
        <v>12056.472</v>
      </c>
      <c r="N35" s="29">
        <f t="shared" ca="1" si="5"/>
        <v>1.8705000000000001</v>
      </c>
      <c r="O35" s="7">
        <f ca="1">IF($A35="","",[2]!B_CALC_PRICE($A35,$O$1,IF(情景分析!$D$6=1,$J35,IF(情景分析!$D$6=2,$E35,IF(情景分析!$D$6=4,IF($C35="银行间",$J35,$L35),$G35)))+O$2/100,情景分析!$D$7,"",,,,"",)*IF($H35="",1,$H35))</f>
        <v>12042.51825718184</v>
      </c>
      <c r="P35" s="7">
        <f ca="1">IF($A35="","",[2]!B_CALC_PRICE($A35,$O$1,IF(情景分析!$D$6=1,$J35,IF(情景分析!$D$6=2,$E35,IF(情景分析!$D$6=4,IF($C35="银行间",$J35,$L35),$G35)))+P$2/100,情景分析!$D$7,"",,,,"",)*IF($H35="",1,$H35))</f>
        <v>12043.921051914383</v>
      </c>
      <c r="Q35" s="7">
        <f ca="1">IF($A35="","",[2]!B_CALC_PRICE($A35,$O$1,IF(情景分析!$D$6=1,$J35,IF(情景分析!$D$6=2,$E35,IF(情景分析!$D$6=4,IF($C35="银行间",$J35,$L35),$G35)))+Q$2/100,情景分析!$D$7,"",,,,"",)*IF($H35="",1,$H35))</f>
        <v>12045.324164175805</v>
      </c>
      <c r="R35" s="7">
        <f ca="1">IF($A35="","",[2]!B_CALC_PRICE($A35,$O$1,IF(情景分析!$D$6=1,$J35,IF(情景分析!$D$6=2,$E35,IF(情景分析!$D$6=4,IF($C35="银行间",$J35,$L35),$G35)))+R$2/100,情景分析!$D$7,"",,,,"",)*IF($H35="",1,$H35))</f>
        <v>12048.131341716607</v>
      </c>
      <c r="S35" s="7">
        <f ca="1">IF($A35="","",[2]!B_CALC_PRICE($A35,$O$1,IF(情景分析!$D$6=1,$J35,IF(情景分析!$D$6=2,$E35,IF(情景分析!$D$6=4,IF($C35="银行间",$J35,$L35),$G35)))+S$2/100,情景分析!$D$7,"",,,,"",)*IF($H35="",1,$H35))</f>
        <v>12050.93979066742</v>
      </c>
      <c r="T35" s="7">
        <f ca="1">IF($A35="","",[2]!B_CALC_PRICE($A35,$O$1,IF(情景分析!$D$6=1,$J35,IF(情景分析!$D$6=2,$E35,IF(情景分析!$D$6=4,IF($C35="银行间",$J35,$L35),$G35)))+T$2/100,情景分析!$D$7,"",,,,"",)*IF($H35="",1,$H35))</f>
        <v>12052.344492191534</v>
      </c>
      <c r="U35" s="7">
        <f ca="1">IF($A35="","",[2]!B_CALC_PRICE($A35,$O$1,IF(情景分析!$D$6=1,$J35,IF(情景分析!$D$6=2,$E35,IF(情景分析!$D$6=4,IF($C35="银行间",$J35,$L35),$G35)))+U$2/100,情景分析!$D$7,"",,,,"",)*IF($H35="",1,$H35))</f>
        <v>12053.749511892198</v>
      </c>
      <c r="V35" s="7">
        <f ca="1">IF($A35="","",[2]!B_CALC_PRICE($A35,$V$1,IF(情景分析!$D$6=1,$J35,IF(情景分析!$D$6=2,$E35,IF(情景分析!$D$6=4,IF($C35="银行间",$J35,$L35),$G35)))+V$2/100,情景分析!$D$7,"",,,,"",)*IF($H35="",1,$H35))</f>
        <v>12029.803232276483</v>
      </c>
      <c r="W35" s="7">
        <f ca="1">IF($A35="","",[2]!B_CALC_PRICE($A35,$V$1,IF(情景分析!$D$6=1,$J35,IF(情景分析!$D$6=2,$E35,IF(情景分析!$D$6=4,IF($C35="银行间",$J35,$L35),$G35)))+W$2/100,情景分析!$D$7,"",,,,"",)*IF($H35="",1,$H35))</f>
        <v>12030.803147181939</v>
      </c>
      <c r="X35" s="7">
        <f ca="1">IF($A35="","",[2]!B_CALC_PRICE($A35,$V$1,IF(情景分析!$D$6=1,$J35,IF(情景分析!$D$6=2,$E35,IF(情景分析!$D$6=4,IF($C35="银行间",$J35,$L35),$G35)))+X$2/100,情景分析!$D$7,"",,,,"",)*IF($H35="",1,$H35))</f>
        <v>12031.803223189911</v>
      </c>
      <c r="Y35" s="7">
        <f ca="1">IF($A35="","",[2]!B_CALC_PRICE($A35,$V$1,IF(情景分析!$D$6=1,$J35,IF(情景分析!$D$6=2,$E35,IF(情景分析!$D$6=4,IF($C35="银行间",$J35,$L35),$G35)))+Y$2/100,情景分析!$D$7,"",,,,"",)*IF($H35="",1,$H35))</f>
        <v>12033.803858669144</v>
      </c>
      <c r="Z35" s="7">
        <f ca="1">IF($A35="","",[2]!B_CALC_PRICE($A35,$V$1,IF(情景分析!$D$6=1,$J35,IF(情景分析!$D$6=2,$E35,IF(情景分析!$D$6=4,IF($C35="银行间",$J35,$L35),$G35)))+Z$2/100,情景分析!$D$7,"",,,,"",)*IF($H35="",1,$H35))</f>
        <v>12035.805139025837</v>
      </c>
      <c r="AA35" s="7">
        <f ca="1">IF($A35="","",[2]!B_CALC_PRICE($A35,$V$1,IF(情景分析!$D$6=1,$J35,IF(情景分析!$D$6=2,$E35,IF(情景分析!$D$6=4,IF($C35="银行间",$J35,$L35),$G35)))+AA$2/100,情景分析!$D$7,"",,,,"",)*IF($H35="",1,$H35))</f>
        <v>12036.806021130678</v>
      </c>
      <c r="AB35" s="7">
        <f ca="1">IF($A35="","",[2]!B_CALC_PRICE($A35,$V$1,IF(情景分析!$D$6=1,$J35,IF(情景分析!$D$6=2,$E35,IF(情景分析!$D$6=4,IF($C35="银行间",$J35,$L35),$G35)))+AB$2/100,情景分析!$D$7,"",,,,"",)*IF($H35="",1,$H35))</f>
        <v>12037.80706457184</v>
      </c>
      <c r="AC35" s="7" t="e">
        <f ca="1">IF($A35="","",[2]!B_CALC_PRICE($A35,$AC$1,IF(情景分析!$D$6=1,$J35,IF(情景分析!$D$6=2,$E35,IF(情景分析!$D$6=4,IF($C35="银行间",$J35,$L35),$G35)))+AC$2/100,情景分析!$D$7,"",,,,"",)*IF($H35="",1,$H35))</f>
        <v>#VALUE!</v>
      </c>
      <c r="AD35" s="7" t="e">
        <f ca="1">IF($A35="","",[2]!B_CALC_PRICE($A35,$AC$1,IF(情景分析!$D$6=1,$J35,IF(情景分析!$D$6=2,$E35,IF(情景分析!$D$6=4,IF($C35="银行间",$J35,$L35),$G35)))+AD$2/100,情景分析!$D$7,"",,,,"",)*IF($H35="",1,$H35))</f>
        <v>#VALUE!</v>
      </c>
      <c r="AE35" s="7" t="e">
        <f ca="1">IF($A35="","",[2]!B_CALC_PRICE($A35,$AC$1,IF(情景分析!$D$6=1,$J35,IF(情景分析!$D$6=2,$E35,IF(情景分析!$D$6=4,IF($C35="银行间",$J35,$L35),$G35)))+AE$2/100,情景分析!$D$7,"",,,,"",)*IF($H35="",1,$H35))</f>
        <v>#VALUE!</v>
      </c>
      <c r="AF35" s="7" t="e">
        <f ca="1">IF($A35="","",[2]!B_CALC_PRICE($A35,$AC$1,IF(情景分析!$D$6=1,$J35,IF(情景分析!$D$6=2,$E35,IF(情景分析!$D$6=4,IF($C35="银行间",$J35,$L35),$G35)))+AF$2/100,情景分析!$D$7,"",,,,"",)*IF($H35="",1,$H35))</f>
        <v>#VALUE!</v>
      </c>
      <c r="AG35" s="7" t="e">
        <f ca="1">IF($A35="","",[2]!B_CALC_PRICE($A35,$AC$1,IF(情景分析!$D$6=1,$J35,IF(情景分析!$D$6=2,$E35,IF(情景分析!$D$6=4,IF($C35="银行间",$J35,$L35),$G35)))+AG$2/100,情景分析!$D$7,"",,,,"",)*IF($H35="",1,$H35))</f>
        <v>#VALUE!</v>
      </c>
      <c r="AH35" s="7" t="e">
        <f ca="1">IF($A35="","",[2]!B_CALC_PRICE($A35,$AC$1,IF(情景分析!$D$6=1,$J35,IF(情景分析!$D$6=2,$E35,IF(情景分析!$D$6=4,IF($C35="银行间",$J35,$L35),$G35)))+AH$2/100,情景分析!$D$7,"",,,,"",)*IF($H35="",1,$H35))</f>
        <v>#VALUE!</v>
      </c>
      <c r="AI35" s="7" t="e">
        <f ca="1">IF($A35="","",[2]!B_CALC_PRICE($A35,$AC$1,IF(情景分析!$D$6=1,$J35,IF(情景分析!$D$6=2,$E35,IF(情景分析!$D$6=4,IF($C35="银行间",$J35,$L35),$G35)))+AI$2/100,情景分析!$D$7,"",,,,"",)*IF($H35="",1,$H35))</f>
        <v>#VALUE!</v>
      </c>
      <c r="AJ35" s="7" t="e">
        <f ca="1">IF($A35="","",[2]!B_CALC_PRICE($A35,$AJ$1,IF(情景分析!$D$6=1,$J35,IF(情景分析!$D$6=2,$E35,IF(情景分析!$D$6=4,IF($C35="银行间",$J35,$L35),$G35)))+AJ$2/100,情景分析!$D$7,"",,,,"",)*IF($H35="",1,$H35))</f>
        <v>#VALUE!</v>
      </c>
      <c r="AK35" s="7" t="e">
        <f ca="1">IF($A35="","",[2]!B_CALC_PRICE($A35,$AJ$1,IF(情景分析!$D$6=1,$J35,IF(情景分析!$D$6=2,$E35,IF(情景分析!$D$6=4,IF($C35="银行间",$J35,$L35),$G35)))+AK$2/100,情景分析!$D$7,"",,,,"",)*IF($H35="",1,$H35))</f>
        <v>#VALUE!</v>
      </c>
      <c r="AL35" s="7" t="e">
        <f ca="1">IF($A35="","",[2]!B_CALC_PRICE($A35,$AJ$1,IF(情景分析!$D$6=1,$J35,IF(情景分析!$D$6=2,$E35,IF(情景分析!$D$6=4,IF($C35="银行间",$J35,$L35),$G35)))+AL$2/100,情景分析!$D$7,"",,,,"",)*IF($H35="",1,$H35))</f>
        <v>#VALUE!</v>
      </c>
      <c r="AM35" s="7" t="e">
        <f ca="1">IF($A35="","",[2]!B_CALC_PRICE($A35,$AJ$1,IF(情景分析!$D$6=1,$J35,IF(情景分析!$D$6=2,$E35,IF(情景分析!$D$6=4,IF($C35="银行间",$J35,$L35),$G35)))+AM$2/100,情景分析!$D$7,"",,,,"",)*IF($H35="",1,$H35))</f>
        <v>#VALUE!</v>
      </c>
      <c r="AN35" s="7" t="e">
        <f ca="1">IF($A35="","",[2]!B_CALC_PRICE($A35,$AJ$1,IF(情景分析!$D$6=1,$J35,IF(情景分析!$D$6=2,$E35,IF(情景分析!$D$6=4,IF($C35="银行间",$J35,$L35),$G35)))+AN$2/100,情景分析!$D$7,"",,,,"",)*IF($H35="",1,$H35))</f>
        <v>#VALUE!</v>
      </c>
      <c r="AO35" s="7" t="e">
        <f ca="1">IF($A35="","",[2]!B_CALC_PRICE($A35,$AJ$1,IF(情景分析!$D$6=1,$J35,IF(情景分析!$D$6=2,$E35,IF(情景分析!$D$6=4,IF($C35="银行间",$J35,$L35),$G35)))+AO$2/100,情景分析!$D$7,"",,,,"",)*IF($H35="",1,$H35))</f>
        <v>#VALUE!</v>
      </c>
      <c r="AP35" s="7" t="e">
        <f ca="1">IF($A35="","",[2]!B_CALC_PRICE($A35,$AJ$1,IF(情景分析!$D$6=1,$J35,IF(情景分析!$D$6=2,$E35,IF(情景分析!$D$6=4,IF($C35="银行间",$J35,$L35),$G35)))+AP$2/100,情景分析!$D$7,"",,,,"",)*IF($H35="",1,$H35))</f>
        <v>#VALUE!</v>
      </c>
      <c r="AQ35" s="7" t="e">
        <f ca="1">IF($A35="","",[2]!B_CALC_PRICE($A35,$AQ$1,IF(情景分析!$D$6=1,$J35,IF(情景分析!$D$6=2,$E35,IF(情景分析!$D$6=4,IF($C35="银行间",$J35,$L35),$G35)))+AQ$2/100,情景分析!$D$7,"",,,,"",)*IF($H35="",1,$H35))</f>
        <v>#VALUE!</v>
      </c>
      <c r="AR35" s="7" t="e">
        <f ca="1">IF($A35="","",[2]!B_CALC_PRICE($A35,$AQ$1,IF(情景分析!$D$6=1,$J35,IF(情景分析!$D$6=2,$E35,IF(情景分析!$D$6=4,IF($C35="银行间",$J35,$L35),$G35)))+AR$2/100,情景分析!$D$7,"",,,,"",)*IF($H35="",1,$H35))</f>
        <v>#VALUE!</v>
      </c>
      <c r="AS35" s="7" t="e">
        <f ca="1">IF($A35="","",[2]!B_CALC_PRICE($A35,$AQ$1,IF(情景分析!$D$6=1,$J35,IF(情景分析!$D$6=2,$E35,IF(情景分析!$D$6=4,IF($C35="银行间",$J35,$L35),$G35)))+AS$2/100,情景分析!$D$7,"",,,,"",)*IF($H35="",1,$H35))</f>
        <v>#VALUE!</v>
      </c>
      <c r="AT35" s="7" t="e">
        <f ca="1">IF($A35="","",[2]!B_CALC_PRICE($A35,$AQ$1,IF(情景分析!$D$6=1,$J35,IF(情景分析!$D$6=2,$E35,IF(情景分析!$D$6=4,IF($C35="银行间",$J35,$L35),$G35)))+AT$2/100,情景分析!$D$7,"",,,,"",)*IF($H35="",1,$H35))</f>
        <v>#VALUE!</v>
      </c>
      <c r="AU35" s="7" t="e">
        <f ca="1">IF($A35="","",[2]!B_CALC_PRICE($A35,$AQ$1,IF(情景分析!$D$6=1,$J35,IF(情景分析!$D$6=2,$E35,IF(情景分析!$D$6=4,IF($C35="银行间",$J35,$L35),$G35)))+AU$2/100,情景分析!$D$7,"",,,,"",)*IF($H35="",1,$H35))</f>
        <v>#VALUE!</v>
      </c>
      <c r="AV35" s="7" t="e">
        <f ca="1">IF($A35="","",[2]!B_CALC_PRICE($A35,$AQ$1,IF(情景分析!$D$6=1,$J35,IF(情景分析!$D$6=2,$E35,IF(情景分析!$D$6=4,IF($C35="银行间",$J35,$L35),$G35)))+AV$2/100,情景分析!$D$7,"",,,,"",)*IF($H35="",1,$H35))</f>
        <v>#VALUE!</v>
      </c>
      <c r="AW35" s="7" t="e">
        <f ca="1">IF($A35="","",[2]!B_CALC_PRICE($A35,$AQ$1,IF(情景分析!$D$6=1,$J35,IF(情景分析!$D$6=2,$E35,IF(情景分析!$D$6=4,IF($C35="银行间",$J35,$L35),$G35)))+AW$2/100,情景分析!$D$7,"",,,,"",)*IF($H35="",1,$H35))</f>
        <v>#VALUE!</v>
      </c>
    </row>
    <row r="36" spans="1:49" x14ac:dyDescent="0.15">
      <c r="A36" s="20" t="s">
        <v>49</v>
      </c>
      <c r="B36" s="7" t="str">
        <f>IF(A36="","",[2]!b_info_name(A36))</f>
        <v>25南翼02</v>
      </c>
      <c r="C36" s="7" t="str">
        <f>[2]!b_info_listedmkt(A36)</f>
        <v>深圳</v>
      </c>
      <c r="D36" s="7">
        <f ca="1">IFERROR(IF(A36="","", [2]!b_dq_avgprice(A36, 情景分析!$D$5, 情景分析!$D$7) * IF($H36="",1,$H36)),0)</f>
        <v>0</v>
      </c>
      <c r="E36" s="7">
        <f ca="1">IF(A36="","", N([2]!b_dq_avgprice(A36,情景分析!$D$5,3)))</f>
        <v>0</v>
      </c>
      <c r="F36" s="29">
        <f ca="1">IF($G36 = "",
"",
IFERROR(
[2]!b_calc_pv(A36, 情景分析!$D$5,$G36, "1", 情景分析!$D$7),
[2]!b_calc_pv(A36, 情景分析!$D$5,$G36, "2", 情景分析!$D$7)
)
)</f>
        <v>27.445755293186831</v>
      </c>
      <c r="G36" s="22">
        <v>20</v>
      </c>
      <c r="H36" s="21">
        <v>120</v>
      </c>
      <c r="I36" s="7">
        <f ca="1">IF(A36="","",IF(情景分析!$D$7=1,[2]!b_anal_net_cnbd(A36,情景分析!$D$5,1),[2]!b_anal_dirty_cnbd(A36,情景分析!$D$5,1))*IF($H36="",1,$H36))</f>
        <v>11976.228000000001</v>
      </c>
      <c r="J36" s="7">
        <f ca="1">IF(A36="","",[2]!b_anal_yield_cnbd(A36,情景分析!$D$5,1))</f>
        <v>2.6332</v>
      </c>
      <c r="K36" s="29">
        <f ca="1">IF(A36="","",IF(情景分析!$D$7=1,[2]!b_anal_net_csi1(A36,情景分析!$D$5,1),[2]!b_anal_dirty_csi1(A36,情景分析!$D$5,1))*IF($H36="",1,$H36))</f>
        <v>11992.152</v>
      </c>
      <c r="L36" s="29">
        <f ca="1">IF(A36="","",[2]!b_anal_yield_csi1(A36,情景分析!$D$5,1))</f>
        <v>2.6019000000000001</v>
      </c>
      <c r="M36" s="29">
        <f t="shared" ca="1" si="4"/>
        <v>11992.152</v>
      </c>
      <c r="N36" s="29">
        <f t="shared" ca="1" si="5"/>
        <v>2.6019000000000001</v>
      </c>
      <c r="O36" s="7">
        <f ca="1">IF($A36="","",[2]!B_CALC_PRICE($A36,$O$1,IF(情景分析!$D$6=1,$J36,IF(情景分析!$D$6=2,$E36,IF(情景分析!$D$6=4,IF($C36="银行间",$J36,$L36),$G36)))+O$2/100,情景分析!$D$7,"",,,,"",)*IF($H36="",1,$H36))</f>
        <v>11752.007619394313</v>
      </c>
      <c r="P36" s="7">
        <f ca="1">IF($A36="","",[2]!B_CALC_PRICE($A36,$O$1,IF(情景分析!$D$6=1,$J36,IF(情景分析!$D$6=2,$E36,IF(情景分析!$D$6=4,IF($C36="银行间",$J36,$L36),$G36)))+P$2/100,情景分析!$D$7,"",,,,"",)*IF($H36="",1,$H36))</f>
        <v>11802.187615137671</v>
      </c>
      <c r="Q36" s="7">
        <f ca="1">IF($A36="","",[2]!B_CALC_PRICE($A36,$O$1,IF(情景分析!$D$6=1,$J36,IF(情景分析!$D$6=2,$E36,IF(情景分析!$D$6=4,IF($C36="银行间",$J36,$L36),$G36)))+Q$2/100,情景分析!$D$7,"",,,,"",)*IF($H36="",1,$H36))</f>
        <v>11852.621560579159</v>
      </c>
      <c r="R36" s="7">
        <f ca="1">IF($A36="","",[2]!B_CALC_PRICE($A36,$O$1,IF(情景分析!$D$6=1,$J36,IF(情景分析!$D$6=2,$E36,IF(情景分析!$D$6=4,IF($C36="银行间",$J36,$L36),$G36)))+R$2/100,情景分析!$D$7,"",,,,"",)*IF($H36="",1,$H36))</f>
        <v>11954.257039274104</v>
      </c>
      <c r="S36" s="7">
        <f ca="1">IF($A36="","",[2]!B_CALC_PRICE($A36,$O$1,IF(情景分析!$D$6=1,$J36,IF(情景分析!$D$6=2,$E36,IF(情景分析!$D$6=4,IF($C36="银行间",$J36,$L36),$G36)))+S$2/100,情景分析!$D$7,"",,,,"",)*IF($H36="",1,$H36))</f>
        <v>12056.925621654613</v>
      </c>
      <c r="T36" s="7">
        <f ca="1">IF($A36="","",[2]!B_CALC_PRICE($A36,$O$1,IF(情景分析!$D$6=1,$J36,IF(情景分析!$D$6=2,$E36,IF(情景分析!$D$6=4,IF($C36="银行间",$J36,$L36),$G36)))+T$2/100,情景分析!$D$7,"",,,,"",)*IF($H36="",1,$H36))</f>
        <v>12108.650980292443</v>
      </c>
      <c r="U36" s="7">
        <f ca="1">IF($A36="","",[2]!B_CALC_PRICE($A36,$O$1,IF(情景分析!$D$6=1,$J36,IF(情景分析!$D$6=2,$E36,IF(情景分析!$D$6=4,IF($C36="银行间",$J36,$L36),$G36)))+U$2/100,情景分析!$D$7,"",,,,"",)*IF($H36="",1,$H36))</f>
        <v>12160.639017212588</v>
      </c>
      <c r="V36" s="7">
        <f ca="1">IF($A36="","",[2]!B_CALC_PRICE($A36,$V$1,IF(情景分析!$D$6=1,$J36,IF(情景分析!$D$6=2,$E36,IF(情景分析!$D$6=4,IF($C36="银行间",$J36,$L36),$G36)))+V$2/100,情景分析!$D$7,"",,,,"",)*IF($H36="",1,$H36))</f>
        <v>11753.303704153137</v>
      </c>
      <c r="W36" s="7">
        <f ca="1">IF($A36="","",[2]!B_CALC_PRICE($A36,$V$1,IF(情景分析!$D$6=1,$J36,IF(情景分析!$D$6=2,$E36,IF(情景分析!$D$6=4,IF($C36="银行间",$J36,$L36),$G36)))+W$2/100,情景分析!$D$7,"",,,,"",)*IF($H36="",1,$H36))</f>
        <v>11803.195704986791</v>
      </c>
      <c r="X36" s="7">
        <f ca="1">IF($A36="","",[2]!B_CALC_PRICE($A36,$V$1,IF(情景分析!$D$6=1,$J36,IF(情景分析!$D$6=2,$E36,IF(情景分析!$D$6=4,IF($C36="银行间",$J36,$L36),$G36)))+X$2/100,情景分析!$D$7,"",,,,"",)*IF($H36="",1,$H36))</f>
        <v>11853.33871736406</v>
      </c>
      <c r="Y36" s="7">
        <f ca="1">IF($A36="","",[2]!B_CALC_PRICE($A36,$V$1,IF(情景分析!$D$6=1,$J36,IF(情景分析!$D$6=2,$E36,IF(情景分析!$D$6=4,IF($C36="银行间",$J36,$L36),$G36)))+Y$2/100,情景分析!$D$7,"",,,,"",)*IF($H36="",1,$H36))</f>
        <v>11954.383418113577</v>
      </c>
      <c r="Z36" s="7">
        <f ca="1">IF($A36="","",[2]!B_CALC_PRICE($A36,$V$1,IF(情景分析!$D$6=1,$J36,IF(情景分析!$D$6=2,$E36,IF(情景分析!$D$6=4,IF($C36="银行间",$J36,$L36),$G36)))+Z$2/100,情景分析!$D$7,"",,,,"",)*IF($H36="",1,$H36))</f>
        <v>12056.449175921654</v>
      </c>
      <c r="AA36" s="7">
        <f ca="1">IF($A36="","",[2]!B_CALC_PRICE($A36,$V$1,IF(情景分析!$D$6=1,$J36,IF(情景分析!$D$6=2,$E36,IF(情景分析!$D$6=4,IF($C36="银行间",$J36,$L36),$G36)))+AA$2/100,情景分析!$D$7,"",,,,"",)*IF($H36="",1,$H36))</f>
        <v>12107.868542472481</v>
      </c>
      <c r="AB36" s="7">
        <f ca="1">IF($A36="","",[2]!B_CALC_PRICE($A36,$V$1,IF(情景分析!$D$6=1,$J36,IF(情景分析!$D$6=2,$E36,IF(情景分析!$D$6=4,IF($C36="银行间",$J36,$L36),$G36)))+AB$2/100,情景分析!$D$7,"",,,,"",)*IF($H36="",1,$H36))</f>
        <v>12159.547500471459</v>
      </c>
      <c r="AC36" s="7">
        <f ca="1">IF($A36="","",[2]!B_CALC_PRICE($A36,$AC$1,IF(情景分析!$D$6=1,$J36,IF(情景分析!$D$6=2,$E36,IF(情景分析!$D$6=4,IF($C36="银行间",$J36,$L36),$G36)))+AC$2/100,情景分析!$D$7,"",,,,"",)*IF($H36="",1,$H36))</f>
        <v>11756.77794134211</v>
      </c>
      <c r="AD36" s="7">
        <f ca="1">IF($A36="","",[2]!B_CALC_PRICE($A36,$AC$1,IF(情景分析!$D$6=1,$J36,IF(情景分析!$D$6=2,$E36,IF(情景分析!$D$6=4,IF($C36="银行间",$J36,$L36),$G36)))+AD$2/100,情景分析!$D$7,"",,,,"",)*IF($H36="",1,$H36))</f>
        <v>11805.932471540593</v>
      </c>
      <c r="AE36" s="7">
        <f ca="1">IF($A36="","",[2]!B_CALC_PRICE($A36,$AC$1,IF(情景分析!$D$6=1,$J36,IF(情景分析!$D$6=2,$E36,IF(情景分析!$D$6=4,IF($C36="银行间",$J36,$L36),$G36)))+AE$2/100,情景分析!$D$7,"",,,,"",)*IF($H36="",1,$H36))</f>
        <v>11855.330603905109</v>
      </c>
      <c r="AF36" s="7">
        <f ca="1">IF($A36="","",[2]!B_CALC_PRICE($A36,$AC$1,IF(情景分析!$D$6=1,$J36,IF(情景分析!$D$6=2,$E36,IF(情景分析!$D$6=4,IF($C36="银行间",$J36,$L36),$G36)))+AF$2/100,情景分析!$D$7,"",,,,"",)*IF($H36="",1,$H36))</f>
        <v>11954.863073611097</v>
      </c>
      <c r="AG36" s="7">
        <f ca="1">IF($A36="","",[2]!B_CALC_PRICE($A36,$AC$1,IF(情景分析!$D$6=1,$J36,IF(情景分析!$D$6=2,$E36,IF(情景分析!$D$6=4,IF($C36="银行间",$J36,$L36),$G36)))+AG$2/100,情景分析!$D$7,"",,,,"",)*IF($H36="",1,$H36))</f>
        <v>12055.386229394537</v>
      </c>
      <c r="AH36" s="7">
        <f ca="1">IF($A36="","",[2]!B_CALC_PRICE($A36,$AC$1,IF(情景分析!$D$6=1,$J36,IF(情景分析!$D$6=2,$E36,IF(情景分析!$D$6=4,IF($C36="银行间",$J36,$L36),$G36)))+AH$2/100,情景分析!$D$7,"",,,,"",)*IF($H36="",1,$H36))</f>
        <v>12106.022750380325</v>
      </c>
      <c r="AI36" s="7">
        <f ca="1">IF($A36="","",[2]!B_CALC_PRICE($A36,$AC$1,IF(情景分析!$D$6=1,$J36,IF(情景分析!$D$6=2,$E36,IF(情景分析!$D$6=4,IF($C36="银行间",$J36,$L36),$G36)))+AI$2/100,情景分析!$D$7,"",,,,"",)*IF($H36="",1,$H36))</f>
        <v>12156.91108256245</v>
      </c>
      <c r="AJ36" s="7">
        <f ca="1">IF($A36="","",[2]!B_CALC_PRICE($A36,$AJ$1,IF(情景分析!$D$6=1,$J36,IF(情景分析!$D$6=2,$E36,IF(情景分析!$D$6=4,IF($C36="银行间",$J36,$L36),$G36)))+AJ$2/100,情景分析!$D$7,"",,,,"",)*IF($H36="",1,$H36))</f>
        <v>11756.77794134211</v>
      </c>
      <c r="AK36" s="7">
        <f ca="1">IF($A36="","",[2]!B_CALC_PRICE($A36,$AJ$1,IF(情景分析!$D$6=1,$J36,IF(情景分析!$D$6=2,$E36,IF(情景分析!$D$6=4,IF($C36="银行间",$J36,$L36),$G36)))+AK$2/100,情景分析!$D$7,"",,,,"",)*IF($H36="",1,$H36))</f>
        <v>11805.932471540593</v>
      </c>
      <c r="AL36" s="7">
        <f ca="1">IF($A36="","",[2]!B_CALC_PRICE($A36,$AJ$1,IF(情景分析!$D$6=1,$J36,IF(情景分析!$D$6=2,$E36,IF(情景分析!$D$6=4,IF($C36="银行间",$J36,$L36),$G36)))+AL$2/100,情景分析!$D$7,"",,,,"",)*IF($H36="",1,$H36))</f>
        <v>11855.330603905109</v>
      </c>
      <c r="AM36" s="7">
        <f ca="1">IF($A36="","",[2]!B_CALC_PRICE($A36,$AJ$1,IF(情景分析!$D$6=1,$J36,IF(情景分析!$D$6=2,$E36,IF(情景分析!$D$6=4,IF($C36="银行间",$J36,$L36),$G36)))+AM$2/100,情景分析!$D$7,"",,,,"",)*IF($H36="",1,$H36))</f>
        <v>11954.863073611097</v>
      </c>
      <c r="AN36" s="7">
        <f ca="1">IF($A36="","",[2]!B_CALC_PRICE($A36,$AJ$1,IF(情景分析!$D$6=1,$J36,IF(情景分析!$D$6=2,$E36,IF(情景分析!$D$6=4,IF($C36="银行间",$J36,$L36),$G36)))+AN$2/100,情景分析!$D$7,"",,,,"",)*IF($H36="",1,$H36))</f>
        <v>12055.386229394537</v>
      </c>
      <c r="AO36" s="7">
        <f ca="1">IF($A36="","",[2]!B_CALC_PRICE($A36,$AJ$1,IF(情景分析!$D$6=1,$J36,IF(情景分析!$D$6=2,$E36,IF(情景分析!$D$6=4,IF($C36="银行间",$J36,$L36),$G36)))+AO$2/100,情景分析!$D$7,"",,,,"",)*IF($H36="",1,$H36))</f>
        <v>12106.022750380325</v>
      </c>
      <c r="AP36" s="7">
        <f ca="1">IF($A36="","",[2]!B_CALC_PRICE($A36,$AJ$1,IF(情景分析!$D$6=1,$J36,IF(情景分析!$D$6=2,$E36,IF(情景分析!$D$6=4,IF($C36="银行间",$J36,$L36),$G36)))+AP$2/100,情景分析!$D$7,"",,,,"",)*IF($H36="",1,$H36))</f>
        <v>12156.91108256245</v>
      </c>
      <c r="AQ36" s="7">
        <f ca="1">IF($A36="","",[2]!B_CALC_PRICE($A36,$AQ$1,IF(情景分析!$D$6=1,$J36,IF(情景分析!$D$6=2,$E36,IF(情景分析!$D$6=4,IF($C36="银行间",$J36,$L36),$G36)))+AQ$2/100,情景分析!$D$7,"",,,,"",)*IF($H36="",1,$H36))</f>
        <v>11773.82783647701</v>
      </c>
      <c r="AR36" s="7">
        <f ca="1">IF($A36="","",[2]!B_CALC_PRICE($A36,$AQ$1,IF(情景分析!$D$6=1,$J36,IF(情景分析!$D$6=2,$E36,IF(情景分析!$D$6=4,IF($C36="银行间",$J36,$L36),$G36)))+AR$2/100,情景分析!$D$7,"",,,,"",)*IF($H36="",1,$H36))</f>
        <v>11819.613632029439</v>
      </c>
      <c r="AS36" s="7">
        <f ca="1">IF($A36="","",[2]!B_CALC_PRICE($A36,$AQ$1,IF(情景分析!$D$6=1,$J36,IF(情景分析!$D$6=2,$E36,IF(情景分析!$D$6=4,IF($C36="银行间",$J36,$L36),$G36)))+AS$2/100,情景分析!$D$7,"",,,,"",)*IF($H36="",1,$H36))</f>
        <v>11865.610948924816</v>
      </c>
      <c r="AT36" s="7">
        <f ca="1">IF($A36="","",[2]!B_CALC_PRICE($A36,$AQ$1,IF(情景分析!$D$6=1,$J36,IF(情景分析!$D$6=2,$E36,IF(情景分析!$D$6=4,IF($C36="银行间",$J36,$L36),$G36)))+AT$2/100,情景分析!$D$7,"",,,,"",)*IF($H36="",1,$H36))</f>
        <v>11958.244537098984</v>
      </c>
      <c r="AU36" s="7">
        <f ca="1">IF($A36="","",[2]!B_CALC_PRICE($A36,$AQ$1,IF(情景分析!$D$6=1,$J36,IF(情景分析!$D$6=2,$E36,IF(情景分析!$D$6=4,IF($C36="银行间",$J36,$L36),$G36)))+AU$2/100,情景分析!$D$7,"",,,,"",)*IF($H36="",1,$H36))</f>
        <v>12051.7374444493</v>
      </c>
      <c r="AV36" s="7">
        <f ca="1">IF($A36="","",[2]!B_CALC_PRICE($A36,$AQ$1,IF(情景分析!$D$6=1,$J36,IF(情景分析!$D$6=2,$E36,IF(情景分析!$D$6=4,IF($C36="银行间",$J36,$L36),$G36)))+AV$2/100,情景分析!$D$7,"",,,,"",)*IF($H36="",1,$H36))</f>
        <v>12098.808934047394</v>
      </c>
      <c r="AW36" s="7">
        <f ca="1">IF($A36="","",[2]!B_CALC_PRICE($A36,$AQ$1,IF(情景分析!$D$6=1,$J36,IF(情景分析!$D$6=2,$E36,IF(情景分析!$D$6=4,IF($C36="银行间",$J36,$L36),$G36)))+AW$2/100,情景分析!$D$7,"",,,,"",)*IF($H36="",1,$H36))</f>
        <v>12146.098615685476</v>
      </c>
    </row>
    <row r="37" spans="1:49" x14ac:dyDescent="0.15">
      <c r="A37" s="20" t="s">
        <v>50</v>
      </c>
      <c r="B37" s="7" t="str">
        <f>IF(A37="","",[2]!b_info_name(A37))</f>
        <v>25晋文01</v>
      </c>
      <c r="C37" s="7" t="str">
        <f>[2]!b_info_listedmkt(A37)</f>
        <v>深圳</v>
      </c>
      <c r="D37" s="7">
        <f ca="1">IFERROR(IF(A37="","", [2]!b_dq_avgprice(A37, 情景分析!$D$5, 情景分析!$D$7) * IF($H37="",1,$H37)),0)</f>
        <v>0</v>
      </c>
      <c r="E37" s="7">
        <f ca="1">IF(A37="","", N([2]!b_dq_avgprice(A37,情景分析!$D$5,3)))</f>
        <v>0</v>
      </c>
      <c r="F37" s="29">
        <f ca="1">IF($G37 = "",
"",
IFERROR(
[2]!b_calc_pv(A37, 情景分析!$D$5,$G37, "1", 情景分析!$D$7),
[2]!b_calc_pv(A37, 情景分析!$D$5,$G37, "2", 情景分析!$D$7)
)
)</f>
        <v>48.872634433807839</v>
      </c>
      <c r="G37" s="22">
        <v>20</v>
      </c>
      <c r="H37" s="21">
        <v>120</v>
      </c>
      <c r="I37" s="7">
        <f ca="1">IF(A37="","",IF(情景分析!$D$7=1,[2]!b_anal_net_cnbd(A37,情景分析!$D$5,1),[2]!b_anal_dirty_cnbd(A37,情景分析!$D$5,1))*IF($H37="",1,$H37))</f>
        <v>12029.292000000001</v>
      </c>
      <c r="J37" s="7">
        <f ca="1">IF(A37="","",[2]!b_anal_yield_cnbd(A37,情景分析!$D$5,1))</f>
        <v>2.5596000000000001</v>
      </c>
      <c r="K37" s="29">
        <f ca="1">IF(A37="","",IF(情景分析!$D$7=1,[2]!b_anal_net_csi1(A37,情景分析!$D$5,1),[2]!b_anal_dirty_csi1(A37,情景分析!$D$5,1))*IF($H37="",1,$H37))</f>
        <v>12041.460000000001</v>
      </c>
      <c r="L37" s="29">
        <f ca="1">IF(A37="","",[2]!b_anal_yield_csi1(A37,情景分析!$D$5,1))</f>
        <v>2.52</v>
      </c>
      <c r="M37" s="29">
        <f t="shared" ca="1" si="4"/>
        <v>12041.460000000001</v>
      </c>
      <c r="N37" s="29">
        <f t="shared" ca="1" si="5"/>
        <v>2.52</v>
      </c>
      <c r="O37" s="7">
        <f ca="1">IF($A37="","",[2]!B_CALC_PRICE($A37,$O$1,IF(情景分析!$D$6=1,$J37,IF(情景分析!$D$6=2,$E37,IF(情景分析!$D$6=4,IF($C37="银行间",$J37,$L37),$G37)))+O$2/100,情景分析!$D$7,"",,,,"",)*IF($H37="",1,$H37))</f>
        <v>11939.661205289362</v>
      </c>
      <c r="P37" s="7">
        <f ca="1">IF($A37="","",[2]!B_CALC_PRICE($A37,$O$1,IF(情景分析!$D$6=1,$J37,IF(情景分析!$D$6=2,$E37,IF(情景分析!$D$6=4,IF($C37="银行间",$J37,$L37),$G37)))+P$2/100,情景分析!$D$7,"",,,,"",)*IF($H37="",1,$H37))</f>
        <v>11966.500074351659</v>
      </c>
      <c r="Q37" s="7">
        <f ca="1">IF($A37="","",[2]!B_CALC_PRICE($A37,$O$1,IF(情景分析!$D$6=1,$J37,IF(情景分析!$D$6=2,$E37,IF(情景分析!$D$6=4,IF($C37="银行间",$J37,$L37),$G37)))+Q$2/100,情景分析!$D$7,"",,,,"",)*IF($H37="",1,$H37))</f>
        <v>11993.414132300966</v>
      </c>
      <c r="R37" s="7">
        <f ca="1">IF($A37="","",[2]!B_CALC_PRICE($A37,$O$1,IF(情景分析!$D$6=1,$J37,IF(情景分析!$D$6=2,$E37,IF(情景分析!$D$6=4,IF($C37="银行间",$J37,$L37),$G37)))+R$2/100,情景分析!$D$7,"",,,,"",)*IF($H37="",1,$H37))</f>
        <v>12047.468811565697</v>
      </c>
      <c r="S37" s="7">
        <f ca="1">IF($A37="","",[2]!B_CALC_PRICE($A37,$O$1,IF(情景分析!$D$6=1,$J37,IF(情景分析!$D$6=2,$E37,IF(情景分析!$D$6=4,IF($C37="银行间",$J37,$L37),$G37)))+S$2/100,情景分析!$D$7,"",,,,"",)*IF($H37="",1,$H37))</f>
        <v>12101.827246001132</v>
      </c>
      <c r="T37" s="7">
        <f ca="1">IF($A37="","",[2]!B_CALC_PRICE($A37,$O$1,IF(情景分析!$D$6=1,$J37,IF(情景分析!$D$6=2,$E37,IF(情景分析!$D$6=4,IF($C37="银行间",$J37,$L37),$G37)))+T$2/100,情景分析!$D$7,"",,,,"",)*IF($H37="",1,$H37))</f>
        <v>12129.121001500675</v>
      </c>
      <c r="U37" s="7">
        <f ca="1">IF($A37="","",[2]!B_CALC_PRICE($A37,$O$1,IF(情景分析!$D$6=1,$J37,IF(情景分析!$D$6=2,$E37,IF(情景分析!$D$6=4,IF($C37="银行间",$J37,$L37),$G37)))+U$2/100,情景分析!$D$7,"",,,,"",)*IF($H37="",1,$H37))</f>
        <v>12156.491453828759</v>
      </c>
      <c r="V37" s="7">
        <f ca="1">IF($A37="","",[2]!B_CALC_PRICE($A37,$V$1,IF(情景分析!$D$6=1,$J37,IF(情景分析!$D$6=2,$E37,IF(情景分析!$D$6=4,IF($C37="银行间",$J37,$L37),$G37)))+V$2/100,情景分析!$D$7,"",,,,"",)*IF($H37="",1,$H37))</f>
        <v>11940.231070700063</v>
      </c>
      <c r="W37" s="7">
        <f ca="1">IF($A37="","",[2]!B_CALC_PRICE($A37,$V$1,IF(情景分析!$D$6=1,$J37,IF(情景分析!$D$6=2,$E37,IF(情景分析!$D$6=4,IF($C37="银行间",$J37,$L37),$G37)))+W$2/100,情景分析!$D$7,"",,,,"",)*IF($H37="",1,$H37))</f>
        <v>11966.732803829615</v>
      </c>
      <c r="X37" s="7">
        <f ca="1">IF($A37="","",[2]!B_CALC_PRICE($A37,$V$1,IF(情景分析!$D$6=1,$J37,IF(情景分析!$D$6=2,$E37,IF(情景分析!$D$6=4,IF($C37="银行间",$J37,$L37),$G37)))+X$2/100,情景分析!$D$7,"",,,,"",)*IF($H37="",1,$H37))</f>
        <v>11993.307959276561</v>
      </c>
      <c r="Y37" s="7">
        <f ca="1">IF($A37="","",[2]!B_CALC_PRICE($A37,$V$1,IF(情景分析!$D$6=1,$J37,IF(情景分析!$D$6=2,$E37,IF(情景分析!$D$6=4,IF($C37="银行间",$J37,$L37),$G37)))+Y$2/100,情景分析!$D$7,"",,,,"",)*IF($H37="",1,$H37))</f>
        <v>12046.679501165305</v>
      </c>
      <c r="Z37" s="7">
        <f ca="1">IF($A37="","",[2]!B_CALC_PRICE($A37,$V$1,IF(情景分析!$D$6=1,$J37,IF(情景分析!$D$6=2,$E37,IF(情景分析!$D$6=4,IF($C37="银行间",$J37,$L37),$G37)))+Z$2/100,情景分析!$D$7,"",,,,"",)*IF($H37="",1,$H37))</f>
        <v>12100.34763357092</v>
      </c>
      <c r="AA37" s="7">
        <f ca="1">IF($A37="","",[2]!B_CALC_PRICE($A37,$V$1,IF(情景分析!$D$6=1,$J37,IF(情景分析!$D$6=2,$E37,IF(情景分析!$D$6=4,IF($C37="银行间",$J37,$L37),$G37)))+AA$2/100,情景分析!$D$7,"",,,,"",)*IF($H37="",1,$H37))</f>
        <v>12127.293530604244</v>
      </c>
      <c r="AB37" s="7">
        <f ca="1">IF($A37="","",[2]!B_CALC_PRICE($A37,$V$1,IF(情景分析!$D$6=1,$J37,IF(情景分析!$D$6=2,$E37,IF(情景分析!$D$6=4,IF($C37="银行间",$J37,$L37),$G37)))+AB$2/100,情景分析!$D$7,"",,,,"",)*IF($H37="",1,$H37))</f>
        <v>12154.314308376577</v>
      </c>
      <c r="AC37" s="7">
        <f ca="1">IF($A37="","",[2]!B_CALC_PRICE($A37,$AC$1,IF(情景分析!$D$6=1,$J37,IF(情景分析!$D$6=2,$E37,IF(情景分析!$D$6=4,IF($C37="银行间",$J37,$L37),$G37)))+AC$2/100,情景分析!$D$7,"",,,,"",)*IF($H37="",1,$H37))</f>
        <v>11941.852838227933</v>
      </c>
      <c r="AD37" s="7">
        <f ca="1">IF($A37="","",[2]!B_CALC_PRICE($A37,$AC$1,IF(情景分析!$D$6=1,$J37,IF(情景分析!$D$6=2,$E37,IF(情景分析!$D$6=4,IF($C37="银行间",$J37,$L37),$G37)))+AD$2/100,情景分析!$D$7,"",,,,"",)*IF($H37="",1,$H37))</f>
        <v>11967.491906978783</v>
      </c>
      <c r="AE37" s="7">
        <f ca="1">IF($A37="","",[2]!B_CALC_PRICE($A37,$AC$1,IF(情景分析!$D$6=1,$J37,IF(情景分析!$D$6=2,$E37,IF(情景分析!$D$6=4,IF($C37="银行间",$J37,$L37),$G37)))+AE$2/100,情景分析!$D$7,"",,,,"",)*IF($H37="",1,$H37))</f>
        <v>11993.199990468569</v>
      </c>
      <c r="AF37" s="7">
        <f ca="1">IF($A37="","",[2]!B_CALC_PRICE($A37,$AC$1,IF(情景分析!$D$6=1,$J37,IF(情景分析!$D$6=2,$E37,IF(情景分析!$D$6=4,IF($C37="银行间",$J37,$L37),$G37)))+AF$2/100,情景分析!$D$7,"",,,,"",)*IF($H37="",1,$H37))</f>
        <v>12044.824085755827</v>
      </c>
      <c r="AG37" s="7">
        <f ca="1">IF($A37="","",[2]!B_CALC_PRICE($A37,$AC$1,IF(情景分析!$D$6=1,$J37,IF(情景分析!$D$6=2,$E37,IF(情景分析!$D$6=4,IF($C37="银行间",$J37,$L37),$G37)))+AG$2/100,情景分析!$D$7,"",,,,"",)*IF($H37="",1,$H37))</f>
        <v>12096.726900456048</v>
      </c>
      <c r="AH37" s="7">
        <f ca="1">IF($A37="","",[2]!B_CALC_PRICE($A37,$AC$1,IF(情景分析!$D$6=1,$J37,IF(情景分析!$D$6=2,$E37,IF(情景分析!$D$6=4,IF($C37="银行间",$J37,$L37),$G37)))+AH$2/100,情景分析!$D$7,"",,,,"",)*IF($H37="",1,$H37))</f>
        <v>12122.783386299352</v>
      </c>
      <c r="AI37" s="7">
        <f ca="1">IF($A37="","",[2]!B_CALC_PRICE($A37,$AC$1,IF(情景分析!$D$6=1,$J37,IF(情景分析!$D$6=2,$E37,IF(情景分析!$D$6=4,IF($C37="银行间",$J37,$L37),$G37)))+AI$2/100,情景分析!$D$7,"",,,,"",)*IF($H37="",1,$H37))</f>
        <v>12148.910224108107</v>
      </c>
      <c r="AJ37" s="7">
        <f ca="1">IF($A37="","",[2]!B_CALC_PRICE($A37,$AJ$1,IF(情景分析!$D$6=1,$J37,IF(情景分析!$D$6=2,$E37,IF(情景分析!$D$6=4,IF($C37="银行间",$J37,$L37),$G37)))+AJ$2/100,情景分析!$D$7,"",,,,"",)*IF($H37="",1,$H37))</f>
        <v>11941.852838227933</v>
      </c>
      <c r="AK37" s="7">
        <f ca="1">IF($A37="","",[2]!B_CALC_PRICE($A37,$AJ$1,IF(情景分析!$D$6=1,$J37,IF(情景分析!$D$6=2,$E37,IF(情景分析!$D$6=4,IF($C37="银行间",$J37,$L37),$G37)))+AK$2/100,情景分析!$D$7,"",,,,"",)*IF($H37="",1,$H37))</f>
        <v>11967.491906978783</v>
      </c>
      <c r="AL37" s="7">
        <f ca="1">IF($A37="","",[2]!B_CALC_PRICE($A37,$AJ$1,IF(情景分析!$D$6=1,$J37,IF(情景分析!$D$6=2,$E37,IF(情景分析!$D$6=4,IF($C37="银行间",$J37,$L37),$G37)))+AL$2/100,情景分析!$D$7,"",,,,"",)*IF($H37="",1,$H37))</f>
        <v>11993.199990468569</v>
      </c>
      <c r="AM37" s="7">
        <f ca="1">IF($A37="","",[2]!B_CALC_PRICE($A37,$AJ$1,IF(情景分析!$D$6=1,$J37,IF(情景分析!$D$6=2,$E37,IF(情景分析!$D$6=4,IF($C37="银行间",$J37,$L37),$G37)))+AM$2/100,情景分析!$D$7,"",,,,"",)*IF($H37="",1,$H37))</f>
        <v>12044.824085755827</v>
      </c>
      <c r="AN37" s="7">
        <f ca="1">IF($A37="","",[2]!B_CALC_PRICE($A37,$AJ$1,IF(情景分析!$D$6=1,$J37,IF(情景分析!$D$6=2,$E37,IF(情景分析!$D$6=4,IF($C37="银行间",$J37,$L37),$G37)))+AN$2/100,情景分析!$D$7,"",,,,"",)*IF($H37="",1,$H37))</f>
        <v>12096.726900456048</v>
      </c>
      <c r="AO37" s="7">
        <f ca="1">IF($A37="","",[2]!B_CALC_PRICE($A37,$AJ$1,IF(情景分析!$D$6=1,$J37,IF(情景分析!$D$6=2,$E37,IF(情景分析!$D$6=4,IF($C37="银行间",$J37,$L37),$G37)))+AO$2/100,情景分析!$D$7,"",,,,"",)*IF($H37="",1,$H37))</f>
        <v>12122.783386299352</v>
      </c>
      <c r="AP37" s="7">
        <f ca="1">IF($A37="","",[2]!B_CALC_PRICE($A37,$AJ$1,IF(情景分析!$D$6=1,$J37,IF(情景分析!$D$6=2,$E37,IF(情景分析!$D$6=4,IF($C37="银行间",$J37,$L37),$G37)))+AP$2/100,情景分析!$D$7,"",,,,"",)*IF($H37="",1,$H37))</f>
        <v>12148.910224108107</v>
      </c>
      <c r="AQ37" s="7">
        <f ca="1">IF($A37="","",[2]!B_CALC_PRICE($A37,$AQ$1,IF(情景分析!$D$6=1,$J37,IF(情景分析!$D$6=2,$E37,IF(情景分析!$D$6=4,IF($C37="银行间",$J37,$L37),$G37)))+AQ$2/100,情景分析!$D$7,"",,,,"",)*IF($H37="",1,$H37))</f>
        <v>11951.022615648877</v>
      </c>
      <c r="AR37" s="7">
        <f ca="1">IF($A37="","",[2]!B_CALC_PRICE($A37,$AQ$1,IF(情景分析!$D$6=1,$J37,IF(情景分析!$D$6=2,$E37,IF(情景分析!$D$6=4,IF($C37="银行间",$J37,$L37),$G37)))+AR$2/100,情景分析!$D$7,"",,,,"",)*IF($H37="",1,$H37))</f>
        <v>11972.718779416617</v>
      </c>
      <c r="AS37" s="7">
        <f ca="1">IF($A37="","",[2]!B_CALC_PRICE($A37,$AQ$1,IF(情景分析!$D$6=1,$J37,IF(情景分析!$D$6=2,$E37,IF(情景分析!$D$6=4,IF($C37="银行间",$J37,$L37),$G37)))+AS$2/100,情景分析!$D$7,"",,,,"",)*IF($H37="",1,$H37))</f>
        <v>11994.4657360935</v>
      </c>
      <c r="AT37" s="7">
        <f ca="1">IF($A37="","",[2]!B_CALC_PRICE($A37,$AQ$1,IF(情景分析!$D$6=1,$J37,IF(情景分析!$D$6=2,$E37,IF(情景分析!$D$6=4,IF($C37="银行间",$J37,$L37),$G37)))+AT$2/100,情景分析!$D$7,"",,,,"",)*IF($H37="",1,$H37))</f>
        <v>12038.112606081346</v>
      </c>
      <c r="AU37" s="7">
        <f ca="1">IF($A37="","",[2]!B_CALC_PRICE($A37,$AQ$1,IF(情景分析!$D$6=1,$J37,IF(情景分析!$D$6=2,$E37,IF(情景分析!$D$6=4,IF($C37="银行间",$J37,$L37),$G37)))+AU$2/100,情景分析!$D$7,"",,,,"",)*IF($H37="",1,$H37))</f>
        <v>12081.964386253638</v>
      </c>
      <c r="AV37" s="7">
        <f ca="1">IF($A37="","",[2]!B_CALC_PRICE($A37,$AQ$1,IF(情景分析!$D$6=1,$J37,IF(情景分析!$D$6=2,$E37,IF(情景分析!$D$6=4,IF($C37="银行间",$J37,$L37),$G37)))+AV$2/100,情景分析!$D$7,"",,,,"",)*IF($H37="",1,$H37))</f>
        <v>12103.967482481274</v>
      </c>
      <c r="AW37" s="7">
        <f ca="1">IF($A37="","",[2]!B_CALC_PRICE($A37,$AQ$1,IF(情景分析!$D$6=1,$J37,IF(情景分析!$D$6=2,$E37,IF(情景分析!$D$6=4,IF($C37="银行间",$J37,$L37),$G37)))+AW$2/100,情景分析!$D$7,"",,,,"",)*IF($H37="",1,$H37))</f>
        <v>12126.022245017764</v>
      </c>
    </row>
    <row r="38" spans="1:49" x14ac:dyDescent="0.15">
      <c r="A38" s="20" t="s">
        <v>51</v>
      </c>
      <c r="B38" s="7" t="str">
        <f>IF(A38="","",[2]!b_info_name(A38))</f>
        <v>24晋投Y4</v>
      </c>
      <c r="C38" s="7" t="str">
        <f>[2]!b_info_listedmkt(A38)</f>
        <v>深圳</v>
      </c>
      <c r="D38" s="7">
        <f ca="1">IFERROR(IF(A38="","", [2]!b_dq_avgprice(A38, 情景分析!$D$5, 情景分析!$D$7) * IF($H38="",1,$H38)),0)</f>
        <v>12092.351999999999</v>
      </c>
      <c r="E38" s="7">
        <f ca="1">IF(A38="","", N([2]!b_dq_avgprice(A38,情景分析!$D$5,3)))</f>
        <v>5.0633282499999996</v>
      </c>
      <c r="F38" s="29">
        <f ca="1">IF($G38 = "",
"",
IFERROR(
[2]!b_calc_pv(A38, 情景分析!$D$5,$G38, "1", 情景分析!$D$7),
[2]!b_calc_pv(A38, 情景分析!$D$5,$G38, "2", 情景分析!$D$7)
)
)</f>
        <v>20.567256888757427</v>
      </c>
      <c r="G38" s="22">
        <v>20</v>
      </c>
      <c r="H38" s="21">
        <v>120</v>
      </c>
      <c r="I38" s="7">
        <f ca="1">IF(A38="","",IF(情景分析!$D$7=1,[2]!b_anal_net_cnbd(A38,情景分析!$D$5,1),[2]!b_anal_dirty_cnbd(A38,情景分析!$D$5,1))*IF($H38="",1,$H38))</f>
        <v>12100.596000000001</v>
      </c>
      <c r="J38" s="7">
        <f ca="1">IF(A38="","",[2]!b_anal_yield_cnbd(A38,情景分析!$D$5,1))</f>
        <v>2.4820000000000002</v>
      </c>
      <c r="K38" s="29">
        <f ca="1">IF(A38="","",IF(情景分析!$D$7=1,[2]!b_anal_net_csi1(A38,情景分析!$D$5,1),[2]!b_anal_dirty_csi1(A38,情景分析!$D$5,1))*IF($H38="",1,$H38))</f>
        <v>12087.48</v>
      </c>
      <c r="L38" s="29">
        <f ca="1">IF(A38="","",[2]!b_anal_yield_csi1(A38,情景分析!$D$5,1))</f>
        <v>2.5082</v>
      </c>
      <c r="M38" s="29">
        <f t="shared" ca="1" si="4"/>
        <v>12087.48</v>
      </c>
      <c r="N38" s="29">
        <f t="shared" ca="1" si="5"/>
        <v>2.5082</v>
      </c>
      <c r="O38" s="7">
        <f ca="1">IF($A38="","",[2]!B_CALC_PRICE($A38,$O$1,IF(情景分析!$D$6=1,$J38,IF(情景分析!$D$6=2,$E38,IF(情景分析!$D$6=4,IF($C38="银行间",$J38,$L38),$G38)))+O$2/100,情景分析!$D$7,"",,,,"",)*IF($H38="",1,$H38))</f>
        <v>20815.214035080102</v>
      </c>
      <c r="P38" s="7">
        <f ca="1">IF($A38="","",[2]!B_CALC_PRICE($A38,$O$1,IF(情景分析!$D$6=1,$J38,IF(情景分析!$D$6=2,$E38,IF(情景分析!$D$6=4,IF($C38="银行间",$J38,$L38),$G38)))+P$2/100,情景分析!$D$7,"",,,,"",)*IF($H38="",1,$H38))</f>
        <v>21089.220737848151</v>
      </c>
      <c r="Q38" s="7">
        <f ca="1">IF($A38="","",[2]!B_CALC_PRICE($A38,$O$1,IF(情景分析!$D$6=1,$J38,IF(情景分析!$D$6=2,$E38,IF(情景分析!$D$6=4,IF($C38="银行间",$J38,$L38),$G38)))+Q$2/100,情景分析!$D$7,"",,,,"",)*IF($H38="",1,$H38))</f>
        <v>21368.42752538616</v>
      </c>
      <c r="R38" s="7">
        <f ca="1">IF($A38="","",[2]!B_CALC_PRICE($A38,$O$1,IF(情景分析!$D$6=1,$J38,IF(情景分析!$D$6=2,$E38,IF(情景分析!$D$6=4,IF($C38="银行间",$J38,$L38),$G38)))+R$2/100,情景分析!$D$7,"",,,,"",)*IF($H38="",1,$H38))</f>
        <v>21942.908983233956</v>
      </c>
      <c r="S38" s="7">
        <f ca="1">IF($A38="","",[2]!B_CALC_PRICE($A38,$O$1,IF(情景分析!$D$6=1,$J38,IF(情景分析!$D$6=2,$E38,IF(情景分析!$D$6=4,IF($C38="银行间",$J38,$L38),$G38)))+S$2/100,情景分析!$D$7,"",,,,"",)*IF($H38="",1,$H38))</f>
        <v>22539.622494248957</v>
      </c>
      <c r="T38" s="7">
        <f ca="1">IF($A38="","",[2]!B_CALC_PRICE($A38,$O$1,IF(情景分析!$D$6=1,$J38,IF(情景分析!$D$6=2,$E38,IF(情景分析!$D$6=4,IF($C38="银行间",$J38,$L38),$G38)))+T$2/100,情景分析!$D$7,"",,,,"",)*IF($H38="",1,$H38))</f>
        <v>22846.630553184088</v>
      </c>
      <c r="U38" s="7">
        <f ca="1">IF($A38="","",[2]!B_CALC_PRICE($A38,$O$1,IF(情景分析!$D$6=1,$J38,IF(情景分析!$D$6=2,$E38,IF(情景分析!$D$6=4,IF($C38="银行间",$J38,$L38),$G38)))+U$2/100,情景分析!$D$7,"",,,,"",)*IF($H38="",1,$H38))</f>
        <v>23159.579959389423</v>
      </c>
      <c r="V38" s="7">
        <f ca="1">IF($A38="","",[2]!B_CALC_PRICE($A38,$V$1,IF(情景分析!$D$6=1,$J38,IF(情景分析!$D$6=2,$E38,IF(情景分析!$D$6=4,IF($C38="银行间",$J38,$L38),$G38)))+V$2/100,情景分析!$D$7,"",,,,"",)*IF($H38="",1,$H38))</f>
        <v>20830.688206781109</v>
      </c>
      <c r="W38" s="7">
        <f ca="1">IF($A38="","",[2]!B_CALC_PRICE($A38,$V$1,IF(情景分析!$D$6=1,$J38,IF(情景分析!$D$6=2,$E38,IF(情景分析!$D$6=4,IF($C38="银行间",$J38,$L38),$G38)))+W$2/100,情景分析!$D$7,"",,,,"",)*IF($H38="",1,$H38))</f>
        <v>21104.485981257276</v>
      </c>
      <c r="X38" s="7">
        <f ca="1">IF($A38="","",[2]!B_CALC_PRICE($A38,$V$1,IF(情景分析!$D$6=1,$J38,IF(情景分析!$D$6=2,$E38,IF(情景分析!$D$6=4,IF($C38="银行间",$J38,$L38),$G38)))+X$2/100,情景分析!$D$7,"",,,,"",)*IF($H38="",1,$H38))</f>
        <v>21383.474666986771</v>
      </c>
      <c r="Y38" s="7">
        <f ca="1">IF($A38="","",[2]!B_CALC_PRICE($A38,$V$1,IF(情景分析!$D$6=1,$J38,IF(情景分析!$D$6=2,$E38,IF(情景分析!$D$6=4,IF($C38="银行间",$J38,$L38),$G38)))+Y$2/100,情景分析!$D$7,"",,,,"",)*IF($H38="",1,$H38))</f>
        <v>21957.491101711712</v>
      </c>
      <c r="Z38" s="7">
        <f ca="1">IF($A38="","",[2]!B_CALC_PRICE($A38,$V$1,IF(情景分析!$D$6=1,$J38,IF(情景分析!$D$6=2,$E38,IF(情景分析!$D$6=4,IF($C38="银行间",$J38,$L38),$G38)))+Z$2/100,情景分析!$D$7,"",,,,"",)*IF($H38="",1,$H38))</f>
        <v>22553.698888274244</v>
      </c>
      <c r="AA38" s="7">
        <f ca="1">IF($A38="","",[2]!B_CALC_PRICE($A38,$V$1,IF(情景分析!$D$6=1,$J38,IF(情景分析!$D$6=2,$E38,IF(情景分析!$D$6=4,IF($C38="银行间",$J38,$L38),$G38)))+AA$2/100,情景分析!$D$7,"",,,,"",)*IF($H38="",1,$H38))</f>
        <v>22860.437925410271</v>
      </c>
      <c r="AB38" s="7">
        <f ca="1">IF($A38="","",[2]!B_CALC_PRICE($A38,$V$1,IF(情景分析!$D$6=1,$J38,IF(情景分析!$D$6=2,$E38,IF(情景分析!$D$6=4,IF($C38="银行间",$J38,$L38),$G38)))+AB$2/100,情景分析!$D$7,"",,,,"",)*IF($H38="",1,$H38))</f>
        <v>23173.107034411452</v>
      </c>
      <c r="AC38" s="7">
        <f ca="1">IF($A38="","",[2]!B_CALC_PRICE($A38,$AC$1,IF(情景分析!$D$6=1,$J38,IF(情景分析!$D$6=2,$E38,IF(情景分析!$D$6=4,IF($C38="银行间",$J38,$L38),$G38)))+AC$2/100,情景分析!$D$7,"",,,,"",)*IF($H38="",1,$H38))</f>
        <v>20868.965065657732</v>
      </c>
      <c r="AD38" s="7">
        <f ca="1">IF($A38="","",[2]!B_CALC_PRICE($A38,$AC$1,IF(情景分析!$D$6=1,$J38,IF(情景分析!$D$6=2,$E38,IF(情景分析!$D$6=4,IF($C38="银行间",$J38,$L38),$G38)))+AD$2/100,情景分析!$D$7,"",,,,"",)*IF($H38="",1,$H38))</f>
        <v>21142.249629944065</v>
      </c>
      <c r="AE38" s="7">
        <f ca="1">IF($A38="","",[2]!B_CALC_PRICE($A38,$AC$1,IF(情景分析!$D$6=1,$J38,IF(情景分析!$D$6=2,$E38,IF(情景分析!$D$6=4,IF($C38="银行间",$J38,$L38),$G38)))+AE$2/100,情景分析!$D$7,"",,,,"",)*IF($H38="",1,$H38))</f>
        <v>21420.701788532184</v>
      </c>
      <c r="AF38" s="7">
        <f ca="1">IF($A38="","",[2]!B_CALC_PRICE($A38,$AC$1,IF(情景分析!$D$6=1,$J38,IF(情景分析!$D$6=2,$E38,IF(情景分析!$D$6=4,IF($C38="银行间",$J38,$L38),$G38)))+AF$2/100,情景分析!$D$7,"",,,,"",)*IF($H38="",1,$H38))</f>
        <v>21993.571923288047</v>
      </c>
      <c r="AG38" s="7">
        <f ca="1">IF($A38="","",[2]!B_CALC_PRICE($A38,$AC$1,IF(情景分析!$D$6=1,$J38,IF(情景分析!$D$6=2,$E38,IF(情景分析!$D$6=4,IF($C38="银行间",$J38,$L38),$G38)))+AG$2/100,情景分析!$D$7,"",,,,"",)*IF($H38="",1,$H38))</f>
        <v>22588.52997813921</v>
      </c>
      <c r="AH38" s="7">
        <f ca="1">IF($A38="","",[2]!B_CALC_PRICE($A38,$AC$1,IF(情景分析!$D$6=1,$J38,IF(情景分析!$D$6=2,$E38,IF(情景分析!$D$6=4,IF($C38="银行间",$J38,$L38),$G38)))+AH$2/100,情景分析!$D$7,"",,,,"",)*IF($H38="",1,$H38))</f>
        <v>22894.60308878891</v>
      </c>
      <c r="AI38" s="7">
        <f ca="1">IF($A38="","",[2]!B_CALC_PRICE($A38,$AC$1,IF(情景分析!$D$6=1,$J38,IF(情景分析!$D$6=2,$E38,IF(情景分析!$D$6=4,IF($C38="银行间",$J38,$L38),$G38)))+AI$2/100,情景分析!$D$7,"",,,,"",)*IF($H38="",1,$H38))</f>
        <v>23206.577623691232</v>
      </c>
      <c r="AJ38" s="7">
        <f ca="1">IF($A38="","",[2]!B_CALC_PRICE($A38,$AJ$1,IF(情景分析!$D$6=1,$J38,IF(情景分析!$D$6=2,$E38,IF(情景分析!$D$6=4,IF($C38="银行间",$J38,$L38),$G38)))+AJ$2/100,情景分析!$D$7,"",,,,"",)*IF($H38="",1,$H38))</f>
        <v>20868.965065657732</v>
      </c>
      <c r="AK38" s="7">
        <f ca="1">IF($A38="","",[2]!B_CALC_PRICE($A38,$AJ$1,IF(情景分析!$D$6=1,$J38,IF(情景分析!$D$6=2,$E38,IF(情景分析!$D$6=4,IF($C38="银行间",$J38,$L38),$G38)))+AK$2/100,情景分析!$D$7,"",,,,"",)*IF($H38="",1,$H38))</f>
        <v>21142.249629944065</v>
      </c>
      <c r="AL38" s="7">
        <f ca="1">IF($A38="","",[2]!B_CALC_PRICE($A38,$AJ$1,IF(情景分析!$D$6=1,$J38,IF(情景分析!$D$6=2,$E38,IF(情景分析!$D$6=4,IF($C38="银行间",$J38,$L38),$G38)))+AL$2/100,情景分析!$D$7,"",,,,"",)*IF($H38="",1,$H38))</f>
        <v>21420.701788532184</v>
      </c>
      <c r="AM38" s="7">
        <f ca="1">IF($A38="","",[2]!B_CALC_PRICE($A38,$AJ$1,IF(情景分析!$D$6=1,$J38,IF(情景分析!$D$6=2,$E38,IF(情景分析!$D$6=4,IF($C38="银行间",$J38,$L38),$G38)))+AM$2/100,情景分析!$D$7,"",,,,"",)*IF($H38="",1,$H38))</f>
        <v>21993.571923288047</v>
      </c>
      <c r="AN38" s="7">
        <f ca="1">IF($A38="","",[2]!B_CALC_PRICE($A38,$AJ$1,IF(情景分析!$D$6=1,$J38,IF(情景分析!$D$6=2,$E38,IF(情景分析!$D$6=4,IF($C38="银行间",$J38,$L38),$G38)))+AN$2/100,情景分析!$D$7,"",,,,"",)*IF($H38="",1,$H38))</f>
        <v>22588.52997813921</v>
      </c>
      <c r="AO38" s="7">
        <f ca="1">IF($A38="","",[2]!B_CALC_PRICE($A38,$AJ$1,IF(情景分析!$D$6=1,$J38,IF(情景分析!$D$6=2,$E38,IF(情景分析!$D$6=4,IF($C38="银行间",$J38,$L38),$G38)))+AO$2/100,情景分析!$D$7,"",,,,"",)*IF($H38="",1,$H38))</f>
        <v>22894.60308878891</v>
      </c>
      <c r="AP38" s="7">
        <f ca="1">IF($A38="","",[2]!B_CALC_PRICE($A38,$AJ$1,IF(情景分析!$D$6=1,$J38,IF(情景分析!$D$6=2,$E38,IF(情景分析!$D$6=4,IF($C38="银行间",$J38,$L38),$G38)))+AP$2/100,情景分析!$D$7,"",,,,"",)*IF($H38="",1,$H38))</f>
        <v>23206.577623691232</v>
      </c>
      <c r="AQ38" s="7">
        <f ca="1">IF($A38="","",[2]!B_CALC_PRICE($A38,$AQ$1,IF(情景分析!$D$6=1,$J38,IF(情景分析!$D$6=2,$E38,IF(情景分析!$D$6=4,IF($C38="银行间",$J38,$L38),$G38)))+AQ$2/100,情景分析!$D$7,"",,,,"",)*IF($H38="",1,$H38))</f>
        <v>21044.88991496788</v>
      </c>
      <c r="AR38" s="7">
        <f ca="1">IF($A38="","",[2]!B_CALC_PRICE($A38,$AQ$1,IF(情景分析!$D$6=1,$J38,IF(情景分析!$D$6=2,$E38,IF(情景分析!$D$6=4,IF($C38="银行间",$J38,$L38),$G38)))+AR$2/100,情景分析!$D$7,"",,,,"",)*IF($H38="",1,$H38))</f>
        <v>21315.764550913605</v>
      </c>
      <c r="AS38" s="7">
        <f ca="1">IF($A38="","",[2]!B_CALC_PRICE($A38,$AQ$1,IF(情景分析!$D$6=1,$J38,IF(情景分析!$D$6=2,$E38,IF(情景分析!$D$6=4,IF($C38="银行间",$J38,$L38),$G38)))+AS$2/100,情景分析!$D$7,"",,,,"",)*IF($H38="",1,$H38))</f>
        <v>21591.702221485386</v>
      </c>
      <c r="AT38" s="7">
        <f ca="1">IF($A38="","",[2]!B_CALC_PRICE($A38,$AQ$1,IF(情景分析!$D$6=1,$J38,IF(情景分析!$D$6=2,$E38,IF(情景分析!$D$6=4,IF($C38="银行间",$J38,$L38),$G38)))+AT$2/100,情景分析!$D$7,"",,,,"",)*IF($H38="",1,$H38))</f>
        <v>22159.215073512351</v>
      </c>
      <c r="AU38" s="7">
        <f ca="1">IF($A38="","",[2]!B_CALC_PRICE($A38,$AQ$1,IF(情景分析!$D$6=1,$J38,IF(情景分析!$D$6=2,$E38,IF(情景分析!$D$6=4,IF($C38="银行间",$J38,$L38),$G38)))+AU$2/100,情景分析!$D$7,"",,,,"",)*IF($H38="",1,$H38))</f>
        <v>22748.352493437214</v>
      </c>
      <c r="AV38" s="7">
        <f ca="1">IF($A38="","",[2]!B_CALC_PRICE($A38,$AQ$1,IF(情景分析!$D$6=1,$J38,IF(情景分析!$D$6=2,$E38,IF(情景分析!$D$6=4,IF($C38="银行间",$J38,$L38),$G38)))+AV$2/100,情景分析!$D$7,"",,,,"",)*IF($H38="",1,$H38))</f>
        <v>23051.331443087762</v>
      </c>
      <c r="AW38" s="7">
        <f ca="1">IF($A38="","",[2]!B_CALC_PRICE($A38,$AQ$1,IF(情景分析!$D$6=1,$J38,IF(情景分析!$D$6=2,$E38,IF(情景分析!$D$6=4,IF($C38="银行间",$J38,$L38),$G38)))+AW$2/100,情景分析!$D$7,"",,,,"",)*IF($H38="",1,$H38))</f>
        <v>23360.083605870623</v>
      </c>
    </row>
    <row r="39" spans="1:49" x14ac:dyDescent="0.15">
      <c r="A39" s="20" t="s">
        <v>52</v>
      </c>
      <c r="B39" s="7" t="str">
        <f>IF(A39="","",[2]!b_info_name(A39))</f>
        <v>25惠安城建PPN001</v>
      </c>
      <c r="C39" s="7" t="str">
        <f>[2]!b_info_listedmkt(A39)</f>
        <v>银行间</v>
      </c>
      <c r="D39" s="7">
        <f ca="1">IFERROR(IF(A39="","", [2]!b_dq_avgprice(A39, 情景分析!$D$5, 情景分析!$D$7) * IF($H39="",1,$H39)),0)</f>
        <v>12104.1</v>
      </c>
      <c r="E39" s="7">
        <f ca="1">IF(A39="","", N([2]!b_dq_avgprice(A39,情景分析!$D$5,3)))</f>
        <v>2.3605999999999998</v>
      </c>
      <c r="F39" s="29">
        <f ca="1">IF($G39 = "",
"",
IFERROR(
[2]!b_calc_pv(A39, 情景分析!$D$5,$G39, "1", 情景分析!$D$7),
[2]!b_calc_pv(A39, 情景分析!$D$5,$G39, "2", 情景分析!$D$7)
)
)</f>
        <v>69.355199383025095</v>
      </c>
      <c r="G39" s="22">
        <v>20</v>
      </c>
      <c r="H39" s="21">
        <v>120</v>
      </c>
      <c r="I39" s="7">
        <f ca="1">IF(A39="","",IF(情景分析!$D$7=1,[2]!b_anal_net_cnbd(A39,情景分析!$D$5,1),[2]!b_anal_dirty_cnbd(A39,情景分析!$D$5,1))*IF($H39="",1,$H39))</f>
        <v>12108.552</v>
      </c>
      <c r="J39" s="7">
        <f ca="1">IF(A39="","",[2]!b_anal_yield_cnbd(A39,情景分析!$D$5,1))</f>
        <v>2.3447</v>
      </c>
      <c r="K39" s="29">
        <f ca="1">IF(A39="","",IF(情景分析!$D$7=1,[2]!b_anal_net_csi1(A39,情景分析!$D$5,1),[2]!b_anal_dirty_csi1(A39,情景分析!$D$5,1))*IF($H39="",1,$H39))</f>
        <v>12107.58</v>
      </c>
      <c r="L39" s="29">
        <f ca="1">IF(A39="","",[2]!b_anal_yield_csi1(A39,情景分析!$D$5,1))</f>
        <v>2.3449</v>
      </c>
      <c r="M39" s="29">
        <f t="shared" ca="1" si="4"/>
        <v>12108.552</v>
      </c>
      <c r="N39" s="29">
        <f t="shared" ca="1" si="5"/>
        <v>2.3447</v>
      </c>
      <c r="O39" s="7">
        <f ca="1">IF($A39="","",[2]!B_CALC_PRICE($A39,$O$1,IF(情景分析!$D$6=1,$J39,IF(情景分析!$D$6=2,$E39,IF(情景分析!$D$6=4,IF($C39="银行间",$J39,$L39),$G39)))+O$2/100,情景分析!$D$7,"",,,,"",)*IF($H39="",1,$H39))</f>
        <v>12052.280234986978</v>
      </c>
      <c r="P39" s="7">
        <f ca="1">IF($A39="","",[2]!B_CALC_PRICE($A39,$O$1,IF(情景分析!$D$6=1,$J39,IF(情景分析!$D$6=2,$E39,IF(情景分析!$D$6=4,IF($C39="银行间",$J39,$L39),$G39)))+P$2/100,情景分析!$D$7,"",,,,"",)*IF($H39="",1,$H39))</f>
        <v>12065.984988163462</v>
      </c>
      <c r="Q39" s="7">
        <f ca="1">IF($A39="","",[2]!B_CALC_PRICE($A39,$O$1,IF(情景分析!$D$6=1,$J39,IF(情景分析!$D$6=2,$E39,IF(情景分析!$D$6=4,IF($C39="银行间",$J39,$L39),$G39)))+Q$2/100,情景分析!$D$7,"",,,,"",)*IF($H39="",1,$H39))</f>
        <v>12079.712128278101</v>
      </c>
      <c r="R39" s="7">
        <f ca="1">IF($A39="","",[2]!B_CALC_PRICE($A39,$O$1,IF(情景分析!$D$6=1,$J39,IF(情景分析!$D$6=2,$E39,IF(情景分析!$D$6=4,IF($C39="银行间",$J39,$L39),$G39)))+R$2/100,情景分析!$D$7,"",,,,"",)*IF($H39="",1,$H39))</f>
        <v>12107.233759956565</v>
      </c>
      <c r="S39" s="7">
        <f ca="1">IF($A39="","",[2]!B_CALC_PRICE($A39,$O$1,IF(情景分析!$D$6=1,$J39,IF(情景分析!$D$6=2,$E39,IF(情景分析!$D$6=4,IF($C39="银行间",$J39,$L39),$G39)))+S$2/100,情景分析!$D$7,"",,,,"",)*IF($H39="",1,$H39))</f>
        <v>12134.84551254158</v>
      </c>
      <c r="T39" s="7">
        <f ca="1">IF($A39="","",[2]!B_CALC_PRICE($A39,$O$1,IF(情景分析!$D$6=1,$J39,IF(情景分析!$D$6=2,$E39,IF(情景分析!$D$6=4,IF($C39="银行间",$J39,$L39),$G39)))+T$2/100,情景分析!$D$7,"",,,,"",)*IF($H39="",1,$H39))</f>
        <v>12148.685304260134</v>
      </c>
      <c r="U39" s="7">
        <f ca="1">IF($A39="","",[2]!B_CALC_PRICE($A39,$O$1,IF(情景分析!$D$6=1,$J39,IF(情景分析!$D$6=2,$E39,IF(情景分析!$D$6=4,IF($C39="银行间",$J39,$L39),$G39)))+U$2/100,情景分析!$D$7,"",,,,"",)*IF($H39="",1,$H39))</f>
        <v>12162.547770560766</v>
      </c>
      <c r="V39" s="7">
        <f ca="1">IF($A39="","",[2]!B_CALC_PRICE($A39,$V$1,IF(情景分析!$D$6=1,$J39,IF(情景分析!$D$6=2,$E39,IF(情景分析!$D$6=4,IF($C39="银行间",$J39,$L39),$G39)))+V$2/100,情景分析!$D$7,"",,,,"",)*IF($H39="",1,$H39))</f>
        <v>12050.933481914111</v>
      </c>
      <c r="W39" s="7">
        <f ca="1">IF($A39="","",[2]!B_CALC_PRICE($A39,$V$1,IF(情景分析!$D$6=1,$J39,IF(情景分析!$D$6=2,$E39,IF(情景分析!$D$6=4,IF($C39="银行间",$J39,$L39),$G39)))+W$2/100,情景分析!$D$7,"",,,,"",)*IF($H39="",1,$H39))</f>
        <v>12064.26666906428</v>
      </c>
      <c r="X39" s="7">
        <f ca="1">IF($A39="","",[2]!B_CALC_PRICE($A39,$V$1,IF(情景分析!$D$6=1,$J39,IF(情景分析!$D$6=2,$E39,IF(情景分析!$D$6=4,IF($C39="银行间",$J39,$L39),$G39)))+X$2/100,情景分析!$D$7,"",,,,"",)*IF($H39="",1,$H39))</f>
        <v>12077.621218395436</v>
      </c>
      <c r="Y39" s="7">
        <f ca="1">IF($A39="","",[2]!B_CALC_PRICE($A39,$V$1,IF(情景分析!$D$6=1,$J39,IF(情景分析!$D$6=2,$E39,IF(情景分析!$D$6=4,IF($C39="银行间",$J39,$L39),$G39)))+Y$2/100,情景分析!$D$7,"",,,,"",)*IF($H39="",1,$H39))</f>
        <v>12104.39458279779</v>
      </c>
      <c r="Z39" s="7">
        <f ca="1">IF($A39="","",[2]!B_CALC_PRICE($A39,$V$1,IF(情景分析!$D$6=1,$J39,IF(情景分析!$D$6=2,$E39,IF(情景分析!$D$6=4,IF($C39="银行间",$J39,$L39),$G39)))+Z$2/100,情景分析!$D$7,"",,,,"",)*IF($H39="",1,$H39))</f>
        <v>12131.253934675804</v>
      </c>
      <c r="AA39" s="7">
        <f ca="1">IF($A39="","",[2]!B_CALC_PRICE($A39,$V$1,IF(情景分析!$D$6=1,$J39,IF(情景分析!$D$6=2,$E39,IF(情景分析!$D$6=4,IF($C39="银行间",$J39,$L39),$G39)))+AA$2/100,情景分析!$D$7,"",,,,"",)*IF($H39="",1,$H39))</f>
        <v>12144.71596878862</v>
      </c>
      <c r="AB39" s="7">
        <f ca="1">IF($A39="","",[2]!B_CALC_PRICE($A39,$V$1,IF(情景分析!$D$6=1,$J39,IF(情景分析!$D$6=2,$E39,IF(情景分析!$D$6=4,IF($C39="银行间",$J39,$L39),$G39)))+AB$2/100,情景分析!$D$7,"",,,,"",)*IF($H39="",1,$H39))</f>
        <v>12158.199635448966</v>
      </c>
      <c r="AC39" s="7">
        <f ca="1">IF($A39="","",[2]!B_CALC_PRICE($A39,$AC$1,IF(情景分析!$D$6=1,$J39,IF(情景分析!$D$6=2,$E39,IF(情景分析!$D$6=4,IF($C39="银行间",$J39,$L39),$G39)))+AC$2/100,情景分析!$D$7,"",,,,"",)*IF($H39="",1,$H39))</f>
        <v>12047.661502439716</v>
      </c>
      <c r="AD39" s="7">
        <f ca="1">IF($A39="","",[2]!B_CALC_PRICE($A39,$AC$1,IF(情景分析!$D$6=1,$J39,IF(情景分析!$D$6=2,$E39,IF(情景分析!$D$6=4,IF($C39="银行间",$J39,$L39),$G39)))+AD$2/100,情景分析!$D$7,"",,,,"",)*IF($H39="",1,$H39))</f>
        <v>12060.044642672316</v>
      </c>
      <c r="AE39" s="7">
        <f ca="1">IF($A39="","",[2]!B_CALC_PRICE($A39,$AC$1,IF(情景分析!$D$6=1,$J39,IF(情景分析!$D$6=2,$E39,IF(情景分析!$D$6=4,IF($C39="银行间",$J39,$L39),$G39)))+AE$2/100,情景分析!$D$7,"",,,,"",)*IF($H39="",1,$H39))</f>
        <v>12072.446639579959</v>
      </c>
      <c r="AF39" s="7">
        <f ca="1">IF($A39="","",[2]!B_CALC_PRICE($A39,$AC$1,IF(情景分析!$D$6=1,$J39,IF(情景分析!$D$6=2,$E39,IF(情景分析!$D$6=4,IF($C39="银行间",$J39,$L39),$G39)))+AF$2/100,情景分析!$D$7,"",,,,"",)*IF($H39="",1,$H39))</f>
        <v>12097.307355519742</v>
      </c>
      <c r="AG39" s="7">
        <f ca="1">IF($A39="","",[2]!B_CALC_PRICE($A39,$AC$1,IF(情景分析!$D$6=1,$J39,IF(情景分析!$D$6=2,$E39,IF(情景分析!$D$6=4,IF($C39="银行间",$J39,$L39),$G39)))+AG$2/100,情景分析!$D$7,"",,,,"",)*IF($H39="",1,$H39))</f>
        <v>12122.243955411974</v>
      </c>
      <c r="AH39" s="7">
        <f ca="1">IF($A39="","",[2]!B_CALC_PRICE($A39,$AC$1,IF(情景分析!$D$6=1,$J39,IF(情景分析!$D$6=2,$E39,IF(情景分析!$D$6=4,IF($C39="银行间",$J39,$L39),$G39)))+AH$2/100,情景分析!$D$7,"",,,,"",)*IF($H39="",1,$H39))</f>
        <v>12134.740807619497</v>
      </c>
      <c r="AI39" s="7">
        <f ca="1">IF($A39="","",[2]!B_CALC_PRICE($A39,$AC$1,IF(情景分析!$D$6=1,$J39,IF(情景分析!$D$6=2,$E39,IF(情景分析!$D$6=4,IF($C39="银行间",$J39,$L39),$G39)))+AI$2/100,情景分析!$D$7,"",,,,"",)*IF($H39="",1,$H39))</f>
        <v>12147.25674594265</v>
      </c>
      <c r="AJ39" s="7">
        <f ca="1">IF($A39="","",[2]!B_CALC_PRICE($A39,$AJ$1,IF(情景分析!$D$6=1,$J39,IF(情景分析!$D$6=2,$E39,IF(情景分析!$D$6=4,IF($C39="银行间",$J39,$L39),$G39)))+AJ$2/100,情景分析!$D$7,"",,,,"",)*IF($H39="",1,$H39))</f>
        <v>12047.661502439716</v>
      </c>
      <c r="AK39" s="7">
        <f ca="1">IF($A39="","",[2]!B_CALC_PRICE($A39,$AJ$1,IF(情景分析!$D$6=1,$J39,IF(情景分析!$D$6=2,$E39,IF(情景分析!$D$6=4,IF($C39="银行间",$J39,$L39),$G39)))+AK$2/100,情景分析!$D$7,"",,,,"",)*IF($H39="",1,$H39))</f>
        <v>12060.044642672316</v>
      </c>
      <c r="AL39" s="7">
        <f ca="1">IF($A39="","",[2]!B_CALC_PRICE($A39,$AJ$1,IF(情景分析!$D$6=1,$J39,IF(情景分析!$D$6=2,$E39,IF(情景分析!$D$6=4,IF($C39="银行间",$J39,$L39),$G39)))+AL$2/100,情景分析!$D$7,"",,,,"",)*IF($H39="",1,$H39))</f>
        <v>12072.446639579959</v>
      </c>
      <c r="AM39" s="7">
        <f ca="1">IF($A39="","",[2]!B_CALC_PRICE($A39,$AJ$1,IF(情景分析!$D$6=1,$J39,IF(情景分析!$D$6=2,$E39,IF(情景分析!$D$6=4,IF($C39="银行间",$J39,$L39),$G39)))+AM$2/100,情景分析!$D$7,"",,,,"",)*IF($H39="",1,$H39))</f>
        <v>12097.307355519742</v>
      </c>
      <c r="AN39" s="7">
        <f ca="1">IF($A39="","",[2]!B_CALC_PRICE($A39,$AJ$1,IF(情景分析!$D$6=1,$J39,IF(情景分析!$D$6=2,$E39,IF(情景分析!$D$6=4,IF($C39="银行间",$J39,$L39),$G39)))+AN$2/100,情景分析!$D$7,"",,,,"",)*IF($H39="",1,$H39))</f>
        <v>12122.243955411974</v>
      </c>
      <c r="AO39" s="7">
        <f ca="1">IF($A39="","",[2]!B_CALC_PRICE($A39,$AJ$1,IF(情景分析!$D$6=1,$J39,IF(情景分析!$D$6=2,$E39,IF(情景分析!$D$6=4,IF($C39="银行间",$J39,$L39),$G39)))+AO$2/100,情景分析!$D$7,"",,,,"",)*IF($H39="",1,$H39))</f>
        <v>12134.740807619497</v>
      </c>
      <c r="AP39" s="7">
        <f ca="1">IF($A39="","",[2]!B_CALC_PRICE($A39,$AJ$1,IF(情景分析!$D$6=1,$J39,IF(情景分析!$D$6=2,$E39,IF(情景分析!$D$6=4,IF($C39="银行间",$J39,$L39),$G39)))+AP$2/100,情景分析!$D$7,"",,,,"",)*IF($H39="",1,$H39))</f>
        <v>12147.25674594265</v>
      </c>
      <c r="AQ39" s="7">
        <f ca="1">IF($A39="","",[2]!B_CALC_PRICE($A39,$AQ$1,IF(情景分析!$D$6=1,$J39,IF(情景分析!$D$6=2,$E39,IF(情景分析!$D$6=4,IF($C39="银行间",$J39,$L39),$G39)))+AQ$2/100,情景分析!$D$7,"",,,,"",)*IF($H39="",1,$H39))</f>
        <v>12030.608886178148</v>
      </c>
      <c r="AR39" s="7">
        <f ca="1">IF($A39="","",[2]!B_CALC_PRICE($A39,$AQ$1,IF(情景分析!$D$6=1,$J39,IF(情景分析!$D$6=2,$E39,IF(情景分析!$D$6=4,IF($C39="银行间",$J39,$L39),$G39)))+AR$2/100,情景分析!$D$7,"",,,,"",)*IF($H39="",1,$H39))</f>
        <v>12038.739059881285</v>
      </c>
      <c r="AS39" s="7">
        <f ca="1">IF($A39="","",[2]!B_CALC_PRICE($A39,$AQ$1,IF(情景分析!$D$6=1,$J39,IF(情景分析!$D$6=2,$E39,IF(情景分析!$D$6=4,IF($C39="银行间",$J39,$L39),$G39)))+AS$2/100,情景分析!$D$7,"",,,,"",)*IF($H39="",1,$H39))</f>
        <v>12046.878684220055</v>
      </c>
      <c r="AT39" s="7">
        <f ca="1">IF($A39="","",[2]!B_CALC_PRICE($A39,$AQ$1,IF(情景分析!$D$6=1,$J39,IF(情景分析!$D$6=2,$E39,IF(情景分析!$D$6=4,IF($C39="银行间",$J39,$L39),$G39)))+AT$2/100,情景分析!$D$7,"",,,,"",)*IF($H39="",1,$H39))</f>
        <v>12063.186347321145</v>
      </c>
      <c r="AU39" s="7">
        <f ca="1">IF($A39="","",[2]!B_CALC_PRICE($A39,$AQ$1,IF(情景分析!$D$6=1,$J39,IF(情景分析!$D$6=2,$E39,IF(情景分析!$D$6=4,IF($C39="银行间",$J39,$L39),$G39)))+AU$2/100,情景分析!$D$7,"",,,,"",)*IF($H39="",1,$H39))</f>
        <v>12079.532000849955</v>
      </c>
      <c r="AV39" s="7">
        <f ca="1">IF($A39="","",[2]!B_CALC_PRICE($A39,$AQ$1,IF(情景分析!$D$6=1,$J39,IF(情景分析!$D$6=2,$E39,IF(情景分析!$D$6=4,IF($C39="银行间",$J39,$L39),$G39)))+AV$2/100,情景分析!$D$7,"",,,,"",)*IF($H39="",1,$H39))</f>
        <v>12087.719113349576</v>
      </c>
      <c r="AW39" s="7">
        <f ca="1">IF($A39="","",[2]!B_CALC_PRICE($A39,$AQ$1,IF(情景分析!$D$6=1,$J39,IF(情景分析!$D$6=2,$E39,IF(情景分析!$D$6=4,IF($C39="银行间",$J39,$L39),$G39)))+AW$2/100,情景分析!$D$7,"",,,,"",)*IF($H39="",1,$H39))</f>
        <v>12095.915770713455</v>
      </c>
    </row>
    <row r="40" spans="1:49" x14ac:dyDescent="0.15">
      <c r="A40" s="20"/>
      <c r="B40" s="7" t="str">
        <f>IF(A40="","",[2]!b_info_name(A40))</f>
        <v/>
      </c>
      <c r="C40" s="7" t="str">
        <f>[2]!b_info_listedmkt(A40)</f>
        <v>#N/A</v>
      </c>
      <c r="D40" s="7" t="str">
        <f>IFERROR(IF(A40="","", [2]!b_dq_avgprice(A40, 情景分析!$D$5, 情景分析!$D$7) * IF($H40="",1,$H40)),0)</f>
        <v/>
      </c>
      <c r="E40" s="7" t="str">
        <f>IF(A40="","", N([2]!b_dq_avgprice(A40,情景分析!$D$5,3)))</f>
        <v/>
      </c>
      <c r="F40" s="29" t="str">
        <f>IF($G40 = "",
"",
IFERROR(
[2]!b_calc_pv(A40, 情景分析!$D$5,$G40, "1", 情景分析!$D$7),
[2]!b_calc_pv(A40, 情景分析!$D$5,$G40, "2", 情景分析!$D$7)
)
)</f>
        <v/>
      </c>
      <c r="G40" s="22"/>
      <c r="H40" s="21"/>
      <c r="I40" s="7" t="str">
        <f>IF(A40="","",IF(情景分析!$D$7=1,[2]!b_anal_net_cnbd(A40,情景分析!$D$5,1),[2]!b_anal_dirty_cnbd(A40,情景分析!$D$5,1))*IF($H40="",1,$H40))</f>
        <v/>
      </c>
      <c r="J40" s="7" t="str">
        <f>IF(A40="","",[2]!b_anal_yield_cnbd(A40,情景分析!$D$5,1))</f>
        <v/>
      </c>
      <c r="K40" s="29" t="str">
        <f>IF(A40="","",IF(情景分析!$D$7=1,[2]!b_anal_net_csi1(A40,情景分析!$D$5,1),[2]!b_anal_dirty_csi1(A40,情景分析!$D$5,1))*IF($H40="",1,$H40))</f>
        <v/>
      </c>
      <c r="L40" s="29" t="str">
        <f>IF(A40="","",[2]!b_anal_yield_csi1(A40,情景分析!$D$5,1))</f>
        <v/>
      </c>
      <c r="M40" s="29" t="str">
        <f t="shared" ref="M40:M64" si="6">IF($C40="银行间",$I40,$K40)</f>
        <v/>
      </c>
      <c r="N40" s="29" t="str">
        <f t="shared" ref="N40:N64" si="7">IF($C40="银行间",$J40,$L40)</f>
        <v/>
      </c>
      <c r="O40" s="7" t="str">
        <f>IF($A40="","",[2]!B_CALC_PRICE($A40,$O$1,IF(情景分析!$D$6=1,$J40,IF(情景分析!$D$6=2,$E40,IF(情景分析!$D$6=4,IF($C40="银行间",$J40,$L40),$G40)))+O$2/100,情景分析!$D$7,"",,,,"",)*IF($H40="",1,$H40))</f>
        <v/>
      </c>
      <c r="P40" s="7" t="str">
        <f>IF($A40="","",[2]!B_CALC_PRICE($A40,$O$1,IF(情景分析!$D$6=1,$J40,IF(情景分析!$D$6=2,$E40,IF(情景分析!$D$6=4,IF($C40="银行间",$J40,$L40),$G40)))+P$2/100,情景分析!$D$7,"",,,,"",)*IF($H40="",1,$H40))</f>
        <v/>
      </c>
      <c r="Q40" s="7" t="str">
        <f>IF($A40="","",[2]!B_CALC_PRICE($A40,$O$1,IF(情景分析!$D$6=1,$J40,IF(情景分析!$D$6=2,$E40,IF(情景分析!$D$6=4,IF($C40="银行间",$J40,$L40),$G40)))+Q$2/100,情景分析!$D$7,"",,,,"",)*IF($H40="",1,$H40))</f>
        <v/>
      </c>
      <c r="R40" s="7" t="str">
        <f>IF($A40="","",[2]!B_CALC_PRICE($A40,$O$1,IF(情景分析!$D$6=1,$J40,IF(情景分析!$D$6=2,$E40,IF(情景分析!$D$6=4,IF($C40="银行间",$J40,$L40),$G40)))+R$2/100,情景分析!$D$7,"",,,,"",)*IF($H40="",1,$H40))</f>
        <v/>
      </c>
      <c r="S40" s="7" t="str">
        <f>IF($A40="","",[2]!B_CALC_PRICE($A40,$O$1,IF(情景分析!$D$6=1,$J40,IF(情景分析!$D$6=2,$E40,IF(情景分析!$D$6=4,IF($C40="银行间",$J40,$L40),$G40)))+S$2/100,情景分析!$D$7,"",,,,"",)*IF($H40="",1,$H40))</f>
        <v/>
      </c>
      <c r="T40" s="7" t="str">
        <f>IF($A40="","",[2]!B_CALC_PRICE($A40,$O$1,IF(情景分析!$D$6=1,$J40,IF(情景分析!$D$6=2,$E40,IF(情景分析!$D$6=4,IF($C40="银行间",$J40,$L40),$G40)))+T$2/100,情景分析!$D$7,"",,,,"",)*IF($H40="",1,$H40))</f>
        <v/>
      </c>
      <c r="U40" s="7" t="str">
        <f>IF($A40="","",[2]!B_CALC_PRICE($A40,$O$1,IF(情景分析!$D$6=1,$J40,IF(情景分析!$D$6=2,$E40,IF(情景分析!$D$6=4,IF($C40="银行间",$J40,$L40),$G40)))+U$2/100,情景分析!$D$7,"",,,,"",)*IF($H40="",1,$H40))</f>
        <v/>
      </c>
      <c r="V40" s="7" t="str">
        <f>IF($A40="","",[2]!B_CALC_PRICE($A40,$V$1,IF(情景分析!$D$6=1,$J40,IF(情景分析!$D$6=2,$E40,IF(情景分析!$D$6=4,IF($C40="银行间",$J40,$L40),$G40)))+V$2/100,情景分析!$D$7,"",,,,"",)*IF($H40="",1,$H40))</f>
        <v/>
      </c>
      <c r="W40" s="7" t="str">
        <f>IF($A40="","",[2]!B_CALC_PRICE($A40,$V$1,IF(情景分析!$D$6=1,$J40,IF(情景分析!$D$6=2,$E40,IF(情景分析!$D$6=4,IF($C40="银行间",$J40,$L40),$G40)))+W$2/100,情景分析!$D$7,"",,,,"",)*IF($H40="",1,$H40))</f>
        <v/>
      </c>
      <c r="X40" s="7" t="str">
        <f>IF($A40="","",[2]!B_CALC_PRICE($A40,$V$1,IF(情景分析!$D$6=1,$J40,IF(情景分析!$D$6=2,$E40,IF(情景分析!$D$6=4,IF($C40="银行间",$J40,$L40),$G40)))+X$2/100,情景分析!$D$7,"",,,,"",)*IF($H40="",1,$H40))</f>
        <v/>
      </c>
      <c r="Y40" s="7" t="str">
        <f>IF($A40="","",[2]!B_CALC_PRICE($A40,$V$1,IF(情景分析!$D$6=1,$J40,IF(情景分析!$D$6=2,$E40,IF(情景分析!$D$6=4,IF($C40="银行间",$J40,$L40),$G40)))+Y$2/100,情景分析!$D$7,"",,,,"",)*IF($H40="",1,$H40))</f>
        <v/>
      </c>
      <c r="Z40" s="7" t="str">
        <f>IF($A40="","",[2]!B_CALC_PRICE($A40,$V$1,IF(情景分析!$D$6=1,$J40,IF(情景分析!$D$6=2,$E40,IF(情景分析!$D$6=4,IF($C40="银行间",$J40,$L40),$G40)))+Z$2/100,情景分析!$D$7,"",,,,"",)*IF($H40="",1,$H40))</f>
        <v/>
      </c>
      <c r="AA40" s="7" t="str">
        <f>IF($A40="","",[2]!B_CALC_PRICE($A40,$V$1,IF(情景分析!$D$6=1,$J40,IF(情景分析!$D$6=2,$E40,IF(情景分析!$D$6=4,IF($C40="银行间",$J40,$L40),$G40)))+AA$2/100,情景分析!$D$7,"",,,,"",)*IF($H40="",1,$H40))</f>
        <v/>
      </c>
      <c r="AB40" s="7" t="str">
        <f>IF($A40="","",[2]!B_CALC_PRICE($A40,$V$1,IF(情景分析!$D$6=1,$J40,IF(情景分析!$D$6=2,$E40,IF(情景分析!$D$6=4,IF($C40="银行间",$J40,$L40),$G40)))+AB$2/100,情景分析!$D$7,"",,,,"",)*IF($H40="",1,$H40))</f>
        <v/>
      </c>
      <c r="AC40" s="7" t="str">
        <f>IF($A40="","",[2]!B_CALC_PRICE($A40,$AC$1,IF(情景分析!$D$6=1,$J40,IF(情景分析!$D$6=2,$E40,IF(情景分析!$D$6=4,IF($C40="银行间",$J40,$L40),$G40)))+AC$2/100,情景分析!$D$7,"",,,,"",)*IF($H40="",1,$H40))</f>
        <v/>
      </c>
      <c r="AD40" s="7" t="str">
        <f>IF($A40="","",[2]!B_CALC_PRICE($A40,$AC$1,IF(情景分析!$D$6=1,$J40,IF(情景分析!$D$6=2,$E40,IF(情景分析!$D$6=4,IF($C40="银行间",$J40,$L40),$G40)))+AD$2/100,情景分析!$D$7,"",,,,"",)*IF($H40="",1,$H40))</f>
        <v/>
      </c>
      <c r="AE40" s="7" t="str">
        <f>IF($A40="","",[2]!B_CALC_PRICE($A40,$AC$1,IF(情景分析!$D$6=1,$J40,IF(情景分析!$D$6=2,$E40,IF(情景分析!$D$6=4,IF($C40="银行间",$J40,$L40),$G40)))+AE$2/100,情景分析!$D$7,"",,,,"",)*IF($H40="",1,$H40))</f>
        <v/>
      </c>
      <c r="AF40" s="7" t="str">
        <f>IF($A40="","",[2]!B_CALC_PRICE($A40,$AC$1,IF(情景分析!$D$6=1,$J40,IF(情景分析!$D$6=2,$E40,IF(情景分析!$D$6=4,IF($C40="银行间",$J40,$L40),$G40)))+AF$2/100,情景分析!$D$7,"",,,,"",)*IF($H40="",1,$H40))</f>
        <v/>
      </c>
      <c r="AG40" s="7" t="str">
        <f>IF($A40="","",[2]!B_CALC_PRICE($A40,$AC$1,IF(情景分析!$D$6=1,$J40,IF(情景分析!$D$6=2,$E40,IF(情景分析!$D$6=4,IF($C40="银行间",$J40,$L40),$G40)))+AG$2/100,情景分析!$D$7,"",,,,"",)*IF($H40="",1,$H40))</f>
        <v/>
      </c>
      <c r="AH40" s="7" t="str">
        <f>IF($A40="","",[2]!B_CALC_PRICE($A40,$AC$1,IF(情景分析!$D$6=1,$J40,IF(情景分析!$D$6=2,$E40,IF(情景分析!$D$6=4,IF($C40="银行间",$J40,$L40),$G40)))+AH$2/100,情景分析!$D$7,"",,,,"",)*IF($H40="",1,$H40))</f>
        <v/>
      </c>
      <c r="AI40" s="7" t="str">
        <f>IF($A40="","",[2]!B_CALC_PRICE($A40,$AC$1,IF(情景分析!$D$6=1,$J40,IF(情景分析!$D$6=2,$E40,IF(情景分析!$D$6=4,IF($C40="银行间",$J40,$L40),$G40)))+AI$2/100,情景分析!$D$7,"",,,,"",)*IF($H40="",1,$H40))</f>
        <v/>
      </c>
      <c r="AJ40" s="7" t="str">
        <f>IF($A40="","",[2]!B_CALC_PRICE($A40,$AJ$1,IF(情景分析!$D$6=1,$J40,IF(情景分析!$D$6=2,$E40,IF(情景分析!$D$6=4,IF($C40="银行间",$J40,$L40),$G40)))+AJ$2/100,情景分析!$D$7,"",,,,"",)*IF($H40="",1,$H40))</f>
        <v/>
      </c>
      <c r="AK40" s="7" t="str">
        <f>IF($A40="","",[2]!B_CALC_PRICE($A40,$AJ$1,IF(情景分析!$D$6=1,$J40,IF(情景分析!$D$6=2,$E40,IF(情景分析!$D$6=4,IF($C40="银行间",$J40,$L40),$G40)))+AK$2/100,情景分析!$D$7,"",,,,"",)*IF($H40="",1,$H40))</f>
        <v/>
      </c>
      <c r="AL40" s="7" t="str">
        <f>IF($A40="","",[2]!B_CALC_PRICE($A40,$AJ$1,IF(情景分析!$D$6=1,$J40,IF(情景分析!$D$6=2,$E40,IF(情景分析!$D$6=4,IF($C40="银行间",$J40,$L40),$G40)))+AL$2/100,情景分析!$D$7,"",,,,"",)*IF($H40="",1,$H40))</f>
        <v/>
      </c>
      <c r="AM40" s="7" t="str">
        <f>IF($A40="","",[2]!B_CALC_PRICE($A40,$AJ$1,IF(情景分析!$D$6=1,$J40,IF(情景分析!$D$6=2,$E40,IF(情景分析!$D$6=4,IF($C40="银行间",$J40,$L40),$G40)))+AM$2/100,情景分析!$D$7,"",,,,"",)*IF($H40="",1,$H40))</f>
        <v/>
      </c>
      <c r="AN40" s="7" t="str">
        <f>IF($A40="","",[2]!B_CALC_PRICE($A40,$AJ$1,IF(情景分析!$D$6=1,$J40,IF(情景分析!$D$6=2,$E40,IF(情景分析!$D$6=4,IF($C40="银行间",$J40,$L40),$G40)))+AN$2/100,情景分析!$D$7,"",,,,"",)*IF($H40="",1,$H40))</f>
        <v/>
      </c>
      <c r="AO40" s="7" t="str">
        <f>IF($A40="","",[2]!B_CALC_PRICE($A40,$AJ$1,IF(情景分析!$D$6=1,$J40,IF(情景分析!$D$6=2,$E40,IF(情景分析!$D$6=4,IF($C40="银行间",$J40,$L40),$G40)))+AO$2/100,情景分析!$D$7,"",,,,"",)*IF($H40="",1,$H40))</f>
        <v/>
      </c>
      <c r="AP40" s="7" t="str">
        <f>IF($A40="","",[2]!B_CALC_PRICE($A40,$AJ$1,IF(情景分析!$D$6=1,$J40,IF(情景分析!$D$6=2,$E40,IF(情景分析!$D$6=4,IF($C40="银行间",$J40,$L40),$G40)))+AP$2/100,情景分析!$D$7,"",,,,"",)*IF($H40="",1,$H40))</f>
        <v/>
      </c>
      <c r="AQ40" s="7" t="str">
        <f>IF($A40="","",[2]!B_CALC_PRICE($A40,$AQ$1,IF(情景分析!$D$6=1,$J40,IF(情景分析!$D$6=2,$E40,IF(情景分析!$D$6=4,IF($C40="银行间",$J40,$L40),$G40)))+AQ$2/100,情景分析!$D$7,"",,,,"",)*IF($H40="",1,$H40))</f>
        <v/>
      </c>
      <c r="AR40" s="7" t="str">
        <f>IF($A40="","",[2]!B_CALC_PRICE($A40,$AQ$1,IF(情景分析!$D$6=1,$J40,IF(情景分析!$D$6=2,$E40,IF(情景分析!$D$6=4,IF($C40="银行间",$J40,$L40),$G40)))+AR$2/100,情景分析!$D$7,"",,,,"",)*IF($H40="",1,$H40))</f>
        <v/>
      </c>
      <c r="AS40" s="7" t="str">
        <f>IF($A40="","",[2]!B_CALC_PRICE($A40,$AQ$1,IF(情景分析!$D$6=1,$J40,IF(情景分析!$D$6=2,$E40,IF(情景分析!$D$6=4,IF($C40="银行间",$J40,$L40),$G40)))+AS$2/100,情景分析!$D$7,"",,,,"",)*IF($H40="",1,$H40))</f>
        <v/>
      </c>
      <c r="AT40" s="7" t="str">
        <f>IF($A40="","",[2]!B_CALC_PRICE($A40,$AQ$1,IF(情景分析!$D$6=1,$J40,IF(情景分析!$D$6=2,$E40,IF(情景分析!$D$6=4,IF($C40="银行间",$J40,$L40),$G40)))+AT$2/100,情景分析!$D$7,"",,,,"",)*IF($H40="",1,$H40))</f>
        <v/>
      </c>
      <c r="AU40" s="7" t="str">
        <f>IF($A40="","",[2]!B_CALC_PRICE($A40,$AQ$1,IF(情景分析!$D$6=1,$J40,IF(情景分析!$D$6=2,$E40,IF(情景分析!$D$6=4,IF($C40="银行间",$J40,$L40),$G40)))+AU$2/100,情景分析!$D$7,"",,,,"",)*IF($H40="",1,$H40))</f>
        <v/>
      </c>
      <c r="AV40" s="7" t="str">
        <f>IF($A40="","",[2]!B_CALC_PRICE($A40,$AQ$1,IF(情景分析!$D$6=1,$J40,IF(情景分析!$D$6=2,$E40,IF(情景分析!$D$6=4,IF($C40="银行间",$J40,$L40),$G40)))+AV$2/100,情景分析!$D$7,"",,,,"",)*IF($H40="",1,$H40))</f>
        <v/>
      </c>
      <c r="AW40" s="7" t="str">
        <f>IF($A40="","",[2]!B_CALC_PRICE($A40,$AQ$1,IF(情景分析!$D$6=1,$J40,IF(情景分析!$D$6=2,$E40,IF(情景分析!$D$6=4,IF($C40="银行间",$J40,$L40),$G40)))+AW$2/100,情景分析!$D$7,"",,,,"",)*IF($H40="",1,$H40))</f>
        <v/>
      </c>
    </row>
    <row r="41" spans="1:49" x14ac:dyDescent="0.15">
      <c r="A41" s="20"/>
      <c r="B41" s="7" t="str">
        <f>IF(A41="","",[2]!b_info_name(A41))</f>
        <v/>
      </c>
      <c r="C41" s="7" t="str">
        <f>[2]!b_info_listedmkt(A41)</f>
        <v>#N/A</v>
      </c>
      <c r="D41" s="7" t="str">
        <f>IFERROR(IF(A41="","", [2]!b_dq_avgprice(A41, 情景分析!$D$5, 情景分析!$D$7) * IF($H41="",1,$H41)),0)</f>
        <v/>
      </c>
      <c r="E41" s="7" t="str">
        <f>IF(A41="","", N([2]!b_dq_avgprice(A41,情景分析!$D$5,3)))</f>
        <v/>
      </c>
      <c r="F41" s="29" t="str">
        <f>IF($G41 = "",
"",
IFERROR(
[2]!b_calc_pv(A41, 情景分析!$D$5,$G41, "1", 情景分析!$D$7),
[2]!b_calc_pv(A41, 情景分析!$D$5,$G41, "2", 情景分析!$D$7)
)
)</f>
        <v/>
      </c>
      <c r="G41" s="22"/>
      <c r="H41" s="21"/>
      <c r="I41" s="7" t="str">
        <f>IF(A41="","",IF(情景分析!$D$7=1,[2]!b_anal_net_cnbd(A41,情景分析!$D$5,1),[2]!b_anal_dirty_cnbd(A41,情景分析!$D$5,1))*IF($H41="",1,$H41))</f>
        <v/>
      </c>
      <c r="J41" s="7" t="str">
        <f>IF(A41="","",[2]!b_anal_yield_cnbd(A41,情景分析!$D$5,1))</f>
        <v/>
      </c>
      <c r="K41" s="29" t="str">
        <f>IF(A41="","",IF(情景分析!$D$7=1,[2]!b_anal_net_csi1(A41,情景分析!$D$5,1),[2]!b_anal_dirty_csi1(A41,情景分析!$D$5,1))*IF($H41="",1,$H41))</f>
        <v/>
      </c>
      <c r="L41" s="29" t="str">
        <f>IF(A41="","",[2]!b_anal_yield_csi1(A41,情景分析!$D$5,1))</f>
        <v/>
      </c>
      <c r="M41" s="29" t="str">
        <f t="shared" si="6"/>
        <v/>
      </c>
      <c r="N41" s="29" t="str">
        <f t="shared" si="7"/>
        <v/>
      </c>
      <c r="O41" s="7" t="str">
        <f>IF($A41="","",[2]!B_CALC_PRICE($A41,$O$1,IF(情景分析!$D$6=1,$J41,IF(情景分析!$D$6=2,$E41,IF(情景分析!$D$6=4,IF($C41="银行间",$J41,$L41),$G41)))+O$2/100,情景分析!$D$7,"",,,,"",)*IF($H41="",1,$H41))</f>
        <v/>
      </c>
      <c r="P41" s="7" t="str">
        <f>IF($A41="","",[2]!B_CALC_PRICE($A41,$O$1,IF(情景分析!$D$6=1,$J41,IF(情景分析!$D$6=2,$E41,IF(情景分析!$D$6=4,IF($C41="银行间",$J41,$L41),$G41)))+P$2/100,情景分析!$D$7,"",,,,"",)*IF($H41="",1,$H41))</f>
        <v/>
      </c>
      <c r="Q41" s="7" t="str">
        <f>IF($A41="","",[2]!B_CALC_PRICE($A41,$O$1,IF(情景分析!$D$6=1,$J41,IF(情景分析!$D$6=2,$E41,IF(情景分析!$D$6=4,IF($C41="银行间",$J41,$L41),$G41)))+Q$2/100,情景分析!$D$7,"",,,,"",)*IF($H41="",1,$H41))</f>
        <v/>
      </c>
      <c r="R41" s="7" t="str">
        <f>IF($A41="","",[2]!B_CALC_PRICE($A41,$O$1,IF(情景分析!$D$6=1,$J41,IF(情景分析!$D$6=2,$E41,IF(情景分析!$D$6=4,IF($C41="银行间",$J41,$L41),$G41)))+R$2/100,情景分析!$D$7,"",,,,"",)*IF($H41="",1,$H41))</f>
        <v/>
      </c>
      <c r="S41" s="7" t="str">
        <f>IF($A41="","",[2]!B_CALC_PRICE($A41,$O$1,IF(情景分析!$D$6=1,$J41,IF(情景分析!$D$6=2,$E41,IF(情景分析!$D$6=4,IF($C41="银行间",$J41,$L41),$G41)))+S$2/100,情景分析!$D$7,"",,,,"",)*IF($H41="",1,$H41))</f>
        <v/>
      </c>
      <c r="T41" s="7" t="str">
        <f>IF($A41="","",[2]!B_CALC_PRICE($A41,$O$1,IF(情景分析!$D$6=1,$J41,IF(情景分析!$D$6=2,$E41,IF(情景分析!$D$6=4,IF($C41="银行间",$J41,$L41),$G41)))+T$2/100,情景分析!$D$7,"",,,,"",)*IF($H41="",1,$H41))</f>
        <v/>
      </c>
      <c r="U41" s="7" t="str">
        <f>IF($A41="","",[2]!B_CALC_PRICE($A41,$O$1,IF(情景分析!$D$6=1,$J41,IF(情景分析!$D$6=2,$E41,IF(情景分析!$D$6=4,IF($C41="银行间",$J41,$L41),$G41)))+U$2/100,情景分析!$D$7,"",,,,"",)*IF($H41="",1,$H41))</f>
        <v/>
      </c>
      <c r="V41" s="7" t="str">
        <f>IF($A41="","",[2]!B_CALC_PRICE($A41,$V$1,IF(情景分析!$D$6=1,$J41,IF(情景分析!$D$6=2,$E41,IF(情景分析!$D$6=4,IF($C41="银行间",$J41,$L41),$G41)))+V$2/100,情景分析!$D$7,"",,,,"",)*IF($H41="",1,$H41))</f>
        <v/>
      </c>
      <c r="W41" s="7" t="str">
        <f>IF($A41="","",[2]!B_CALC_PRICE($A41,$V$1,IF(情景分析!$D$6=1,$J41,IF(情景分析!$D$6=2,$E41,IF(情景分析!$D$6=4,IF($C41="银行间",$J41,$L41),$G41)))+W$2/100,情景分析!$D$7,"",,,,"",)*IF($H41="",1,$H41))</f>
        <v/>
      </c>
      <c r="X41" s="7" t="str">
        <f>IF($A41="","",[2]!B_CALC_PRICE($A41,$V$1,IF(情景分析!$D$6=1,$J41,IF(情景分析!$D$6=2,$E41,IF(情景分析!$D$6=4,IF($C41="银行间",$J41,$L41),$G41)))+X$2/100,情景分析!$D$7,"",,,,"",)*IF($H41="",1,$H41))</f>
        <v/>
      </c>
      <c r="Y41" s="7" t="str">
        <f>IF($A41="","",[2]!B_CALC_PRICE($A41,$V$1,IF(情景分析!$D$6=1,$J41,IF(情景分析!$D$6=2,$E41,IF(情景分析!$D$6=4,IF($C41="银行间",$J41,$L41),$G41)))+Y$2/100,情景分析!$D$7,"",,,,"",)*IF($H41="",1,$H41))</f>
        <v/>
      </c>
      <c r="Z41" s="7" t="str">
        <f>IF($A41="","",[2]!B_CALC_PRICE($A41,$V$1,IF(情景分析!$D$6=1,$J41,IF(情景分析!$D$6=2,$E41,IF(情景分析!$D$6=4,IF($C41="银行间",$J41,$L41),$G41)))+Z$2/100,情景分析!$D$7,"",,,,"",)*IF($H41="",1,$H41))</f>
        <v/>
      </c>
      <c r="AA41" s="7" t="str">
        <f>IF($A41="","",[2]!B_CALC_PRICE($A41,$V$1,IF(情景分析!$D$6=1,$J41,IF(情景分析!$D$6=2,$E41,IF(情景分析!$D$6=4,IF($C41="银行间",$J41,$L41),$G41)))+AA$2/100,情景分析!$D$7,"",,,,"",)*IF($H41="",1,$H41))</f>
        <v/>
      </c>
      <c r="AB41" s="7" t="str">
        <f>IF($A41="","",[2]!B_CALC_PRICE($A41,$V$1,IF(情景分析!$D$6=1,$J41,IF(情景分析!$D$6=2,$E41,IF(情景分析!$D$6=4,IF($C41="银行间",$J41,$L41),$G41)))+AB$2/100,情景分析!$D$7,"",,,,"",)*IF($H41="",1,$H41))</f>
        <v/>
      </c>
      <c r="AC41" s="7" t="str">
        <f>IF($A41="","",[2]!B_CALC_PRICE($A41,$AC$1,IF(情景分析!$D$6=1,$J41,IF(情景分析!$D$6=2,$E41,IF(情景分析!$D$6=4,IF($C41="银行间",$J41,$L41),$G41)))+AC$2/100,情景分析!$D$7,"",,,,"",)*IF($H41="",1,$H41))</f>
        <v/>
      </c>
      <c r="AD41" s="7" t="str">
        <f>IF($A41="","",[2]!B_CALC_PRICE($A41,$AC$1,IF(情景分析!$D$6=1,$J41,IF(情景分析!$D$6=2,$E41,IF(情景分析!$D$6=4,IF($C41="银行间",$J41,$L41),$G41)))+AD$2/100,情景分析!$D$7,"",,,,"",)*IF($H41="",1,$H41))</f>
        <v/>
      </c>
      <c r="AE41" s="7" t="str">
        <f>IF($A41="","",[2]!B_CALC_PRICE($A41,$AC$1,IF(情景分析!$D$6=1,$J41,IF(情景分析!$D$6=2,$E41,IF(情景分析!$D$6=4,IF($C41="银行间",$J41,$L41),$G41)))+AE$2/100,情景分析!$D$7,"",,,,"",)*IF($H41="",1,$H41))</f>
        <v/>
      </c>
      <c r="AF41" s="7" t="str">
        <f>IF($A41="","",[2]!B_CALC_PRICE($A41,$AC$1,IF(情景分析!$D$6=1,$J41,IF(情景分析!$D$6=2,$E41,IF(情景分析!$D$6=4,IF($C41="银行间",$J41,$L41),$G41)))+AF$2/100,情景分析!$D$7,"",,,,"",)*IF($H41="",1,$H41))</f>
        <v/>
      </c>
      <c r="AG41" s="7" t="str">
        <f>IF($A41="","",[2]!B_CALC_PRICE($A41,$AC$1,IF(情景分析!$D$6=1,$J41,IF(情景分析!$D$6=2,$E41,IF(情景分析!$D$6=4,IF($C41="银行间",$J41,$L41),$G41)))+AG$2/100,情景分析!$D$7,"",,,,"",)*IF($H41="",1,$H41))</f>
        <v/>
      </c>
      <c r="AH41" s="7" t="str">
        <f>IF($A41="","",[2]!B_CALC_PRICE($A41,$AC$1,IF(情景分析!$D$6=1,$J41,IF(情景分析!$D$6=2,$E41,IF(情景分析!$D$6=4,IF($C41="银行间",$J41,$L41),$G41)))+AH$2/100,情景分析!$D$7,"",,,,"",)*IF($H41="",1,$H41))</f>
        <v/>
      </c>
      <c r="AI41" s="7" t="str">
        <f>IF($A41="","",[2]!B_CALC_PRICE($A41,$AC$1,IF(情景分析!$D$6=1,$J41,IF(情景分析!$D$6=2,$E41,IF(情景分析!$D$6=4,IF($C41="银行间",$J41,$L41),$G41)))+AI$2/100,情景分析!$D$7,"",,,,"",)*IF($H41="",1,$H41))</f>
        <v/>
      </c>
      <c r="AJ41" s="7" t="str">
        <f>IF($A41="","",[2]!B_CALC_PRICE($A41,$AJ$1,IF(情景分析!$D$6=1,$J41,IF(情景分析!$D$6=2,$E41,IF(情景分析!$D$6=4,IF($C41="银行间",$J41,$L41),$G41)))+AJ$2/100,情景分析!$D$7,"",,,,"",)*IF($H41="",1,$H41))</f>
        <v/>
      </c>
      <c r="AK41" s="7" t="str">
        <f>IF($A41="","",[2]!B_CALC_PRICE($A41,$AJ$1,IF(情景分析!$D$6=1,$J41,IF(情景分析!$D$6=2,$E41,IF(情景分析!$D$6=4,IF($C41="银行间",$J41,$L41),$G41)))+AK$2/100,情景分析!$D$7,"",,,,"",)*IF($H41="",1,$H41))</f>
        <v/>
      </c>
      <c r="AL41" s="7" t="str">
        <f>IF($A41="","",[2]!B_CALC_PRICE($A41,$AJ$1,IF(情景分析!$D$6=1,$J41,IF(情景分析!$D$6=2,$E41,IF(情景分析!$D$6=4,IF($C41="银行间",$J41,$L41),$G41)))+AL$2/100,情景分析!$D$7,"",,,,"",)*IF($H41="",1,$H41))</f>
        <v/>
      </c>
      <c r="AM41" s="7" t="str">
        <f>IF($A41="","",[2]!B_CALC_PRICE($A41,$AJ$1,IF(情景分析!$D$6=1,$J41,IF(情景分析!$D$6=2,$E41,IF(情景分析!$D$6=4,IF($C41="银行间",$J41,$L41),$G41)))+AM$2/100,情景分析!$D$7,"",,,,"",)*IF($H41="",1,$H41))</f>
        <v/>
      </c>
      <c r="AN41" s="7" t="str">
        <f>IF($A41="","",[2]!B_CALC_PRICE($A41,$AJ$1,IF(情景分析!$D$6=1,$J41,IF(情景分析!$D$6=2,$E41,IF(情景分析!$D$6=4,IF($C41="银行间",$J41,$L41),$G41)))+AN$2/100,情景分析!$D$7,"",,,,"",)*IF($H41="",1,$H41))</f>
        <v/>
      </c>
      <c r="AO41" s="7" t="str">
        <f>IF($A41="","",[2]!B_CALC_PRICE($A41,$AJ$1,IF(情景分析!$D$6=1,$J41,IF(情景分析!$D$6=2,$E41,IF(情景分析!$D$6=4,IF($C41="银行间",$J41,$L41),$G41)))+AO$2/100,情景分析!$D$7,"",,,,"",)*IF($H41="",1,$H41))</f>
        <v/>
      </c>
      <c r="AP41" s="7" t="str">
        <f>IF($A41="","",[2]!B_CALC_PRICE($A41,$AJ$1,IF(情景分析!$D$6=1,$J41,IF(情景分析!$D$6=2,$E41,IF(情景分析!$D$6=4,IF($C41="银行间",$J41,$L41),$G41)))+AP$2/100,情景分析!$D$7,"",,,,"",)*IF($H41="",1,$H41))</f>
        <v/>
      </c>
      <c r="AQ41" s="7" t="str">
        <f>IF($A41="","",[2]!B_CALC_PRICE($A41,$AQ$1,IF(情景分析!$D$6=1,$J41,IF(情景分析!$D$6=2,$E41,IF(情景分析!$D$6=4,IF($C41="银行间",$J41,$L41),$G41)))+AQ$2/100,情景分析!$D$7,"",,,,"",)*IF($H41="",1,$H41))</f>
        <v/>
      </c>
      <c r="AR41" s="7" t="str">
        <f>IF($A41="","",[2]!B_CALC_PRICE($A41,$AQ$1,IF(情景分析!$D$6=1,$J41,IF(情景分析!$D$6=2,$E41,IF(情景分析!$D$6=4,IF($C41="银行间",$J41,$L41),$G41)))+AR$2/100,情景分析!$D$7,"",,,,"",)*IF($H41="",1,$H41))</f>
        <v/>
      </c>
      <c r="AS41" s="7" t="str">
        <f>IF($A41="","",[2]!B_CALC_PRICE($A41,$AQ$1,IF(情景分析!$D$6=1,$J41,IF(情景分析!$D$6=2,$E41,IF(情景分析!$D$6=4,IF($C41="银行间",$J41,$L41),$G41)))+AS$2/100,情景分析!$D$7,"",,,,"",)*IF($H41="",1,$H41))</f>
        <v/>
      </c>
      <c r="AT41" s="7" t="str">
        <f>IF($A41="","",[2]!B_CALC_PRICE($A41,$AQ$1,IF(情景分析!$D$6=1,$J41,IF(情景分析!$D$6=2,$E41,IF(情景分析!$D$6=4,IF($C41="银行间",$J41,$L41),$G41)))+AT$2/100,情景分析!$D$7,"",,,,"",)*IF($H41="",1,$H41))</f>
        <v/>
      </c>
      <c r="AU41" s="7" t="str">
        <f>IF($A41="","",[2]!B_CALC_PRICE($A41,$AQ$1,IF(情景分析!$D$6=1,$J41,IF(情景分析!$D$6=2,$E41,IF(情景分析!$D$6=4,IF($C41="银行间",$J41,$L41),$G41)))+AU$2/100,情景分析!$D$7,"",,,,"",)*IF($H41="",1,$H41))</f>
        <v/>
      </c>
      <c r="AV41" s="7" t="str">
        <f>IF($A41="","",[2]!B_CALC_PRICE($A41,$AQ$1,IF(情景分析!$D$6=1,$J41,IF(情景分析!$D$6=2,$E41,IF(情景分析!$D$6=4,IF($C41="银行间",$J41,$L41),$G41)))+AV$2/100,情景分析!$D$7,"",,,,"",)*IF($H41="",1,$H41))</f>
        <v/>
      </c>
      <c r="AW41" s="7" t="str">
        <f>IF($A41="","",[2]!B_CALC_PRICE($A41,$AQ$1,IF(情景分析!$D$6=1,$J41,IF(情景分析!$D$6=2,$E41,IF(情景分析!$D$6=4,IF($C41="银行间",$J41,$L41),$G41)))+AW$2/100,情景分析!$D$7,"",,,,"",)*IF($H41="",1,$H41))</f>
        <v/>
      </c>
    </row>
    <row r="42" spans="1:49" x14ac:dyDescent="0.15">
      <c r="A42" s="20"/>
      <c r="B42" s="7" t="str">
        <f>IF(A42="","",[2]!b_info_name(A42))</f>
        <v/>
      </c>
      <c r="C42" s="7" t="str">
        <f>[2]!b_info_listedmkt(A42)</f>
        <v>#N/A</v>
      </c>
      <c r="D42" s="7" t="str">
        <f>IFERROR(IF(A42="","", [2]!b_dq_avgprice(A42, 情景分析!$D$5, 情景分析!$D$7) * IF($H42="",1,$H42)),0)</f>
        <v/>
      </c>
      <c r="E42" s="7" t="str">
        <f>IF(A42="","", N([2]!b_dq_avgprice(A42,情景分析!$D$5,3)))</f>
        <v/>
      </c>
      <c r="F42" s="29" t="str">
        <f>IF($G42 = "",
"",
IFERROR(
[2]!b_calc_pv(A42, 情景分析!$D$5,$G42, "1", 情景分析!$D$7),
[2]!b_calc_pv(A42, 情景分析!$D$5,$G42, "2", 情景分析!$D$7)
)
)</f>
        <v/>
      </c>
      <c r="G42" s="22"/>
      <c r="H42" s="21"/>
      <c r="I42" s="7" t="str">
        <f>IF(A42="","",IF(情景分析!$D$7=1,[2]!b_anal_net_cnbd(A42,情景分析!$D$5,1),[2]!b_anal_dirty_cnbd(A42,情景分析!$D$5,1))*IF($H42="",1,$H42))</f>
        <v/>
      </c>
      <c r="J42" s="7" t="str">
        <f>IF(A42="","",[2]!b_anal_yield_cnbd(A42,情景分析!$D$5,1))</f>
        <v/>
      </c>
      <c r="K42" s="29" t="str">
        <f>IF(A42="","",IF(情景分析!$D$7=1,[2]!b_anal_net_csi1(A42,情景分析!$D$5,1),[2]!b_anal_dirty_csi1(A42,情景分析!$D$5,1))*IF($H42="",1,$H42))</f>
        <v/>
      </c>
      <c r="L42" s="29" t="str">
        <f>IF(A42="","",[2]!b_anal_yield_csi1(A42,情景分析!$D$5,1))</f>
        <v/>
      </c>
      <c r="M42" s="29" t="str">
        <f t="shared" si="6"/>
        <v/>
      </c>
      <c r="N42" s="29" t="str">
        <f t="shared" si="7"/>
        <v/>
      </c>
      <c r="O42" s="7" t="str">
        <f>IF($A42="","",[2]!B_CALC_PRICE($A42,$O$1,IF(情景分析!$D$6=1,$J42,IF(情景分析!$D$6=2,$E42,IF(情景分析!$D$6=4,IF($C42="银行间",$J42,$L42),$G42)))+O$2/100,情景分析!$D$7,"",,,,"",)*IF($H42="",1,$H42))</f>
        <v/>
      </c>
      <c r="P42" s="7" t="str">
        <f>IF($A42="","",[2]!B_CALC_PRICE($A42,$O$1,IF(情景分析!$D$6=1,$J42,IF(情景分析!$D$6=2,$E42,IF(情景分析!$D$6=4,IF($C42="银行间",$J42,$L42),$G42)))+P$2/100,情景分析!$D$7,"",,,,"",)*IF($H42="",1,$H42))</f>
        <v/>
      </c>
      <c r="Q42" s="7" t="str">
        <f>IF($A42="","",[2]!B_CALC_PRICE($A42,$O$1,IF(情景分析!$D$6=1,$J42,IF(情景分析!$D$6=2,$E42,IF(情景分析!$D$6=4,IF($C42="银行间",$J42,$L42),$G42)))+Q$2/100,情景分析!$D$7,"",,,,"",)*IF($H42="",1,$H42))</f>
        <v/>
      </c>
      <c r="R42" s="7" t="str">
        <f>IF($A42="","",[2]!B_CALC_PRICE($A42,$O$1,IF(情景分析!$D$6=1,$J42,IF(情景分析!$D$6=2,$E42,IF(情景分析!$D$6=4,IF($C42="银行间",$J42,$L42),$G42)))+R$2/100,情景分析!$D$7,"",,,,"",)*IF($H42="",1,$H42))</f>
        <v/>
      </c>
      <c r="S42" s="7" t="str">
        <f>IF($A42="","",[2]!B_CALC_PRICE($A42,$O$1,IF(情景分析!$D$6=1,$J42,IF(情景分析!$D$6=2,$E42,IF(情景分析!$D$6=4,IF($C42="银行间",$J42,$L42),$G42)))+S$2/100,情景分析!$D$7,"",,,,"",)*IF($H42="",1,$H42))</f>
        <v/>
      </c>
      <c r="T42" s="7" t="str">
        <f>IF($A42="","",[2]!B_CALC_PRICE($A42,$O$1,IF(情景分析!$D$6=1,$J42,IF(情景分析!$D$6=2,$E42,IF(情景分析!$D$6=4,IF($C42="银行间",$J42,$L42),$G42)))+T$2/100,情景分析!$D$7,"",,,,"",)*IF($H42="",1,$H42))</f>
        <v/>
      </c>
      <c r="U42" s="7" t="str">
        <f>IF($A42="","",[2]!B_CALC_PRICE($A42,$O$1,IF(情景分析!$D$6=1,$J42,IF(情景分析!$D$6=2,$E42,IF(情景分析!$D$6=4,IF($C42="银行间",$J42,$L42),$G42)))+U$2/100,情景分析!$D$7,"",,,,"",)*IF($H42="",1,$H42))</f>
        <v/>
      </c>
      <c r="V42" s="7" t="str">
        <f>IF($A42="","",[2]!B_CALC_PRICE($A42,$V$1,IF(情景分析!$D$6=1,$J42,IF(情景分析!$D$6=2,$E42,IF(情景分析!$D$6=4,IF($C42="银行间",$J42,$L42),$G42)))+V$2/100,情景分析!$D$7,"",,,,"",)*IF($H42="",1,$H42))</f>
        <v/>
      </c>
      <c r="W42" s="7" t="str">
        <f>IF($A42="","",[2]!B_CALC_PRICE($A42,$V$1,IF(情景分析!$D$6=1,$J42,IF(情景分析!$D$6=2,$E42,IF(情景分析!$D$6=4,IF($C42="银行间",$J42,$L42),$G42)))+W$2/100,情景分析!$D$7,"",,,,"",)*IF($H42="",1,$H42))</f>
        <v/>
      </c>
      <c r="X42" s="7" t="str">
        <f>IF($A42="","",[2]!B_CALC_PRICE($A42,$V$1,IF(情景分析!$D$6=1,$J42,IF(情景分析!$D$6=2,$E42,IF(情景分析!$D$6=4,IF($C42="银行间",$J42,$L42),$G42)))+X$2/100,情景分析!$D$7,"",,,,"",)*IF($H42="",1,$H42))</f>
        <v/>
      </c>
      <c r="Y42" s="7" t="str">
        <f>IF($A42="","",[2]!B_CALC_PRICE($A42,$V$1,IF(情景分析!$D$6=1,$J42,IF(情景分析!$D$6=2,$E42,IF(情景分析!$D$6=4,IF($C42="银行间",$J42,$L42),$G42)))+Y$2/100,情景分析!$D$7,"",,,,"",)*IF($H42="",1,$H42))</f>
        <v/>
      </c>
      <c r="Z42" s="7" t="str">
        <f>IF($A42="","",[2]!B_CALC_PRICE($A42,$V$1,IF(情景分析!$D$6=1,$J42,IF(情景分析!$D$6=2,$E42,IF(情景分析!$D$6=4,IF($C42="银行间",$J42,$L42),$G42)))+Z$2/100,情景分析!$D$7,"",,,,"",)*IF($H42="",1,$H42))</f>
        <v/>
      </c>
      <c r="AA42" s="7" t="str">
        <f>IF($A42="","",[2]!B_CALC_PRICE($A42,$V$1,IF(情景分析!$D$6=1,$J42,IF(情景分析!$D$6=2,$E42,IF(情景分析!$D$6=4,IF($C42="银行间",$J42,$L42),$G42)))+AA$2/100,情景分析!$D$7,"",,,,"",)*IF($H42="",1,$H42))</f>
        <v/>
      </c>
      <c r="AB42" s="7" t="str">
        <f>IF($A42="","",[2]!B_CALC_PRICE($A42,$V$1,IF(情景分析!$D$6=1,$J42,IF(情景分析!$D$6=2,$E42,IF(情景分析!$D$6=4,IF($C42="银行间",$J42,$L42),$G42)))+AB$2/100,情景分析!$D$7,"",,,,"",)*IF($H42="",1,$H42))</f>
        <v/>
      </c>
      <c r="AC42" s="7" t="str">
        <f>IF($A42="","",[2]!B_CALC_PRICE($A42,$AC$1,IF(情景分析!$D$6=1,$J42,IF(情景分析!$D$6=2,$E42,IF(情景分析!$D$6=4,IF($C42="银行间",$J42,$L42),$G42)))+AC$2/100,情景分析!$D$7,"",,,,"",)*IF($H42="",1,$H42))</f>
        <v/>
      </c>
      <c r="AD42" s="7" t="str">
        <f>IF($A42="","",[2]!B_CALC_PRICE($A42,$AC$1,IF(情景分析!$D$6=1,$J42,IF(情景分析!$D$6=2,$E42,IF(情景分析!$D$6=4,IF($C42="银行间",$J42,$L42),$G42)))+AD$2/100,情景分析!$D$7,"",,,,"",)*IF($H42="",1,$H42))</f>
        <v/>
      </c>
      <c r="AE42" s="7" t="str">
        <f>IF($A42="","",[2]!B_CALC_PRICE($A42,$AC$1,IF(情景分析!$D$6=1,$J42,IF(情景分析!$D$6=2,$E42,IF(情景分析!$D$6=4,IF($C42="银行间",$J42,$L42),$G42)))+AE$2/100,情景分析!$D$7,"",,,,"",)*IF($H42="",1,$H42))</f>
        <v/>
      </c>
      <c r="AF42" s="7" t="str">
        <f>IF($A42="","",[2]!B_CALC_PRICE($A42,$AC$1,IF(情景分析!$D$6=1,$J42,IF(情景分析!$D$6=2,$E42,IF(情景分析!$D$6=4,IF($C42="银行间",$J42,$L42),$G42)))+AF$2/100,情景分析!$D$7,"",,,,"",)*IF($H42="",1,$H42))</f>
        <v/>
      </c>
      <c r="AG42" s="7" t="str">
        <f>IF($A42="","",[2]!B_CALC_PRICE($A42,$AC$1,IF(情景分析!$D$6=1,$J42,IF(情景分析!$D$6=2,$E42,IF(情景分析!$D$6=4,IF($C42="银行间",$J42,$L42),$G42)))+AG$2/100,情景分析!$D$7,"",,,,"",)*IF($H42="",1,$H42))</f>
        <v/>
      </c>
      <c r="AH42" s="7" t="str">
        <f>IF($A42="","",[2]!B_CALC_PRICE($A42,$AC$1,IF(情景分析!$D$6=1,$J42,IF(情景分析!$D$6=2,$E42,IF(情景分析!$D$6=4,IF($C42="银行间",$J42,$L42),$G42)))+AH$2/100,情景分析!$D$7,"",,,,"",)*IF($H42="",1,$H42))</f>
        <v/>
      </c>
      <c r="AI42" s="7" t="str">
        <f>IF($A42="","",[2]!B_CALC_PRICE($A42,$AC$1,IF(情景分析!$D$6=1,$J42,IF(情景分析!$D$6=2,$E42,IF(情景分析!$D$6=4,IF($C42="银行间",$J42,$L42),$G42)))+AI$2/100,情景分析!$D$7,"",,,,"",)*IF($H42="",1,$H42))</f>
        <v/>
      </c>
      <c r="AJ42" s="7" t="str">
        <f>IF($A42="","",[2]!B_CALC_PRICE($A42,$AJ$1,IF(情景分析!$D$6=1,$J42,IF(情景分析!$D$6=2,$E42,IF(情景分析!$D$6=4,IF($C42="银行间",$J42,$L42),$G42)))+AJ$2/100,情景分析!$D$7,"",,,,"",)*IF($H42="",1,$H42))</f>
        <v/>
      </c>
      <c r="AK42" s="7" t="str">
        <f>IF($A42="","",[2]!B_CALC_PRICE($A42,$AJ$1,IF(情景分析!$D$6=1,$J42,IF(情景分析!$D$6=2,$E42,IF(情景分析!$D$6=4,IF($C42="银行间",$J42,$L42),$G42)))+AK$2/100,情景分析!$D$7,"",,,,"",)*IF($H42="",1,$H42))</f>
        <v/>
      </c>
      <c r="AL42" s="7" t="str">
        <f>IF($A42="","",[2]!B_CALC_PRICE($A42,$AJ$1,IF(情景分析!$D$6=1,$J42,IF(情景分析!$D$6=2,$E42,IF(情景分析!$D$6=4,IF($C42="银行间",$J42,$L42),$G42)))+AL$2/100,情景分析!$D$7,"",,,,"",)*IF($H42="",1,$H42))</f>
        <v/>
      </c>
      <c r="AM42" s="7" t="str">
        <f>IF($A42="","",[2]!B_CALC_PRICE($A42,$AJ$1,IF(情景分析!$D$6=1,$J42,IF(情景分析!$D$6=2,$E42,IF(情景分析!$D$6=4,IF($C42="银行间",$J42,$L42),$G42)))+AM$2/100,情景分析!$D$7,"",,,,"",)*IF($H42="",1,$H42))</f>
        <v/>
      </c>
      <c r="AN42" s="7" t="str">
        <f>IF($A42="","",[2]!B_CALC_PRICE($A42,$AJ$1,IF(情景分析!$D$6=1,$J42,IF(情景分析!$D$6=2,$E42,IF(情景分析!$D$6=4,IF($C42="银行间",$J42,$L42),$G42)))+AN$2/100,情景分析!$D$7,"",,,,"",)*IF($H42="",1,$H42))</f>
        <v/>
      </c>
      <c r="AO42" s="7" t="str">
        <f>IF($A42="","",[2]!B_CALC_PRICE($A42,$AJ$1,IF(情景分析!$D$6=1,$J42,IF(情景分析!$D$6=2,$E42,IF(情景分析!$D$6=4,IF($C42="银行间",$J42,$L42),$G42)))+AO$2/100,情景分析!$D$7,"",,,,"",)*IF($H42="",1,$H42))</f>
        <v/>
      </c>
      <c r="AP42" s="7" t="str">
        <f>IF($A42="","",[2]!B_CALC_PRICE($A42,$AJ$1,IF(情景分析!$D$6=1,$J42,IF(情景分析!$D$6=2,$E42,IF(情景分析!$D$6=4,IF($C42="银行间",$J42,$L42),$G42)))+AP$2/100,情景分析!$D$7,"",,,,"",)*IF($H42="",1,$H42))</f>
        <v/>
      </c>
      <c r="AQ42" s="7" t="str">
        <f>IF($A42="","",[2]!B_CALC_PRICE($A42,$AQ$1,IF(情景分析!$D$6=1,$J42,IF(情景分析!$D$6=2,$E42,IF(情景分析!$D$6=4,IF($C42="银行间",$J42,$L42),$G42)))+AQ$2/100,情景分析!$D$7,"",,,,"",)*IF($H42="",1,$H42))</f>
        <v/>
      </c>
      <c r="AR42" s="7" t="str">
        <f>IF($A42="","",[2]!B_CALC_PRICE($A42,$AQ$1,IF(情景分析!$D$6=1,$J42,IF(情景分析!$D$6=2,$E42,IF(情景分析!$D$6=4,IF($C42="银行间",$J42,$L42),$G42)))+AR$2/100,情景分析!$D$7,"",,,,"",)*IF($H42="",1,$H42))</f>
        <v/>
      </c>
      <c r="AS42" s="7" t="str">
        <f>IF($A42="","",[2]!B_CALC_PRICE($A42,$AQ$1,IF(情景分析!$D$6=1,$J42,IF(情景分析!$D$6=2,$E42,IF(情景分析!$D$6=4,IF($C42="银行间",$J42,$L42),$G42)))+AS$2/100,情景分析!$D$7,"",,,,"",)*IF($H42="",1,$H42))</f>
        <v/>
      </c>
      <c r="AT42" s="7" t="str">
        <f>IF($A42="","",[2]!B_CALC_PRICE($A42,$AQ$1,IF(情景分析!$D$6=1,$J42,IF(情景分析!$D$6=2,$E42,IF(情景分析!$D$6=4,IF($C42="银行间",$J42,$L42),$G42)))+AT$2/100,情景分析!$D$7,"",,,,"",)*IF($H42="",1,$H42))</f>
        <v/>
      </c>
      <c r="AU42" s="7" t="str">
        <f>IF($A42="","",[2]!B_CALC_PRICE($A42,$AQ$1,IF(情景分析!$D$6=1,$J42,IF(情景分析!$D$6=2,$E42,IF(情景分析!$D$6=4,IF($C42="银行间",$J42,$L42),$G42)))+AU$2/100,情景分析!$D$7,"",,,,"",)*IF($H42="",1,$H42))</f>
        <v/>
      </c>
      <c r="AV42" s="7" t="str">
        <f>IF($A42="","",[2]!B_CALC_PRICE($A42,$AQ$1,IF(情景分析!$D$6=1,$J42,IF(情景分析!$D$6=2,$E42,IF(情景分析!$D$6=4,IF($C42="银行间",$J42,$L42),$G42)))+AV$2/100,情景分析!$D$7,"",,,,"",)*IF($H42="",1,$H42))</f>
        <v/>
      </c>
      <c r="AW42" s="7" t="str">
        <f>IF($A42="","",[2]!B_CALC_PRICE($A42,$AQ$1,IF(情景分析!$D$6=1,$J42,IF(情景分析!$D$6=2,$E42,IF(情景分析!$D$6=4,IF($C42="银行间",$J42,$L42),$G42)))+AW$2/100,情景分析!$D$7,"",,,,"",)*IF($H42="",1,$H42))</f>
        <v/>
      </c>
    </row>
    <row r="43" spans="1:49" x14ac:dyDescent="0.15">
      <c r="A43" s="20"/>
      <c r="B43" s="7" t="str">
        <f>IF(A43="","",[2]!b_info_name(A43))</f>
        <v/>
      </c>
      <c r="C43" s="7" t="str">
        <f>[2]!b_info_listedmkt(A43)</f>
        <v>#N/A</v>
      </c>
      <c r="D43" s="7" t="str">
        <f>IFERROR(IF(A43="","", [2]!b_dq_avgprice(A43, 情景分析!$D$5, 情景分析!$D$7) * IF($H43="",1,$H43)),0)</f>
        <v/>
      </c>
      <c r="E43" s="7" t="str">
        <f>IF(A43="","", N([2]!b_dq_avgprice(A43,情景分析!$D$5,3)))</f>
        <v/>
      </c>
      <c r="F43" s="29" t="str">
        <f>IF($G43 = "",
"",
IFERROR(
[2]!b_calc_pv(A43, 情景分析!$D$5,$G43, "1", 情景分析!$D$7),
[2]!b_calc_pv(A43, 情景分析!$D$5,$G43, "2", 情景分析!$D$7)
)
)</f>
        <v/>
      </c>
      <c r="G43" s="22"/>
      <c r="H43" s="21"/>
      <c r="I43" s="7" t="str">
        <f>IF(A43="","",IF(情景分析!$D$7=1,[2]!b_anal_net_cnbd(A43,情景分析!$D$5,1),[2]!b_anal_dirty_cnbd(A43,情景分析!$D$5,1))*IF($H43="",1,$H43))</f>
        <v/>
      </c>
      <c r="J43" s="7" t="str">
        <f>IF(A43="","",[2]!b_anal_yield_cnbd(A43,情景分析!$D$5,1))</f>
        <v/>
      </c>
      <c r="K43" s="29" t="str">
        <f>IF(A43="","",IF(情景分析!$D$7=1,[2]!b_anal_net_csi1(A43,情景分析!$D$5,1),[2]!b_anal_dirty_csi1(A43,情景分析!$D$5,1))*IF($H43="",1,$H43))</f>
        <v/>
      </c>
      <c r="L43" s="29" t="str">
        <f>IF(A43="","",[2]!b_anal_yield_csi1(A43,情景分析!$D$5,1))</f>
        <v/>
      </c>
      <c r="M43" s="29" t="str">
        <f t="shared" si="6"/>
        <v/>
      </c>
      <c r="N43" s="29" t="str">
        <f t="shared" si="7"/>
        <v/>
      </c>
      <c r="O43" s="7" t="str">
        <f>IF($A43="","",[2]!B_CALC_PRICE($A43,$O$1,IF(情景分析!$D$6=1,$J43,IF(情景分析!$D$6=2,$E43,IF(情景分析!$D$6=4,IF($C43="银行间",$J43,$L43),$G43)))+O$2/100,情景分析!$D$7,"",,,,"",)*IF($H43="",1,$H43))</f>
        <v/>
      </c>
      <c r="P43" s="7" t="str">
        <f>IF($A43="","",[2]!B_CALC_PRICE($A43,$O$1,IF(情景分析!$D$6=1,$J43,IF(情景分析!$D$6=2,$E43,IF(情景分析!$D$6=4,IF($C43="银行间",$J43,$L43),$G43)))+P$2/100,情景分析!$D$7,"",,,,"",)*IF($H43="",1,$H43))</f>
        <v/>
      </c>
      <c r="Q43" s="7" t="str">
        <f>IF($A43="","",[2]!B_CALC_PRICE($A43,$O$1,IF(情景分析!$D$6=1,$J43,IF(情景分析!$D$6=2,$E43,IF(情景分析!$D$6=4,IF($C43="银行间",$J43,$L43),$G43)))+Q$2/100,情景分析!$D$7,"",,,,"",)*IF($H43="",1,$H43))</f>
        <v/>
      </c>
      <c r="R43" s="7" t="str">
        <f>IF($A43="","",[2]!B_CALC_PRICE($A43,$O$1,IF(情景分析!$D$6=1,$J43,IF(情景分析!$D$6=2,$E43,IF(情景分析!$D$6=4,IF($C43="银行间",$J43,$L43),$G43)))+R$2/100,情景分析!$D$7,"",,,,"",)*IF($H43="",1,$H43))</f>
        <v/>
      </c>
      <c r="S43" s="7" t="str">
        <f>IF($A43="","",[2]!B_CALC_PRICE($A43,$O$1,IF(情景分析!$D$6=1,$J43,IF(情景分析!$D$6=2,$E43,IF(情景分析!$D$6=4,IF($C43="银行间",$J43,$L43),$G43)))+S$2/100,情景分析!$D$7,"",,,,"",)*IF($H43="",1,$H43))</f>
        <v/>
      </c>
      <c r="T43" s="7" t="str">
        <f>IF($A43="","",[2]!B_CALC_PRICE($A43,$O$1,IF(情景分析!$D$6=1,$J43,IF(情景分析!$D$6=2,$E43,IF(情景分析!$D$6=4,IF($C43="银行间",$J43,$L43),$G43)))+T$2/100,情景分析!$D$7,"",,,,"",)*IF($H43="",1,$H43))</f>
        <v/>
      </c>
      <c r="U43" s="7" t="str">
        <f>IF($A43="","",[2]!B_CALC_PRICE($A43,$O$1,IF(情景分析!$D$6=1,$J43,IF(情景分析!$D$6=2,$E43,IF(情景分析!$D$6=4,IF($C43="银行间",$J43,$L43),$G43)))+U$2/100,情景分析!$D$7,"",,,,"",)*IF($H43="",1,$H43))</f>
        <v/>
      </c>
      <c r="V43" s="7" t="str">
        <f>IF($A43="","",[2]!B_CALC_PRICE($A43,$V$1,IF(情景分析!$D$6=1,$J43,IF(情景分析!$D$6=2,$E43,IF(情景分析!$D$6=4,IF($C43="银行间",$J43,$L43),$G43)))+V$2/100,情景分析!$D$7,"",,,,"",)*IF($H43="",1,$H43))</f>
        <v/>
      </c>
      <c r="W43" s="7" t="str">
        <f>IF($A43="","",[2]!B_CALC_PRICE($A43,$V$1,IF(情景分析!$D$6=1,$J43,IF(情景分析!$D$6=2,$E43,IF(情景分析!$D$6=4,IF($C43="银行间",$J43,$L43),$G43)))+W$2/100,情景分析!$D$7,"",,,,"",)*IF($H43="",1,$H43))</f>
        <v/>
      </c>
      <c r="X43" s="7" t="str">
        <f>IF($A43="","",[2]!B_CALC_PRICE($A43,$V$1,IF(情景分析!$D$6=1,$J43,IF(情景分析!$D$6=2,$E43,IF(情景分析!$D$6=4,IF($C43="银行间",$J43,$L43),$G43)))+X$2/100,情景分析!$D$7,"",,,,"",)*IF($H43="",1,$H43))</f>
        <v/>
      </c>
      <c r="Y43" s="7" t="str">
        <f>IF($A43="","",[2]!B_CALC_PRICE($A43,$V$1,IF(情景分析!$D$6=1,$J43,IF(情景分析!$D$6=2,$E43,IF(情景分析!$D$6=4,IF($C43="银行间",$J43,$L43),$G43)))+Y$2/100,情景分析!$D$7,"",,,,"",)*IF($H43="",1,$H43))</f>
        <v/>
      </c>
      <c r="Z43" s="7" t="str">
        <f>IF($A43="","",[2]!B_CALC_PRICE($A43,$V$1,IF(情景分析!$D$6=1,$J43,IF(情景分析!$D$6=2,$E43,IF(情景分析!$D$6=4,IF($C43="银行间",$J43,$L43),$G43)))+Z$2/100,情景分析!$D$7,"",,,,"",)*IF($H43="",1,$H43))</f>
        <v/>
      </c>
      <c r="AA43" s="7" t="str">
        <f>IF($A43="","",[2]!B_CALC_PRICE($A43,$V$1,IF(情景分析!$D$6=1,$J43,IF(情景分析!$D$6=2,$E43,IF(情景分析!$D$6=4,IF($C43="银行间",$J43,$L43),$G43)))+AA$2/100,情景分析!$D$7,"",,,,"",)*IF($H43="",1,$H43))</f>
        <v/>
      </c>
      <c r="AB43" s="7" t="str">
        <f>IF($A43="","",[2]!B_CALC_PRICE($A43,$V$1,IF(情景分析!$D$6=1,$J43,IF(情景分析!$D$6=2,$E43,IF(情景分析!$D$6=4,IF($C43="银行间",$J43,$L43),$G43)))+AB$2/100,情景分析!$D$7,"",,,,"",)*IF($H43="",1,$H43))</f>
        <v/>
      </c>
      <c r="AC43" s="7" t="str">
        <f>IF($A43="","",[2]!B_CALC_PRICE($A43,$AC$1,IF(情景分析!$D$6=1,$J43,IF(情景分析!$D$6=2,$E43,IF(情景分析!$D$6=4,IF($C43="银行间",$J43,$L43),$G43)))+AC$2/100,情景分析!$D$7,"",,,,"",)*IF($H43="",1,$H43))</f>
        <v/>
      </c>
      <c r="AD43" s="7" t="str">
        <f>IF($A43="","",[2]!B_CALC_PRICE($A43,$AC$1,IF(情景分析!$D$6=1,$J43,IF(情景分析!$D$6=2,$E43,IF(情景分析!$D$6=4,IF($C43="银行间",$J43,$L43),$G43)))+AD$2/100,情景分析!$D$7,"",,,,"",)*IF($H43="",1,$H43))</f>
        <v/>
      </c>
      <c r="AE43" s="7" t="str">
        <f>IF($A43="","",[2]!B_CALC_PRICE($A43,$AC$1,IF(情景分析!$D$6=1,$J43,IF(情景分析!$D$6=2,$E43,IF(情景分析!$D$6=4,IF($C43="银行间",$J43,$L43),$G43)))+AE$2/100,情景分析!$D$7,"",,,,"",)*IF($H43="",1,$H43))</f>
        <v/>
      </c>
      <c r="AF43" s="7" t="str">
        <f>IF($A43="","",[2]!B_CALC_PRICE($A43,$AC$1,IF(情景分析!$D$6=1,$J43,IF(情景分析!$D$6=2,$E43,IF(情景分析!$D$6=4,IF($C43="银行间",$J43,$L43),$G43)))+AF$2/100,情景分析!$D$7,"",,,,"",)*IF($H43="",1,$H43))</f>
        <v/>
      </c>
      <c r="AG43" s="7" t="str">
        <f>IF($A43="","",[2]!B_CALC_PRICE($A43,$AC$1,IF(情景分析!$D$6=1,$J43,IF(情景分析!$D$6=2,$E43,IF(情景分析!$D$6=4,IF($C43="银行间",$J43,$L43),$G43)))+AG$2/100,情景分析!$D$7,"",,,,"",)*IF($H43="",1,$H43))</f>
        <v/>
      </c>
      <c r="AH43" s="7" t="str">
        <f>IF($A43="","",[2]!B_CALC_PRICE($A43,$AC$1,IF(情景分析!$D$6=1,$J43,IF(情景分析!$D$6=2,$E43,IF(情景分析!$D$6=4,IF($C43="银行间",$J43,$L43),$G43)))+AH$2/100,情景分析!$D$7,"",,,,"",)*IF($H43="",1,$H43))</f>
        <v/>
      </c>
      <c r="AI43" s="7" t="str">
        <f>IF($A43="","",[2]!B_CALC_PRICE($A43,$AC$1,IF(情景分析!$D$6=1,$J43,IF(情景分析!$D$6=2,$E43,IF(情景分析!$D$6=4,IF($C43="银行间",$J43,$L43),$G43)))+AI$2/100,情景分析!$D$7,"",,,,"",)*IF($H43="",1,$H43))</f>
        <v/>
      </c>
      <c r="AJ43" s="7" t="str">
        <f>IF($A43="","",[2]!B_CALC_PRICE($A43,$AJ$1,IF(情景分析!$D$6=1,$J43,IF(情景分析!$D$6=2,$E43,IF(情景分析!$D$6=4,IF($C43="银行间",$J43,$L43),$G43)))+AJ$2/100,情景分析!$D$7,"",,,,"",)*IF($H43="",1,$H43))</f>
        <v/>
      </c>
      <c r="AK43" s="7" t="str">
        <f>IF($A43="","",[2]!B_CALC_PRICE($A43,$AJ$1,IF(情景分析!$D$6=1,$J43,IF(情景分析!$D$6=2,$E43,IF(情景分析!$D$6=4,IF($C43="银行间",$J43,$L43),$G43)))+AK$2/100,情景分析!$D$7,"",,,,"",)*IF($H43="",1,$H43))</f>
        <v/>
      </c>
      <c r="AL43" s="7" t="str">
        <f>IF($A43="","",[2]!B_CALC_PRICE($A43,$AJ$1,IF(情景分析!$D$6=1,$J43,IF(情景分析!$D$6=2,$E43,IF(情景分析!$D$6=4,IF($C43="银行间",$J43,$L43),$G43)))+AL$2/100,情景分析!$D$7,"",,,,"",)*IF($H43="",1,$H43))</f>
        <v/>
      </c>
      <c r="AM43" s="7" t="str">
        <f>IF($A43="","",[2]!B_CALC_PRICE($A43,$AJ$1,IF(情景分析!$D$6=1,$J43,IF(情景分析!$D$6=2,$E43,IF(情景分析!$D$6=4,IF($C43="银行间",$J43,$L43),$G43)))+AM$2/100,情景分析!$D$7,"",,,,"",)*IF($H43="",1,$H43))</f>
        <v/>
      </c>
      <c r="AN43" s="7" t="str">
        <f>IF($A43="","",[2]!B_CALC_PRICE($A43,$AJ$1,IF(情景分析!$D$6=1,$J43,IF(情景分析!$D$6=2,$E43,IF(情景分析!$D$6=4,IF($C43="银行间",$J43,$L43),$G43)))+AN$2/100,情景分析!$D$7,"",,,,"",)*IF($H43="",1,$H43))</f>
        <v/>
      </c>
      <c r="AO43" s="7" t="str">
        <f>IF($A43="","",[2]!B_CALC_PRICE($A43,$AJ$1,IF(情景分析!$D$6=1,$J43,IF(情景分析!$D$6=2,$E43,IF(情景分析!$D$6=4,IF($C43="银行间",$J43,$L43),$G43)))+AO$2/100,情景分析!$D$7,"",,,,"",)*IF($H43="",1,$H43))</f>
        <v/>
      </c>
      <c r="AP43" s="7" t="str">
        <f>IF($A43="","",[2]!B_CALC_PRICE($A43,$AJ$1,IF(情景分析!$D$6=1,$J43,IF(情景分析!$D$6=2,$E43,IF(情景分析!$D$6=4,IF($C43="银行间",$J43,$L43),$G43)))+AP$2/100,情景分析!$D$7,"",,,,"",)*IF($H43="",1,$H43))</f>
        <v/>
      </c>
      <c r="AQ43" s="7" t="str">
        <f>IF($A43="","",[2]!B_CALC_PRICE($A43,$AQ$1,IF(情景分析!$D$6=1,$J43,IF(情景分析!$D$6=2,$E43,IF(情景分析!$D$6=4,IF($C43="银行间",$J43,$L43),$G43)))+AQ$2/100,情景分析!$D$7,"",,,,"",)*IF($H43="",1,$H43))</f>
        <v/>
      </c>
      <c r="AR43" s="7" t="str">
        <f>IF($A43="","",[2]!B_CALC_PRICE($A43,$AQ$1,IF(情景分析!$D$6=1,$J43,IF(情景分析!$D$6=2,$E43,IF(情景分析!$D$6=4,IF($C43="银行间",$J43,$L43),$G43)))+AR$2/100,情景分析!$D$7,"",,,,"",)*IF($H43="",1,$H43))</f>
        <v/>
      </c>
      <c r="AS43" s="7" t="str">
        <f>IF($A43="","",[2]!B_CALC_PRICE($A43,$AQ$1,IF(情景分析!$D$6=1,$J43,IF(情景分析!$D$6=2,$E43,IF(情景分析!$D$6=4,IF($C43="银行间",$J43,$L43),$G43)))+AS$2/100,情景分析!$D$7,"",,,,"",)*IF($H43="",1,$H43))</f>
        <v/>
      </c>
      <c r="AT43" s="7" t="str">
        <f>IF($A43="","",[2]!B_CALC_PRICE($A43,$AQ$1,IF(情景分析!$D$6=1,$J43,IF(情景分析!$D$6=2,$E43,IF(情景分析!$D$6=4,IF($C43="银行间",$J43,$L43),$G43)))+AT$2/100,情景分析!$D$7,"",,,,"",)*IF($H43="",1,$H43))</f>
        <v/>
      </c>
      <c r="AU43" s="7" t="str">
        <f>IF($A43="","",[2]!B_CALC_PRICE($A43,$AQ$1,IF(情景分析!$D$6=1,$J43,IF(情景分析!$D$6=2,$E43,IF(情景分析!$D$6=4,IF($C43="银行间",$J43,$L43),$G43)))+AU$2/100,情景分析!$D$7,"",,,,"",)*IF($H43="",1,$H43))</f>
        <v/>
      </c>
      <c r="AV43" s="7" t="str">
        <f>IF($A43="","",[2]!B_CALC_PRICE($A43,$AQ$1,IF(情景分析!$D$6=1,$J43,IF(情景分析!$D$6=2,$E43,IF(情景分析!$D$6=4,IF($C43="银行间",$J43,$L43),$G43)))+AV$2/100,情景分析!$D$7,"",,,,"",)*IF($H43="",1,$H43))</f>
        <v/>
      </c>
      <c r="AW43" s="7" t="str">
        <f>IF($A43="","",[2]!B_CALC_PRICE($A43,$AQ$1,IF(情景分析!$D$6=1,$J43,IF(情景分析!$D$6=2,$E43,IF(情景分析!$D$6=4,IF($C43="银行间",$J43,$L43),$G43)))+AW$2/100,情景分析!$D$7,"",,,,"",)*IF($H43="",1,$H43))</f>
        <v/>
      </c>
    </row>
    <row r="44" spans="1:49" x14ac:dyDescent="0.15">
      <c r="A44" s="20"/>
      <c r="B44" s="7" t="str">
        <f>IF(A44="","",[2]!b_info_name(A44))</f>
        <v/>
      </c>
      <c r="C44" s="7" t="str">
        <f>[2]!b_info_listedmkt(A44)</f>
        <v>#N/A</v>
      </c>
      <c r="D44" s="7" t="str">
        <f>IFERROR(IF(A44="","", [2]!b_dq_avgprice(A44, 情景分析!$D$5, 情景分析!$D$7) * IF($H44="",1,$H44)),0)</f>
        <v/>
      </c>
      <c r="E44" s="7" t="str">
        <f>IF(A44="","", N([2]!b_dq_avgprice(A44,情景分析!$D$5,3)))</f>
        <v/>
      </c>
      <c r="F44" s="29" t="str">
        <f>IF($G44 = "",
"",
IFERROR(
[2]!b_calc_pv(A44, 情景分析!$D$5,$G44, "1", 情景分析!$D$7),
[2]!b_calc_pv(A44, 情景分析!$D$5,$G44, "2", 情景分析!$D$7)
)
)</f>
        <v/>
      </c>
      <c r="G44" s="22"/>
      <c r="H44" s="21"/>
      <c r="I44" s="7" t="str">
        <f>IF(A44="","",IF(情景分析!$D$7=1,[2]!b_anal_net_cnbd(A44,情景分析!$D$5,1),[2]!b_anal_dirty_cnbd(A44,情景分析!$D$5,1))*IF($H44="",1,$H44))</f>
        <v/>
      </c>
      <c r="J44" s="7" t="str">
        <f>IF(A44="","",[2]!b_anal_yield_cnbd(A44,情景分析!$D$5,1))</f>
        <v/>
      </c>
      <c r="K44" s="29" t="str">
        <f>IF(A44="","",IF(情景分析!$D$7=1,[2]!b_anal_net_csi1(A44,情景分析!$D$5,1),[2]!b_anal_dirty_csi1(A44,情景分析!$D$5,1))*IF($H44="",1,$H44))</f>
        <v/>
      </c>
      <c r="L44" s="29" t="str">
        <f>IF(A44="","",[2]!b_anal_yield_csi1(A44,情景分析!$D$5,1))</f>
        <v/>
      </c>
      <c r="M44" s="29" t="str">
        <f t="shared" si="6"/>
        <v/>
      </c>
      <c r="N44" s="29" t="str">
        <f t="shared" si="7"/>
        <v/>
      </c>
      <c r="O44" s="7" t="str">
        <f>IF($A44="","",[2]!B_CALC_PRICE($A44,$O$1,IF(情景分析!$D$6=1,$J44,IF(情景分析!$D$6=2,$E44,IF(情景分析!$D$6=4,IF($C44="银行间",$J44,$L44),$G44)))+O$2/100,情景分析!$D$7,"",,,,"",)*IF($H44="",1,$H44))</f>
        <v/>
      </c>
      <c r="P44" s="7" t="str">
        <f>IF($A44="","",[2]!B_CALC_PRICE($A44,$O$1,IF(情景分析!$D$6=1,$J44,IF(情景分析!$D$6=2,$E44,IF(情景分析!$D$6=4,IF($C44="银行间",$J44,$L44),$G44)))+P$2/100,情景分析!$D$7,"",,,,"",)*IF($H44="",1,$H44))</f>
        <v/>
      </c>
      <c r="Q44" s="7" t="str">
        <f>IF($A44="","",[2]!B_CALC_PRICE($A44,$O$1,IF(情景分析!$D$6=1,$J44,IF(情景分析!$D$6=2,$E44,IF(情景分析!$D$6=4,IF($C44="银行间",$J44,$L44),$G44)))+Q$2/100,情景分析!$D$7,"",,,,"",)*IF($H44="",1,$H44))</f>
        <v/>
      </c>
      <c r="R44" s="7" t="str">
        <f>IF($A44="","",[2]!B_CALC_PRICE($A44,$O$1,IF(情景分析!$D$6=1,$J44,IF(情景分析!$D$6=2,$E44,IF(情景分析!$D$6=4,IF($C44="银行间",$J44,$L44),$G44)))+R$2/100,情景分析!$D$7,"",,,,"",)*IF($H44="",1,$H44))</f>
        <v/>
      </c>
      <c r="S44" s="7" t="str">
        <f>IF($A44="","",[2]!B_CALC_PRICE($A44,$O$1,IF(情景分析!$D$6=1,$J44,IF(情景分析!$D$6=2,$E44,IF(情景分析!$D$6=4,IF($C44="银行间",$J44,$L44),$G44)))+S$2/100,情景分析!$D$7,"",,,,"",)*IF($H44="",1,$H44))</f>
        <v/>
      </c>
      <c r="T44" s="7" t="str">
        <f>IF($A44="","",[2]!B_CALC_PRICE($A44,$O$1,IF(情景分析!$D$6=1,$J44,IF(情景分析!$D$6=2,$E44,IF(情景分析!$D$6=4,IF($C44="银行间",$J44,$L44),$G44)))+T$2/100,情景分析!$D$7,"",,,,"",)*IF($H44="",1,$H44))</f>
        <v/>
      </c>
      <c r="U44" s="7" t="str">
        <f>IF($A44="","",[2]!B_CALC_PRICE($A44,$O$1,IF(情景分析!$D$6=1,$J44,IF(情景分析!$D$6=2,$E44,IF(情景分析!$D$6=4,IF($C44="银行间",$J44,$L44),$G44)))+U$2/100,情景分析!$D$7,"",,,,"",)*IF($H44="",1,$H44))</f>
        <v/>
      </c>
      <c r="V44" s="7" t="str">
        <f>IF($A44="","",[2]!B_CALC_PRICE($A44,$V$1,IF(情景分析!$D$6=1,$J44,IF(情景分析!$D$6=2,$E44,IF(情景分析!$D$6=4,IF($C44="银行间",$J44,$L44),$G44)))+V$2/100,情景分析!$D$7,"",,,,"",)*IF($H44="",1,$H44))</f>
        <v/>
      </c>
      <c r="W44" s="7" t="str">
        <f>IF($A44="","",[2]!B_CALC_PRICE($A44,$V$1,IF(情景分析!$D$6=1,$J44,IF(情景分析!$D$6=2,$E44,IF(情景分析!$D$6=4,IF($C44="银行间",$J44,$L44),$G44)))+W$2/100,情景分析!$D$7,"",,,,"",)*IF($H44="",1,$H44))</f>
        <v/>
      </c>
      <c r="X44" s="7" t="str">
        <f>IF($A44="","",[2]!B_CALC_PRICE($A44,$V$1,IF(情景分析!$D$6=1,$J44,IF(情景分析!$D$6=2,$E44,IF(情景分析!$D$6=4,IF($C44="银行间",$J44,$L44),$G44)))+X$2/100,情景分析!$D$7,"",,,,"",)*IF($H44="",1,$H44))</f>
        <v/>
      </c>
      <c r="Y44" s="7" t="str">
        <f>IF($A44="","",[2]!B_CALC_PRICE($A44,$V$1,IF(情景分析!$D$6=1,$J44,IF(情景分析!$D$6=2,$E44,IF(情景分析!$D$6=4,IF($C44="银行间",$J44,$L44),$G44)))+Y$2/100,情景分析!$D$7,"",,,,"",)*IF($H44="",1,$H44))</f>
        <v/>
      </c>
      <c r="Z44" s="7" t="str">
        <f>IF($A44="","",[2]!B_CALC_PRICE($A44,$V$1,IF(情景分析!$D$6=1,$J44,IF(情景分析!$D$6=2,$E44,IF(情景分析!$D$6=4,IF($C44="银行间",$J44,$L44),$G44)))+Z$2/100,情景分析!$D$7,"",,,,"",)*IF($H44="",1,$H44))</f>
        <v/>
      </c>
      <c r="AA44" s="7" t="str">
        <f>IF($A44="","",[2]!B_CALC_PRICE($A44,$V$1,IF(情景分析!$D$6=1,$J44,IF(情景分析!$D$6=2,$E44,IF(情景分析!$D$6=4,IF($C44="银行间",$J44,$L44),$G44)))+AA$2/100,情景分析!$D$7,"",,,,"",)*IF($H44="",1,$H44))</f>
        <v/>
      </c>
      <c r="AB44" s="7" t="str">
        <f>IF($A44="","",[2]!B_CALC_PRICE($A44,$V$1,IF(情景分析!$D$6=1,$J44,IF(情景分析!$D$6=2,$E44,IF(情景分析!$D$6=4,IF($C44="银行间",$J44,$L44),$G44)))+AB$2/100,情景分析!$D$7,"",,,,"",)*IF($H44="",1,$H44))</f>
        <v/>
      </c>
      <c r="AC44" s="7" t="str">
        <f>IF($A44="","",[2]!B_CALC_PRICE($A44,$AC$1,IF(情景分析!$D$6=1,$J44,IF(情景分析!$D$6=2,$E44,IF(情景分析!$D$6=4,IF($C44="银行间",$J44,$L44),$G44)))+AC$2/100,情景分析!$D$7,"",,,,"",)*IF($H44="",1,$H44))</f>
        <v/>
      </c>
      <c r="AD44" s="7" t="str">
        <f>IF($A44="","",[2]!B_CALC_PRICE($A44,$AC$1,IF(情景分析!$D$6=1,$J44,IF(情景分析!$D$6=2,$E44,IF(情景分析!$D$6=4,IF($C44="银行间",$J44,$L44),$G44)))+AD$2/100,情景分析!$D$7,"",,,,"",)*IF($H44="",1,$H44))</f>
        <v/>
      </c>
      <c r="AE44" s="7" t="str">
        <f>IF($A44="","",[2]!B_CALC_PRICE($A44,$AC$1,IF(情景分析!$D$6=1,$J44,IF(情景分析!$D$6=2,$E44,IF(情景分析!$D$6=4,IF($C44="银行间",$J44,$L44),$G44)))+AE$2/100,情景分析!$D$7,"",,,,"",)*IF($H44="",1,$H44))</f>
        <v/>
      </c>
      <c r="AF44" s="7" t="str">
        <f>IF($A44="","",[2]!B_CALC_PRICE($A44,$AC$1,IF(情景分析!$D$6=1,$J44,IF(情景分析!$D$6=2,$E44,IF(情景分析!$D$6=4,IF($C44="银行间",$J44,$L44),$G44)))+AF$2/100,情景分析!$D$7,"",,,,"",)*IF($H44="",1,$H44))</f>
        <v/>
      </c>
      <c r="AG44" s="7" t="str">
        <f>IF($A44="","",[2]!B_CALC_PRICE($A44,$AC$1,IF(情景分析!$D$6=1,$J44,IF(情景分析!$D$6=2,$E44,IF(情景分析!$D$6=4,IF($C44="银行间",$J44,$L44),$G44)))+AG$2/100,情景分析!$D$7,"",,,,"",)*IF($H44="",1,$H44))</f>
        <v/>
      </c>
      <c r="AH44" s="7" t="str">
        <f>IF($A44="","",[2]!B_CALC_PRICE($A44,$AC$1,IF(情景分析!$D$6=1,$J44,IF(情景分析!$D$6=2,$E44,IF(情景分析!$D$6=4,IF($C44="银行间",$J44,$L44),$G44)))+AH$2/100,情景分析!$D$7,"",,,,"",)*IF($H44="",1,$H44))</f>
        <v/>
      </c>
      <c r="AI44" s="7" t="str">
        <f>IF($A44="","",[2]!B_CALC_PRICE($A44,$AC$1,IF(情景分析!$D$6=1,$J44,IF(情景分析!$D$6=2,$E44,IF(情景分析!$D$6=4,IF($C44="银行间",$J44,$L44),$G44)))+AI$2/100,情景分析!$D$7,"",,,,"",)*IF($H44="",1,$H44))</f>
        <v/>
      </c>
      <c r="AJ44" s="7" t="str">
        <f>IF($A44="","",[2]!B_CALC_PRICE($A44,$AJ$1,IF(情景分析!$D$6=1,$J44,IF(情景分析!$D$6=2,$E44,IF(情景分析!$D$6=4,IF($C44="银行间",$J44,$L44),$G44)))+AJ$2/100,情景分析!$D$7,"",,,,"",)*IF($H44="",1,$H44))</f>
        <v/>
      </c>
      <c r="AK44" s="7" t="str">
        <f>IF($A44="","",[2]!B_CALC_PRICE($A44,$AJ$1,IF(情景分析!$D$6=1,$J44,IF(情景分析!$D$6=2,$E44,IF(情景分析!$D$6=4,IF($C44="银行间",$J44,$L44),$G44)))+AK$2/100,情景分析!$D$7,"",,,,"",)*IF($H44="",1,$H44))</f>
        <v/>
      </c>
      <c r="AL44" s="7" t="str">
        <f>IF($A44="","",[2]!B_CALC_PRICE($A44,$AJ$1,IF(情景分析!$D$6=1,$J44,IF(情景分析!$D$6=2,$E44,IF(情景分析!$D$6=4,IF($C44="银行间",$J44,$L44),$G44)))+AL$2/100,情景分析!$D$7,"",,,,"",)*IF($H44="",1,$H44))</f>
        <v/>
      </c>
      <c r="AM44" s="7" t="str">
        <f>IF($A44="","",[2]!B_CALC_PRICE($A44,$AJ$1,IF(情景分析!$D$6=1,$J44,IF(情景分析!$D$6=2,$E44,IF(情景分析!$D$6=4,IF($C44="银行间",$J44,$L44),$G44)))+AM$2/100,情景分析!$D$7,"",,,,"",)*IF($H44="",1,$H44))</f>
        <v/>
      </c>
      <c r="AN44" s="7" t="str">
        <f>IF($A44="","",[2]!B_CALC_PRICE($A44,$AJ$1,IF(情景分析!$D$6=1,$J44,IF(情景分析!$D$6=2,$E44,IF(情景分析!$D$6=4,IF($C44="银行间",$J44,$L44),$G44)))+AN$2/100,情景分析!$D$7,"",,,,"",)*IF($H44="",1,$H44))</f>
        <v/>
      </c>
      <c r="AO44" s="7" t="str">
        <f>IF($A44="","",[2]!B_CALC_PRICE($A44,$AJ$1,IF(情景分析!$D$6=1,$J44,IF(情景分析!$D$6=2,$E44,IF(情景分析!$D$6=4,IF($C44="银行间",$J44,$L44),$G44)))+AO$2/100,情景分析!$D$7,"",,,,"",)*IF($H44="",1,$H44))</f>
        <v/>
      </c>
      <c r="AP44" s="7" t="str">
        <f>IF($A44="","",[2]!B_CALC_PRICE($A44,$AJ$1,IF(情景分析!$D$6=1,$J44,IF(情景分析!$D$6=2,$E44,IF(情景分析!$D$6=4,IF($C44="银行间",$J44,$L44),$G44)))+AP$2/100,情景分析!$D$7,"",,,,"",)*IF($H44="",1,$H44))</f>
        <v/>
      </c>
      <c r="AQ44" s="7" t="str">
        <f>IF($A44="","",[2]!B_CALC_PRICE($A44,$AQ$1,IF(情景分析!$D$6=1,$J44,IF(情景分析!$D$6=2,$E44,IF(情景分析!$D$6=4,IF($C44="银行间",$J44,$L44),$G44)))+AQ$2/100,情景分析!$D$7,"",,,,"",)*IF($H44="",1,$H44))</f>
        <v/>
      </c>
      <c r="AR44" s="7" t="str">
        <f>IF($A44="","",[2]!B_CALC_PRICE($A44,$AQ$1,IF(情景分析!$D$6=1,$J44,IF(情景分析!$D$6=2,$E44,IF(情景分析!$D$6=4,IF($C44="银行间",$J44,$L44),$G44)))+AR$2/100,情景分析!$D$7,"",,,,"",)*IF($H44="",1,$H44))</f>
        <v/>
      </c>
      <c r="AS44" s="7" t="str">
        <f>IF($A44="","",[2]!B_CALC_PRICE($A44,$AQ$1,IF(情景分析!$D$6=1,$J44,IF(情景分析!$D$6=2,$E44,IF(情景分析!$D$6=4,IF($C44="银行间",$J44,$L44),$G44)))+AS$2/100,情景分析!$D$7,"",,,,"",)*IF($H44="",1,$H44))</f>
        <v/>
      </c>
      <c r="AT44" s="7" t="str">
        <f>IF($A44="","",[2]!B_CALC_PRICE($A44,$AQ$1,IF(情景分析!$D$6=1,$J44,IF(情景分析!$D$6=2,$E44,IF(情景分析!$D$6=4,IF($C44="银行间",$J44,$L44),$G44)))+AT$2/100,情景分析!$D$7,"",,,,"",)*IF($H44="",1,$H44))</f>
        <v/>
      </c>
      <c r="AU44" s="7" t="str">
        <f>IF($A44="","",[2]!B_CALC_PRICE($A44,$AQ$1,IF(情景分析!$D$6=1,$J44,IF(情景分析!$D$6=2,$E44,IF(情景分析!$D$6=4,IF($C44="银行间",$J44,$L44),$G44)))+AU$2/100,情景分析!$D$7,"",,,,"",)*IF($H44="",1,$H44))</f>
        <v/>
      </c>
      <c r="AV44" s="7" t="str">
        <f>IF($A44="","",[2]!B_CALC_PRICE($A44,$AQ$1,IF(情景分析!$D$6=1,$J44,IF(情景分析!$D$6=2,$E44,IF(情景分析!$D$6=4,IF($C44="银行间",$J44,$L44),$G44)))+AV$2/100,情景分析!$D$7,"",,,,"",)*IF($H44="",1,$H44))</f>
        <v/>
      </c>
      <c r="AW44" s="7" t="str">
        <f>IF($A44="","",[2]!B_CALC_PRICE($A44,$AQ$1,IF(情景分析!$D$6=1,$J44,IF(情景分析!$D$6=2,$E44,IF(情景分析!$D$6=4,IF($C44="银行间",$J44,$L44),$G44)))+AW$2/100,情景分析!$D$7,"",,,,"",)*IF($H44="",1,$H44))</f>
        <v/>
      </c>
    </row>
    <row r="45" spans="1:49" x14ac:dyDescent="0.15">
      <c r="A45" s="20"/>
      <c r="B45" s="7" t="str">
        <f>IF(A45="","",[2]!b_info_name(A45))</f>
        <v/>
      </c>
      <c r="C45" s="7" t="str">
        <f>[2]!b_info_listedmkt(A45)</f>
        <v>#N/A</v>
      </c>
      <c r="D45" s="7" t="str">
        <f>IFERROR(IF(A45="","", [2]!b_dq_avgprice(A45, 情景分析!$D$5, 情景分析!$D$7) * IF($H45="",1,$H45)),0)</f>
        <v/>
      </c>
      <c r="E45" s="7" t="str">
        <f>IF(A45="","", N([2]!b_dq_avgprice(A45,情景分析!$D$5,3)))</f>
        <v/>
      </c>
      <c r="F45" s="29" t="str">
        <f>IF($G45 = "",
"",
IFERROR(
[2]!b_calc_pv(A45, 情景分析!$D$5,$G45, "1", 情景分析!$D$7),
[2]!b_calc_pv(A45, 情景分析!$D$5,$G45, "2", 情景分析!$D$7)
)
)</f>
        <v/>
      </c>
      <c r="G45" s="22"/>
      <c r="H45" s="21"/>
      <c r="I45" s="7" t="str">
        <f>IF(A45="","",IF(情景分析!$D$7=1,[2]!b_anal_net_cnbd(A45,情景分析!$D$5,1),[2]!b_anal_dirty_cnbd(A45,情景分析!$D$5,1))*IF($H45="",1,$H45))</f>
        <v/>
      </c>
      <c r="J45" s="7" t="str">
        <f>IF(A45="","",[2]!b_anal_yield_cnbd(A45,情景分析!$D$5,1))</f>
        <v/>
      </c>
      <c r="K45" s="29" t="str">
        <f>IF(A45="","",IF(情景分析!$D$7=1,[2]!b_anal_net_csi1(A45,情景分析!$D$5,1),[2]!b_anal_dirty_csi1(A45,情景分析!$D$5,1))*IF($H45="",1,$H45))</f>
        <v/>
      </c>
      <c r="L45" s="29" t="str">
        <f>IF(A45="","",[2]!b_anal_yield_csi1(A45,情景分析!$D$5,1))</f>
        <v/>
      </c>
      <c r="M45" s="29" t="str">
        <f t="shared" si="6"/>
        <v/>
      </c>
      <c r="N45" s="29" t="str">
        <f t="shared" si="7"/>
        <v/>
      </c>
      <c r="O45" s="7" t="str">
        <f>IF($A45="","",[2]!B_CALC_PRICE($A45,$O$1,IF(情景分析!$D$6=1,$J45,IF(情景分析!$D$6=2,$E45,IF(情景分析!$D$6=4,IF($C45="银行间",$J45,$L45),$G45)))+O$2/100,情景分析!$D$7,"",,,,"",)*IF($H45="",1,$H45))</f>
        <v/>
      </c>
      <c r="P45" s="7" t="str">
        <f>IF($A45="","",[2]!B_CALC_PRICE($A45,$O$1,IF(情景分析!$D$6=1,$J45,IF(情景分析!$D$6=2,$E45,IF(情景分析!$D$6=4,IF($C45="银行间",$J45,$L45),$G45)))+P$2/100,情景分析!$D$7,"",,,,"",)*IF($H45="",1,$H45))</f>
        <v/>
      </c>
      <c r="Q45" s="7" t="str">
        <f>IF($A45="","",[2]!B_CALC_PRICE($A45,$O$1,IF(情景分析!$D$6=1,$J45,IF(情景分析!$D$6=2,$E45,IF(情景分析!$D$6=4,IF($C45="银行间",$J45,$L45),$G45)))+Q$2/100,情景分析!$D$7,"",,,,"",)*IF($H45="",1,$H45))</f>
        <v/>
      </c>
      <c r="R45" s="7" t="str">
        <f>IF($A45="","",[2]!B_CALC_PRICE($A45,$O$1,IF(情景分析!$D$6=1,$J45,IF(情景分析!$D$6=2,$E45,IF(情景分析!$D$6=4,IF($C45="银行间",$J45,$L45),$G45)))+R$2/100,情景分析!$D$7,"",,,,"",)*IF($H45="",1,$H45))</f>
        <v/>
      </c>
      <c r="S45" s="7" t="str">
        <f>IF($A45="","",[2]!B_CALC_PRICE($A45,$O$1,IF(情景分析!$D$6=1,$J45,IF(情景分析!$D$6=2,$E45,IF(情景分析!$D$6=4,IF($C45="银行间",$J45,$L45),$G45)))+S$2/100,情景分析!$D$7,"",,,,"",)*IF($H45="",1,$H45))</f>
        <v/>
      </c>
      <c r="T45" s="7" t="str">
        <f>IF($A45="","",[2]!B_CALC_PRICE($A45,$O$1,IF(情景分析!$D$6=1,$J45,IF(情景分析!$D$6=2,$E45,IF(情景分析!$D$6=4,IF($C45="银行间",$J45,$L45),$G45)))+T$2/100,情景分析!$D$7,"",,,,"",)*IF($H45="",1,$H45))</f>
        <v/>
      </c>
      <c r="U45" s="7" t="str">
        <f>IF($A45="","",[2]!B_CALC_PRICE($A45,$O$1,IF(情景分析!$D$6=1,$J45,IF(情景分析!$D$6=2,$E45,IF(情景分析!$D$6=4,IF($C45="银行间",$J45,$L45),$G45)))+U$2/100,情景分析!$D$7,"",,,,"",)*IF($H45="",1,$H45))</f>
        <v/>
      </c>
      <c r="V45" s="7" t="str">
        <f>IF($A45="","",[2]!B_CALC_PRICE($A45,$V$1,IF(情景分析!$D$6=1,$J45,IF(情景分析!$D$6=2,$E45,IF(情景分析!$D$6=4,IF($C45="银行间",$J45,$L45),$G45)))+V$2/100,情景分析!$D$7,"",,,,"",)*IF($H45="",1,$H45))</f>
        <v/>
      </c>
      <c r="W45" s="7" t="str">
        <f>IF($A45="","",[2]!B_CALC_PRICE($A45,$V$1,IF(情景分析!$D$6=1,$J45,IF(情景分析!$D$6=2,$E45,IF(情景分析!$D$6=4,IF($C45="银行间",$J45,$L45),$G45)))+W$2/100,情景分析!$D$7,"",,,,"",)*IF($H45="",1,$H45))</f>
        <v/>
      </c>
      <c r="X45" s="7" t="str">
        <f>IF($A45="","",[2]!B_CALC_PRICE($A45,$V$1,IF(情景分析!$D$6=1,$J45,IF(情景分析!$D$6=2,$E45,IF(情景分析!$D$6=4,IF($C45="银行间",$J45,$L45),$G45)))+X$2/100,情景分析!$D$7,"",,,,"",)*IF($H45="",1,$H45))</f>
        <v/>
      </c>
      <c r="Y45" s="7" t="str">
        <f>IF($A45="","",[2]!B_CALC_PRICE($A45,$V$1,IF(情景分析!$D$6=1,$J45,IF(情景分析!$D$6=2,$E45,IF(情景分析!$D$6=4,IF($C45="银行间",$J45,$L45),$G45)))+Y$2/100,情景分析!$D$7,"",,,,"",)*IF($H45="",1,$H45))</f>
        <v/>
      </c>
      <c r="Z45" s="7" t="str">
        <f>IF($A45="","",[2]!B_CALC_PRICE($A45,$V$1,IF(情景分析!$D$6=1,$J45,IF(情景分析!$D$6=2,$E45,IF(情景分析!$D$6=4,IF($C45="银行间",$J45,$L45),$G45)))+Z$2/100,情景分析!$D$7,"",,,,"",)*IF($H45="",1,$H45))</f>
        <v/>
      </c>
      <c r="AA45" s="7" t="str">
        <f>IF($A45="","",[2]!B_CALC_PRICE($A45,$V$1,IF(情景分析!$D$6=1,$J45,IF(情景分析!$D$6=2,$E45,IF(情景分析!$D$6=4,IF($C45="银行间",$J45,$L45),$G45)))+AA$2/100,情景分析!$D$7,"",,,,"",)*IF($H45="",1,$H45))</f>
        <v/>
      </c>
      <c r="AB45" s="7" t="str">
        <f>IF($A45="","",[2]!B_CALC_PRICE($A45,$V$1,IF(情景分析!$D$6=1,$J45,IF(情景分析!$D$6=2,$E45,IF(情景分析!$D$6=4,IF($C45="银行间",$J45,$L45),$G45)))+AB$2/100,情景分析!$D$7,"",,,,"",)*IF($H45="",1,$H45))</f>
        <v/>
      </c>
      <c r="AC45" s="7" t="str">
        <f>IF($A45="","",[2]!B_CALC_PRICE($A45,$AC$1,IF(情景分析!$D$6=1,$J45,IF(情景分析!$D$6=2,$E45,IF(情景分析!$D$6=4,IF($C45="银行间",$J45,$L45),$G45)))+AC$2/100,情景分析!$D$7,"",,,,"",)*IF($H45="",1,$H45))</f>
        <v/>
      </c>
      <c r="AD45" s="7" t="str">
        <f>IF($A45="","",[2]!B_CALC_PRICE($A45,$AC$1,IF(情景分析!$D$6=1,$J45,IF(情景分析!$D$6=2,$E45,IF(情景分析!$D$6=4,IF($C45="银行间",$J45,$L45),$G45)))+AD$2/100,情景分析!$D$7,"",,,,"",)*IF($H45="",1,$H45))</f>
        <v/>
      </c>
      <c r="AE45" s="7" t="str">
        <f>IF($A45="","",[2]!B_CALC_PRICE($A45,$AC$1,IF(情景分析!$D$6=1,$J45,IF(情景分析!$D$6=2,$E45,IF(情景分析!$D$6=4,IF($C45="银行间",$J45,$L45),$G45)))+AE$2/100,情景分析!$D$7,"",,,,"",)*IF($H45="",1,$H45))</f>
        <v/>
      </c>
      <c r="AF45" s="7" t="str">
        <f>IF($A45="","",[2]!B_CALC_PRICE($A45,$AC$1,IF(情景分析!$D$6=1,$J45,IF(情景分析!$D$6=2,$E45,IF(情景分析!$D$6=4,IF($C45="银行间",$J45,$L45),$G45)))+AF$2/100,情景分析!$D$7,"",,,,"",)*IF($H45="",1,$H45))</f>
        <v/>
      </c>
      <c r="AG45" s="7" t="str">
        <f>IF($A45="","",[2]!B_CALC_PRICE($A45,$AC$1,IF(情景分析!$D$6=1,$J45,IF(情景分析!$D$6=2,$E45,IF(情景分析!$D$6=4,IF($C45="银行间",$J45,$L45),$G45)))+AG$2/100,情景分析!$D$7,"",,,,"",)*IF($H45="",1,$H45))</f>
        <v/>
      </c>
      <c r="AH45" s="7" t="str">
        <f>IF($A45="","",[2]!B_CALC_PRICE($A45,$AC$1,IF(情景分析!$D$6=1,$J45,IF(情景分析!$D$6=2,$E45,IF(情景分析!$D$6=4,IF($C45="银行间",$J45,$L45),$G45)))+AH$2/100,情景分析!$D$7,"",,,,"",)*IF($H45="",1,$H45))</f>
        <v/>
      </c>
      <c r="AI45" s="7" t="str">
        <f>IF($A45="","",[2]!B_CALC_PRICE($A45,$AC$1,IF(情景分析!$D$6=1,$J45,IF(情景分析!$D$6=2,$E45,IF(情景分析!$D$6=4,IF($C45="银行间",$J45,$L45),$G45)))+AI$2/100,情景分析!$D$7,"",,,,"",)*IF($H45="",1,$H45))</f>
        <v/>
      </c>
      <c r="AJ45" s="7" t="str">
        <f>IF($A45="","",[2]!B_CALC_PRICE($A45,$AJ$1,IF(情景分析!$D$6=1,$J45,IF(情景分析!$D$6=2,$E45,IF(情景分析!$D$6=4,IF($C45="银行间",$J45,$L45),$G45)))+AJ$2/100,情景分析!$D$7,"",,,,"",)*IF($H45="",1,$H45))</f>
        <v/>
      </c>
      <c r="AK45" s="7" t="str">
        <f>IF($A45="","",[2]!B_CALC_PRICE($A45,$AJ$1,IF(情景分析!$D$6=1,$J45,IF(情景分析!$D$6=2,$E45,IF(情景分析!$D$6=4,IF($C45="银行间",$J45,$L45),$G45)))+AK$2/100,情景分析!$D$7,"",,,,"",)*IF($H45="",1,$H45))</f>
        <v/>
      </c>
      <c r="AL45" s="7" t="str">
        <f>IF($A45="","",[2]!B_CALC_PRICE($A45,$AJ$1,IF(情景分析!$D$6=1,$J45,IF(情景分析!$D$6=2,$E45,IF(情景分析!$D$6=4,IF($C45="银行间",$J45,$L45),$G45)))+AL$2/100,情景分析!$D$7,"",,,,"",)*IF($H45="",1,$H45))</f>
        <v/>
      </c>
      <c r="AM45" s="7" t="str">
        <f>IF($A45="","",[2]!B_CALC_PRICE($A45,$AJ$1,IF(情景分析!$D$6=1,$J45,IF(情景分析!$D$6=2,$E45,IF(情景分析!$D$6=4,IF($C45="银行间",$J45,$L45),$G45)))+AM$2/100,情景分析!$D$7,"",,,,"",)*IF($H45="",1,$H45))</f>
        <v/>
      </c>
      <c r="AN45" s="7" t="str">
        <f>IF($A45="","",[2]!B_CALC_PRICE($A45,$AJ$1,IF(情景分析!$D$6=1,$J45,IF(情景分析!$D$6=2,$E45,IF(情景分析!$D$6=4,IF($C45="银行间",$J45,$L45),$G45)))+AN$2/100,情景分析!$D$7,"",,,,"",)*IF($H45="",1,$H45))</f>
        <v/>
      </c>
      <c r="AO45" s="7" t="str">
        <f>IF($A45="","",[2]!B_CALC_PRICE($A45,$AJ$1,IF(情景分析!$D$6=1,$J45,IF(情景分析!$D$6=2,$E45,IF(情景分析!$D$6=4,IF($C45="银行间",$J45,$L45),$G45)))+AO$2/100,情景分析!$D$7,"",,,,"",)*IF($H45="",1,$H45))</f>
        <v/>
      </c>
      <c r="AP45" s="7" t="str">
        <f>IF($A45="","",[2]!B_CALC_PRICE($A45,$AJ$1,IF(情景分析!$D$6=1,$J45,IF(情景分析!$D$6=2,$E45,IF(情景分析!$D$6=4,IF($C45="银行间",$J45,$L45),$G45)))+AP$2/100,情景分析!$D$7,"",,,,"",)*IF($H45="",1,$H45))</f>
        <v/>
      </c>
      <c r="AQ45" s="7" t="str">
        <f>IF($A45="","",[2]!B_CALC_PRICE($A45,$AQ$1,IF(情景分析!$D$6=1,$J45,IF(情景分析!$D$6=2,$E45,IF(情景分析!$D$6=4,IF($C45="银行间",$J45,$L45),$G45)))+AQ$2/100,情景分析!$D$7,"",,,,"",)*IF($H45="",1,$H45))</f>
        <v/>
      </c>
      <c r="AR45" s="7" t="str">
        <f>IF($A45="","",[2]!B_CALC_PRICE($A45,$AQ$1,IF(情景分析!$D$6=1,$J45,IF(情景分析!$D$6=2,$E45,IF(情景分析!$D$6=4,IF($C45="银行间",$J45,$L45),$G45)))+AR$2/100,情景分析!$D$7,"",,,,"",)*IF($H45="",1,$H45))</f>
        <v/>
      </c>
      <c r="AS45" s="7" t="str">
        <f>IF($A45="","",[2]!B_CALC_PRICE($A45,$AQ$1,IF(情景分析!$D$6=1,$J45,IF(情景分析!$D$6=2,$E45,IF(情景分析!$D$6=4,IF($C45="银行间",$J45,$L45),$G45)))+AS$2/100,情景分析!$D$7,"",,,,"",)*IF($H45="",1,$H45))</f>
        <v/>
      </c>
      <c r="AT45" s="7" t="str">
        <f>IF($A45="","",[2]!B_CALC_PRICE($A45,$AQ$1,IF(情景分析!$D$6=1,$J45,IF(情景分析!$D$6=2,$E45,IF(情景分析!$D$6=4,IF($C45="银行间",$J45,$L45),$G45)))+AT$2/100,情景分析!$D$7,"",,,,"",)*IF($H45="",1,$H45))</f>
        <v/>
      </c>
      <c r="AU45" s="7" t="str">
        <f>IF($A45="","",[2]!B_CALC_PRICE($A45,$AQ$1,IF(情景分析!$D$6=1,$J45,IF(情景分析!$D$6=2,$E45,IF(情景分析!$D$6=4,IF($C45="银行间",$J45,$L45),$G45)))+AU$2/100,情景分析!$D$7,"",,,,"",)*IF($H45="",1,$H45))</f>
        <v/>
      </c>
      <c r="AV45" s="7" t="str">
        <f>IF($A45="","",[2]!B_CALC_PRICE($A45,$AQ$1,IF(情景分析!$D$6=1,$J45,IF(情景分析!$D$6=2,$E45,IF(情景分析!$D$6=4,IF($C45="银行间",$J45,$L45),$G45)))+AV$2/100,情景分析!$D$7,"",,,,"",)*IF($H45="",1,$H45))</f>
        <v/>
      </c>
      <c r="AW45" s="7" t="str">
        <f>IF($A45="","",[2]!B_CALC_PRICE($A45,$AQ$1,IF(情景分析!$D$6=1,$J45,IF(情景分析!$D$6=2,$E45,IF(情景分析!$D$6=4,IF($C45="银行间",$J45,$L45),$G45)))+AW$2/100,情景分析!$D$7,"",,,,"",)*IF($H45="",1,$H45))</f>
        <v/>
      </c>
    </row>
    <row r="46" spans="1:49" x14ac:dyDescent="0.15">
      <c r="A46" s="20"/>
      <c r="B46" s="7" t="str">
        <f>IF(A46="","",[2]!b_info_name(A46))</f>
        <v/>
      </c>
      <c r="C46" s="7" t="str">
        <f>[2]!b_info_listedmkt(A46)</f>
        <v>#N/A</v>
      </c>
      <c r="D46" s="7" t="str">
        <f>IFERROR(IF(A46="","", [2]!b_dq_avgprice(A46, 情景分析!$D$5, 情景分析!$D$7) * IF($H46="",1,$H46)),0)</f>
        <v/>
      </c>
      <c r="E46" s="7" t="str">
        <f>IF(A46="","", N([2]!b_dq_avgprice(A46,情景分析!$D$5,3)))</f>
        <v/>
      </c>
      <c r="F46" s="29" t="str">
        <f>IF($G46 = "",
"",
IFERROR(
[2]!b_calc_pv(A46, 情景分析!$D$5,$G46, "1", 情景分析!$D$7),
[2]!b_calc_pv(A46, 情景分析!$D$5,$G46, "2", 情景分析!$D$7)
)
)</f>
        <v/>
      </c>
      <c r="G46" s="22"/>
      <c r="H46" s="21"/>
      <c r="I46" s="7" t="str">
        <f>IF(A46="","",IF(情景分析!$D$7=1,[2]!b_anal_net_cnbd(A46,情景分析!$D$5,1),[2]!b_anal_dirty_cnbd(A46,情景分析!$D$5,1))*IF($H46="",1,$H46))</f>
        <v/>
      </c>
      <c r="J46" s="7" t="str">
        <f>IF(A46="","",[2]!b_anal_yield_cnbd(A46,情景分析!$D$5,1))</f>
        <v/>
      </c>
      <c r="K46" s="29" t="str">
        <f>IF(A46="","",IF(情景分析!$D$7=1,[2]!b_anal_net_csi1(A46,情景分析!$D$5,1),[2]!b_anal_dirty_csi1(A46,情景分析!$D$5,1))*IF($H46="",1,$H46))</f>
        <v/>
      </c>
      <c r="L46" s="29" t="str">
        <f>IF(A46="","",[2]!b_anal_yield_csi1(A46,情景分析!$D$5,1))</f>
        <v/>
      </c>
      <c r="M46" s="29" t="str">
        <f t="shared" si="6"/>
        <v/>
      </c>
      <c r="N46" s="29" t="str">
        <f t="shared" si="7"/>
        <v/>
      </c>
      <c r="O46" s="7" t="str">
        <f>IF($A46="","",[2]!B_CALC_PRICE($A46,$O$1,IF(情景分析!$D$6=1,$J46,IF(情景分析!$D$6=2,$E46,IF(情景分析!$D$6=4,IF($C46="银行间",$J46,$L46),$G46)))+O$2/100,情景分析!$D$7,"",,,,"",)*IF($H46="",1,$H46))</f>
        <v/>
      </c>
      <c r="P46" s="7" t="str">
        <f>IF($A46="","",[2]!B_CALC_PRICE($A46,$O$1,IF(情景分析!$D$6=1,$J46,IF(情景分析!$D$6=2,$E46,IF(情景分析!$D$6=4,IF($C46="银行间",$J46,$L46),$G46)))+P$2/100,情景分析!$D$7,"",,,,"",)*IF($H46="",1,$H46))</f>
        <v/>
      </c>
      <c r="Q46" s="7" t="str">
        <f>IF($A46="","",[2]!B_CALC_PRICE($A46,$O$1,IF(情景分析!$D$6=1,$J46,IF(情景分析!$D$6=2,$E46,IF(情景分析!$D$6=4,IF($C46="银行间",$J46,$L46),$G46)))+Q$2/100,情景分析!$D$7,"",,,,"",)*IF($H46="",1,$H46))</f>
        <v/>
      </c>
      <c r="R46" s="7" t="str">
        <f>IF($A46="","",[2]!B_CALC_PRICE($A46,$O$1,IF(情景分析!$D$6=1,$J46,IF(情景分析!$D$6=2,$E46,IF(情景分析!$D$6=4,IF($C46="银行间",$J46,$L46),$G46)))+R$2/100,情景分析!$D$7,"",,,,"",)*IF($H46="",1,$H46))</f>
        <v/>
      </c>
      <c r="S46" s="7" t="str">
        <f>IF($A46="","",[2]!B_CALC_PRICE($A46,$O$1,IF(情景分析!$D$6=1,$J46,IF(情景分析!$D$6=2,$E46,IF(情景分析!$D$6=4,IF($C46="银行间",$J46,$L46),$G46)))+S$2/100,情景分析!$D$7,"",,,,"",)*IF($H46="",1,$H46))</f>
        <v/>
      </c>
      <c r="T46" s="7" t="str">
        <f>IF($A46="","",[2]!B_CALC_PRICE($A46,$O$1,IF(情景分析!$D$6=1,$J46,IF(情景分析!$D$6=2,$E46,IF(情景分析!$D$6=4,IF($C46="银行间",$J46,$L46),$G46)))+T$2/100,情景分析!$D$7,"",,,,"",)*IF($H46="",1,$H46))</f>
        <v/>
      </c>
      <c r="U46" s="7" t="str">
        <f>IF($A46="","",[2]!B_CALC_PRICE($A46,$O$1,IF(情景分析!$D$6=1,$J46,IF(情景分析!$D$6=2,$E46,IF(情景分析!$D$6=4,IF($C46="银行间",$J46,$L46),$G46)))+U$2/100,情景分析!$D$7,"",,,,"",)*IF($H46="",1,$H46))</f>
        <v/>
      </c>
      <c r="V46" s="7" t="str">
        <f>IF($A46="","",[2]!B_CALC_PRICE($A46,$V$1,IF(情景分析!$D$6=1,$J46,IF(情景分析!$D$6=2,$E46,IF(情景分析!$D$6=4,IF($C46="银行间",$J46,$L46),$G46)))+V$2/100,情景分析!$D$7,"",,,,"",)*IF($H46="",1,$H46))</f>
        <v/>
      </c>
      <c r="W46" s="7" t="str">
        <f>IF($A46="","",[2]!B_CALC_PRICE($A46,$V$1,IF(情景分析!$D$6=1,$J46,IF(情景分析!$D$6=2,$E46,IF(情景分析!$D$6=4,IF($C46="银行间",$J46,$L46),$G46)))+W$2/100,情景分析!$D$7,"",,,,"",)*IF($H46="",1,$H46))</f>
        <v/>
      </c>
      <c r="X46" s="7" t="str">
        <f>IF($A46="","",[2]!B_CALC_PRICE($A46,$V$1,IF(情景分析!$D$6=1,$J46,IF(情景分析!$D$6=2,$E46,IF(情景分析!$D$6=4,IF($C46="银行间",$J46,$L46),$G46)))+X$2/100,情景分析!$D$7,"",,,,"",)*IF($H46="",1,$H46))</f>
        <v/>
      </c>
      <c r="Y46" s="7" t="str">
        <f>IF($A46="","",[2]!B_CALC_PRICE($A46,$V$1,IF(情景分析!$D$6=1,$J46,IF(情景分析!$D$6=2,$E46,IF(情景分析!$D$6=4,IF($C46="银行间",$J46,$L46),$G46)))+Y$2/100,情景分析!$D$7,"",,,,"",)*IF($H46="",1,$H46))</f>
        <v/>
      </c>
      <c r="Z46" s="7" t="str">
        <f>IF($A46="","",[2]!B_CALC_PRICE($A46,$V$1,IF(情景分析!$D$6=1,$J46,IF(情景分析!$D$6=2,$E46,IF(情景分析!$D$6=4,IF($C46="银行间",$J46,$L46),$G46)))+Z$2/100,情景分析!$D$7,"",,,,"",)*IF($H46="",1,$H46))</f>
        <v/>
      </c>
      <c r="AA46" s="7" t="str">
        <f>IF($A46="","",[2]!B_CALC_PRICE($A46,$V$1,IF(情景分析!$D$6=1,$J46,IF(情景分析!$D$6=2,$E46,IF(情景分析!$D$6=4,IF($C46="银行间",$J46,$L46),$G46)))+AA$2/100,情景分析!$D$7,"",,,,"",)*IF($H46="",1,$H46))</f>
        <v/>
      </c>
      <c r="AB46" s="7" t="str">
        <f>IF($A46="","",[2]!B_CALC_PRICE($A46,$V$1,IF(情景分析!$D$6=1,$J46,IF(情景分析!$D$6=2,$E46,IF(情景分析!$D$6=4,IF($C46="银行间",$J46,$L46),$G46)))+AB$2/100,情景分析!$D$7,"",,,,"",)*IF($H46="",1,$H46))</f>
        <v/>
      </c>
      <c r="AC46" s="7" t="str">
        <f>IF($A46="","",[2]!B_CALC_PRICE($A46,$AC$1,IF(情景分析!$D$6=1,$J46,IF(情景分析!$D$6=2,$E46,IF(情景分析!$D$6=4,IF($C46="银行间",$J46,$L46),$G46)))+AC$2/100,情景分析!$D$7,"",,,,"",)*IF($H46="",1,$H46))</f>
        <v/>
      </c>
      <c r="AD46" s="7" t="str">
        <f>IF($A46="","",[2]!B_CALC_PRICE($A46,$AC$1,IF(情景分析!$D$6=1,$J46,IF(情景分析!$D$6=2,$E46,IF(情景分析!$D$6=4,IF($C46="银行间",$J46,$L46),$G46)))+AD$2/100,情景分析!$D$7,"",,,,"",)*IF($H46="",1,$H46))</f>
        <v/>
      </c>
      <c r="AE46" s="7" t="str">
        <f>IF($A46="","",[2]!B_CALC_PRICE($A46,$AC$1,IF(情景分析!$D$6=1,$J46,IF(情景分析!$D$6=2,$E46,IF(情景分析!$D$6=4,IF($C46="银行间",$J46,$L46),$G46)))+AE$2/100,情景分析!$D$7,"",,,,"",)*IF($H46="",1,$H46))</f>
        <v/>
      </c>
      <c r="AF46" s="7" t="str">
        <f>IF($A46="","",[2]!B_CALC_PRICE($A46,$AC$1,IF(情景分析!$D$6=1,$J46,IF(情景分析!$D$6=2,$E46,IF(情景分析!$D$6=4,IF($C46="银行间",$J46,$L46),$G46)))+AF$2/100,情景分析!$D$7,"",,,,"",)*IF($H46="",1,$H46))</f>
        <v/>
      </c>
      <c r="AG46" s="7" t="str">
        <f>IF($A46="","",[2]!B_CALC_PRICE($A46,$AC$1,IF(情景分析!$D$6=1,$J46,IF(情景分析!$D$6=2,$E46,IF(情景分析!$D$6=4,IF($C46="银行间",$J46,$L46),$G46)))+AG$2/100,情景分析!$D$7,"",,,,"",)*IF($H46="",1,$H46))</f>
        <v/>
      </c>
      <c r="AH46" s="7" t="str">
        <f>IF($A46="","",[2]!B_CALC_PRICE($A46,$AC$1,IF(情景分析!$D$6=1,$J46,IF(情景分析!$D$6=2,$E46,IF(情景分析!$D$6=4,IF($C46="银行间",$J46,$L46),$G46)))+AH$2/100,情景分析!$D$7,"",,,,"",)*IF($H46="",1,$H46))</f>
        <v/>
      </c>
      <c r="AI46" s="7" t="str">
        <f>IF($A46="","",[2]!B_CALC_PRICE($A46,$AC$1,IF(情景分析!$D$6=1,$J46,IF(情景分析!$D$6=2,$E46,IF(情景分析!$D$6=4,IF($C46="银行间",$J46,$L46),$G46)))+AI$2/100,情景分析!$D$7,"",,,,"",)*IF($H46="",1,$H46))</f>
        <v/>
      </c>
      <c r="AJ46" s="7" t="str">
        <f>IF($A46="","",[2]!B_CALC_PRICE($A46,$AJ$1,IF(情景分析!$D$6=1,$J46,IF(情景分析!$D$6=2,$E46,IF(情景分析!$D$6=4,IF($C46="银行间",$J46,$L46),$G46)))+AJ$2/100,情景分析!$D$7,"",,,,"",)*IF($H46="",1,$H46))</f>
        <v/>
      </c>
      <c r="AK46" s="7" t="str">
        <f>IF($A46="","",[2]!B_CALC_PRICE($A46,$AJ$1,IF(情景分析!$D$6=1,$J46,IF(情景分析!$D$6=2,$E46,IF(情景分析!$D$6=4,IF($C46="银行间",$J46,$L46),$G46)))+AK$2/100,情景分析!$D$7,"",,,,"",)*IF($H46="",1,$H46))</f>
        <v/>
      </c>
      <c r="AL46" s="7" t="str">
        <f>IF($A46="","",[2]!B_CALC_PRICE($A46,$AJ$1,IF(情景分析!$D$6=1,$J46,IF(情景分析!$D$6=2,$E46,IF(情景分析!$D$6=4,IF($C46="银行间",$J46,$L46),$G46)))+AL$2/100,情景分析!$D$7,"",,,,"",)*IF($H46="",1,$H46))</f>
        <v/>
      </c>
      <c r="AM46" s="7" t="str">
        <f>IF($A46="","",[2]!B_CALC_PRICE($A46,$AJ$1,IF(情景分析!$D$6=1,$J46,IF(情景分析!$D$6=2,$E46,IF(情景分析!$D$6=4,IF($C46="银行间",$J46,$L46),$G46)))+AM$2/100,情景分析!$D$7,"",,,,"",)*IF($H46="",1,$H46))</f>
        <v/>
      </c>
      <c r="AN46" s="7" t="str">
        <f>IF($A46="","",[2]!B_CALC_PRICE($A46,$AJ$1,IF(情景分析!$D$6=1,$J46,IF(情景分析!$D$6=2,$E46,IF(情景分析!$D$6=4,IF($C46="银行间",$J46,$L46),$G46)))+AN$2/100,情景分析!$D$7,"",,,,"",)*IF($H46="",1,$H46))</f>
        <v/>
      </c>
      <c r="AO46" s="7" t="str">
        <f>IF($A46="","",[2]!B_CALC_PRICE($A46,$AJ$1,IF(情景分析!$D$6=1,$J46,IF(情景分析!$D$6=2,$E46,IF(情景分析!$D$6=4,IF($C46="银行间",$J46,$L46),$G46)))+AO$2/100,情景分析!$D$7,"",,,,"",)*IF($H46="",1,$H46))</f>
        <v/>
      </c>
      <c r="AP46" s="7" t="str">
        <f>IF($A46="","",[2]!B_CALC_PRICE($A46,$AJ$1,IF(情景分析!$D$6=1,$J46,IF(情景分析!$D$6=2,$E46,IF(情景分析!$D$6=4,IF($C46="银行间",$J46,$L46),$G46)))+AP$2/100,情景分析!$D$7,"",,,,"",)*IF($H46="",1,$H46))</f>
        <v/>
      </c>
      <c r="AQ46" s="7" t="str">
        <f>IF($A46="","",[2]!B_CALC_PRICE($A46,$AQ$1,IF(情景分析!$D$6=1,$J46,IF(情景分析!$D$6=2,$E46,IF(情景分析!$D$6=4,IF($C46="银行间",$J46,$L46),$G46)))+AQ$2/100,情景分析!$D$7,"",,,,"",)*IF($H46="",1,$H46))</f>
        <v/>
      </c>
      <c r="AR46" s="7" t="str">
        <f>IF($A46="","",[2]!B_CALC_PRICE($A46,$AQ$1,IF(情景分析!$D$6=1,$J46,IF(情景分析!$D$6=2,$E46,IF(情景分析!$D$6=4,IF($C46="银行间",$J46,$L46),$G46)))+AR$2/100,情景分析!$D$7,"",,,,"",)*IF($H46="",1,$H46))</f>
        <v/>
      </c>
      <c r="AS46" s="7" t="str">
        <f>IF($A46="","",[2]!B_CALC_PRICE($A46,$AQ$1,IF(情景分析!$D$6=1,$J46,IF(情景分析!$D$6=2,$E46,IF(情景分析!$D$6=4,IF($C46="银行间",$J46,$L46),$G46)))+AS$2/100,情景分析!$D$7,"",,,,"",)*IF($H46="",1,$H46))</f>
        <v/>
      </c>
      <c r="AT46" s="7" t="str">
        <f>IF($A46="","",[2]!B_CALC_PRICE($A46,$AQ$1,IF(情景分析!$D$6=1,$J46,IF(情景分析!$D$6=2,$E46,IF(情景分析!$D$6=4,IF($C46="银行间",$J46,$L46),$G46)))+AT$2/100,情景分析!$D$7,"",,,,"",)*IF($H46="",1,$H46))</f>
        <v/>
      </c>
      <c r="AU46" s="7" t="str">
        <f>IF($A46="","",[2]!B_CALC_PRICE($A46,$AQ$1,IF(情景分析!$D$6=1,$J46,IF(情景分析!$D$6=2,$E46,IF(情景分析!$D$6=4,IF($C46="银行间",$J46,$L46),$G46)))+AU$2/100,情景分析!$D$7,"",,,,"",)*IF($H46="",1,$H46))</f>
        <v/>
      </c>
      <c r="AV46" s="7" t="str">
        <f>IF($A46="","",[2]!B_CALC_PRICE($A46,$AQ$1,IF(情景分析!$D$6=1,$J46,IF(情景分析!$D$6=2,$E46,IF(情景分析!$D$6=4,IF($C46="银行间",$J46,$L46),$G46)))+AV$2/100,情景分析!$D$7,"",,,,"",)*IF($H46="",1,$H46))</f>
        <v/>
      </c>
      <c r="AW46" s="7" t="str">
        <f>IF($A46="","",[2]!B_CALC_PRICE($A46,$AQ$1,IF(情景分析!$D$6=1,$J46,IF(情景分析!$D$6=2,$E46,IF(情景分析!$D$6=4,IF($C46="银行间",$J46,$L46),$G46)))+AW$2/100,情景分析!$D$7,"",,,,"",)*IF($H46="",1,$H46))</f>
        <v/>
      </c>
    </row>
    <row r="47" spans="1:49" x14ac:dyDescent="0.15">
      <c r="A47" s="20"/>
      <c r="B47" s="7" t="str">
        <f>IF(A47="","",[2]!b_info_name(A47))</f>
        <v/>
      </c>
      <c r="C47" s="7" t="str">
        <f>[2]!b_info_listedmkt(A47)</f>
        <v>#N/A</v>
      </c>
      <c r="D47" s="7" t="str">
        <f>IFERROR(IF(A47="","", [2]!b_dq_avgprice(A47, 情景分析!$D$5, 情景分析!$D$7) * IF($H47="",1,$H47)),0)</f>
        <v/>
      </c>
      <c r="E47" s="7" t="str">
        <f>IF(A47="","", N([2]!b_dq_avgprice(A47,情景分析!$D$5,3)))</f>
        <v/>
      </c>
      <c r="F47" s="29" t="str">
        <f>IF($G47 = "",
"",
IFERROR(
[2]!b_calc_pv(A47, 情景分析!$D$5,$G47, "1", 情景分析!$D$7),
[2]!b_calc_pv(A47, 情景分析!$D$5,$G47, "2", 情景分析!$D$7)
)
)</f>
        <v/>
      </c>
      <c r="G47" s="22"/>
      <c r="H47" s="21"/>
      <c r="I47" s="7" t="str">
        <f>IF(A47="","",IF(情景分析!$D$7=1,[2]!b_anal_net_cnbd(A47,情景分析!$D$5,1),[2]!b_anal_dirty_cnbd(A47,情景分析!$D$5,1))*IF($H47="",1,$H47))</f>
        <v/>
      </c>
      <c r="J47" s="7" t="str">
        <f>IF(A47="","",[2]!b_anal_yield_cnbd(A47,情景分析!$D$5,1))</f>
        <v/>
      </c>
      <c r="K47" s="29" t="str">
        <f>IF(A47="","",IF(情景分析!$D$7=1,[2]!b_anal_net_csi1(A47,情景分析!$D$5,1),[2]!b_anal_dirty_csi1(A47,情景分析!$D$5,1))*IF($H47="",1,$H47))</f>
        <v/>
      </c>
      <c r="L47" s="29" t="str">
        <f>IF(A47="","",[2]!b_anal_yield_csi1(A47,情景分析!$D$5,1))</f>
        <v/>
      </c>
      <c r="M47" s="29" t="str">
        <f t="shared" si="6"/>
        <v/>
      </c>
      <c r="N47" s="29" t="str">
        <f t="shared" si="7"/>
        <v/>
      </c>
      <c r="O47" s="7" t="str">
        <f>IF($A47="","",[2]!B_CALC_PRICE($A47,$O$1,IF(情景分析!$D$6=1,$J47,IF(情景分析!$D$6=2,$E47,IF(情景分析!$D$6=4,IF($C47="银行间",$J47,$L47),$G47)))+O$2/100,情景分析!$D$7,"",,,,"",)*IF($H47="",1,$H47))</f>
        <v/>
      </c>
      <c r="P47" s="7" t="str">
        <f>IF($A47="","",[2]!B_CALC_PRICE($A47,$O$1,IF(情景分析!$D$6=1,$J47,IF(情景分析!$D$6=2,$E47,IF(情景分析!$D$6=4,IF($C47="银行间",$J47,$L47),$G47)))+P$2/100,情景分析!$D$7,"",,,,"",)*IF($H47="",1,$H47))</f>
        <v/>
      </c>
      <c r="Q47" s="7" t="str">
        <f>IF($A47="","",[2]!B_CALC_PRICE($A47,$O$1,IF(情景分析!$D$6=1,$J47,IF(情景分析!$D$6=2,$E47,IF(情景分析!$D$6=4,IF($C47="银行间",$J47,$L47),$G47)))+Q$2/100,情景分析!$D$7,"",,,,"",)*IF($H47="",1,$H47))</f>
        <v/>
      </c>
      <c r="R47" s="7" t="str">
        <f>IF($A47="","",[2]!B_CALC_PRICE($A47,$O$1,IF(情景分析!$D$6=1,$J47,IF(情景分析!$D$6=2,$E47,IF(情景分析!$D$6=4,IF($C47="银行间",$J47,$L47),$G47)))+R$2/100,情景分析!$D$7,"",,,,"",)*IF($H47="",1,$H47))</f>
        <v/>
      </c>
      <c r="S47" s="7" t="str">
        <f>IF($A47="","",[2]!B_CALC_PRICE($A47,$O$1,IF(情景分析!$D$6=1,$J47,IF(情景分析!$D$6=2,$E47,IF(情景分析!$D$6=4,IF($C47="银行间",$J47,$L47),$G47)))+S$2/100,情景分析!$D$7,"",,,,"",)*IF($H47="",1,$H47))</f>
        <v/>
      </c>
      <c r="T47" s="7" t="str">
        <f>IF($A47="","",[2]!B_CALC_PRICE($A47,$O$1,IF(情景分析!$D$6=1,$J47,IF(情景分析!$D$6=2,$E47,IF(情景分析!$D$6=4,IF($C47="银行间",$J47,$L47),$G47)))+T$2/100,情景分析!$D$7,"",,,,"",)*IF($H47="",1,$H47))</f>
        <v/>
      </c>
      <c r="U47" s="7" t="str">
        <f>IF($A47="","",[2]!B_CALC_PRICE($A47,$O$1,IF(情景分析!$D$6=1,$J47,IF(情景分析!$D$6=2,$E47,IF(情景分析!$D$6=4,IF($C47="银行间",$J47,$L47),$G47)))+U$2/100,情景分析!$D$7,"",,,,"",)*IF($H47="",1,$H47))</f>
        <v/>
      </c>
      <c r="V47" s="7" t="str">
        <f>IF($A47="","",[2]!B_CALC_PRICE($A47,$V$1,IF(情景分析!$D$6=1,$J47,IF(情景分析!$D$6=2,$E47,IF(情景分析!$D$6=4,IF($C47="银行间",$J47,$L47),$G47)))+V$2/100,情景分析!$D$7,"",,,,"",)*IF($H47="",1,$H47))</f>
        <v/>
      </c>
      <c r="W47" s="7" t="str">
        <f>IF($A47="","",[2]!B_CALC_PRICE($A47,$V$1,IF(情景分析!$D$6=1,$J47,IF(情景分析!$D$6=2,$E47,IF(情景分析!$D$6=4,IF($C47="银行间",$J47,$L47),$G47)))+W$2/100,情景分析!$D$7,"",,,,"",)*IF($H47="",1,$H47))</f>
        <v/>
      </c>
      <c r="X47" s="7" t="str">
        <f>IF($A47="","",[2]!B_CALC_PRICE($A47,$V$1,IF(情景分析!$D$6=1,$J47,IF(情景分析!$D$6=2,$E47,IF(情景分析!$D$6=4,IF($C47="银行间",$J47,$L47),$G47)))+X$2/100,情景分析!$D$7,"",,,,"",)*IF($H47="",1,$H47))</f>
        <v/>
      </c>
      <c r="Y47" s="7" t="str">
        <f>IF($A47="","",[2]!B_CALC_PRICE($A47,$V$1,IF(情景分析!$D$6=1,$J47,IF(情景分析!$D$6=2,$E47,IF(情景分析!$D$6=4,IF($C47="银行间",$J47,$L47),$G47)))+Y$2/100,情景分析!$D$7,"",,,,"",)*IF($H47="",1,$H47))</f>
        <v/>
      </c>
      <c r="Z47" s="7" t="str">
        <f>IF($A47="","",[2]!B_CALC_PRICE($A47,$V$1,IF(情景分析!$D$6=1,$J47,IF(情景分析!$D$6=2,$E47,IF(情景分析!$D$6=4,IF($C47="银行间",$J47,$L47),$G47)))+Z$2/100,情景分析!$D$7,"",,,,"",)*IF($H47="",1,$H47))</f>
        <v/>
      </c>
      <c r="AA47" s="7" t="str">
        <f>IF($A47="","",[2]!B_CALC_PRICE($A47,$V$1,IF(情景分析!$D$6=1,$J47,IF(情景分析!$D$6=2,$E47,IF(情景分析!$D$6=4,IF($C47="银行间",$J47,$L47),$G47)))+AA$2/100,情景分析!$D$7,"",,,,"",)*IF($H47="",1,$H47))</f>
        <v/>
      </c>
      <c r="AB47" s="7" t="str">
        <f>IF($A47="","",[2]!B_CALC_PRICE($A47,$V$1,IF(情景分析!$D$6=1,$J47,IF(情景分析!$D$6=2,$E47,IF(情景分析!$D$6=4,IF($C47="银行间",$J47,$L47),$G47)))+AB$2/100,情景分析!$D$7,"",,,,"",)*IF($H47="",1,$H47))</f>
        <v/>
      </c>
      <c r="AC47" s="7" t="str">
        <f>IF($A47="","",[2]!B_CALC_PRICE($A47,$AC$1,IF(情景分析!$D$6=1,$J47,IF(情景分析!$D$6=2,$E47,IF(情景分析!$D$6=4,IF($C47="银行间",$J47,$L47),$G47)))+AC$2/100,情景分析!$D$7,"",,,,"",)*IF($H47="",1,$H47))</f>
        <v/>
      </c>
      <c r="AD47" s="7" t="str">
        <f>IF($A47="","",[2]!B_CALC_PRICE($A47,$AC$1,IF(情景分析!$D$6=1,$J47,IF(情景分析!$D$6=2,$E47,IF(情景分析!$D$6=4,IF($C47="银行间",$J47,$L47),$G47)))+AD$2/100,情景分析!$D$7,"",,,,"",)*IF($H47="",1,$H47))</f>
        <v/>
      </c>
      <c r="AE47" s="7" t="str">
        <f>IF($A47="","",[2]!B_CALC_PRICE($A47,$AC$1,IF(情景分析!$D$6=1,$J47,IF(情景分析!$D$6=2,$E47,IF(情景分析!$D$6=4,IF($C47="银行间",$J47,$L47),$G47)))+AE$2/100,情景分析!$D$7,"",,,,"",)*IF($H47="",1,$H47))</f>
        <v/>
      </c>
      <c r="AF47" s="7" t="str">
        <f>IF($A47="","",[2]!B_CALC_PRICE($A47,$AC$1,IF(情景分析!$D$6=1,$J47,IF(情景分析!$D$6=2,$E47,IF(情景分析!$D$6=4,IF($C47="银行间",$J47,$L47),$G47)))+AF$2/100,情景分析!$D$7,"",,,,"",)*IF($H47="",1,$H47))</f>
        <v/>
      </c>
      <c r="AG47" s="7" t="str">
        <f>IF($A47="","",[2]!B_CALC_PRICE($A47,$AC$1,IF(情景分析!$D$6=1,$J47,IF(情景分析!$D$6=2,$E47,IF(情景分析!$D$6=4,IF($C47="银行间",$J47,$L47),$G47)))+AG$2/100,情景分析!$D$7,"",,,,"",)*IF($H47="",1,$H47))</f>
        <v/>
      </c>
      <c r="AH47" s="7" t="str">
        <f>IF($A47="","",[2]!B_CALC_PRICE($A47,$AC$1,IF(情景分析!$D$6=1,$J47,IF(情景分析!$D$6=2,$E47,IF(情景分析!$D$6=4,IF($C47="银行间",$J47,$L47),$G47)))+AH$2/100,情景分析!$D$7,"",,,,"",)*IF($H47="",1,$H47))</f>
        <v/>
      </c>
      <c r="AI47" s="7" t="str">
        <f>IF($A47="","",[2]!B_CALC_PRICE($A47,$AC$1,IF(情景分析!$D$6=1,$J47,IF(情景分析!$D$6=2,$E47,IF(情景分析!$D$6=4,IF($C47="银行间",$J47,$L47),$G47)))+AI$2/100,情景分析!$D$7,"",,,,"",)*IF($H47="",1,$H47))</f>
        <v/>
      </c>
      <c r="AJ47" s="7" t="str">
        <f>IF($A47="","",[2]!B_CALC_PRICE($A47,$AJ$1,IF(情景分析!$D$6=1,$J47,IF(情景分析!$D$6=2,$E47,IF(情景分析!$D$6=4,IF($C47="银行间",$J47,$L47),$G47)))+AJ$2/100,情景分析!$D$7,"",,,,"",)*IF($H47="",1,$H47))</f>
        <v/>
      </c>
      <c r="AK47" s="7" t="str">
        <f>IF($A47="","",[2]!B_CALC_PRICE($A47,$AJ$1,IF(情景分析!$D$6=1,$J47,IF(情景分析!$D$6=2,$E47,IF(情景分析!$D$6=4,IF($C47="银行间",$J47,$L47),$G47)))+AK$2/100,情景分析!$D$7,"",,,,"",)*IF($H47="",1,$H47))</f>
        <v/>
      </c>
      <c r="AL47" s="7" t="str">
        <f>IF($A47="","",[2]!B_CALC_PRICE($A47,$AJ$1,IF(情景分析!$D$6=1,$J47,IF(情景分析!$D$6=2,$E47,IF(情景分析!$D$6=4,IF($C47="银行间",$J47,$L47),$G47)))+AL$2/100,情景分析!$D$7,"",,,,"",)*IF($H47="",1,$H47))</f>
        <v/>
      </c>
      <c r="AM47" s="7" t="str">
        <f>IF($A47="","",[2]!B_CALC_PRICE($A47,$AJ$1,IF(情景分析!$D$6=1,$J47,IF(情景分析!$D$6=2,$E47,IF(情景分析!$D$6=4,IF($C47="银行间",$J47,$L47),$G47)))+AM$2/100,情景分析!$D$7,"",,,,"",)*IF($H47="",1,$H47))</f>
        <v/>
      </c>
      <c r="AN47" s="7" t="str">
        <f>IF($A47="","",[2]!B_CALC_PRICE($A47,$AJ$1,IF(情景分析!$D$6=1,$J47,IF(情景分析!$D$6=2,$E47,IF(情景分析!$D$6=4,IF($C47="银行间",$J47,$L47),$G47)))+AN$2/100,情景分析!$D$7,"",,,,"",)*IF($H47="",1,$H47))</f>
        <v/>
      </c>
      <c r="AO47" s="7" t="str">
        <f>IF($A47="","",[2]!B_CALC_PRICE($A47,$AJ$1,IF(情景分析!$D$6=1,$J47,IF(情景分析!$D$6=2,$E47,IF(情景分析!$D$6=4,IF($C47="银行间",$J47,$L47),$G47)))+AO$2/100,情景分析!$D$7,"",,,,"",)*IF($H47="",1,$H47))</f>
        <v/>
      </c>
      <c r="AP47" s="7" t="str">
        <f>IF($A47="","",[2]!B_CALC_PRICE($A47,$AJ$1,IF(情景分析!$D$6=1,$J47,IF(情景分析!$D$6=2,$E47,IF(情景分析!$D$6=4,IF($C47="银行间",$J47,$L47),$G47)))+AP$2/100,情景分析!$D$7,"",,,,"",)*IF($H47="",1,$H47))</f>
        <v/>
      </c>
      <c r="AQ47" s="7" t="str">
        <f>IF($A47="","",[2]!B_CALC_PRICE($A47,$AQ$1,IF(情景分析!$D$6=1,$J47,IF(情景分析!$D$6=2,$E47,IF(情景分析!$D$6=4,IF($C47="银行间",$J47,$L47),$G47)))+AQ$2/100,情景分析!$D$7,"",,,,"",)*IF($H47="",1,$H47))</f>
        <v/>
      </c>
      <c r="AR47" s="7" t="str">
        <f>IF($A47="","",[2]!B_CALC_PRICE($A47,$AQ$1,IF(情景分析!$D$6=1,$J47,IF(情景分析!$D$6=2,$E47,IF(情景分析!$D$6=4,IF($C47="银行间",$J47,$L47),$G47)))+AR$2/100,情景分析!$D$7,"",,,,"",)*IF($H47="",1,$H47))</f>
        <v/>
      </c>
      <c r="AS47" s="7" t="str">
        <f>IF($A47="","",[2]!B_CALC_PRICE($A47,$AQ$1,IF(情景分析!$D$6=1,$J47,IF(情景分析!$D$6=2,$E47,IF(情景分析!$D$6=4,IF($C47="银行间",$J47,$L47),$G47)))+AS$2/100,情景分析!$D$7,"",,,,"",)*IF($H47="",1,$H47))</f>
        <v/>
      </c>
      <c r="AT47" s="7" t="str">
        <f>IF($A47="","",[2]!B_CALC_PRICE($A47,$AQ$1,IF(情景分析!$D$6=1,$J47,IF(情景分析!$D$6=2,$E47,IF(情景分析!$D$6=4,IF($C47="银行间",$J47,$L47),$G47)))+AT$2/100,情景分析!$D$7,"",,,,"",)*IF($H47="",1,$H47))</f>
        <v/>
      </c>
      <c r="AU47" s="7" t="str">
        <f>IF($A47="","",[2]!B_CALC_PRICE($A47,$AQ$1,IF(情景分析!$D$6=1,$J47,IF(情景分析!$D$6=2,$E47,IF(情景分析!$D$6=4,IF($C47="银行间",$J47,$L47),$G47)))+AU$2/100,情景分析!$D$7,"",,,,"",)*IF($H47="",1,$H47))</f>
        <v/>
      </c>
      <c r="AV47" s="7" t="str">
        <f>IF($A47="","",[2]!B_CALC_PRICE($A47,$AQ$1,IF(情景分析!$D$6=1,$J47,IF(情景分析!$D$6=2,$E47,IF(情景分析!$D$6=4,IF($C47="银行间",$J47,$L47),$G47)))+AV$2/100,情景分析!$D$7,"",,,,"",)*IF($H47="",1,$H47))</f>
        <v/>
      </c>
      <c r="AW47" s="7" t="str">
        <f>IF($A47="","",[2]!B_CALC_PRICE($A47,$AQ$1,IF(情景分析!$D$6=1,$J47,IF(情景分析!$D$6=2,$E47,IF(情景分析!$D$6=4,IF($C47="银行间",$J47,$L47),$G47)))+AW$2/100,情景分析!$D$7,"",,,,"",)*IF($H47="",1,$H47))</f>
        <v/>
      </c>
    </row>
    <row r="48" spans="1:49" x14ac:dyDescent="0.15">
      <c r="A48" s="20"/>
      <c r="B48" s="7" t="str">
        <f>IF(A48="","",[2]!b_info_name(A48))</f>
        <v/>
      </c>
      <c r="C48" s="7" t="str">
        <f>[2]!b_info_listedmkt(A48)</f>
        <v>#N/A</v>
      </c>
      <c r="D48" s="7" t="str">
        <f>IFERROR(IF(A48="","", [2]!b_dq_avgprice(A48, 情景分析!$D$5, 情景分析!$D$7) * IF($H48="",1,$H48)),0)</f>
        <v/>
      </c>
      <c r="E48" s="7" t="str">
        <f>IF(A48="","", N([2]!b_dq_avgprice(A48,情景分析!$D$5,3)))</f>
        <v/>
      </c>
      <c r="F48" s="29" t="str">
        <f>IF($G48 = "",
"",
IFERROR(
[2]!b_calc_pv(A48, 情景分析!$D$5,$G48, "1", 情景分析!$D$7),
[2]!b_calc_pv(A48, 情景分析!$D$5,$G48, "2", 情景分析!$D$7)
)
)</f>
        <v/>
      </c>
      <c r="G48" s="22"/>
      <c r="H48" s="21"/>
      <c r="I48" s="7" t="str">
        <f>IF(A48="","",IF(情景分析!$D$7=1,[2]!b_anal_net_cnbd(A48,情景分析!$D$5,1),[2]!b_anal_dirty_cnbd(A48,情景分析!$D$5,1))*IF($H48="",1,$H48))</f>
        <v/>
      </c>
      <c r="J48" s="7" t="str">
        <f>IF(A48="","",[2]!b_anal_yield_cnbd(A48,情景分析!$D$5,1))</f>
        <v/>
      </c>
      <c r="K48" s="29" t="str">
        <f>IF(A48="","",IF(情景分析!$D$7=1,[2]!b_anal_net_csi1(A48,情景分析!$D$5,1),[2]!b_anal_dirty_csi1(A48,情景分析!$D$5,1))*IF($H48="",1,$H48))</f>
        <v/>
      </c>
      <c r="L48" s="29" t="str">
        <f>IF(A48="","",[2]!b_anal_yield_csi1(A48,情景分析!$D$5,1))</f>
        <v/>
      </c>
      <c r="M48" s="29" t="str">
        <f t="shared" si="6"/>
        <v/>
      </c>
      <c r="N48" s="29" t="str">
        <f t="shared" si="7"/>
        <v/>
      </c>
      <c r="O48" s="7" t="str">
        <f>IF($A48="","",[2]!B_CALC_PRICE($A48,$O$1,IF(情景分析!$D$6=1,$J48,IF(情景分析!$D$6=2,$E48,IF(情景分析!$D$6=4,IF($C48="银行间",$J48,$L48),$G48)))+O$2/100,情景分析!$D$7,"",,,,"",)*IF($H48="",1,$H48))</f>
        <v/>
      </c>
      <c r="P48" s="7" t="str">
        <f>IF($A48="","",[2]!B_CALC_PRICE($A48,$O$1,IF(情景分析!$D$6=1,$J48,IF(情景分析!$D$6=2,$E48,IF(情景分析!$D$6=4,IF($C48="银行间",$J48,$L48),$G48)))+P$2/100,情景分析!$D$7,"",,,,"",)*IF($H48="",1,$H48))</f>
        <v/>
      </c>
      <c r="Q48" s="7" t="str">
        <f>IF($A48="","",[2]!B_CALC_PRICE($A48,$O$1,IF(情景分析!$D$6=1,$J48,IF(情景分析!$D$6=2,$E48,IF(情景分析!$D$6=4,IF($C48="银行间",$J48,$L48),$G48)))+Q$2/100,情景分析!$D$7,"",,,,"",)*IF($H48="",1,$H48))</f>
        <v/>
      </c>
      <c r="R48" s="7" t="str">
        <f>IF($A48="","",[2]!B_CALC_PRICE($A48,$O$1,IF(情景分析!$D$6=1,$J48,IF(情景分析!$D$6=2,$E48,IF(情景分析!$D$6=4,IF($C48="银行间",$J48,$L48),$G48)))+R$2/100,情景分析!$D$7,"",,,,"",)*IF($H48="",1,$H48))</f>
        <v/>
      </c>
      <c r="S48" s="7" t="str">
        <f>IF($A48="","",[2]!B_CALC_PRICE($A48,$O$1,IF(情景分析!$D$6=1,$J48,IF(情景分析!$D$6=2,$E48,IF(情景分析!$D$6=4,IF($C48="银行间",$J48,$L48),$G48)))+S$2/100,情景分析!$D$7,"",,,,"",)*IF($H48="",1,$H48))</f>
        <v/>
      </c>
      <c r="T48" s="7" t="str">
        <f>IF($A48="","",[2]!B_CALC_PRICE($A48,$O$1,IF(情景分析!$D$6=1,$J48,IF(情景分析!$D$6=2,$E48,IF(情景分析!$D$6=4,IF($C48="银行间",$J48,$L48),$G48)))+T$2/100,情景分析!$D$7,"",,,,"",)*IF($H48="",1,$H48))</f>
        <v/>
      </c>
      <c r="U48" s="7" t="str">
        <f>IF($A48="","",[2]!B_CALC_PRICE($A48,$O$1,IF(情景分析!$D$6=1,$J48,IF(情景分析!$D$6=2,$E48,IF(情景分析!$D$6=4,IF($C48="银行间",$J48,$L48),$G48)))+U$2/100,情景分析!$D$7,"",,,,"",)*IF($H48="",1,$H48))</f>
        <v/>
      </c>
      <c r="V48" s="7" t="str">
        <f>IF($A48="","",[2]!B_CALC_PRICE($A48,$V$1,IF(情景分析!$D$6=1,$J48,IF(情景分析!$D$6=2,$E48,IF(情景分析!$D$6=4,IF($C48="银行间",$J48,$L48),$G48)))+V$2/100,情景分析!$D$7,"",,,,"",)*IF($H48="",1,$H48))</f>
        <v/>
      </c>
      <c r="W48" s="7" t="str">
        <f>IF($A48="","",[2]!B_CALC_PRICE($A48,$V$1,IF(情景分析!$D$6=1,$J48,IF(情景分析!$D$6=2,$E48,IF(情景分析!$D$6=4,IF($C48="银行间",$J48,$L48),$G48)))+W$2/100,情景分析!$D$7,"",,,,"",)*IF($H48="",1,$H48))</f>
        <v/>
      </c>
      <c r="X48" s="7" t="str">
        <f>IF($A48="","",[2]!B_CALC_PRICE($A48,$V$1,IF(情景分析!$D$6=1,$J48,IF(情景分析!$D$6=2,$E48,IF(情景分析!$D$6=4,IF($C48="银行间",$J48,$L48),$G48)))+X$2/100,情景分析!$D$7,"",,,,"",)*IF($H48="",1,$H48))</f>
        <v/>
      </c>
      <c r="Y48" s="7" t="str">
        <f>IF($A48="","",[2]!B_CALC_PRICE($A48,$V$1,IF(情景分析!$D$6=1,$J48,IF(情景分析!$D$6=2,$E48,IF(情景分析!$D$6=4,IF($C48="银行间",$J48,$L48),$G48)))+Y$2/100,情景分析!$D$7,"",,,,"",)*IF($H48="",1,$H48))</f>
        <v/>
      </c>
      <c r="Z48" s="7" t="str">
        <f>IF($A48="","",[2]!B_CALC_PRICE($A48,$V$1,IF(情景分析!$D$6=1,$J48,IF(情景分析!$D$6=2,$E48,IF(情景分析!$D$6=4,IF($C48="银行间",$J48,$L48),$G48)))+Z$2/100,情景分析!$D$7,"",,,,"",)*IF($H48="",1,$H48))</f>
        <v/>
      </c>
      <c r="AA48" s="7" t="str">
        <f>IF($A48="","",[2]!B_CALC_PRICE($A48,$V$1,IF(情景分析!$D$6=1,$J48,IF(情景分析!$D$6=2,$E48,IF(情景分析!$D$6=4,IF($C48="银行间",$J48,$L48),$G48)))+AA$2/100,情景分析!$D$7,"",,,,"",)*IF($H48="",1,$H48))</f>
        <v/>
      </c>
      <c r="AB48" s="7" t="str">
        <f>IF($A48="","",[2]!B_CALC_PRICE($A48,$V$1,IF(情景分析!$D$6=1,$J48,IF(情景分析!$D$6=2,$E48,IF(情景分析!$D$6=4,IF($C48="银行间",$J48,$L48),$G48)))+AB$2/100,情景分析!$D$7,"",,,,"",)*IF($H48="",1,$H48))</f>
        <v/>
      </c>
      <c r="AC48" s="7" t="str">
        <f>IF($A48="","",[2]!B_CALC_PRICE($A48,$AC$1,IF(情景分析!$D$6=1,$J48,IF(情景分析!$D$6=2,$E48,IF(情景分析!$D$6=4,IF($C48="银行间",$J48,$L48),$G48)))+AC$2/100,情景分析!$D$7,"",,,,"",)*IF($H48="",1,$H48))</f>
        <v/>
      </c>
      <c r="AD48" s="7" t="str">
        <f>IF($A48="","",[2]!B_CALC_PRICE($A48,$AC$1,IF(情景分析!$D$6=1,$J48,IF(情景分析!$D$6=2,$E48,IF(情景分析!$D$6=4,IF($C48="银行间",$J48,$L48),$G48)))+AD$2/100,情景分析!$D$7,"",,,,"",)*IF($H48="",1,$H48))</f>
        <v/>
      </c>
      <c r="AE48" s="7" t="str">
        <f>IF($A48="","",[2]!B_CALC_PRICE($A48,$AC$1,IF(情景分析!$D$6=1,$J48,IF(情景分析!$D$6=2,$E48,IF(情景分析!$D$6=4,IF($C48="银行间",$J48,$L48),$G48)))+AE$2/100,情景分析!$D$7,"",,,,"",)*IF($H48="",1,$H48))</f>
        <v/>
      </c>
      <c r="AF48" s="7" t="str">
        <f>IF($A48="","",[2]!B_CALC_PRICE($A48,$AC$1,IF(情景分析!$D$6=1,$J48,IF(情景分析!$D$6=2,$E48,IF(情景分析!$D$6=4,IF($C48="银行间",$J48,$L48),$G48)))+AF$2/100,情景分析!$D$7,"",,,,"",)*IF($H48="",1,$H48))</f>
        <v/>
      </c>
      <c r="AG48" s="7" t="str">
        <f>IF($A48="","",[2]!B_CALC_PRICE($A48,$AC$1,IF(情景分析!$D$6=1,$J48,IF(情景分析!$D$6=2,$E48,IF(情景分析!$D$6=4,IF($C48="银行间",$J48,$L48),$G48)))+AG$2/100,情景分析!$D$7,"",,,,"",)*IF($H48="",1,$H48))</f>
        <v/>
      </c>
      <c r="AH48" s="7" t="str">
        <f>IF($A48="","",[2]!B_CALC_PRICE($A48,$AC$1,IF(情景分析!$D$6=1,$J48,IF(情景分析!$D$6=2,$E48,IF(情景分析!$D$6=4,IF($C48="银行间",$J48,$L48),$G48)))+AH$2/100,情景分析!$D$7,"",,,,"",)*IF($H48="",1,$H48))</f>
        <v/>
      </c>
      <c r="AI48" s="7" t="str">
        <f>IF($A48="","",[2]!B_CALC_PRICE($A48,$AC$1,IF(情景分析!$D$6=1,$J48,IF(情景分析!$D$6=2,$E48,IF(情景分析!$D$6=4,IF($C48="银行间",$J48,$L48),$G48)))+AI$2/100,情景分析!$D$7,"",,,,"",)*IF($H48="",1,$H48))</f>
        <v/>
      </c>
      <c r="AJ48" s="7" t="str">
        <f>IF($A48="","",[2]!B_CALC_PRICE($A48,$AJ$1,IF(情景分析!$D$6=1,$J48,IF(情景分析!$D$6=2,$E48,IF(情景分析!$D$6=4,IF($C48="银行间",$J48,$L48),$G48)))+AJ$2/100,情景分析!$D$7,"",,,,"",)*IF($H48="",1,$H48))</f>
        <v/>
      </c>
      <c r="AK48" s="7" t="str">
        <f>IF($A48="","",[2]!B_CALC_PRICE($A48,$AJ$1,IF(情景分析!$D$6=1,$J48,IF(情景分析!$D$6=2,$E48,IF(情景分析!$D$6=4,IF($C48="银行间",$J48,$L48),$G48)))+AK$2/100,情景分析!$D$7,"",,,,"",)*IF($H48="",1,$H48))</f>
        <v/>
      </c>
      <c r="AL48" s="7" t="str">
        <f>IF($A48="","",[2]!B_CALC_PRICE($A48,$AJ$1,IF(情景分析!$D$6=1,$J48,IF(情景分析!$D$6=2,$E48,IF(情景分析!$D$6=4,IF($C48="银行间",$J48,$L48),$G48)))+AL$2/100,情景分析!$D$7,"",,,,"",)*IF($H48="",1,$H48))</f>
        <v/>
      </c>
      <c r="AM48" s="7" t="str">
        <f>IF($A48="","",[2]!B_CALC_PRICE($A48,$AJ$1,IF(情景分析!$D$6=1,$J48,IF(情景分析!$D$6=2,$E48,IF(情景分析!$D$6=4,IF($C48="银行间",$J48,$L48),$G48)))+AM$2/100,情景分析!$D$7,"",,,,"",)*IF($H48="",1,$H48))</f>
        <v/>
      </c>
      <c r="AN48" s="7" t="str">
        <f>IF($A48="","",[2]!B_CALC_PRICE($A48,$AJ$1,IF(情景分析!$D$6=1,$J48,IF(情景分析!$D$6=2,$E48,IF(情景分析!$D$6=4,IF($C48="银行间",$J48,$L48),$G48)))+AN$2/100,情景分析!$D$7,"",,,,"",)*IF($H48="",1,$H48))</f>
        <v/>
      </c>
      <c r="AO48" s="7" t="str">
        <f>IF($A48="","",[2]!B_CALC_PRICE($A48,$AJ$1,IF(情景分析!$D$6=1,$J48,IF(情景分析!$D$6=2,$E48,IF(情景分析!$D$6=4,IF($C48="银行间",$J48,$L48),$G48)))+AO$2/100,情景分析!$D$7,"",,,,"",)*IF($H48="",1,$H48))</f>
        <v/>
      </c>
      <c r="AP48" s="7" t="str">
        <f>IF($A48="","",[2]!B_CALC_PRICE($A48,$AJ$1,IF(情景分析!$D$6=1,$J48,IF(情景分析!$D$6=2,$E48,IF(情景分析!$D$6=4,IF($C48="银行间",$J48,$L48),$G48)))+AP$2/100,情景分析!$D$7,"",,,,"",)*IF($H48="",1,$H48))</f>
        <v/>
      </c>
      <c r="AQ48" s="7" t="str">
        <f>IF($A48="","",[2]!B_CALC_PRICE($A48,$AQ$1,IF(情景分析!$D$6=1,$J48,IF(情景分析!$D$6=2,$E48,IF(情景分析!$D$6=4,IF($C48="银行间",$J48,$L48),$G48)))+AQ$2/100,情景分析!$D$7,"",,,,"",)*IF($H48="",1,$H48))</f>
        <v/>
      </c>
      <c r="AR48" s="7" t="str">
        <f>IF($A48="","",[2]!B_CALC_PRICE($A48,$AQ$1,IF(情景分析!$D$6=1,$J48,IF(情景分析!$D$6=2,$E48,IF(情景分析!$D$6=4,IF($C48="银行间",$J48,$L48),$G48)))+AR$2/100,情景分析!$D$7,"",,,,"",)*IF($H48="",1,$H48))</f>
        <v/>
      </c>
      <c r="AS48" s="7" t="str">
        <f>IF($A48="","",[2]!B_CALC_PRICE($A48,$AQ$1,IF(情景分析!$D$6=1,$J48,IF(情景分析!$D$6=2,$E48,IF(情景分析!$D$6=4,IF($C48="银行间",$J48,$L48),$G48)))+AS$2/100,情景分析!$D$7,"",,,,"",)*IF($H48="",1,$H48))</f>
        <v/>
      </c>
      <c r="AT48" s="7" t="str">
        <f>IF($A48="","",[2]!B_CALC_PRICE($A48,$AQ$1,IF(情景分析!$D$6=1,$J48,IF(情景分析!$D$6=2,$E48,IF(情景分析!$D$6=4,IF($C48="银行间",$J48,$L48),$G48)))+AT$2/100,情景分析!$D$7,"",,,,"",)*IF($H48="",1,$H48))</f>
        <v/>
      </c>
      <c r="AU48" s="7" t="str">
        <f>IF($A48="","",[2]!B_CALC_PRICE($A48,$AQ$1,IF(情景分析!$D$6=1,$J48,IF(情景分析!$D$6=2,$E48,IF(情景分析!$D$6=4,IF($C48="银行间",$J48,$L48),$G48)))+AU$2/100,情景分析!$D$7,"",,,,"",)*IF($H48="",1,$H48))</f>
        <v/>
      </c>
      <c r="AV48" s="7" t="str">
        <f>IF($A48="","",[2]!B_CALC_PRICE($A48,$AQ$1,IF(情景分析!$D$6=1,$J48,IF(情景分析!$D$6=2,$E48,IF(情景分析!$D$6=4,IF($C48="银行间",$J48,$L48),$G48)))+AV$2/100,情景分析!$D$7,"",,,,"",)*IF($H48="",1,$H48))</f>
        <v/>
      </c>
      <c r="AW48" s="7" t="str">
        <f>IF($A48="","",[2]!B_CALC_PRICE($A48,$AQ$1,IF(情景分析!$D$6=1,$J48,IF(情景分析!$D$6=2,$E48,IF(情景分析!$D$6=4,IF($C48="银行间",$J48,$L48),$G48)))+AW$2/100,情景分析!$D$7,"",,,,"",)*IF($H48="",1,$H48))</f>
        <v/>
      </c>
    </row>
    <row r="49" spans="1:49" x14ac:dyDescent="0.15">
      <c r="A49" s="20"/>
      <c r="B49" s="7" t="str">
        <f>IF(A49="","",[2]!b_info_name(A49))</f>
        <v/>
      </c>
      <c r="C49" s="7" t="str">
        <f>[2]!b_info_listedmkt(A49)</f>
        <v>#N/A</v>
      </c>
      <c r="D49" s="7" t="str">
        <f>IFERROR(IF(A49="","", [2]!b_dq_avgprice(A49, 情景分析!$D$5, 情景分析!$D$7) * IF($H49="",1,$H49)),0)</f>
        <v/>
      </c>
      <c r="E49" s="7" t="str">
        <f>IF(A49="","", N([2]!b_dq_avgprice(A49,情景分析!$D$5,3)))</f>
        <v/>
      </c>
      <c r="F49" s="29" t="str">
        <f>IF($G49 = "",
"",
IFERROR(
[2]!b_calc_pv(A49, 情景分析!$D$5,$G49, "1", 情景分析!$D$7),
[2]!b_calc_pv(A49, 情景分析!$D$5,$G49, "2", 情景分析!$D$7)
)
)</f>
        <v/>
      </c>
      <c r="G49" s="22"/>
      <c r="H49" s="21"/>
      <c r="I49" s="7" t="str">
        <f>IF(A49="","",IF(情景分析!$D$7=1,[2]!b_anal_net_cnbd(A49,情景分析!$D$5,1),[2]!b_anal_dirty_cnbd(A49,情景分析!$D$5,1))*IF($H49="",1,$H49))</f>
        <v/>
      </c>
      <c r="J49" s="7" t="str">
        <f>IF(A49="","",[2]!b_anal_yield_cnbd(A49,情景分析!$D$5,1))</f>
        <v/>
      </c>
      <c r="K49" s="29" t="str">
        <f>IF(A49="","",IF(情景分析!$D$7=1,[2]!b_anal_net_csi1(A49,情景分析!$D$5,1),[2]!b_anal_dirty_csi1(A49,情景分析!$D$5,1))*IF($H49="",1,$H49))</f>
        <v/>
      </c>
      <c r="L49" s="29" t="str">
        <f>IF(A49="","",[2]!b_anal_yield_csi1(A49,情景分析!$D$5,1))</f>
        <v/>
      </c>
      <c r="M49" s="29" t="str">
        <f t="shared" si="6"/>
        <v/>
      </c>
      <c r="N49" s="29" t="str">
        <f t="shared" si="7"/>
        <v/>
      </c>
      <c r="O49" s="7" t="str">
        <f>IF($A49="","",[2]!B_CALC_PRICE($A49,$O$1,IF(情景分析!$D$6=1,$J49,IF(情景分析!$D$6=2,$E49,IF(情景分析!$D$6=4,IF($C49="银行间",$J49,$L49),$G49)))+O$2/100,情景分析!$D$7,"",,,,"",)*IF($H49="",1,$H49))</f>
        <v/>
      </c>
      <c r="P49" s="7" t="str">
        <f>IF($A49="","",[2]!B_CALC_PRICE($A49,$O$1,IF(情景分析!$D$6=1,$J49,IF(情景分析!$D$6=2,$E49,IF(情景分析!$D$6=4,IF($C49="银行间",$J49,$L49),$G49)))+P$2/100,情景分析!$D$7,"",,,,"",)*IF($H49="",1,$H49))</f>
        <v/>
      </c>
      <c r="Q49" s="7" t="str">
        <f>IF($A49="","",[2]!B_CALC_PRICE($A49,$O$1,IF(情景分析!$D$6=1,$J49,IF(情景分析!$D$6=2,$E49,IF(情景分析!$D$6=4,IF($C49="银行间",$J49,$L49),$G49)))+Q$2/100,情景分析!$D$7,"",,,,"",)*IF($H49="",1,$H49))</f>
        <v/>
      </c>
      <c r="R49" s="7" t="str">
        <f>IF($A49="","",[2]!B_CALC_PRICE($A49,$O$1,IF(情景分析!$D$6=1,$J49,IF(情景分析!$D$6=2,$E49,IF(情景分析!$D$6=4,IF($C49="银行间",$J49,$L49),$G49)))+R$2/100,情景分析!$D$7,"",,,,"",)*IF($H49="",1,$H49))</f>
        <v/>
      </c>
      <c r="S49" s="7" t="str">
        <f>IF($A49="","",[2]!B_CALC_PRICE($A49,$O$1,IF(情景分析!$D$6=1,$J49,IF(情景分析!$D$6=2,$E49,IF(情景分析!$D$6=4,IF($C49="银行间",$J49,$L49),$G49)))+S$2/100,情景分析!$D$7,"",,,,"",)*IF($H49="",1,$H49))</f>
        <v/>
      </c>
      <c r="T49" s="7" t="str">
        <f>IF($A49="","",[2]!B_CALC_PRICE($A49,$O$1,IF(情景分析!$D$6=1,$J49,IF(情景分析!$D$6=2,$E49,IF(情景分析!$D$6=4,IF($C49="银行间",$J49,$L49),$G49)))+T$2/100,情景分析!$D$7,"",,,,"",)*IF($H49="",1,$H49))</f>
        <v/>
      </c>
      <c r="U49" s="7" t="str">
        <f>IF($A49="","",[2]!B_CALC_PRICE($A49,$O$1,IF(情景分析!$D$6=1,$J49,IF(情景分析!$D$6=2,$E49,IF(情景分析!$D$6=4,IF($C49="银行间",$J49,$L49),$G49)))+U$2/100,情景分析!$D$7,"",,,,"",)*IF($H49="",1,$H49))</f>
        <v/>
      </c>
      <c r="V49" s="7" t="str">
        <f>IF($A49="","",[2]!B_CALC_PRICE($A49,$V$1,IF(情景分析!$D$6=1,$J49,IF(情景分析!$D$6=2,$E49,IF(情景分析!$D$6=4,IF($C49="银行间",$J49,$L49),$G49)))+V$2/100,情景分析!$D$7,"",,,,"",)*IF($H49="",1,$H49))</f>
        <v/>
      </c>
      <c r="W49" s="7" t="str">
        <f>IF($A49="","",[2]!B_CALC_PRICE($A49,$V$1,IF(情景分析!$D$6=1,$J49,IF(情景分析!$D$6=2,$E49,IF(情景分析!$D$6=4,IF($C49="银行间",$J49,$L49),$G49)))+W$2/100,情景分析!$D$7,"",,,,"",)*IF($H49="",1,$H49))</f>
        <v/>
      </c>
      <c r="X49" s="7" t="str">
        <f>IF($A49="","",[2]!B_CALC_PRICE($A49,$V$1,IF(情景分析!$D$6=1,$J49,IF(情景分析!$D$6=2,$E49,IF(情景分析!$D$6=4,IF($C49="银行间",$J49,$L49),$G49)))+X$2/100,情景分析!$D$7,"",,,,"",)*IF($H49="",1,$H49))</f>
        <v/>
      </c>
      <c r="Y49" s="7" t="str">
        <f>IF($A49="","",[2]!B_CALC_PRICE($A49,$V$1,IF(情景分析!$D$6=1,$J49,IF(情景分析!$D$6=2,$E49,IF(情景分析!$D$6=4,IF($C49="银行间",$J49,$L49),$G49)))+Y$2/100,情景分析!$D$7,"",,,,"",)*IF($H49="",1,$H49))</f>
        <v/>
      </c>
      <c r="Z49" s="7" t="str">
        <f>IF($A49="","",[2]!B_CALC_PRICE($A49,$V$1,IF(情景分析!$D$6=1,$J49,IF(情景分析!$D$6=2,$E49,IF(情景分析!$D$6=4,IF($C49="银行间",$J49,$L49),$G49)))+Z$2/100,情景分析!$D$7,"",,,,"",)*IF($H49="",1,$H49))</f>
        <v/>
      </c>
      <c r="AA49" s="7" t="str">
        <f>IF($A49="","",[2]!B_CALC_PRICE($A49,$V$1,IF(情景分析!$D$6=1,$J49,IF(情景分析!$D$6=2,$E49,IF(情景分析!$D$6=4,IF($C49="银行间",$J49,$L49),$G49)))+AA$2/100,情景分析!$D$7,"",,,,"",)*IF($H49="",1,$H49))</f>
        <v/>
      </c>
      <c r="AB49" s="7" t="str">
        <f>IF($A49="","",[2]!B_CALC_PRICE($A49,$V$1,IF(情景分析!$D$6=1,$J49,IF(情景分析!$D$6=2,$E49,IF(情景分析!$D$6=4,IF($C49="银行间",$J49,$L49),$G49)))+AB$2/100,情景分析!$D$7,"",,,,"",)*IF($H49="",1,$H49))</f>
        <v/>
      </c>
      <c r="AC49" s="7" t="str">
        <f>IF($A49="","",[2]!B_CALC_PRICE($A49,$AC$1,IF(情景分析!$D$6=1,$J49,IF(情景分析!$D$6=2,$E49,IF(情景分析!$D$6=4,IF($C49="银行间",$J49,$L49),$G49)))+AC$2/100,情景分析!$D$7,"",,,,"",)*IF($H49="",1,$H49))</f>
        <v/>
      </c>
      <c r="AD49" s="7" t="str">
        <f>IF($A49="","",[2]!B_CALC_PRICE($A49,$AC$1,IF(情景分析!$D$6=1,$J49,IF(情景分析!$D$6=2,$E49,IF(情景分析!$D$6=4,IF($C49="银行间",$J49,$L49),$G49)))+AD$2/100,情景分析!$D$7,"",,,,"",)*IF($H49="",1,$H49))</f>
        <v/>
      </c>
      <c r="AE49" s="7" t="str">
        <f>IF($A49="","",[2]!B_CALC_PRICE($A49,$AC$1,IF(情景分析!$D$6=1,$J49,IF(情景分析!$D$6=2,$E49,IF(情景分析!$D$6=4,IF($C49="银行间",$J49,$L49),$G49)))+AE$2/100,情景分析!$D$7,"",,,,"",)*IF($H49="",1,$H49))</f>
        <v/>
      </c>
      <c r="AF49" s="7" t="str">
        <f>IF($A49="","",[2]!B_CALC_PRICE($A49,$AC$1,IF(情景分析!$D$6=1,$J49,IF(情景分析!$D$6=2,$E49,IF(情景分析!$D$6=4,IF($C49="银行间",$J49,$L49),$G49)))+AF$2/100,情景分析!$D$7,"",,,,"",)*IF($H49="",1,$H49))</f>
        <v/>
      </c>
      <c r="AG49" s="7" t="str">
        <f>IF($A49="","",[2]!B_CALC_PRICE($A49,$AC$1,IF(情景分析!$D$6=1,$J49,IF(情景分析!$D$6=2,$E49,IF(情景分析!$D$6=4,IF($C49="银行间",$J49,$L49),$G49)))+AG$2/100,情景分析!$D$7,"",,,,"",)*IF($H49="",1,$H49))</f>
        <v/>
      </c>
      <c r="AH49" s="7" t="str">
        <f>IF($A49="","",[2]!B_CALC_PRICE($A49,$AC$1,IF(情景分析!$D$6=1,$J49,IF(情景分析!$D$6=2,$E49,IF(情景分析!$D$6=4,IF($C49="银行间",$J49,$L49),$G49)))+AH$2/100,情景分析!$D$7,"",,,,"",)*IF($H49="",1,$H49))</f>
        <v/>
      </c>
      <c r="AI49" s="7" t="str">
        <f>IF($A49="","",[2]!B_CALC_PRICE($A49,$AC$1,IF(情景分析!$D$6=1,$J49,IF(情景分析!$D$6=2,$E49,IF(情景分析!$D$6=4,IF($C49="银行间",$J49,$L49),$G49)))+AI$2/100,情景分析!$D$7,"",,,,"",)*IF($H49="",1,$H49))</f>
        <v/>
      </c>
      <c r="AJ49" s="7" t="str">
        <f>IF($A49="","",[2]!B_CALC_PRICE($A49,$AJ$1,IF(情景分析!$D$6=1,$J49,IF(情景分析!$D$6=2,$E49,IF(情景分析!$D$6=4,IF($C49="银行间",$J49,$L49),$G49)))+AJ$2/100,情景分析!$D$7,"",,,,"",)*IF($H49="",1,$H49))</f>
        <v/>
      </c>
      <c r="AK49" s="7" t="str">
        <f>IF($A49="","",[2]!B_CALC_PRICE($A49,$AJ$1,IF(情景分析!$D$6=1,$J49,IF(情景分析!$D$6=2,$E49,IF(情景分析!$D$6=4,IF($C49="银行间",$J49,$L49),$G49)))+AK$2/100,情景分析!$D$7,"",,,,"",)*IF($H49="",1,$H49))</f>
        <v/>
      </c>
      <c r="AL49" s="7" t="str">
        <f>IF($A49="","",[2]!B_CALC_PRICE($A49,$AJ$1,IF(情景分析!$D$6=1,$J49,IF(情景分析!$D$6=2,$E49,IF(情景分析!$D$6=4,IF($C49="银行间",$J49,$L49),$G49)))+AL$2/100,情景分析!$D$7,"",,,,"",)*IF($H49="",1,$H49))</f>
        <v/>
      </c>
      <c r="AM49" s="7" t="str">
        <f>IF($A49="","",[2]!B_CALC_PRICE($A49,$AJ$1,IF(情景分析!$D$6=1,$J49,IF(情景分析!$D$6=2,$E49,IF(情景分析!$D$6=4,IF($C49="银行间",$J49,$L49),$G49)))+AM$2/100,情景分析!$D$7,"",,,,"",)*IF($H49="",1,$H49))</f>
        <v/>
      </c>
      <c r="AN49" s="7" t="str">
        <f>IF($A49="","",[2]!B_CALC_PRICE($A49,$AJ$1,IF(情景分析!$D$6=1,$J49,IF(情景分析!$D$6=2,$E49,IF(情景分析!$D$6=4,IF($C49="银行间",$J49,$L49),$G49)))+AN$2/100,情景分析!$D$7,"",,,,"",)*IF($H49="",1,$H49))</f>
        <v/>
      </c>
      <c r="AO49" s="7" t="str">
        <f>IF($A49="","",[2]!B_CALC_PRICE($A49,$AJ$1,IF(情景分析!$D$6=1,$J49,IF(情景分析!$D$6=2,$E49,IF(情景分析!$D$6=4,IF($C49="银行间",$J49,$L49),$G49)))+AO$2/100,情景分析!$D$7,"",,,,"",)*IF($H49="",1,$H49))</f>
        <v/>
      </c>
      <c r="AP49" s="7" t="str">
        <f>IF($A49="","",[2]!B_CALC_PRICE($A49,$AJ$1,IF(情景分析!$D$6=1,$J49,IF(情景分析!$D$6=2,$E49,IF(情景分析!$D$6=4,IF($C49="银行间",$J49,$L49),$G49)))+AP$2/100,情景分析!$D$7,"",,,,"",)*IF($H49="",1,$H49))</f>
        <v/>
      </c>
      <c r="AQ49" s="7" t="str">
        <f>IF($A49="","",[2]!B_CALC_PRICE($A49,$AQ$1,IF(情景分析!$D$6=1,$J49,IF(情景分析!$D$6=2,$E49,IF(情景分析!$D$6=4,IF($C49="银行间",$J49,$L49),$G49)))+AQ$2/100,情景分析!$D$7,"",,,,"",)*IF($H49="",1,$H49))</f>
        <v/>
      </c>
      <c r="AR49" s="7" t="str">
        <f>IF($A49="","",[2]!B_CALC_PRICE($A49,$AQ$1,IF(情景分析!$D$6=1,$J49,IF(情景分析!$D$6=2,$E49,IF(情景分析!$D$6=4,IF($C49="银行间",$J49,$L49),$G49)))+AR$2/100,情景分析!$D$7,"",,,,"",)*IF($H49="",1,$H49))</f>
        <v/>
      </c>
      <c r="AS49" s="7" t="str">
        <f>IF($A49="","",[2]!B_CALC_PRICE($A49,$AQ$1,IF(情景分析!$D$6=1,$J49,IF(情景分析!$D$6=2,$E49,IF(情景分析!$D$6=4,IF($C49="银行间",$J49,$L49),$G49)))+AS$2/100,情景分析!$D$7,"",,,,"",)*IF($H49="",1,$H49))</f>
        <v/>
      </c>
      <c r="AT49" s="7" t="str">
        <f>IF($A49="","",[2]!B_CALC_PRICE($A49,$AQ$1,IF(情景分析!$D$6=1,$J49,IF(情景分析!$D$6=2,$E49,IF(情景分析!$D$6=4,IF($C49="银行间",$J49,$L49),$G49)))+AT$2/100,情景分析!$D$7,"",,,,"",)*IF($H49="",1,$H49))</f>
        <v/>
      </c>
      <c r="AU49" s="7" t="str">
        <f>IF($A49="","",[2]!B_CALC_PRICE($A49,$AQ$1,IF(情景分析!$D$6=1,$J49,IF(情景分析!$D$6=2,$E49,IF(情景分析!$D$6=4,IF($C49="银行间",$J49,$L49),$G49)))+AU$2/100,情景分析!$D$7,"",,,,"",)*IF($H49="",1,$H49))</f>
        <v/>
      </c>
      <c r="AV49" s="7" t="str">
        <f>IF($A49="","",[2]!B_CALC_PRICE($A49,$AQ$1,IF(情景分析!$D$6=1,$J49,IF(情景分析!$D$6=2,$E49,IF(情景分析!$D$6=4,IF($C49="银行间",$J49,$L49),$G49)))+AV$2/100,情景分析!$D$7,"",,,,"",)*IF($H49="",1,$H49))</f>
        <v/>
      </c>
      <c r="AW49" s="7" t="str">
        <f>IF($A49="","",[2]!B_CALC_PRICE($A49,$AQ$1,IF(情景分析!$D$6=1,$J49,IF(情景分析!$D$6=2,$E49,IF(情景分析!$D$6=4,IF($C49="银行间",$J49,$L49),$G49)))+AW$2/100,情景分析!$D$7,"",,,,"",)*IF($H49="",1,$H49))</f>
        <v/>
      </c>
    </row>
    <row r="50" spans="1:49" x14ac:dyDescent="0.15">
      <c r="A50" s="20"/>
      <c r="B50" s="7" t="str">
        <f>IF(A50="","",[2]!b_info_name(A50))</f>
        <v/>
      </c>
      <c r="C50" s="7" t="str">
        <f>[2]!b_info_listedmkt(A50)</f>
        <v>#N/A</v>
      </c>
      <c r="D50" s="7" t="str">
        <f>IFERROR(IF(A50="","", [2]!b_dq_avgprice(A50, 情景分析!$D$5, 情景分析!$D$7) * IF($H50="",1,$H50)),0)</f>
        <v/>
      </c>
      <c r="E50" s="7" t="str">
        <f>IF(A50="","", N([2]!b_dq_avgprice(A50,情景分析!$D$5,3)))</f>
        <v/>
      </c>
      <c r="F50" s="29" t="str">
        <f>IF($G50 = "",
"",
IFERROR(
[2]!b_calc_pv(A50, 情景分析!$D$5,$G50, "1", 情景分析!$D$7),
[2]!b_calc_pv(A50, 情景分析!$D$5,$G50, "2", 情景分析!$D$7)
)
)</f>
        <v/>
      </c>
      <c r="G50" s="22"/>
      <c r="H50" s="21"/>
      <c r="I50" s="7" t="str">
        <f>IF(A50="","",IF(情景分析!$D$7=1,[2]!b_anal_net_cnbd(A50,情景分析!$D$5,1),[2]!b_anal_dirty_cnbd(A50,情景分析!$D$5,1))*IF($H50="",1,$H50))</f>
        <v/>
      </c>
      <c r="J50" s="7" t="str">
        <f>IF(A50="","",[2]!b_anal_yield_cnbd(A50,情景分析!$D$5,1))</f>
        <v/>
      </c>
      <c r="K50" s="29" t="str">
        <f>IF(A50="","",IF(情景分析!$D$7=1,[2]!b_anal_net_csi1(A50,情景分析!$D$5,1),[2]!b_anal_dirty_csi1(A50,情景分析!$D$5,1))*IF($H50="",1,$H50))</f>
        <v/>
      </c>
      <c r="L50" s="29" t="str">
        <f>IF(A50="","",[2]!b_anal_yield_csi1(A50,情景分析!$D$5,1))</f>
        <v/>
      </c>
      <c r="M50" s="29" t="str">
        <f t="shared" si="6"/>
        <v/>
      </c>
      <c r="N50" s="29" t="str">
        <f t="shared" si="7"/>
        <v/>
      </c>
      <c r="O50" s="7" t="str">
        <f>IF($A50="","",[2]!B_CALC_PRICE($A50,$O$1,IF(情景分析!$D$6=1,$J50,IF(情景分析!$D$6=2,$E50,IF(情景分析!$D$6=4,IF($C50="银行间",$J50,$L50),$G50)))+O$2/100,情景分析!$D$7,"",,,,"",)*IF($H50="",1,$H50))</f>
        <v/>
      </c>
      <c r="P50" s="7" t="str">
        <f>IF($A50="","",[2]!B_CALC_PRICE($A50,$O$1,IF(情景分析!$D$6=1,$J50,IF(情景分析!$D$6=2,$E50,IF(情景分析!$D$6=4,IF($C50="银行间",$J50,$L50),$G50)))+P$2/100,情景分析!$D$7,"",,,,"",)*IF($H50="",1,$H50))</f>
        <v/>
      </c>
      <c r="Q50" s="7" t="str">
        <f>IF($A50="","",[2]!B_CALC_PRICE($A50,$O$1,IF(情景分析!$D$6=1,$J50,IF(情景分析!$D$6=2,$E50,IF(情景分析!$D$6=4,IF($C50="银行间",$J50,$L50),$G50)))+Q$2/100,情景分析!$D$7,"",,,,"",)*IF($H50="",1,$H50))</f>
        <v/>
      </c>
      <c r="R50" s="7" t="str">
        <f>IF($A50="","",[2]!B_CALC_PRICE($A50,$O$1,IF(情景分析!$D$6=1,$J50,IF(情景分析!$D$6=2,$E50,IF(情景分析!$D$6=4,IF($C50="银行间",$J50,$L50),$G50)))+R$2/100,情景分析!$D$7,"",,,,"",)*IF($H50="",1,$H50))</f>
        <v/>
      </c>
      <c r="S50" s="7" t="str">
        <f>IF($A50="","",[2]!B_CALC_PRICE($A50,$O$1,IF(情景分析!$D$6=1,$J50,IF(情景分析!$D$6=2,$E50,IF(情景分析!$D$6=4,IF($C50="银行间",$J50,$L50),$G50)))+S$2/100,情景分析!$D$7,"",,,,"",)*IF($H50="",1,$H50))</f>
        <v/>
      </c>
      <c r="T50" s="7" t="str">
        <f>IF($A50="","",[2]!B_CALC_PRICE($A50,$O$1,IF(情景分析!$D$6=1,$J50,IF(情景分析!$D$6=2,$E50,IF(情景分析!$D$6=4,IF($C50="银行间",$J50,$L50),$G50)))+T$2/100,情景分析!$D$7,"",,,,"",)*IF($H50="",1,$H50))</f>
        <v/>
      </c>
      <c r="U50" s="7" t="str">
        <f>IF($A50="","",[2]!B_CALC_PRICE($A50,$O$1,IF(情景分析!$D$6=1,$J50,IF(情景分析!$D$6=2,$E50,IF(情景分析!$D$6=4,IF($C50="银行间",$J50,$L50),$G50)))+U$2/100,情景分析!$D$7,"",,,,"",)*IF($H50="",1,$H50))</f>
        <v/>
      </c>
      <c r="V50" s="7" t="str">
        <f>IF($A50="","",[2]!B_CALC_PRICE($A50,$V$1,IF(情景分析!$D$6=1,$J50,IF(情景分析!$D$6=2,$E50,IF(情景分析!$D$6=4,IF($C50="银行间",$J50,$L50),$G50)))+V$2/100,情景分析!$D$7,"",,,,"",)*IF($H50="",1,$H50))</f>
        <v/>
      </c>
      <c r="W50" s="7" t="str">
        <f>IF($A50="","",[2]!B_CALC_PRICE($A50,$V$1,IF(情景分析!$D$6=1,$J50,IF(情景分析!$D$6=2,$E50,IF(情景分析!$D$6=4,IF($C50="银行间",$J50,$L50),$G50)))+W$2/100,情景分析!$D$7,"",,,,"",)*IF($H50="",1,$H50))</f>
        <v/>
      </c>
      <c r="X50" s="7" t="str">
        <f>IF($A50="","",[2]!B_CALC_PRICE($A50,$V$1,IF(情景分析!$D$6=1,$J50,IF(情景分析!$D$6=2,$E50,IF(情景分析!$D$6=4,IF($C50="银行间",$J50,$L50),$G50)))+X$2/100,情景分析!$D$7,"",,,,"",)*IF($H50="",1,$H50))</f>
        <v/>
      </c>
      <c r="Y50" s="7" t="str">
        <f>IF($A50="","",[2]!B_CALC_PRICE($A50,$V$1,IF(情景分析!$D$6=1,$J50,IF(情景分析!$D$6=2,$E50,IF(情景分析!$D$6=4,IF($C50="银行间",$J50,$L50),$G50)))+Y$2/100,情景分析!$D$7,"",,,,"",)*IF($H50="",1,$H50))</f>
        <v/>
      </c>
      <c r="Z50" s="7" t="str">
        <f>IF($A50="","",[2]!B_CALC_PRICE($A50,$V$1,IF(情景分析!$D$6=1,$J50,IF(情景分析!$D$6=2,$E50,IF(情景分析!$D$6=4,IF($C50="银行间",$J50,$L50),$G50)))+Z$2/100,情景分析!$D$7,"",,,,"",)*IF($H50="",1,$H50))</f>
        <v/>
      </c>
      <c r="AA50" s="7" t="str">
        <f>IF($A50="","",[2]!B_CALC_PRICE($A50,$V$1,IF(情景分析!$D$6=1,$J50,IF(情景分析!$D$6=2,$E50,IF(情景分析!$D$6=4,IF($C50="银行间",$J50,$L50),$G50)))+AA$2/100,情景分析!$D$7,"",,,,"",)*IF($H50="",1,$H50))</f>
        <v/>
      </c>
      <c r="AB50" s="7" t="str">
        <f>IF($A50="","",[2]!B_CALC_PRICE($A50,$V$1,IF(情景分析!$D$6=1,$J50,IF(情景分析!$D$6=2,$E50,IF(情景分析!$D$6=4,IF($C50="银行间",$J50,$L50),$G50)))+AB$2/100,情景分析!$D$7,"",,,,"",)*IF($H50="",1,$H50))</f>
        <v/>
      </c>
      <c r="AC50" s="7" t="str">
        <f>IF($A50="","",[2]!B_CALC_PRICE($A50,$AC$1,IF(情景分析!$D$6=1,$J50,IF(情景分析!$D$6=2,$E50,IF(情景分析!$D$6=4,IF($C50="银行间",$J50,$L50),$G50)))+AC$2/100,情景分析!$D$7,"",,,,"",)*IF($H50="",1,$H50))</f>
        <v/>
      </c>
      <c r="AD50" s="7" t="str">
        <f>IF($A50="","",[2]!B_CALC_PRICE($A50,$AC$1,IF(情景分析!$D$6=1,$J50,IF(情景分析!$D$6=2,$E50,IF(情景分析!$D$6=4,IF($C50="银行间",$J50,$L50),$G50)))+AD$2/100,情景分析!$D$7,"",,,,"",)*IF($H50="",1,$H50))</f>
        <v/>
      </c>
      <c r="AE50" s="7" t="str">
        <f>IF($A50="","",[2]!B_CALC_PRICE($A50,$AC$1,IF(情景分析!$D$6=1,$J50,IF(情景分析!$D$6=2,$E50,IF(情景分析!$D$6=4,IF($C50="银行间",$J50,$L50),$G50)))+AE$2/100,情景分析!$D$7,"",,,,"",)*IF($H50="",1,$H50))</f>
        <v/>
      </c>
      <c r="AF50" s="7" t="str">
        <f>IF($A50="","",[2]!B_CALC_PRICE($A50,$AC$1,IF(情景分析!$D$6=1,$J50,IF(情景分析!$D$6=2,$E50,IF(情景分析!$D$6=4,IF($C50="银行间",$J50,$L50),$G50)))+AF$2/100,情景分析!$D$7,"",,,,"",)*IF($H50="",1,$H50))</f>
        <v/>
      </c>
      <c r="AG50" s="7" t="str">
        <f>IF($A50="","",[2]!B_CALC_PRICE($A50,$AC$1,IF(情景分析!$D$6=1,$J50,IF(情景分析!$D$6=2,$E50,IF(情景分析!$D$6=4,IF($C50="银行间",$J50,$L50),$G50)))+AG$2/100,情景分析!$D$7,"",,,,"",)*IF($H50="",1,$H50))</f>
        <v/>
      </c>
      <c r="AH50" s="7" t="str">
        <f>IF($A50="","",[2]!B_CALC_PRICE($A50,$AC$1,IF(情景分析!$D$6=1,$J50,IF(情景分析!$D$6=2,$E50,IF(情景分析!$D$6=4,IF($C50="银行间",$J50,$L50),$G50)))+AH$2/100,情景分析!$D$7,"",,,,"",)*IF($H50="",1,$H50))</f>
        <v/>
      </c>
      <c r="AI50" s="7" t="str">
        <f>IF($A50="","",[2]!B_CALC_PRICE($A50,$AC$1,IF(情景分析!$D$6=1,$J50,IF(情景分析!$D$6=2,$E50,IF(情景分析!$D$6=4,IF($C50="银行间",$J50,$L50),$G50)))+AI$2/100,情景分析!$D$7,"",,,,"",)*IF($H50="",1,$H50))</f>
        <v/>
      </c>
      <c r="AJ50" s="7" t="str">
        <f>IF($A50="","",[2]!B_CALC_PRICE($A50,$AJ$1,IF(情景分析!$D$6=1,$J50,IF(情景分析!$D$6=2,$E50,IF(情景分析!$D$6=4,IF($C50="银行间",$J50,$L50),$G50)))+AJ$2/100,情景分析!$D$7,"",,,,"",)*IF($H50="",1,$H50))</f>
        <v/>
      </c>
      <c r="AK50" s="7" t="str">
        <f>IF($A50="","",[2]!B_CALC_PRICE($A50,$AJ$1,IF(情景分析!$D$6=1,$J50,IF(情景分析!$D$6=2,$E50,IF(情景分析!$D$6=4,IF($C50="银行间",$J50,$L50),$G50)))+AK$2/100,情景分析!$D$7,"",,,,"",)*IF($H50="",1,$H50))</f>
        <v/>
      </c>
      <c r="AL50" s="7" t="str">
        <f>IF($A50="","",[2]!B_CALC_PRICE($A50,$AJ$1,IF(情景分析!$D$6=1,$J50,IF(情景分析!$D$6=2,$E50,IF(情景分析!$D$6=4,IF($C50="银行间",$J50,$L50),$G50)))+AL$2/100,情景分析!$D$7,"",,,,"",)*IF($H50="",1,$H50))</f>
        <v/>
      </c>
      <c r="AM50" s="7" t="str">
        <f>IF($A50="","",[2]!B_CALC_PRICE($A50,$AJ$1,IF(情景分析!$D$6=1,$J50,IF(情景分析!$D$6=2,$E50,IF(情景分析!$D$6=4,IF($C50="银行间",$J50,$L50),$G50)))+AM$2/100,情景分析!$D$7,"",,,,"",)*IF($H50="",1,$H50))</f>
        <v/>
      </c>
      <c r="AN50" s="7" t="str">
        <f>IF($A50="","",[2]!B_CALC_PRICE($A50,$AJ$1,IF(情景分析!$D$6=1,$J50,IF(情景分析!$D$6=2,$E50,IF(情景分析!$D$6=4,IF($C50="银行间",$J50,$L50),$G50)))+AN$2/100,情景分析!$D$7,"",,,,"",)*IF($H50="",1,$H50))</f>
        <v/>
      </c>
      <c r="AO50" s="7" t="str">
        <f>IF($A50="","",[2]!B_CALC_PRICE($A50,$AJ$1,IF(情景分析!$D$6=1,$J50,IF(情景分析!$D$6=2,$E50,IF(情景分析!$D$6=4,IF($C50="银行间",$J50,$L50),$G50)))+AO$2/100,情景分析!$D$7,"",,,,"",)*IF($H50="",1,$H50))</f>
        <v/>
      </c>
      <c r="AP50" s="7" t="str">
        <f>IF($A50="","",[2]!B_CALC_PRICE($A50,$AJ$1,IF(情景分析!$D$6=1,$J50,IF(情景分析!$D$6=2,$E50,IF(情景分析!$D$6=4,IF($C50="银行间",$J50,$L50),$G50)))+AP$2/100,情景分析!$D$7,"",,,,"",)*IF($H50="",1,$H50))</f>
        <v/>
      </c>
      <c r="AQ50" s="7" t="str">
        <f>IF($A50="","",[2]!B_CALC_PRICE($A50,$AQ$1,IF(情景分析!$D$6=1,$J50,IF(情景分析!$D$6=2,$E50,IF(情景分析!$D$6=4,IF($C50="银行间",$J50,$L50),$G50)))+AQ$2/100,情景分析!$D$7,"",,,,"",)*IF($H50="",1,$H50))</f>
        <v/>
      </c>
      <c r="AR50" s="7" t="str">
        <f>IF($A50="","",[2]!B_CALC_PRICE($A50,$AQ$1,IF(情景分析!$D$6=1,$J50,IF(情景分析!$D$6=2,$E50,IF(情景分析!$D$6=4,IF($C50="银行间",$J50,$L50),$G50)))+AR$2/100,情景分析!$D$7,"",,,,"",)*IF($H50="",1,$H50))</f>
        <v/>
      </c>
      <c r="AS50" s="7" t="str">
        <f>IF($A50="","",[2]!B_CALC_PRICE($A50,$AQ$1,IF(情景分析!$D$6=1,$J50,IF(情景分析!$D$6=2,$E50,IF(情景分析!$D$6=4,IF($C50="银行间",$J50,$L50),$G50)))+AS$2/100,情景分析!$D$7,"",,,,"",)*IF($H50="",1,$H50))</f>
        <v/>
      </c>
      <c r="AT50" s="7" t="str">
        <f>IF($A50="","",[2]!B_CALC_PRICE($A50,$AQ$1,IF(情景分析!$D$6=1,$J50,IF(情景分析!$D$6=2,$E50,IF(情景分析!$D$6=4,IF($C50="银行间",$J50,$L50),$G50)))+AT$2/100,情景分析!$D$7,"",,,,"",)*IF($H50="",1,$H50))</f>
        <v/>
      </c>
      <c r="AU50" s="7" t="str">
        <f>IF($A50="","",[2]!B_CALC_PRICE($A50,$AQ$1,IF(情景分析!$D$6=1,$J50,IF(情景分析!$D$6=2,$E50,IF(情景分析!$D$6=4,IF($C50="银行间",$J50,$L50),$G50)))+AU$2/100,情景分析!$D$7,"",,,,"",)*IF($H50="",1,$H50))</f>
        <v/>
      </c>
      <c r="AV50" s="7" t="str">
        <f>IF($A50="","",[2]!B_CALC_PRICE($A50,$AQ$1,IF(情景分析!$D$6=1,$J50,IF(情景分析!$D$6=2,$E50,IF(情景分析!$D$6=4,IF($C50="银行间",$J50,$L50),$G50)))+AV$2/100,情景分析!$D$7,"",,,,"",)*IF($H50="",1,$H50))</f>
        <v/>
      </c>
      <c r="AW50" s="7" t="str">
        <f>IF($A50="","",[2]!B_CALC_PRICE($A50,$AQ$1,IF(情景分析!$D$6=1,$J50,IF(情景分析!$D$6=2,$E50,IF(情景分析!$D$6=4,IF($C50="银行间",$J50,$L50),$G50)))+AW$2/100,情景分析!$D$7,"",,,,"",)*IF($H50="",1,$H50))</f>
        <v/>
      </c>
    </row>
    <row r="51" spans="1:49" x14ac:dyDescent="0.15">
      <c r="A51" s="20"/>
      <c r="B51" s="7" t="str">
        <f>IF(A51="","",[2]!b_info_name(A51))</f>
        <v/>
      </c>
      <c r="C51" s="7" t="str">
        <f>[2]!b_info_listedmkt(A51)</f>
        <v>#N/A</v>
      </c>
      <c r="D51" s="7" t="str">
        <f>IFERROR(IF(A51="","", [2]!b_dq_avgprice(A51, 情景分析!$D$5, 情景分析!$D$7) * IF($H51="",1,$H51)),0)</f>
        <v/>
      </c>
      <c r="E51" s="7" t="str">
        <f>IF(A51="","", N([2]!b_dq_avgprice(A51,情景分析!$D$5,3)))</f>
        <v/>
      </c>
      <c r="F51" s="29" t="str">
        <f>IF($G51 = "",
"",
IFERROR(
[2]!b_calc_pv(A51, 情景分析!$D$5,$G51, "1", 情景分析!$D$7),
[2]!b_calc_pv(A51, 情景分析!$D$5,$G51, "2", 情景分析!$D$7)
)
)</f>
        <v/>
      </c>
      <c r="G51" s="22"/>
      <c r="H51" s="21"/>
      <c r="I51" s="7" t="str">
        <f>IF(A51="","",IF(情景分析!$D$7=1,[2]!b_anal_net_cnbd(A51,情景分析!$D$5,1),[2]!b_anal_dirty_cnbd(A51,情景分析!$D$5,1))*IF($H51="",1,$H51))</f>
        <v/>
      </c>
      <c r="J51" s="7" t="str">
        <f>IF(A51="","",[2]!b_anal_yield_cnbd(A51,情景分析!$D$5,1))</f>
        <v/>
      </c>
      <c r="K51" s="29" t="str">
        <f>IF(A51="","",IF(情景分析!$D$7=1,[2]!b_anal_net_csi1(A51,情景分析!$D$5,1),[2]!b_anal_dirty_csi1(A51,情景分析!$D$5,1))*IF($H51="",1,$H51))</f>
        <v/>
      </c>
      <c r="L51" s="29" t="str">
        <f>IF(A51="","",[2]!b_anal_yield_csi1(A51,情景分析!$D$5,1))</f>
        <v/>
      </c>
      <c r="M51" s="29" t="str">
        <f t="shared" si="6"/>
        <v/>
      </c>
      <c r="N51" s="29" t="str">
        <f t="shared" si="7"/>
        <v/>
      </c>
      <c r="O51" s="7" t="str">
        <f>IF($A51="","",[2]!B_CALC_PRICE($A51,$O$1,IF(情景分析!$D$6=1,$J51,IF(情景分析!$D$6=2,$E51,IF(情景分析!$D$6=4,IF($C51="银行间",$J51,$L51),$G51)))+O$2/100,情景分析!$D$7,"",,,,"",)*IF($H51="",1,$H51))</f>
        <v/>
      </c>
      <c r="P51" s="7" t="str">
        <f>IF($A51="","",[2]!B_CALC_PRICE($A51,$O$1,IF(情景分析!$D$6=1,$J51,IF(情景分析!$D$6=2,$E51,IF(情景分析!$D$6=4,IF($C51="银行间",$J51,$L51),$G51)))+P$2/100,情景分析!$D$7,"",,,,"",)*IF($H51="",1,$H51))</f>
        <v/>
      </c>
      <c r="Q51" s="7" t="str">
        <f>IF($A51="","",[2]!B_CALC_PRICE($A51,$O$1,IF(情景分析!$D$6=1,$J51,IF(情景分析!$D$6=2,$E51,IF(情景分析!$D$6=4,IF($C51="银行间",$J51,$L51),$G51)))+Q$2/100,情景分析!$D$7,"",,,,"",)*IF($H51="",1,$H51))</f>
        <v/>
      </c>
      <c r="R51" s="7" t="str">
        <f>IF($A51="","",[2]!B_CALC_PRICE($A51,$O$1,IF(情景分析!$D$6=1,$J51,IF(情景分析!$D$6=2,$E51,IF(情景分析!$D$6=4,IF($C51="银行间",$J51,$L51),$G51)))+R$2/100,情景分析!$D$7,"",,,,"",)*IF($H51="",1,$H51))</f>
        <v/>
      </c>
      <c r="S51" s="7" t="str">
        <f>IF($A51="","",[2]!B_CALC_PRICE($A51,$O$1,IF(情景分析!$D$6=1,$J51,IF(情景分析!$D$6=2,$E51,IF(情景分析!$D$6=4,IF($C51="银行间",$J51,$L51),$G51)))+S$2/100,情景分析!$D$7,"",,,,"",)*IF($H51="",1,$H51))</f>
        <v/>
      </c>
      <c r="T51" s="7" t="str">
        <f>IF($A51="","",[2]!B_CALC_PRICE($A51,$O$1,IF(情景分析!$D$6=1,$J51,IF(情景分析!$D$6=2,$E51,IF(情景分析!$D$6=4,IF($C51="银行间",$J51,$L51),$G51)))+T$2/100,情景分析!$D$7,"",,,,"",)*IF($H51="",1,$H51))</f>
        <v/>
      </c>
      <c r="U51" s="7" t="str">
        <f>IF($A51="","",[2]!B_CALC_PRICE($A51,$O$1,IF(情景分析!$D$6=1,$J51,IF(情景分析!$D$6=2,$E51,IF(情景分析!$D$6=4,IF($C51="银行间",$J51,$L51),$G51)))+U$2/100,情景分析!$D$7,"",,,,"",)*IF($H51="",1,$H51))</f>
        <v/>
      </c>
      <c r="V51" s="7" t="str">
        <f>IF($A51="","",[2]!B_CALC_PRICE($A51,$V$1,IF(情景分析!$D$6=1,$J51,IF(情景分析!$D$6=2,$E51,IF(情景分析!$D$6=4,IF($C51="银行间",$J51,$L51),$G51)))+V$2/100,情景分析!$D$7,"",,,,"",)*IF($H51="",1,$H51))</f>
        <v/>
      </c>
      <c r="W51" s="7" t="str">
        <f>IF($A51="","",[2]!B_CALC_PRICE($A51,$V$1,IF(情景分析!$D$6=1,$J51,IF(情景分析!$D$6=2,$E51,IF(情景分析!$D$6=4,IF($C51="银行间",$J51,$L51),$G51)))+W$2/100,情景分析!$D$7,"",,,,"",)*IF($H51="",1,$H51))</f>
        <v/>
      </c>
      <c r="X51" s="7" t="str">
        <f>IF($A51="","",[2]!B_CALC_PRICE($A51,$V$1,IF(情景分析!$D$6=1,$J51,IF(情景分析!$D$6=2,$E51,IF(情景分析!$D$6=4,IF($C51="银行间",$J51,$L51),$G51)))+X$2/100,情景分析!$D$7,"",,,,"",)*IF($H51="",1,$H51))</f>
        <v/>
      </c>
      <c r="Y51" s="7" t="str">
        <f>IF($A51="","",[2]!B_CALC_PRICE($A51,$V$1,IF(情景分析!$D$6=1,$J51,IF(情景分析!$D$6=2,$E51,IF(情景分析!$D$6=4,IF($C51="银行间",$J51,$L51),$G51)))+Y$2/100,情景分析!$D$7,"",,,,"",)*IF($H51="",1,$H51))</f>
        <v/>
      </c>
      <c r="Z51" s="7" t="str">
        <f>IF($A51="","",[2]!B_CALC_PRICE($A51,$V$1,IF(情景分析!$D$6=1,$J51,IF(情景分析!$D$6=2,$E51,IF(情景分析!$D$6=4,IF($C51="银行间",$J51,$L51),$G51)))+Z$2/100,情景分析!$D$7,"",,,,"",)*IF($H51="",1,$H51))</f>
        <v/>
      </c>
      <c r="AA51" s="7" t="str">
        <f>IF($A51="","",[2]!B_CALC_PRICE($A51,$V$1,IF(情景分析!$D$6=1,$J51,IF(情景分析!$D$6=2,$E51,IF(情景分析!$D$6=4,IF($C51="银行间",$J51,$L51),$G51)))+AA$2/100,情景分析!$D$7,"",,,,"",)*IF($H51="",1,$H51))</f>
        <v/>
      </c>
      <c r="AB51" s="7" t="str">
        <f>IF($A51="","",[2]!B_CALC_PRICE($A51,$V$1,IF(情景分析!$D$6=1,$J51,IF(情景分析!$D$6=2,$E51,IF(情景分析!$D$6=4,IF($C51="银行间",$J51,$L51),$G51)))+AB$2/100,情景分析!$D$7,"",,,,"",)*IF($H51="",1,$H51))</f>
        <v/>
      </c>
      <c r="AC51" s="7" t="str">
        <f>IF($A51="","",[2]!B_CALC_PRICE($A51,$AC$1,IF(情景分析!$D$6=1,$J51,IF(情景分析!$D$6=2,$E51,IF(情景分析!$D$6=4,IF($C51="银行间",$J51,$L51),$G51)))+AC$2/100,情景分析!$D$7,"",,,,"",)*IF($H51="",1,$H51))</f>
        <v/>
      </c>
      <c r="AD51" s="7" t="str">
        <f>IF($A51="","",[2]!B_CALC_PRICE($A51,$AC$1,IF(情景分析!$D$6=1,$J51,IF(情景分析!$D$6=2,$E51,IF(情景分析!$D$6=4,IF($C51="银行间",$J51,$L51),$G51)))+AD$2/100,情景分析!$D$7,"",,,,"",)*IF($H51="",1,$H51))</f>
        <v/>
      </c>
      <c r="AE51" s="7" t="str">
        <f>IF($A51="","",[2]!B_CALC_PRICE($A51,$AC$1,IF(情景分析!$D$6=1,$J51,IF(情景分析!$D$6=2,$E51,IF(情景分析!$D$6=4,IF($C51="银行间",$J51,$L51),$G51)))+AE$2/100,情景分析!$D$7,"",,,,"",)*IF($H51="",1,$H51))</f>
        <v/>
      </c>
      <c r="AF51" s="7" t="str">
        <f>IF($A51="","",[2]!B_CALC_PRICE($A51,$AC$1,IF(情景分析!$D$6=1,$J51,IF(情景分析!$D$6=2,$E51,IF(情景分析!$D$6=4,IF($C51="银行间",$J51,$L51),$G51)))+AF$2/100,情景分析!$D$7,"",,,,"",)*IF($H51="",1,$H51))</f>
        <v/>
      </c>
      <c r="AG51" s="7" t="str">
        <f>IF($A51="","",[2]!B_CALC_PRICE($A51,$AC$1,IF(情景分析!$D$6=1,$J51,IF(情景分析!$D$6=2,$E51,IF(情景分析!$D$6=4,IF($C51="银行间",$J51,$L51),$G51)))+AG$2/100,情景分析!$D$7,"",,,,"",)*IF($H51="",1,$H51))</f>
        <v/>
      </c>
      <c r="AH51" s="7" t="str">
        <f>IF($A51="","",[2]!B_CALC_PRICE($A51,$AC$1,IF(情景分析!$D$6=1,$J51,IF(情景分析!$D$6=2,$E51,IF(情景分析!$D$6=4,IF($C51="银行间",$J51,$L51),$G51)))+AH$2/100,情景分析!$D$7,"",,,,"",)*IF($H51="",1,$H51))</f>
        <v/>
      </c>
      <c r="AI51" s="7" t="str">
        <f>IF($A51="","",[2]!B_CALC_PRICE($A51,$AC$1,IF(情景分析!$D$6=1,$J51,IF(情景分析!$D$6=2,$E51,IF(情景分析!$D$6=4,IF($C51="银行间",$J51,$L51),$G51)))+AI$2/100,情景分析!$D$7,"",,,,"",)*IF($H51="",1,$H51))</f>
        <v/>
      </c>
      <c r="AJ51" s="7" t="str">
        <f>IF($A51="","",[2]!B_CALC_PRICE($A51,$AJ$1,IF(情景分析!$D$6=1,$J51,IF(情景分析!$D$6=2,$E51,IF(情景分析!$D$6=4,IF($C51="银行间",$J51,$L51),$G51)))+AJ$2/100,情景分析!$D$7,"",,,,"",)*IF($H51="",1,$H51))</f>
        <v/>
      </c>
      <c r="AK51" s="7" t="str">
        <f>IF($A51="","",[2]!B_CALC_PRICE($A51,$AJ$1,IF(情景分析!$D$6=1,$J51,IF(情景分析!$D$6=2,$E51,IF(情景分析!$D$6=4,IF($C51="银行间",$J51,$L51),$G51)))+AK$2/100,情景分析!$D$7,"",,,,"",)*IF($H51="",1,$H51))</f>
        <v/>
      </c>
      <c r="AL51" s="7" t="str">
        <f>IF($A51="","",[2]!B_CALC_PRICE($A51,$AJ$1,IF(情景分析!$D$6=1,$J51,IF(情景分析!$D$6=2,$E51,IF(情景分析!$D$6=4,IF($C51="银行间",$J51,$L51),$G51)))+AL$2/100,情景分析!$D$7,"",,,,"",)*IF($H51="",1,$H51))</f>
        <v/>
      </c>
      <c r="AM51" s="7" t="str">
        <f>IF($A51="","",[2]!B_CALC_PRICE($A51,$AJ$1,IF(情景分析!$D$6=1,$J51,IF(情景分析!$D$6=2,$E51,IF(情景分析!$D$6=4,IF($C51="银行间",$J51,$L51),$G51)))+AM$2/100,情景分析!$D$7,"",,,,"",)*IF($H51="",1,$H51))</f>
        <v/>
      </c>
      <c r="AN51" s="7" t="str">
        <f>IF($A51="","",[2]!B_CALC_PRICE($A51,$AJ$1,IF(情景分析!$D$6=1,$J51,IF(情景分析!$D$6=2,$E51,IF(情景分析!$D$6=4,IF($C51="银行间",$J51,$L51),$G51)))+AN$2/100,情景分析!$D$7,"",,,,"",)*IF($H51="",1,$H51))</f>
        <v/>
      </c>
      <c r="AO51" s="7" t="str">
        <f>IF($A51="","",[2]!B_CALC_PRICE($A51,$AJ$1,IF(情景分析!$D$6=1,$J51,IF(情景分析!$D$6=2,$E51,IF(情景分析!$D$6=4,IF($C51="银行间",$J51,$L51),$G51)))+AO$2/100,情景分析!$D$7,"",,,,"",)*IF($H51="",1,$H51))</f>
        <v/>
      </c>
      <c r="AP51" s="7" t="str">
        <f>IF($A51="","",[2]!B_CALC_PRICE($A51,$AJ$1,IF(情景分析!$D$6=1,$J51,IF(情景分析!$D$6=2,$E51,IF(情景分析!$D$6=4,IF($C51="银行间",$J51,$L51),$G51)))+AP$2/100,情景分析!$D$7,"",,,,"",)*IF($H51="",1,$H51))</f>
        <v/>
      </c>
      <c r="AQ51" s="7" t="str">
        <f>IF($A51="","",[2]!B_CALC_PRICE($A51,$AQ$1,IF(情景分析!$D$6=1,$J51,IF(情景分析!$D$6=2,$E51,IF(情景分析!$D$6=4,IF($C51="银行间",$J51,$L51),$G51)))+AQ$2/100,情景分析!$D$7,"",,,,"",)*IF($H51="",1,$H51))</f>
        <v/>
      </c>
      <c r="AR51" s="7" t="str">
        <f>IF($A51="","",[2]!B_CALC_PRICE($A51,$AQ$1,IF(情景分析!$D$6=1,$J51,IF(情景分析!$D$6=2,$E51,IF(情景分析!$D$6=4,IF($C51="银行间",$J51,$L51),$G51)))+AR$2/100,情景分析!$D$7,"",,,,"",)*IF($H51="",1,$H51))</f>
        <v/>
      </c>
      <c r="AS51" s="7" t="str">
        <f>IF($A51="","",[2]!B_CALC_PRICE($A51,$AQ$1,IF(情景分析!$D$6=1,$J51,IF(情景分析!$D$6=2,$E51,IF(情景分析!$D$6=4,IF($C51="银行间",$J51,$L51),$G51)))+AS$2/100,情景分析!$D$7,"",,,,"",)*IF($H51="",1,$H51))</f>
        <v/>
      </c>
      <c r="AT51" s="7" t="str">
        <f>IF($A51="","",[2]!B_CALC_PRICE($A51,$AQ$1,IF(情景分析!$D$6=1,$J51,IF(情景分析!$D$6=2,$E51,IF(情景分析!$D$6=4,IF($C51="银行间",$J51,$L51),$G51)))+AT$2/100,情景分析!$D$7,"",,,,"",)*IF($H51="",1,$H51))</f>
        <v/>
      </c>
      <c r="AU51" s="7" t="str">
        <f>IF($A51="","",[2]!B_CALC_PRICE($A51,$AQ$1,IF(情景分析!$D$6=1,$J51,IF(情景分析!$D$6=2,$E51,IF(情景分析!$D$6=4,IF($C51="银行间",$J51,$L51),$G51)))+AU$2/100,情景分析!$D$7,"",,,,"",)*IF($H51="",1,$H51))</f>
        <v/>
      </c>
      <c r="AV51" s="7" t="str">
        <f>IF($A51="","",[2]!B_CALC_PRICE($A51,$AQ$1,IF(情景分析!$D$6=1,$J51,IF(情景分析!$D$6=2,$E51,IF(情景分析!$D$6=4,IF($C51="银行间",$J51,$L51),$G51)))+AV$2/100,情景分析!$D$7,"",,,,"",)*IF($H51="",1,$H51))</f>
        <v/>
      </c>
      <c r="AW51" s="7" t="str">
        <f>IF($A51="","",[2]!B_CALC_PRICE($A51,$AQ$1,IF(情景分析!$D$6=1,$J51,IF(情景分析!$D$6=2,$E51,IF(情景分析!$D$6=4,IF($C51="银行间",$J51,$L51),$G51)))+AW$2/100,情景分析!$D$7,"",,,,"",)*IF($H51="",1,$H51))</f>
        <v/>
      </c>
    </row>
    <row r="52" spans="1:49" x14ac:dyDescent="0.15">
      <c r="A52" s="20"/>
      <c r="B52" s="7" t="str">
        <f>IF(A52="","",[2]!b_info_name(A52))</f>
        <v/>
      </c>
      <c r="C52" s="7" t="str">
        <f>[2]!b_info_listedmkt(A52)</f>
        <v>#N/A</v>
      </c>
      <c r="D52" s="7" t="str">
        <f>IFERROR(IF(A52="","", [2]!b_dq_avgprice(A52, 情景分析!$D$5, 情景分析!$D$7) * IF($H52="",1,$H52)),0)</f>
        <v/>
      </c>
      <c r="E52" s="7" t="str">
        <f>IF(A52="","", N([2]!b_dq_avgprice(A52,情景分析!$D$5,3)))</f>
        <v/>
      </c>
      <c r="F52" s="29" t="str">
        <f>IF($G52 = "",
"",
IFERROR(
[2]!b_calc_pv(A52, 情景分析!$D$5,$G52, "1", 情景分析!$D$7),
[2]!b_calc_pv(A52, 情景分析!$D$5,$G52, "2", 情景分析!$D$7)
)
)</f>
        <v/>
      </c>
      <c r="G52" s="22"/>
      <c r="H52" s="21"/>
      <c r="I52" s="7" t="str">
        <f>IF(A52="","",IF(情景分析!$D$7=1,[2]!b_anal_net_cnbd(A52,情景分析!$D$5,1),[2]!b_anal_dirty_cnbd(A52,情景分析!$D$5,1))*IF($H52="",1,$H52))</f>
        <v/>
      </c>
      <c r="J52" s="7" t="str">
        <f>IF(A52="","",[2]!b_anal_yield_cnbd(A52,情景分析!$D$5,1))</f>
        <v/>
      </c>
      <c r="K52" s="29" t="str">
        <f>IF(A52="","",IF(情景分析!$D$7=1,[2]!b_anal_net_csi1(A52,情景分析!$D$5,1),[2]!b_anal_dirty_csi1(A52,情景分析!$D$5,1))*IF($H52="",1,$H52))</f>
        <v/>
      </c>
      <c r="L52" s="29" t="str">
        <f>IF(A52="","",[2]!b_anal_yield_csi1(A52,情景分析!$D$5,1))</f>
        <v/>
      </c>
      <c r="M52" s="29" t="str">
        <f t="shared" si="6"/>
        <v/>
      </c>
      <c r="N52" s="29" t="str">
        <f t="shared" si="7"/>
        <v/>
      </c>
      <c r="O52" s="7" t="str">
        <f>IF($A52="","",[2]!B_CALC_PRICE($A52,$O$1,IF(情景分析!$D$6=1,$J52,IF(情景分析!$D$6=2,$E52,IF(情景分析!$D$6=4,IF($C52="银行间",$J52,$L52),$G52)))+O$2/100,情景分析!$D$7,"",,,,"",)*IF($H52="",1,$H52))</f>
        <v/>
      </c>
      <c r="P52" s="7" t="str">
        <f>IF($A52="","",[2]!B_CALC_PRICE($A52,$O$1,IF(情景分析!$D$6=1,$J52,IF(情景分析!$D$6=2,$E52,IF(情景分析!$D$6=4,IF($C52="银行间",$J52,$L52),$G52)))+P$2/100,情景分析!$D$7,"",,,,"",)*IF($H52="",1,$H52))</f>
        <v/>
      </c>
      <c r="Q52" s="7" t="str">
        <f>IF($A52="","",[2]!B_CALC_PRICE($A52,$O$1,IF(情景分析!$D$6=1,$J52,IF(情景分析!$D$6=2,$E52,IF(情景分析!$D$6=4,IF($C52="银行间",$J52,$L52),$G52)))+Q$2/100,情景分析!$D$7,"",,,,"",)*IF($H52="",1,$H52))</f>
        <v/>
      </c>
      <c r="R52" s="7" t="str">
        <f>IF($A52="","",[2]!B_CALC_PRICE($A52,$O$1,IF(情景分析!$D$6=1,$J52,IF(情景分析!$D$6=2,$E52,IF(情景分析!$D$6=4,IF($C52="银行间",$J52,$L52),$G52)))+R$2/100,情景分析!$D$7,"",,,,"",)*IF($H52="",1,$H52))</f>
        <v/>
      </c>
      <c r="S52" s="7" t="str">
        <f>IF($A52="","",[2]!B_CALC_PRICE($A52,$O$1,IF(情景分析!$D$6=1,$J52,IF(情景分析!$D$6=2,$E52,IF(情景分析!$D$6=4,IF($C52="银行间",$J52,$L52),$G52)))+S$2/100,情景分析!$D$7,"",,,,"",)*IF($H52="",1,$H52))</f>
        <v/>
      </c>
      <c r="T52" s="7" t="str">
        <f>IF($A52="","",[2]!B_CALC_PRICE($A52,$O$1,IF(情景分析!$D$6=1,$J52,IF(情景分析!$D$6=2,$E52,IF(情景分析!$D$6=4,IF($C52="银行间",$J52,$L52),$G52)))+T$2/100,情景分析!$D$7,"",,,,"",)*IF($H52="",1,$H52))</f>
        <v/>
      </c>
      <c r="U52" s="7" t="str">
        <f>IF($A52="","",[2]!B_CALC_PRICE($A52,$O$1,IF(情景分析!$D$6=1,$J52,IF(情景分析!$D$6=2,$E52,IF(情景分析!$D$6=4,IF($C52="银行间",$J52,$L52),$G52)))+U$2/100,情景分析!$D$7,"",,,,"",)*IF($H52="",1,$H52))</f>
        <v/>
      </c>
      <c r="V52" s="7" t="str">
        <f>IF($A52="","",[2]!B_CALC_PRICE($A52,$V$1,IF(情景分析!$D$6=1,$J52,IF(情景分析!$D$6=2,$E52,IF(情景分析!$D$6=4,IF($C52="银行间",$J52,$L52),$G52)))+V$2/100,情景分析!$D$7,"",,,,"",)*IF($H52="",1,$H52))</f>
        <v/>
      </c>
      <c r="W52" s="7" t="str">
        <f>IF($A52="","",[2]!B_CALC_PRICE($A52,$V$1,IF(情景分析!$D$6=1,$J52,IF(情景分析!$D$6=2,$E52,IF(情景分析!$D$6=4,IF($C52="银行间",$J52,$L52),$G52)))+W$2/100,情景分析!$D$7,"",,,,"",)*IF($H52="",1,$H52))</f>
        <v/>
      </c>
      <c r="X52" s="7" t="str">
        <f>IF($A52="","",[2]!B_CALC_PRICE($A52,$V$1,IF(情景分析!$D$6=1,$J52,IF(情景分析!$D$6=2,$E52,IF(情景分析!$D$6=4,IF($C52="银行间",$J52,$L52),$G52)))+X$2/100,情景分析!$D$7,"",,,,"",)*IF($H52="",1,$H52))</f>
        <v/>
      </c>
      <c r="Y52" s="7" t="str">
        <f>IF($A52="","",[2]!B_CALC_PRICE($A52,$V$1,IF(情景分析!$D$6=1,$J52,IF(情景分析!$D$6=2,$E52,IF(情景分析!$D$6=4,IF($C52="银行间",$J52,$L52),$G52)))+Y$2/100,情景分析!$D$7,"",,,,"",)*IF($H52="",1,$H52))</f>
        <v/>
      </c>
      <c r="Z52" s="7" t="str">
        <f>IF($A52="","",[2]!B_CALC_PRICE($A52,$V$1,IF(情景分析!$D$6=1,$J52,IF(情景分析!$D$6=2,$E52,IF(情景分析!$D$6=4,IF($C52="银行间",$J52,$L52),$G52)))+Z$2/100,情景分析!$D$7,"",,,,"",)*IF($H52="",1,$H52))</f>
        <v/>
      </c>
      <c r="AA52" s="7" t="str">
        <f>IF($A52="","",[2]!B_CALC_PRICE($A52,$V$1,IF(情景分析!$D$6=1,$J52,IF(情景分析!$D$6=2,$E52,IF(情景分析!$D$6=4,IF($C52="银行间",$J52,$L52),$G52)))+AA$2/100,情景分析!$D$7,"",,,,"",)*IF($H52="",1,$H52))</f>
        <v/>
      </c>
      <c r="AB52" s="7" t="str">
        <f>IF($A52="","",[2]!B_CALC_PRICE($A52,$V$1,IF(情景分析!$D$6=1,$J52,IF(情景分析!$D$6=2,$E52,IF(情景分析!$D$6=4,IF($C52="银行间",$J52,$L52),$G52)))+AB$2/100,情景分析!$D$7,"",,,,"",)*IF($H52="",1,$H52))</f>
        <v/>
      </c>
      <c r="AC52" s="7" t="str">
        <f>IF($A52="","",[2]!B_CALC_PRICE($A52,$AC$1,IF(情景分析!$D$6=1,$J52,IF(情景分析!$D$6=2,$E52,IF(情景分析!$D$6=4,IF($C52="银行间",$J52,$L52),$G52)))+AC$2/100,情景分析!$D$7,"",,,,"",)*IF($H52="",1,$H52))</f>
        <v/>
      </c>
      <c r="AD52" s="7" t="str">
        <f>IF($A52="","",[2]!B_CALC_PRICE($A52,$AC$1,IF(情景分析!$D$6=1,$J52,IF(情景分析!$D$6=2,$E52,IF(情景分析!$D$6=4,IF($C52="银行间",$J52,$L52),$G52)))+AD$2/100,情景分析!$D$7,"",,,,"",)*IF($H52="",1,$H52))</f>
        <v/>
      </c>
      <c r="AE52" s="7" t="str">
        <f>IF($A52="","",[2]!B_CALC_PRICE($A52,$AC$1,IF(情景分析!$D$6=1,$J52,IF(情景分析!$D$6=2,$E52,IF(情景分析!$D$6=4,IF($C52="银行间",$J52,$L52),$G52)))+AE$2/100,情景分析!$D$7,"",,,,"",)*IF($H52="",1,$H52))</f>
        <v/>
      </c>
      <c r="AF52" s="7" t="str">
        <f>IF($A52="","",[2]!B_CALC_PRICE($A52,$AC$1,IF(情景分析!$D$6=1,$J52,IF(情景分析!$D$6=2,$E52,IF(情景分析!$D$6=4,IF($C52="银行间",$J52,$L52),$G52)))+AF$2/100,情景分析!$D$7,"",,,,"",)*IF($H52="",1,$H52))</f>
        <v/>
      </c>
      <c r="AG52" s="7" t="str">
        <f>IF($A52="","",[2]!B_CALC_PRICE($A52,$AC$1,IF(情景分析!$D$6=1,$J52,IF(情景分析!$D$6=2,$E52,IF(情景分析!$D$6=4,IF($C52="银行间",$J52,$L52),$G52)))+AG$2/100,情景分析!$D$7,"",,,,"",)*IF($H52="",1,$H52))</f>
        <v/>
      </c>
      <c r="AH52" s="7" t="str">
        <f>IF($A52="","",[2]!B_CALC_PRICE($A52,$AC$1,IF(情景分析!$D$6=1,$J52,IF(情景分析!$D$6=2,$E52,IF(情景分析!$D$6=4,IF($C52="银行间",$J52,$L52),$G52)))+AH$2/100,情景分析!$D$7,"",,,,"",)*IF($H52="",1,$H52))</f>
        <v/>
      </c>
      <c r="AI52" s="7" t="str">
        <f>IF($A52="","",[2]!B_CALC_PRICE($A52,$AC$1,IF(情景分析!$D$6=1,$J52,IF(情景分析!$D$6=2,$E52,IF(情景分析!$D$6=4,IF($C52="银行间",$J52,$L52),$G52)))+AI$2/100,情景分析!$D$7,"",,,,"",)*IF($H52="",1,$H52))</f>
        <v/>
      </c>
      <c r="AJ52" s="7" t="str">
        <f>IF($A52="","",[2]!B_CALC_PRICE($A52,$AJ$1,IF(情景分析!$D$6=1,$J52,IF(情景分析!$D$6=2,$E52,IF(情景分析!$D$6=4,IF($C52="银行间",$J52,$L52),$G52)))+AJ$2/100,情景分析!$D$7,"",,,,"",)*IF($H52="",1,$H52))</f>
        <v/>
      </c>
      <c r="AK52" s="7" t="str">
        <f>IF($A52="","",[2]!B_CALC_PRICE($A52,$AJ$1,IF(情景分析!$D$6=1,$J52,IF(情景分析!$D$6=2,$E52,IF(情景分析!$D$6=4,IF($C52="银行间",$J52,$L52),$G52)))+AK$2/100,情景分析!$D$7,"",,,,"",)*IF($H52="",1,$H52))</f>
        <v/>
      </c>
      <c r="AL52" s="7" t="str">
        <f>IF($A52="","",[2]!B_CALC_PRICE($A52,$AJ$1,IF(情景分析!$D$6=1,$J52,IF(情景分析!$D$6=2,$E52,IF(情景分析!$D$6=4,IF($C52="银行间",$J52,$L52),$G52)))+AL$2/100,情景分析!$D$7,"",,,,"",)*IF($H52="",1,$H52))</f>
        <v/>
      </c>
      <c r="AM52" s="7" t="str">
        <f>IF($A52="","",[2]!B_CALC_PRICE($A52,$AJ$1,IF(情景分析!$D$6=1,$J52,IF(情景分析!$D$6=2,$E52,IF(情景分析!$D$6=4,IF($C52="银行间",$J52,$L52),$G52)))+AM$2/100,情景分析!$D$7,"",,,,"",)*IF($H52="",1,$H52))</f>
        <v/>
      </c>
      <c r="AN52" s="7" t="str">
        <f>IF($A52="","",[2]!B_CALC_PRICE($A52,$AJ$1,IF(情景分析!$D$6=1,$J52,IF(情景分析!$D$6=2,$E52,IF(情景分析!$D$6=4,IF($C52="银行间",$J52,$L52),$G52)))+AN$2/100,情景分析!$D$7,"",,,,"",)*IF($H52="",1,$H52))</f>
        <v/>
      </c>
      <c r="AO52" s="7" t="str">
        <f>IF($A52="","",[2]!B_CALC_PRICE($A52,$AJ$1,IF(情景分析!$D$6=1,$J52,IF(情景分析!$D$6=2,$E52,IF(情景分析!$D$6=4,IF($C52="银行间",$J52,$L52),$G52)))+AO$2/100,情景分析!$D$7,"",,,,"",)*IF($H52="",1,$H52))</f>
        <v/>
      </c>
      <c r="AP52" s="7" t="str">
        <f>IF($A52="","",[2]!B_CALC_PRICE($A52,$AJ$1,IF(情景分析!$D$6=1,$J52,IF(情景分析!$D$6=2,$E52,IF(情景分析!$D$6=4,IF($C52="银行间",$J52,$L52),$G52)))+AP$2/100,情景分析!$D$7,"",,,,"",)*IF($H52="",1,$H52))</f>
        <v/>
      </c>
      <c r="AQ52" s="7" t="str">
        <f>IF($A52="","",[2]!B_CALC_PRICE($A52,$AQ$1,IF(情景分析!$D$6=1,$J52,IF(情景分析!$D$6=2,$E52,IF(情景分析!$D$6=4,IF($C52="银行间",$J52,$L52),$G52)))+AQ$2/100,情景分析!$D$7,"",,,,"",)*IF($H52="",1,$H52))</f>
        <v/>
      </c>
      <c r="AR52" s="7" t="str">
        <f>IF($A52="","",[2]!B_CALC_PRICE($A52,$AQ$1,IF(情景分析!$D$6=1,$J52,IF(情景分析!$D$6=2,$E52,IF(情景分析!$D$6=4,IF($C52="银行间",$J52,$L52),$G52)))+AR$2/100,情景分析!$D$7,"",,,,"",)*IF($H52="",1,$H52))</f>
        <v/>
      </c>
      <c r="AS52" s="7" t="str">
        <f>IF($A52="","",[2]!B_CALC_PRICE($A52,$AQ$1,IF(情景分析!$D$6=1,$J52,IF(情景分析!$D$6=2,$E52,IF(情景分析!$D$6=4,IF($C52="银行间",$J52,$L52),$G52)))+AS$2/100,情景分析!$D$7,"",,,,"",)*IF($H52="",1,$H52))</f>
        <v/>
      </c>
      <c r="AT52" s="7" t="str">
        <f>IF($A52="","",[2]!B_CALC_PRICE($A52,$AQ$1,IF(情景分析!$D$6=1,$J52,IF(情景分析!$D$6=2,$E52,IF(情景分析!$D$6=4,IF($C52="银行间",$J52,$L52),$G52)))+AT$2/100,情景分析!$D$7,"",,,,"",)*IF($H52="",1,$H52))</f>
        <v/>
      </c>
      <c r="AU52" s="7" t="str">
        <f>IF($A52="","",[2]!B_CALC_PRICE($A52,$AQ$1,IF(情景分析!$D$6=1,$J52,IF(情景分析!$D$6=2,$E52,IF(情景分析!$D$6=4,IF($C52="银行间",$J52,$L52),$G52)))+AU$2/100,情景分析!$D$7,"",,,,"",)*IF($H52="",1,$H52))</f>
        <v/>
      </c>
      <c r="AV52" s="7" t="str">
        <f>IF($A52="","",[2]!B_CALC_PRICE($A52,$AQ$1,IF(情景分析!$D$6=1,$J52,IF(情景分析!$D$6=2,$E52,IF(情景分析!$D$6=4,IF($C52="银行间",$J52,$L52),$G52)))+AV$2/100,情景分析!$D$7,"",,,,"",)*IF($H52="",1,$H52))</f>
        <v/>
      </c>
      <c r="AW52" s="7" t="str">
        <f>IF($A52="","",[2]!B_CALC_PRICE($A52,$AQ$1,IF(情景分析!$D$6=1,$J52,IF(情景分析!$D$6=2,$E52,IF(情景分析!$D$6=4,IF($C52="银行间",$J52,$L52),$G52)))+AW$2/100,情景分析!$D$7,"",,,,"",)*IF($H52="",1,$H52))</f>
        <v/>
      </c>
    </row>
    <row r="53" spans="1:49" x14ac:dyDescent="0.15">
      <c r="A53" s="20"/>
      <c r="B53" s="7" t="str">
        <f>IF(A53="","",[2]!b_info_name(A53))</f>
        <v/>
      </c>
      <c r="C53" s="7" t="str">
        <f>[2]!b_info_listedmkt(A53)</f>
        <v>#N/A</v>
      </c>
      <c r="D53" s="7" t="str">
        <f>IFERROR(IF(A53="","", [2]!b_dq_avgprice(A53, 情景分析!$D$5, 情景分析!$D$7) * IF($H53="",1,$H53)),0)</f>
        <v/>
      </c>
      <c r="E53" s="7" t="str">
        <f>IF(A53="","", N([2]!b_dq_avgprice(A53,情景分析!$D$5,3)))</f>
        <v/>
      </c>
      <c r="F53" s="29" t="str">
        <f>IF($G53 = "",
"",
IFERROR(
[2]!b_calc_pv(A53, 情景分析!$D$5,$G53, "1", 情景分析!$D$7),
[2]!b_calc_pv(A53, 情景分析!$D$5,$G53, "2", 情景分析!$D$7)
)
)</f>
        <v/>
      </c>
      <c r="G53" s="22"/>
      <c r="H53" s="21"/>
      <c r="I53" s="7" t="str">
        <f>IF(A53="","",IF(情景分析!$D$7=1,[2]!b_anal_net_cnbd(A53,情景分析!$D$5,1),[2]!b_anal_dirty_cnbd(A53,情景分析!$D$5,1))*IF($H53="",1,$H53))</f>
        <v/>
      </c>
      <c r="J53" s="7" t="str">
        <f>IF(A53="","",[2]!b_anal_yield_cnbd(A53,情景分析!$D$5,1))</f>
        <v/>
      </c>
      <c r="K53" s="29" t="str">
        <f>IF(A53="","",IF(情景分析!$D$7=1,[2]!b_anal_net_csi1(A53,情景分析!$D$5,1),[2]!b_anal_dirty_csi1(A53,情景分析!$D$5,1))*IF($H53="",1,$H53))</f>
        <v/>
      </c>
      <c r="L53" s="29" t="str">
        <f>IF(A53="","",[2]!b_anal_yield_csi1(A53,情景分析!$D$5,1))</f>
        <v/>
      </c>
      <c r="M53" s="29" t="str">
        <f t="shared" si="6"/>
        <v/>
      </c>
      <c r="N53" s="29" t="str">
        <f t="shared" si="7"/>
        <v/>
      </c>
      <c r="O53" s="7" t="str">
        <f>IF($A53="","",[2]!B_CALC_PRICE($A53,$O$1,IF(情景分析!$D$6=1,$J53,IF(情景分析!$D$6=2,$E53,IF(情景分析!$D$6=4,IF($C53="银行间",$J53,$L53),$G53)))+O$2/100,情景分析!$D$7,"",,,,"",)*IF($H53="",1,$H53))</f>
        <v/>
      </c>
      <c r="P53" s="7" t="str">
        <f>IF($A53="","",[2]!B_CALC_PRICE($A53,$O$1,IF(情景分析!$D$6=1,$J53,IF(情景分析!$D$6=2,$E53,IF(情景分析!$D$6=4,IF($C53="银行间",$J53,$L53),$G53)))+P$2/100,情景分析!$D$7,"",,,,"",)*IF($H53="",1,$H53))</f>
        <v/>
      </c>
      <c r="Q53" s="7" t="str">
        <f>IF($A53="","",[2]!B_CALC_PRICE($A53,$O$1,IF(情景分析!$D$6=1,$J53,IF(情景分析!$D$6=2,$E53,IF(情景分析!$D$6=4,IF($C53="银行间",$J53,$L53),$G53)))+Q$2/100,情景分析!$D$7,"",,,,"",)*IF($H53="",1,$H53))</f>
        <v/>
      </c>
      <c r="R53" s="7" t="str">
        <f>IF($A53="","",[2]!B_CALC_PRICE($A53,$O$1,IF(情景分析!$D$6=1,$J53,IF(情景分析!$D$6=2,$E53,IF(情景分析!$D$6=4,IF($C53="银行间",$J53,$L53),$G53)))+R$2/100,情景分析!$D$7,"",,,,"",)*IF($H53="",1,$H53))</f>
        <v/>
      </c>
      <c r="S53" s="7" t="str">
        <f>IF($A53="","",[2]!B_CALC_PRICE($A53,$O$1,IF(情景分析!$D$6=1,$J53,IF(情景分析!$D$6=2,$E53,IF(情景分析!$D$6=4,IF($C53="银行间",$J53,$L53),$G53)))+S$2/100,情景分析!$D$7,"",,,,"",)*IF($H53="",1,$H53))</f>
        <v/>
      </c>
      <c r="T53" s="7" t="str">
        <f>IF($A53="","",[2]!B_CALC_PRICE($A53,$O$1,IF(情景分析!$D$6=1,$J53,IF(情景分析!$D$6=2,$E53,IF(情景分析!$D$6=4,IF($C53="银行间",$J53,$L53),$G53)))+T$2/100,情景分析!$D$7,"",,,,"",)*IF($H53="",1,$H53))</f>
        <v/>
      </c>
      <c r="U53" s="7" t="str">
        <f>IF($A53="","",[2]!B_CALC_PRICE($A53,$O$1,IF(情景分析!$D$6=1,$J53,IF(情景分析!$D$6=2,$E53,IF(情景分析!$D$6=4,IF($C53="银行间",$J53,$L53),$G53)))+U$2/100,情景分析!$D$7,"",,,,"",)*IF($H53="",1,$H53))</f>
        <v/>
      </c>
      <c r="V53" s="7" t="str">
        <f>IF($A53="","",[2]!B_CALC_PRICE($A53,$V$1,IF(情景分析!$D$6=1,$J53,IF(情景分析!$D$6=2,$E53,IF(情景分析!$D$6=4,IF($C53="银行间",$J53,$L53),$G53)))+V$2/100,情景分析!$D$7,"",,,,"",)*IF($H53="",1,$H53))</f>
        <v/>
      </c>
      <c r="W53" s="7" t="str">
        <f>IF($A53="","",[2]!B_CALC_PRICE($A53,$V$1,IF(情景分析!$D$6=1,$J53,IF(情景分析!$D$6=2,$E53,IF(情景分析!$D$6=4,IF($C53="银行间",$J53,$L53),$G53)))+W$2/100,情景分析!$D$7,"",,,,"",)*IF($H53="",1,$H53))</f>
        <v/>
      </c>
      <c r="X53" s="7" t="str">
        <f>IF($A53="","",[2]!B_CALC_PRICE($A53,$V$1,IF(情景分析!$D$6=1,$J53,IF(情景分析!$D$6=2,$E53,IF(情景分析!$D$6=4,IF($C53="银行间",$J53,$L53),$G53)))+X$2/100,情景分析!$D$7,"",,,,"",)*IF($H53="",1,$H53))</f>
        <v/>
      </c>
      <c r="Y53" s="7" t="str">
        <f>IF($A53="","",[2]!B_CALC_PRICE($A53,$V$1,IF(情景分析!$D$6=1,$J53,IF(情景分析!$D$6=2,$E53,IF(情景分析!$D$6=4,IF($C53="银行间",$J53,$L53),$G53)))+Y$2/100,情景分析!$D$7,"",,,,"",)*IF($H53="",1,$H53))</f>
        <v/>
      </c>
      <c r="Z53" s="7" t="str">
        <f>IF($A53="","",[2]!B_CALC_PRICE($A53,$V$1,IF(情景分析!$D$6=1,$J53,IF(情景分析!$D$6=2,$E53,IF(情景分析!$D$6=4,IF($C53="银行间",$J53,$L53),$G53)))+Z$2/100,情景分析!$D$7,"",,,,"",)*IF($H53="",1,$H53))</f>
        <v/>
      </c>
      <c r="AA53" s="7" t="str">
        <f>IF($A53="","",[2]!B_CALC_PRICE($A53,$V$1,IF(情景分析!$D$6=1,$J53,IF(情景分析!$D$6=2,$E53,IF(情景分析!$D$6=4,IF($C53="银行间",$J53,$L53),$G53)))+AA$2/100,情景分析!$D$7,"",,,,"",)*IF($H53="",1,$H53))</f>
        <v/>
      </c>
      <c r="AB53" s="7" t="str">
        <f>IF($A53="","",[2]!B_CALC_PRICE($A53,$V$1,IF(情景分析!$D$6=1,$J53,IF(情景分析!$D$6=2,$E53,IF(情景分析!$D$6=4,IF($C53="银行间",$J53,$L53),$G53)))+AB$2/100,情景分析!$D$7,"",,,,"",)*IF($H53="",1,$H53))</f>
        <v/>
      </c>
      <c r="AC53" s="7" t="str">
        <f>IF($A53="","",[2]!B_CALC_PRICE($A53,$AC$1,IF(情景分析!$D$6=1,$J53,IF(情景分析!$D$6=2,$E53,IF(情景分析!$D$6=4,IF($C53="银行间",$J53,$L53),$G53)))+AC$2/100,情景分析!$D$7,"",,,,"",)*IF($H53="",1,$H53))</f>
        <v/>
      </c>
      <c r="AD53" s="7" t="str">
        <f>IF($A53="","",[2]!B_CALC_PRICE($A53,$AC$1,IF(情景分析!$D$6=1,$J53,IF(情景分析!$D$6=2,$E53,IF(情景分析!$D$6=4,IF($C53="银行间",$J53,$L53),$G53)))+AD$2/100,情景分析!$D$7,"",,,,"",)*IF($H53="",1,$H53))</f>
        <v/>
      </c>
      <c r="AE53" s="7" t="str">
        <f>IF($A53="","",[2]!B_CALC_PRICE($A53,$AC$1,IF(情景分析!$D$6=1,$J53,IF(情景分析!$D$6=2,$E53,IF(情景分析!$D$6=4,IF($C53="银行间",$J53,$L53),$G53)))+AE$2/100,情景分析!$D$7,"",,,,"",)*IF($H53="",1,$H53))</f>
        <v/>
      </c>
      <c r="AF53" s="7" t="str">
        <f>IF($A53="","",[2]!B_CALC_PRICE($A53,$AC$1,IF(情景分析!$D$6=1,$J53,IF(情景分析!$D$6=2,$E53,IF(情景分析!$D$6=4,IF($C53="银行间",$J53,$L53),$G53)))+AF$2/100,情景分析!$D$7,"",,,,"",)*IF($H53="",1,$H53))</f>
        <v/>
      </c>
      <c r="AG53" s="7" t="str">
        <f>IF($A53="","",[2]!B_CALC_PRICE($A53,$AC$1,IF(情景分析!$D$6=1,$J53,IF(情景分析!$D$6=2,$E53,IF(情景分析!$D$6=4,IF($C53="银行间",$J53,$L53),$G53)))+AG$2/100,情景分析!$D$7,"",,,,"",)*IF($H53="",1,$H53))</f>
        <v/>
      </c>
      <c r="AH53" s="7" t="str">
        <f>IF($A53="","",[2]!B_CALC_PRICE($A53,$AC$1,IF(情景分析!$D$6=1,$J53,IF(情景分析!$D$6=2,$E53,IF(情景分析!$D$6=4,IF($C53="银行间",$J53,$L53),$G53)))+AH$2/100,情景分析!$D$7,"",,,,"",)*IF($H53="",1,$H53))</f>
        <v/>
      </c>
      <c r="AI53" s="7" t="str">
        <f>IF($A53="","",[2]!B_CALC_PRICE($A53,$AC$1,IF(情景分析!$D$6=1,$J53,IF(情景分析!$D$6=2,$E53,IF(情景分析!$D$6=4,IF($C53="银行间",$J53,$L53),$G53)))+AI$2/100,情景分析!$D$7,"",,,,"",)*IF($H53="",1,$H53))</f>
        <v/>
      </c>
      <c r="AJ53" s="7" t="str">
        <f>IF($A53="","",[2]!B_CALC_PRICE($A53,$AJ$1,IF(情景分析!$D$6=1,$J53,IF(情景分析!$D$6=2,$E53,IF(情景分析!$D$6=4,IF($C53="银行间",$J53,$L53),$G53)))+AJ$2/100,情景分析!$D$7,"",,,,"",)*IF($H53="",1,$H53))</f>
        <v/>
      </c>
      <c r="AK53" s="7" t="str">
        <f>IF($A53="","",[2]!B_CALC_PRICE($A53,$AJ$1,IF(情景分析!$D$6=1,$J53,IF(情景分析!$D$6=2,$E53,IF(情景分析!$D$6=4,IF($C53="银行间",$J53,$L53),$G53)))+AK$2/100,情景分析!$D$7,"",,,,"",)*IF($H53="",1,$H53))</f>
        <v/>
      </c>
      <c r="AL53" s="7" t="str">
        <f>IF($A53="","",[2]!B_CALC_PRICE($A53,$AJ$1,IF(情景分析!$D$6=1,$J53,IF(情景分析!$D$6=2,$E53,IF(情景分析!$D$6=4,IF($C53="银行间",$J53,$L53),$G53)))+AL$2/100,情景分析!$D$7,"",,,,"",)*IF($H53="",1,$H53))</f>
        <v/>
      </c>
      <c r="AM53" s="7" t="str">
        <f>IF($A53="","",[2]!B_CALC_PRICE($A53,$AJ$1,IF(情景分析!$D$6=1,$J53,IF(情景分析!$D$6=2,$E53,IF(情景分析!$D$6=4,IF($C53="银行间",$J53,$L53),$G53)))+AM$2/100,情景分析!$D$7,"",,,,"",)*IF($H53="",1,$H53))</f>
        <v/>
      </c>
      <c r="AN53" s="7" t="str">
        <f>IF($A53="","",[2]!B_CALC_PRICE($A53,$AJ$1,IF(情景分析!$D$6=1,$J53,IF(情景分析!$D$6=2,$E53,IF(情景分析!$D$6=4,IF($C53="银行间",$J53,$L53),$G53)))+AN$2/100,情景分析!$D$7,"",,,,"",)*IF($H53="",1,$H53))</f>
        <v/>
      </c>
      <c r="AO53" s="7" t="str">
        <f>IF($A53="","",[2]!B_CALC_PRICE($A53,$AJ$1,IF(情景分析!$D$6=1,$J53,IF(情景分析!$D$6=2,$E53,IF(情景分析!$D$6=4,IF($C53="银行间",$J53,$L53),$G53)))+AO$2/100,情景分析!$D$7,"",,,,"",)*IF($H53="",1,$H53))</f>
        <v/>
      </c>
      <c r="AP53" s="7" t="str">
        <f>IF($A53="","",[2]!B_CALC_PRICE($A53,$AJ$1,IF(情景分析!$D$6=1,$J53,IF(情景分析!$D$6=2,$E53,IF(情景分析!$D$6=4,IF($C53="银行间",$J53,$L53),$G53)))+AP$2/100,情景分析!$D$7,"",,,,"",)*IF($H53="",1,$H53))</f>
        <v/>
      </c>
      <c r="AQ53" s="7" t="str">
        <f>IF($A53="","",[2]!B_CALC_PRICE($A53,$AQ$1,IF(情景分析!$D$6=1,$J53,IF(情景分析!$D$6=2,$E53,IF(情景分析!$D$6=4,IF($C53="银行间",$J53,$L53),$G53)))+AQ$2/100,情景分析!$D$7,"",,,,"",)*IF($H53="",1,$H53))</f>
        <v/>
      </c>
      <c r="AR53" s="7" t="str">
        <f>IF($A53="","",[2]!B_CALC_PRICE($A53,$AQ$1,IF(情景分析!$D$6=1,$J53,IF(情景分析!$D$6=2,$E53,IF(情景分析!$D$6=4,IF($C53="银行间",$J53,$L53),$G53)))+AR$2/100,情景分析!$D$7,"",,,,"",)*IF($H53="",1,$H53))</f>
        <v/>
      </c>
      <c r="AS53" s="7" t="str">
        <f>IF($A53="","",[2]!B_CALC_PRICE($A53,$AQ$1,IF(情景分析!$D$6=1,$J53,IF(情景分析!$D$6=2,$E53,IF(情景分析!$D$6=4,IF($C53="银行间",$J53,$L53),$G53)))+AS$2/100,情景分析!$D$7,"",,,,"",)*IF($H53="",1,$H53))</f>
        <v/>
      </c>
      <c r="AT53" s="7" t="str">
        <f>IF($A53="","",[2]!B_CALC_PRICE($A53,$AQ$1,IF(情景分析!$D$6=1,$J53,IF(情景分析!$D$6=2,$E53,IF(情景分析!$D$6=4,IF($C53="银行间",$J53,$L53),$G53)))+AT$2/100,情景分析!$D$7,"",,,,"",)*IF($H53="",1,$H53))</f>
        <v/>
      </c>
      <c r="AU53" s="7" t="str">
        <f>IF($A53="","",[2]!B_CALC_PRICE($A53,$AQ$1,IF(情景分析!$D$6=1,$J53,IF(情景分析!$D$6=2,$E53,IF(情景分析!$D$6=4,IF($C53="银行间",$J53,$L53),$G53)))+AU$2/100,情景分析!$D$7,"",,,,"",)*IF($H53="",1,$H53))</f>
        <v/>
      </c>
      <c r="AV53" s="7" t="str">
        <f>IF($A53="","",[2]!B_CALC_PRICE($A53,$AQ$1,IF(情景分析!$D$6=1,$J53,IF(情景分析!$D$6=2,$E53,IF(情景分析!$D$6=4,IF($C53="银行间",$J53,$L53),$G53)))+AV$2/100,情景分析!$D$7,"",,,,"",)*IF($H53="",1,$H53))</f>
        <v/>
      </c>
      <c r="AW53" s="7" t="str">
        <f>IF($A53="","",[2]!B_CALC_PRICE($A53,$AQ$1,IF(情景分析!$D$6=1,$J53,IF(情景分析!$D$6=2,$E53,IF(情景分析!$D$6=4,IF($C53="银行间",$J53,$L53),$G53)))+AW$2/100,情景分析!$D$7,"",,,,"",)*IF($H53="",1,$H53))</f>
        <v/>
      </c>
    </row>
    <row r="54" spans="1:49" x14ac:dyDescent="0.15">
      <c r="A54" s="20"/>
      <c r="B54" s="7" t="str">
        <f>IF(A54="","",[2]!b_info_name(A54))</f>
        <v/>
      </c>
      <c r="C54" s="7" t="str">
        <f>[2]!b_info_listedmkt(A54)</f>
        <v>#N/A</v>
      </c>
      <c r="D54" s="7" t="str">
        <f>IFERROR(IF(A54="","", [2]!b_dq_avgprice(A54, 情景分析!$D$5, 情景分析!$D$7) * IF($H54="",1,$H54)),0)</f>
        <v/>
      </c>
      <c r="E54" s="7" t="str">
        <f>IF(A54="","", N([2]!b_dq_avgprice(A54,情景分析!$D$5,3)))</f>
        <v/>
      </c>
      <c r="F54" s="29" t="str">
        <f>IF($G54 = "",
"",
IFERROR(
[2]!b_calc_pv(A54, 情景分析!$D$5,$G54, "1", 情景分析!$D$7),
[2]!b_calc_pv(A54, 情景分析!$D$5,$G54, "2", 情景分析!$D$7)
)
)</f>
        <v/>
      </c>
      <c r="G54" s="22"/>
      <c r="H54" s="21"/>
      <c r="I54" s="7" t="str">
        <f>IF(A54="","",IF(情景分析!$D$7=1,[2]!b_anal_net_cnbd(A54,情景分析!$D$5,1),[2]!b_anal_dirty_cnbd(A54,情景分析!$D$5,1))*IF($H54="",1,$H54))</f>
        <v/>
      </c>
      <c r="J54" s="7" t="str">
        <f>IF(A54="","",[2]!b_anal_yield_cnbd(A54,情景分析!$D$5,1))</f>
        <v/>
      </c>
      <c r="K54" s="29" t="str">
        <f>IF(A54="","",IF(情景分析!$D$7=1,[2]!b_anal_net_csi1(A54,情景分析!$D$5,1),[2]!b_anal_dirty_csi1(A54,情景分析!$D$5,1))*IF($H54="",1,$H54))</f>
        <v/>
      </c>
      <c r="L54" s="29" t="str">
        <f>IF(A54="","",[2]!b_anal_yield_csi1(A54,情景分析!$D$5,1))</f>
        <v/>
      </c>
      <c r="M54" s="29" t="str">
        <f t="shared" si="6"/>
        <v/>
      </c>
      <c r="N54" s="29" t="str">
        <f t="shared" si="7"/>
        <v/>
      </c>
      <c r="O54" s="7" t="str">
        <f>IF($A54="","",[2]!B_CALC_PRICE($A54,$O$1,IF(情景分析!$D$6=1,$J54,IF(情景分析!$D$6=2,$E54,IF(情景分析!$D$6=4,IF($C54="银行间",$J54,$L54),$G54)))+O$2/100,情景分析!$D$7,"",,,,"",)*IF($H54="",1,$H54))</f>
        <v/>
      </c>
      <c r="P54" s="7" t="str">
        <f>IF($A54="","",[2]!B_CALC_PRICE($A54,$O$1,IF(情景分析!$D$6=1,$J54,IF(情景分析!$D$6=2,$E54,IF(情景分析!$D$6=4,IF($C54="银行间",$J54,$L54),$G54)))+P$2/100,情景分析!$D$7,"",,,,"",)*IF($H54="",1,$H54))</f>
        <v/>
      </c>
      <c r="Q54" s="7" t="str">
        <f>IF($A54="","",[2]!B_CALC_PRICE($A54,$O$1,IF(情景分析!$D$6=1,$J54,IF(情景分析!$D$6=2,$E54,IF(情景分析!$D$6=4,IF($C54="银行间",$J54,$L54),$G54)))+Q$2/100,情景分析!$D$7,"",,,,"",)*IF($H54="",1,$H54))</f>
        <v/>
      </c>
      <c r="R54" s="7" t="str">
        <f>IF($A54="","",[2]!B_CALC_PRICE($A54,$O$1,IF(情景分析!$D$6=1,$J54,IF(情景分析!$D$6=2,$E54,IF(情景分析!$D$6=4,IF($C54="银行间",$J54,$L54),$G54)))+R$2/100,情景分析!$D$7,"",,,,"",)*IF($H54="",1,$H54))</f>
        <v/>
      </c>
      <c r="S54" s="7" t="str">
        <f>IF($A54="","",[2]!B_CALC_PRICE($A54,$O$1,IF(情景分析!$D$6=1,$J54,IF(情景分析!$D$6=2,$E54,IF(情景分析!$D$6=4,IF($C54="银行间",$J54,$L54),$G54)))+S$2/100,情景分析!$D$7,"",,,,"",)*IF($H54="",1,$H54))</f>
        <v/>
      </c>
      <c r="T54" s="7" t="str">
        <f>IF($A54="","",[2]!B_CALC_PRICE($A54,$O$1,IF(情景分析!$D$6=1,$J54,IF(情景分析!$D$6=2,$E54,IF(情景分析!$D$6=4,IF($C54="银行间",$J54,$L54),$G54)))+T$2/100,情景分析!$D$7,"",,,,"",)*IF($H54="",1,$H54))</f>
        <v/>
      </c>
      <c r="U54" s="7" t="str">
        <f>IF($A54="","",[2]!B_CALC_PRICE($A54,$O$1,IF(情景分析!$D$6=1,$J54,IF(情景分析!$D$6=2,$E54,IF(情景分析!$D$6=4,IF($C54="银行间",$J54,$L54),$G54)))+U$2/100,情景分析!$D$7,"",,,,"",)*IF($H54="",1,$H54))</f>
        <v/>
      </c>
      <c r="V54" s="7" t="str">
        <f>IF($A54="","",[2]!B_CALC_PRICE($A54,$V$1,IF(情景分析!$D$6=1,$J54,IF(情景分析!$D$6=2,$E54,IF(情景分析!$D$6=4,IF($C54="银行间",$J54,$L54),$G54)))+V$2/100,情景分析!$D$7,"",,,,"",)*IF($H54="",1,$H54))</f>
        <v/>
      </c>
      <c r="W54" s="7" t="str">
        <f>IF($A54="","",[2]!B_CALC_PRICE($A54,$V$1,IF(情景分析!$D$6=1,$J54,IF(情景分析!$D$6=2,$E54,IF(情景分析!$D$6=4,IF($C54="银行间",$J54,$L54),$G54)))+W$2/100,情景分析!$D$7,"",,,,"",)*IF($H54="",1,$H54))</f>
        <v/>
      </c>
      <c r="X54" s="7" t="str">
        <f>IF($A54="","",[2]!B_CALC_PRICE($A54,$V$1,IF(情景分析!$D$6=1,$J54,IF(情景分析!$D$6=2,$E54,IF(情景分析!$D$6=4,IF($C54="银行间",$J54,$L54),$G54)))+X$2/100,情景分析!$D$7,"",,,,"",)*IF($H54="",1,$H54))</f>
        <v/>
      </c>
      <c r="Y54" s="7" t="str">
        <f>IF($A54="","",[2]!B_CALC_PRICE($A54,$V$1,IF(情景分析!$D$6=1,$J54,IF(情景分析!$D$6=2,$E54,IF(情景分析!$D$6=4,IF($C54="银行间",$J54,$L54),$G54)))+Y$2/100,情景分析!$D$7,"",,,,"",)*IF($H54="",1,$H54))</f>
        <v/>
      </c>
      <c r="Z54" s="7" t="str">
        <f>IF($A54="","",[2]!B_CALC_PRICE($A54,$V$1,IF(情景分析!$D$6=1,$J54,IF(情景分析!$D$6=2,$E54,IF(情景分析!$D$6=4,IF($C54="银行间",$J54,$L54),$G54)))+Z$2/100,情景分析!$D$7,"",,,,"",)*IF($H54="",1,$H54))</f>
        <v/>
      </c>
      <c r="AA54" s="7" t="str">
        <f>IF($A54="","",[2]!B_CALC_PRICE($A54,$V$1,IF(情景分析!$D$6=1,$J54,IF(情景分析!$D$6=2,$E54,IF(情景分析!$D$6=4,IF($C54="银行间",$J54,$L54),$G54)))+AA$2/100,情景分析!$D$7,"",,,,"",)*IF($H54="",1,$H54))</f>
        <v/>
      </c>
      <c r="AB54" s="7" t="str">
        <f>IF($A54="","",[2]!B_CALC_PRICE($A54,$V$1,IF(情景分析!$D$6=1,$J54,IF(情景分析!$D$6=2,$E54,IF(情景分析!$D$6=4,IF($C54="银行间",$J54,$L54),$G54)))+AB$2/100,情景分析!$D$7,"",,,,"",)*IF($H54="",1,$H54))</f>
        <v/>
      </c>
      <c r="AC54" s="7" t="str">
        <f>IF($A54="","",[2]!B_CALC_PRICE($A54,$AC$1,IF(情景分析!$D$6=1,$J54,IF(情景分析!$D$6=2,$E54,IF(情景分析!$D$6=4,IF($C54="银行间",$J54,$L54),$G54)))+AC$2/100,情景分析!$D$7,"",,,,"",)*IF($H54="",1,$H54))</f>
        <v/>
      </c>
      <c r="AD54" s="7" t="str">
        <f>IF($A54="","",[2]!B_CALC_PRICE($A54,$AC$1,IF(情景分析!$D$6=1,$J54,IF(情景分析!$D$6=2,$E54,IF(情景分析!$D$6=4,IF($C54="银行间",$J54,$L54),$G54)))+AD$2/100,情景分析!$D$7,"",,,,"",)*IF($H54="",1,$H54))</f>
        <v/>
      </c>
      <c r="AE54" s="7" t="str">
        <f>IF($A54="","",[2]!B_CALC_PRICE($A54,$AC$1,IF(情景分析!$D$6=1,$J54,IF(情景分析!$D$6=2,$E54,IF(情景分析!$D$6=4,IF($C54="银行间",$J54,$L54),$G54)))+AE$2/100,情景分析!$D$7,"",,,,"",)*IF($H54="",1,$H54))</f>
        <v/>
      </c>
      <c r="AF54" s="7" t="str">
        <f>IF($A54="","",[2]!B_CALC_PRICE($A54,$AC$1,IF(情景分析!$D$6=1,$J54,IF(情景分析!$D$6=2,$E54,IF(情景分析!$D$6=4,IF($C54="银行间",$J54,$L54),$G54)))+AF$2/100,情景分析!$D$7,"",,,,"",)*IF($H54="",1,$H54))</f>
        <v/>
      </c>
      <c r="AG54" s="7" t="str">
        <f>IF($A54="","",[2]!B_CALC_PRICE($A54,$AC$1,IF(情景分析!$D$6=1,$J54,IF(情景分析!$D$6=2,$E54,IF(情景分析!$D$6=4,IF($C54="银行间",$J54,$L54),$G54)))+AG$2/100,情景分析!$D$7,"",,,,"",)*IF($H54="",1,$H54))</f>
        <v/>
      </c>
      <c r="AH54" s="7" t="str">
        <f>IF($A54="","",[2]!B_CALC_PRICE($A54,$AC$1,IF(情景分析!$D$6=1,$J54,IF(情景分析!$D$6=2,$E54,IF(情景分析!$D$6=4,IF($C54="银行间",$J54,$L54),$G54)))+AH$2/100,情景分析!$D$7,"",,,,"",)*IF($H54="",1,$H54))</f>
        <v/>
      </c>
      <c r="AI54" s="7" t="str">
        <f>IF($A54="","",[2]!B_CALC_PRICE($A54,$AC$1,IF(情景分析!$D$6=1,$J54,IF(情景分析!$D$6=2,$E54,IF(情景分析!$D$6=4,IF($C54="银行间",$J54,$L54),$G54)))+AI$2/100,情景分析!$D$7,"",,,,"",)*IF($H54="",1,$H54))</f>
        <v/>
      </c>
      <c r="AJ54" s="7" t="str">
        <f>IF($A54="","",[2]!B_CALC_PRICE($A54,$AJ$1,IF(情景分析!$D$6=1,$J54,IF(情景分析!$D$6=2,$E54,IF(情景分析!$D$6=4,IF($C54="银行间",$J54,$L54),$G54)))+AJ$2/100,情景分析!$D$7,"",,,,"",)*IF($H54="",1,$H54))</f>
        <v/>
      </c>
      <c r="AK54" s="7" t="str">
        <f>IF($A54="","",[2]!B_CALC_PRICE($A54,$AJ$1,IF(情景分析!$D$6=1,$J54,IF(情景分析!$D$6=2,$E54,IF(情景分析!$D$6=4,IF($C54="银行间",$J54,$L54),$G54)))+AK$2/100,情景分析!$D$7,"",,,,"",)*IF($H54="",1,$H54))</f>
        <v/>
      </c>
      <c r="AL54" s="7" t="str">
        <f>IF($A54="","",[2]!B_CALC_PRICE($A54,$AJ$1,IF(情景分析!$D$6=1,$J54,IF(情景分析!$D$6=2,$E54,IF(情景分析!$D$6=4,IF($C54="银行间",$J54,$L54),$G54)))+AL$2/100,情景分析!$D$7,"",,,,"",)*IF($H54="",1,$H54))</f>
        <v/>
      </c>
      <c r="AM54" s="7" t="str">
        <f>IF($A54="","",[2]!B_CALC_PRICE($A54,$AJ$1,IF(情景分析!$D$6=1,$J54,IF(情景分析!$D$6=2,$E54,IF(情景分析!$D$6=4,IF($C54="银行间",$J54,$L54),$G54)))+AM$2/100,情景分析!$D$7,"",,,,"",)*IF($H54="",1,$H54))</f>
        <v/>
      </c>
      <c r="AN54" s="7" t="str">
        <f>IF($A54="","",[2]!B_CALC_PRICE($A54,$AJ$1,IF(情景分析!$D$6=1,$J54,IF(情景分析!$D$6=2,$E54,IF(情景分析!$D$6=4,IF($C54="银行间",$J54,$L54),$G54)))+AN$2/100,情景分析!$D$7,"",,,,"",)*IF($H54="",1,$H54))</f>
        <v/>
      </c>
      <c r="AO54" s="7" t="str">
        <f>IF($A54="","",[2]!B_CALC_PRICE($A54,$AJ$1,IF(情景分析!$D$6=1,$J54,IF(情景分析!$D$6=2,$E54,IF(情景分析!$D$6=4,IF($C54="银行间",$J54,$L54),$G54)))+AO$2/100,情景分析!$D$7,"",,,,"",)*IF($H54="",1,$H54))</f>
        <v/>
      </c>
      <c r="AP54" s="7" t="str">
        <f>IF($A54="","",[2]!B_CALC_PRICE($A54,$AJ$1,IF(情景分析!$D$6=1,$J54,IF(情景分析!$D$6=2,$E54,IF(情景分析!$D$6=4,IF($C54="银行间",$J54,$L54),$G54)))+AP$2/100,情景分析!$D$7,"",,,,"",)*IF($H54="",1,$H54))</f>
        <v/>
      </c>
      <c r="AQ54" s="7" t="str">
        <f>IF($A54="","",[2]!B_CALC_PRICE($A54,$AQ$1,IF(情景分析!$D$6=1,$J54,IF(情景分析!$D$6=2,$E54,IF(情景分析!$D$6=4,IF($C54="银行间",$J54,$L54),$G54)))+AQ$2/100,情景分析!$D$7,"",,,,"",)*IF($H54="",1,$H54))</f>
        <v/>
      </c>
      <c r="AR54" s="7" t="str">
        <f>IF($A54="","",[2]!B_CALC_PRICE($A54,$AQ$1,IF(情景分析!$D$6=1,$J54,IF(情景分析!$D$6=2,$E54,IF(情景分析!$D$6=4,IF($C54="银行间",$J54,$L54),$G54)))+AR$2/100,情景分析!$D$7,"",,,,"",)*IF($H54="",1,$H54))</f>
        <v/>
      </c>
      <c r="AS54" s="7" t="str">
        <f>IF($A54="","",[2]!B_CALC_PRICE($A54,$AQ$1,IF(情景分析!$D$6=1,$J54,IF(情景分析!$D$6=2,$E54,IF(情景分析!$D$6=4,IF($C54="银行间",$J54,$L54),$G54)))+AS$2/100,情景分析!$D$7,"",,,,"",)*IF($H54="",1,$H54))</f>
        <v/>
      </c>
      <c r="AT54" s="7" t="str">
        <f>IF($A54="","",[2]!B_CALC_PRICE($A54,$AQ$1,IF(情景分析!$D$6=1,$J54,IF(情景分析!$D$6=2,$E54,IF(情景分析!$D$6=4,IF($C54="银行间",$J54,$L54),$G54)))+AT$2/100,情景分析!$D$7,"",,,,"",)*IF($H54="",1,$H54))</f>
        <v/>
      </c>
      <c r="AU54" s="7" t="str">
        <f>IF($A54="","",[2]!B_CALC_PRICE($A54,$AQ$1,IF(情景分析!$D$6=1,$J54,IF(情景分析!$D$6=2,$E54,IF(情景分析!$D$6=4,IF($C54="银行间",$J54,$L54),$G54)))+AU$2/100,情景分析!$D$7,"",,,,"",)*IF($H54="",1,$H54))</f>
        <v/>
      </c>
      <c r="AV54" s="7" t="str">
        <f>IF($A54="","",[2]!B_CALC_PRICE($A54,$AQ$1,IF(情景分析!$D$6=1,$J54,IF(情景分析!$D$6=2,$E54,IF(情景分析!$D$6=4,IF($C54="银行间",$J54,$L54),$G54)))+AV$2/100,情景分析!$D$7,"",,,,"",)*IF($H54="",1,$H54))</f>
        <v/>
      </c>
      <c r="AW54" s="7" t="str">
        <f>IF($A54="","",[2]!B_CALC_PRICE($A54,$AQ$1,IF(情景分析!$D$6=1,$J54,IF(情景分析!$D$6=2,$E54,IF(情景分析!$D$6=4,IF($C54="银行间",$J54,$L54),$G54)))+AW$2/100,情景分析!$D$7,"",,,,"",)*IF($H54="",1,$H54))</f>
        <v/>
      </c>
    </row>
    <row r="55" spans="1:49" x14ac:dyDescent="0.15">
      <c r="A55" s="20"/>
      <c r="B55" s="7" t="str">
        <f>IF(A55="","",[2]!b_info_name(A55))</f>
        <v/>
      </c>
      <c r="C55" s="7" t="str">
        <f>[2]!b_info_listedmkt(A55)</f>
        <v>#N/A</v>
      </c>
      <c r="D55" s="7" t="str">
        <f>IFERROR(IF(A55="","", [2]!b_dq_avgprice(A55, 情景分析!$D$5, 情景分析!$D$7) * IF($H55="",1,$H55)),0)</f>
        <v/>
      </c>
      <c r="E55" s="7" t="str">
        <f>IF(A55="","", N([2]!b_dq_avgprice(A55,情景分析!$D$5,3)))</f>
        <v/>
      </c>
      <c r="F55" s="29" t="str">
        <f>IF($G55 = "",
"",
IFERROR(
[2]!b_calc_pv(A55, 情景分析!$D$5,$G55, "1", 情景分析!$D$7),
[2]!b_calc_pv(A55, 情景分析!$D$5,$G55, "2", 情景分析!$D$7)
)
)</f>
        <v/>
      </c>
      <c r="G55" s="22"/>
      <c r="H55" s="21"/>
      <c r="I55" s="7" t="str">
        <f>IF(A55="","",IF(情景分析!$D$7=1,[2]!b_anal_net_cnbd(A55,情景分析!$D$5,1),[2]!b_anal_dirty_cnbd(A55,情景分析!$D$5,1))*IF($H55="",1,$H55))</f>
        <v/>
      </c>
      <c r="J55" s="7" t="str">
        <f>IF(A55="","",[2]!b_anal_yield_cnbd(A55,情景分析!$D$5,1))</f>
        <v/>
      </c>
      <c r="K55" s="29" t="str">
        <f>IF(A55="","",IF(情景分析!$D$7=1,[2]!b_anal_net_csi1(A55,情景分析!$D$5,1),[2]!b_anal_dirty_csi1(A55,情景分析!$D$5,1))*IF($H55="",1,$H55))</f>
        <v/>
      </c>
      <c r="L55" s="29" t="str">
        <f>IF(A55="","",[2]!b_anal_yield_csi1(A55,情景分析!$D$5,1))</f>
        <v/>
      </c>
      <c r="M55" s="29" t="str">
        <f t="shared" si="6"/>
        <v/>
      </c>
      <c r="N55" s="29" t="str">
        <f t="shared" si="7"/>
        <v/>
      </c>
      <c r="O55" s="7" t="str">
        <f>IF($A55="","",[2]!B_CALC_PRICE($A55,$O$1,IF(情景分析!$D$6=1,$J55,IF(情景分析!$D$6=2,$E55,IF(情景分析!$D$6=4,IF($C55="银行间",$J55,$L55),$G55)))+O$2/100,情景分析!$D$7,"",,,,"",)*IF($H55="",1,$H55))</f>
        <v/>
      </c>
      <c r="P55" s="7" t="str">
        <f>IF($A55="","",[2]!B_CALC_PRICE($A55,$O$1,IF(情景分析!$D$6=1,$J55,IF(情景分析!$D$6=2,$E55,IF(情景分析!$D$6=4,IF($C55="银行间",$J55,$L55),$G55)))+P$2/100,情景分析!$D$7,"",,,,"",)*IF($H55="",1,$H55))</f>
        <v/>
      </c>
      <c r="Q55" s="7" t="str">
        <f>IF($A55="","",[2]!B_CALC_PRICE($A55,$O$1,IF(情景分析!$D$6=1,$J55,IF(情景分析!$D$6=2,$E55,IF(情景分析!$D$6=4,IF($C55="银行间",$J55,$L55),$G55)))+Q$2/100,情景分析!$D$7,"",,,,"",)*IF($H55="",1,$H55))</f>
        <v/>
      </c>
      <c r="R55" s="7" t="str">
        <f>IF($A55="","",[2]!B_CALC_PRICE($A55,$O$1,IF(情景分析!$D$6=1,$J55,IF(情景分析!$D$6=2,$E55,IF(情景分析!$D$6=4,IF($C55="银行间",$J55,$L55),$G55)))+R$2/100,情景分析!$D$7,"",,,,"",)*IF($H55="",1,$H55))</f>
        <v/>
      </c>
      <c r="S55" s="7" t="str">
        <f>IF($A55="","",[2]!B_CALC_PRICE($A55,$O$1,IF(情景分析!$D$6=1,$J55,IF(情景分析!$D$6=2,$E55,IF(情景分析!$D$6=4,IF($C55="银行间",$J55,$L55),$G55)))+S$2/100,情景分析!$D$7,"",,,,"",)*IF($H55="",1,$H55))</f>
        <v/>
      </c>
      <c r="T55" s="7" t="str">
        <f>IF($A55="","",[2]!B_CALC_PRICE($A55,$O$1,IF(情景分析!$D$6=1,$J55,IF(情景分析!$D$6=2,$E55,IF(情景分析!$D$6=4,IF($C55="银行间",$J55,$L55),$G55)))+T$2/100,情景分析!$D$7,"",,,,"",)*IF($H55="",1,$H55))</f>
        <v/>
      </c>
      <c r="U55" s="7" t="str">
        <f>IF($A55="","",[2]!B_CALC_PRICE($A55,$O$1,IF(情景分析!$D$6=1,$J55,IF(情景分析!$D$6=2,$E55,IF(情景分析!$D$6=4,IF($C55="银行间",$J55,$L55),$G55)))+U$2/100,情景分析!$D$7,"",,,,"",)*IF($H55="",1,$H55))</f>
        <v/>
      </c>
      <c r="V55" s="7" t="str">
        <f>IF($A55="","",[2]!B_CALC_PRICE($A55,$V$1,IF(情景分析!$D$6=1,$J55,IF(情景分析!$D$6=2,$E55,IF(情景分析!$D$6=4,IF($C55="银行间",$J55,$L55),$G55)))+V$2/100,情景分析!$D$7,"",,,,"",)*IF($H55="",1,$H55))</f>
        <v/>
      </c>
      <c r="W55" s="7" t="str">
        <f>IF($A55="","",[2]!B_CALC_PRICE($A55,$V$1,IF(情景分析!$D$6=1,$J55,IF(情景分析!$D$6=2,$E55,IF(情景分析!$D$6=4,IF($C55="银行间",$J55,$L55),$G55)))+W$2/100,情景分析!$D$7,"",,,,"",)*IF($H55="",1,$H55))</f>
        <v/>
      </c>
      <c r="X55" s="7" t="str">
        <f>IF($A55="","",[2]!B_CALC_PRICE($A55,$V$1,IF(情景分析!$D$6=1,$J55,IF(情景分析!$D$6=2,$E55,IF(情景分析!$D$6=4,IF($C55="银行间",$J55,$L55),$G55)))+X$2/100,情景分析!$D$7,"",,,,"",)*IF($H55="",1,$H55))</f>
        <v/>
      </c>
      <c r="Y55" s="7" t="str">
        <f>IF($A55="","",[2]!B_CALC_PRICE($A55,$V$1,IF(情景分析!$D$6=1,$J55,IF(情景分析!$D$6=2,$E55,IF(情景分析!$D$6=4,IF($C55="银行间",$J55,$L55),$G55)))+Y$2/100,情景分析!$D$7,"",,,,"",)*IF($H55="",1,$H55))</f>
        <v/>
      </c>
      <c r="Z55" s="7" t="str">
        <f>IF($A55="","",[2]!B_CALC_PRICE($A55,$V$1,IF(情景分析!$D$6=1,$J55,IF(情景分析!$D$6=2,$E55,IF(情景分析!$D$6=4,IF($C55="银行间",$J55,$L55),$G55)))+Z$2/100,情景分析!$D$7,"",,,,"",)*IF($H55="",1,$H55))</f>
        <v/>
      </c>
      <c r="AA55" s="7" t="str">
        <f>IF($A55="","",[2]!B_CALC_PRICE($A55,$V$1,IF(情景分析!$D$6=1,$J55,IF(情景分析!$D$6=2,$E55,IF(情景分析!$D$6=4,IF($C55="银行间",$J55,$L55),$G55)))+AA$2/100,情景分析!$D$7,"",,,,"",)*IF($H55="",1,$H55))</f>
        <v/>
      </c>
      <c r="AB55" s="7" t="str">
        <f>IF($A55="","",[2]!B_CALC_PRICE($A55,$V$1,IF(情景分析!$D$6=1,$J55,IF(情景分析!$D$6=2,$E55,IF(情景分析!$D$6=4,IF($C55="银行间",$J55,$L55),$G55)))+AB$2/100,情景分析!$D$7,"",,,,"",)*IF($H55="",1,$H55))</f>
        <v/>
      </c>
      <c r="AC55" s="7" t="str">
        <f>IF($A55="","",[2]!B_CALC_PRICE($A55,$AC$1,IF(情景分析!$D$6=1,$J55,IF(情景分析!$D$6=2,$E55,IF(情景分析!$D$6=4,IF($C55="银行间",$J55,$L55),$G55)))+AC$2/100,情景分析!$D$7,"",,,,"",)*IF($H55="",1,$H55))</f>
        <v/>
      </c>
      <c r="AD55" s="7" t="str">
        <f>IF($A55="","",[2]!B_CALC_PRICE($A55,$AC$1,IF(情景分析!$D$6=1,$J55,IF(情景分析!$D$6=2,$E55,IF(情景分析!$D$6=4,IF($C55="银行间",$J55,$L55),$G55)))+AD$2/100,情景分析!$D$7,"",,,,"",)*IF($H55="",1,$H55))</f>
        <v/>
      </c>
      <c r="AE55" s="7" t="str">
        <f>IF($A55="","",[2]!B_CALC_PRICE($A55,$AC$1,IF(情景分析!$D$6=1,$J55,IF(情景分析!$D$6=2,$E55,IF(情景分析!$D$6=4,IF($C55="银行间",$J55,$L55),$G55)))+AE$2/100,情景分析!$D$7,"",,,,"",)*IF($H55="",1,$H55))</f>
        <v/>
      </c>
      <c r="AF55" s="7" t="str">
        <f>IF($A55="","",[2]!B_CALC_PRICE($A55,$AC$1,IF(情景分析!$D$6=1,$J55,IF(情景分析!$D$6=2,$E55,IF(情景分析!$D$6=4,IF($C55="银行间",$J55,$L55),$G55)))+AF$2/100,情景分析!$D$7,"",,,,"",)*IF($H55="",1,$H55))</f>
        <v/>
      </c>
      <c r="AG55" s="7" t="str">
        <f>IF($A55="","",[2]!B_CALC_PRICE($A55,$AC$1,IF(情景分析!$D$6=1,$J55,IF(情景分析!$D$6=2,$E55,IF(情景分析!$D$6=4,IF($C55="银行间",$J55,$L55),$G55)))+AG$2/100,情景分析!$D$7,"",,,,"",)*IF($H55="",1,$H55))</f>
        <v/>
      </c>
      <c r="AH55" s="7" t="str">
        <f>IF($A55="","",[2]!B_CALC_PRICE($A55,$AC$1,IF(情景分析!$D$6=1,$J55,IF(情景分析!$D$6=2,$E55,IF(情景分析!$D$6=4,IF($C55="银行间",$J55,$L55),$G55)))+AH$2/100,情景分析!$D$7,"",,,,"",)*IF($H55="",1,$H55))</f>
        <v/>
      </c>
      <c r="AI55" s="7" t="str">
        <f>IF($A55="","",[2]!B_CALC_PRICE($A55,$AC$1,IF(情景分析!$D$6=1,$J55,IF(情景分析!$D$6=2,$E55,IF(情景分析!$D$6=4,IF($C55="银行间",$J55,$L55),$G55)))+AI$2/100,情景分析!$D$7,"",,,,"",)*IF($H55="",1,$H55))</f>
        <v/>
      </c>
      <c r="AJ55" s="7" t="str">
        <f>IF($A55="","",[2]!B_CALC_PRICE($A55,$AJ$1,IF(情景分析!$D$6=1,$J55,IF(情景分析!$D$6=2,$E55,IF(情景分析!$D$6=4,IF($C55="银行间",$J55,$L55),$G55)))+AJ$2/100,情景分析!$D$7,"",,,,"",)*IF($H55="",1,$H55))</f>
        <v/>
      </c>
      <c r="AK55" s="7" t="str">
        <f>IF($A55="","",[2]!B_CALC_PRICE($A55,$AJ$1,IF(情景分析!$D$6=1,$J55,IF(情景分析!$D$6=2,$E55,IF(情景分析!$D$6=4,IF($C55="银行间",$J55,$L55),$G55)))+AK$2/100,情景分析!$D$7,"",,,,"",)*IF($H55="",1,$H55))</f>
        <v/>
      </c>
      <c r="AL55" s="7" t="str">
        <f>IF($A55="","",[2]!B_CALC_PRICE($A55,$AJ$1,IF(情景分析!$D$6=1,$J55,IF(情景分析!$D$6=2,$E55,IF(情景分析!$D$6=4,IF($C55="银行间",$J55,$L55),$G55)))+AL$2/100,情景分析!$D$7,"",,,,"",)*IF($H55="",1,$H55))</f>
        <v/>
      </c>
      <c r="AM55" s="7" t="str">
        <f>IF($A55="","",[2]!B_CALC_PRICE($A55,$AJ$1,IF(情景分析!$D$6=1,$J55,IF(情景分析!$D$6=2,$E55,IF(情景分析!$D$6=4,IF($C55="银行间",$J55,$L55),$G55)))+AM$2/100,情景分析!$D$7,"",,,,"",)*IF($H55="",1,$H55))</f>
        <v/>
      </c>
      <c r="AN55" s="7" t="str">
        <f>IF($A55="","",[2]!B_CALC_PRICE($A55,$AJ$1,IF(情景分析!$D$6=1,$J55,IF(情景分析!$D$6=2,$E55,IF(情景分析!$D$6=4,IF($C55="银行间",$J55,$L55),$G55)))+AN$2/100,情景分析!$D$7,"",,,,"",)*IF($H55="",1,$H55))</f>
        <v/>
      </c>
      <c r="AO55" s="7" t="str">
        <f>IF($A55="","",[2]!B_CALC_PRICE($A55,$AJ$1,IF(情景分析!$D$6=1,$J55,IF(情景分析!$D$6=2,$E55,IF(情景分析!$D$6=4,IF($C55="银行间",$J55,$L55),$G55)))+AO$2/100,情景分析!$D$7,"",,,,"",)*IF($H55="",1,$H55))</f>
        <v/>
      </c>
      <c r="AP55" s="7" t="str">
        <f>IF($A55="","",[2]!B_CALC_PRICE($A55,$AJ$1,IF(情景分析!$D$6=1,$J55,IF(情景分析!$D$6=2,$E55,IF(情景分析!$D$6=4,IF($C55="银行间",$J55,$L55),$G55)))+AP$2/100,情景分析!$D$7,"",,,,"",)*IF($H55="",1,$H55))</f>
        <v/>
      </c>
      <c r="AQ55" s="7" t="str">
        <f>IF($A55="","",[2]!B_CALC_PRICE($A55,$AQ$1,IF(情景分析!$D$6=1,$J55,IF(情景分析!$D$6=2,$E55,IF(情景分析!$D$6=4,IF($C55="银行间",$J55,$L55),$G55)))+AQ$2/100,情景分析!$D$7,"",,,,"",)*IF($H55="",1,$H55))</f>
        <v/>
      </c>
      <c r="AR55" s="7" t="str">
        <f>IF($A55="","",[2]!B_CALC_PRICE($A55,$AQ$1,IF(情景分析!$D$6=1,$J55,IF(情景分析!$D$6=2,$E55,IF(情景分析!$D$6=4,IF($C55="银行间",$J55,$L55),$G55)))+AR$2/100,情景分析!$D$7,"",,,,"",)*IF($H55="",1,$H55))</f>
        <v/>
      </c>
      <c r="AS55" s="7" t="str">
        <f>IF($A55="","",[2]!B_CALC_PRICE($A55,$AQ$1,IF(情景分析!$D$6=1,$J55,IF(情景分析!$D$6=2,$E55,IF(情景分析!$D$6=4,IF($C55="银行间",$J55,$L55),$G55)))+AS$2/100,情景分析!$D$7,"",,,,"",)*IF($H55="",1,$H55))</f>
        <v/>
      </c>
      <c r="AT55" s="7" t="str">
        <f>IF($A55="","",[2]!B_CALC_PRICE($A55,$AQ$1,IF(情景分析!$D$6=1,$J55,IF(情景分析!$D$6=2,$E55,IF(情景分析!$D$6=4,IF($C55="银行间",$J55,$L55),$G55)))+AT$2/100,情景分析!$D$7,"",,,,"",)*IF($H55="",1,$H55))</f>
        <v/>
      </c>
      <c r="AU55" s="7" t="str">
        <f>IF($A55="","",[2]!B_CALC_PRICE($A55,$AQ$1,IF(情景分析!$D$6=1,$J55,IF(情景分析!$D$6=2,$E55,IF(情景分析!$D$6=4,IF($C55="银行间",$J55,$L55),$G55)))+AU$2/100,情景分析!$D$7,"",,,,"",)*IF($H55="",1,$H55))</f>
        <v/>
      </c>
      <c r="AV55" s="7" t="str">
        <f>IF($A55="","",[2]!B_CALC_PRICE($A55,$AQ$1,IF(情景分析!$D$6=1,$J55,IF(情景分析!$D$6=2,$E55,IF(情景分析!$D$6=4,IF($C55="银行间",$J55,$L55),$G55)))+AV$2/100,情景分析!$D$7,"",,,,"",)*IF($H55="",1,$H55))</f>
        <v/>
      </c>
      <c r="AW55" s="7" t="str">
        <f>IF($A55="","",[2]!B_CALC_PRICE($A55,$AQ$1,IF(情景分析!$D$6=1,$J55,IF(情景分析!$D$6=2,$E55,IF(情景分析!$D$6=4,IF($C55="银行间",$J55,$L55),$G55)))+AW$2/100,情景分析!$D$7,"",,,,"",)*IF($H55="",1,$H55))</f>
        <v/>
      </c>
    </row>
    <row r="56" spans="1:49" x14ac:dyDescent="0.15">
      <c r="A56" s="20"/>
      <c r="B56" s="7" t="str">
        <f>IF(A56="","",[2]!b_info_name(A56))</f>
        <v/>
      </c>
      <c r="C56" s="7" t="str">
        <f>[2]!b_info_listedmkt(A56)</f>
        <v>#N/A</v>
      </c>
      <c r="D56" s="7" t="str">
        <f>IFERROR(IF(A56="","", [2]!b_dq_avgprice(A56, 情景分析!$D$5, 情景分析!$D$7) * IF($H56="",1,$H56)),0)</f>
        <v/>
      </c>
      <c r="E56" s="7" t="str">
        <f>IF(A56="","", N([2]!b_dq_avgprice(A56,情景分析!$D$5,3)))</f>
        <v/>
      </c>
      <c r="F56" s="29" t="str">
        <f>IF($G56 = "",
"",
IFERROR(
[2]!b_calc_pv(A56, 情景分析!$D$5,$G56, "1", 情景分析!$D$7),
[2]!b_calc_pv(A56, 情景分析!$D$5,$G56, "2", 情景分析!$D$7)
)
)</f>
        <v/>
      </c>
      <c r="G56" s="22"/>
      <c r="H56" s="21"/>
      <c r="I56" s="7" t="str">
        <f>IF(A56="","",IF(情景分析!$D$7=1,[2]!b_anal_net_cnbd(A56,情景分析!$D$5,1),[2]!b_anal_dirty_cnbd(A56,情景分析!$D$5,1))*IF($H56="",1,$H56))</f>
        <v/>
      </c>
      <c r="J56" s="7" t="str">
        <f>IF(A56="","",[2]!b_anal_yield_cnbd(A56,情景分析!$D$5,1))</f>
        <v/>
      </c>
      <c r="K56" s="29" t="str">
        <f>IF(A56="","",IF(情景分析!$D$7=1,[2]!b_anal_net_csi1(A56,情景分析!$D$5,1),[2]!b_anal_dirty_csi1(A56,情景分析!$D$5,1))*IF($H56="",1,$H56))</f>
        <v/>
      </c>
      <c r="L56" s="29" t="str">
        <f>IF(A56="","",[2]!b_anal_yield_csi1(A56,情景分析!$D$5,1))</f>
        <v/>
      </c>
      <c r="M56" s="29" t="str">
        <f t="shared" si="6"/>
        <v/>
      </c>
      <c r="N56" s="29" t="str">
        <f t="shared" si="7"/>
        <v/>
      </c>
      <c r="O56" s="7" t="str">
        <f>IF($A56="","",[2]!B_CALC_PRICE($A56,$O$1,IF(情景分析!$D$6=1,$J56,IF(情景分析!$D$6=2,$E56,IF(情景分析!$D$6=4,IF($C56="银行间",$J56,$L56),$G56)))+O$2/100,情景分析!$D$7,"",,,,"",)*IF($H56="",1,$H56))</f>
        <v/>
      </c>
      <c r="P56" s="7" t="str">
        <f>IF($A56="","",[2]!B_CALC_PRICE($A56,$O$1,IF(情景分析!$D$6=1,$J56,IF(情景分析!$D$6=2,$E56,IF(情景分析!$D$6=4,IF($C56="银行间",$J56,$L56),$G56)))+P$2/100,情景分析!$D$7,"",,,,"",)*IF($H56="",1,$H56))</f>
        <v/>
      </c>
      <c r="Q56" s="7" t="str">
        <f>IF($A56="","",[2]!B_CALC_PRICE($A56,$O$1,IF(情景分析!$D$6=1,$J56,IF(情景分析!$D$6=2,$E56,IF(情景分析!$D$6=4,IF($C56="银行间",$J56,$L56),$G56)))+Q$2/100,情景分析!$D$7,"",,,,"",)*IF($H56="",1,$H56))</f>
        <v/>
      </c>
      <c r="R56" s="7" t="str">
        <f>IF($A56="","",[2]!B_CALC_PRICE($A56,$O$1,IF(情景分析!$D$6=1,$J56,IF(情景分析!$D$6=2,$E56,IF(情景分析!$D$6=4,IF($C56="银行间",$J56,$L56),$G56)))+R$2/100,情景分析!$D$7,"",,,,"",)*IF($H56="",1,$H56))</f>
        <v/>
      </c>
      <c r="S56" s="7" t="str">
        <f>IF($A56="","",[2]!B_CALC_PRICE($A56,$O$1,IF(情景分析!$D$6=1,$J56,IF(情景分析!$D$6=2,$E56,IF(情景分析!$D$6=4,IF($C56="银行间",$J56,$L56),$G56)))+S$2/100,情景分析!$D$7,"",,,,"",)*IF($H56="",1,$H56))</f>
        <v/>
      </c>
      <c r="T56" s="7" t="str">
        <f>IF($A56="","",[2]!B_CALC_PRICE($A56,$O$1,IF(情景分析!$D$6=1,$J56,IF(情景分析!$D$6=2,$E56,IF(情景分析!$D$6=4,IF($C56="银行间",$J56,$L56),$G56)))+T$2/100,情景分析!$D$7,"",,,,"",)*IF($H56="",1,$H56))</f>
        <v/>
      </c>
      <c r="U56" s="7" t="str">
        <f>IF($A56="","",[2]!B_CALC_PRICE($A56,$O$1,IF(情景分析!$D$6=1,$J56,IF(情景分析!$D$6=2,$E56,IF(情景分析!$D$6=4,IF($C56="银行间",$J56,$L56),$G56)))+U$2/100,情景分析!$D$7,"",,,,"",)*IF($H56="",1,$H56))</f>
        <v/>
      </c>
      <c r="V56" s="7" t="str">
        <f>IF($A56="","",[2]!B_CALC_PRICE($A56,$V$1,IF(情景分析!$D$6=1,$J56,IF(情景分析!$D$6=2,$E56,IF(情景分析!$D$6=4,IF($C56="银行间",$J56,$L56),$G56)))+V$2/100,情景分析!$D$7,"",,,,"",)*IF($H56="",1,$H56))</f>
        <v/>
      </c>
      <c r="W56" s="7" t="str">
        <f>IF($A56="","",[2]!B_CALC_PRICE($A56,$V$1,IF(情景分析!$D$6=1,$J56,IF(情景分析!$D$6=2,$E56,IF(情景分析!$D$6=4,IF($C56="银行间",$J56,$L56),$G56)))+W$2/100,情景分析!$D$7,"",,,,"",)*IF($H56="",1,$H56))</f>
        <v/>
      </c>
      <c r="X56" s="7" t="str">
        <f>IF($A56="","",[2]!B_CALC_PRICE($A56,$V$1,IF(情景分析!$D$6=1,$J56,IF(情景分析!$D$6=2,$E56,IF(情景分析!$D$6=4,IF($C56="银行间",$J56,$L56),$G56)))+X$2/100,情景分析!$D$7,"",,,,"",)*IF($H56="",1,$H56))</f>
        <v/>
      </c>
      <c r="Y56" s="7" t="str">
        <f>IF($A56="","",[2]!B_CALC_PRICE($A56,$V$1,IF(情景分析!$D$6=1,$J56,IF(情景分析!$D$6=2,$E56,IF(情景分析!$D$6=4,IF($C56="银行间",$J56,$L56),$G56)))+Y$2/100,情景分析!$D$7,"",,,,"",)*IF($H56="",1,$H56))</f>
        <v/>
      </c>
      <c r="Z56" s="7" t="str">
        <f>IF($A56="","",[2]!B_CALC_PRICE($A56,$V$1,IF(情景分析!$D$6=1,$J56,IF(情景分析!$D$6=2,$E56,IF(情景分析!$D$6=4,IF($C56="银行间",$J56,$L56),$G56)))+Z$2/100,情景分析!$D$7,"",,,,"",)*IF($H56="",1,$H56))</f>
        <v/>
      </c>
      <c r="AA56" s="7" t="str">
        <f>IF($A56="","",[2]!B_CALC_PRICE($A56,$V$1,IF(情景分析!$D$6=1,$J56,IF(情景分析!$D$6=2,$E56,IF(情景分析!$D$6=4,IF($C56="银行间",$J56,$L56),$G56)))+AA$2/100,情景分析!$D$7,"",,,,"",)*IF($H56="",1,$H56))</f>
        <v/>
      </c>
      <c r="AB56" s="7" t="str">
        <f>IF($A56="","",[2]!B_CALC_PRICE($A56,$V$1,IF(情景分析!$D$6=1,$J56,IF(情景分析!$D$6=2,$E56,IF(情景分析!$D$6=4,IF($C56="银行间",$J56,$L56),$G56)))+AB$2/100,情景分析!$D$7,"",,,,"",)*IF($H56="",1,$H56))</f>
        <v/>
      </c>
      <c r="AC56" s="7" t="str">
        <f>IF($A56="","",[2]!B_CALC_PRICE($A56,$AC$1,IF(情景分析!$D$6=1,$J56,IF(情景分析!$D$6=2,$E56,IF(情景分析!$D$6=4,IF($C56="银行间",$J56,$L56),$G56)))+AC$2/100,情景分析!$D$7,"",,,,"",)*IF($H56="",1,$H56))</f>
        <v/>
      </c>
      <c r="AD56" s="7" t="str">
        <f>IF($A56="","",[2]!B_CALC_PRICE($A56,$AC$1,IF(情景分析!$D$6=1,$J56,IF(情景分析!$D$6=2,$E56,IF(情景分析!$D$6=4,IF($C56="银行间",$J56,$L56),$G56)))+AD$2/100,情景分析!$D$7,"",,,,"",)*IF($H56="",1,$H56))</f>
        <v/>
      </c>
      <c r="AE56" s="7" t="str">
        <f>IF($A56="","",[2]!B_CALC_PRICE($A56,$AC$1,IF(情景分析!$D$6=1,$J56,IF(情景分析!$D$6=2,$E56,IF(情景分析!$D$6=4,IF($C56="银行间",$J56,$L56),$G56)))+AE$2/100,情景分析!$D$7,"",,,,"",)*IF($H56="",1,$H56))</f>
        <v/>
      </c>
      <c r="AF56" s="7" t="str">
        <f>IF($A56="","",[2]!B_CALC_PRICE($A56,$AC$1,IF(情景分析!$D$6=1,$J56,IF(情景分析!$D$6=2,$E56,IF(情景分析!$D$6=4,IF($C56="银行间",$J56,$L56),$G56)))+AF$2/100,情景分析!$D$7,"",,,,"",)*IF($H56="",1,$H56))</f>
        <v/>
      </c>
      <c r="AG56" s="7" t="str">
        <f>IF($A56="","",[2]!B_CALC_PRICE($A56,$AC$1,IF(情景分析!$D$6=1,$J56,IF(情景分析!$D$6=2,$E56,IF(情景分析!$D$6=4,IF($C56="银行间",$J56,$L56),$G56)))+AG$2/100,情景分析!$D$7,"",,,,"",)*IF($H56="",1,$H56))</f>
        <v/>
      </c>
      <c r="AH56" s="7" t="str">
        <f>IF($A56="","",[2]!B_CALC_PRICE($A56,$AC$1,IF(情景分析!$D$6=1,$J56,IF(情景分析!$D$6=2,$E56,IF(情景分析!$D$6=4,IF($C56="银行间",$J56,$L56),$G56)))+AH$2/100,情景分析!$D$7,"",,,,"",)*IF($H56="",1,$H56))</f>
        <v/>
      </c>
      <c r="AI56" s="7" t="str">
        <f>IF($A56="","",[2]!B_CALC_PRICE($A56,$AC$1,IF(情景分析!$D$6=1,$J56,IF(情景分析!$D$6=2,$E56,IF(情景分析!$D$6=4,IF($C56="银行间",$J56,$L56),$G56)))+AI$2/100,情景分析!$D$7,"",,,,"",)*IF($H56="",1,$H56))</f>
        <v/>
      </c>
      <c r="AJ56" s="7" t="str">
        <f>IF($A56="","",[2]!B_CALC_PRICE($A56,$AJ$1,IF(情景分析!$D$6=1,$J56,IF(情景分析!$D$6=2,$E56,IF(情景分析!$D$6=4,IF($C56="银行间",$J56,$L56),$G56)))+AJ$2/100,情景分析!$D$7,"",,,,"",)*IF($H56="",1,$H56))</f>
        <v/>
      </c>
      <c r="AK56" s="7" t="str">
        <f>IF($A56="","",[2]!B_CALC_PRICE($A56,$AJ$1,IF(情景分析!$D$6=1,$J56,IF(情景分析!$D$6=2,$E56,IF(情景分析!$D$6=4,IF($C56="银行间",$J56,$L56),$G56)))+AK$2/100,情景分析!$D$7,"",,,,"",)*IF($H56="",1,$H56))</f>
        <v/>
      </c>
      <c r="AL56" s="7" t="str">
        <f>IF($A56="","",[2]!B_CALC_PRICE($A56,$AJ$1,IF(情景分析!$D$6=1,$J56,IF(情景分析!$D$6=2,$E56,IF(情景分析!$D$6=4,IF($C56="银行间",$J56,$L56),$G56)))+AL$2/100,情景分析!$D$7,"",,,,"",)*IF($H56="",1,$H56))</f>
        <v/>
      </c>
      <c r="AM56" s="7" t="str">
        <f>IF($A56="","",[2]!B_CALC_PRICE($A56,$AJ$1,IF(情景分析!$D$6=1,$J56,IF(情景分析!$D$6=2,$E56,IF(情景分析!$D$6=4,IF($C56="银行间",$J56,$L56),$G56)))+AM$2/100,情景分析!$D$7,"",,,,"",)*IF($H56="",1,$H56))</f>
        <v/>
      </c>
      <c r="AN56" s="7" t="str">
        <f>IF($A56="","",[2]!B_CALC_PRICE($A56,$AJ$1,IF(情景分析!$D$6=1,$J56,IF(情景分析!$D$6=2,$E56,IF(情景分析!$D$6=4,IF($C56="银行间",$J56,$L56),$G56)))+AN$2/100,情景分析!$D$7,"",,,,"",)*IF($H56="",1,$H56))</f>
        <v/>
      </c>
      <c r="AO56" s="7" t="str">
        <f>IF($A56="","",[2]!B_CALC_PRICE($A56,$AJ$1,IF(情景分析!$D$6=1,$J56,IF(情景分析!$D$6=2,$E56,IF(情景分析!$D$6=4,IF($C56="银行间",$J56,$L56),$G56)))+AO$2/100,情景分析!$D$7,"",,,,"",)*IF($H56="",1,$H56))</f>
        <v/>
      </c>
      <c r="AP56" s="7" t="str">
        <f>IF($A56="","",[2]!B_CALC_PRICE($A56,$AJ$1,IF(情景分析!$D$6=1,$J56,IF(情景分析!$D$6=2,$E56,IF(情景分析!$D$6=4,IF($C56="银行间",$J56,$L56),$G56)))+AP$2/100,情景分析!$D$7,"",,,,"",)*IF($H56="",1,$H56))</f>
        <v/>
      </c>
      <c r="AQ56" s="7" t="str">
        <f>IF($A56="","",[2]!B_CALC_PRICE($A56,$AQ$1,IF(情景分析!$D$6=1,$J56,IF(情景分析!$D$6=2,$E56,IF(情景分析!$D$6=4,IF($C56="银行间",$J56,$L56),$G56)))+AQ$2/100,情景分析!$D$7,"",,,,"",)*IF($H56="",1,$H56))</f>
        <v/>
      </c>
      <c r="AR56" s="7" t="str">
        <f>IF($A56="","",[2]!B_CALC_PRICE($A56,$AQ$1,IF(情景分析!$D$6=1,$J56,IF(情景分析!$D$6=2,$E56,IF(情景分析!$D$6=4,IF($C56="银行间",$J56,$L56),$G56)))+AR$2/100,情景分析!$D$7,"",,,,"",)*IF($H56="",1,$H56))</f>
        <v/>
      </c>
      <c r="AS56" s="7" t="str">
        <f>IF($A56="","",[2]!B_CALC_PRICE($A56,$AQ$1,IF(情景分析!$D$6=1,$J56,IF(情景分析!$D$6=2,$E56,IF(情景分析!$D$6=4,IF($C56="银行间",$J56,$L56),$G56)))+AS$2/100,情景分析!$D$7,"",,,,"",)*IF($H56="",1,$H56))</f>
        <v/>
      </c>
      <c r="AT56" s="7" t="str">
        <f>IF($A56="","",[2]!B_CALC_PRICE($A56,$AQ$1,IF(情景分析!$D$6=1,$J56,IF(情景分析!$D$6=2,$E56,IF(情景分析!$D$6=4,IF($C56="银行间",$J56,$L56),$G56)))+AT$2/100,情景分析!$D$7,"",,,,"",)*IF($H56="",1,$H56))</f>
        <v/>
      </c>
      <c r="AU56" s="7" t="str">
        <f>IF($A56="","",[2]!B_CALC_PRICE($A56,$AQ$1,IF(情景分析!$D$6=1,$J56,IF(情景分析!$D$6=2,$E56,IF(情景分析!$D$6=4,IF($C56="银行间",$J56,$L56),$G56)))+AU$2/100,情景分析!$D$7,"",,,,"",)*IF($H56="",1,$H56))</f>
        <v/>
      </c>
      <c r="AV56" s="7" t="str">
        <f>IF($A56="","",[2]!B_CALC_PRICE($A56,$AQ$1,IF(情景分析!$D$6=1,$J56,IF(情景分析!$D$6=2,$E56,IF(情景分析!$D$6=4,IF($C56="银行间",$J56,$L56),$G56)))+AV$2/100,情景分析!$D$7,"",,,,"",)*IF($H56="",1,$H56))</f>
        <v/>
      </c>
      <c r="AW56" s="7" t="str">
        <f>IF($A56="","",[2]!B_CALC_PRICE($A56,$AQ$1,IF(情景分析!$D$6=1,$J56,IF(情景分析!$D$6=2,$E56,IF(情景分析!$D$6=4,IF($C56="银行间",$J56,$L56),$G56)))+AW$2/100,情景分析!$D$7,"",,,,"",)*IF($H56="",1,$H56))</f>
        <v/>
      </c>
    </row>
    <row r="57" spans="1:49" x14ac:dyDescent="0.15">
      <c r="A57" s="20"/>
      <c r="B57" s="7" t="str">
        <f>IF(A57="","",[2]!b_info_name(A57))</f>
        <v/>
      </c>
      <c r="C57" s="7" t="str">
        <f>[2]!b_info_listedmkt(A57)</f>
        <v>#N/A</v>
      </c>
      <c r="D57" s="7" t="str">
        <f>IFERROR(IF(A57="","", [2]!b_dq_avgprice(A57, 情景分析!$D$5, 情景分析!$D$7) * IF($H57="",1,$H57)),0)</f>
        <v/>
      </c>
      <c r="E57" s="7" t="str">
        <f>IF(A57="","", N([2]!b_dq_avgprice(A57,情景分析!$D$5,3)))</f>
        <v/>
      </c>
      <c r="F57" s="29" t="str">
        <f>IF($G57 = "",
"",
IFERROR(
[2]!b_calc_pv(A57, 情景分析!$D$5,$G57, "1", 情景分析!$D$7),
[2]!b_calc_pv(A57, 情景分析!$D$5,$G57, "2", 情景分析!$D$7)
)
)</f>
        <v/>
      </c>
      <c r="G57" s="22"/>
      <c r="H57" s="21"/>
      <c r="I57" s="7" t="str">
        <f>IF(A57="","",IF(情景分析!$D$7=1,[2]!b_anal_net_cnbd(A57,情景分析!$D$5,1),[2]!b_anal_dirty_cnbd(A57,情景分析!$D$5,1))*IF($H57="",1,$H57))</f>
        <v/>
      </c>
      <c r="J57" s="7" t="str">
        <f>IF(A57="","",[2]!b_anal_yield_cnbd(A57,情景分析!$D$5,1))</f>
        <v/>
      </c>
      <c r="K57" s="29" t="str">
        <f>IF(A57="","",IF(情景分析!$D$7=1,[2]!b_anal_net_csi1(A57,情景分析!$D$5,1),[2]!b_anal_dirty_csi1(A57,情景分析!$D$5,1))*IF($H57="",1,$H57))</f>
        <v/>
      </c>
      <c r="L57" s="29" t="str">
        <f>IF(A57="","",[2]!b_anal_yield_csi1(A57,情景分析!$D$5,1))</f>
        <v/>
      </c>
      <c r="M57" s="29" t="str">
        <f t="shared" si="6"/>
        <v/>
      </c>
      <c r="N57" s="29" t="str">
        <f t="shared" si="7"/>
        <v/>
      </c>
      <c r="O57" s="7" t="str">
        <f>IF($A57="","",[2]!B_CALC_PRICE($A57,$O$1,IF(情景分析!$D$6=1,$J57,IF(情景分析!$D$6=2,$E57,IF(情景分析!$D$6=4,IF($C57="银行间",$J57,$L57),$G57)))+O$2/100,情景分析!$D$7,"",,,,"",)*IF($H57="",1,$H57))</f>
        <v/>
      </c>
      <c r="P57" s="7" t="str">
        <f>IF($A57="","",[2]!B_CALC_PRICE($A57,$O$1,IF(情景分析!$D$6=1,$J57,IF(情景分析!$D$6=2,$E57,IF(情景分析!$D$6=4,IF($C57="银行间",$J57,$L57),$G57)))+P$2/100,情景分析!$D$7,"",,,,"",)*IF($H57="",1,$H57))</f>
        <v/>
      </c>
      <c r="Q57" s="7" t="str">
        <f>IF($A57="","",[2]!B_CALC_PRICE($A57,$O$1,IF(情景分析!$D$6=1,$J57,IF(情景分析!$D$6=2,$E57,IF(情景分析!$D$6=4,IF($C57="银行间",$J57,$L57),$G57)))+Q$2/100,情景分析!$D$7,"",,,,"",)*IF($H57="",1,$H57))</f>
        <v/>
      </c>
      <c r="R57" s="7" t="str">
        <f>IF($A57="","",[2]!B_CALC_PRICE($A57,$O$1,IF(情景分析!$D$6=1,$J57,IF(情景分析!$D$6=2,$E57,IF(情景分析!$D$6=4,IF($C57="银行间",$J57,$L57),$G57)))+R$2/100,情景分析!$D$7,"",,,,"",)*IF($H57="",1,$H57))</f>
        <v/>
      </c>
      <c r="S57" s="7" t="str">
        <f>IF($A57="","",[2]!B_CALC_PRICE($A57,$O$1,IF(情景分析!$D$6=1,$J57,IF(情景分析!$D$6=2,$E57,IF(情景分析!$D$6=4,IF($C57="银行间",$J57,$L57),$G57)))+S$2/100,情景分析!$D$7,"",,,,"",)*IF($H57="",1,$H57))</f>
        <v/>
      </c>
      <c r="T57" s="7" t="str">
        <f>IF($A57="","",[2]!B_CALC_PRICE($A57,$O$1,IF(情景分析!$D$6=1,$J57,IF(情景分析!$D$6=2,$E57,IF(情景分析!$D$6=4,IF($C57="银行间",$J57,$L57),$G57)))+T$2/100,情景分析!$D$7,"",,,,"",)*IF($H57="",1,$H57))</f>
        <v/>
      </c>
      <c r="U57" s="7" t="str">
        <f>IF($A57="","",[2]!B_CALC_PRICE($A57,$O$1,IF(情景分析!$D$6=1,$J57,IF(情景分析!$D$6=2,$E57,IF(情景分析!$D$6=4,IF($C57="银行间",$J57,$L57),$G57)))+U$2/100,情景分析!$D$7,"",,,,"",)*IF($H57="",1,$H57))</f>
        <v/>
      </c>
      <c r="V57" s="7" t="str">
        <f>IF($A57="","",[2]!B_CALC_PRICE($A57,$V$1,IF(情景分析!$D$6=1,$J57,IF(情景分析!$D$6=2,$E57,IF(情景分析!$D$6=4,IF($C57="银行间",$J57,$L57),$G57)))+V$2/100,情景分析!$D$7,"",,,,"",)*IF($H57="",1,$H57))</f>
        <v/>
      </c>
      <c r="W57" s="7" t="str">
        <f>IF($A57="","",[2]!B_CALC_PRICE($A57,$V$1,IF(情景分析!$D$6=1,$J57,IF(情景分析!$D$6=2,$E57,IF(情景分析!$D$6=4,IF($C57="银行间",$J57,$L57),$G57)))+W$2/100,情景分析!$D$7,"",,,,"",)*IF($H57="",1,$H57))</f>
        <v/>
      </c>
      <c r="X57" s="7" t="str">
        <f>IF($A57="","",[2]!B_CALC_PRICE($A57,$V$1,IF(情景分析!$D$6=1,$J57,IF(情景分析!$D$6=2,$E57,IF(情景分析!$D$6=4,IF($C57="银行间",$J57,$L57),$G57)))+X$2/100,情景分析!$D$7,"",,,,"",)*IF($H57="",1,$H57))</f>
        <v/>
      </c>
      <c r="Y57" s="7" t="str">
        <f>IF($A57="","",[2]!B_CALC_PRICE($A57,$V$1,IF(情景分析!$D$6=1,$J57,IF(情景分析!$D$6=2,$E57,IF(情景分析!$D$6=4,IF($C57="银行间",$J57,$L57),$G57)))+Y$2/100,情景分析!$D$7,"",,,,"",)*IF($H57="",1,$H57))</f>
        <v/>
      </c>
      <c r="Z57" s="7" t="str">
        <f>IF($A57="","",[2]!B_CALC_PRICE($A57,$V$1,IF(情景分析!$D$6=1,$J57,IF(情景分析!$D$6=2,$E57,IF(情景分析!$D$6=4,IF($C57="银行间",$J57,$L57),$G57)))+Z$2/100,情景分析!$D$7,"",,,,"",)*IF($H57="",1,$H57))</f>
        <v/>
      </c>
      <c r="AA57" s="7" t="str">
        <f>IF($A57="","",[2]!B_CALC_PRICE($A57,$V$1,IF(情景分析!$D$6=1,$J57,IF(情景分析!$D$6=2,$E57,IF(情景分析!$D$6=4,IF($C57="银行间",$J57,$L57),$G57)))+AA$2/100,情景分析!$D$7,"",,,,"",)*IF($H57="",1,$H57))</f>
        <v/>
      </c>
      <c r="AB57" s="7" t="str">
        <f>IF($A57="","",[2]!B_CALC_PRICE($A57,$V$1,IF(情景分析!$D$6=1,$J57,IF(情景分析!$D$6=2,$E57,IF(情景分析!$D$6=4,IF($C57="银行间",$J57,$L57),$G57)))+AB$2/100,情景分析!$D$7,"",,,,"",)*IF($H57="",1,$H57))</f>
        <v/>
      </c>
      <c r="AC57" s="7" t="str">
        <f>IF($A57="","",[2]!B_CALC_PRICE($A57,$AC$1,IF(情景分析!$D$6=1,$J57,IF(情景分析!$D$6=2,$E57,IF(情景分析!$D$6=4,IF($C57="银行间",$J57,$L57),$G57)))+AC$2/100,情景分析!$D$7,"",,,,"",)*IF($H57="",1,$H57))</f>
        <v/>
      </c>
      <c r="AD57" s="7" t="str">
        <f>IF($A57="","",[2]!B_CALC_PRICE($A57,$AC$1,IF(情景分析!$D$6=1,$J57,IF(情景分析!$D$6=2,$E57,IF(情景分析!$D$6=4,IF($C57="银行间",$J57,$L57),$G57)))+AD$2/100,情景分析!$D$7,"",,,,"",)*IF($H57="",1,$H57))</f>
        <v/>
      </c>
      <c r="AE57" s="7" t="str">
        <f>IF($A57="","",[2]!B_CALC_PRICE($A57,$AC$1,IF(情景分析!$D$6=1,$J57,IF(情景分析!$D$6=2,$E57,IF(情景分析!$D$6=4,IF($C57="银行间",$J57,$L57),$G57)))+AE$2/100,情景分析!$D$7,"",,,,"",)*IF($H57="",1,$H57))</f>
        <v/>
      </c>
      <c r="AF57" s="7" t="str">
        <f>IF($A57="","",[2]!B_CALC_PRICE($A57,$AC$1,IF(情景分析!$D$6=1,$J57,IF(情景分析!$D$6=2,$E57,IF(情景分析!$D$6=4,IF($C57="银行间",$J57,$L57),$G57)))+AF$2/100,情景分析!$D$7,"",,,,"",)*IF($H57="",1,$H57))</f>
        <v/>
      </c>
      <c r="AG57" s="7" t="str">
        <f>IF($A57="","",[2]!B_CALC_PRICE($A57,$AC$1,IF(情景分析!$D$6=1,$J57,IF(情景分析!$D$6=2,$E57,IF(情景分析!$D$6=4,IF($C57="银行间",$J57,$L57),$G57)))+AG$2/100,情景分析!$D$7,"",,,,"",)*IF($H57="",1,$H57))</f>
        <v/>
      </c>
      <c r="AH57" s="7" t="str">
        <f>IF($A57="","",[2]!B_CALC_PRICE($A57,$AC$1,IF(情景分析!$D$6=1,$J57,IF(情景分析!$D$6=2,$E57,IF(情景分析!$D$6=4,IF($C57="银行间",$J57,$L57),$G57)))+AH$2/100,情景分析!$D$7,"",,,,"",)*IF($H57="",1,$H57))</f>
        <v/>
      </c>
      <c r="AI57" s="7" t="str">
        <f>IF($A57="","",[2]!B_CALC_PRICE($A57,$AC$1,IF(情景分析!$D$6=1,$J57,IF(情景分析!$D$6=2,$E57,IF(情景分析!$D$6=4,IF($C57="银行间",$J57,$L57),$G57)))+AI$2/100,情景分析!$D$7,"",,,,"",)*IF($H57="",1,$H57))</f>
        <v/>
      </c>
      <c r="AJ57" s="7" t="str">
        <f>IF($A57="","",[2]!B_CALC_PRICE($A57,$AJ$1,IF(情景分析!$D$6=1,$J57,IF(情景分析!$D$6=2,$E57,IF(情景分析!$D$6=4,IF($C57="银行间",$J57,$L57),$G57)))+AJ$2/100,情景分析!$D$7,"",,,,"",)*IF($H57="",1,$H57))</f>
        <v/>
      </c>
      <c r="AK57" s="7" t="str">
        <f>IF($A57="","",[2]!B_CALC_PRICE($A57,$AJ$1,IF(情景分析!$D$6=1,$J57,IF(情景分析!$D$6=2,$E57,IF(情景分析!$D$6=4,IF($C57="银行间",$J57,$L57),$G57)))+AK$2/100,情景分析!$D$7,"",,,,"",)*IF($H57="",1,$H57))</f>
        <v/>
      </c>
      <c r="AL57" s="7" t="str">
        <f>IF($A57="","",[2]!B_CALC_PRICE($A57,$AJ$1,IF(情景分析!$D$6=1,$J57,IF(情景分析!$D$6=2,$E57,IF(情景分析!$D$6=4,IF($C57="银行间",$J57,$L57),$G57)))+AL$2/100,情景分析!$D$7,"",,,,"",)*IF($H57="",1,$H57))</f>
        <v/>
      </c>
      <c r="AM57" s="7" t="str">
        <f>IF($A57="","",[2]!B_CALC_PRICE($A57,$AJ$1,IF(情景分析!$D$6=1,$J57,IF(情景分析!$D$6=2,$E57,IF(情景分析!$D$6=4,IF($C57="银行间",$J57,$L57),$G57)))+AM$2/100,情景分析!$D$7,"",,,,"",)*IF($H57="",1,$H57))</f>
        <v/>
      </c>
      <c r="AN57" s="7" t="str">
        <f>IF($A57="","",[2]!B_CALC_PRICE($A57,$AJ$1,IF(情景分析!$D$6=1,$J57,IF(情景分析!$D$6=2,$E57,IF(情景分析!$D$6=4,IF($C57="银行间",$J57,$L57),$G57)))+AN$2/100,情景分析!$D$7,"",,,,"",)*IF($H57="",1,$H57))</f>
        <v/>
      </c>
      <c r="AO57" s="7" t="str">
        <f>IF($A57="","",[2]!B_CALC_PRICE($A57,$AJ$1,IF(情景分析!$D$6=1,$J57,IF(情景分析!$D$6=2,$E57,IF(情景分析!$D$6=4,IF($C57="银行间",$J57,$L57),$G57)))+AO$2/100,情景分析!$D$7,"",,,,"",)*IF($H57="",1,$H57))</f>
        <v/>
      </c>
      <c r="AP57" s="7" t="str">
        <f>IF($A57="","",[2]!B_CALC_PRICE($A57,$AJ$1,IF(情景分析!$D$6=1,$J57,IF(情景分析!$D$6=2,$E57,IF(情景分析!$D$6=4,IF($C57="银行间",$J57,$L57),$G57)))+AP$2/100,情景分析!$D$7,"",,,,"",)*IF($H57="",1,$H57))</f>
        <v/>
      </c>
      <c r="AQ57" s="7" t="str">
        <f>IF($A57="","",[2]!B_CALC_PRICE($A57,$AQ$1,IF(情景分析!$D$6=1,$J57,IF(情景分析!$D$6=2,$E57,IF(情景分析!$D$6=4,IF($C57="银行间",$J57,$L57),$G57)))+AQ$2/100,情景分析!$D$7,"",,,,"",)*IF($H57="",1,$H57))</f>
        <v/>
      </c>
      <c r="AR57" s="7" t="str">
        <f>IF($A57="","",[2]!B_CALC_PRICE($A57,$AQ$1,IF(情景分析!$D$6=1,$J57,IF(情景分析!$D$6=2,$E57,IF(情景分析!$D$6=4,IF($C57="银行间",$J57,$L57),$G57)))+AR$2/100,情景分析!$D$7,"",,,,"",)*IF($H57="",1,$H57))</f>
        <v/>
      </c>
      <c r="AS57" s="7" t="str">
        <f>IF($A57="","",[2]!B_CALC_PRICE($A57,$AQ$1,IF(情景分析!$D$6=1,$J57,IF(情景分析!$D$6=2,$E57,IF(情景分析!$D$6=4,IF($C57="银行间",$J57,$L57),$G57)))+AS$2/100,情景分析!$D$7,"",,,,"",)*IF($H57="",1,$H57))</f>
        <v/>
      </c>
      <c r="AT57" s="7" t="str">
        <f>IF($A57="","",[2]!B_CALC_PRICE($A57,$AQ$1,IF(情景分析!$D$6=1,$J57,IF(情景分析!$D$6=2,$E57,IF(情景分析!$D$6=4,IF($C57="银行间",$J57,$L57),$G57)))+AT$2/100,情景分析!$D$7,"",,,,"",)*IF($H57="",1,$H57))</f>
        <v/>
      </c>
      <c r="AU57" s="7" t="str">
        <f>IF($A57="","",[2]!B_CALC_PRICE($A57,$AQ$1,IF(情景分析!$D$6=1,$J57,IF(情景分析!$D$6=2,$E57,IF(情景分析!$D$6=4,IF($C57="银行间",$J57,$L57),$G57)))+AU$2/100,情景分析!$D$7,"",,,,"",)*IF($H57="",1,$H57))</f>
        <v/>
      </c>
      <c r="AV57" s="7" t="str">
        <f>IF($A57="","",[2]!B_CALC_PRICE($A57,$AQ$1,IF(情景分析!$D$6=1,$J57,IF(情景分析!$D$6=2,$E57,IF(情景分析!$D$6=4,IF($C57="银行间",$J57,$L57),$G57)))+AV$2/100,情景分析!$D$7,"",,,,"",)*IF($H57="",1,$H57))</f>
        <v/>
      </c>
      <c r="AW57" s="7" t="str">
        <f>IF($A57="","",[2]!B_CALC_PRICE($A57,$AQ$1,IF(情景分析!$D$6=1,$J57,IF(情景分析!$D$6=2,$E57,IF(情景分析!$D$6=4,IF($C57="银行间",$J57,$L57),$G57)))+AW$2/100,情景分析!$D$7,"",,,,"",)*IF($H57="",1,$H57))</f>
        <v/>
      </c>
    </row>
    <row r="58" spans="1:49" x14ac:dyDescent="0.15">
      <c r="A58" s="20"/>
      <c r="B58" s="7" t="str">
        <f>IF(A58="","",[2]!b_info_name(A58))</f>
        <v/>
      </c>
      <c r="C58" s="7" t="str">
        <f>[2]!b_info_listedmkt(A58)</f>
        <v>#N/A</v>
      </c>
      <c r="D58" s="7" t="str">
        <f>IFERROR(IF(A58="","", [2]!b_dq_avgprice(A58, 情景分析!$D$5, 情景分析!$D$7) * IF($H58="",1,$H58)),0)</f>
        <v/>
      </c>
      <c r="E58" s="7" t="str">
        <f>IF(A58="","", N([2]!b_dq_avgprice(A58,情景分析!$D$5,3)))</f>
        <v/>
      </c>
      <c r="F58" s="29" t="str">
        <f>IF($G58 = "",
"",
IFERROR(
[2]!b_calc_pv(A58, 情景分析!$D$5,$G58, "1", 情景分析!$D$7),
[2]!b_calc_pv(A58, 情景分析!$D$5,$G58, "2", 情景分析!$D$7)
)
)</f>
        <v/>
      </c>
      <c r="G58" s="22"/>
      <c r="H58" s="21"/>
      <c r="I58" s="7" t="str">
        <f>IF(A58="","",IF(情景分析!$D$7=1,[2]!b_anal_net_cnbd(A58,情景分析!$D$5,1),[2]!b_anal_dirty_cnbd(A58,情景分析!$D$5,1))*IF($H58="",1,$H58))</f>
        <v/>
      </c>
      <c r="J58" s="7" t="str">
        <f>IF(A58="","",[2]!b_anal_yield_cnbd(A58,情景分析!$D$5,1))</f>
        <v/>
      </c>
      <c r="K58" s="29" t="str">
        <f>IF(A58="","",IF(情景分析!$D$7=1,[2]!b_anal_net_csi1(A58,情景分析!$D$5,1),[2]!b_anal_dirty_csi1(A58,情景分析!$D$5,1))*IF($H58="",1,$H58))</f>
        <v/>
      </c>
      <c r="L58" s="29" t="str">
        <f>IF(A58="","",[2]!b_anal_yield_csi1(A58,情景分析!$D$5,1))</f>
        <v/>
      </c>
      <c r="M58" s="29" t="str">
        <f t="shared" si="6"/>
        <v/>
      </c>
      <c r="N58" s="29" t="str">
        <f t="shared" si="7"/>
        <v/>
      </c>
      <c r="O58" s="7" t="str">
        <f>IF($A58="","",[2]!B_CALC_PRICE($A58,$O$1,IF(情景分析!$D$6=1,$J58,IF(情景分析!$D$6=2,$E58,IF(情景分析!$D$6=4,IF($C58="银行间",$J58,$L58),$G58)))+O$2/100,情景分析!$D$7,"",,,,"",)*IF($H58="",1,$H58))</f>
        <v/>
      </c>
      <c r="P58" s="7" t="str">
        <f>IF($A58="","",[2]!B_CALC_PRICE($A58,$O$1,IF(情景分析!$D$6=1,$J58,IF(情景分析!$D$6=2,$E58,IF(情景分析!$D$6=4,IF($C58="银行间",$J58,$L58),$G58)))+P$2/100,情景分析!$D$7,"",,,,"",)*IF($H58="",1,$H58))</f>
        <v/>
      </c>
      <c r="Q58" s="7" t="str">
        <f>IF($A58="","",[2]!B_CALC_PRICE($A58,$O$1,IF(情景分析!$D$6=1,$J58,IF(情景分析!$D$6=2,$E58,IF(情景分析!$D$6=4,IF($C58="银行间",$J58,$L58),$G58)))+Q$2/100,情景分析!$D$7,"",,,,"",)*IF($H58="",1,$H58))</f>
        <v/>
      </c>
      <c r="R58" s="7" t="str">
        <f>IF($A58="","",[2]!B_CALC_PRICE($A58,$O$1,IF(情景分析!$D$6=1,$J58,IF(情景分析!$D$6=2,$E58,IF(情景分析!$D$6=4,IF($C58="银行间",$J58,$L58),$G58)))+R$2/100,情景分析!$D$7,"",,,,"",)*IF($H58="",1,$H58))</f>
        <v/>
      </c>
      <c r="S58" s="7" t="str">
        <f>IF($A58="","",[2]!B_CALC_PRICE($A58,$O$1,IF(情景分析!$D$6=1,$J58,IF(情景分析!$D$6=2,$E58,IF(情景分析!$D$6=4,IF($C58="银行间",$J58,$L58),$G58)))+S$2/100,情景分析!$D$7,"",,,,"",)*IF($H58="",1,$H58))</f>
        <v/>
      </c>
      <c r="T58" s="7" t="str">
        <f>IF($A58="","",[2]!B_CALC_PRICE($A58,$O$1,IF(情景分析!$D$6=1,$J58,IF(情景分析!$D$6=2,$E58,IF(情景分析!$D$6=4,IF($C58="银行间",$J58,$L58),$G58)))+T$2/100,情景分析!$D$7,"",,,,"",)*IF($H58="",1,$H58))</f>
        <v/>
      </c>
      <c r="U58" s="7" t="str">
        <f>IF($A58="","",[2]!B_CALC_PRICE($A58,$O$1,IF(情景分析!$D$6=1,$J58,IF(情景分析!$D$6=2,$E58,IF(情景分析!$D$6=4,IF($C58="银行间",$J58,$L58),$G58)))+U$2/100,情景分析!$D$7,"",,,,"",)*IF($H58="",1,$H58))</f>
        <v/>
      </c>
      <c r="V58" s="7" t="str">
        <f>IF($A58="","",[2]!B_CALC_PRICE($A58,$V$1,IF(情景分析!$D$6=1,$J58,IF(情景分析!$D$6=2,$E58,IF(情景分析!$D$6=4,IF($C58="银行间",$J58,$L58),$G58)))+V$2/100,情景分析!$D$7,"",,,,"",)*IF($H58="",1,$H58))</f>
        <v/>
      </c>
      <c r="W58" s="7" t="str">
        <f>IF($A58="","",[2]!B_CALC_PRICE($A58,$V$1,IF(情景分析!$D$6=1,$J58,IF(情景分析!$D$6=2,$E58,IF(情景分析!$D$6=4,IF($C58="银行间",$J58,$L58),$G58)))+W$2/100,情景分析!$D$7,"",,,,"",)*IF($H58="",1,$H58))</f>
        <v/>
      </c>
      <c r="X58" s="7" t="str">
        <f>IF($A58="","",[2]!B_CALC_PRICE($A58,$V$1,IF(情景分析!$D$6=1,$J58,IF(情景分析!$D$6=2,$E58,IF(情景分析!$D$6=4,IF($C58="银行间",$J58,$L58),$G58)))+X$2/100,情景分析!$D$7,"",,,,"",)*IF($H58="",1,$H58))</f>
        <v/>
      </c>
      <c r="Y58" s="7" t="str">
        <f>IF($A58="","",[2]!B_CALC_PRICE($A58,$V$1,IF(情景分析!$D$6=1,$J58,IF(情景分析!$D$6=2,$E58,IF(情景分析!$D$6=4,IF($C58="银行间",$J58,$L58),$G58)))+Y$2/100,情景分析!$D$7,"",,,,"",)*IF($H58="",1,$H58))</f>
        <v/>
      </c>
      <c r="Z58" s="7" t="str">
        <f>IF($A58="","",[2]!B_CALC_PRICE($A58,$V$1,IF(情景分析!$D$6=1,$J58,IF(情景分析!$D$6=2,$E58,IF(情景分析!$D$6=4,IF($C58="银行间",$J58,$L58),$G58)))+Z$2/100,情景分析!$D$7,"",,,,"",)*IF($H58="",1,$H58))</f>
        <v/>
      </c>
      <c r="AA58" s="7" t="str">
        <f>IF($A58="","",[2]!B_CALC_PRICE($A58,$V$1,IF(情景分析!$D$6=1,$J58,IF(情景分析!$D$6=2,$E58,IF(情景分析!$D$6=4,IF($C58="银行间",$J58,$L58),$G58)))+AA$2/100,情景分析!$D$7,"",,,,"",)*IF($H58="",1,$H58))</f>
        <v/>
      </c>
      <c r="AB58" s="7" t="str">
        <f>IF($A58="","",[2]!B_CALC_PRICE($A58,$V$1,IF(情景分析!$D$6=1,$J58,IF(情景分析!$D$6=2,$E58,IF(情景分析!$D$6=4,IF($C58="银行间",$J58,$L58),$G58)))+AB$2/100,情景分析!$D$7,"",,,,"",)*IF($H58="",1,$H58))</f>
        <v/>
      </c>
      <c r="AC58" s="7" t="str">
        <f>IF($A58="","",[2]!B_CALC_PRICE($A58,$AC$1,IF(情景分析!$D$6=1,$J58,IF(情景分析!$D$6=2,$E58,IF(情景分析!$D$6=4,IF($C58="银行间",$J58,$L58),$G58)))+AC$2/100,情景分析!$D$7,"",,,,"",)*IF($H58="",1,$H58))</f>
        <v/>
      </c>
      <c r="AD58" s="7" t="str">
        <f>IF($A58="","",[2]!B_CALC_PRICE($A58,$AC$1,IF(情景分析!$D$6=1,$J58,IF(情景分析!$D$6=2,$E58,IF(情景分析!$D$6=4,IF($C58="银行间",$J58,$L58),$G58)))+AD$2/100,情景分析!$D$7,"",,,,"",)*IF($H58="",1,$H58))</f>
        <v/>
      </c>
      <c r="AE58" s="7" t="str">
        <f>IF($A58="","",[2]!B_CALC_PRICE($A58,$AC$1,IF(情景分析!$D$6=1,$J58,IF(情景分析!$D$6=2,$E58,IF(情景分析!$D$6=4,IF($C58="银行间",$J58,$L58),$G58)))+AE$2/100,情景分析!$D$7,"",,,,"",)*IF($H58="",1,$H58))</f>
        <v/>
      </c>
      <c r="AF58" s="7" t="str">
        <f>IF($A58="","",[2]!B_CALC_PRICE($A58,$AC$1,IF(情景分析!$D$6=1,$J58,IF(情景分析!$D$6=2,$E58,IF(情景分析!$D$6=4,IF($C58="银行间",$J58,$L58),$G58)))+AF$2/100,情景分析!$D$7,"",,,,"",)*IF($H58="",1,$H58))</f>
        <v/>
      </c>
      <c r="AG58" s="7" t="str">
        <f>IF($A58="","",[2]!B_CALC_PRICE($A58,$AC$1,IF(情景分析!$D$6=1,$J58,IF(情景分析!$D$6=2,$E58,IF(情景分析!$D$6=4,IF($C58="银行间",$J58,$L58),$G58)))+AG$2/100,情景分析!$D$7,"",,,,"",)*IF($H58="",1,$H58))</f>
        <v/>
      </c>
      <c r="AH58" s="7" t="str">
        <f>IF($A58="","",[2]!B_CALC_PRICE($A58,$AC$1,IF(情景分析!$D$6=1,$J58,IF(情景分析!$D$6=2,$E58,IF(情景分析!$D$6=4,IF($C58="银行间",$J58,$L58),$G58)))+AH$2/100,情景分析!$D$7,"",,,,"",)*IF($H58="",1,$H58))</f>
        <v/>
      </c>
      <c r="AI58" s="7" t="str">
        <f>IF($A58="","",[2]!B_CALC_PRICE($A58,$AC$1,IF(情景分析!$D$6=1,$J58,IF(情景分析!$D$6=2,$E58,IF(情景分析!$D$6=4,IF($C58="银行间",$J58,$L58),$G58)))+AI$2/100,情景分析!$D$7,"",,,,"",)*IF($H58="",1,$H58))</f>
        <v/>
      </c>
      <c r="AJ58" s="7" t="str">
        <f>IF($A58="","",[2]!B_CALC_PRICE($A58,$AJ$1,IF(情景分析!$D$6=1,$J58,IF(情景分析!$D$6=2,$E58,IF(情景分析!$D$6=4,IF($C58="银行间",$J58,$L58),$G58)))+AJ$2/100,情景分析!$D$7,"",,,,"",)*IF($H58="",1,$H58))</f>
        <v/>
      </c>
      <c r="AK58" s="7" t="str">
        <f>IF($A58="","",[2]!B_CALC_PRICE($A58,$AJ$1,IF(情景分析!$D$6=1,$J58,IF(情景分析!$D$6=2,$E58,IF(情景分析!$D$6=4,IF($C58="银行间",$J58,$L58),$G58)))+AK$2/100,情景分析!$D$7,"",,,,"",)*IF($H58="",1,$H58))</f>
        <v/>
      </c>
      <c r="AL58" s="7" t="str">
        <f>IF($A58="","",[2]!B_CALC_PRICE($A58,$AJ$1,IF(情景分析!$D$6=1,$J58,IF(情景分析!$D$6=2,$E58,IF(情景分析!$D$6=4,IF($C58="银行间",$J58,$L58),$G58)))+AL$2/100,情景分析!$D$7,"",,,,"",)*IF($H58="",1,$H58))</f>
        <v/>
      </c>
      <c r="AM58" s="7" t="str">
        <f>IF($A58="","",[2]!B_CALC_PRICE($A58,$AJ$1,IF(情景分析!$D$6=1,$J58,IF(情景分析!$D$6=2,$E58,IF(情景分析!$D$6=4,IF($C58="银行间",$J58,$L58),$G58)))+AM$2/100,情景分析!$D$7,"",,,,"",)*IF($H58="",1,$H58))</f>
        <v/>
      </c>
      <c r="AN58" s="7" t="str">
        <f>IF($A58="","",[2]!B_CALC_PRICE($A58,$AJ$1,IF(情景分析!$D$6=1,$J58,IF(情景分析!$D$6=2,$E58,IF(情景分析!$D$6=4,IF($C58="银行间",$J58,$L58),$G58)))+AN$2/100,情景分析!$D$7,"",,,,"",)*IF($H58="",1,$H58))</f>
        <v/>
      </c>
      <c r="AO58" s="7" t="str">
        <f>IF($A58="","",[2]!B_CALC_PRICE($A58,$AJ$1,IF(情景分析!$D$6=1,$J58,IF(情景分析!$D$6=2,$E58,IF(情景分析!$D$6=4,IF($C58="银行间",$J58,$L58),$G58)))+AO$2/100,情景分析!$D$7,"",,,,"",)*IF($H58="",1,$H58))</f>
        <v/>
      </c>
      <c r="AP58" s="7" t="str">
        <f>IF($A58="","",[2]!B_CALC_PRICE($A58,$AJ$1,IF(情景分析!$D$6=1,$J58,IF(情景分析!$D$6=2,$E58,IF(情景分析!$D$6=4,IF($C58="银行间",$J58,$L58),$G58)))+AP$2/100,情景分析!$D$7,"",,,,"",)*IF($H58="",1,$H58))</f>
        <v/>
      </c>
      <c r="AQ58" s="7" t="str">
        <f>IF($A58="","",[2]!B_CALC_PRICE($A58,$AQ$1,IF(情景分析!$D$6=1,$J58,IF(情景分析!$D$6=2,$E58,IF(情景分析!$D$6=4,IF($C58="银行间",$J58,$L58),$G58)))+AQ$2/100,情景分析!$D$7,"",,,,"",)*IF($H58="",1,$H58))</f>
        <v/>
      </c>
      <c r="AR58" s="7" t="str">
        <f>IF($A58="","",[2]!B_CALC_PRICE($A58,$AQ$1,IF(情景分析!$D$6=1,$J58,IF(情景分析!$D$6=2,$E58,IF(情景分析!$D$6=4,IF($C58="银行间",$J58,$L58),$G58)))+AR$2/100,情景分析!$D$7,"",,,,"",)*IF($H58="",1,$H58))</f>
        <v/>
      </c>
      <c r="AS58" s="7" t="str">
        <f>IF($A58="","",[2]!B_CALC_PRICE($A58,$AQ$1,IF(情景分析!$D$6=1,$J58,IF(情景分析!$D$6=2,$E58,IF(情景分析!$D$6=4,IF($C58="银行间",$J58,$L58),$G58)))+AS$2/100,情景分析!$D$7,"",,,,"",)*IF($H58="",1,$H58))</f>
        <v/>
      </c>
      <c r="AT58" s="7" t="str">
        <f>IF($A58="","",[2]!B_CALC_PRICE($A58,$AQ$1,IF(情景分析!$D$6=1,$J58,IF(情景分析!$D$6=2,$E58,IF(情景分析!$D$6=4,IF($C58="银行间",$J58,$L58),$G58)))+AT$2/100,情景分析!$D$7,"",,,,"",)*IF($H58="",1,$H58))</f>
        <v/>
      </c>
      <c r="AU58" s="7" t="str">
        <f>IF($A58="","",[2]!B_CALC_PRICE($A58,$AQ$1,IF(情景分析!$D$6=1,$J58,IF(情景分析!$D$6=2,$E58,IF(情景分析!$D$6=4,IF($C58="银行间",$J58,$L58),$G58)))+AU$2/100,情景分析!$D$7,"",,,,"",)*IF($H58="",1,$H58))</f>
        <v/>
      </c>
      <c r="AV58" s="7" t="str">
        <f>IF($A58="","",[2]!B_CALC_PRICE($A58,$AQ$1,IF(情景分析!$D$6=1,$J58,IF(情景分析!$D$6=2,$E58,IF(情景分析!$D$6=4,IF($C58="银行间",$J58,$L58),$G58)))+AV$2/100,情景分析!$D$7,"",,,,"",)*IF($H58="",1,$H58))</f>
        <v/>
      </c>
      <c r="AW58" s="7" t="str">
        <f>IF($A58="","",[2]!B_CALC_PRICE($A58,$AQ$1,IF(情景分析!$D$6=1,$J58,IF(情景分析!$D$6=2,$E58,IF(情景分析!$D$6=4,IF($C58="银行间",$J58,$L58),$G58)))+AW$2/100,情景分析!$D$7,"",,,,"",)*IF($H58="",1,$H58))</f>
        <v/>
      </c>
    </row>
    <row r="59" spans="1:49" x14ac:dyDescent="0.15">
      <c r="A59" s="20"/>
      <c r="B59" s="7" t="str">
        <f>IF(A59="","",[2]!b_info_name(A59))</f>
        <v/>
      </c>
      <c r="C59" s="7" t="str">
        <f>[2]!b_info_listedmkt(A59)</f>
        <v>#N/A</v>
      </c>
      <c r="D59" s="7" t="str">
        <f>IFERROR(IF(A59="","", [2]!b_dq_avgprice(A59, 情景分析!$D$5, 情景分析!$D$7) * IF($H59="",1,$H59)),0)</f>
        <v/>
      </c>
      <c r="E59" s="7" t="str">
        <f>IF(A59="","", N([2]!b_dq_avgprice(A59,情景分析!$D$5,3)))</f>
        <v/>
      </c>
      <c r="F59" s="29" t="str">
        <f>IF($G59 = "",
"",
IFERROR(
[2]!b_calc_pv(A59, 情景分析!$D$5,$G59, "1", 情景分析!$D$7),
[2]!b_calc_pv(A59, 情景分析!$D$5,$G59, "2", 情景分析!$D$7)
)
)</f>
        <v/>
      </c>
      <c r="G59" s="22"/>
      <c r="H59" s="21"/>
      <c r="I59" s="7" t="str">
        <f>IF(A59="","",IF(情景分析!$D$7=1,[2]!b_anal_net_cnbd(A59,情景分析!$D$5,1),[2]!b_anal_dirty_cnbd(A59,情景分析!$D$5,1))*IF($H59="",1,$H59))</f>
        <v/>
      </c>
      <c r="J59" s="7" t="str">
        <f>IF(A59="","",[2]!b_anal_yield_cnbd(A59,情景分析!$D$5,1))</f>
        <v/>
      </c>
      <c r="K59" s="29" t="str">
        <f>IF(A59="","",IF(情景分析!$D$7=1,[2]!b_anal_net_csi1(A59,情景分析!$D$5,1),[2]!b_anal_dirty_csi1(A59,情景分析!$D$5,1))*IF($H59="",1,$H59))</f>
        <v/>
      </c>
      <c r="L59" s="29" t="str">
        <f>IF(A59="","",[2]!b_anal_yield_csi1(A59,情景分析!$D$5,1))</f>
        <v/>
      </c>
      <c r="M59" s="29" t="str">
        <f t="shared" si="6"/>
        <v/>
      </c>
      <c r="N59" s="29" t="str">
        <f t="shared" si="7"/>
        <v/>
      </c>
      <c r="O59" s="7" t="str">
        <f>IF($A59="","",[2]!B_CALC_PRICE($A59,$O$1,IF(情景分析!$D$6=1,$J59,IF(情景分析!$D$6=2,$E59,IF(情景分析!$D$6=4,IF($C59="银行间",$J59,$L59),$G59)))+O$2/100,情景分析!$D$7,"",,,,"",)*IF($H59="",1,$H59))</f>
        <v/>
      </c>
      <c r="P59" s="7" t="str">
        <f>IF($A59="","",[2]!B_CALC_PRICE($A59,$O$1,IF(情景分析!$D$6=1,$J59,IF(情景分析!$D$6=2,$E59,IF(情景分析!$D$6=4,IF($C59="银行间",$J59,$L59),$G59)))+P$2/100,情景分析!$D$7,"",,,,"",)*IF($H59="",1,$H59))</f>
        <v/>
      </c>
      <c r="Q59" s="7" t="str">
        <f>IF($A59="","",[2]!B_CALC_PRICE($A59,$O$1,IF(情景分析!$D$6=1,$J59,IF(情景分析!$D$6=2,$E59,IF(情景分析!$D$6=4,IF($C59="银行间",$J59,$L59),$G59)))+Q$2/100,情景分析!$D$7,"",,,,"",)*IF($H59="",1,$H59))</f>
        <v/>
      </c>
      <c r="R59" s="7" t="str">
        <f>IF($A59="","",[2]!B_CALC_PRICE($A59,$O$1,IF(情景分析!$D$6=1,$J59,IF(情景分析!$D$6=2,$E59,IF(情景分析!$D$6=4,IF($C59="银行间",$J59,$L59),$G59)))+R$2/100,情景分析!$D$7,"",,,,"",)*IF($H59="",1,$H59))</f>
        <v/>
      </c>
      <c r="S59" s="7" t="str">
        <f>IF($A59="","",[2]!B_CALC_PRICE($A59,$O$1,IF(情景分析!$D$6=1,$J59,IF(情景分析!$D$6=2,$E59,IF(情景分析!$D$6=4,IF($C59="银行间",$J59,$L59),$G59)))+S$2/100,情景分析!$D$7,"",,,,"",)*IF($H59="",1,$H59))</f>
        <v/>
      </c>
      <c r="T59" s="7" t="str">
        <f>IF($A59="","",[2]!B_CALC_PRICE($A59,$O$1,IF(情景分析!$D$6=1,$J59,IF(情景分析!$D$6=2,$E59,IF(情景分析!$D$6=4,IF($C59="银行间",$J59,$L59),$G59)))+T$2/100,情景分析!$D$7,"",,,,"",)*IF($H59="",1,$H59))</f>
        <v/>
      </c>
      <c r="U59" s="7" t="str">
        <f>IF($A59="","",[2]!B_CALC_PRICE($A59,$O$1,IF(情景分析!$D$6=1,$J59,IF(情景分析!$D$6=2,$E59,IF(情景分析!$D$6=4,IF($C59="银行间",$J59,$L59),$G59)))+U$2/100,情景分析!$D$7,"",,,,"",)*IF($H59="",1,$H59))</f>
        <v/>
      </c>
      <c r="V59" s="7" t="str">
        <f>IF($A59="","",[2]!B_CALC_PRICE($A59,$V$1,IF(情景分析!$D$6=1,$J59,IF(情景分析!$D$6=2,$E59,IF(情景分析!$D$6=4,IF($C59="银行间",$J59,$L59),$G59)))+V$2/100,情景分析!$D$7,"",,,,"",)*IF($H59="",1,$H59))</f>
        <v/>
      </c>
      <c r="W59" s="7" t="str">
        <f>IF($A59="","",[2]!B_CALC_PRICE($A59,$V$1,IF(情景分析!$D$6=1,$J59,IF(情景分析!$D$6=2,$E59,IF(情景分析!$D$6=4,IF($C59="银行间",$J59,$L59),$G59)))+W$2/100,情景分析!$D$7,"",,,,"",)*IF($H59="",1,$H59))</f>
        <v/>
      </c>
      <c r="X59" s="7" t="str">
        <f>IF($A59="","",[2]!B_CALC_PRICE($A59,$V$1,IF(情景分析!$D$6=1,$J59,IF(情景分析!$D$6=2,$E59,IF(情景分析!$D$6=4,IF($C59="银行间",$J59,$L59),$G59)))+X$2/100,情景分析!$D$7,"",,,,"",)*IF($H59="",1,$H59))</f>
        <v/>
      </c>
      <c r="Y59" s="7" t="str">
        <f>IF($A59="","",[2]!B_CALC_PRICE($A59,$V$1,IF(情景分析!$D$6=1,$J59,IF(情景分析!$D$6=2,$E59,IF(情景分析!$D$6=4,IF($C59="银行间",$J59,$L59),$G59)))+Y$2/100,情景分析!$D$7,"",,,,"",)*IF($H59="",1,$H59))</f>
        <v/>
      </c>
      <c r="Z59" s="7" t="str">
        <f>IF($A59="","",[2]!B_CALC_PRICE($A59,$V$1,IF(情景分析!$D$6=1,$J59,IF(情景分析!$D$6=2,$E59,IF(情景分析!$D$6=4,IF($C59="银行间",$J59,$L59),$G59)))+Z$2/100,情景分析!$D$7,"",,,,"",)*IF($H59="",1,$H59))</f>
        <v/>
      </c>
      <c r="AA59" s="7" t="str">
        <f>IF($A59="","",[2]!B_CALC_PRICE($A59,$V$1,IF(情景分析!$D$6=1,$J59,IF(情景分析!$D$6=2,$E59,IF(情景分析!$D$6=4,IF($C59="银行间",$J59,$L59),$G59)))+AA$2/100,情景分析!$D$7,"",,,,"",)*IF($H59="",1,$H59))</f>
        <v/>
      </c>
      <c r="AB59" s="7" t="str">
        <f>IF($A59="","",[2]!B_CALC_PRICE($A59,$V$1,IF(情景分析!$D$6=1,$J59,IF(情景分析!$D$6=2,$E59,IF(情景分析!$D$6=4,IF($C59="银行间",$J59,$L59),$G59)))+AB$2/100,情景分析!$D$7,"",,,,"",)*IF($H59="",1,$H59))</f>
        <v/>
      </c>
      <c r="AC59" s="7" t="str">
        <f>IF($A59="","",[2]!B_CALC_PRICE($A59,$AC$1,IF(情景分析!$D$6=1,$J59,IF(情景分析!$D$6=2,$E59,IF(情景分析!$D$6=4,IF($C59="银行间",$J59,$L59),$G59)))+AC$2/100,情景分析!$D$7,"",,,,"",)*IF($H59="",1,$H59))</f>
        <v/>
      </c>
      <c r="AD59" s="7" t="str">
        <f>IF($A59="","",[2]!B_CALC_PRICE($A59,$AC$1,IF(情景分析!$D$6=1,$J59,IF(情景分析!$D$6=2,$E59,IF(情景分析!$D$6=4,IF($C59="银行间",$J59,$L59),$G59)))+AD$2/100,情景分析!$D$7,"",,,,"",)*IF($H59="",1,$H59))</f>
        <v/>
      </c>
      <c r="AE59" s="7" t="str">
        <f>IF($A59="","",[2]!B_CALC_PRICE($A59,$AC$1,IF(情景分析!$D$6=1,$J59,IF(情景分析!$D$6=2,$E59,IF(情景分析!$D$6=4,IF($C59="银行间",$J59,$L59),$G59)))+AE$2/100,情景分析!$D$7,"",,,,"",)*IF($H59="",1,$H59))</f>
        <v/>
      </c>
      <c r="AF59" s="7" t="str">
        <f>IF($A59="","",[2]!B_CALC_PRICE($A59,$AC$1,IF(情景分析!$D$6=1,$J59,IF(情景分析!$D$6=2,$E59,IF(情景分析!$D$6=4,IF($C59="银行间",$J59,$L59),$G59)))+AF$2/100,情景分析!$D$7,"",,,,"",)*IF($H59="",1,$H59))</f>
        <v/>
      </c>
      <c r="AG59" s="7" t="str">
        <f>IF($A59="","",[2]!B_CALC_PRICE($A59,$AC$1,IF(情景分析!$D$6=1,$J59,IF(情景分析!$D$6=2,$E59,IF(情景分析!$D$6=4,IF($C59="银行间",$J59,$L59),$G59)))+AG$2/100,情景分析!$D$7,"",,,,"",)*IF($H59="",1,$H59))</f>
        <v/>
      </c>
      <c r="AH59" s="7" t="str">
        <f>IF($A59="","",[2]!B_CALC_PRICE($A59,$AC$1,IF(情景分析!$D$6=1,$J59,IF(情景分析!$D$6=2,$E59,IF(情景分析!$D$6=4,IF($C59="银行间",$J59,$L59),$G59)))+AH$2/100,情景分析!$D$7,"",,,,"",)*IF($H59="",1,$H59))</f>
        <v/>
      </c>
      <c r="AI59" s="7" t="str">
        <f>IF($A59="","",[2]!B_CALC_PRICE($A59,$AC$1,IF(情景分析!$D$6=1,$J59,IF(情景分析!$D$6=2,$E59,IF(情景分析!$D$6=4,IF($C59="银行间",$J59,$L59),$G59)))+AI$2/100,情景分析!$D$7,"",,,,"",)*IF($H59="",1,$H59))</f>
        <v/>
      </c>
      <c r="AJ59" s="7" t="str">
        <f>IF($A59="","",[2]!B_CALC_PRICE($A59,$AJ$1,IF(情景分析!$D$6=1,$J59,IF(情景分析!$D$6=2,$E59,IF(情景分析!$D$6=4,IF($C59="银行间",$J59,$L59),$G59)))+AJ$2/100,情景分析!$D$7,"",,,,"",)*IF($H59="",1,$H59))</f>
        <v/>
      </c>
      <c r="AK59" s="7" t="str">
        <f>IF($A59="","",[2]!B_CALC_PRICE($A59,$AJ$1,IF(情景分析!$D$6=1,$J59,IF(情景分析!$D$6=2,$E59,IF(情景分析!$D$6=4,IF($C59="银行间",$J59,$L59),$G59)))+AK$2/100,情景分析!$D$7,"",,,,"",)*IF($H59="",1,$H59))</f>
        <v/>
      </c>
      <c r="AL59" s="7" t="str">
        <f>IF($A59="","",[2]!B_CALC_PRICE($A59,$AJ$1,IF(情景分析!$D$6=1,$J59,IF(情景分析!$D$6=2,$E59,IF(情景分析!$D$6=4,IF($C59="银行间",$J59,$L59),$G59)))+AL$2/100,情景分析!$D$7,"",,,,"",)*IF($H59="",1,$H59))</f>
        <v/>
      </c>
      <c r="AM59" s="7" t="str">
        <f>IF($A59="","",[2]!B_CALC_PRICE($A59,$AJ$1,IF(情景分析!$D$6=1,$J59,IF(情景分析!$D$6=2,$E59,IF(情景分析!$D$6=4,IF($C59="银行间",$J59,$L59),$G59)))+AM$2/100,情景分析!$D$7,"",,,,"",)*IF($H59="",1,$H59))</f>
        <v/>
      </c>
      <c r="AN59" s="7" t="str">
        <f>IF($A59="","",[2]!B_CALC_PRICE($A59,$AJ$1,IF(情景分析!$D$6=1,$J59,IF(情景分析!$D$6=2,$E59,IF(情景分析!$D$6=4,IF($C59="银行间",$J59,$L59),$G59)))+AN$2/100,情景分析!$D$7,"",,,,"",)*IF($H59="",1,$H59))</f>
        <v/>
      </c>
      <c r="AO59" s="7" t="str">
        <f>IF($A59="","",[2]!B_CALC_PRICE($A59,$AJ$1,IF(情景分析!$D$6=1,$J59,IF(情景分析!$D$6=2,$E59,IF(情景分析!$D$6=4,IF($C59="银行间",$J59,$L59),$G59)))+AO$2/100,情景分析!$D$7,"",,,,"",)*IF($H59="",1,$H59))</f>
        <v/>
      </c>
      <c r="AP59" s="7" t="str">
        <f>IF($A59="","",[2]!B_CALC_PRICE($A59,$AJ$1,IF(情景分析!$D$6=1,$J59,IF(情景分析!$D$6=2,$E59,IF(情景分析!$D$6=4,IF($C59="银行间",$J59,$L59),$G59)))+AP$2/100,情景分析!$D$7,"",,,,"",)*IF($H59="",1,$H59))</f>
        <v/>
      </c>
      <c r="AQ59" s="7" t="str">
        <f>IF($A59="","",[2]!B_CALC_PRICE($A59,$AQ$1,IF(情景分析!$D$6=1,$J59,IF(情景分析!$D$6=2,$E59,IF(情景分析!$D$6=4,IF($C59="银行间",$J59,$L59),$G59)))+AQ$2/100,情景分析!$D$7,"",,,,"",)*IF($H59="",1,$H59))</f>
        <v/>
      </c>
      <c r="AR59" s="7" t="str">
        <f>IF($A59="","",[2]!B_CALC_PRICE($A59,$AQ$1,IF(情景分析!$D$6=1,$J59,IF(情景分析!$D$6=2,$E59,IF(情景分析!$D$6=4,IF($C59="银行间",$J59,$L59),$G59)))+AR$2/100,情景分析!$D$7,"",,,,"",)*IF($H59="",1,$H59))</f>
        <v/>
      </c>
      <c r="AS59" s="7" t="str">
        <f>IF($A59="","",[2]!B_CALC_PRICE($A59,$AQ$1,IF(情景分析!$D$6=1,$J59,IF(情景分析!$D$6=2,$E59,IF(情景分析!$D$6=4,IF($C59="银行间",$J59,$L59),$G59)))+AS$2/100,情景分析!$D$7,"",,,,"",)*IF($H59="",1,$H59))</f>
        <v/>
      </c>
      <c r="AT59" s="7" t="str">
        <f>IF($A59="","",[2]!B_CALC_PRICE($A59,$AQ$1,IF(情景分析!$D$6=1,$J59,IF(情景分析!$D$6=2,$E59,IF(情景分析!$D$6=4,IF($C59="银行间",$J59,$L59),$G59)))+AT$2/100,情景分析!$D$7,"",,,,"",)*IF($H59="",1,$H59))</f>
        <v/>
      </c>
      <c r="AU59" s="7" t="str">
        <f>IF($A59="","",[2]!B_CALC_PRICE($A59,$AQ$1,IF(情景分析!$D$6=1,$J59,IF(情景分析!$D$6=2,$E59,IF(情景分析!$D$6=4,IF($C59="银行间",$J59,$L59),$G59)))+AU$2/100,情景分析!$D$7,"",,,,"",)*IF($H59="",1,$H59))</f>
        <v/>
      </c>
      <c r="AV59" s="7" t="str">
        <f>IF($A59="","",[2]!B_CALC_PRICE($A59,$AQ$1,IF(情景分析!$D$6=1,$J59,IF(情景分析!$D$6=2,$E59,IF(情景分析!$D$6=4,IF($C59="银行间",$J59,$L59),$G59)))+AV$2/100,情景分析!$D$7,"",,,,"",)*IF($H59="",1,$H59))</f>
        <v/>
      </c>
      <c r="AW59" s="7" t="str">
        <f>IF($A59="","",[2]!B_CALC_PRICE($A59,$AQ$1,IF(情景分析!$D$6=1,$J59,IF(情景分析!$D$6=2,$E59,IF(情景分析!$D$6=4,IF($C59="银行间",$J59,$L59),$G59)))+AW$2/100,情景分析!$D$7,"",,,,"",)*IF($H59="",1,$H59))</f>
        <v/>
      </c>
    </row>
    <row r="60" spans="1:49" x14ac:dyDescent="0.15">
      <c r="A60" s="20"/>
      <c r="B60" s="7" t="str">
        <f>IF(A60="","",[2]!b_info_name(A60))</f>
        <v/>
      </c>
      <c r="C60" s="7" t="str">
        <f>[2]!b_info_listedmkt(A60)</f>
        <v>#N/A</v>
      </c>
      <c r="D60" s="7" t="str">
        <f>IFERROR(IF(A60="","", [2]!b_dq_avgprice(A60, 情景分析!$D$5, 情景分析!$D$7) * IF($H60="",1,$H60)),0)</f>
        <v/>
      </c>
      <c r="E60" s="7" t="str">
        <f>IF(A60="","", N([2]!b_dq_avgprice(A60,情景分析!$D$5,3)))</f>
        <v/>
      </c>
      <c r="F60" s="29" t="str">
        <f>IF($G60 = "",
"",
IFERROR(
[2]!b_calc_pv(A60, 情景分析!$D$5,$G60, "1", 情景分析!$D$7),
[2]!b_calc_pv(A60, 情景分析!$D$5,$G60, "2", 情景分析!$D$7)
)
)</f>
        <v/>
      </c>
      <c r="G60" s="22"/>
      <c r="H60" s="21"/>
      <c r="I60" s="7" t="str">
        <f>IF(A60="","",IF(情景分析!$D$7=1,[2]!b_anal_net_cnbd(A60,情景分析!$D$5,1),[2]!b_anal_dirty_cnbd(A60,情景分析!$D$5,1))*IF($H60="",1,$H60))</f>
        <v/>
      </c>
      <c r="J60" s="7" t="str">
        <f>IF(A60="","",[2]!b_anal_yield_cnbd(A60,情景分析!$D$5,1))</f>
        <v/>
      </c>
      <c r="K60" s="29" t="str">
        <f>IF(A60="","",IF(情景分析!$D$7=1,[2]!b_anal_net_csi1(A60,情景分析!$D$5,1),[2]!b_anal_dirty_csi1(A60,情景分析!$D$5,1))*IF($H60="",1,$H60))</f>
        <v/>
      </c>
      <c r="L60" s="29" t="str">
        <f>IF(A60="","",[2]!b_anal_yield_csi1(A60,情景分析!$D$5,1))</f>
        <v/>
      </c>
      <c r="M60" s="29" t="str">
        <f t="shared" si="6"/>
        <v/>
      </c>
      <c r="N60" s="29" t="str">
        <f t="shared" si="7"/>
        <v/>
      </c>
      <c r="O60" s="7" t="str">
        <f>IF($A60="","",[2]!B_CALC_PRICE($A60,$O$1,IF(情景分析!$D$6=1,$J60,IF(情景分析!$D$6=2,$E60,IF(情景分析!$D$6=4,IF($C60="银行间",$J60,$L60),$G60)))+O$2/100,情景分析!$D$7,"",,,,"",)*IF($H60="",1,$H60))</f>
        <v/>
      </c>
      <c r="P60" s="7" t="str">
        <f>IF($A60="","",[2]!B_CALC_PRICE($A60,$O$1,IF(情景分析!$D$6=1,$J60,IF(情景分析!$D$6=2,$E60,IF(情景分析!$D$6=4,IF($C60="银行间",$J60,$L60),$G60)))+P$2/100,情景分析!$D$7,"",,,,"",)*IF($H60="",1,$H60))</f>
        <v/>
      </c>
      <c r="Q60" s="7" t="str">
        <f>IF($A60="","",[2]!B_CALC_PRICE($A60,$O$1,IF(情景分析!$D$6=1,$J60,IF(情景分析!$D$6=2,$E60,IF(情景分析!$D$6=4,IF($C60="银行间",$J60,$L60),$G60)))+Q$2/100,情景分析!$D$7,"",,,,"",)*IF($H60="",1,$H60))</f>
        <v/>
      </c>
      <c r="R60" s="7" t="str">
        <f>IF($A60="","",[2]!B_CALC_PRICE($A60,$O$1,IF(情景分析!$D$6=1,$J60,IF(情景分析!$D$6=2,$E60,IF(情景分析!$D$6=4,IF($C60="银行间",$J60,$L60),$G60)))+R$2/100,情景分析!$D$7,"",,,,"",)*IF($H60="",1,$H60))</f>
        <v/>
      </c>
      <c r="S60" s="7" t="str">
        <f>IF($A60="","",[2]!B_CALC_PRICE($A60,$O$1,IF(情景分析!$D$6=1,$J60,IF(情景分析!$D$6=2,$E60,IF(情景分析!$D$6=4,IF($C60="银行间",$J60,$L60),$G60)))+S$2/100,情景分析!$D$7,"",,,,"",)*IF($H60="",1,$H60))</f>
        <v/>
      </c>
      <c r="T60" s="7" t="str">
        <f>IF($A60="","",[2]!B_CALC_PRICE($A60,$O$1,IF(情景分析!$D$6=1,$J60,IF(情景分析!$D$6=2,$E60,IF(情景分析!$D$6=4,IF($C60="银行间",$J60,$L60),$G60)))+T$2/100,情景分析!$D$7,"",,,,"",)*IF($H60="",1,$H60))</f>
        <v/>
      </c>
      <c r="U60" s="7" t="str">
        <f>IF($A60="","",[2]!B_CALC_PRICE($A60,$O$1,IF(情景分析!$D$6=1,$J60,IF(情景分析!$D$6=2,$E60,IF(情景分析!$D$6=4,IF($C60="银行间",$J60,$L60),$G60)))+U$2/100,情景分析!$D$7,"",,,,"",)*IF($H60="",1,$H60))</f>
        <v/>
      </c>
      <c r="V60" s="7" t="str">
        <f>IF($A60="","",[2]!B_CALC_PRICE($A60,$V$1,IF(情景分析!$D$6=1,$J60,IF(情景分析!$D$6=2,$E60,IF(情景分析!$D$6=4,IF($C60="银行间",$J60,$L60),$G60)))+V$2/100,情景分析!$D$7,"",,,,"",)*IF($H60="",1,$H60))</f>
        <v/>
      </c>
      <c r="W60" s="7" t="str">
        <f>IF($A60="","",[2]!B_CALC_PRICE($A60,$V$1,IF(情景分析!$D$6=1,$J60,IF(情景分析!$D$6=2,$E60,IF(情景分析!$D$6=4,IF($C60="银行间",$J60,$L60),$G60)))+W$2/100,情景分析!$D$7,"",,,,"",)*IF($H60="",1,$H60))</f>
        <v/>
      </c>
      <c r="X60" s="7" t="str">
        <f>IF($A60="","",[2]!B_CALC_PRICE($A60,$V$1,IF(情景分析!$D$6=1,$J60,IF(情景分析!$D$6=2,$E60,IF(情景分析!$D$6=4,IF($C60="银行间",$J60,$L60),$G60)))+X$2/100,情景分析!$D$7,"",,,,"",)*IF($H60="",1,$H60))</f>
        <v/>
      </c>
      <c r="Y60" s="7" t="str">
        <f>IF($A60="","",[2]!B_CALC_PRICE($A60,$V$1,IF(情景分析!$D$6=1,$J60,IF(情景分析!$D$6=2,$E60,IF(情景分析!$D$6=4,IF($C60="银行间",$J60,$L60),$G60)))+Y$2/100,情景分析!$D$7,"",,,,"",)*IF($H60="",1,$H60))</f>
        <v/>
      </c>
      <c r="Z60" s="7" t="str">
        <f>IF($A60="","",[2]!B_CALC_PRICE($A60,$V$1,IF(情景分析!$D$6=1,$J60,IF(情景分析!$D$6=2,$E60,IF(情景分析!$D$6=4,IF($C60="银行间",$J60,$L60),$G60)))+Z$2/100,情景分析!$D$7,"",,,,"",)*IF($H60="",1,$H60))</f>
        <v/>
      </c>
      <c r="AA60" s="7" t="str">
        <f>IF($A60="","",[2]!B_CALC_PRICE($A60,$V$1,IF(情景分析!$D$6=1,$J60,IF(情景分析!$D$6=2,$E60,IF(情景分析!$D$6=4,IF($C60="银行间",$J60,$L60),$G60)))+AA$2/100,情景分析!$D$7,"",,,,"",)*IF($H60="",1,$H60))</f>
        <v/>
      </c>
      <c r="AB60" s="7" t="str">
        <f>IF($A60="","",[2]!B_CALC_PRICE($A60,$V$1,IF(情景分析!$D$6=1,$J60,IF(情景分析!$D$6=2,$E60,IF(情景分析!$D$6=4,IF($C60="银行间",$J60,$L60),$G60)))+AB$2/100,情景分析!$D$7,"",,,,"",)*IF($H60="",1,$H60))</f>
        <v/>
      </c>
      <c r="AC60" s="7" t="str">
        <f>IF($A60="","",[2]!B_CALC_PRICE($A60,$AC$1,IF(情景分析!$D$6=1,$J60,IF(情景分析!$D$6=2,$E60,IF(情景分析!$D$6=4,IF($C60="银行间",$J60,$L60),$G60)))+AC$2/100,情景分析!$D$7,"",,,,"",)*IF($H60="",1,$H60))</f>
        <v/>
      </c>
      <c r="AD60" s="7" t="str">
        <f>IF($A60="","",[2]!B_CALC_PRICE($A60,$AC$1,IF(情景分析!$D$6=1,$J60,IF(情景分析!$D$6=2,$E60,IF(情景分析!$D$6=4,IF($C60="银行间",$J60,$L60),$G60)))+AD$2/100,情景分析!$D$7,"",,,,"",)*IF($H60="",1,$H60))</f>
        <v/>
      </c>
      <c r="AE60" s="7" t="str">
        <f>IF($A60="","",[2]!B_CALC_PRICE($A60,$AC$1,IF(情景分析!$D$6=1,$J60,IF(情景分析!$D$6=2,$E60,IF(情景分析!$D$6=4,IF($C60="银行间",$J60,$L60),$G60)))+AE$2/100,情景分析!$D$7,"",,,,"",)*IF($H60="",1,$H60))</f>
        <v/>
      </c>
      <c r="AF60" s="7" t="str">
        <f>IF($A60="","",[2]!B_CALC_PRICE($A60,$AC$1,IF(情景分析!$D$6=1,$J60,IF(情景分析!$D$6=2,$E60,IF(情景分析!$D$6=4,IF($C60="银行间",$J60,$L60),$G60)))+AF$2/100,情景分析!$D$7,"",,,,"",)*IF($H60="",1,$H60))</f>
        <v/>
      </c>
      <c r="AG60" s="7" t="str">
        <f>IF($A60="","",[2]!B_CALC_PRICE($A60,$AC$1,IF(情景分析!$D$6=1,$J60,IF(情景分析!$D$6=2,$E60,IF(情景分析!$D$6=4,IF($C60="银行间",$J60,$L60),$G60)))+AG$2/100,情景分析!$D$7,"",,,,"",)*IF($H60="",1,$H60))</f>
        <v/>
      </c>
      <c r="AH60" s="7" t="str">
        <f>IF($A60="","",[2]!B_CALC_PRICE($A60,$AC$1,IF(情景分析!$D$6=1,$J60,IF(情景分析!$D$6=2,$E60,IF(情景分析!$D$6=4,IF($C60="银行间",$J60,$L60),$G60)))+AH$2/100,情景分析!$D$7,"",,,,"",)*IF($H60="",1,$H60))</f>
        <v/>
      </c>
      <c r="AI60" s="7" t="str">
        <f>IF($A60="","",[2]!B_CALC_PRICE($A60,$AC$1,IF(情景分析!$D$6=1,$J60,IF(情景分析!$D$6=2,$E60,IF(情景分析!$D$6=4,IF($C60="银行间",$J60,$L60),$G60)))+AI$2/100,情景分析!$D$7,"",,,,"",)*IF($H60="",1,$H60))</f>
        <v/>
      </c>
      <c r="AJ60" s="7" t="str">
        <f>IF($A60="","",[2]!B_CALC_PRICE($A60,$AJ$1,IF(情景分析!$D$6=1,$J60,IF(情景分析!$D$6=2,$E60,IF(情景分析!$D$6=4,IF($C60="银行间",$J60,$L60),$G60)))+AJ$2/100,情景分析!$D$7,"",,,,"",)*IF($H60="",1,$H60))</f>
        <v/>
      </c>
      <c r="AK60" s="7" t="str">
        <f>IF($A60="","",[2]!B_CALC_PRICE($A60,$AJ$1,IF(情景分析!$D$6=1,$J60,IF(情景分析!$D$6=2,$E60,IF(情景分析!$D$6=4,IF($C60="银行间",$J60,$L60),$G60)))+AK$2/100,情景分析!$D$7,"",,,,"",)*IF($H60="",1,$H60))</f>
        <v/>
      </c>
      <c r="AL60" s="7" t="str">
        <f>IF($A60="","",[2]!B_CALC_PRICE($A60,$AJ$1,IF(情景分析!$D$6=1,$J60,IF(情景分析!$D$6=2,$E60,IF(情景分析!$D$6=4,IF($C60="银行间",$J60,$L60),$G60)))+AL$2/100,情景分析!$D$7,"",,,,"",)*IF($H60="",1,$H60))</f>
        <v/>
      </c>
      <c r="AM60" s="7" t="str">
        <f>IF($A60="","",[2]!B_CALC_PRICE($A60,$AJ$1,IF(情景分析!$D$6=1,$J60,IF(情景分析!$D$6=2,$E60,IF(情景分析!$D$6=4,IF($C60="银行间",$J60,$L60),$G60)))+AM$2/100,情景分析!$D$7,"",,,,"",)*IF($H60="",1,$H60))</f>
        <v/>
      </c>
      <c r="AN60" s="7" t="str">
        <f>IF($A60="","",[2]!B_CALC_PRICE($A60,$AJ$1,IF(情景分析!$D$6=1,$J60,IF(情景分析!$D$6=2,$E60,IF(情景分析!$D$6=4,IF($C60="银行间",$J60,$L60),$G60)))+AN$2/100,情景分析!$D$7,"",,,,"",)*IF($H60="",1,$H60))</f>
        <v/>
      </c>
      <c r="AO60" s="7" t="str">
        <f>IF($A60="","",[2]!B_CALC_PRICE($A60,$AJ$1,IF(情景分析!$D$6=1,$J60,IF(情景分析!$D$6=2,$E60,IF(情景分析!$D$6=4,IF($C60="银行间",$J60,$L60),$G60)))+AO$2/100,情景分析!$D$7,"",,,,"",)*IF($H60="",1,$H60))</f>
        <v/>
      </c>
      <c r="AP60" s="7" t="str">
        <f>IF($A60="","",[2]!B_CALC_PRICE($A60,$AJ$1,IF(情景分析!$D$6=1,$J60,IF(情景分析!$D$6=2,$E60,IF(情景分析!$D$6=4,IF($C60="银行间",$J60,$L60),$G60)))+AP$2/100,情景分析!$D$7,"",,,,"",)*IF($H60="",1,$H60))</f>
        <v/>
      </c>
      <c r="AQ60" s="7" t="str">
        <f>IF($A60="","",[2]!B_CALC_PRICE($A60,$AQ$1,IF(情景分析!$D$6=1,$J60,IF(情景分析!$D$6=2,$E60,IF(情景分析!$D$6=4,IF($C60="银行间",$J60,$L60),$G60)))+AQ$2/100,情景分析!$D$7,"",,,,"",)*IF($H60="",1,$H60))</f>
        <v/>
      </c>
      <c r="AR60" s="7" t="str">
        <f>IF($A60="","",[2]!B_CALC_PRICE($A60,$AQ$1,IF(情景分析!$D$6=1,$J60,IF(情景分析!$D$6=2,$E60,IF(情景分析!$D$6=4,IF($C60="银行间",$J60,$L60),$G60)))+AR$2/100,情景分析!$D$7,"",,,,"",)*IF($H60="",1,$H60))</f>
        <v/>
      </c>
      <c r="AS60" s="7" t="str">
        <f>IF($A60="","",[2]!B_CALC_PRICE($A60,$AQ$1,IF(情景分析!$D$6=1,$J60,IF(情景分析!$D$6=2,$E60,IF(情景分析!$D$6=4,IF($C60="银行间",$J60,$L60),$G60)))+AS$2/100,情景分析!$D$7,"",,,,"",)*IF($H60="",1,$H60))</f>
        <v/>
      </c>
      <c r="AT60" s="7" t="str">
        <f>IF($A60="","",[2]!B_CALC_PRICE($A60,$AQ$1,IF(情景分析!$D$6=1,$J60,IF(情景分析!$D$6=2,$E60,IF(情景分析!$D$6=4,IF($C60="银行间",$J60,$L60),$G60)))+AT$2/100,情景分析!$D$7,"",,,,"",)*IF($H60="",1,$H60))</f>
        <v/>
      </c>
      <c r="AU60" s="7" t="str">
        <f>IF($A60="","",[2]!B_CALC_PRICE($A60,$AQ$1,IF(情景分析!$D$6=1,$J60,IF(情景分析!$D$6=2,$E60,IF(情景分析!$D$6=4,IF($C60="银行间",$J60,$L60),$G60)))+AU$2/100,情景分析!$D$7,"",,,,"",)*IF($H60="",1,$H60))</f>
        <v/>
      </c>
      <c r="AV60" s="7" t="str">
        <f>IF($A60="","",[2]!B_CALC_PRICE($A60,$AQ$1,IF(情景分析!$D$6=1,$J60,IF(情景分析!$D$6=2,$E60,IF(情景分析!$D$6=4,IF($C60="银行间",$J60,$L60),$G60)))+AV$2/100,情景分析!$D$7,"",,,,"",)*IF($H60="",1,$H60))</f>
        <v/>
      </c>
      <c r="AW60" s="7" t="str">
        <f>IF($A60="","",[2]!B_CALC_PRICE($A60,$AQ$1,IF(情景分析!$D$6=1,$J60,IF(情景分析!$D$6=2,$E60,IF(情景分析!$D$6=4,IF($C60="银行间",$J60,$L60),$G60)))+AW$2/100,情景分析!$D$7,"",,,,"",)*IF($H60="",1,$H60))</f>
        <v/>
      </c>
    </row>
    <row r="61" spans="1:49" x14ac:dyDescent="0.15">
      <c r="A61" s="20"/>
      <c r="B61" s="7" t="str">
        <f>IF(A61="","",[2]!b_info_name(A61))</f>
        <v/>
      </c>
      <c r="C61" s="7" t="str">
        <f>[2]!b_info_listedmkt(A61)</f>
        <v>#N/A</v>
      </c>
      <c r="D61" s="7" t="str">
        <f>IFERROR(IF(A61="","", [2]!b_dq_avgprice(A61, 情景分析!$D$5, 情景分析!$D$7) * IF($H61="",1,$H61)),0)</f>
        <v/>
      </c>
      <c r="E61" s="7" t="str">
        <f>IF(A61="","", N([2]!b_dq_avgprice(A61,情景分析!$D$5,3)))</f>
        <v/>
      </c>
      <c r="F61" s="29" t="str">
        <f>IF($G61 = "",
"",
IFERROR(
[2]!b_calc_pv(A61, 情景分析!$D$5,$G61, "1", 情景分析!$D$7),
[2]!b_calc_pv(A61, 情景分析!$D$5,$G61, "2", 情景分析!$D$7)
)
)</f>
        <v/>
      </c>
      <c r="G61" s="22"/>
      <c r="H61" s="21"/>
      <c r="I61" s="7" t="str">
        <f>IF(A61="","",IF(情景分析!$D$7=1,[2]!b_anal_net_cnbd(A61,情景分析!$D$5,1),[2]!b_anal_dirty_cnbd(A61,情景分析!$D$5,1))*IF($H61="",1,$H61))</f>
        <v/>
      </c>
      <c r="J61" s="7" t="str">
        <f>IF(A61="","",[2]!b_anal_yield_cnbd(A61,情景分析!$D$5,1))</f>
        <v/>
      </c>
      <c r="K61" s="29" t="str">
        <f>IF(A61="","",IF(情景分析!$D$7=1,[2]!b_anal_net_csi1(A61,情景分析!$D$5,1),[2]!b_anal_dirty_csi1(A61,情景分析!$D$5,1))*IF($H61="",1,$H61))</f>
        <v/>
      </c>
      <c r="L61" s="29" t="str">
        <f>IF(A61="","",[2]!b_anal_yield_csi1(A61,情景分析!$D$5,1))</f>
        <v/>
      </c>
      <c r="M61" s="29" t="str">
        <f t="shared" si="6"/>
        <v/>
      </c>
      <c r="N61" s="29" t="str">
        <f t="shared" si="7"/>
        <v/>
      </c>
      <c r="O61" s="7" t="str">
        <f>IF($A61="","",[2]!B_CALC_PRICE($A61,$O$1,IF(情景分析!$D$6=1,$J61,IF(情景分析!$D$6=2,$E61,IF(情景分析!$D$6=4,IF($C61="银行间",$J61,$L61),$G61)))+O$2/100,情景分析!$D$7,"",,,,"",)*IF($H61="",1,$H61))</f>
        <v/>
      </c>
      <c r="P61" s="7" t="str">
        <f>IF($A61="","",[2]!B_CALC_PRICE($A61,$O$1,IF(情景分析!$D$6=1,$J61,IF(情景分析!$D$6=2,$E61,IF(情景分析!$D$6=4,IF($C61="银行间",$J61,$L61),$G61)))+P$2/100,情景分析!$D$7,"",,,,"",)*IF($H61="",1,$H61))</f>
        <v/>
      </c>
      <c r="Q61" s="7" t="str">
        <f>IF($A61="","",[2]!B_CALC_PRICE($A61,$O$1,IF(情景分析!$D$6=1,$J61,IF(情景分析!$D$6=2,$E61,IF(情景分析!$D$6=4,IF($C61="银行间",$J61,$L61),$G61)))+Q$2/100,情景分析!$D$7,"",,,,"",)*IF($H61="",1,$H61))</f>
        <v/>
      </c>
      <c r="R61" s="7" t="str">
        <f>IF($A61="","",[2]!B_CALC_PRICE($A61,$O$1,IF(情景分析!$D$6=1,$J61,IF(情景分析!$D$6=2,$E61,IF(情景分析!$D$6=4,IF($C61="银行间",$J61,$L61),$G61)))+R$2/100,情景分析!$D$7,"",,,,"",)*IF($H61="",1,$H61))</f>
        <v/>
      </c>
      <c r="S61" s="7" t="str">
        <f>IF($A61="","",[2]!B_CALC_PRICE($A61,$O$1,IF(情景分析!$D$6=1,$J61,IF(情景分析!$D$6=2,$E61,IF(情景分析!$D$6=4,IF($C61="银行间",$J61,$L61),$G61)))+S$2/100,情景分析!$D$7,"",,,,"",)*IF($H61="",1,$H61))</f>
        <v/>
      </c>
      <c r="T61" s="7" t="str">
        <f>IF($A61="","",[2]!B_CALC_PRICE($A61,$O$1,IF(情景分析!$D$6=1,$J61,IF(情景分析!$D$6=2,$E61,IF(情景分析!$D$6=4,IF($C61="银行间",$J61,$L61),$G61)))+T$2/100,情景分析!$D$7,"",,,,"",)*IF($H61="",1,$H61))</f>
        <v/>
      </c>
      <c r="U61" s="7" t="str">
        <f>IF($A61="","",[2]!B_CALC_PRICE($A61,$O$1,IF(情景分析!$D$6=1,$J61,IF(情景分析!$D$6=2,$E61,IF(情景分析!$D$6=4,IF($C61="银行间",$J61,$L61),$G61)))+U$2/100,情景分析!$D$7,"",,,,"",)*IF($H61="",1,$H61))</f>
        <v/>
      </c>
      <c r="V61" s="7" t="str">
        <f>IF($A61="","",[2]!B_CALC_PRICE($A61,$V$1,IF(情景分析!$D$6=1,$J61,IF(情景分析!$D$6=2,$E61,IF(情景分析!$D$6=4,IF($C61="银行间",$J61,$L61),$G61)))+V$2/100,情景分析!$D$7,"",,,,"",)*IF($H61="",1,$H61))</f>
        <v/>
      </c>
      <c r="W61" s="7" t="str">
        <f>IF($A61="","",[2]!B_CALC_PRICE($A61,$V$1,IF(情景分析!$D$6=1,$J61,IF(情景分析!$D$6=2,$E61,IF(情景分析!$D$6=4,IF($C61="银行间",$J61,$L61),$G61)))+W$2/100,情景分析!$D$7,"",,,,"",)*IF($H61="",1,$H61))</f>
        <v/>
      </c>
      <c r="X61" s="7" t="str">
        <f>IF($A61="","",[2]!B_CALC_PRICE($A61,$V$1,IF(情景分析!$D$6=1,$J61,IF(情景分析!$D$6=2,$E61,IF(情景分析!$D$6=4,IF($C61="银行间",$J61,$L61),$G61)))+X$2/100,情景分析!$D$7,"",,,,"",)*IF($H61="",1,$H61))</f>
        <v/>
      </c>
      <c r="Y61" s="7" t="str">
        <f>IF($A61="","",[2]!B_CALC_PRICE($A61,$V$1,IF(情景分析!$D$6=1,$J61,IF(情景分析!$D$6=2,$E61,IF(情景分析!$D$6=4,IF($C61="银行间",$J61,$L61),$G61)))+Y$2/100,情景分析!$D$7,"",,,,"",)*IF($H61="",1,$H61))</f>
        <v/>
      </c>
      <c r="Z61" s="7" t="str">
        <f>IF($A61="","",[2]!B_CALC_PRICE($A61,$V$1,IF(情景分析!$D$6=1,$J61,IF(情景分析!$D$6=2,$E61,IF(情景分析!$D$6=4,IF($C61="银行间",$J61,$L61),$G61)))+Z$2/100,情景分析!$D$7,"",,,,"",)*IF($H61="",1,$H61))</f>
        <v/>
      </c>
      <c r="AA61" s="7" t="str">
        <f>IF($A61="","",[2]!B_CALC_PRICE($A61,$V$1,IF(情景分析!$D$6=1,$J61,IF(情景分析!$D$6=2,$E61,IF(情景分析!$D$6=4,IF($C61="银行间",$J61,$L61),$G61)))+AA$2/100,情景分析!$D$7,"",,,,"",)*IF($H61="",1,$H61))</f>
        <v/>
      </c>
      <c r="AB61" s="7" t="str">
        <f>IF($A61="","",[2]!B_CALC_PRICE($A61,$V$1,IF(情景分析!$D$6=1,$J61,IF(情景分析!$D$6=2,$E61,IF(情景分析!$D$6=4,IF($C61="银行间",$J61,$L61),$G61)))+AB$2/100,情景分析!$D$7,"",,,,"",)*IF($H61="",1,$H61))</f>
        <v/>
      </c>
      <c r="AC61" s="7" t="str">
        <f>IF($A61="","",[2]!B_CALC_PRICE($A61,$AC$1,IF(情景分析!$D$6=1,$J61,IF(情景分析!$D$6=2,$E61,IF(情景分析!$D$6=4,IF($C61="银行间",$J61,$L61),$G61)))+AC$2/100,情景分析!$D$7,"",,,,"",)*IF($H61="",1,$H61))</f>
        <v/>
      </c>
      <c r="AD61" s="7" t="str">
        <f>IF($A61="","",[2]!B_CALC_PRICE($A61,$AC$1,IF(情景分析!$D$6=1,$J61,IF(情景分析!$D$6=2,$E61,IF(情景分析!$D$6=4,IF($C61="银行间",$J61,$L61),$G61)))+AD$2/100,情景分析!$D$7,"",,,,"",)*IF($H61="",1,$H61))</f>
        <v/>
      </c>
      <c r="AE61" s="7" t="str">
        <f>IF($A61="","",[2]!B_CALC_PRICE($A61,$AC$1,IF(情景分析!$D$6=1,$J61,IF(情景分析!$D$6=2,$E61,IF(情景分析!$D$6=4,IF($C61="银行间",$J61,$L61),$G61)))+AE$2/100,情景分析!$D$7,"",,,,"",)*IF($H61="",1,$H61))</f>
        <v/>
      </c>
      <c r="AF61" s="7" t="str">
        <f>IF($A61="","",[2]!B_CALC_PRICE($A61,$AC$1,IF(情景分析!$D$6=1,$J61,IF(情景分析!$D$6=2,$E61,IF(情景分析!$D$6=4,IF($C61="银行间",$J61,$L61),$G61)))+AF$2/100,情景分析!$D$7,"",,,,"",)*IF($H61="",1,$H61))</f>
        <v/>
      </c>
      <c r="AG61" s="7" t="str">
        <f>IF($A61="","",[2]!B_CALC_PRICE($A61,$AC$1,IF(情景分析!$D$6=1,$J61,IF(情景分析!$D$6=2,$E61,IF(情景分析!$D$6=4,IF($C61="银行间",$J61,$L61),$G61)))+AG$2/100,情景分析!$D$7,"",,,,"",)*IF($H61="",1,$H61))</f>
        <v/>
      </c>
      <c r="AH61" s="7" t="str">
        <f>IF($A61="","",[2]!B_CALC_PRICE($A61,$AC$1,IF(情景分析!$D$6=1,$J61,IF(情景分析!$D$6=2,$E61,IF(情景分析!$D$6=4,IF($C61="银行间",$J61,$L61),$G61)))+AH$2/100,情景分析!$D$7,"",,,,"",)*IF($H61="",1,$H61))</f>
        <v/>
      </c>
      <c r="AI61" s="7" t="str">
        <f>IF($A61="","",[2]!B_CALC_PRICE($A61,$AC$1,IF(情景分析!$D$6=1,$J61,IF(情景分析!$D$6=2,$E61,IF(情景分析!$D$6=4,IF($C61="银行间",$J61,$L61),$G61)))+AI$2/100,情景分析!$D$7,"",,,,"",)*IF($H61="",1,$H61))</f>
        <v/>
      </c>
      <c r="AJ61" s="7" t="str">
        <f>IF($A61="","",[2]!B_CALC_PRICE($A61,$AJ$1,IF(情景分析!$D$6=1,$J61,IF(情景分析!$D$6=2,$E61,IF(情景分析!$D$6=4,IF($C61="银行间",$J61,$L61),$G61)))+AJ$2/100,情景分析!$D$7,"",,,,"",)*IF($H61="",1,$H61))</f>
        <v/>
      </c>
      <c r="AK61" s="7" t="str">
        <f>IF($A61="","",[2]!B_CALC_PRICE($A61,$AJ$1,IF(情景分析!$D$6=1,$J61,IF(情景分析!$D$6=2,$E61,IF(情景分析!$D$6=4,IF($C61="银行间",$J61,$L61),$G61)))+AK$2/100,情景分析!$D$7,"",,,,"",)*IF($H61="",1,$H61))</f>
        <v/>
      </c>
      <c r="AL61" s="7" t="str">
        <f>IF($A61="","",[2]!B_CALC_PRICE($A61,$AJ$1,IF(情景分析!$D$6=1,$J61,IF(情景分析!$D$6=2,$E61,IF(情景分析!$D$6=4,IF($C61="银行间",$J61,$L61),$G61)))+AL$2/100,情景分析!$D$7,"",,,,"",)*IF($H61="",1,$H61))</f>
        <v/>
      </c>
      <c r="AM61" s="7" t="str">
        <f>IF($A61="","",[2]!B_CALC_PRICE($A61,$AJ$1,IF(情景分析!$D$6=1,$J61,IF(情景分析!$D$6=2,$E61,IF(情景分析!$D$6=4,IF($C61="银行间",$J61,$L61),$G61)))+AM$2/100,情景分析!$D$7,"",,,,"",)*IF($H61="",1,$H61))</f>
        <v/>
      </c>
      <c r="AN61" s="7" t="str">
        <f>IF($A61="","",[2]!B_CALC_PRICE($A61,$AJ$1,IF(情景分析!$D$6=1,$J61,IF(情景分析!$D$6=2,$E61,IF(情景分析!$D$6=4,IF($C61="银行间",$J61,$L61),$G61)))+AN$2/100,情景分析!$D$7,"",,,,"",)*IF($H61="",1,$H61))</f>
        <v/>
      </c>
      <c r="AO61" s="7" t="str">
        <f>IF($A61="","",[2]!B_CALC_PRICE($A61,$AJ$1,IF(情景分析!$D$6=1,$J61,IF(情景分析!$D$6=2,$E61,IF(情景分析!$D$6=4,IF($C61="银行间",$J61,$L61),$G61)))+AO$2/100,情景分析!$D$7,"",,,,"",)*IF($H61="",1,$H61))</f>
        <v/>
      </c>
      <c r="AP61" s="7" t="str">
        <f>IF($A61="","",[2]!B_CALC_PRICE($A61,$AJ$1,IF(情景分析!$D$6=1,$J61,IF(情景分析!$D$6=2,$E61,IF(情景分析!$D$6=4,IF($C61="银行间",$J61,$L61),$G61)))+AP$2/100,情景分析!$D$7,"",,,,"",)*IF($H61="",1,$H61))</f>
        <v/>
      </c>
      <c r="AQ61" s="7" t="str">
        <f>IF($A61="","",[2]!B_CALC_PRICE($A61,$AQ$1,IF(情景分析!$D$6=1,$J61,IF(情景分析!$D$6=2,$E61,IF(情景分析!$D$6=4,IF($C61="银行间",$J61,$L61),$G61)))+AQ$2/100,情景分析!$D$7,"",,,,"",)*IF($H61="",1,$H61))</f>
        <v/>
      </c>
      <c r="AR61" s="7" t="str">
        <f>IF($A61="","",[2]!B_CALC_PRICE($A61,$AQ$1,IF(情景分析!$D$6=1,$J61,IF(情景分析!$D$6=2,$E61,IF(情景分析!$D$6=4,IF($C61="银行间",$J61,$L61),$G61)))+AR$2/100,情景分析!$D$7,"",,,,"",)*IF($H61="",1,$H61))</f>
        <v/>
      </c>
      <c r="AS61" s="7" t="str">
        <f>IF($A61="","",[2]!B_CALC_PRICE($A61,$AQ$1,IF(情景分析!$D$6=1,$J61,IF(情景分析!$D$6=2,$E61,IF(情景分析!$D$6=4,IF($C61="银行间",$J61,$L61),$G61)))+AS$2/100,情景分析!$D$7,"",,,,"",)*IF($H61="",1,$H61))</f>
        <v/>
      </c>
      <c r="AT61" s="7" t="str">
        <f>IF($A61="","",[2]!B_CALC_PRICE($A61,$AQ$1,IF(情景分析!$D$6=1,$J61,IF(情景分析!$D$6=2,$E61,IF(情景分析!$D$6=4,IF($C61="银行间",$J61,$L61),$G61)))+AT$2/100,情景分析!$D$7,"",,,,"",)*IF($H61="",1,$H61))</f>
        <v/>
      </c>
      <c r="AU61" s="7" t="str">
        <f>IF($A61="","",[2]!B_CALC_PRICE($A61,$AQ$1,IF(情景分析!$D$6=1,$J61,IF(情景分析!$D$6=2,$E61,IF(情景分析!$D$6=4,IF($C61="银行间",$J61,$L61),$G61)))+AU$2/100,情景分析!$D$7,"",,,,"",)*IF($H61="",1,$H61))</f>
        <v/>
      </c>
      <c r="AV61" s="7" t="str">
        <f>IF($A61="","",[2]!B_CALC_PRICE($A61,$AQ$1,IF(情景分析!$D$6=1,$J61,IF(情景分析!$D$6=2,$E61,IF(情景分析!$D$6=4,IF($C61="银行间",$J61,$L61),$G61)))+AV$2/100,情景分析!$D$7,"",,,,"",)*IF($H61="",1,$H61))</f>
        <v/>
      </c>
      <c r="AW61" s="7" t="str">
        <f>IF($A61="","",[2]!B_CALC_PRICE($A61,$AQ$1,IF(情景分析!$D$6=1,$J61,IF(情景分析!$D$6=2,$E61,IF(情景分析!$D$6=4,IF($C61="银行间",$J61,$L61),$G61)))+AW$2/100,情景分析!$D$7,"",,,,"",)*IF($H61="",1,$H61))</f>
        <v/>
      </c>
    </row>
    <row r="62" spans="1:49" x14ac:dyDescent="0.15">
      <c r="A62" s="20"/>
      <c r="B62" s="7" t="str">
        <f>IF(A62="","",[2]!b_info_name(A62))</f>
        <v/>
      </c>
      <c r="C62" s="7" t="str">
        <f>[2]!b_info_listedmkt(A62)</f>
        <v>#N/A</v>
      </c>
      <c r="D62" s="7" t="str">
        <f>IFERROR(IF(A62="","", [2]!b_dq_avgprice(A62, 情景分析!$D$5, 情景分析!$D$7) * IF($H62="",1,$H62)),0)</f>
        <v/>
      </c>
      <c r="E62" s="7" t="str">
        <f>IF(A62="","", N([2]!b_dq_avgprice(A62,情景分析!$D$5,3)))</f>
        <v/>
      </c>
      <c r="F62" s="29" t="str">
        <f>IF($G62 = "",
"",
IFERROR(
[2]!b_calc_pv(A62, 情景分析!$D$5,$G62, "1", 情景分析!$D$7),
[2]!b_calc_pv(A62, 情景分析!$D$5,$G62, "2", 情景分析!$D$7)
)
)</f>
        <v/>
      </c>
      <c r="G62" s="22"/>
      <c r="H62" s="21"/>
      <c r="I62" s="7" t="str">
        <f>IF(A62="","",IF(情景分析!$D$7=1,[2]!b_anal_net_cnbd(A62,情景分析!$D$5,1),[2]!b_anal_dirty_cnbd(A62,情景分析!$D$5,1))*IF($H62="",1,$H62))</f>
        <v/>
      </c>
      <c r="J62" s="7" t="str">
        <f>IF(A62="","",[2]!b_anal_yield_cnbd(A62,情景分析!$D$5,1))</f>
        <v/>
      </c>
      <c r="K62" s="29" t="str">
        <f>IF(A62="","",IF(情景分析!$D$7=1,[2]!b_anal_net_csi1(A62,情景分析!$D$5,1),[2]!b_anal_dirty_csi1(A62,情景分析!$D$5,1))*IF($H62="",1,$H62))</f>
        <v/>
      </c>
      <c r="L62" s="29" t="str">
        <f>IF(A62="","",[2]!b_anal_yield_csi1(A62,情景分析!$D$5,1))</f>
        <v/>
      </c>
      <c r="M62" s="29" t="str">
        <f t="shared" si="6"/>
        <v/>
      </c>
      <c r="N62" s="29" t="str">
        <f t="shared" si="7"/>
        <v/>
      </c>
      <c r="O62" s="7" t="str">
        <f>IF($A62="","",[2]!B_CALC_PRICE($A62,$O$1,IF(情景分析!$D$6=1,$J62,IF(情景分析!$D$6=2,$E62,IF(情景分析!$D$6=4,IF($C62="银行间",$J62,$L62),$G62)))+O$2/100,情景分析!$D$7,"",,,,"",)*IF($H62="",1,$H62))</f>
        <v/>
      </c>
      <c r="P62" s="7" t="str">
        <f>IF($A62="","",[2]!B_CALC_PRICE($A62,$O$1,IF(情景分析!$D$6=1,$J62,IF(情景分析!$D$6=2,$E62,IF(情景分析!$D$6=4,IF($C62="银行间",$J62,$L62),$G62)))+P$2/100,情景分析!$D$7,"",,,,"",)*IF($H62="",1,$H62))</f>
        <v/>
      </c>
      <c r="Q62" s="7" t="str">
        <f>IF($A62="","",[2]!B_CALC_PRICE($A62,$O$1,IF(情景分析!$D$6=1,$J62,IF(情景分析!$D$6=2,$E62,IF(情景分析!$D$6=4,IF($C62="银行间",$J62,$L62),$G62)))+Q$2/100,情景分析!$D$7,"",,,,"",)*IF($H62="",1,$H62))</f>
        <v/>
      </c>
      <c r="R62" s="7" t="str">
        <f>IF($A62="","",[2]!B_CALC_PRICE($A62,$O$1,IF(情景分析!$D$6=1,$J62,IF(情景分析!$D$6=2,$E62,IF(情景分析!$D$6=4,IF($C62="银行间",$J62,$L62),$G62)))+R$2/100,情景分析!$D$7,"",,,,"",)*IF($H62="",1,$H62))</f>
        <v/>
      </c>
      <c r="S62" s="7" t="str">
        <f>IF($A62="","",[2]!B_CALC_PRICE($A62,$O$1,IF(情景分析!$D$6=1,$J62,IF(情景分析!$D$6=2,$E62,IF(情景分析!$D$6=4,IF($C62="银行间",$J62,$L62),$G62)))+S$2/100,情景分析!$D$7,"",,,,"",)*IF($H62="",1,$H62))</f>
        <v/>
      </c>
      <c r="T62" s="7" t="str">
        <f>IF($A62="","",[2]!B_CALC_PRICE($A62,$O$1,IF(情景分析!$D$6=1,$J62,IF(情景分析!$D$6=2,$E62,IF(情景分析!$D$6=4,IF($C62="银行间",$J62,$L62),$G62)))+T$2/100,情景分析!$D$7,"",,,,"",)*IF($H62="",1,$H62))</f>
        <v/>
      </c>
      <c r="U62" s="7" t="str">
        <f>IF($A62="","",[2]!B_CALC_PRICE($A62,$O$1,IF(情景分析!$D$6=1,$J62,IF(情景分析!$D$6=2,$E62,IF(情景分析!$D$6=4,IF($C62="银行间",$J62,$L62),$G62)))+U$2/100,情景分析!$D$7,"",,,,"",)*IF($H62="",1,$H62))</f>
        <v/>
      </c>
      <c r="V62" s="7" t="str">
        <f>IF($A62="","",[2]!B_CALC_PRICE($A62,$V$1,IF(情景分析!$D$6=1,$J62,IF(情景分析!$D$6=2,$E62,IF(情景分析!$D$6=4,IF($C62="银行间",$J62,$L62),$G62)))+V$2/100,情景分析!$D$7,"",,,,"",)*IF($H62="",1,$H62))</f>
        <v/>
      </c>
      <c r="W62" s="7" t="str">
        <f>IF($A62="","",[2]!B_CALC_PRICE($A62,$V$1,IF(情景分析!$D$6=1,$J62,IF(情景分析!$D$6=2,$E62,IF(情景分析!$D$6=4,IF($C62="银行间",$J62,$L62),$G62)))+W$2/100,情景分析!$D$7,"",,,,"",)*IF($H62="",1,$H62))</f>
        <v/>
      </c>
      <c r="X62" s="7" t="str">
        <f>IF($A62="","",[2]!B_CALC_PRICE($A62,$V$1,IF(情景分析!$D$6=1,$J62,IF(情景分析!$D$6=2,$E62,IF(情景分析!$D$6=4,IF($C62="银行间",$J62,$L62),$G62)))+X$2/100,情景分析!$D$7,"",,,,"",)*IF($H62="",1,$H62))</f>
        <v/>
      </c>
      <c r="Y62" s="7" t="str">
        <f>IF($A62="","",[2]!B_CALC_PRICE($A62,$V$1,IF(情景分析!$D$6=1,$J62,IF(情景分析!$D$6=2,$E62,IF(情景分析!$D$6=4,IF($C62="银行间",$J62,$L62),$G62)))+Y$2/100,情景分析!$D$7,"",,,,"",)*IF($H62="",1,$H62))</f>
        <v/>
      </c>
      <c r="Z62" s="7" t="str">
        <f>IF($A62="","",[2]!B_CALC_PRICE($A62,$V$1,IF(情景分析!$D$6=1,$J62,IF(情景分析!$D$6=2,$E62,IF(情景分析!$D$6=4,IF($C62="银行间",$J62,$L62),$G62)))+Z$2/100,情景分析!$D$7,"",,,,"",)*IF($H62="",1,$H62))</f>
        <v/>
      </c>
      <c r="AA62" s="7" t="str">
        <f>IF($A62="","",[2]!B_CALC_PRICE($A62,$V$1,IF(情景分析!$D$6=1,$J62,IF(情景分析!$D$6=2,$E62,IF(情景分析!$D$6=4,IF($C62="银行间",$J62,$L62),$G62)))+AA$2/100,情景分析!$D$7,"",,,,"",)*IF($H62="",1,$H62))</f>
        <v/>
      </c>
      <c r="AB62" s="7" t="str">
        <f>IF($A62="","",[2]!B_CALC_PRICE($A62,$V$1,IF(情景分析!$D$6=1,$J62,IF(情景分析!$D$6=2,$E62,IF(情景分析!$D$6=4,IF($C62="银行间",$J62,$L62),$G62)))+AB$2/100,情景分析!$D$7,"",,,,"",)*IF($H62="",1,$H62))</f>
        <v/>
      </c>
      <c r="AC62" s="7" t="str">
        <f>IF($A62="","",[2]!B_CALC_PRICE($A62,$AC$1,IF(情景分析!$D$6=1,$J62,IF(情景分析!$D$6=2,$E62,IF(情景分析!$D$6=4,IF($C62="银行间",$J62,$L62),$G62)))+AC$2/100,情景分析!$D$7,"",,,,"",)*IF($H62="",1,$H62))</f>
        <v/>
      </c>
      <c r="AD62" s="7" t="str">
        <f>IF($A62="","",[2]!B_CALC_PRICE($A62,$AC$1,IF(情景分析!$D$6=1,$J62,IF(情景分析!$D$6=2,$E62,IF(情景分析!$D$6=4,IF($C62="银行间",$J62,$L62),$G62)))+AD$2/100,情景分析!$D$7,"",,,,"",)*IF($H62="",1,$H62))</f>
        <v/>
      </c>
      <c r="AE62" s="7" t="str">
        <f>IF($A62="","",[2]!B_CALC_PRICE($A62,$AC$1,IF(情景分析!$D$6=1,$J62,IF(情景分析!$D$6=2,$E62,IF(情景分析!$D$6=4,IF($C62="银行间",$J62,$L62),$G62)))+AE$2/100,情景分析!$D$7,"",,,,"",)*IF($H62="",1,$H62))</f>
        <v/>
      </c>
      <c r="AF62" s="7" t="str">
        <f>IF($A62="","",[2]!B_CALC_PRICE($A62,$AC$1,IF(情景分析!$D$6=1,$J62,IF(情景分析!$D$6=2,$E62,IF(情景分析!$D$6=4,IF($C62="银行间",$J62,$L62),$G62)))+AF$2/100,情景分析!$D$7,"",,,,"",)*IF($H62="",1,$H62))</f>
        <v/>
      </c>
      <c r="AG62" s="7" t="str">
        <f>IF($A62="","",[2]!B_CALC_PRICE($A62,$AC$1,IF(情景分析!$D$6=1,$J62,IF(情景分析!$D$6=2,$E62,IF(情景分析!$D$6=4,IF($C62="银行间",$J62,$L62),$G62)))+AG$2/100,情景分析!$D$7,"",,,,"",)*IF($H62="",1,$H62))</f>
        <v/>
      </c>
      <c r="AH62" s="7" t="str">
        <f>IF($A62="","",[2]!B_CALC_PRICE($A62,$AC$1,IF(情景分析!$D$6=1,$J62,IF(情景分析!$D$6=2,$E62,IF(情景分析!$D$6=4,IF($C62="银行间",$J62,$L62),$G62)))+AH$2/100,情景分析!$D$7,"",,,,"",)*IF($H62="",1,$H62))</f>
        <v/>
      </c>
      <c r="AI62" s="7" t="str">
        <f>IF($A62="","",[2]!B_CALC_PRICE($A62,$AC$1,IF(情景分析!$D$6=1,$J62,IF(情景分析!$D$6=2,$E62,IF(情景分析!$D$6=4,IF($C62="银行间",$J62,$L62),$G62)))+AI$2/100,情景分析!$D$7,"",,,,"",)*IF($H62="",1,$H62))</f>
        <v/>
      </c>
      <c r="AJ62" s="7" t="str">
        <f>IF($A62="","",[2]!B_CALC_PRICE($A62,$AJ$1,IF(情景分析!$D$6=1,$J62,IF(情景分析!$D$6=2,$E62,IF(情景分析!$D$6=4,IF($C62="银行间",$J62,$L62),$G62)))+AJ$2/100,情景分析!$D$7,"",,,,"",)*IF($H62="",1,$H62))</f>
        <v/>
      </c>
      <c r="AK62" s="7" t="str">
        <f>IF($A62="","",[2]!B_CALC_PRICE($A62,$AJ$1,IF(情景分析!$D$6=1,$J62,IF(情景分析!$D$6=2,$E62,IF(情景分析!$D$6=4,IF($C62="银行间",$J62,$L62),$G62)))+AK$2/100,情景分析!$D$7,"",,,,"",)*IF($H62="",1,$H62))</f>
        <v/>
      </c>
      <c r="AL62" s="7" t="str">
        <f>IF($A62="","",[2]!B_CALC_PRICE($A62,$AJ$1,IF(情景分析!$D$6=1,$J62,IF(情景分析!$D$6=2,$E62,IF(情景分析!$D$6=4,IF($C62="银行间",$J62,$L62),$G62)))+AL$2/100,情景分析!$D$7,"",,,,"",)*IF($H62="",1,$H62))</f>
        <v/>
      </c>
      <c r="AM62" s="7" t="str">
        <f>IF($A62="","",[2]!B_CALC_PRICE($A62,$AJ$1,IF(情景分析!$D$6=1,$J62,IF(情景分析!$D$6=2,$E62,IF(情景分析!$D$6=4,IF($C62="银行间",$J62,$L62),$G62)))+AM$2/100,情景分析!$D$7,"",,,,"",)*IF($H62="",1,$H62))</f>
        <v/>
      </c>
      <c r="AN62" s="7" t="str">
        <f>IF($A62="","",[2]!B_CALC_PRICE($A62,$AJ$1,IF(情景分析!$D$6=1,$J62,IF(情景分析!$D$6=2,$E62,IF(情景分析!$D$6=4,IF($C62="银行间",$J62,$L62),$G62)))+AN$2/100,情景分析!$D$7,"",,,,"",)*IF($H62="",1,$H62))</f>
        <v/>
      </c>
      <c r="AO62" s="7" t="str">
        <f>IF($A62="","",[2]!B_CALC_PRICE($A62,$AJ$1,IF(情景分析!$D$6=1,$J62,IF(情景分析!$D$6=2,$E62,IF(情景分析!$D$6=4,IF($C62="银行间",$J62,$L62),$G62)))+AO$2/100,情景分析!$D$7,"",,,,"",)*IF($H62="",1,$H62))</f>
        <v/>
      </c>
      <c r="AP62" s="7" t="str">
        <f>IF($A62="","",[2]!B_CALC_PRICE($A62,$AJ$1,IF(情景分析!$D$6=1,$J62,IF(情景分析!$D$6=2,$E62,IF(情景分析!$D$6=4,IF($C62="银行间",$J62,$L62),$G62)))+AP$2/100,情景分析!$D$7,"",,,,"",)*IF($H62="",1,$H62))</f>
        <v/>
      </c>
      <c r="AQ62" s="7" t="str">
        <f>IF($A62="","",[2]!B_CALC_PRICE($A62,$AQ$1,IF(情景分析!$D$6=1,$J62,IF(情景分析!$D$6=2,$E62,IF(情景分析!$D$6=4,IF($C62="银行间",$J62,$L62),$G62)))+AQ$2/100,情景分析!$D$7,"",,,,"",)*IF($H62="",1,$H62))</f>
        <v/>
      </c>
      <c r="AR62" s="7" t="str">
        <f>IF($A62="","",[2]!B_CALC_PRICE($A62,$AQ$1,IF(情景分析!$D$6=1,$J62,IF(情景分析!$D$6=2,$E62,IF(情景分析!$D$6=4,IF($C62="银行间",$J62,$L62),$G62)))+AR$2/100,情景分析!$D$7,"",,,,"",)*IF($H62="",1,$H62))</f>
        <v/>
      </c>
      <c r="AS62" s="7" t="str">
        <f>IF($A62="","",[2]!B_CALC_PRICE($A62,$AQ$1,IF(情景分析!$D$6=1,$J62,IF(情景分析!$D$6=2,$E62,IF(情景分析!$D$6=4,IF($C62="银行间",$J62,$L62),$G62)))+AS$2/100,情景分析!$D$7,"",,,,"",)*IF($H62="",1,$H62))</f>
        <v/>
      </c>
      <c r="AT62" s="7" t="str">
        <f>IF($A62="","",[2]!B_CALC_PRICE($A62,$AQ$1,IF(情景分析!$D$6=1,$J62,IF(情景分析!$D$6=2,$E62,IF(情景分析!$D$6=4,IF($C62="银行间",$J62,$L62),$G62)))+AT$2/100,情景分析!$D$7,"",,,,"",)*IF($H62="",1,$H62))</f>
        <v/>
      </c>
      <c r="AU62" s="7" t="str">
        <f>IF($A62="","",[2]!B_CALC_PRICE($A62,$AQ$1,IF(情景分析!$D$6=1,$J62,IF(情景分析!$D$6=2,$E62,IF(情景分析!$D$6=4,IF($C62="银行间",$J62,$L62),$G62)))+AU$2/100,情景分析!$D$7,"",,,,"",)*IF($H62="",1,$H62))</f>
        <v/>
      </c>
      <c r="AV62" s="7" t="str">
        <f>IF($A62="","",[2]!B_CALC_PRICE($A62,$AQ$1,IF(情景分析!$D$6=1,$J62,IF(情景分析!$D$6=2,$E62,IF(情景分析!$D$6=4,IF($C62="银行间",$J62,$L62),$G62)))+AV$2/100,情景分析!$D$7,"",,,,"",)*IF($H62="",1,$H62))</f>
        <v/>
      </c>
      <c r="AW62" s="7" t="str">
        <f>IF($A62="","",[2]!B_CALC_PRICE($A62,$AQ$1,IF(情景分析!$D$6=1,$J62,IF(情景分析!$D$6=2,$E62,IF(情景分析!$D$6=4,IF($C62="银行间",$J62,$L62),$G62)))+AW$2/100,情景分析!$D$7,"",,,,"",)*IF($H62="",1,$H62))</f>
        <v/>
      </c>
    </row>
    <row r="63" spans="1:49" x14ac:dyDescent="0.15">
      <c r="A63" s="20"/>
      <c r="B63" s="7" t="str">
        <f>IF(A63="","",[2]!b_info_name(A63))</f>
        <v/>
      </c>
      <c r="C63" s="7" t="str">
        <f>[2]!b_info_listedmkt(A63)</f>
        <v>#N/A</v>
      </c>
      <c r="D63" s="7" t="str">
        <f>IFERROR(IF(A63="","", [2]!b_dq_avgprice(A63, 情景分析!$D$5, 情景分析!$D$7) * IF($H63="",1,$H63)),0)</f>
        <v/>
      </c>
      <c r="E63" s="7" t="str">
        <f>IF(A63="","", N([2]!b_dq_avgprice(A63,情景分析!$D$5,3)))</f>
        <v/>
      </c>
      <c r="F63" s="29" t="str">
        <f>IF($G63 = "",
"",
IFERROR(
[2]!b_calc_pv(A63, 情景分析!$D$5,$G63, "1", 情景分析!$D$7),
[2]!b_calc_pv(A63, 情景分析!$D$5,$G63, "2", 情景分析!$D$7)
)
)</f>
        <v/>
      </c>
      <c r="G63" s="22"/>
      <c r="H63" s="21"/>
      <c r="I63" s="7" t="str">
        <f>IF(A63="","",IF(情景分析!$D$7=1,[2]!b_anal_net_cnbd(A63,情景分析!$D$5,1),[2]!b_anal_dirty_cnbd(A63,情景分析!$D$5,1))*IF($H63="",1,$H63))</f>
        <v/>
      </c>
      <c r="J63" s="7" t="str">
        <f>IF(A63="","",[2]!b_anal_yield_cnbd(A63,情景分析!$D$5,1))</f>
        <v/>
      </c>
      <c r="K63" s="29" t="str">
        <f>IF(A63="","",IF(情景分析!$D$7=1,[2]!b_anal_net_csi1(A63,情景分析!$D$5,1),[2]!b_anal_dirty_csi1(A63,情景分析!$D$5,1))*IF($H63="",1,$H63))</f>
        <v/>
      </c>
      <c r="L63" s="29" t="str">
        <f>IF(A63="","",[2]!b_anal_yield_csi1(A63,情景分析!$D$5,1))</f>
        <v/>
      </c>
      <c r="M63" s="29" t="str">
        <f t="shared" si="6"/>
        <v/>
      </c>
      <c r="N63" s="29" t="str">
        <f t="shared" si="7"/>
        <v/>
      </c>
      <c r="O63" s="7" t="str">
        <f>IF($A63="","",[2]!B_CALC_PRICE($A63,$O$1,IF(情景分析!$D$6=1,$J63,IF(情景分析!$D$6=2,$E63,IF(情景分析!$D$6=4,IF($C63="银行间",$J63,$L63),$G63)))+O$2/100,情景分析!$D$7,"",,,,"",)*IF($H63="",1,$H63))</f>
        <v/>
      </c>
      <c r="P63" s="7" t="str">
        <f>IF($A63="","",[2]!B_CALC_PRICE($A63,$O$1,IF(情景分析!$D$6=1,$J63,IF(情景分析!$D$6=2,$E63,IF(情景分析!$D$6=4,IF($C63="银行间",$J63,$L63),$G63)))+P$2/100,情景分析!$D$7,"",,,,"",)*IF($H63="",1,$H63))</f>
        <v/>
      </c>
      <c r="Q63" s="7" t="str">
        <f>IF($A63="","",[2]!B_CALC_PRICE($A63,$O$1,IF(情景分析!$D$6=1,$J63,IF(情景分析!$D$6=2,$E63,IF(情景分析!$D$6=4,IF($C63="银行间",$J63,$L63),$G63)))+Q$2/100,情景分析!$D$7,"",,,,"",)*IF($H63="",1,$H63))</f>
        <v/>
      </c>
      <c r="R63" s="7" t="str">
        <f>IF($A63="","",[2]!B_CALC_PRICE($A63,$O$1,IF(情景分析!$D$6=1,$J63,IF(情景分析!$D$6=2,$E63,IF(情景分析!$D$6=4,IF($C63="银行间",$J63,$L63),$G63)))+R$2/100,情景分析!$D$7,"",,,,"",)*IF($H63="",1,$H63))</f>
        <v/>
      </c>
      <c r="S63" s="7" t="str">
        <f>IF($A63="","",[2]!B_CALC_PRICE($A63,$O$1,IF(情景分析!$D$6=1,$J63,IF(情景分析!$D$6=2,$E63,IF(情景分析!$D$6=4,IF($C63="银行间",$J63,$L63),$G63)))+S$2/100,情景分析!$D$7,"",,,,"",)*IF($H63="",1,$H63))</f>
        <v/>
      </c>
      <c r="T63" s="7" t="str">
        <f>IF($A63="","",[2]!B_CALC_PRICE($A63,$O$1,IF(情景分析!$D$6=1,$J63,IF(情景分析!$D$6=2,$E63,IF(情景分析!$D$6=4,IF($C63="银行间",$J63,$L63),$G63)))+T$2/100,情景分析!$D$7,"",,,,"",)*IF($H63="",1,$H63))</f>
        <v/>
      </c>
      <c r="U63" s="7" t="str">
        <f>IF($A63="","",[2]!B_CALC_PRICE($A63,$O$1,IF(情景分析!$D$6=1,$J63,IF(情景分析!$D$6=2,$E63,IF(情景分析!$D$6=4,IF($C63="银行间",$J63,$L63),$G63)))+U$2/100,情景分析!$D$7,"",,,,"",)*IF($H63="",1,$H63))</f>
        <v/>
      </c>
      <c r="V63" s="7" t="str">
        <f>IF($A63="","",[2]!B_CALC_PRICE($A63,$V$1,IF(情景分析!$D$6=1,$J63,IF(情景分析!$D$6=2,$E63,IF(情景分析!$D$6=4,IF($C63="银行间",$J63,$L63),$G63)))+V$2/100,情景分析!$D$7,"",,,,"",)*IF($H63="",1,$H63))</f>
        <v/>
      </c>
      <c r="W63" s="7" t="str">
        <f>IF($A63="","",[2]!B_CALC_PRICE($A63,$V$1,IF(情景分析!$D$6=1,$J63,IF(情景分析!$D$6=2,$E63,IF(情景分析!$D$6=4,IF($C63="银行间",$J63,$L63),$G63)))+W$2/100,情景分析!$D$7,"",,,,"",)*IF($H63="",1,$H63))</f>
        <v/>
      </c>
      <c r="X63" s="7" t="str">
        <f>IF($A63="","",[2]!B_CALC_PRICE($A63,$V$1,IF(情景分析!$D$6=1,$J63,IF(情景分析!$D$6=2,$E63,IF(情景分析!$D$6=4,IF($C63="银行间",$J63,$L63),$G63)))+X$2/100,情景分析!$D$7,"",,,,"",)*IF($H63="",1,$H63))</f>
        <v/>
      </c>
      <c r="Y63" s="7" t="str">
        <f>IF($A63="","",[2]!B_CALC_PRICE($A63,$V$1,IF(情景分析!$D$6=1,$J63,IF(情景分析!$D$6=2,$E63,IF(情景分析!$D$6=4,IF($C63="银行间",$J63,$L63),$G63)))+Y$2/100,情景分析!$D$7,"",,,,"",)*IF($H63="",1,$H63))</f>
        <v/>
      </c>
      <c r="Z63" s="7" t="str">
        <f>IF($A63="","",[2]!B_CALC_PRICE($A63,$V$1,IF(情景分析!$D$6=1,$J63,IF(情景分析!$D$6=2,$E63,IF(情景分析!$D$6=4,IF($C63="银行间",$J63,$L63),$G63)))+Z$2/100,情景分析!$D$7,"",,,,"",)*IF($H63="",1,$H63))</f>
        <v/>
      </c>
      <c r="AA63" s="7" t="str">
        <f>IF($A63="","",[2]!B_CALC_PRICE($A63,$V$1,IF(情景分析!$D$6=1,$J63,IF(情景分析!$D$6=2,$E63,IF(情景分析!$D$6=4,IF($C63="银行间",$J63,$L63),$G63)))+AA$2/100,情景分析!$D$7,"",,,,"",)*IF($H63="",1,$H63))</f>
        <v/>
      </c>
      <c r="AB63" s="7" t="str">
        <f>IF($A63="","",[2]!B_CALC_PRICE($A63,$V$1,IF(情景分析!$D$6=1,$J63,IF(情景分析!$D$6=2,$E63,IF(情景分析!$D$6=4,IF($C63="银行间",$J63,$L63),$G63)))+AB$2/100,情景分析!$D$7,"",,,,"",)*IF($H63="",1,$H63))</f>
        <v/>
      </c>
      <c r="AC63" s="7" t="str">
        <f>IF($A63="","",[2]!B_CALC_PRICE($A63,$AC$1,IF(情景分析!$D$6=1,$J63,IF(情景分析!$D$6=2,$E63,IF(情景分析!$D$6=4,IF($C63="银行间",$J63,$L63),$G63)))+AC$2/100,情景分析!$D$7,"",,,,"",)*IF($H63="",1,$H63))</f>
        <v/>
      </c>
      <c r="AD63" s="7" t="str">
        <f>IF($A63="","",[2]!B_CALC_PRICE($A63,$AC$1,IF(情景分析!$D$6=1,$J63,IF(情景分析!$D$6=2,$E63,IF(情景分析!$D$6=4,IF($C63="银行间",$J63,$L63),$G63)))+AD$2/100,情景分析!$D$7,"",,,,"",)*IF($H63="",1,$H63))</f>
        <v/>
      </c>
      <c r="AE63" s="7" t="str">
        <f>IF($A63="","",[2]!B_CALC_PRICE($A63,$AC$1,IF(情景分析!$D$6=1,$J63,IF(情景分析!$D$6=2,$E63,IF(情景分析!$D$6=4,IF($C63="银行间",$J63,$L63),$G63)))+AE$2/100,情景分析!$D$7,"",,,,"",)*IF($H63="",1,$H63))</f>
        <v/>
      </c>
      <c r="AF63" s="7" t="str">
        <f>IF($A63="","",[2]!B_CALC_PRICE($A63,$AC$1,IF(情景分析!$D$6=1,$J63,IF(情景分析!$D$6=2,$E63,IF(情景分析!$D$6=4,IF($C63="银行间",$J63,$L63),$G63)))+AF$2/100,情景分析!$D$7,"",,,,"",)*IF($H63="",1,$H63))</f>
        <v/>
      </c>
      <c r="AG63" s="7" t="str">
        <f>IF($A63="","",[2]!B_CALC_PRICE($A63,$AC$1,IF(情景分析!$D$6=1,$J63,IF(情景分析!$D$6=2,$E63,IF(情景分析!$D$6=4,IF($C63="银行间",$J63,$L63),$G63)))+AG$2/100,情景分析!$D$7,"",,,,"",)*IF($H63="",1,$H63))</f>
        <v/>
      </c>
      <c r="AH63" s="7" t="str">
        <f>IF($A63="","",[2]!B_CALC_PRICE($A63,$AC$1,IF(情景分析!$D$6=1,$J63,IF(情景分析!$D$6=2,$E63,IF(情景分析!$D$6=4,IF($C63="银行间",$J63,$L63),$G63)))+AH$2/100,情景分析!$D$7,"",,,,"",)*IF($H63="",1,$H63))</f>
        <v/>
      </c>
      <c r="AI63" s="7" t="str">
        <f>IF($A63="","",[2]!B_CALC_PRICE($A63,$AC$1,IF(情景分析!$D$6=1,$J63,IF(情景分析!$D$6=2,$E63,IF(情景分析!$D$6=4,IF($C63="银行间",$J63,$L63),$G63)))+AI$2/100,情景分析!$D$7,"",,,,"",)*IF($H63="",1,$H63))</f>
        <v/>
      </c>
      <c r="AJ63" s="7" t="str">
        <f>IF($A63="","",[2]!B_CALC_PRICE($A63,$AJ$1,IF(情景分析!$D$6=1,$J63,IF(情景分析!$D$6=2,$E63,IF(情景分析!$D$6=4,IF($C63="银行间",$J63,$L63),$G63)))+AJ$2/100,情景分析!$D$7,"",,,,"",)*IF($H63="",1,$H63))</f>
        <v/>
      </c>
      <c r="AK63" s="7" t="str">
        <f>IF($A63="","",[2]!B_CALC_PRICE($A63,$AJ$1,IF(情景分析!$D$6=1,$J63,IF(情景分析!$D$6=2,$E63,IF(情景分析!$D$6=4,IF($C63="银行间",$J63,$L63),$G63)))+AK$2/100,情景分析!$D$7,"",,,,"",)*IF($H63="",1,$H63))</f>
        <v/>
      </c>
      <c r="AL63" s="7" t="str">
        <f>IF($A63="","",[2]!B_CALC_PRICE($A63,$AJ$1,IF(情景分析!$D$6=1,$J63,IF(情景分析!$D$6=2,$E63,IF(情景分析!$D$6=4,IF($C63="银行间",$J63,$L63),$G63)))+AL$2/100,情景分析!$D$7,"",,,,"",)*IF($H63="",1,$H63))</f>
        <v/>
      </c>
      <c r="AM63" s="7" t="str">
        <f>IF($A63="","",[2]!B_CALC_PRICE($A63,$AJ$1,IF(情景分析!$D$6=1,$J63,IF(情景分析!$D$6=2,$E63,IF(情景分析!$D$6=4,IF($C63="银行间",$J63,$L63),$G63)))+AM$2/100,情景分析!$D$7,"",,,,"",)*IF($H63="",1,$H63))</f>
        <v/>
      </c>
      <c r="AN63" s="7" t="str">
        <f>IF($A63="","",[2]!B_CALC_PRICE($A63,$AJ$1,IF(情景分析!$D$6=1,$J63,IF(情景分析!$D$6=2,$E63,IF(情景分析!$D$6=4,IF($C63="银行间",$J63,$L63),$G63)))+AN$2/100,情景分析!$D$7,"",,,,"",)*IF($H63="",1,$H63))</f>
        <v/>
      </c>
      <c r="AO63" s="7" t="str">
        <f>IF($A63="","",[2]!B_CALC_PRICE($A63,$AJ$1,IF(情景分析!$D$6=1,$J63,IF(情景分析!$D$6=2,$E63,IF(情景分析!$D$6=4,IF($C63="银行间",$J63,$L63),$G63)))+AO$2/100,情景分析!$D$7,"",,,,"",)*IF($H63="",1,$H63))</f>
        <v/>
      </c>
      <c r="AP63" s="7" t="str">
        <f>IF($A63="","",[2]!B_CALC_PRICE($A63,$AJ$1,IF(情景分析!$D$6=1,$J63,IF(情景分析!$D$6=2,$E63,IF(情景分析!$D$6=4,IF($C63="银行间",$J63,$L63),$G63)))+AP$2/100,情景分析!$D$7,"",,,,"",)*IF($H63="",1,$H63))</f>
        <v/>
      </c>
      <c r="AQ63" s="7" t="str">
        <f>IF($A63="","",[2]!B_CALC_PRICE($A63,$AQ$1,IF(情景分析!$D$6=1,$J63,IF(情景分析!$D$6=2,$E63,IF(情景分析!$D$6=4,IF($C63="银行间",$J63,$L63),$G63)))+AQ$2/100,情景分析!$D$7,"",,,,"",)*IF($H63="",1,$H63))</f>
        <v/>
      </c>
      <c r="AR63" s="7" t="str">
        <f>IF($A63="","",[2]!B_CALC_PRICE($A63,$AQ$1,IF(情景分析!$D$6=1,$J63,IF(情景分析!$D$6=2,$E63,IF(情景分析!$D$6=4,IF($C63="银行间",$J63,$L63),$G63)))+AR$2/100,情景分析!$D$7,"",,,,"",)*IF($H63="",1,$H63))</f>
        <v/>
      </c>
      <c r="AS63" s="7" t="str">
        <f>IF($A63="","",[2]!B_CALC_PRICE($A63,$AQ$1,IF(情景分析!$D$6=1,$J63,IF(情景分析!$D$6=2,$E63,IF(情景分析!$D$6=4,IF($C63="银行间",$J63,$L63),$G63)))+AS$2/100,情景分析!$D$7,"",,,,"",)*IF($H63="",1,$H63))</f>
        <v/>
      </c>
      <c r="AT63" s="7" t="str">
        <f>IF($A63="","",[2]!B_CALC_PRICE($A63,$AQ$1,IF(情景分析!$D$6=1,$J63,IF(情景分析!$D$6=2,$E63,IF(情景分析!$D$6=4,IF($C63="银行间",$J63,$L63),$G63)))+AT$2/100,情景分析!$D$7,"",,,,"",)*IF($H63="",1,$H63))</f>
        <v/>
      </c>
      <c r="AU63" s="7" t="str">
        <f>IF($A63="","",[2]!B_CALC_PRICE($A63,$AQ$1,IF(情景分析!$D$6=1,$J63,IF(情景分析!$D$6=2,$E63,IF(情景分析!$D$6=4,IF($C63="银行间",$J63,$L63),$G63)))+AU$2/100,情景分析!$D$7,"",,,,"",)*IF($H63="",1,$H63))</f>
        <v/>
      </c>
      <c r="AV63" s="7" t="str">
        <f>IF($A63="","",[2]!B_CALC_PRICE($A63,$AQ$1,IF(情景分析!$D$6=1,$J63,IF(情景分析!$D$6=2,$E63,IF(情景分析!$D$6=4,IF($C63="银行间",$J63,$L63),$G63)))+AV$2/100,情景分析!$D$7,"",,,,"",)*IF($H63="",1,$H63))</f>
        <v/>
      </c>
      <c r="AW63" s="7" t="str">
        <f>IF($A63="","",[2]!B_CALC_PRICE($A63,$AQ$1,IF(情景分析!$D$6=1,$J63,IF(情景分析!$D$6=2,$E63,IF(情景分析!$D$6=4,IF($C63="银行间",$J63,$L63),$G63)))+AW$2/100,情景分析!$D$7,"",,,,"",)*IF($H63="",1,$H63))</f>
        <v/>
      </c>
    </row>
    <row r="64" spans="1:49" s="2" customFormat="1" x14ac:dyDescent="0.15">
      <c r="A64" s="20"/>
      <c r="B64" s="7" t="str">
        <f>IF(A64="","",[2]!b_info_name(A64))</f>
        <v/>
      </c>
      <c r="C64" s="7" t="str">
        <f>[2]!b_info_listedmkt(A64)</f>
        <v>#N/A</v>
      </c>
      <c r="D64" s="7" t="str">
        <f>IFERROR(IF(A64="","", [2]!b_dq_avgprice(A64, 情景分析!$D$5, 情景分析!$D$7) * IF($H64="",1,$H64)),0)</f>
        <v/>
      </c>
      <c r="E64" s="7" t="str">
        <f>IF(A64="","", N([2]!b_dq_avgprice(A64,情景分析!$D$5,3)))</f>
        <v/>
      </c>
      <c r="F64" s="29" t="str">
        <f>IF($G64 = "",
"",
IFERROR(
[2]!b_calc_pv(A64, 情景分析!$D$5,$G64, "1", 情景分析!$D$7),
[2]!b_calc_pv(A64, 情景分析!$D$5,$G64, "2", 情景分析!$D$7)
)
)</f>
        <v/>
      </c>
      <c r="G64" s="22"/>
      <c r="H64" s="21"/>
      <c r="I64" s="7" t="str">
        <f>IF(A64="","",IF(情景分析!$D$7=1,[2]!b_anal_net_cnbd(A64,情景分析!$D$5,1),[2]!b_anal_dirty_cnbd(A64,情景分析!$D$5,1))*IF($H64="",1,$H64))</f>
        <v/>
      </c>
      <c r="J64" s="7" t="str">
        <f>IF(A64="","",[2]!b_anal_yield_cnbd(A64,情景分析!$D$5,1))</f>
        <v/>
      </c>
      <c r="K64" s="29" t="str">
        <f>IF(A64="","",IF(情景分析!$D$7=1,[2]!b_anal_net_csi1(A64,情景分析!$D$5,1),[2]!b_anal_dirty_csi1(A64,情景分析!$D$5,1))*IF($H64="",1,$H64))</f>
        <v/>
      </c>
      <c r="L64" s="29" t="str">
        <f>IF(A64="","",[2]!b_anal_yield_csi1(A64,情景分析!$D$5,1))</f>
        <v/>
      </c>
      <c r="M64" s="29" t="str">
        <f t="shared" si="6"/>
        <v/>
      </c>
      <c r="N64" s="29" t="str">
        <f t="shared" si="7"/>
        <v/>
      </c>
      <c r="O64" s="7" t="str">
        <f>IF($A64="","",[2]!B_CALC_PRICE($A64,$O$1,IF(情景分析!$D$6=1,$J64,IF(情景分析!$D$6=2,$E64,IF(情景分析!$D$6=4,IF($C64="银行间",$J64,$L64),$G64)))+O$2/100,情景分析!$D$7,"",,,,"",)*IF($H64="",1,$H64))</f>
        <v/>
      </c>
      <c r="P64" s="7" t="str">
        <f>IF($A64="","",[2]!B_CALC_PRICE($A64,$O$1,IF(情景分析!$D$6=1,$J64,IF(情景分析!$D$6=2,$E64,IF(情景分析!$D$6=4,IF($C64="银行间",$J64,$L64),$G64)))+P$2/100,情景分析!$D$7,"",,,,"",)*IF($H64="",1,$H64))</f>
        <v/>
      </c>
      <c r="Q64" s="7" t="str">
        <f>IF($A64="","",[2]!B_CALC_PRICE($A64,$O$1,IF(情景分析!$D$6=1,$J64,IF(情景分析!$D$6=2,$E64,IF(情景分析!$D$6=4,IF($C64="银行间",$J64,$L64),$G64)))+Q$2/100,情景分析!$D$7,"",,,,"",)*IF($H64="",1,$H64))</f>
        <v/>
      </c>
      <c r="R64" s="7" t="str">
        <f>IF($A64="","",[2]!B_CALC_PRICE($A64,$O$1,IF(情景分析!$D$6=1,$J64,IF(情景分析!$D$6=2,$E64,IF(情景分析!$D$6=4,IF($C64="银行间",$J64,$L64),$G64)))+R$2/100,情景分析!$D$7,"",,,,"",)*IF($H64="",1,$H64))</f>
        <v/>
      </c>
      <c r="S64" s="7" t="str">
        <f>IF($A64="","",[2]!B_CALC_PRICE($A64,$O$1,IF(情景分析!$D$6=1,$J64,IF(情景分析!$D$6=2,$E64,IF(情景分析!$D$6=4,IF($C64="银行间",$J64,$L64),$G64)))+S$2/100,情景分析!$D$7,"",,,,"",)*IF($H64="",1,$H64))</f>
        <v/>
      </c>
      <c r="T64" s="7" t="str">
        <f>IF($A64="","",[2]!B_CALC_PRICE($A64,$O$1,IF(情景分析!$D$6=1,$J64,IF(情景分析!$D$6=2,$E64,IF(情景分析!$D$6=4,IF($C64="银行间",$J64,$L64),$G64)))+T$2/100,情景分析!$D$7,"",,,,"",)*IF($H64="",1,$H64))</f>
        <v/>
      </c>
      <c r="U64" s="7" t="str">
        <f>IF($A64="","",[2]!B_CALC_PRICE($A64,$O$1,IF(情景分析!$D$6=1,$J64,IF(情景分析!$D$6=2,$E64,IF(情景分析!$D$6=4,IF($C64="银行间",$J64,$L64),$G64)))+U$2/100,情景分析!$D$7,"",,,,"",)*IF($H64="",1,$H64))</f>
        <v/>
      </c>
      <c r="V64" s="7" t="str">
        <f>IF($A64="","",[2]!B_CALC_PRICE($A64,$V$1,IF(情景分析!$D$6=1,$J64,IF(情景分析!$D$6=2,$E64,IF(情景分析!$D$6=4,IF($C64="银行间",$J64,$L64),$G64)))+V$2/100,情景分析!$D$7,"",,,,"",)*IF($H64="",1,$H64))</f>
        <v/>
      </c>
      <c r="W64" s="7" t="str">
        <f>IF($A64="","",[2]!B_CALC_PRICE($A64,$V$1,IF(情景分析!$D$6=1,$J64,IF(情景分析!$D$6=2,$E64,IF(情景分析!$D$6=4,IF($C64="银行间",$J64,$L64),$G64)))+W$2/100,情景分析!$D$7,"",,,,"",)*IF($H64="",1,$H64))</f>
        <v/>
      </c>
      <c r="X64" s="7" t="str">
        <f>IF($A64="","",[2]!B_CALC_PRICE($A64,$V$1,IF(情景分析!$D$6=1,$J64,IF(情景分析!$D$6=2,$E64,IF(情景分析!$D$6=4,IF($C64="银行间",$J64,$L64),$G64)))+X$2/100,情景分析!$D$7,"",,,,"",)*IF($H64="",1,$H64))</f>
        <v/>
      </c>
      <c r="Y64" s="7" t="str">
        <f>IF($A64="","",[2]!B_CALC_PRICE($A64,$V$1,IF(情景分析!$D$6=1,$J64,IF(情景分析!$D$6=2,$E64,IF(情景分析!$D$6=4,IF($C64="银行间",$J64,$L64),$G64)))+Y$2/100,情景分析!$D$7,"",,,,"",)*IF($H64="",1,$H64))</f>
        <v/>
      </c>
      <c r="Z64" s="7" t="str">
        <f>IF($A64="","",[2]!B_CALC_PRICE($A64,$V$1,IF(情景分析!$D$6=1,$J64,IF(情景分析!$D$6=2,$E64,IF(情景分析!$D$6=4,IF($C64="银行间",$J64,$L64),$G64)))+Z$2/100,情景分析!$D$7,"",,,,"",)*IF($H64="",1,$H64))</f>
        <v/>
      </c>
      <c r="AA64" s="7" t="str">
        <f>IF($A64="","",[2]!B_CALC_PRICE($A64,$V$1,IF(情景分析!$D$6=1,$J64,IF(情景分析!$D$6=2,$E64,IF(情景分析!$D$6=4,IF($C64="银行间",$J64,$L64),$G64)))+AA$2/100,情景分析!$D$7,"",,,,"",)*IF($H64="",1,$H64))</f>
        <v/>
      </c>
      <c r="AB64" s="7" t="str">
        <f>IF($A64="","",[2]!B_CALC_PRICE($A64,$V$1,IF(情景分析!$D$6=1,$J64,IF(情景分析!$D$6=2,$E64,IF(情景分析!$D$6=4,IF($C64="银行间",$J64,$L64),$G64)))+AB$2/100,情景分析!$D$7,"",,,,"",)*IF($H64="",1,$H64))</f>
        <v/>
      </c>
      <c r="AC64" s="7" t="str">
        <f>IF($A64="","",[2]!B_CALC_PRICE($A64,$AC$1,IF(情景分析!$D$6=1,$J64,IF(情景分析!$D$6=2,$E64,IF(情景分析!$D$6=4,IF($C64="银行间",$J64,$L64),$G64)))+AC$2/100,情景分析!$D$7,"",,,,"",)*IF($H64="",1,$H64))</f>
        <v/>
      </c>
      <c r="AD64" s="7" t="str">
        <f>IF($A64="","",[2]!B_CALC_PRICE($A64,$AC$1,IF(情景分析!$D$6=1,$J64,IF(情景分析!$D$6=2,$E64,IF(情景分析!$D$6=4,IF($C64="银行间",$J64,$L64),$G64)))+AD$2/100,情景分析!$D$7,"",,,,"",)*IF($H64="",1,$H64))</f>
        <v/>
      </c>
      <c r="AE64" s="7" t="str">
        <f>IF($A64="","",[2]!B_CALC_PRICE($A64,$AC$1,IF(情景分析!$D$6=1,$J64,IF(情景分析!$D$6=2,$E64,IF(情景分析!$D$6=4,IF($C64="银行间",$J64,$L64),$G64)))+AE$2/100,情景分析!$D$7,"",,,,"",)*IF($H64="",1,$H64))</f>
        <v/>
      </c>
      <c r="AF64" s="7" t="str">
        <f>IF($A64="","",[2]!B_CALC_PRICE($A64,$AC$1,IF(情景分析!$D$6=1,$J64,IF(情景分析!$D$6=2,$E64,IF(情景分析!$D$6=4,IF($C64="银行间",$J64,$L64),$G64)))+AF$2/100,情景分析!$D$7,"",,,,"",)*IF($H64="",1,$H64))</f>
        <v/>
      </c>
      <c r="AG64" s="7" t="str">
        <f>IF($A64="","",[2]!B_CALC_PRICE($A64,$AC$1,IF(情景分析!$D$6=1,$J64,IF(情景分析!$D$6=2,$E64,IF(情景分析!$D$6=4,IF($C64="银行间",$J64,$L64),$G64)))+AG$2/100,情景分析!$D$7,"",,,,"",)*IF($H64="",1,$H64))</f>
        <v/>
      </c>
      <c r="AH64" s="7" t="str">
        <f>IF($A64="","",[2]!B_CALC_PRICE($A64,$AC$1,IF(情景分析!$D$6=1,$J64,IF(情景分析!$D$6=2,$E64,IF(情景分析!$D$6=4,IF($C64="银行间",$J64,$L64),$G64)))+AH$2/100,情景分析!$D$7,"",,,,"",)*IF($H64="",1,$H64))</f>
        <v/>
      </c>
      <c r="AI64" s="7" t="str">
        <f>IF($A64="","",[2]!B_CALC_PRICE($A64,$AC$1,IF(情景分析!$D$6=1,$J64,IF(情景分析!$D$6=2,$E64,IF(情景分析!$D$6=4,IF($C64="银行间",$J64,$L64),$G64)))+AI$2/100,情景分析!$D$7,"",,,,"",)*IF($H64="",1,$H64))</f>
        <v/>
      </c>
      <c r="AJ64" s="7" t="str">
        <f>IF($A64="","",[2]!B_CALC_PRICE($A64,$AJ$1,IF(情景分析!$D$6=1,$J64,IF(情景分析!$D$6=2,$E64,IF(情景分析!$D$6=4,IF($C64="银行间",$J64,$L64),$G64)))+AJ$2/100,情景分析!$D$7,"",,,,"",)*IF($H64="",1,$H64))</f>
        <v/>
      </c>
      <c r="AK64" s="7" t="str">
        <f>IF($A64="","",[2]!B_CALC_PRICE($A64,$AJ$1,IF(情景分析!$D$6=1,$J64,IF(情景分析!$D$6=2,$E64,IF(情景分析!$D$6=4,IF($C64="银行间",$J64,$L64),$G64)))+AK$2/100,情景分析!$D$7,"",,,,"",)*IF($H64="",1,$H64))</f>
        <v/>
      </c>
      <c r="AL64" s="7" t="str">
        <f>IF($A64="","",[2]!B_CALC_PRICE($A64,$AJ$1,IF(情景分析!$D$6=1,$J64,IF(情景分析!$D$6=2,$E64,IF(情景分析!$D$6=4,IF($C64="银行间",$J64,$L64),$G64)))+AL$2/100,情景分析!$D$7,"",,,,"",)*IF($H64="",1,$H64))</f>
        <v/>
      </c>
      <c r="AM64" s="7" t="str">
        <f>IF($A64="","",[2]!B_CALC_PRICE($A64,$AJ$1,IF(情景分析!$D$6=1,$J64,IF(情景分析!$D$6=2,$E64,IF(情景分析!$D$6=4,IF($C64="银行间",$J64,$L64),$G64)))+AM$2/100,情景分析!$D$7,"",,,,"",)*IF($H64="",1,$H64))</f>
        <v/>
      </c>
      <c r="AN64" s="7" t="str">
        <f>IF($A64="","",[2]!B_CALC_PRICE($A64,$AJ$1,IF(情景分析!$D$6=1,$J64,IF(情景分析!$D$6=2,$E64,IF(情景分析!$D$6=4,IF($C64="银行间",$J64,$L64),$G64)))+AN$2/100,情景分析!$D$7,"",,,,"",)*IF($H64="",1,$H64))</f>
        <v/>
      </c>
      <c r="AO64" s="7" t="str">
        <f>IF($A64="","",[2]!B_CALC_PRICE($A64,$AJ$1,IF(情景分析!$D$6=1,$J64,IF(情景分析!$D$6=2,$E64,IF(情景分析!$D$6=4,IF($C64="银行间",$J64,$L64),$G64)))+AO$2/100,情景分析!$D$7,"",,,,"",)*IF($H64="",1,$H64))</f>
        <v/>
      </c>
      <c r="AP64" s="7" t="str">
        <f>IF($A64="","",[2]!B_CALC_PRICE($A64,$AJ$1,IF(情景分析!$D$6=1,$J64,IF(情景分析!$D$6=2,$E64,IF(情景分析!$D$6=4,IF($C64="银行间",$J64,$L64),$G64)))+AP$2/100,情景分析!$D$7,"",,,,"",)*IF($H64="",1,$H64))</f>
        <v/>
      </c>
      <c r="AQ64" s="7" t="str">
        <f>IF($A64="","",[2]!B_CALC_PRICE($A64,$AQ$1,IF(情景分析!$D$6=1,$J64,IF(情景分析!$D$6=2,$E64,IF(情景分析!$D$6=4,IF($C64="银行间",$J64,$L64),$G64)))+AQ$2/100,情景分析!$D$7,"",,,,"",)*IF($H64="",1,$H64))</f>
        <v/>
      </c>
      <c r="AR64" s="7" t="str">
        <f>IF($A64="","",[2]!B_CALC_PRICE($A64,$AQ$1,IF(情景分析!$D$6=1,$J64,IF(情景分析!$D$6=2,$E64,IF(情景分析!$D$6=4,IF($C64="银行间",$J64,$L64),$G64)))+AR$2/100,情景分析!$D$7,"",,,,"",)*IF($H64="",1,$H64))</f>
        <v/>
      </c>
      <c r="AS64" s="7" t="str">
        <f>IF($A64="","",[2]!B_CALC_PRICE($A64,$AQ$1,IF(情景分析!$D$6=1,$J64,IF(情景分析!$D$6=2,$E64,IF(情景分析!$D$6=4,IF($C64="银行间",$J64,$L64),$G64)))+AS$2/100,情景分析!$D$7,"",,,,"",)*IF($H64="",1,$H64))</f>
        <v/>
      </c>
      <c r="AT64" s="7" t="str">
        <f>IF($A64="","",[2]!B_CALC_PRICE($A64,$AQ$1,IF(情景分析!$D$6=1,$J64,IF(情景分析!$D$6=2,$E64,IF(情景分析!$D$6=4,IF($C64="银行间",$J64,$L64),$G64)))+AT$2/100,情景分析!$D$7,"",,,,"",)*IF($H64="",1,$H64))</f>
        <v/>
      </c>
      <c r="AU64" s="7" t="str">
        <f>IF($A64="","",[2]!B_CALC_PRICE($A64,$AQ$1,IF(情景分析!$D$6=1,$J64,IF(情景分析!$D$6=2,$E64,IF(情景分析!$D$6=4,IF($C64="银行间",$J64,$L64),$G64)))+AU$2/100,情景分析!$D$7,"",,,,"",)*IF($H64="",1,$H64))</f>
        <v/>
      </c>
      <c r="AV64" s="7" t="str">
        <f>IF($A64="","",[2]!B_CALC_PRICE($A64,$AQ$1,IF(情景分析!$D$6=1,$J64,IF(情景分析!$D$6=2,$E64,IF(情景分析!$D$6=4,IF($C64="银行间",$J64,$L64),$G64)))+AV$2/100,情景分析!$D$7,"",,,,"",)*IF($H64="",1,$H64))</f>
        <v/>
      </c>
      <c r="AW64" s="7" t="str">
        <f>IF($A64="","",[2]!B_CALC_PRICE($A64,$AQ$1,IF(情景分析!$D$6=1,$J64,IF(情景分析!$D$6=2,$E64,IF(情景分析!$D$6=4,IF($C64="银行间",$J64,$L64),$G64)))+AW$2/100,情景分析!$D$7,"",,,,"",)*IF($H64="",1,$H64))</f>
        <v/>
      </c>
    </row>
  </sheetData>
  <mergeCells count="5">
    <mergeCell ref="D2:E2"/>
    <mergeCell ref="F2:G2"/>
    <mergeCell ref="I2:J2"/>
    <mergeCell ref="K2:L2"/>
    <mergeCell ref="M2:N2"/>
  </mergeCells>
  <phoneticPr fontId="13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showGridLines="0" workbookViewId="0">
      <selection activeCell="O14" sqref="O14"/>
    </sheetView>
  </sheetViews>
  <sheetFormatPr defaultRowHeight="14.25" x14ac:dyDescent="0.15"/>
  <cols>
    <col min="1" max="16384" width="9" style="10"/>
  </cols>
  <sheetData/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>
      <selection activeCell="E19" sqref="E19"/>
    </sheetView>
  </sheetViews>
  <sheetFormatPr defaultRowHeight="14.25" x14ac:dyDescent="0.15"/>
  <cols>
    <col min="1" max="16384" width="9" style="10"/>
  </cols>
  <sheetData/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"/>
  <sheetViews>
    <sheetView workbookViewId="0"/>
  </sheetViews>
  <sheetFormatPr defaultRowHeight="13.5" x14ac:dyDescent="0.15"/>
  <sheetData>
    <row r="1" spans="1:1" ht="17.25" x14ac:dyDescent="0.15">
      <c r="A1" s="24" t="s">
        <v>24</v>
      </c>
    </row>
  </sheetData>
  <phoneticPr fontId="1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情景分析</vt:lpstr>
      <vt:lpstr>持仓数据</vt:lpstr>
      <vt:lpstr>持仓数据_备份</vt:lpstr>
      <vt:lpstr>使用说明</vt:lpstr>
      <vt:lpstr>算法说明</vt:lpstr>
    </vt:vector>
  </TitlesOfParts>
  <Company>wind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hjmei</dc:creator>
  <cp:lastModifiedBy>Yu Yang(Lucine)</cp:lastModifiedBy>
  <dcterms:created xsi:type="dcterms:W3CDTF">2013-07-01T05:11:36Z</dcterms:created>
  <dcterms:modified xsi:type="dcterms:W3CDTF">2025-10-28T06:11:58Z</dcterms:modified>
</cp:coreProperties>
</file>