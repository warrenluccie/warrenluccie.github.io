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8800" windowHeight="12240"/>
  </bookViews>
  <sheets>
    <sheet name="指数分析" sheetId="5" r:id="rId1"/>
    <sheet name="report" sheetId="9" state="hidden" r:id="rId2"/>
    <sheet name="rawdate" sheetId="7" state="hidden" r:id="rId3"/>
    <sheet name="Wind模板" sheetId="10" state="veryHidden" r:id="rId4"/>
  </sheets>
  <externalReferences>
    <externalReference r:id="rId5"/>
  </externalReferences>
  <definedNames>
    <definedName name="compare">OFFSET(report!$U$5,1,2,report!$M$5,1)</definedName>
    <definedName name="comparetime">OFFSET(report!$T$5,1,0,report!$M$5,1)</definedName>
    <definedName name="correlX">OFFSET(report!$D$6,COLUMN()-COLUMN(#REF!)-1,0,1,1)</definedName>
    <definedName name="CORRELY">OFFSET(report!$D$6,ROW()-ROW(#REF!)-1,0,1,1)</definedName>
    <definedName name="indexclose">OFFSET(report!$J$5,1,1,report!$M$5,1)</definedName>
    <definedName name="indexcode">OFFSET(rawdate!$C$4,1,0,rawdate!$K$6,1)</definedName>
    <definedName name="indexcompare1">OFFSET(report!$U$5,1,0,report!$M$5,1)</definedName>
    <definedName name="indexcompare2">OFFSET(report!$U$5,1,1,report!$M$5,1)</definedName>
    <definedName name="indexpct">OFFSET(report!$J$5,1,2,report!$M$5,1)</definedName>
    <definedName name="indexpct2">OFFSET(report!$J$5,1,3,report!$M$5,1)</definedName>
    <definedName name="indextime">OFFSET(report!$J$5,1,0,report!$M$5,1)</definedName>
    <definedName name="indics">OFFSET(rawdate!$D$4,1,0,rawdate!$K$6,1)</definedName>
    <definedName name="indsnumms">rawdate!$O$6</definedName>
    <definedName name="industry">OFFSET(rawdate!$N$4,1,0,rawdate!$O$4,1)</definedName>
    <definedName name="mkt">OFFSET(rawdate!$L$4,1,0,rawdate!$M$4,1)</definedName>
    <definedName name="mktnums">rawdate!$M$5</definedName>
    <definedName name="size">OFFSET(rawdate!$P$4,1,0,rawdate!$Q$4,1)</definedName>
    <definedName name="sizenums">rawdate!$Q$6</definedName>
    <definedName name="top20indics">OFFSET(report!$R$5,0,0,40,1)</definedName>
    <definedName name="top20stdev">OFFSET(report!$U$4,1,3,40,1)</definedName>
    <definedName name="topfield">OFFSET(rawdate!$A$4,1,0,rawdate!$K$6,7)</definedName>
    <definedName name="topturn">OFFSET(report!$R$5,0,1,40,1)</definedName>
    <definedName name="type">OFFSET(rawdate!$R$4,1,0,rawdate!$S$4,1)</definedName>
    <definedName name="typenums">rawdate!$S$6</definedName>
    <definedName name="world">OFFSET(rawdate!$J$4,1,0,rawdate!$K$4,1)</definedName>
    <definedName name="worldbox">OFFSET(report!$C$5,1,5,rawdate!$K$5,1)</definedName>
    <definedName name="worldfield">OFFSET(rawdate!$B$4,1,0,rawdate!$K$6,4)</definedName>
    <definedName name="worldnums">rawdate!$K$5</definedName>
    <definedName name="worldstdev">OFFSET(report!$I$5,1,0,rawdate!$K$5,1)</definedName>
    <definedName name="worldx">OFFSET(report!$C$5,1,3,rawdate!$K$5,1)</definedName>
    <definedName name="worldy">OFFSET(report!$C$5,1,4,rawdate!$K$5,1)</definedName>
  </definedNames>
  <calcPr calcId="162913"/>
</workbook>
</file>

<file path=xl/calcChain.xml><?xml version="1.0" encoding="utf-8"?>
<calcChain xmlns="http://schemas.openxmlformats.org/spreadsheetml/2006/main">
  <c r="K4" i="7" l="1"/>
  <c r="D6" i="7"/>
  <c r="D18" i="7"/>
  <c r="D30" i="7"/>
  <c r="D42" i="7"/>
  <c r="D54" i="7"/>
  <c r="D66" i="7"/>
  <c r="D78" i="7"/>
  <c r="D90" i="7"/>
  <c r="D102" i="7"/>
  <c r="D114" i="7"/>
  <c r="D126" i="7"/>
  <c r="D138" i="7"/>
  <c r="D150" i="7"/>
  <c r="D162" i="7"/>
  <c r="D174" i="7"/>
  <c r="D186" i="7"/>
  <c r="D198" i="7"/>
  <c r="D210" i="7"/>
  <c r="D222" i="7"/>
  <c r="D234" i="7"/>
  <c r="D246" i="7"/>
  <c r="D258" i="7"/>
  <c r="D270" i="7"/>
  <c r="D282" i="7"/>
  <c r="D294" i="7"/>
  <c r="D306" i="7"/>
  <c r="D318" i="7"/>
  <c r="D330" i="7"/>
  <c r="D342" i="7"/>
  <c r="D354" i="7"/>
  <c r="D366" i="7"/>
  <c r="D378" i="7"/>
  <c r="D390" i="7"/>
  <c r="D402" i="7"/>
  <c r="D414" i="7"/>
  <c r="D426" i="7"/>
  <c r="D438" i="7"/>
  <c r="D450" i="7"/>
  <c r="D462" i="7"/>
  <c r="D474" i="7"/>
  <c r="D486" i="7"/>
  <c r="D498" i="7"/>
  <c r="D7" i="7"/>
  <c r="D19" i="7"/>
  <c r="D31" i="7"/>
  <c r="D43" i="7"/>
  <c r="D55" i="7"/>
  <c r="D67" i="7"/>
  <c r="D79" i="7"/>
  <c r="D91" i="7"/>
  <c r="D103" i="7"/>
  <c r="D115" i="7"/>
  <c r="D127" i="7"/>
  <c r="D139" i="7"/>
  <c r="D151" i="7"/>
  <c r="D163" i="7"/>
  <c r="D175" i="7"/>
  <c r="D187" i="7"/>
  <c r="D199" i="7"/>
  <c r="D211" i="7"/>
  <c r="D223" i="7"/>
  <c r="D235" i="7"/>
  <c r="D247" i="7"/>
  <c r="D259" i="7"/>
  <c r="D271" i="7"/>
  <c r="D283" i="7"/>
  <c r="D295" i="7"/>
  <c r="D307" i="7"/>
  <c r="D319" i="7"/>
  <c r="D331" i="7"/>
  <c r="D343" i="7"/>
  <c r="D355" i="7"/>
  <c r="D367" i="7"/>
  <c r="D379" i="7"/>
  <c r="D391" i="7"/>
  <c r="D403" i="7"/>
  <c r="D415" i="7"/>
  <c r="D427" i="7"/>
  <c r="D439" i="7"/>
  <c r="D451" i="7"/>
  <c r="D463" i="7"/>
  <c r="D475" i="7"/>
  <c r="D487" i="7"/>
  <c r="D499" i="7"/>
  <c r="D20" i="7"/>
  <c r="D68" i="7"/>
  <c r="D92" i="7"/>
  <c r="D176" i="7"/>
  <c r="D236" i="7"/>
  <c r="D272" i="7"/>
  <c r="D332" i="7"/>
  <c r="D392" i="7"/>
  <c r="D476" i="7"/>
  <c r="D8" i="7"/>
  <c r="D44" i="7"/>
  <c r="D56" i="7"/>
  <c r="D80" i="7"/>
  <c r="D104" i="7"/>
  <c r="D200" i="7"/>
  <c r="D248" i="7"/>
  <c r="D320" i="7"/>
  <c r="D440" i="7"/>
  <c r="D9" i="7"/>
  <c r="D21" i="7"/>
  <c r="D33" i="7"/>
  <c r="D45" i="7"/>
  <c r="D57" i="7"/>
  <c r="D69" i="7"/>
  <c r="D81" i="7"/>
  <c r="D93" i="7"/>
  <c r="D105" i="7"/>
  <c r="D117" i="7"/>
  <c r="D129" i="7"/>
  <c r="D141" i="7"/>
  <c r="D153" i="7"/>
  <c r="D165" i="7"/>
  <c r="D177" i="7"/>
  <c r="D189" i="7"/>
  <c r="D201" i="7"/>
  <c r="D213" i="7"/>
  <c r="D225" i="7"/>
  <c r="D237" i="7"/>
  <c r="D249" i="7"/>
  <c r="D261" i="7"/>
  <c r="D273" i="7"/>
  <c r="D285" i="7"/>
  <c r="D297" i="7"/>
  <c r="D309" i="7"/>
  <c r="D321" i="7"/>
  <c r="D333" i="7"/>
  <c r="D345" i="7"/>
  <c r="D357" i="7"/>
  <c r="D369" i="7"/>
  <c r="D381" i="7"/>
  <c r="D393" i="7"/>
  <c r="D405" i="7"/>
  <c r="D417" i="7"/>
  <c r="D429" i="7"/>
  <c r="D441" i="7"/>
  <c r="D453" i="7"/>
  <c r="D465" i="7"/>
  <c r="D477" i="7"/>
  <c r="D489" i="7"/>
  <c r="D501" i="7"/>
  <c r="D23" i="7"/>
  <c r="D107" i="7"/>
  <c r="D143" i="7"/>
  <c r="D179" i="7"/>
  <c r="D215" i="7"/>
  <c r="D251" i="7"/>
  <c r="D275" i="7"/>
  <c r="D311" i="7"/>
  <c r="D347" i="7"/>
  <c r="D383" i="7"/>
  <c r="D419" i="7"/>
  <c r="D455" i="7"/>
  <c r="D491" i="7"/>
  <c r="D290" i="7"/>
  <c r="D374" i="7"/>
  <c r="D27" i="7"/>
  <c r="D75" i="7"/>
  <c r="D147" i="7"/>
  <c r="D195" i="7"/>
  <c r="D255" i="7"/>
  <c r="D303" i="7"/>
  <c r="D363" i="7"/>
  <c r="D411" i="7"/>
  <c r="D459" i="7"/>
  <c r="D116" i="7"/>
  <c r="D296" i="7"/>
  <c r="D416" i="7"/>
  <c r="D10" i="7"/>
  <c r="D22" i="7"/>
  <c r="D34" i="7"/>
  <c r="D46" i="7"/>
  <c r="D58" i="7"/>
  <c r="D70" i="7"/>
  <c r="D82" i="7"/>
  <c r="D94" i="7"/>
  <c r="D106" i="7"/>
  <c r="D118" i="7"/>
  <c r="D130" i="7"/>
  <c r="D142" i="7"/>
  <c r="D154" i="7"/>
  <c r="D166" i="7"/>
  <c r="D178" i="7"/>
  <c r="D190" i="7"/>
  <c r="D202" i="7"/>
  <c r="D214" i="7"/>
  <c r="D226" i="7"/>
  <c r="D238" i="7"/>
  <c r="D250" i="7"/>
  <c r="D262" i="7"/>
  <c r="D274" i="7"/>
  <c r="D286" i="7"/>
  <c r="D298" i="7"/>
  <c r="D310" i="7"/>
  <c r="D322" i="7"/>
  <c r="D334" i="7"/>
  <c r="D346" i="7"/>
  <c r="D358" i="7"/>
  <c r="D370" i="7"/>
  <c r="D382" i="7"/>
  <c r="D394" i="7"/>
  <c r="D406" i="7"/>
  <c r="D418" i="7"/>
  <c r="D430" i="7"/>
  <c r="D442" i="7"/>
  <c r="D454" i="7"/>
  <c r="D466" i="7"/>
  <c r="D478" i="7"/>
  <c r="D490" i="7"/>
  <c r="D11" i="7"/>
  <c r="D95" i="7"/>
  <c r="D155" i="7"/>
  <c r="D191" i="7"/>
  <c r="D227" i="7"/>
  <c r="D263" i="7"/>
  <c r="D287" i="7"/>
  <c r="D323" i="7"/>
  <c r="D359" i="7"/>
  <c r="D395" i="7"/>
  <c r="D431" i="7"/>
  <c r="D443" i="7"/>
  <c r="D479" i="7"/>
  <c r="D278" i="7"/>
  <c r="D410" i="7"/>
  <c r="D15" i="7"/>
  <c r="D99" i="7"/>
  <c r="D159" i="7"/>
  <c r="D219" i="7"/>
  <c r="D267" i="7"/>
  <c r="D327" i="7"/>
  <c r="D375" i="7"/>
  <c r="D435" i="7"/>
  <c r="D495" i="7"/>
  <c r="D128" i="7"/>
  <c r="D284" i="7"/>
  <c r="D428" i="7"/>
  <c r="D35" i="7"/>
  <c r="D47" i="7"/>
  <c r="D59" i="7"/>
  <c r="D71" i="7"/>
  <c r="D83" i="7"/>
  <c r="D119" i="7"/>
  <c r="D131" i="7"/>
  <c r="D167" i="7"/>
  <c r="D203" i="7"/>
  <c r="D239" i="7"/>
  <c r="D299" i="7"/>
  <c r="D335" i="7"/>
  <c r="D371" i="7"/>
  <c r="D407" i="7"/>
  <c r="D467" i="7"/>
  <c r="D326" i="7"/>
  <c r="D386" i="7"/>
  <c r="D446" i="7"/>
  <c r="D482" i="7"/>
  <c r="D39" i="7"/>
  <c r="D123" i="7"/>
  <c r="D183" i="7"/>
  <c r="D279" i="7"/>
  <c r="D339" i="7"/>
  <c r="D399" i="7"/>
  <c r="D471" i="7"/>
  <c r="D164" i="7"/>
  <c r="D404" i="7"/>
  <c r="D12" i="7"/>
  <c r="D24" i="7"/>
  <c r="D36" i="7"/>
  <c r="D48" i="7"/>
  <c r="D60" i="7"/>
  <c r="D72" i="7"/>
  <c r="D84" i="7"/>
  <c r="D96" i="7"/>
  <c r="D108" i="7"/>
  <c r="D120" i="7"/>
  <c r="D132" i="7"/>
  <c r="D144" i="7"/>
  <c r="D156" i="7"/>
  <c r="D168" i="7"/>
  <c r="D180" i="7"/>
  <c r="D192" i="7"/>
  <c r="D204" i="7"/>
  <c r="D216" i="7"/>
  <c r="D228" i="7"/>
  <c r="D240" i="7"/>
  <c r="D252" i="7"/>
  <c r="D264" i="7"/>
  <c r="D276" i="7"/>
  <c r="D288" i="7"/>
  <c r="D300" i="7"/>
  <c r="D312" i="7"/>
  <c r="D324" i="7"/>
  <c r="D336" i="7"/>
  <c r="D348" i="7"/>
  <c r="D360" i="7"/>
  <c r="D372" i="7"/>
  <c r="D384" i="7"/>
  <c r="D396" i="7"/>
  <c r="D408" i="7"/>
  <c r="D420" i="7"/>
  <c r="D432" i="7"/>
  <c r="D444" i="7"/>
  <c r="D456" i="7"/>
  <c r="D468" i="7"/>
  <c r="D480" i="7"/>
  <c r="D492" i="7"/>
  <c r="D86" i="7"/>
  <c r="D170" i="7"/>
  <c r="D206" i="7"/>
  <c r="D230" i="7"/>
  <c r="D254" i="7"/>
  <c r="D314" i="7"/>
  <c r="D350" i="7"/>
  <c r="D422" i="7"/>
  <c r="D470" i="7"/>
  <c r="D51" i="7"/>
  <c r="D87" i="7"/>
  <c r="D135" i="7"/>
  <c r="D207" i="7"/>
  <c r="D315" i="7"/>
  <c r="D387" i="7"/>
  <c r="D483" i="7"/>
  <c r="D212" i="7"/>
  <c r="D380" i="7"/>
  <c r="D500" i="7"/>
  <c r="D13" i="7"/>
  <c r="D25" i="7"/>
  <c r="D37" i="7"/>
  <c r="D49" i="7"/>
  <c r="D61" i="7"/>
  <c r="D73" i="7"/>
  <c r="D85" i="7"/>
  <c r="D97" i="7"/>
  <c r="D109" i="7"/>
  <c r="D121" i="7"/>
  <c r="D133" i="7"/>
  <c r="D145" i="7"/>
  <c r="D157" i="7"/>
  <c r="D169" i="7"/>
  <c r="D181" i="7"/>
  <c r="D193" i="7"/>
  <c r="D205" i="7"/>
  <c r="D217" i="7"/>
  <c r="D229" i="7"/>
  <c r="D241" i="7"/>
  <c r="D253" i="7"/>
  <c r="D265" i="7"/>
  <c r="D277" i="7"/>
  <c r="D289" i="7"/>
  <c r="D301" i="7"/>
  <c r="D313" i="7"/>
  <c r="D325" i="7"/>
  <c r="D337" i="7"/>
  <c r="D349" i="7"/>
  <c r="D361" i="7"/>
  <c r="D373" i="7"/>
  <c r="D385" i="7"/>
  <c r="D397" i="7"/>
  <c r="D409" i="7"/>
  <c r="D421" i="7"/>
  <c r="D433" i="7"/>
  <c r="D445" i="7"/>
  <c r="D457" i="7"/>
  <c r="D469" i="7"/>
  <c r="D481" i="7"/>
  <c r="D493" i="7"/>
  <c r="D14" i="7"/>
  <c r="D26" i="7"/>
  <c r="D38" i="7"/>
  <c r="D50" i="7"/>
  <c r="D62" i="7"/>
  <c r="D74" i="7"/>
  <c r="D98" i="7"/>
  <c r="D110" i="7"/>
  <c r="D122" i="7"/>
  <c r="D134" i="7"/>
  <c r="D146" i="7"/>
  <c r="D158" i="7"/>
  <c r="D182" i="7"/>
  <c r="D194" i="7"/>
  <c r="D218" i="7"/>
  <c r="D242" i="7"/>
  <c r="D266" i="7"/>
  <c r="D302" i="7"/>
  <c r="D338" i="7"/>
  <c r="D362" i="7"/>
  <c r="D398" i="7"/>
  <c r="D434" i="7"/>
  <c r="D458" i="7"/>
  <c r="D494" i="7"/>
  <c r="D63" i="7"/>
  <c r="D111" i="7"/>
  <c r="D171" i="7"/>
  <c r="D231" i="7"/>
  <c r="D291" i="7"/>
  <c r="D351" i="7"/>
  <c r="D423" i="7"/>
  <c r="D140" i="7"/>
  <c r="D356" i="7"/>
  <c r="D152" i="7"/>
  <c r="D243" i="7"/>
  <c r="D447" i="7"/>
  <c r="D224" i="7"/>
  <c r="D344" i="7"/>
  <c r="D452" i="7"/>
  <c r="D488" i="7"/>
  <c r="D16" i="7"/>
  <c r="D28" i="7"/>
  <c r="D40" i="7"/>
  <c r="D52" i="7"/>
  <c r="D64" i="7"/>
  <c r="D76" i="7"/>
  <c r="D88" i="7"/>
  <c r="D100" i="7"/>
  <c r="D112" i="7"/>
  <c r="D124" i="7"/>
  <c r="D136" i="7"/>
  <c r="D148" i="7"/>
  <c r="D160" i="7"/>
  <c r="D172" i="7"/>
  <c r="D184" i="7"/>
  <c r="D196" i="7"/>
  <c r="D208" i="7"/>
  <c r="D220" i="7"/>
  <c r="D232" i="7"/>
  <c r="D244" i="7"/>
  <c r="D256" i="7"/>
  <c r="D268" i="7"/>
  <c r="D280" i="7"/>
  <c r="D292" i="7"/>
  <c r="D304" i="7"/>
  <c r="D316" i="7"/>
  <c r="D328" i="7"/>
  <c r="D340" i="7"/>
  <c r="D352" i="7"/>
  <c r="D364" i="7"/>
  <c r="D376" i="7"/>
  <c r="D388" i="7"/>
  <c r="D400" i="7"/>
  <c r="D412" i="7"/>
  <c r="D424" i="7"/>
  <c r="D436" i="7"/>
  <c r="D448" i="7"/>
  <c r="D460" i="7"/>
  <c r="D472" i="7"/>
  <c r="D484" i="7"/>
  <c r="D496" i="7"/>
  <c r="D17" i="7"/>
  <c r="D29" i="7"/>
  <c r="D41" i="7"/>
  <c r="D53" i="7"/>
  <c r="D65" i="7"/>
  <c r="D77" i="7"/>
  <c r="D89" i="7"/>
  <c r="D101" i="7"/>
  <c r="D113" i="7"/>
  <c r="D125" i="7"/>
  <c r="D137" i="7"/>
  <c r="D149" i="7"/>
  <c r="D161" i="7"/>
  <c r="D173" i="7"/>
  <c r="D185" i="7"/>
  <c r="D197" i="7"/>
  <c r="D209" i="7"/>
  <c r="D221" i="7"/>
  <c r="D233" i="7"/>
  <c r="D245" i="7"/>
  <c r="D257" i="7"/>
  <c r="D269" i="7"/>
  <c r="D281" i="7"/>
  <c r="D293" i="7"/>
  <c r="D305" i="7"/>
  <c r="D317" i="7"/>
  <c r="D329" i="7"/>
  <c r="D341" i="7"/>
  <c r="D353" i="7"/>
  <c r="D365" i="7"/>
  <c r="D377" i="7"/>
  <c r="D389" i="7"/>
  <c r="D401" i="7"/>
  <c r="D413" i="7"/>
  <c r="D425" i="7"/>
  <c r="D437" i="7"/>
  <c r="D449" i="7"/>
  <c r="D461" i="7"/>
  <c r="D473" i="7"/>
  <c r="D485" i="7"/>
  <c r="D497" i="7"/>
  <c r="D32" i="7"/>
  <c r="D188" i="7"/>
  <c r="D260" i="7"/>
  <c r="D308" i="7"/>
  <c r="D368" i="7"/>
  <c r="D464" i="7"/>
  <c r="D5" i="5" l="1"/>
  <c r="D6" i="5"/>
  <c r="A573" i="7"/>
  <c r="G449" i="7"/>
  <c r="G365" i="7"/>
  <c r="G293" i="7"/>
  <c r="G209" i="7"/>
  <c r="G161" i="7"/>
  <c r="G113" i="7"/>
  <c r="G29" i="7"/>
  <c r="G496" i="7"/>
  <c r="G460" i="7"/>
  <c r="G412" i="7"/>
  <c r="G376" i="7"/>
  <c r="G340" i="7"/>
  <c r="G328" i="7"/>
  <c r="G316" i="7"/>
  <c r="G304" i="7"/>
  <c r="G292" i="7"/>
  <c r="G280" i="7"/>
  <c r="G268" i="7"/>
  <c r="G256" i="7"/>
  <c r="G244" i="7"/>
  <c r="G232" i="7"/>
  <c r="G220" i="7"/>
  <c r="G208" i="7"/>
  <c r="G196" i="7"/>
  <c r="G184" i="7"/>
  <c r="G172" i="7"/>
  <c r="G160" i="7"/>
  <c r="G148" i="7"/>
  <c r="G136" i="7"/>
  <c r="G124" i="7"/>
  <c r="G112" i="7"/>
  <c r="G100" i="7"/>
  <c r="G88" i="7"/>
  <c r="G76" i="7"/>
  <c r="G64" i="7"/>
  <c r="G52" i="7"/>
  <c r="G40" i="7"/>
  <c r="G28" i="7"/>
  <c r="G16" i="7"/>
  <c r="G495" i="7"/>
  <c r="G483" i="7"/>
  <c r="G471" i="7"/>
  <c r="G459" i="7"/>
  <c r="G447" i="7"/>
  <c r="G435" i="7"/>
  <c r="G423" i="7"/>
  <c r="G411" i="7"/>
  <c r="G399" i="7"/>
  <c r="G387" i="7"/>
  <c r="G375" i="7"/>
  <c r="G363" i="7"/>
  <c r="G351" i="7"/>
  <c r="G339" i="7"/>
  <c r="G327" i="7"/>
  <c r="G315" i="7"/>
  <c r="G303" i="7"/>
  <c r="G291" i="7"/>
  <c r="G279" i="7"/>
  <c r="G267" i="7"/>
  <c r="G255" i="7"/>
  <c r="G243" i="7"/>
  <c r="G231" i="7"/>
  <c r="G219" i="7"/>
  <c r="G207" i="7"/>
  <c r="G195" i="7"/>
  <c r="G183" i="7"/>
  <c r="G171" i="7"/>
  <c r="G159" i="7"/>
  <c r="G147" i="7"/>
  <c r="G135" i="7"/>
  <c r="G123" i="7"/>
  <c r="G111" i="7"/>
  <c r="G99" i="7"/>
  <c r="G87" i="7"/>
  <c r="G75" i="7"/>
  <c r="G63" i="7"/>
  <c r="G51" i="7"/>
  <c r="G39" i="7"/>
  <c r="G27" i="7"/>
  <c r="G15" i="7"/>
  <c r="G425" i="7"/>
  <c r="G305" i="7"/>
  <c r="G197" i="7"/>
  <c r="G77" i="7"/>
  <c r="G448" i="7"/>
  <c r="G434" i="7"/>
  <c r="G398" i="7"/>
  <c r="G374" i="7"/>
  <c r="G338" i="7"/>
  <c r="G314" i="7"/>
  <c r="G278" i="7"/>
  <c r="G266" i="7"/>
  <c r="G254" i="7"/>
  <c r="G242" i="7"/>
  <c r="G230" i="7"/>
  <c r="G218" i="7"/>
  <c r="G206" i="7"/>
  <c r="G194" i="7"/>
  <c r="G182" i="7"/>
  <c r="G170" i="7"/>
  <c r="G158" i="7"/>
  <c r="G146" i="7"/>
  <c r="G134" i="7"/>
  <c r="G122" i="7"/>
  <c r="G110" i="7"/>
  <c r="G98" i="7"/>
  <c r="G86" i="7"/>
  <c r="G74" i="7"/>
  <c r="G62" i="7"/>
  <c r="G50" i="7"/>
  <c r="G38" i="7"/>
  <c r="G26" i="7"/>
  <c r="G14" i="7"/>
  <c r="G401" i="7"/>
  <c r="G269" i="7"/>
  <c r="G65" i="7"/>
  <c r="G388" i="7"/>
  <c r="G386" i="7"/>
  <c r="G469" i="7"/>
  <c r="G337" i="7"/>
  <c r="G265" i="7"/>
  <c r="G217" i="7"/>
  <c r="G157" i="7"/>
  <c r="G145" i="7"/>
  <c r="G133" i="7"/>
  <c r="G121" i="7"/>
  <c r="G109" i="7"/>
  <c r="G85" i="7"/>
  <c r="G37" i="7"/>
  <c r="G13" i="7"/>
  <c r="G497" i="7"/>
  <c r="G101" i="7"/>
  <c r="G424" i="7"/>
  <c r="G350" i="7"/>
  <c r="G457" i="7"/>
  <c r="G385" i="7"/>
  <c r="G313" i="7"/>
  <c r="G193" i="7"/>
  <c r="G25" i="7"/>
  <c r="G492" i="7"/>
  <c r="G480" i="7"/>
  <c r="G468" i="7"/>
  <c r="G456" i="7"/>
  <c r="G444" i="7"/>
  <c r="G432" i="7"/>
  <c r="G420" i="7"/>
  <c r="G408" i="7"/>
  <c r="G396" i="7"/>
  <c r="G384" i="7"/>
  <c r="G372" i="7"/>
  <c r="G360" i="7"/>
  <c r="G348" i="7"/>
  <c r="G336" i="7"/>
  <c r="G324" i="7"/>
  <c r="G312" i="7"/>
  <c r="G300" i="7"/>
  <c r="G288" i="7"/>
  <c r="G276" i="7"/>
  <c r="G264" i="7"/>
  <c r="G252" i="7"/>
  <c r="G240" i="7"/>
  <c r="G228" i="7"/>
  <c r="G216" i="7"/>
  <c r="G204" i="7"/>
  <c r="G192" i="7"/>
  <c r="G180" i="7"/>
  <c r="G168" i="7"/>
  <c r="G156" i="7"/>
  <c r="G144" i="7"/>
  <c r="G132" i="7"/>
  <c r="G120" i="7"/>
  <c r="G108" i="7"/>
  <c r="G96" i="7"/>
  <c r="G84" i="7"/>
  <c r="G72" i="7"/>
  <c r="G60" i="7"/>
  <c r="G48" i="7"/>
  <c r="G36" i="7"/>
  <c r="G24" i="7"/>
  <c r="G12" i="7"/>
  <c r="G413" i="7"/>
  <c r="G317" i="7"/>
  <c r="G89" i="7"/>
  <c r="G400" i="7"/>
  <c r="G482" i="7"/>
  <c r="G362" i="7"/>
  <c r="G421" i="7"/>
  <c r="G277" i="7"/>
  <c r="G97" i="7"/>
  <c r="G491" i="7"/>
  <c r="G479" i="7"/>
  <c r="G467" i="7"/>
  <c r="G455" i="7"/>
  <c r="G443" i="7"/>
  <c r="G431" i="7"/>
  <c r="G419" i="7"/>
  <c r="G407" i="7"/>
  <c r="G395" i="7"/>
  <c r="G383" i="7"/>
  <c r="G371" i="7"/>
  <c r="G359" i="7"/>
  <c r="G347" i="7"/>
  <c r="G335" i="7"/>
  <c r="G323" i="7"/>
  <c r="G311" i="7"/>
  <c r="G299" i="7"/>
  <c r="G287" i="7"/>
  <c r="G275" i="7"/>
  <c r="G263" i="7"/>
  <c r="G251" i="7"/>
  <c r="G239" i="7"/>
  <c r="G227" i="7"/>
  <c r="G215" i="7"/>
  <c r="G203" i="7"/>
  <c r="G191" i="7"/>
  <c r="G179" i="7"/>
  <c r="G167" i="7"/>
  <c r="G155" i="7"/>
  <c r="G143" i="7"/>
  <c r="G131" i="7"/>
  <c r="G119" i="7"/>
  <c r="G107" i="7"/>
  <c r="G95" i="7"/>
  <c r="G83" i="7"/>
  <c r="G71" i="7"/>
  <c r="G59" i="7"/>
  <c r="G47" i="7"/>
  <c r="G35" i="7"/>
  <c r="G23" i="7"/>
  <c r="G11" i="7"/>
  <c r="G461" i="7"/>
  <c r="G377" i="7"/>
  <c r="G329" i="7"/>
  <c r="G233" i="7"/>
  <c r="G149" i="7"/>
  <c r="G41" i="7"/>
  <c r="G472" i="7"/>
  <c r="G364" i="7"/>
  <c r="G458" i="7"/>
  <c r="G422" i="7"/>
  <c r="G290" i="7"/>
  <c r="G433" i="7"/>
  <c r="G349" i="7"/>
  <c r="G289" i="7"/>
  <c r="G241" i="7"/>
  <c r="G181" i="7"/>
  <c r="G61" i="7"/>
  <c r="G490" i="7"/>
  <c r="G478" i="7"/>
  <c r="G466" i="7"/>
  <c r="G454" i="7"/>
  <c r="G442" i="7"/>
  <c r="G430" i="7"/>
  <c r="G418" i="7"/>
  <c r="G406" i="7"/>
  <c r="G394" i="7"/>
  <c r="G382" i="7"/>
  <c r="G370" i="7"/>
  <c r="G358" i="7"/>
  <c r="G346" i="7"/>
  <c r="G334" i="7"/>
  <c r="G322" i="7"/>
  <c r="G310" i="7"/>
  <c r="G298" i="7"/>
  <c r="G286" i="7"/>
  <c r="G274" i="7"/>
  <c r="G262" i="7"/>
  <c r="G250" i="7"/>
  <c r="G238" i="7"/>
  <c r="G226" i="7"/>
  <c r="G214" i="7"/>
  <c r="G202" i="7"/>
  <c r="G190" i="7"/>
  <c r="G178" i="7"/>
  <c r="G166" i="7"/>
  <c r="G154" i="7"/>
  <c r="G142" i="7"/>
  <c r="G130" i="7"/>
  <c r="G118" i="7"/>
  <c r="G106" i="7"/>
  <c r="G94" i="7"/>
  <c r="G82" i="7"/>
  <c r="G70" i="7"/>
  <c r="G58" i="7"/>
  <c r="G46" i="7"/>
  <c r="G34" i="7"/>
  <c r="G22" i="7"/>
  <c r="G10" i="7"/>
  <c r="G437" i="7"/>
  <c r="G353" i="7"/>
  <c r="G281" i="7"/>
  <c r="G221" i="7"/>
  <c r="G173" i="7"/>
  <c r="G125" i="7"/>
  <c r="G17" i="7"/>
  <c r="G436" i="7"/>
  <c r="G470" i="7"/>
  <c r="G326" i="7"/>
  <c r="G481" i="7"/>
  <c r="G409" i="7"/>
  <c r="G373" i="7"/>
  <c r="G301" i="7"/>
  <c r="G229" i="7"/>
  <c r="G169" i="7"/>
  <c r="G73" i="7"/>
  <c r="G501" i="7"/>
  <c r="G489" i="7"/>
  <c r="G477" i="7"/>
  <c r="G465" i="7"/>
  <c r="G453" i="7"/>
  <c r="G441" i="7"/>
  <c r="G429" i="7"/>
  <c r="G417" i="7"/>
  <c r="G405" i="7"/>
  <c r="G393" i="7"/>
  <c r="G381" i="7"/>
  <c r="G369" i="7"/>
  <c r="G357" i="7"/>
  <c r="G345" i="7"/>
  <c r="G333" i="7"/>
  <c r="G321" i="7"/>
  <c r="G309" i="7"/>
  <c r="G297" i="7"/>
  <c r="G285" i="7"/>
  <c r="G273" i="7"/>
  <c r="G261" i="7"/>
  <c r="G249" i="7"/>
  <c r="G237" i="7"/>
  <c r="G225" i="7"/>
  <c r="G213" i="7"/>
  <c r="G201" i="7"/>
  <c r="G189" i="7"/>
  <c r="G177" i="7"/>
  <c r="G165" i="7"/>
  <c r="G153" i="7"/>
  <c r="G141" i="7"/>
  <c r="G129" i="7"/>
  <c r="G117" i="7"/>
  <c r="G105" i="7"/>
  <c r="G93" i="7"/>
  <c r="G81" i="7"/>
  <c r="G69" i="7"/>
  <c r="G57" i="7"/>
  <c r="G45" i="7"/>
  <c r="G33" i="7"/>
  <c r="G21" i="7"/>
  <c r="G9" i="7"/>
  <c r="G473" i="7"/>
  <c r="G389" i="7"/>
  <c r="G341" i="7"/>
  <c r="G257" i="7"/>
  <c r="G137" i="7"/>
  <c r="G53" i="7"/>
  <c r="G484" i="7"/>
  <c r="G352" i="7"/>
  <c r="G494" i="7"/>
  <c r="G446" i="7"/>
  <c r="G410" i="7"/>
  <c r="G302" i="7"/>
  <c r="G493" i="7"/>
  <c r="G445" i="7"/>
  <c r="G397" i="7"/>
  <c r="G361" i="7"/>
  <c r="G325" i="7"/>
  <c r="G253" i="7"/>
  <c r="G205" i="7"/>
  <c r="G49" i="7"/>
  <c r="G500" i="7"/>
  <c r="G488" i="7"/>
  <c r="G476" i="7"/>
  <c r="G464" i="7"/>
  <c r="G452" i="7"/>
  <c r="G440" i="7"/>
  <c r="G428" i="7"/>
  <c r="G416" i="7"/>
  <c r="G404" i="7"/>
  <c r="G392" i="7"/>
  <c r="G380" i="7"/>
  <c r="G368" i="7"/>
  <c r="G356" i="7"/>
  <c r="G344" i="7"/>
  <c r="G332" i="7"/>
  <c r="G320" i="7"/>
  <c r="G308" i="7"/>
  <c r="G296" i="7"/>
  <c r="G284" i="7"/>
  <c r="G272" i="7"/>
  <c r="G260" i="7"/>
  <c r="G248" i="7"/>
  <c r="G236" i="7"/>
  <c r="G224" i="7"/>
  <c r="G212" i="7"/>
  <c r="G200" i="7"/>
  <c r="G188" i="7"/>
  <c r="G176" i="7"/>
  <c r="G164" i="7"/>
  <c r="G152" i="7"/>
  <c r="G140" i="7"/>
  <c r="G128" i="7"/>
  <c r="G116" i="7"/>
  <c r="G104" i="7"/>
  <c r="G92" i="7"/>
  <c r="G80" i="7"/>
  <c r="G68" i="7"/>
  <c r="G56" i="7"/>
  <c r="G44" i="7"/>
  <c r="G32" i="7"/>
  <c r="G20" i="7"/>
  <c r="G8" i="7"/>
  <c r="G485" i="7"/>
  <c r="G185" i="7"/>
  <c r="G499" i="7"/>
  <c r="G487" i="7"/>
  <c r="G475" i="7"/>
  <c r="G463" i="7"/>
  <c r="G451" i="7"/>
  <c r="G439" i="7"/>
  <c r="G427" i="7"/>
  <c r="G415" i="7"/>
  <c r="G403" i="7"/>
  <c r="G391" i="7"/>
  <c r="G379" i="7"/>
  <c r="G367" i="7"/>
  <c r="G355" i="7"/>
  <c r="G343" i="7"/>
  <c r="G331" i="7"/>
  <c r="G319" i="7"/>
  <c r="G307" i="7"/>
  <c r="G295" i="7"/>
  <c r="G283" i="7"/>
  <c r="G271" i="7"/>
  <c r="G259" i="7"/>
  <c r="G247" i="7"/>
  <c r="G235" i="7"/>
  <c r="G223" i="7"/>
  <c r="G211" i="7"/>
  <c r="G199" i="7"/>
  <c r="G187" i="7"/>
  <c r="G175" i="7"/>
  <c r="G163" i="7"/>
  <c r="G151" i="7"/>
  <c r="G139" i="7"/>
  <c r="G127" i="7"/>
  <c r="G115" i="7"/>
  <c r="G103" i="7"/>
  <c r="G91" i="7"/>
  <c r="G79" i="7"/>
  <c r="G67" i="7"/>
  <c r="G55" i="7"/>
  <c r="G43" i="7"/>
  <c r="G31" i="7"/>
  <c r="G19" i="7"/>
  <c r="G7" i="7"/>
  <c r="G245" i="7"/>
  <c r="G498" i="7"/>
  <c r="G486" i="7"/>
  <c r="G474" i="7"/>
  <c r="G462" i="7"/>
  <c r="G450" i="7"/>
  <c r="G438" i="7"/>
  <c r="G426" i="7"/>
  <c r="G414" i="7"/>
  <c r="G402" i="7"/>
  <c r="G390" i="7"/>
  <c r="G378" i="7"/>
  <c r="G366" i="7"/>
  <c r="G354" i="7"/>
  <c r="G342" i="7"/>
  <c r="G330" i="7"/>
  <c r="G318" i="7"/>
  <c r="G306" i="7"/>
  <c r="G294" i="7"/>
  <c r="G282" i="7"/>
  <c r="G270" i="7"/>
  <c r="G258" i="7"/>
  <c r="G246" i="7"/>
  <c r="G234" i="7"/>
  <c r="G222" i="7"/>
  <c r="G210" i="7"/>
  <c r="G198" i="7"/>
  <c r="G186" i="7"/>
  <c r="G174" i="7"/>
  <c r="G162" i="7"/>
  <c r="G150" i="7"/>
  <c r="G138" i="7"/>
  <c r="G126" i="7"/>
  <c r="G114" i="7"/>
  <c r="G102" i="7"/>
  <c r="G90" i="7"/>
  <c r="G78" i="7"/>
  <c r="G66" i="7"/>
  <c r="G54" i="7"/>
  <c r="G42" i="7"/>
  <c r="G30" i="7"/>
  <c r="G18" i="7"/>
  <c r="G6" i="7"/>
  <c r="D5" i="7"/>
  <c r="T3" i="5" l="1"/>
  <c r="X101" i="9"/>
  <c r="X100" i="9"/>
  <c r="X99" i="9"/>
  <c r="X98" i="9"/>
  <c r="X97" i="9"/>
  <c r="X96" i="9"/>
  <c r="X95" i="9"/>
  <c r="X94" i="9"/>
  <c r="X93" i="9"/>
  <c r="X92" i="9"/>
  <c r="X91" i="9"/>
  <c r="X90" i="9"/>
  <c r="X89" i="9"/>
  <c r="X88" i="9"/>
  <c r="X87" i="9"/>
  <c r="X86" i="9"/>
  <c r="X85" i="9"/>
  <c r="X84" i="9"/>
  <c r="X83" i="9"/>
  <c r="X82" i="9"/>
  <c r="X81" i="9"/>
  <c r="X80" i="9"/>
  <c r="X79" i="9"/>
  <c r="X78" i="9"/>
  <c r="X77" i="9"/>
  <c r="X76" i="9"/>
  <c r="X75" i="9"/>
  <c r="X74" i="9"/>
  <c r="X73" i="9"/>
  <c r="X72" i="9"/>
  <c r="X71" i="9"/>
  <c r="X70" i="9"/>
  <c r="X69" i="9"/>
  <c r="X68" i="9"/>
  <c r="X67" i="9"/>
  <c r="X66" i="9"/>
  <c r="X65" i="9"/>
  <c r="X64" i="9"/>
  <c r="X63" i="9"/>
  <c r="X62" i="9"/>
  <c r="X61" i="9"/>
  <c r="X60" i="9"/>
  <c r="X59" i="9"/>
  <c r="X58" i="9"/>
  <c r="X57" i="9"/>
  <c r="X56" i="9"/>
  <c r="X55" i="9"/>
  <c r="X54" i="9"/>
  <c r="X53" i="9"/>
  <c r="X52" i="9"/>
  <c r="X51" i="9"/>
  <c r="X50" i="9"/>
  <c r="X49" i="9"/>
  <c r="X48" i="9"/>
  <c r="X47" i="9"/>
  <c r="X46" i="9"/>
  <c r="X45" i="9"/>
  <c r="B4" i="9"/>
  <c r="F4" i="7"/>
  <c r="F5" i="7" s="1"/>
  <c r="R5" i="7"/>
  <c r="S4" i="7" s="1"/>
  <c r="P5" i="7"/>
  <c r="Q4" i="7" s="1"/>
  <c r="N5" i="7"/>
  <c r="O4" i="7" s="1"/>
  <c r="M4" i="7"/>
  <c r="F5" i="9"/>
  <c r="G3" i="5" s="1"/>
  <c r="A534" i="7"/>
  <c r="G5" i="7"/>
  <c r="A6" i="7" l="1"/>
  <c r="A150" i="7"/>
  <c r="A294" i="7"/>
  <c r="A438" i="7"/>
  <c r="A67" i="7"/>
  <c r="A211" i="7"/>
  <c r="A355" i="7"/>
  <c r="A499" i="7"/>
  <c r="A116" i="7"/>
  <c r="A260" i="7"/>
  <c r="A404" i="7"/>
  <c r="A325" i="7"/>
  <c r="A137" i="7"/>
  <c r="A93" i="7"/>
  <c r="A237" i="7"/>
  <c r="A381" i="7"/>
  <c r="A169" i="7"/>
  <c r="A221" i="7"/>
  <c r="A106" i="7"/>
  <c r="A250" i="7"/>
  <c r="A394" i="7"/>
  <c r="A289" i="7"/>
  <c r="A377" i="7"/>
  <c r="A131" i="7"/>
  <c r="A275" i="7"/>
  <c r="A419" i="7"/>
  <c r="A400" i="7"/>
  <c r="A108" i="7"/>
  <c r="A252" i="7"/>
  <c r="A396" i="7"/>
  <c r="A385" i="7"/>
  <c r="A145" i="7"/>
  <c r="A26" i="7"/>
  <c r="A170" i="7"/>
  <c r="A374" i="7"/>
  <c r="A63" i="7"/>
  <c r="A207" i="7"/>
  <c r="A351" i="7"/>
  <c r="A495" i="7"/>
  <c r="A148" i="7"/>
  <c r="A292" i="7"/>
  <c r="A209" i="7"/>
  <c r="A449" i="7"/>
  <c r="A384" i="7"/>
  <c r="A161" i="7"/>
  <c r="A18" i="7"/>
  <c r="A162" i="7"/>
  <c r="A306" i="7"/>
  <c r="A450" i="7"/>
  <c r="A79" i="7"/>
  <c r="A223" i="7"/>
  <c r="A367" i="7"/>
  <c r="A185" i="7"/>
  <c r="A128" i="7"/>
  <c r="A272" i="7"/>
  <c r="A416" i="7"/>
  <c r="A361" i="7"/>
  <c r="A257" i="7"/>
  <c r="A105" i="7"/>
  <c r="A249" i="7"/>
  <c r="A393" i="7"/>
  <c r="A229" i="7"/>
  <c r="A281" i="7"/>
  <c r="A118" i="7"/>
  <c r="A262" i="7"/>
  <c r="A406" i="7"/>
  <c r="A349" i="7"/>
  <c r="A461" i="7"/>
  <c r="A143" i="7"/>
  <c r="A287" i="7"/>
  <c r="A431" i="7"/>
  <c r="A89" i="7"/>
  <c r="A120" i="7"/>
  <c r="A264" i="7"/>
  <c r="A408" i="7"/>
  <c r="A457" i="7"/>
  <c r="A157" i="7"/>
  <c r="A38" i="7"/>
  <c r="A182" i="7"/>
  <c r="A398" i="7"/>
  <c r="A75" i="7"/>
  <c r="A219" i="7"/>
  <c r="A363" i="7"/>
  <c r="A16" i="7"/>
  <c r="A160" i="7"/>
  <c r="A304" i="7"/>
  <c r="A293" i="7"/>
  <c r="A263" i="7"/>
  <c r="A30" i="7"/>
  <c r="A174" i="7"/>
  <c r="A318" i="7"/>
  <c r="A462" i="7"/>
  <c r="A91" i="7"/>
  <c r="A235" i="7"/>
  <c r="A379" i="7"/>
  <c r="A485" i="7"/>
  <c r="A140" i="7"/>
  <c r="A284" i="7"/>
  <c r="A428" i="7"/>
  <c r="A397" i="7"/>
  <c r="A341" i="7"/>
  <c r="A117" i="7"/>
  <c r="A261" i="7"/>
  <c r="A405" i="7"/>
  <c r="A301" i="7"/>
  <c r="A353" i="7"/>
  <c r="A130" i="7"/>
  <c r="A274" i="7"/>
  <c r="A418" i="7"/>
  <c r="A433" i="7"/>
  <c r="A11" i="7"/>
  <c r="A155" i="7"/>
  <c r="A299" i="7"/>
  <c r="A443" i="7"/>
  <c r="A317" i="7"/>
  <c r="A132" i="7"/>
  <c r="A276" i="7"/>
  <c r="A420" i="7"/>
  <c r="A350" i="7"/>
  <c r="A217" i="7"/>
  <c r="A50" i="7"/>
  <c r="A194" i="7"/>
  <c r="A434" i="7"/>
  <c r="A87" i="7"/>
  <c r="A231" i="7"/>
  <c r="A375" i="7"/>
  <c r="A28" i="7"/>
  <c r="A172" i="7"/>
  <c r="A316" i="7"/>
  <c r="A365" i="7"/>
  <c r="A184" i="7"/>
  <c r="A96" i="7"/>
  <c r="A42" i="7"/>
  <c r="A186" i="7"/>
  <c r="A330" i="7"/>
  <c r="A474" i="7"/>
  <c r="A103" i="7"/>
  <c r="A247" i="7"/>
  <c r="A391" i="7"/>
  <c r="A8" i="7"/>
  <c r="A152" i="7"/>
  <c r="A296" i="7"/>
  <c r="A440" i="7"/>
  <c r="A445" i="7"/>
  <c r="A389" i="7"/>
  <c r="A129" i="7"/>
  <c r="A273" i="7"/>
  <c r="A417" i="7"/>
  <c r="A373" i="7"/>
  <c r="A437" i="7"/>
  <c r="A142" i="7"/>
  <c r="A286" i="7"/>
  <c r="A430" i="7"/>
  <c r="A290" i="7"/>
  <c r="A23" i="7"/>
  <c r="A167" i="7"/>
  <c r="A311" i="7"/>
  <c r="A455" i="7"/>
  <c r="A413" i="7"/>
  <c r="A144" i="7"/>
  <c r="A288" i="7"/>
  <c r="A432" i="7"/>
  <c r="A424" i="7"/>
  <c r="A265" i="7"/>
  <c r="A62" i="7"/>
  <c r="A206" i="7"/>
  <c r="A448" i="7"/>
  <c r="A99" i="7"/>
  <c r="A243" i="7"/>
  <c r="A387" i="7"/>
  <c r="A40" i="7"/>
  <c r="A328" i="7"/>
  <c r="A51" i="7"/>
  <c r="A54" i="7"/>
  <c r="A198" i="7"/>
  <c r="A342" i="7"/>
  <c r="A486" i="7"/>
  <c r="A115" i="7"/>
  <c r="A259" i="7"/>
  <c r="A403" i="7"/>
  <c r="A20" i="7"/>
  <c r="A164" i="7"/>
  <c r="A308" i="7"/>
  <c r="A452" i="7"/>
  <c r="A493" i="7"/>
  <c r="A473" i="7"/>
  <c r="A141" i="7"/>
  <c r="A285" i="7"/>
  <c r="A429" i="7"/>
  <c r="A409" i="7"/>
  <c r="A10" i="7"/>
  <c r="A154" i="7"/>
  <c r="A298" i="7"/>
  <c r="A442" i="7"/>
  <c r="A422" i="7"/>
  <c r="A35" i="7"/>
  <c r="A179" i="7"/>
  <c r="A323" i="7"/>
  <c r="A467" i="7"/>
  <c r="A12" i="7"/>
  <c r="A156" i="7"/>
  <c r="A300" i="7"/>
  <c r="A444" i="7"/>
  <c r="A101" i="7"/>
  <c r="A337" i="7"/>
  <c r="A74" i="7"/>
  <c r="A218" i="7"/>
  <c r="A77" i="7"/>
  <c r="A111" i="7"/>
  <c r="A255" i="7"/>
  <c r="A399" i="7"/>
  <c r="A52" i="7"/>
  <c r="A196" i="7"/>
  <c r="A340" i="7"/>
  <c r="A471" i="7"/>
  <c r="A158" i="7"/>
  <c r="A339" i="7"/>
  <c r="A66" i="7"/>
  <c r="A210" i="7"/>
  <c r="A354" i="7"/>
  <c r="A498" i="7"/>
  <c r="A127" i="7"/>
  <c r="A271" i="7"/>
  <c r="A415" i="7"/>
  <c r="A32" i="7"/>
  <c r="A176" i="7"/>
  <c r="A320" i="7"/>
  <c r="A464" i="7"/>
  <c r="A302" i="7"/>
  <c r="A9" i="7"/>
  <c r="A153" i="7"/>
  <c r="A297" i="7"/>
  <c r="A441" i="7"/>
  <c r="A481" i="7"/>
  <c r="A22" i="7"/>
  <c r="A166" i="7"/>
  <c r="A310" i="7"/>
  <c r="A454" i="7"/>
  <c r="A458" i="7"/>
  <c r="A47" i="7"/>
  <c r="A191" i="7"/>
  <c r="A335" i="7"/>
  <c r="A479" i="7"/>
  <c r="A24" i="7"/>
  <c r="A168" i="7"/>
  <c r="A312" i="7"/>
  <c r="A456" i="7"/>
  <c r="A497" i="7"/>
  <c r="A469" i="7"/>
  <c r="A86" i="7"/>
  <c r="A230" i="7"/>
  <c r="A197" i="7"/>
  <c r="A123" i="7"/>
  <c r="A267" i="7"/>
  <c r="A411" i="7"/>
  <c r="A64" i="7"/>
  <c r="A208" i="7"/>
  <c r="A376" i="7"/>
  <c r="A268" i="7"/>
  <c r="A313" i="7"/>
  <c r="A136" i="7"/>
  <c r="A78" i="7"/>
  <c r="A222" i="7"/>
  <c r="A366" i="7"/>
  <c r="A245" i="7"/>
  <c r="A139" i="7"/>
  <c r="A283" i="7"/>
  <c r="A427" i="7"/>
  <c r="A44" i="7"/>
  <c r="A188" i="7"/>
  <c r="A332" i="7"/>
  <c r="A476" i="7"/>
  <c r="A410" i="7"/>
  <c r="A21" i="7"/>
  <c r="A165" i="7"/>
  <c r="A309" i="7"/>
  <c r="A453" i="7"/>
  <c r="A326" i="7"/>
  <c r="A34" i="7"/>
  <c r="A178" i="7"/>
  <c r="A322" i="7"/>
  <c r="A466" i="7"/>
  <c r="A364" i="7"/>
  <c r="A59" i="7"/>
  <c r="A203" i="7"/>
  <c r="A347" i="7"/>
  <c r="A491" i="7"/>
  <c r="A36" i="7"/>
  <c r="A180" i="7"/>
  <c r="A324" i="7"/>
  <c r="A468" i="7"/>
  <c r="A13" i="7"/>
  <c r="A386" i="7"/>
  <c r="A98" i="7"/>
  <c r="A242" i="7"/>
  <c r="A305" i="7"/>
  <c r="A135" i="7"/>
  <c r="A279" i="7"/>
  <c r="A423" i="7"/>
  <c r="A76" i="7"/>
  <c r="A220" i="7"/>
  <c r="A412" i="7"/>
  <c r="A183" i="7"/>
  <c r="A338" i="7"/>
  <c r="A90" i="7"/>
  <c r="A234" i="7"/>
  <c r="A378" i="7"/>
  <c r="A7" i="7"/>
  <c r="A151" i="7"/>
  <c r="A295" i="7"/>
  <c r="A439" i="7"/>
  <c r="A56" i="7"/>
  <c r="A200" i="7"/>
  <c r="A344" i="7"/>
  <c r="A488" i="7"/>
  <c r="A446" i="7"/>
  <c r="A33" i="7"/>
  <c r="A177" i="7"/>
  <c r="A321" i="7"/>
  <c r="A465" i="7"/>
  <c r="A470" i="7"/>
  <c r="A46" i="7"/>
  <c r="A190" i="7"/>
  <c r="A334" i="7"/>
  <c r="A478" i="7"/>
  <c r="A472" i="7"/>
  <c r="A71" i="7"/>
  <c r="A215" i="7"/>
  <c r="A359" i="7"/>
  <c r="A97" i="7"/>
  <c r="A48" i="7"/>
  <c r="A192" i="7"/>
  <c r="A336" i="7"/>
  <c r="A480" i="7"/>
  <c r="A37" i="7"/>
  <c r="A388" i="7"/>
  <c r="A110" i="7"/>
  <c r="A254" i="7"/>
  <c r="A425" i="7"/>
  <c r="A147" i="7"/>
  <c r="A291" i="7"/>
  <c r="A435" i="7"/>
  <c r="A88" i="7"/>
  <c r="A232" i="7"/>
  <c r="A460" i="7"/>
  <c r="A327" i="7"/>
  <c r="A133" i="7"/>
  <c r="A102" i="7"/>
  <c r="A246" i="7"/>
  <c r="A390" i="7"/>
  <c r="A19" i="7"/>
  <c r="A163" i="7"/>
  <c r="A307" i="7"/>
  <c r="A451" i="7"/>
  <c r="A68" i="7"/>
  <c r="A212" i="7"/>
  <c r="A356" i="7"/>
  <c r="A500" i="7"/>
  <c r="A494" i="7"/>
  <c r="A45" i="7"/>
  <c r="A189" i="7"/>
  <c r="A333" i="7"/>
  <c r="A477" i="7"/>
  <c r="A436" i="7"/>
  <c r="A58" i="7"/>
  <c r="A202" i="7"/>
  <c r="A346" i="7"/>
  <c r="A490" i="7"/>
  <c r="A41" i="7"/>
  <c r="A83" i="7"/>
  <c r="A227" i="7"/>
  <c r="A371" i="7"/>
  <c r="A277" i="7"/>
  <c r="A60" i="7"/>
  <c r="A204" i="7"/>
  <c r="A348" i="7"/>
  <c r="A492" i="7"/>
  <c r="A85" i="7"/>
  <c r="A65" i="7"/>
  <c r="A122" i="7"/>
  <c r="A266" i="7"/>
  <c r="A15" i="7"/>
  <c r="A159" i="7"/>
  <c r="A303" i="7"/>
  <c r="A447" i="7"/>
  <c r="A100" i="7"/>
  <c r="A244" i="7"/>
  <c r="A496" i="7"/>
  <c r="A407" i="7"/>
  <c r="A114" i="7"/>
  <c r="A258" i="7"/>
  <c r="A402" i="7"/>
  <c r="A31" i="7"/>
  <c r="A175" i="7"/>
  <c r="A319" i="7"/>
  <c r="A463" i="7"/>
  <c r="A80" i="7"/>
  <c r="A224" i="7"/>
  <c r="A368" i="7"/>
  <c r="A49" i="7"/>
  <c r="A352" i="7"/>
  <c r="A57" i="7"/>
  <c r="A201" i="7"/>
  <c r="A345" i="7"/>
  <c r="A489" i="7"/>
  <c r="A17" i="7"/>
  <c r="A70" i="7"/>
  <c r="A214" i="7"/>
  <c r="A358" i="7"/>
  <c r="A61" i="7"/>
  <c r="A149" i="7"/>
  <c r="A95" i="7"/>
  <c r="A239" i="7"/>
  <c r="A383" i="7"/>
  <c r="A421" i="7"/>
  <c r="A72" i="7"/>
  <c r="A216" i="7"/>
  <c r="A360" i="7"/>
  <c r="A25" i="7"/>
  <c r="A109" i="7"/>
  <c r="A269" i="7"/>
  <c r="A134" i="7"/>
  <c r="A278" i="7"/>
  <c r="A27" i="7"/>
  <c r="A171" i="7"/>
  <c r="A315" i="7"/>
  <c r="A459" i="7"/>
  <c r="A112" i="7"/>
  <c r="A256" i="7"/>
  <c r="A29" i="7"/>
  <c r="A113" i="7"/>
  <c r="A240" i="7"/>
  <c r="A195" i="7"/>
  <c r="A126" i="7"/>
  <c r="A270" i="7"/>
  <c r="A414" i="7"/>
  <c r="A43" i="7"/>
  <c r="A187" i="7"/>
  <c r="A331" i="7"/>
  <c r="A475" i="7"/>
  <c r="A92" i="7"/>
  <c r="A236" i="7"/>
  <c r="A380" i="7"/>
  <c r="A205" i="7"/>
  <c r="A484" i="7"/>
  <c r="A69" i="7"/>
  <c r="A213" i="7"/>
  <c r="A357" i="7"/>
  <c r="A501" i="7"/>
  <c r="A125" i="7"/>
  <c r="A82" i="7"/>
  <c r="A226" i="7"/>
  <c r="A370" i="7"/>
  <c r="A181" i="7"/>
  <c r="A233" i="7"/>
  <c r="A107" i="7"/>
  <c r="A251" i="7"/>
  <c r="A395" i="7"/>
  <c r="A362" i="7"/>
  <c r="A84" i="7"/>
  <c r="A228" i="7"/>
  <c r="A372" i="7"/>
  <c r="A193" i="7"/>
  <c r="A121" i="7"/>
  <c r="A401" i="7"/>
  <c r="A146" i="7"/>
  <c r="A314" i="7"/>
  <c r="A39" i="7"/>
  <c r="A124" i="7"/>
  <c r="A14" i="7"/>
  <c r="A280" i="7"/>
  <c r="A138" i="7"/>
  <c r="A282" i="7"/>
  <c r="A426" i="7"/>
  <c r="A55" i="7"/>
  <c r="A199" i="7"/>
  <c r="A343" i="7"/>
  <c r="A487" i="7"/>
  <c r="A104" i="7"/>
  <c r="A248" i="7"/>
  <c r="A392" i="7"/>
  <c r="A253" i="7"/>
  <c r="A53" i="7"/>
  <c r="A81" i="7"/>
  <c r="A225" i="7"/>
  <c r="A369" i="7"/>
  <c r="A73" i="7"/>
  <c r="A173" i="7"/>
  <c r="A94" i="7"/>
  <c r="A238" i="7"/>
  <c r="A382" i="7"/>
  <c r="A241" i="7"/>
  <c r="A329" i="7"/>
  <c r="A119" i="7"/>
  <c r="A482" i="7"/>
  <c r="A483" i="7"/>
  <c r="F6" i="7"/>
  <c r="F18" i="7"/>
  <c r="F30" i="7"/>
  <c r="F42" i="7"/>
  <c r="F54" i="7"/>
  <c r="B54" i="7" s="1"/>
  <c r="F66" i="7"/>
  <c r="B66" i="7" s="1"/>
  <c r="F78" i="7"/>
  <c r="B78" i="7" s="1"/>
  <c r="F90" i="7"/>
  <c r="B90" i="7" s="1"/>
  <c r="F102" i="7"/>
  <c r="B102" i="7" s="1"/>
  <c r="F114" i="7"/>
  <c r="B114" i="7" s="1"/>
  <c r="F126" i="7"/>
  <c r="B126" i="7" s="1"/>
  <c r="F138" i="7"/>
  <c r="B138" i="7" s="1"/>
  <c r="F150" i="7"/>
  <c r="B150" i="7" s="1"/>
  <c r="F162" i="7"/>
  <c r="B162" i="7" s="1"/>
  <c r="F174" i="7"/>
  <c r="B174" i="7" s="1"/>
  <c r="F186" i="7"/>
  <c r="B186" i="7" s="1"/>
  <c r="F198" i="7"/>
  <c r="B198" i="7" s="1"/>
  <c r="F210" i="7"/>
  <c r="B210" i="7" s="1"/>
  <c r="F222" i="7"/>
  <c r="B222" i="7" s="1"/>
  <c r="F234" i="7"/>
  <c r="B234" i="7" s="1"/>
  <c r="F246" i="7"/>
  <c r="B246" i="7" s="1"/>
  <c r="F258" i="7"/>
  <c r="B258" i="7" s="1"/>
  <c r="F270" i="7"/>
  <c r="B270" i="7" s="1"/>
  <c r="F282" i="7"/>
  <c r="B282" i="7" s="1"/>
  <c r="F294" i="7"/>
  <c r="B294" i="7" s="1"/>
  <c r="F306" i="7"/>
  <c r="B306" i="7" s="1"/>
  <c r="F318" i="7"/>
  <c r="B318" i="7" s="1"/>
  <c r="F330" i="7"/>
  <c r="B330" i="7" s="1"/>
  <c r="F342" i="7"/>
  <c r="B342" i="7" s="1"/>
  <c r="F354" i="7"/>
  <c r="B354" i="7" s="1"/>
  <c r="F366" i="7"/>
  <c r="B366" i="7" s="1"/>
  <c r="F378" i="7"/>
  <c r="B378" i="7" s="1"/>
  <c r="F390" i="7"/>
  <c r="B390" i="7" s="1"/>
  <c r="F402" i="7"/>
  <c r="B402" i="7" s="1"/>
  <c r="F414" i="7"/>
  <c r="B414" i="7" s="1"/>
  <c r="F426" i="7"/>
  <c r="B426" i="7" s="1"/>
  <c r="F438" i="7"/>
  <c r="B438" i="7" s="1"/>
  <c r="F450" i="7"/>
  <c r="B450" i="7" s="1"/>
  <c r="F462" i="7"/>
  <c r="B462" i="7" s="1"/>
  <c r="F474" i="7"/>
  <c r="B474" i="7" s="1"/>
  <c r="F486" i="7"/>
  <c r="B486" i="7" s="1"/>
  <c r="F498" i="7"/>
  <c r="B498" i="7" s="1"/>
  <c r="F99" i="7"/>
  <c r="B99" i="7" s="1"/>
  <c r="F243" i="7"/>
  <c r="B243" i="7" s="1"/>
  <c r="F363" i="7"/>
  <c r="B363" i="7" s="1"/>
  <c r="F435" i="7"/>
  <c r="B435" i="7" s="1"/>
  <c r="F197" i="7"/>
  <c r="B197" i="7" s="1"/>
  <c r="F305" i="7"/>
  <c r="B305" i="7" s="1"/>
  <c r="F413" i="7"/>
  <c r="B413" i="7" s="1"/>
  <c r="F7" i="7"/>
  <c r="F19" i="7"/>
  <c r="F31" i="7"/>
  <c r="F43" i="7"/>
  <c r="F55" i="7"/>
  <c r="B55" i="7" s="1"/>
  <c r="F67" i="7"/>
  <c r="B67" i="7" s="1"/>
  <c r="F79" i="7"/>
  <c r="B79" i="7" s="1"/>
  <c r="F91" i="7"/>
  <c r="B91" i="7" s="1"/>
  <c r="F103" i="7"/>
  <c r="B103" i="7" s="1"/>
  <c r="F115" i="7"/>
  <c r="B115" i="7" s="1"/>
  <c r="F127" i="7"/>
  <c r="B127" i="7" s="1"/>
  <c r="F139" i="7"/>
  <c r="B139" i="7" s="1"/>
  <c r="F151" i="7"/>
  <c r="B151" i="7" s="1"/>
  <c r="F163" i="7"/>
  <c r="B163" i="7" s="1"/>
  <c r="F175" i="7"/>
  <c r="B175" i="7" s="1"/>
  <c r="F187" i="7"/>
  <c r="B187" i="7" s="1"/>
  <c r="F199" i="7"/>
  <c r="B199" i="7" s="1"/>
  <c r="F211" i="7"/>
  <c r="B211" i="7" s="1"/>
  <c r="F223" i="7"/>
  <c r="B223" i="7" s="1"/>
  <c r="F235" i="7"/>
  <c r="B235" i="7" s="1"/>
  <c r="F247" i="7"/>
  <c r="B247" i="7" s="1"/>
  <c r="F259" i="7"/>
  <c r="B259" i="7" s="1"/>
  <c r="F271" i="7"/>
  <c r="B271" i="7" s="1"/>
  <c r="F283" i="7"/>
  <c r="B283" i="7" s="1"/>
  <c r="F295" i="7"/>
  <c r="B295" i="7" s="1"/>
  <c r="F307" i="7"/>
  <c r="B307" i="7" s="1"/>
  <c r="F319" i="7"/>
  <c r="B319" i="7" s="1"/>
  <c r="F331" i="7"/>
  <c r="B331" i="7" s="1"/>
  <c r="F343" i="7"/>
  <c r="B343" i="7" s="1"/>
  <c r="F355" i="7"/>
  <c r="B355" i="7" s="1"/>
  <c r="F367" i="7"/>
  <c r="B367" i="7" s="1"/>
  <c r="F379" i="7"/>
  <c r="B379" i="7" s="1"/>
  <c r="F391" i="7"/>
  <c r="B391" i="7" s="1"/>
  <c r="F403" i="7"/>
  <c r="B403" i="7" s="1"/>
  <c r="F415" i="7"/>
  <c r="B415" i="7" s="1"/>
  <c r="F427" i="7"/>
  <c r="B427" i="7" s="1"/>
  <c r="F439" i="7"/>
  <c r="B439" i="7" s="1"/>
  <c r="F451" i="7"/>
  <c r="B451" i="7" s="1"/>
  <c r="F463" i="7"/>
  <c r="B463" i="7" s="1"/>
  <c r="F475" i="7"/>
  <c r="B475" i="7" s="1"/>
  <c r="F487" i="7"/>
  <c r="B487" i="7" s="1"/>
  <c r="F499" i="7"/>
  <c r="B499" i="7" s="1"/>
  <c r="F87" i="7"/>
  <c r="B87" i="7" s="1"/>
  <c r="F195" i="7"/>
  <c r="B195" i="7" s="1"/>
  <c r="F327" i="7"/>
  <c r="B327" i="7" s="1"/>
  <c r="F423" i="7"/>
  <c r="B423" i="7" s="1"/>
  <c r="F173" i="7"/>
  <c r="B173" i="7" s="1"/>
  <c r="F317" i="7"/>
  <c r="B317" i="7" s="1"/>
  <c r="F449" i="7"/>
  <c r="B449" i="7" s="1"/>
  <c r="F8" i="7"/>
  <c r="F20" i="7"/>
  <c r="F32" i="7"/>
  <c r="F44" i="7"/>
  <c r="F56" i="7"/>
  <c r="B56" i="7" s="1"/>
  <c r="F68" i="7"/>
  <c r="B68" i="7" s="1"/>
  <c r="F80" i="7"/>
  <c r="B80" i="7" s="1"/>
  <c r="F92" i="7"/>
  <c r="B92" i="7" s="1"/>
  <c r="F104" i="7"/>
  <c r="B104" i="7" s="1"/>
  <c r="F116" i="7"/>
  <c r="B116" i="7" s="1"/>
  <c r="F128" i="7"/>
  <c r="B128" i="7" s="1"/>
  <c r="F140" i="7"/>
  <c r="B140" i="7" s="1"/>
  <c r="F152" i="7"/>
  <c r="B152" i="7" s="1"/>
  <c r="F164" i="7"/>
  <c r="B164" i="7" s="1"/>
  <c r="F176" i="7"/>
  <c r="B176" i="7" s="1"/>
  <c r="F188" i="7"/>
  <c r="B188" i="7" s="1"/>
  <c r="F200" i="7"/>
  <c r="B200" i="7" s="1"/>
  <c r="F212" i="7"/>
  <c r="B212" i="7" s="1"/>
  <c r="F224" i="7"/>
  <c r="B224" i="7" s="1"/>
  <c r="F236" i="7"/>
  <c r="B236" i="7" s="1"/>
  <c r="F248" i="7"/>
  <c r="B248" i="7" s="1"/>
  <c r="F260" i="7"/>
  <c r="B260" i="7" s="1"/>
  <c r="F272" i="7"/>
  <c r="B272" i="7" s="1"/>
  <c r="F284" i="7"/>
  <c r="B284" i="7" s="1"/>
  <c r="F296" i="7"/>
  <c r="B296" i="7" s="1"/>
  <c r="F308" i="7"/>
  <c r="B308" i="7" s="1"/>
  <c r="F320" i="7"/>
  <c r="B320" i="7" s="1"/>
  <c r="F332" i="7"/>
  <c r="B332" i="7" s="1"/>
  <c r="F344" i="7"/>
  <c r="B344" i="7" s="1"/>
  <c r="F356" i="7"/>
  <c r="B356" i="7" s="1"/>
  <c r="F368" i="7"/>
  <c r="B368" i="7" s="1"/>
  <c r="F380" i="7"/>
  <c r="B380" i="7" s="1"/>
  <c r="F392" i="7"/>
  <c r="B392" i="7" s="1"/>
  <c r="F404" i="7"/>
  <c r="B404" i="7" s="1"/>
  <c r="F416" i="7"/>
  <c r="B416" i="7" s="1"/>
  <c r="F428" i="7"/>
  <c r="B428" i="7" s="1"/>
  <c r="F440" i="7"/>
  <c r="B440" i="7" s="1"/>
  <c r="F452" i="7"/>
  <c r="B452" i="7" s="1"/>
  <c r="F464" i="7"/>
  <c r="B464" i="7" s="1"/>
  <c r="F476" i="7"/>
  <c r="B476" i="7" s="1"/>
  <c r="F488" i="7"/>
  <c r="B488" i="7" s="1"/>
  <c r="F500" i="7"/>
  <c r="B500" i="7" s="1"/>
  <c r="F63" i="7"/>
  <c r="B63" i="7" s="1"/>
  <c r="F111" i="7"/>
  <c r="B111" i="7" s="1"/>
  <c r="F147" i="7"/>
  <c r="B147" i="7" s="1"/>
  <c r="F171" i="7"/>
  <c r="B171" i="7" s="1"/>
  <c r="F231" i="7"/>
  <c r="B231" i="7" s="1"/>
  <c r="F303" i="7"/>
  <c r="B303" i="7" s="1"/>
  <c r="F375" i="7"/>
  <c r="B375" i="7" s="1"/>
  <c r="F447" i="7"/>
  <c r="B447" i="7" s="1"/>
  <c r="F233" i="7"/>
  <c r="B233" i="7" s="1"/>
  <c r="F341" i="7"/>
  <c r="B341" i="7" s="1"/>
  <c r="F425" i="7"/>
  <c r="B425" i="7" s="1"/>
  <c r="F9" i="7"/>
  <c r="F21" i="7"/>
  <c r="F33" i="7"/>
  <c r="F45" i="7"/>
  <c r="F57" i="7"/>
  <c r="B57" i="7" s="1"/>
  <c r="F69" i="7"/>
  <c r="B69" i="7" s="1"/>
  <c r="F81" i="7"/>
  <c r="B81" i="7" s="1"/>
  <c r="F93" i="7"/>
  <c r="B93" i="7" s="1"/>
  <c r="F105" i="7"/>
  <c r="B105" i="7" s="1"/>
  <c r="F117" i="7"/>
  <c r="B117" i="7" s="1"/>
  <c r="F129" i="7"/>
  <c r="B129" i="7" s="1"/>
  <c r="F141" i="7"/>
  <c r="B141" i="7" s="1"/>
  <c r="F153" i="7"/>
  <c r="B153" i="7" s="1"/>
  <c r="F165" i="7"/>
  <c r="B165" i="7" s="1"/>
  <c r="F177" i="7"/>
  <c r="B177" i="7" s="1"/>
  <c r="F189" i="7"/>
  <c r="B189" i="7" s="1"/>
  <c r="F201" i="7"/>
  <c r="B201" i="7" s="1"/>
  <c r="F213" i="7"/>
  <c r="B213" i="7" s="1"/>
  <c r="F225" i="7"/>
  <c r="B225" i="7" s="1"/>
  <c r="F237" i="7"/>
  <c r="B237" i="7" s="1"/>
  <c r="F249" i="7"/>
  <c r="B249" i="7" s="1"/>
  <c r="F261" i="7"/>
  <c r="B261" i="7" s="1"/>
  <c r="F273" i="7"/>
  <c r="B273" i="7" s="1"/>
  <c r="F285" i="7"/>
  <c r="B285" i="7" s="1"/>
  <c r="F297" i="7"/>
  <c r="B297" i="7" s="1"/>
  <c r="F309" i="7"/>
  <c r="B309" i="7" s="1"/>
  <c r="F321" i="7"/>
  <c r="B321" i="7" s="1"/>
  <c r="F333" i="7"/>
  <c r="B333" i="7" s="1"/>
  <c r="F345" i="7"/>
  <c r="B345" i="7" s="1"/>
  <c r="F357" i="7"/>
  <c r="B357" i="7" s="1"/>
  <c r="F369" i="7"/>
  <c r="B369" i="7" s="1"/>
  <c r="F381" i="7"/>
  <c r="B381" i="7" s="1"/>
  <c r="F393" i="7"/>
  <c r="B393" i="7" s="1"/>
  <c r="F405" i="7"/>
  <c r="B405" i="7" s="1"/>
  <c r="F417" i="7"/>
  <c r="B417" i="7" s="1"/>
  <c r="F429" i="7"/>
  <c r="B429" i="7" s="1"/>
  <c r="F441" i="7"/>
  <c r="B441" i="7" s="1"/>
  <c r="F453" i="7"/>
  <c r="B453" i="7" s="1"/>
  <c r="F465" i="7"/>
  <c r="B465" i="7" s="1"/>
  <c r="F477" i="7"/>
  <c r="B477" i="7" s="1"/>
  <c r="F489" i="7"/>
  <c r="B489" i="7" s="1"/>
  <c r="F501" i="7"/>
  <c r="B501" i="7" s="1"/>
  <c r="F75" i="7"/>
  <c r="B75" i="7" s="1"/>
  <c r="F219" i="7"/>
  <c r="B219" i="7" s="1"/>
  <c r="F315" i="7"/>
  <c r="B315" i="7" s="1"/>
  <c r="F399" i="7"/>
  <c r="B399" i="7" s="1"/>
  <c r="F483" i="7"/>
  <c r="B483" i="7" s="1"/>
  <c r="F161" i="7"/>
  <c r="B161" i="7" s="1"/>
  <c r="F269" i="7"/>
  <c r="B269" i="7" s="1"/>
  <c r="F389" i="7"/>
  <c r="B389" i="7" s="1"/>
  <c r="F497" i="7"/>
  <c r="B497" i="7" s="1"/>
  <c r="F10" i="7"/>
  <c r="F22" i="7"/>
  <c r="F34" i="7"/>
  <c r="F46" i="7"/>
  <c r="F58" i="7"/>
  <c r="B58" i="7" s="1"/>
  <c r="F70" i="7"/>
  <c r="B70" i="7" s="1"/>
  <c r="F82" i="7"/>
  <c r="B82" i="7" s="1"/>
  <c r="F94" i="7"/>
  <c r="B94" i="7" s="1"/>
  <c r="F106" i="7"/>
  <c r="B106" i="7" s="1"/>
  <c r="F118" i="7"/>
  <c r="B118" i="7" s="1"/>
  <c r="F130" i="7"/>
  <c r="B130" i="7" s="1"/>
  <c r="F142" i="7"/>
  <c r="B142" i="7" s="1"/>
  <c r="F154" i="7"/>
  <c r="B154" i="7" s="1"/>
  <c r="F166" i="7"/>
  <c r="B166" i="7" s="1"/>
  <c r="F178" i="7"/>
  <c r="B178" i="7" s="1"/>
  <c r="F190" i="7"/>
  <c r="B190" i="7" s="1"/>
  <c r="F202" i="7"/>
  <c r="B202" i="7" s="1"/>
  <c r="F214" i="7"/>
  <c r="B214" i="7" s="1"/>
  <c r="F226" i="7"/>
  <c r="B226" i="7" s="1"/>
  <c r="F238" i="7"/>
  <c r="B238" i="7" s="1"/>
  <c r="F250" i="7"/>
  <c r="B250" i="7" s="1"/>
  <c r="F262" i="7"/>
  <c r="B262" i="7" s="1"/>
  <c r="F274" i="7"/>
  <c r="B274" i="7" s="1"/>
  <c r="F286" i="7"/>
  <c r="B286" i="7" s="1"/>
  <c r="F298" i="7"/>
  <c r="B298" i="7" s="1"/>
  <c r="F310" i="7"/>
  <c r="B310" i="7" s="1"/>
  <c r="F322" i="7"/>
  <c r="B322" i="7" s="1"/>
  <c r="F334" i="7"/>
  <c r="B334" i="7" s="1"/>
  <c r="F346" i="7"/>
  <c r="B346" i="7" s="1"/>
  <c r="F358" i="7"/>
  <c r="B358" i="7" s="1"/>
  <c r="F370" i="7"/>
  <c r="B370" i="7" s="1"/>
  <c r="F382" i="7"/>
  <c r="B382" i="7" s="1"/>
  <c r="F394" i="7"/>
  <c r="B394" i="7" s="1"/>
  <c r="F406" i="7"/>
  <c r="B406" i="7" s="1"/>
  <c r="F418" i="7"/>
  <c r="B418" i="7" s="1"/>
  <c r="F430" i="7"/>
  <c r="B430" i="7" s="1"/>
  <c r="F442" i="7"/>
  <c r="B442" i="7" s="1"/>
  <c r="F454" i="7"/>
  <c r="B454" i="7" s="1"/>
  <c r="F466" i="7"/>
  <c r="B466" i="7" s="1"/>
  <c r="F478" i="7"/>
  <c r="B478" i="7" s="1"/>
  <c r="F490" i="7"/>
  <c r="B490" i="7" s="1"/>
  <c r="F11" i="7"/>
  <c r="F23" i="7"/>
  <c r="F35" i="7"/>
  <c r="F47" i="7"/>
  <c r="F59" i="7"/>
  <c r="B59" i="7" s="1"/>
  <c r="F71" i="7"/>
  <c r="B71" i="7" s="1"/>
  <c r="F83" i="7"/>
  <c r="B83" i="7" s="1"/>
  <c r="F95" i="7"/>
  <c r="B95" i="7" s="1"/>
  <c r="F107" i="7"/>
  <c r="B107" i="7" s="1"/>
  <c r="F119" i="7"/>
  <c r="B119" i="7" s="1"/>
  <c r="F131" i="7"/>
  <c r="B131" i="7" s="1"/>
  <c r="F143" i="7"/>
  <c r="B143" i="7" s="1"/>
  <c r="F155" i="7"/>
  <c r="B155" i="7" s="1"/>
  <c r="F167" i="7"/>
  <c r="B167" i="7" s="1"/>
  <c r="F179" i="7"/>
  <c r="B179" i="7" s="1"/>
  <c r="F191" i="7"/>
  <c r="B191" i="7" s="1"/>
  <c r="F203" i="7"/>
  <c r="B203" i="7" s="1"/>
  <c r="F215" i="7"/>
  <c r="B215" i="7" s="1"/>
  <c r="F227" i="7"/>
  <c r="B227" i="7" s="1"/>
  <c r="F239" i="7"/>
  <c r="B239" i="7" s="1"/>
  <c r="F251" i="7"/>
  <c r="B251" i="7" s="1"/>
  <c r="F263" i="7"/>
  <c r="B263" i="7" s="1"/>
  <c r="F275" i="7"/>
  <c r="B275" i="7" s="1"/>
  <c r="F287" i="7"/>
  <c r="B287" i="7" s="1"/>
  <c r="F299" i="7"/>
  <c r="B299" i="7" s="1"/>
  <c r="F311" i="7"/>
  <c r="B311" i="7" s="1"/>
  <c r="F323" i="7"/>
  <c r="B323" i="7" s="1"/>
  <c r="F335" i="7"/>
  <c r="B335" i="7" s="1"/>
  <c r="F347" i="7"/>
  <c r="B347" i="7" s="1"/>
  <c r="F359" i="7"/>
  <c r="B359" i="7" s="1"/>
  <c r="F371" i="7"/>
  <c r="B371" i="7" s="1"/>
  <c r="F383" i="7"/>
  <c r="B383" i="7" s="1"/>
  <c r="F395" i="7"/>
  <c r="B395" i="7" s="1"/>
  <c r="F407" i="7"/>
  <c r="B407" i="7" s="1"/>
  <c r="F419" i="7"/>
  <c r="B419" i="7" s="1"/>
  <c r="F431" i="7"/>
  <c r="B431" i="7" s="1"/>
  <c r="F443" i="7"/>
  <c r="B443" i="7" s="1"/>
  <c r="F455" i="7"/>
  <c r="B455" i="7" s="1"/>
  <c r="F467" i="7"/>
  <c r="B467" i="7" s="1"/>
  <c r="F479" i="7"/>
  <c r="B479" i="7" s="1"/>
  <c r="F491" i="7"/>
  <c r="B491" i="7" s="1"/>
  <c r="F51" i="7"/>
  <c r="F159" i="7"/>
  <c r="B159" i="7" s="1"/>
  <c r="F267" i="7"/>
  <c r="B267" i="7" s="1"/>
  <c r="F351" i="7"/>
  <c r="B351" i="7" s="1"/>
  <c r="F459" i="7"/>
  <c r="B459" i="7" s="1"/>
  <c r="F185" i="7"/>
  <c r="B185" i="7" s="1"/>
  <c r="F329" i="7"/>
  <c r="B329" i="7" s="1"/>
  <c r="F461" i="7"/>
  <c r="B461" i="7" s="1"/>
  <c r="F12" i="7"/>
  <c r="F24" i="7"/>
  <c r="F36" i="7"/>
  <c r="F48" i="7"/>
  <c r="F60" i="7"/>
  <c r="B60" i="7" s="1"/>
  <c r="F72" i="7"/>
  <c r="B72" i="7" s="1"/>
  <c r="F84" i="7"/>
  <c r="B84" i="7" s="1"/>
  <c r="F96" i="7"/>
  <c r="B96" i="7" s="1"/>
  <c r="F108" i="7"/>
  <c r="B108" i="7" s="1"/>
  <c r="F120" i="7"/>
  <c r="B120" i="7" s="1"/>
  <c r="F132" i="7"/>
  <c r="B132" i="7" s="1"/>
  <c r="F144" i="7"/>
  <c r="B144" i="7" s="1"/>
  <c r="F156" i="7"/>
  <c r="B156" i="7" s="1"/>
  <c r="F168" i="7"/>
  <c r="B168" i="7" s="1"/>
  <c r="F180" i="7"/>
  <c r="B180" i="7" s="1"/>
  <c r="F192" i="7"/>
  <c r="B192" i="7" s="1"/>
  <c r="F204" i="7"/>
  <c r="B204" i="7" s="1"/>
  <c r="F216" i="7"/>
  <c r="B216" i="7" s="1"/>
  <c r="F228" i="7"/>
  <c r="B228" i="7" s="1"/>
  <c r="F240" i="7"/>
  <c r="B240" i="7" s="1"/>
  <c r="F252" i="7"/>
  <c r="B252" i="7" s="1"/>
  <c r="F264" i="7"/>
  <c r="B264" i="7" s="1"/>
  <c r="F276" i="7"/>
  <c r="B276" i="7" s="1"/>
  <c r="F288" i="7"/>
  <c r="B288" i="7" s="1"/>
  <c r="F300" i="7"/>
  <c r="B300" i="7" s="1"/>
  <c r="F312" i="7"/>
  <c r="B312" i="7" s="1"/>
  <c r="F324" i="7"/>
  <c r="B324" i="7" s="1"/>
  <c r="F336" i="7"/>
  <c r="B336" i="7" s="1"/>
  <c r="F348" i="7"/>
  <c r="B348" i="7" s="1"/>
  <c r="F360" i="7"/>
  <c r="B360" i="7" s="1"/>
  <c r="F372" i="7"/>
  <c r="B372" i="7" s="1"/>
  <c r="F384" i="7"/>
  <c r="B384" i="7" s="1"/>
  <c r="F396" i="7"/>
  <c r="B396" i="7" s="1"/>
  <c r="F408" i="7"/>
  <c r="B408" i="7" s="1"/>
  <c r="F420" i="7"/>
  <c r="B420" i="7" s="1"/>
  <c r="F432" i="7"/>
  <c r="B432" i="7" s="1"/>
  <c r="F444" i="7"/>
  <c r="B444" i="7" s="1"/>
  <c r="F456" i="7"/>
  <c r="B456" i="7" s="1"/>
  <c r="F468" i="7"/>
  <c r="B468" i="7" s="1"/>
  <c r="F480" i="7"/>
  <c r="B480" i="7" s="1"/>
  <c r="F492" i="7"/>
  <c r="B492" i="7" s="1"/>
  <c r="F39" i="7"/>
  <c r="F123" i="7"/>
  <c r="B123" i="7" s="1"/>
  <c r="F207" i="7"/>
  <c r="B207" i="7" s="1"/>
  <c r="F291" i="7"/>
  <c r="B291" i="7" s="1"/>
  <c r="F387" i="7"/>
  <c r="B387" i="7" s="1"/>
  <c r="F495" i="7"/>
  <c r="B495" i="7" s="1"/>
  <c r="F245" i="7"/>
  <c r="B245" i="7" s="1"/>
  <c r="F293" i="7"/>
  <c r="B293" i="7" s="1"/>
  <c r="F401" i="7"/>
  <c r="B401" i="7" s="1"/>
  <c r="F13" i="7"/>
  <c r="F25" i="7"/>
  <c r="F37" i="7"/>
  <c r="F49" i="7"/>
  <c r="F61" i="7"/>
  <c r="B61" i="7" s="1"/>
  <c r="F73" i="7"/>
  <c r="B73" i="7" s="1"/>
  <c r="F85" i="7"/>
  <c r="B85" i="7" s="1"/>
  <c r="F97" i="7"/>
  <c r="B97" i="7" s="1"/>
  <c r="F109" i="7"/>
  <c r="B109" i="7" s="1"/>
  <c r="F121" i="7"/>
  <c r="B121" i="7" s="1"/>
  <c r="F133" i="7"/>
  <c r="B133" i="7" s="1"/>
  <c r="F145" i="7"/>
  <c r="B145" i="7" s="1"/>
  <c r="F157" i="7"/>
  <c r="B157" i="7" s="1"/>
  <c r="F169" i="7"/>
  <c r="B169" i="7" s="1"/>
  <c r="F181" i="7"/>
  <c r="B181" i="7" s="1"/>
  <c r="F193" i="7"/>
  <c r="B193" i="7" s="1"/>
  <c r="F205" i="7"/>
  <c r="B205" i="7" s="1"/>
  <c r="F217" i="7"/>
  <c r="B217" i="7" s="1"/>
  <c r="F229" i="7"/>
  <c r="B229" i="7" s="1"/>
  <c r="F241" i="7"/>
  <c r="B241" i="7" s="1"/>
  <c r="F253" i="7"/>
  <c r="B253" i="7" s="1"/>
  <c r="F265" i="7"/>
  <c r="B265" i="7" s="1"/>
  <c r="F277" i="7"/>
  <c r="B277" i="7" s="1"/>
  <c r="F289" i="7"/>
  <c r="B289" i="7" s="1"/>
  <c r="F301" i="7"/>
  <c r="B301" i="7" s="1"/>
  <c r="F313" i="7"/>
  <c r="B313" i="7" s="1"/>
  <c r="F325" i="7"/>
  <c r="B325" i="7" s="1"/>
  <c r="F337" i="7"/>
  <c r="B337" i="7" s="1"/>
  <c r="F349" i="7"/>
  <c r="B349" i="7" s="1"/>
  <c r="F361" i="7"/>
  <c r="B361" i="7" s="1"/>
  <c r="F373" i="7"/>
  <c r="B373" i="7" s="1"/>
  <c r="F385" i="7"/>
  <c r="B385" i="7" s="1"/>
  <c r="F397" i="7"/>
  <c r="B397" i="7" s="1"/>
  <c r="F409" i="7"/>
  <c r="B409" i="7" s="1"/>
  <c r="F421" i="7"/>
  <c r="B421" i="7" s="1"/>
  <c r="F433" i="7"/>
  <c r="B433" i="7" s="1"/>
  <c r="F445" i="7"/>
  <c r="B445" i="7" s="1"/>
  <c r="F457" i="7"/>
  <c r="B457" i="7" s="1"/>
  <c r="F469" i="7"/>
  <c r="B469" i="7" s="1"/>
  <c r="F481" i="7"/>
  <c r="B481" i="7" s="1"/>
  <c r="F493" i="7"/>
  <c r="B493" i="7" s="1"/>
  <c r="F27" i="7"/>
  <c r="F279" i="7"/>
  <c r="B279" i="7" s="1"/>
  <c r="F471" i="7"/>
  <c r="B471" i="7" s="1"/>
  <c r="F353" i="7"/>
  <c r="B353" i="7" s="1"/>
  <c r="F437" i="7"/>
  <c r="B437" i="7" s="1"/>
  <c r="F14" i="7"/>
  <c r="F26" i="7"/>
  <c r="F38" i="7"/>
  <c r="F50" i="7"/>
  <c r="F62" i="7"/>
  <c r="B62" i="7" s="1"/>
  <c r="F74" i="7"/>
  <c r="B74" i="7" s="1"/>
  <c r="F86" i="7"/>
  <c r="B86" i="7" s="1"/>
  <c r="F98" i="7"/>
  <c r="B98" i="7" s="1"/>
  <c r="F110" i="7"/>
  <c r="B110" i="7" s="1"/>
  <c r="F122" i="7"/>
  <c r="B122" i="7" s="1"/>
  <c r="F134" i="7"/>
  <c r="B134" i="7" s="1"/>
  <c r="F146" i="7"/>
  <c r="B146" i="7" s="1"/>
  <c r="F158" i="7"/>
  <c r="B158" i="7" s="1"/>
  <c r="F170" i="7"/>
  <c r="B170" i="7" s="1"/>
  <c r="F182" i="7"/>
  <c r="B182" i="7" s="1"/>
  <c r="F194" i="7"/>
  <c r="B194" i="7" s="1"/>
  <c r="F206" i="7"/>
  <c r="B206" i="7" s="1"/>
  <c r="F218" i="7"/>
  <c r="B218" i="7" s="1"/>
  <c r="F230" i="7"/>
  <c r="B230" i="7" s="1"/>
  <c r="F242" i="7"/>
  <c r="B242" i="7" s="1"/>
  <c r="F254" i="7"/>
  <c r="B254" i="7" s="1"/>
  <c r="F266" i="7"/>
  <c r="B266" i="7" s="1"/>
  <c r="F278" i="7"/>
  <c r="B278" i="7" s="1"/>
  <c r="F290" i="7"/>
  <c r="B290" i="7" s="1"/>
  <c r="F302" i="7"/>
  <c r="B302" i="7" s="1"/>
  <c r="F314" i="7"/>
  <c r="B314" i="7" s="1"/>
  <c r="F326" i="7"/>
  <c r="B326" i="7" s="1"/>
  <c r="F338" i="7"/>
  <c r="B338" i="7" s="1"/>
  <c r="F350" i="7"/>
  <c r="B350" i="7" s="1"/>
  <c r="F362" i="7"/>
  <c r="B362" i="7" s="1"/>
  <c r="F374" i="7"/>
  <c r="B374" i="7" s="1"/>
  <c r="F386" i="7"/>
  <c r="B386" i="7" s="1"/>
  <c r="F398" i="7"/>
  <c r="B398" i="7" s="1"/>
  <c r="F410" i="7"/>
  <c r="B410" i="7" s="1"/>
  <c r="F422" i="7"/>
  <c r="B422" i="7" s="1"/>
  <c r="F434" i="7"/>
  <c r="B434" i="7" s="1"/>
  <c r="F446" i="7"/>
  <c r="B446" i="7" s="1"/>
  <c r="F458" i="7"/>
  <c r="B458" i="7" s="1"/>
  <c r="F470" i="7"/>
  <c r="B470" i="7" s="1"/>
  <c r="F482" i="7"/>
  <c r="B482" i="7" s="1"/>
  <c r="F494" i="7"/>
  <c r="B494" i="7" s="1"/>
  <c r="F15" i="7"/>
  <c r="F135" i="7"/>
  <c r="B135" i="7" s="1"/>
  <c r="F183" i="7"/>
  <c r="B183" i="7" s="1"/>
  <c r="F255" i="7"/>
  <c r="B255" i="7" s="1"/>
  <c r="F339" i="7"/>
  <c r="B339" i="7" s="1"/>
  <c r="F411" i="7"/>
  <c r="B411" i="7" s="1"/>
  <c r="F209" i="7"/>
  <c r="B209" i="7" s="1"/>
  <c r="F281" i="7"/>
  <c r="B281" i="7" s="1"/>
  <c r="F377" i="7"/>
  <c r="B377" i="7" s="1"/>
  <c r="F473" i="7"/>
  <c r="B473" i="7" s="1"/>
  <c r="F16" i="7"/>
  <c r="F28" i="7"/>
  <c r="F40" i="7"/>
  <c r="F52" i="7"/>
  <c r="B52" i="7" s="1"/>
  <c r="F64" i="7"/>
  <c r="B64" i="7" s="1"/>
  <c r="F76" i="7"/>
  <c r="B76" i="7" s="1"/>
  <c r="F88" i="7"/>
  <c r="B88" i="7" s="1"/>
  <c r="F100" i="7"/>
  <c r="B100" i="7" s="1"/>
  <c r="F112" i="7"/>
  <c r="B112" i="7" s="1"/>
  <c r="F124" i="7"/>
  <c r="B124" i="7" s="1"/>
  <c r="F136" i="7"/>
  <c r="B136" i="7" s="1"/>
  <c r="F148" i="7"/>
  <c r="B148" i="7" s="1"/>
  <c r="F160" i="7"/>
  <c r="B160" i="7" s="1"/>
  <c r="F172" i="7"/>
  <c r="B172" i="7" s="1"/>
  <c r="F184" i="7"/>
  <c r="B184" i="7" s="1"/>
  <c r="F196" i="7"/>
  <c r="B196" i="7" s="1"/>
  <c r="F208" i="7"/>
  <c r="B208" i="7" s="1"/>
  <c r="F220" i="7"/>
  <c r="B220" i="7" s="1"/>
  <c r="F232" i="7"/>
  <c r="B232" i="7" s="1"/>
  <c r="F244" i="7"/>
  <c r="B244" i="7" s="1"/>
  <c r="F256" i="7"/>
  <c r="B256" i="7" s="1"/>
  <c r="F268" i="7"/>
  <c r="B268" i="7" s="1"/>
  <c r="F280" i="7"/>
  <c r="B280" i="7" s="1"/>
  <c r="F292" i="7"/>
  <c r="B292" i="7" s="1"/>
  <c r="F304" i="7"/>
  <c r="B304" i="7" s="1"/>
  <c r="F316" i="7"/>
  <c r="B316" i="7" s="1"/>
  <c r="F328" i="7"/>
  <c r="B328" i="7" s="1"/>
  <c r="F340" i="7"/>
  <c r="B340" i="7" s="1"/>
  <c r="F352" i="7"/>
  <c r="B352" i="7" s="1"/>
  <c r="F364" i="7"/>
  <c r="B364" i="7" s="1"/>
  <c r="F376" i="7"/>
  <c r="B376" i="7" s="1"/>
  <c r="F388" i="7"/>
  <c r="B388" i="7" s="1"/>
  <c r="F400" i="7"/>
  <c r="B400" i="7" s="1"/>
  <c r="F412" i="7"/>
  <c r="B412" i="7" s="1"/>
  <c r="F424" i="7"/>
  <c r="B424" i="7" s="1"/>
  <c r="F436" i="7"/>
  <c r="B436" i="7" s="1"/>
  <c r="F448" i="7"/>
  <c r="B448" i="7" s="1"/>
  <c r="F460" i="7"/>
  <c r="B460" i="7" s="1"/>
  <c r="F472" i="7"/>
  <c r="B472" i="7" s="1"/>
  <c r="F484" i="7"/>
  <c r="B484" i="7" s="1"/>
  <c r="F496" i="7"/>
  <c r="B496" i="7" s="1"/>
  <c r="F17" i="7"/>
  <c r="F29" i="7"/>
  <c r="F41" i="7"/>
  <c r="F53" i="7"/>
  <c r="B53" i="7" s="1"/>
  <c r="F65" i="7"/>
  <c r="B65" i="7" s="1"/>
  <c r="F77" i="7"/>
  <c r="B77" i="7" s="1"/>
  <c r="F89" i="7"/>
  <c r="B89" i="7" s="1"/>
  <c r="F101" i="7"/>
  <c r="B101" i="7" s="1"/>
  <c r="F113" i="7"/>
  <c r="B113" i="7" s="1"/>
  <c r="F125" i="7"/>
  <c r="B125" i="7" s="1"/>
  <c r="F137" i="7"/>
  <c r="B137" i="7" s="1"/>
  <c r="F149" i="7"/>
  <c r="B149" i="7" s="1"/>
  <c r="F221" i="7"/>
  <c r="B221" i="7" s="1"/>
  <c r="F257" i="7"/>
  <c r="B257" i="7" s="1"/>
  <c r="F365" i="7"/>
  <c r="B365" i="7" s="1"/>
  <c r="F485" i="7"/>
  <c r="B485" i="7" s="1"/>
  <c r="A5" i="7"/>
  <c r="J6" i="9"/>
  <c r="F534" i="7"/>
  <c r="F551" i="7"/>
  <c r="F567" i="7"/>
  <c r="F539" i="7"/>
  <c r="F548" i="7"/>
  <c r="F558" i="7"/>
  <c r="F556" i="7"/>
  <c r="F537" i="7"/>
  <c r="F578" i="7"/>
  <c r="F582" i="7"/>
  <c r="F544" i="7"/>
  <c r="F569" i="7"/>
  <c r="F535" i="7"/>
  <c r="F576" i="7"/>
  <c r="F574" i="7"/>
  <c r="F540" i="7"/>
  <c r="F580" i="7"/>
  <c r="F553" i="7"/>
  <c r="F543" i="7"/>
  <c r="F545" i="7"/>
  <c r="F565" i="7"/>
  <c r="F561" i="7"/>
  <c r="F571" i="7"/>
  <c r="F554" i="7"/>
  <c r="F579" i="7"/>
  <c r="F538" i="7"/>
  <c r="F560" i="7"/>
  <c r="F552" i="7"/>
  <c r="F572" i="7"/>
  <c r="F555" i="7"/>
  <c r="F564" i="7"/>
  <c r="F549" i="7"/>
  <c r="F577" i="7"/>
  <c r="F568" i="7"/>
  <c r="F559" i="7"/>
  <c r="F542" i="7"/>
  <c r="F563" i="7"/>
  <c r="F536" i="7"/>
  <c r="F566" i="7"/>
  <c r="F562" i="7"/>
  <c r="F581" i="7"/>
  <c r="F575" i="7"/>
  <c r="F547" i="7"/>
  <c r="F550" i="7"/>
  <c r="F541" i="7"/>
  <c r="F557" i="7"/>
  <c r="F546" i="7"/>
  <c r="F570" i="7"/>
  <c r="F573" i="7"/>
  <c r="A557" i="7"/>
  <c r="A579" i="7"/>
  <c r="A574" i="7"/>
  <c r="A558" i="7"/>
  <c r="A567" i="7"/>
  <c r="A580" i="7"/>
  <c r="A576" i="7"/>
  <c r="A577" i="7"/>
  <c r="A538" i="7"/>
  <c r="A543" i="7"/>
  <c r="A541" i="7"/>
  <c r="A535" i="7"/>
  <c r="A548" i="7"/>
  <c r="A545" i="7"/>
  <c r="A578" i="7"/>
  <c r="A562" i="7"/>
  <c r="A564" i="7"/>
  <c r="A569" i="7"/>
  <c r="A546" i="7"/>
  <c r="A554" i="7"/>
  <c r="A547" i="7"/>
  <c r="A550" i="7"/>
  <c r="A544" i="7"/>
  <c r="A539" i="7"/>
  <c r="A542" i="7"/>
  <c r="A561" i="7"/>
  <c r="A559" i="7"/>
  <c r="A551" i="7"/>
  <c r="A549" i="7"/>
  <c r="A571" i="7"/>
  <c r="A565" i="7"/>
  <c r="A566" i="7"/>
  <c r="A540" i="7"/>
  <c r="A560" i="7"/>
  <c r="A581" i="7"/>
  <c r="A575" i="7"/>
  <c r="A537" i="7"/>
  <c r="A563" i="7"/>
  <c r="A552" i="7"/>
  <c r="A556" i="7"/>
  <c r="A568" i="7"/>
  <c r="A582" i="7"/>
  <c r="A553" i="7"/>
  <c r="A536" i="7"/>
  <c r="A570" i="7"/>
  <c r="A572" i="7"/>
  <c r="A555" i="7"/>
  <c r="J7" i="9"/>
  <c r="P25" i="9" l="1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K7" i="7"/>
  <c r="P44" i="9"/>
  <c r="B28" i="7"/>
  <c r="B37" i="7"/>
  <c r="B51" i="7"/>
  <c r="B21" i="7"/>
  <c r="B16" i="7"/>
  <c r="B50" i="7"/>
  <c r="B25" i="7"/>
  <c r="B48" i="7"/>
  <c r="B9" i="7"/>
  <c r="B38" i="7"/>
  <c r="B13" i="7"/>
  <c r="B36" i="7"/>
  <c r="B47" i="7"/>
  <c r="B26" i="7"/>
  <c r="B24" i="7"/>
  <c r="B35" i="7"/>
  <c r="B44" i="7"/>
  <c r="B14" i="7"/>
  <c r="B12" i="7"/>
  <c r="B23" i="7"/>
  <c r="B32" i="7"/>
  <c r="B43" i="7"/>
  <c r="B19" i="7"/>
  <c r="B30" i="7"/>
  <c r="B41" i="7"/>
  <c r="B18" i="7"/>
  <c r="B7" i="7"/>
  <c r="B17" i="7"/>
  <c r="B34" i="7"/>
  <c r="B6" i="7"/>
  <c r="B27" i="7"/>
  <c r="B22" i="7"/>
  <c r="B31" i="7"/>
  <c r="B8" i="7"/>
  <c r="B11" i="7"/>
  <c r="B29" i="7"/>
  <c r="B10" i="7"/>
  <c r="B45" i="7"/>
  <c r="B40" i="7"/>
  <c r="B15" i="7"/>
  <c r="B49" i="7"/>
  <c r="B39" i="7"/>
  <c r="B33" i="7"/>
  <c r="B20" i="7"/>
  <c r="B42" i="7"/>
  <c r="B46" i="7"/>
  <c r="B547" i="7"/>
  <c r="B542" i="7"/>
  <c r="B549" i="7"/>
  <c r="B556" i="7"/>
  <c r="B562" i="7"/>
  <c r="B555" i="7"/>
  <c r="B554" i="7"/>
  <c r="B539" i="7"/>
  <c r="B575" i="7"/>
  <c r="B563" i="7"/>
  <c r="B572" i="7"/>
  <c r="B571" i="7"/>
  <c r="B580" i="7"/>
  <c r="B551" i="7"/>
  <c r="B573" i="7"/>
  <c r="B559" i="7"/>
  <c r="B545" i="7"/>
  <c r="B569" i="7"/>
  <c r="B534" i="7"/>
  <c r="B570" i="7"/>
  <c r="B560" i="7"/>
  <c r="B561" i="7"/>
  <c r="B543" i="7"/>
  <c r="B581" i="7"/>
  <c r="B540" i="7"/>
  <c r="B544" i="7"/>
  <c r="B558" i="7"/>
  <c r="B552" i="7"/>
  <c r="B538" i="7"/>
  <c r="B574" i="7"/>
  <c r="B546" i="7"/>
  <c r="B579" i="7"/>
  <c r="B535" i="7"/>
  <c r="B537" i="7"/>
  <c r="B567" i="7"/>
  <c r="B557" i="7"/>
  <c r="B568" i="7"/>
  <c r="B564" i="7"/>
  <c r="B576" i="7"/>
  <c r="B582" i="7"/>
  <c r="B548" i="7"/>
  <c r="B566" i="7"/>
  <c r="B577" i="7"/>
  <c r="B553" i="7"/>
  <c r="B541" i="7"/>
  <c r="B536" i="7"/>
  <c r="B550" i="7"/>
  <c r="B565" i="7"/>
  <c r="B578" i="7"/>
  <c r="B5" i="7"/>
  <c r="J8" i="9"/>
  <c r="K5" i="7" l="1"/>
  <c r="C105" i="9" s="1"/>
  <c r="K6" i="7"/>
  <c r="S36" i="9" s="1"/>
  <c r="J9" i="9"/>
  <c r="S30" i="9" l="1"/>
  <c r="S43" i="9"/>
  <c r="S42" i="9"/>
  <c r="S32" i="9"/>
  <c r="S25" i="9"/>
  <c r="S33" i="9"/>
  <c r="S41" i="9"/>
  <c r="Q44" i="9"/>
  <c r="S26" i="9"/>
  <c r="S27" i="9"/>
  <c r="S34" i="9"/>
  <c r="Q25" i="9"/>
  <c r="S31" i="9"/>
  <c r="S37" i="9"/>
  <c r="S38" i="9"/>
  <c r="S39" i="9"/>
  <c r="S28" i="9"/>
  <c r="S40" i="9"/>
  <c r="S35" i="9"/>
  <c r="S44" i="9"/>
  <c r="S29" i="9"/>
  <c r="S5" i="9"/>
  <c r="Q5" i="9"/>
  <c r="R5" i="9" s="1"/>
  <c r="Q14" i="9"/>
  <c r="S18" i="9"/>
  <c r="S17" i="9"/>
  <c r="S24" i="9"/>
  <c r="S16" i="9"/>
  <c r="S10" i="9"/>
  <c r="Q35" i="9"/>
  <c r="Q26" i="9"/>
  <c r="Q32" i="9"/>
  <c r="Q8" i="9"/>
  <c r="C62" i="9"/>
  <c r="D62" i="9" s="1"/>
  <c r="Q30" i="9"/>
  <c r="C89" i="9"/>
  <c r="D89" i="9" s="1"/>
  <c r="Q42" i="9"/>
  <c r="Q43" i="9"/>
  <c r="R43" i="9" s="1"/>
  <c r="C42" i="9"/>
  <c r="C59" i="9"/>
  <c r="C253" i="9"/>
  <c r="C129" i="9"/>
  <c r="C244" i="9"/>
  <c r="C197" i="9"/>
  <c r="C198" i="9"/>
  <c r="C238" i="9"/>
  <c r="C168" i="9"/>
  <c r="C257" i="9"/>
  <c r="C182" i="9"/>
  <c r="D182" i="9" s="1"/>
  <c r="C88" i="9"/>
  <c r="C66" i="9"/>
  <c r="C216" i="9"/>
  <c r="C233" i="9"/>
  <c r="Q41" i="9"/>
  <c r="C169" i="9"/>
  <c r="D169" i="9" s="1"/>
  <c r="C228" i="9"/>
  <c r="C146" i="9"/>
  <c r="D146" i="9" s="1"/>
  <c r="C94" i="9"/>
  <c r="C217" i="9"/>
  <c r="C209" i="9"/>
  <c r="C160" i="9"/>
  <c r="C215" i="9"/>
  <c r="C96" i="9"/>
  <c r="C33" i="9"/>
  <c r="C106" i="9"/>
  <c r="C222" i="9"/>
  <c r="D222" i="9" s="1"/>
  <c r="C175" i="9"/>
  <c r="C14" i="9"/>
  <c r="D14" i="9" s="1"/>
  <c r="C207" i="9"/>
  <c r="C177" i="9"/>
  <c r="D177" i="9" s="1"/>
  <c r="C32" i="9"/>
  <c r="D32" i="9" s="1"/>
  <c r="C112" i="9"/>
  <c r="D112" i="9" s="1"/>
  <c r="C107" i="9"/>
  <c r="D107" i="9" s="1"/>
  <c r="C26" i="9"/>
  <c r="D26" i="9" s="1"/>
  <c r="C191" i="9"/>
  <c r="C214" i="9"/>
  <c r="C125" i="9"/>
  <c r="C84" i="9"/>
  <c r="C196" i="9"/>
  <c r="C144" i="9"/>
  <c r="D144" i="9" s="1"/>
  <c r="C188" i="9"/>
  <c r="C119" i="9"/>
  <c r="C91" i="9"/>
  <c r="C143" i="9"/>
  <c r="D143" i="9" s="1"/>
  <c r="Q37" i="9"/>
  <c r="C56" i="9"/>
  <c r="C194" i="9"/>
  <c r="D194" i="9" s="1"/>
  <c r="C154" i="9"/>
  <c r="C86" i="9"/>
  <c r="C126" i="9"/>
  <c r="D126" i="9" s="1"/>
  <c r="C83" i="9"/>
  <c r="C171" i="9"/>
  <c r="D171" i="9" s="1"/>
  <c r="C193" i="9"/>
  <c r="D193" i="9" s="1"/>
  <c r="C120" i="9"/>
  <c r="C118" i="9"/>
  <c r="C101" i="9"/>
  <c r="D101" i="9" s="1"/>
  <c r="C9" i="9"/>
  <c r="D9" i="9" s="1"/>
  <c r="C123" i="9"/>
  <c r="C145" i="9"/>
  <c r="C128" i="9"/>
  <c r="C245" i="9"/>
  <c r="D245" i="9" s="1"/>
  <c r="C103" i="9"/>
  <c r="C23" i="9"/>
  <c r="D23" i="9" s="1"/>
  <c r="C104" i="9"/>
  <c r="C225" i="9"/>
  <c r="C24" i="9"/>
  <c r="D24" i="9" s="1"/>
  <c r="C239" i="9"/>
  <c r="C232" i="9"/>
  <c r="D232" i="9" s="1"/>
  <c r="C6" i="9"/>
  <c r="D6" i="9" s="1"/>
  <c r="C186" i="9"/>
  <c r="C49" i="9"/>
  <c r="D49" i="9" s="1"/>
  <c r="C136" i="9"/>
  <c r="C98" i="9"/>
  <c r="C53" i="9"/>
  <c r="C77" i="9"/>
  <c r="C226" i="9"/>
  <c r="C213" i="9"/>
  <c r="Q11" i="9"/>
  <c r="C18" i="9"/>
  <c r="C156" i="9"/>
  <c r="C131" i="9"/>
  <c r="C7" i="9"/>
  <c r="D7" i="9" s="1"/>
  <c r="C108" i="9"/>
  <c r="D108" i="9" s="1"/>
  <c r="C111" i="9"/>
  <c r="C139" i="9"/>
  <c r="C13" i="9"/>
  <c r="D13" i="9" s="1"/>
  <c r="C132" i="9"/>
  <c r="C140" i="9"/>
  <c r="C223" i="9"/>
  <c r="C11" i="9"/>
  <c r="D11" i="9" s="1"/>
  <c r="S19" i="9"/>
  <c r="C38" i="9"/>
  <c r="D38" i="9" s="1"/>
  <c r="C82" i="9"/>
  <c r="C231" i="9"/>
  <c r="C212" i="9"/>
  <c r="D212" i="9" s="1"/>
  <c r="C206" i="9"/>
  <c r="C229" i="9"/>
  <c r="C189" i="9"/>
  <c r="C43" i="9"/>
  <c r="D43" i="9" s="1"/>
  <c r="C162" i="9"/>
  <c r="C227" i="9"/>
  <c r="D227" i="9" s="1"/>
  <c r="C78" i="9"/>
  <c r="D78" i="9" s="1"/>
  <c r="C262" i="9"/>
  <c r="Q27" i="9"/>
  <c r="C135" i="9"/>
  <c r="C248" i="9"/>
  <c r="C157" i="9"/>
  <c r="C234" i="9"/>
  <c r="C141" i="9"/>
  <c r="C60" i="9"/>
  <c r="D60" i="9" s="1"/>
  <c r="C71" i="9"/>
  <c r="D71" i="9" s="1"/>
  <c r="C173" i="9"/>
  <c r="C149" i="9"/>
  <c r="C181" i="9"/>
  <c r="C264" i="9"/>
  <c r="C92" i="9"/>
  <c r="D92" i="9" s="1"/>
  <c r="C142" i="9"/>
  <c r="D142" i="9" s="1"/>
  <c r="C263" i="9"/>
  <c r="C203" i="9"/>
  <c r="C147" i="9"/>
  <c r="C183" i="9"/>
  <c r="D183" i="9" s="1"/>
  <c r="C117" i="9"/>
  <c r="C252" i="9"/>
  <c r="C61" i="9"/>
  <c r="C242" i="9"/>
  <c r="C37" i="9"/>
  <c r="D37" i="9" s="1"/>
  <c r="C73" i="9"/>
  <c r="C190" i="9"/>
  <c r="C249" i="9"/>
  <c r="C95" i="9"/>
  <c r="D95" i="9" s="1"/>
  <c r="C153" i="9"/>
  <c r="D153" i="9" s="1"/>
  <c r="C114" i="9"/>
  <c r="C201" i="9"/>
  <c r="D201" i="9" s="1"/>
  <c r="C52" i="9"/>
  <c r="D52" i="9" s="1"/>
  <c r="C57" i="9"/>
  <c r="C64" i="9"/>
  <c r="C172" i="9"/>
  <c r="C151" i="9"/>
  <c r="C34" i="9"/>
  <c r="C55" i="9"/>
  <c r="D55" i="9" s="1"/>
  <c r="C155" i="9"/>
  <c r="C165" i="9"/>
  <c r="C267" i="9"/>
  <c r="D267" i="9" s="1"/>
  <c r="C260" i="9"/>
  <c r="C45" i="9"/>
  <c r="C210" i="9"/>
  <c r="C115" i="9"/>
  <c r="C109" i="9"/>
  <c r="C30" i="9"/>
  <c r="D30" i="9" s="1"/>
  <c r="C39" i="9"/>
  <c r="D39" i="9" s="1"/>
  <c r="C29" i="9"/>
  <c r="C137" i="9"/>
  <c r="C134" i="9"/>
  <c r="D134" i="9" s="1"/>
  <c r="C48" i="9"/>
  <c r="D48" i="9" s="1"/>
  <c r="C124" i="9"/>
  <c r="C265" i="9"/>
  <c r="C187" i="9"/>
  <c r="D187" i="9" s="1"/>
  <c r="C99" i="9"/>
  <c r="C133" i="9"/>
  <c r="C221" i="9"/>
  <c r="C211" i="9"/>
  <c r="C97" i="9"/>
  <c r="C25" i="9"/>
  <c r="C10" i="9"/>
  <c r="D10" i="9" s="1"/>
  <c r="C184" i="9"/>
  <c r="C246" i="9"/>
  <c r="C218" i="9"/>
  <c r="C27" i="9"/>
  <c r="C138" i="9"/>
  <c r="D138" i="9" s="1"/>
  <c r="C152" i="9"/>
  <c r="C185" i="9"/>
  <c r="C54" i="9"/>
  <c r="D54" i="9" s="1"/>
  <c r="C87" i="9"/>
  <c r="C159" i="9"/>
  <c r="D159" i="9" s="1"/>
  <c r="C235" i="9"/>
  <c r="C68" i="9"/>
  <c r="D68" i="9" s="1"/>
  <c r="C176" i="9"/>
  <c r="C268" i="9"/>
  <c r="C12" i="9"/>
  <c r="D12" i="9" s="1"/>
  <c r="C116" i="9"/>
  <c r="C200" i="9"/>
  <c r="C258" i="9"/>
  <c r="C28" i="9"/>
  <c r="D28" i="9" s="1"/>
  <c r="C237" i="9"/>
  <c r="Q10" i="9"/>
  <c r="S12" i="9"/>
  <c r="S8" i="9"/>
  <c r="Q16" i="9"/>
  <c r="C166" i="9"/>
  <c r="C8" i="9"/>
  <c r="C167" i="9"/>
  <c r="Q19" i="9"/>
  <c r="Q38" i="9"/>
  <c r="S9" i="9"/>
  <c r="Q29" i="9"/>
  <c r="C179" i="9"/>
  <c r="C22" i="9"/>
  <c r="C127" i="9"/>
  <c r="D127" i="9" s="1"/>
  <c r="C219" i="9"/>
  <c r="D219" i="9" s="1"/>
  <c r="C254" i="9"/>
  <c r="C202" i="9"/>
  <c r="D202" i="9" s="1"/>
  <c r="C16" i="9"/>
  <c r="D16" i="9" s="1"/>
  <c r="C74" i="9"/>
  <c r="C113" i="9"/>
  <c r="D113" i="9" s="1"/>
  <c r="C220" i="9"/>
  <c r="C170" i="9"/>
  <c r="C63" i="9"/>
  <c r="D63" i="9" s="1"/>
  <c r="C75" i="9"/>
  <c r="C102" i="9"/>
  <c r="C110" i="9"/>
  <c r="S21" i="9"/>
  <c r="Q12" i="9"/>
  <c r="Q6" i="9"/>
  <c r="Q23" i="9"/>
  <c r="C148" i="9"/>
  <c r="C161" i="9"/>
  <c r="C100" i="9"/>
  <c r="C195" i="9"/>
  <c r="D195" i="9" s="1"/>
  <c r="C240" i="9"/>
  <c r="D240" i="9" s="1"/>
  <c r="C46" i="9"/>
  <c r="D46" i="9" s="1"/>
  <c r="C76" i="9"/>
  <c r="C85" i="9"/>
  <c r="C65" i="9"/>
  <c r="C47" i="9"/>
  <c r="D47" i="9" s="1"/>
  <c r="C164" i="9"/>
  <c r="C204" i="9"/>
  <c r="C251" i="9"/>
  <c r="D251" i="9" s="1"/>
  <c r="C17" i="9"/>
  <c r="D17" i="9" s="1"/>
  <c r="C81" i="9"/>
  <c r="D81" i="9" s="1"/>
  <c r="Q22" i="9"/>
  <c r="Q9" i="9"/>
  <c r="Q36" i="9"/>
  <c r="Q13" i="9"/>
  <c r="S6" i="9"/>
  <c r="C41" i="9"/>
  <c r="D41" i="9" s="1"/>
  <c r="C208" i="9"/>
  <c r="D208" i="9" s="1"/>
  <c r="C58" i="9"/>
  <c r="D58" i="9" s="1"/>
  <c r="C69" i="9"/>
  <c r="C21" i="9"/>
  <c r="D21" i="9" s="1"/>
  <c r="C93" i="9"/>
  <c r="C205" i="9"/>
  <c r="C67" i="9"/>
  <c r="C80" i="9"/>
  <c r="C79" i="9"/>
  <c r="C163" i="9"/>
  <c r="C15" i="9"/>
  <c r="D15" i="9" s="1"/>
  <c r="C180" i="9"/>
  <c r="C90" i="9"/>
  <c r="D90" i="9" s="1"/>
  <c r="C247" i="9"/>
  <c r="Q33" i="9"/>
  <c r="Q39" i="9"/>
  <c r="Q17" i="9"/>
  <c r="Q34" i="9"/>
  <c r="Q7" i="9"/>
  <c r="S20" i="9"/>
  <c r="Q20" i="9"/>
  <c r="S23" i="9"/>
  <c r="S7" i="9"/>
  <c r="Q31" i="9"/>
  <c r="C72" i="9"/>
  <c r="D72" i="9" s="1"/>
  <c r="C241" i="9"/>
  <c r="C243" i="9"/>
  <c r="C20" i="9"/>
  <c r="D20" i="9" s="1"/>
  <c r="C36" i="9"/>
  <c r="D36" i="9" s="1"/>
  <c r="C122" i="9"/>
  <c r="C35" i="9"/>
  <c r="D35" i="9" s="1"/>
  <c r="C44" i="9"/>
  <c r="D44" i="9" s="1"/>
  <c r="C40" i="9"/>
  <c r="D40" i="9" s="1"/>
  <c r="C150" i="9"/>
  <c r="D150" i="9" s="1"/>
  <c r="S22" i="9"/>
  <c r="S11" i="9"/>
  <c r="Q24" i="9"/>
  <c r="Q15" i="9"/>
  <c r="S14" i="9"/>
  <c r="C259" i="9"/>
  <c r="C230" i="9"/>
  <c r="C192" i="9"/>
  <c r="C199" i="9"/>
  <c r="C31" i="9"/>
  <c r="D31" i="9" s="1"/>
  <c r="C70" i="9"/>
  <c r="C51" i="9"/>
  <c r="D51" i="9" s="1"/>
  <c r="C261" i="9"/>
  <c r="C121" i="9"/>
  <c r="C174" i="9"/>
  <c r="D174" i="9" s="1"/>
  <c r="C130" i="9"/>
  <c r="D130" i="9" s="1"/>
  <c r="C224" i="9"/>
  <c r="C250" i="9"/>
  <c r="C236" i="9"/>
  <c r="C266" i="9"/>
  <c r="C178" i="9"/>
  <c r="Q40" i="9"/>
  <c r="Q28" i="9"/>
  <c r="Q18" i="9"/>
  <c r="S15" i="9"/>
  <c r="S13" i="9"/>
  <c r="Q21" i="9"/>
  <c r="C256" i="9"/>
  <c r="C19" i="9"/>
  <c r="D19" i="9" s="1"/>
  <c r="C158" i="9"/>
  <c r="D158" i="9" s="1"/>
  <c r="C255" i="9"/>
  <c r="C50" i="9"/>
  <c r="D50" i="9" s="1"/>
  <c r="D167" i="9"/>
  <c r="D191" i="9"/>
  <c r="D214" i="9"/>
  <c r="D125" i="9"/>
  <c r="D106" i="9"/>
  <c r="D154" i="9"/>
  <c r="D86" i="9"/>
  <c r="D265" i="9"/>
  <c r="D136" i="9"/>
  <c r="D233" i="9"/>
  <c r="D111" i="9"/>
  <c r="D216" i="9"/>
  <c r="D33" i="9"/>
  <c r="D98" i="9"/>
  <c r="D206" i="9"/>
  <c r="D229" i="9"/>
  <c r="D27" i="9"/>
  <c r="D96" i="9"/>
  <c r="D200" i="9"/>
  <c r="D157" i="9"/>
  <c r="D234" i="9"/>
  <c r="D141" i="9"/>
  <c r="D203" i="9"/>
  <c r="D147" i="9"/>
  <c r="D74" i="9"/>
  <c r="D45" i="9"/>
  <c r="D123" i="9"/>
  <c r="D88" i="9"/>
  <c r="D145" i="9"/>
  <c r="D66" i="9"/>
  <c r="D128" i="9"/>
  <c r="D164" i="9"/>
  <c r="D114" i="9"/>
  <c r="D105" i="9"/>
  <c r="D124" i="9"/>
  <c r="D116" i="9"/>
  <c r="D42" i="9"/>
  <c r="D59" i="9"/>
  <c r="D253" i="9"/>
  <c r="D139" i="9"/>
  <c r="D260" i="9"/>
  <c r="D8" i="9"/>
  <c r="E217" i="9"/>
  <c r="E118" i="9"/>
  <c r="E235" i="9"/>
  <c r="E167" i="9"/>
  <c r="E194" i="9"/>
  <c r="E265" i="9"/>
  <c r="E135" i="9"/>
  <c r="E236" i="9"/>
  <c r="E191" i="9"/>
  <c r="E186" i="9"/>
  <c r="E231" i="9"/>
  <c r="E202" i="9"/>
  <c r="E136" i="9"/>
  <c r="E216" i="9"/>
  <c r="E234" i="9"/>
  <c r="E147" i="9"/>
  <c r="E145" i="9"/>
  <c r="E183" i="9"/>
  <c r="E214" i="9"/>
  <c r="E203" i="9"/>
  <c r="E125" i="9"/>
  <c r="E229" i="9"/>
  <c r="E153" i="9"/>
  <c r="E116" i="9"/>
  <c r="E187" i="9"/>
  <c r="E200" i="9"/>
  <c r="E154" i="9"/>
  <c r="E124" i="9"/>
  <c r="E253" i="9"/>
  <c r="E201" i="9"/>
  <c r="E212" i="9"/>
  <c r="E141" i="9"/>
  <c r="E139" i="9"/>
  <c r="E129" i="9"/>
  <c r="E138" i="9"/>
  <c r="E208" i="9"/>
  <c r="E157" i="9"/>
  <c r="E260" i="9"/>
  <c r="E206" i="9"/>
  <c r="E244" i="9"/>
  <c r="E175" i="9"/>
  <c r="E164" i="9"/>
  <c r="E197" i="9"/>
  <c r="E226" i="9"/>
  <c r="E140" i="9"/>
  <c r="E173" i="9"/>
  <c r="E245" i="9"/>
  <c r="E123" i="9"/>
  <c r="E128" i="9"/>
  <c r="E114" i="9"/>
  <c r="E213" i="9"/>
  <c r="E223" i="9"/>
  <c r="E233" i="9"/>
  <c r="E150" i="9"/>
  <c r="E238" i="9"/>
  <c r="E119" i="9"/>
  <c r="E181" i="9"/>
  <c r="E91" i="9"/>
  <c r="E96" i="9"/>
  <c r="E76" i="9"/>
  <c r="E106" i="9"/>
  <c r="E74" i="9"/>
  <c r="E105" i="9"/>
  <c r="E92" i="9"/>
  <c r="E66" i="9"/>
  <c r="E58" i="9"/>
  <c r="E111" i="9"/>
  <c r="E89" i="9"/>
  <c r="E88" i="9"/>
  <c r="E101" i="9"/>
  <c r="E70" i="9"/>
  <c r="E98" i="9"/>
  <c r="E90" i="9"/>
  <c r="E103" i="9"/>
  <c r="E53" i="9"/>
  <c r="E95" i="9"/>
  <c r="E65" i="9"/>
  <c r="E83" i="9"/>
  <c r="E86" i="9"/>
  <c r="E64" i="9"/>
  <c r="E55" i="9"/>
  <c r="E112" i="9"/>
  <c r="E108" i="9"/>
  <c r="E59" i="9"/>
  <c r="X5" i="9"/>
  <c r="E18" i="9"/>
  <c r="E33" i="9"/>
  <c r="E50" i="9"/>
  <c r="E51" i="9"/>
  <c r="E20" i="9"/>
  <c r="E41" i="9"/>
  <c r="E45" i="9"/>
  <c r="E36" i="9"/>
  <c r="E42" i="9"/>
  <c r="E9" i="9"/>
  <c r="E16" i="9"/>
  <c r="E19" i="9"/>
  <c r="E49" i="9"/>
  <c r="E10" i="9"/>
  <c r="E44" i="9"/>
  <c r="E23" i="9"/>
  <c r="E14" i="9"/>
  <c r="E21" i="9"/>
  <c r="E29" i="9"/>
  <c r="E6" i="9"/>
  <c r="E7" i="9"/>
  <c r="E43" i="9"/>
  <c r="E26" i="9"/>
  <c r="E47" i="9"/>
  <c r="E13" i="9"/>
  <c r="E48" i="9"/>
  <c r="E17" i="9"/>
  <c r="E32" i="9"/>
  <c r="E31" i="9"/>
  <c r="E27" i="9"/>
  <c r="E46" i="9"/>
  <c r="E25" i="9"/>
  <c r="E15" i="9"/>
  <c r="E35" i="9"/>
  <c r="E34" i="9"/>
  <c r="E40" i="9"/>
  <c r="E8" i="9"/>
  <c r="J10" i="9"/>
  <c r="E38" i="9"/>
  <c r="E12" i="9"/>
  <c r="E22" i="9"/>
  <c r="E28" i="9"/>
  <c r="E30" i="9"/>
  <c r="R37" i="9" l="1"/>
  <c r="R16" i="9"/>
  <c r="D218" i="9"/>
  <c r="D166" i="9"/>
  <c r="D160" i="9"/>
  <c r="R17" i="9"/>
  <c r="R39" i="9"/>
  <c r="D129" i="9"/>
  <c r="R21" i="9"/>
  <c r="D248" i="9"/>
  <c r="R18" i="9"/>
  <c r="R31" i="9"/>
  <c r="D209" i="9"/>
  <c r="D257" i="9"/>
  <c r="D178" i="9"/>
  <c r="D186" i="9"/>
  <c r="D213" i="9"/>
  <c r="D180" i="9"/>
  <c r="D175" i="9"/>
  <c r="D165" i="9"/>
  <c r="R41" i="9"/>
  <c r="R24" i="9"/>
  <c r="D205" i="9"/>
  <c r="D225" i="9"/>
  <c r="D255" i="9"/>
  <c r="D220" i="9"/>
  <c r="D69" i="9"/>
  <c r="R40" i="9"/>
  <c r="D137" i="9"/>
  <c r="D204" i="9"/>
  <c r="D242" i="9"/>
  <c r="R10" i="9"/>
  <c r="D196" i="9"/>
  <c r="D83" i="9"/>
  <c r="D244" i="9"/>
  <c r="D132" i="9"/>
  <c r="D252" i="9"/>
  <c r="D77" i="9"/>
  <c r="R34" i="9"/>
  <c r="D228" i="9"/>
  <c r="D104" i="9"/>
  <c r="D140" i="9"/>
  <c r="D76" i="9"/>
  <c r="D184" i="9"/>
  <c r="D223" i="9"/>
  <c r="D198" i="9"/>
  <c r="D75" i="9"/>
  <c r="D197" i="9"/>
  <c r="D87" i="9"/>
  <c r="D211" i="9"/>
  <c r="D149" i="9"/>
  <c r="D57" i="9"/>
  <c r="D179" i="9"/>
  <c r="D207" i="9"/>
  <c r="D115" i="9"/>
  <c r="D133" i="9"/>
  <c r="D109" i="9"/>
  <c r="D221" i="9"/>
  <c r="D188" i="9"/>
  <c r="D185" i="9"/>
  <c r="D226" i="9"/>
  <c r="D172" i="9"/>
  <c r="D156" i="9"/>
  <c r="D190" i="9"/>
  <c r="D135" i="9"/>
  <c r="D82" i="9"/>
  <c r="R28" i="9"/>
  <c r="D237" i="9"/>
  <c r="R32" i="9"/>
  <c r="D80" i="9"/>
  <c r="R23" i="9"/>
  <c r="D103" i="9"/>
  <c r="R42" i="9"/>
  <c r="D151" i="9"/>
  <c r="D238" i="9"/>
  <c r="D181" i="9"/>
  <c r="D120" i="9"/>
  <c r="D94" i="9"/>
  <c r="D119" i="9"/>
  <c r="D97" i="9"/>
  <c r="D247" i="9"/>
  <c r="R7" i="9"/>
  <c r="R15" i="9"/>
  <c r="R25" i="9"/>
  <c r="D249" i="9"/>
  <c r="R30" i="9"/>
  <c r="R9" i="9"/>
  <c r="R22" i="9"/>
  <c r="D148" i="9"/>
  <c r="D53" i="9"/>
  <c r="R19" i="9"/>
  <c r="D210" i="9"/>
  <c r="D99" i="9"/>
  <c r="D152" i="9"/>
  <c r="D258" i="9"/>
  <c r="R13" i="9"/>
  <c r="R44" i="9"/>
  <c r="R36" i="9"/>
  <c r="R14" i="9"/>
  <c r="R11" i="9"/>
  <c r="R8" i="9"/>
  <c r="R33" i="9"/>
  <c r="R29" i="9"/>
  <c r="R38" i="9"/>
  <c r="R26" i="9"/>
  <c r="R35" i="9"/>
  <c r="R6" i="9"/>
  <c r="R20" i="9"/>
  <c r="R12" i="9"/>
  <c r="R27" i="9"/>
  <c r="D65" i="9"/>
  <c r="D254" i="9"/>
  <c r="D268" i="9"/>
  <c r="D266" i="9"/>
  <c r="D84" i="9"/>
  <c r="D189" i="9"/>
  <c r="D117" i="9"/>
  <c r="D163" i="9"/>
  <c r="D131" i="9"/>
  <c r="D231" i="9"/>
  <c r="D110" i="9"/>
  <c r="D155" i="9"/>
  <c r="D192" i="9"/>
  <c r="D56" i="9"/>
  <c r="D176" i="9"/>
  <c r="D79" i="9"/>
  <c r="D263" i="9"/>
  <c r="D246" i="9"/>
  <c r="D85" i="9"/>
  <c r="D61" i="9"/>
  <c r="D170" i="9"/>
  <c r="D162" i="9"/>
  <c r="D230" i="9"/>
  <c r="D173" i="9"/>
  <c r="D64" i="9"/>
  <c r="D256" i="9"/>
  <c r="D215" i="9"/>
  <c r="D161" i="9"/>
  <c r="D236" i="9"/>
  <c r="D93" i="9"/>
  <c r="D100" i="9"/>
  <c r="D250" i="9"/>
  <c r="D70" i="9"/>
  <c r="D259" i="9"/>
  <c r="D241" i="9"/>
  <c r="D118" i="9"/>
  <c r="D264" i="9"/>
  <c r="D73" i="9"/>
  <c r="D29" i="9"/>
  <c r="D18" i="9"/>
  <c r="D239" i="9"/>
  <c r="D67" i="9"/>
  <c r="D121" i="9"/>
  <c r="D25" i="9"/>
  <c r="D235" i="9"/>
  <c r="D34" i="9"/>
  <c r="D262" i="9"/>
  <c r="D168" i="9"/>
  <c r="D22" i="9"/>
  <c r="D102" i="9"/>
  <c r="D91" i="9"/>
  <c r="D217" i="9"/>
  <c r="D224" i="9"/>
  <c r="D243" i="9"/>
  <c r="D261" i="9"/>
  <c r="D122" i="9"/>
  <c r="D199" i="9"/>
  <c r="X37" i="9"/>
  <c r="X14" i="9"/>
  <c r="E222" i="9"/>
  <c r="E165" i="9"/>
  <c r="E137" i="9"/>
  <c r="E219" i="9"/>
  <c r="E127" i="9"/>
  <c r="E170" i="9"/>
  <c r="E166" i="9"/>
  <c r="E182" i="9"/>
  <c r="E179" i="9"/>
  <c r="E177" i="9"/>
  <c r="E148" i="9"/>
  <c r="E262" i="9"/>
  <c r="E121" i="9"/>
  <c r="E240" i="9"/>
  <c r="E257" i="9"/>
  <c r="E180" i="9"/>
  <c r="E252" i="9"/>
  <c r="E242" i="9"/>
  <c r="E151" i="9"/>
  <c r="E246" i="9"/>
  <c r="E239" i="9"/>
  <c r="E218" i="9"/>
  <c r="E168" i="9"/>
  <c r="E156" i="9"/>
  <c r="E143" i="9"/>
  <c r="E178" i="9"/>
  <c r="E169" i="9"/>
  <c r="E251" i="9"/>
  <c r="E227" i="9"/>
  <c r="E185" i="9"/>
  <c r="E184" i="9"/>
  <c r="E142" i="9"/>
  <c r="E193" i="9"/>
  <c r="E225" i="9"/>
  <c r="E195" i="9"/>
  <c r="E258" i="9"/>
  <c r="E122" i="9"/>
  <c r="E232" i="9"/>
  <c r="E172" i="9"/>
  <c r="E210" i="9"/>
  <c r="E144" i="9"/>
  <c r="E171" i="9"/>
  <c r="E146" i="9"/>
  <c r="E209" i="9"/>
  <c r="E254" i="9"/>
  <c r="E152" i="9"/>
  <c r="E230" i="9"/>
  <c r="E199" i="9"/>
  <c r="E160" i="9"/>
  <c r="E249" i="9"/>
  <c r="E162" i="9"/>
  <c r="E115" i="9"/>
  <c r="E190" i="9"/>
  <c r="E159" i="9"/>
  <c r="E134" i="9"/>
  <c r="E215" i="9"/>
  <c r="E237" i="9"/>
  <c r="E224" i="9"/>
  <c r="E130" i="9"/>
  <c r="E241" i="9"/>
  <c r="E261" i="9"/>
  <c r="E117" i="9"/>
  <c r="E248" i="9"/>
  <c r="E263" i="9"/>
  <c r="E188" i="9"/>
  <c r="E131" i="9"/>
  <c r="E149" i="9"/>
  <c r="E221" i="9"/>
  <c r="E255" i="9"/>
  <c r="E163" i="9"/>
  <c r="E247" i="9"/>
  <c r="E243" i="9"/>
  <c r="E192" i="9"/>
  <c r="E264" i="9"/>
  <c r="E259" i="9"/>
  <c r="E161" i="9"/>
  <c r="E196" i="9"/>
  <c r="E155" i="9"/>
  <c r="E174" i="9"/>
  <c r="E220" i="9"/>
  <c r="E211" i="9"/>
  <c r="E176" i="9"/>
  <c r="E256" i="9"/>
  <c r="E250" i="9"/>
  <c r="E205" i="9"/>
  <c r="E158" i="9"/>
  <c r="E204" i="9"/>
  <c r="E132" i="9"/>
  <c r="E198" i="9"/>
  <c r="E207" i="9"/>
  <c r="E126" i="9"/>
  <c r="E268" i="9"/>
  <c r="E267" i="9"/>
  <c r="E133" i="9"/>
  <c r="E120" i="9"/>
  <c r="E266" i="9"/>
  <c r="E189" i="9"/>
  <c r="E228" i="9"/>
  <c r="X39" i="9"/>
  <c r="X18" i="9"/>
  <c r="X31" i="9"/>
  <c r="E78" i="9"/>
  <c r="E110" i="9"/>
  <c r="E107" i="9"/>
  <c r="E93" i="9"/>
  <c r="E57" i="9"/>
  <c r="E69" i="9"/>
  <c r="E113" i="9"/>
  <c r="E82" i="9"/>
  <c r="E63" i="9"/>
  <c r="E75" i="9"/>
  <c r="E84" i="9"/>
  <c r="E80" i="9"/>
  <c r="E85" i="9"/>
  <c r="E67" i="9"/>
  <c r="E73" i="9"/>
  <c r="E54" i="9"/>
  <c r="E102" i="9"/>
  <c r="E79" i="9"/>
  <c r="E72" i="9"/>
  <c r="E68" i="9"/>
  <c r="E71" i="9"/>
  <c r="E77" i="9"/>
  <c r="E94" i="9"/>
  <c r="E97" i="9"/>
  <c r="E60" i="9"/>
  <c r="E81" i="9"/>
  <c r="E61" i="9"/>
  <c r="E62" i="9"/>
  <c r="E104" i="9"/>
  <c r="E87" i="9"/>
  <c r="E99" i="9"/>
  <c r="E100" i="9"/>
  <c r="E52" i="9"/>
  <c r="E56" i="9"/>
  <c r="E109" i="9"/>
  <c r="X41" i="9"/>
  <c r="X44" i="9"/>
  <c r="X32" i="9"/>
  <c r="X43" i="9"/>
  <c r="X23" i="9"/>
  <c r="X19" i="9"/>
  <c r="X33" i="9"/>
  <c r="X40" i="9"/>
  <c r="X7" i="9"/>
  <c r="X26" i="9"/>
  <c r="X15" i="9"/>
  <c r="X9" i="9"/>
  <c r="X35" i="9"/>
  <c r="X6" i="9"/>
  <c r="X10" i="9"/>
  <c r="X27" i="9"/>
  <c r="X17" i="9"/>
  <c r="X28" i="9"/>
  <c r="X30" i="9"/>
  <c r="X13" i="9"/>
  <c r="X20" i="9"/>
  <c r="X12" i="9"/>
  <c r="X34" i="9"/>
  <c r="X21" i="9"/>
  <c r="X16" i="9"/>
  <c r="X29" i="9"/>
  <c r="X11" i="9"/>
  <c r="X24" i="9"/>
  <c r="X42" i="9"/>
  <c r="X8" i="9"/>
  <c r="X38" i="9"/>
  <c r="X25" i="9"/>
  <c r="X36" i="9"/>
  <c r="X22" i="9"/>
  <c r="J11" i="9"/>
  <c r="E37" i="9"/>
  <c r="E39" i="9"/>
  <c r="E24" i="9"/>
  <c r="E11" i="9"/>
  <c r="B181" i="9" l="1"/>
  <c r="B140" i="9"/>
  <c r="B139" i="9"/>
  <c r="B125" i="9"/>
  <c r="B191" i="9"/>
  <c r="B119" i="9"/>
  <c r="B226" i="9"/>
  <c r="B141" i="9"/>
  <c r="B203" i="9"/>
  <c r="B236" i="9"/>
  <c r="B238" i="9"/>
  <c r="B197" i="9"/>
  <c r="B212" i="9"/>
  <c r="B214" i="9"/>
  <c r="B135" i="9"/>
  <c r="B150" i="9"/>
  <c r="B164" i="9"/>
  <c r="B201" i="9"/>
  <c r="B183" i="9"/>
  <c r="B265" i="9"/>
  <c r="B233" i="9"/>
  <c r="B175" i="9"/>
  <c r="B253" i="9"/>
  <c r="B145" i="9"/>
  <c r="B194" i="9"/>
  <c r="B223" i="9"/>
  <c r="B244" i="9"/>
  <c r="B124" i="9"/>
  <c r="B147" i="9"/>
  <c r="B167" i="9"/>
  <c r="B213" i="9"/>
  <c r="B206" i="9"/>
  <c r="B154" i="9"/>
  <c r="B234" i="9"/>
  <c r="B235" i="9"/>
  <c r="B114" i="9"/>
  <c r="B260" i="9"/>
  <c r="B200" i="9"/>
  <c r="B216" i="9"/>
  <c r="B118" i="9"/>
  <c r="B128" i="9"/>
  <c r="B157" i="9"/>
  <c r="B187" i="9"/>
  <c r="B136" i="9"/>
  <c r="B217" i="9"/>
  <c r="B123" i="9"/>
  <c r="B208" i="9"/>
  <c r="B116" i="9"/>
  <c r="B202" i="9"/>
  <c r="B245" i="9"/>
  <c r="B138" i="9"/>
  <c r="B153" i="9"/>
  <c r="B231" i="9"/>
  <c r="B173" i="9"/>
  <c r="B129" i="9"/>
  <c r="B229" i="9"/>
  <c r="B186" i="9"/>
  <c r="B228" i="9"/>
  <c r="B189" i="9"/>
  <c r="B266" i="9"/>
  <c r="B120" i="9"/>
  <c r="B133" i="9"/>
  <c r="B267" i="9"/>
  <c r="B268" i="9"/>
  <c r="B126" i="9"/>
  <c r="B207" i="9"/>
  <c r="B198" i="9"/>
  <c r="B132" i="9"/>
  <c r="B204" i="9"/>
  <c r="B158" i="9"/>
  <c r="B205" i="9"/>
  <c r="B250" i="9"/>
  <c r="B256" i="9"/>
  <c r="B176" i="9"/>
  <c r="B211" i="9"/>
  <c r="B220" i="9"/>
  <c r="B174" i="9"/>
  <c r="B155" i="9"/>
  <c r="B196" i="9"/>
  <c r="B161" i="9"/>
  <c r="B259" i="9"/>
  <c r="B264" i="9"/>
  <c r="B192" i="9"/>
  <c r="B243" i="9"/>
  <c r="B247" i="9"/>
  <c r="B163" i="9"/>
  <c r="B255" i="9"/>
  <c r="B221" i="9"/>
  <c r="B149" i="9"/>
  <c r="B131" i="9"/>
  <c r="B188" i="9"/>
  <c r="B263" i="9"/>
  <c r="B248" i="9"/>
  <c r="B117" i="9"/>
  <c r="B261" i="9"/>
  <c r="B241" i="9"/>
  <c r="B130" i="9"/>
  <c r="B224" i="9"/>
  <c r="B237" i="9"/>
  <c r="B215" i="9"/>
  <c r="B134" i="9"/>
  <c r="B159" i="9"/>
  <c r="B190" i="9"/>
  <c r="B115" i="9"/>
  <c r="B162" i="9"/>
  <c r="B249" i="9"/>
  <c r="B160" i="9"/>
  <c r="B199" i="9"/>
  <c r="B230" i="9"/>
  <c r="B152" i="9"/>
  <c r="B254" i="9"/>
  <c r="B209" i="9"/>
  <c r="B146" i="9"/>
  <c r="B171" i="9"/>
  <c r="B144" i="9"/>
  <c r="B210" i="9"/>
  <c r="B172" i="9"/>
  <c r="B232" i="9"/>
  <c r="B122" i="9"/>
  <c r="B258" i="9"/>
  <c r="B195" i="9"/>
  <c r="B225" i="9"/>
  <c r="B193" i="9"/>
  <c r="B142" i="9"/>
  <c r="B184" i="9"/>
  <c r="B185" i="9"/>
  <c r="B227" i="9"/>
  <c r="B251" i="9"/>
  <c r="B169" i="9"/>
  <c r="B178" i="9"/>
  <c r="B143" i="9"/>
  <c r="B156" i="9"/>
  <c r="B168" i="9"/>
  <c r="B218" i="9"/>
  <c r="B239" i="9"/>
  <c r="B246" i="9"/>
  <c r="B151" i="9"/>
  <c r="B242" i="9"/>
  <c r="B252" i="9"/>
  <c r="B180" i="9"/>
  <c r="B257" i="9"/>
  <c r="B240" i="9"/>
  <c r="B121" i="9"/>
  <c r="B262" i="9"/>
  <c r="B148" i="9"/>
  <c r="B177" i="9"/>
  <c r="B179" i="9"/>
  <c r="B182" i="9"/>
  <c r="B166" i="9"/>
  <c r="B170" i="9"/>
  <c r="B127" i="9"/>
  <c r="B219" i="9"/>
  <c r="B137" i="9"/>
  <c r="B165" i="9"/>
  <c r="B222" i="9"/>
  <c r="B59" i="9"/>
  <c r="B98" i="9"/>
  <c r="B76" i="9"/>
  <c r="B108" i="9"/>
  <c r="B70" i="9"/>
  <c r="B96" i="9"/>
  <c r="B112" i="9"/>
  <c r="B101" i="9"/>
  <c r="B91" i="9"/>
  <c r="B55" i="9"/>
  <c r="B88" i="9"/>
  <c r="B64" i="9"/>
  <c r="B89" i="9"/>
  <c r="B86" i="9"/>
  <c r="B111" i="9"/>
  <c r="B83" i="9"/>
  <c r="B58" i="9"/>
  <c r="B65" i="9"/>
  <c r="B66" i="9"/>
  <c r="B95" i="9"/>
  <c r="B92" i="9"/>
  <c r="B53" i="9"/>
  <c r="B105" i="9"/>
  <c r="B103" i="9"/>
  <c r="B74" i="9"/>
  <c r="B90" i="9"/>
  <c r="B106" i="9"/>
  <c r="B109" i="9"/>
  <c r="B56" i="9"/>
  <c r="B52" i="9"/>
  <c r="B100" i="9"/>
  <c r="B99" i="9"/>
  <c r="B87" i="9"/>
  <c r="B104" i="9"/>
  <c r="B62" i="9"/>
  <c r="B61" i="9"/>
  <c r="B81" i="9"/>
  <c r="B60" i="9"/>
  <c r="B97" i="9"/>
  <c r="B94" i="9"/>
  <c r="B77" i="9"/>
  <c r="B71" i="9"/>
  <c r="B68" i="9"/>
  <c r="B72" i="9"/>
  <c r="B79" i="9"/>
  <c r="B102" i="9"/>
  <c r="B54" i="9"/>
  <c r="B73" i="9"/>
  <c r="B67" i="9"/>
  <c r="B85" i="9"/>
  <c r="B80" i="9"/>
  <c r="B84" i="9"/>
  <c r="B75" i="9"/>
  <c r="B63" i="9"/>
  <c r="B82" i="9"/>
  <c r="B113" i="9"/>
  <c r="B69" i="9"/>
  <c r="B57" i="9"/>
  <c r="B93" i="9"/>
  <c r="B107" i="9"/>
  <c r="B110" i="9"/>
  <c r="B78" i="9"/>
  <c r="B20" i="9"/>
  <c r="B18" i="9"/>
  <c r="B30" i="9"/>
  <c r="B35" i="9"/>
  <c r="B24" i="9"/>
  <c r="B50" i="9"/>
  <c r="B22" i="9"/>
  <c r="B9" i="9"/>
  <c r="B42" i="9"/>
  <c r="B28" i="9"/>
  <c r="B15" i="9"/>
  <c r="B29" i="9"/>
  <c r="B36" i="9"/>
  <c r="B47" i="9"/>
  <c r="B27" i="9"/>
  <c r="B19" i="9"/>
  <c r="B16" i="9"/>
  <c r="B34" i="9"/>
  <c r="B41" i="9"/>
  <c r="B26" i="9"/>
  <c r="B38" i="9"/>
  <c r="B39" i="9"/>
  <c r="B31" i="9"/>
  <c r="B17" i="9"/>
  <c r="B46" i="9"/>
  <c r="B12" i="9"/>
  <c r="B43" i="9"/>
  <c r="B40" i="9"/>
  <c r="B48" i="9"/>
  <c r="B14" i="9"/>
  <c r="B7" i="9"/>
  <c r="B8" i="9"/>
  <c r="B11" i="9"/>
  <c r="B32" i="9"/>
  <c r="B13" i="9"/>
  <c r="B33" i="9"/>
  <c r="B6" i="9"/>
  <c r="B49" i="9"/>
  <c r="B21" i="9"/>
  <c r="B25" i="9"/>
  <c r="B10" i="9"/>
  <c r="B44" i="9"/>
  <c r="B45" i="9"/>
  <c r="B51" i="9"/>
  <c r="B23" i="9"/>
  <c r="B37" i="9"/>
  <c r="J12" i="9"/>
  <c r="F245" i="9" l="1"/>
  <c r="G206" i="9"/>
  <c r="G200" i="9"/>
  <c r="F114" i="9"/>
  <c r="F116" i="9"/>
  <c r="F253" i="9"/>
  <c r="G167" i="9"/>
  <c r="G150" i="9"/>
  <c r="F234" i="9"/>
  <c r="G203" i="9"/>
  <c r="F145" i="9"/>
  <c r="G222" i="9"/>
  <c r="G147" i="9"/>
  <c r="F125" i="9"/>
  <c r="G194" i="9"/>
  <c r="G253" i="9"/>
  <c r="G125" i="9"/>
  <c r="F194" i="9"/>
  <c r="G265" i="9"/>
  <c r="G229" i="9"/>
  <c r="F124" i="9"/>
  <c r="H124" i="9" s="1"/>
  <c r="G139" i="9"/>
  <c r="F191" i="9"/>
  <c r="F154" i="9"/>
  <c r="F136" i="9"/>
  <c r="F150" i="9"/>
  <c r="H150" i="9" s="1"/>
  <c r="F141" i="9"/>
  <c r="F147" i="9"/>
  <c r="F139" i="9"/>
  <c r="G201" i="9"/>
  <c r="G124" i="9"/>
  <c r="G204" i="9"/>
  <c r="G208" i="9"/>
  <c r="F138" i="9"/>
  <c r="G191" i="9"/>
  <c r="G136" i="9"/>
  <c r="G216" i="9"/>
  <c r="F123" i="9"/>
  <c r="G128" i="9"/>
  <c r="F128" i="9"/>
  <c r="F153" i="9"/>
  <c r="F201" i="9"/>
  <c r="H201" i="9" s="1"/>
  <c r="F208" i="9"/>
  <c r="G260" i="9"/>
  <c r="F215" i="9"/>
  <c r="F260" i="9"/>
  <c r="H260" i="9" s="1"/>
  <c r="G245" i="9"/>
  <c r="F203" i="9"/>
  <c r="G164" i="9"/>
  <c r="F187" i="9"/>
  <c r="G154" i="9"/>
  <c r="F216" i="9"/>
  <c r="F212" i="9"/>
  <c r="F157" i="9"/>
  <c r="G141" i="9"/>
  <c r="F183" i="9"/>
  <c r="G123" i="9"/>
  <c r="G153" i="9"/>
  <c r="G114" i="9"/>
  <c r="G187" i="9"/>
  <c r="F229" i="9"/>
  <c r="H229" i="9" s="1"/>
  <c r="F164" i="9"/>
  <c r="G214" i="9"/>
  <c r="G267" i="9"/>
  <c r="F233" i="9"/>
  <c r="F200" i="9"/>
  <c r="H200" i="9" s="1"/>
  <c r="G234" i="9"/>
  <c r="G145" i="9"/>
  <c r="F167" i="9"/>
  <c r="H167" i="9" s="1"/>
  <c r="G233" i="9"/>
  <c r="F206" i="9"/>
  <c r="H206" i="9" s="1"/>
  <c r="G157" i="9"/>
  <c r="F186" i="9"/>
  <c r="G183" i="9"/>
  <c r="F214" i="9"/>
  <c r="H214" i="9" s="1"/>
  <c r="F265" i="9"/>
  <c r="H265" i="9" s="1"/>
  <c r="G116" i="9"/>
  <c r="G205" i="9"/>
  <c r="F237" i="9"/>
  <c r="F196" i="9"/>
  <c r="G199" i="9"/>
  <c r="F262" i="9"/>
  <c r="G156" i="9"/>
  <c r="G211" i="9"/>
  <c r="G135" i="9"/>
  <c r="F160" i="9"/>
  <c r="G149" i="9"/>
  <c r="G198" i="9"/>
  <c r="F146" i="9"/>
  <c r="F185" i="9"/>
  <c r="F251" i="9"/>
  <c r="F177" i="9"/>
  <c r="F135" i="9"/>
  <c r="F221" i="9"/>
  <c r="F239" i="9"/>
  <c r="H239" i="9" s="1"/>
  <c r="G209" i="9"/>
  <c r="F178" i="9"/>
  <c r="G232" i="9"/>
  <c r="F202" i="9"/>
  <c r="F190" i="9"/>
  <c r="G227" i="9"/>
  <c r="F244" i="9"/>
  <c r="F219" i="9"/>
  <c r="F182" i="9"/>
  <c r="F179" i="9"/>
  <c r="F173" i="9"/>
  <c r="G180" i="9"/>
  <c r="F258" i="9"/>
  <c r="G192" i="9"/>
  <c r="F248" i="9"/>
  <c r="H248" i="9" s="1"/>
  <c r="G140" i="9"/>
  <c r="G250" i="9"/>
  <c r="G239" i="9"/>
  <c r="F241" i="9"/>
  <c r="G266" i="9"/>
  <c r="G246" i="9"/>
  <c r="G236" i="9"/>
  <c r="G174" i="9"/>
  <c r="G146" i="9"/>
  <c r="G254" i="9"/>
  <c r="F236" i="9"/>
  <c r="G235" i="9"/>
  <c r="F220" i="9"/>
  <c r="G218" i="9"/>
  <c r="G248" i="9"/>
  <c r="F259" i="9"/>
  <c r="G168" i="9"/>
  <c r="F222" i="9"/>
  <c r="F180" i="9"/>
  <c r="H180" i="9" s="1"/>
  <c r="F127" i="9"/>
  <c r="G184" i="9"/>
  <c r="F249" i="9"/>
  <c r="F207" i="9"/>
  <c r="F188" i="9"/>
  <c r="G137" i="9"/>
  <c r="G152" i="9"/>
  <c r="G127" i="9"/>
  <c r="G121" i="9"/>
  <c r="G262" i="9"/>
  <c r="G256" i="9"/>
  <c r="F257" i="9"/>
  <c r="F223" i="9"/>
  <c r="G172" i="9"/>
  <c r="G228" i="9"/>
  <c r="G258" i="9"/>
  <c r="F267" i="9"/>
  <c r="H267" i="9" s="1"/>
  <c r="G215" i="9"/>
  <c r="G122" i="9"/>
  <c r="G129" i="9"/>
  <c r="F227" i="9"/>
  <c r="H227" i="9" s="1"/>
  <c r="G170" i="9"/>
  <c r="G237" i="9"/>
  <c r="G181" i="9"/>
  <c r="G238" i="9"/>
  <c r="G126" i="9"/>
  <c r="G255" i="9"/>
  <c r="G134" i="9"/>
  <c r="G171" i="9"/>
  <c r="G259" i="9"/>
  <c r="F243" i="9"/>
  <c r="F122" i="9"/>
  <c r="G220" i="9"/>
  <c r="G242" i="9"/>
  <c r="F261" i="9"/>
  <c r="G212" i="9"/>
  <c r="G230" i="9"/>
  <c r="F137" i="9"/>
  <c r="F129" i="9"/>
  <c r="F166" i="9"/>
  <c r="G249" i="9"/>
  <c r="F132" i="9"/>
  <c r="G182" i="9"/>
  <c r="G160" i="9"/>
  <c r="G179" i="9"/>
  <c r="G177" i="9"/>
  <c r="G159" i="9"/>
  <c r="F119" i="9"/>
  <c r="F158" i="9"/>
  <c r="G186" i="9"/>
  <c r="F230" i="9"/>
  <c r="G118" i="9"/>
  <c r="G224" i="9"/>
  <c r="F199" i="9"/>
  <c r="G217" i="9"/>
  <c r="F175" i="9"/>
  <c r="F134" i="9"/>
  <c r="F118" i="9"/>
  <c r="G161" i="9"/>
  <c r="F163" i="9"/>
  <c r="F218" i="9"/>
  <c r="H218" i="9" s="1"/>
  <c r="G190" i="9"/>
  <c r="F143" i="9"/>
  <c r="F165" i="9"/>
  <c r="G210" i="9"/>
  <c r="G195" i="9"/>
  <c r="G148" i="9"/>
  <c r="F169" i="9"/>
  <c r="G115" i="9"/>
  <c r="G173" i="9"/>
  <c r="F211" i="9"/>
  <c r="G193" i="9"/>
  <c r="F195" i="9"/>
  <c r="H195" i="9" s="1"/>
  <c r="F162" i="9"/>
  <c r="G176" i="9"/>
  <c r="G158" i="9"/>
  <c r="F235" i="9"/>
  <c r="H235" i="9" s="1"/>
  <c r="F174" i="9"/>
  <c r="H174" i="9" s="1"/>
  <c r="F130" i="9"/>
  <c r="F254" i="9"/>
  <c r="F264" i="9"/>
  <c r="G117" i="9"/>
  <c r="F255" i="9"/>
  <c r="G251" i="9"/>
  <c r="G244" i="9"/>
  <c r="G144" i="9"/>
  <c r="F142" i="9"/>
  <c r="G207" i="9"/>
  <c r="F193" i="9"/>
  <c r="F159" i="9"/>
  <c r="H159" i="9" s="1"/>
  <c r="F126" i="9"/>
  <c r="H126" i="9" s="1"/>
  <c r="F263" i="9"/>
  <c r="F240" i="9"/>
  <c r="G240" i="9"/>
  <c r="G130" i="9"/>
  <c r="G178" i="9"/>
  <c r="G221" i="9"/>
  <c r="G189" i="9"/>
  <c r="F266" i="9"/>
  <c r="H266" i="9" s="1"/>
  <c r="F176" i="9"/>
  <c r="F209" i="9"/>
  <c r="H209" i="9" s="1"/>
  <c r="F156" i="9"/>
  <c r="H156" i="9" s="1"/>
  <c r="G165" i="9"/>
  <c r="F210" i="9"/>
  <c r="G133" i="9"/>
  <c r="G162" i="9"/>
  <c r="G185" i="9"/>
  <c r="F213" i="9"/>
  <c r="F205" i="9"/>
  <c r="H205" i="9" s="1"/>
  <c r="G219" i="9"/>
  <c r="G119" i="9"/>
  <c r="F238" i="9"/>
  <c r="H238" i="9" s="1"/>
  <c r="F228" i="9"/>
  <c r="H228" i="9" s="1"/>
  <c r="F217" i="9"/>
  <c r="H217" i="9" s="1"/>
  <c r="G163" i="9"/>
  <c r="G226" i="9"/>
  <c r="F133" i="9"/>
  <c r="H133" i="9" s="1"/>
  <c r="G247" i="9"/>
  <c r="F192" i="9"/>
  <c r="G257" i="9"/>
  <c r="F232" i="9"/>
  <c r="H232" i="9" s="1"/>
  <c r="G169" i="9"/>
  <c r="F140" i="9"/>
  <c r="H140" i="9" s="1"/>
  <c r="G131" i="9"/>
  <c r="F149" i="9"/>
  <c r="H149" i="9" s="1"/>
  <c r="G197" i="9"/>
  <c r="F171" i="9"/>
  <c r="H171" i="9" s="1"/>
  <c r="F184" i="9"/>
  <c r="H184" i="9" s="1"/>
  <c r="F181" i="9"/>
  <c r="G268" i="9"/>
  <c r="F231" i="9"/>
  <c r="F256" i="9"/>
  <c r="H256" i="9" s="1"/>
  <c r="F168" i="9"/>
  <c r="H168" i="9" s="1"/>
  <c r="F246" i="9"/>
  <c r="H246" i="9" s="1"/>
  <c r="G142" i="9"/>
  <c r="F189" i="9"/>
  <c r="G243" i="9"/>
  <c r="G151" i="9"/>
  <c r="F198" i="9"/>
  <c r="H198" i="9" s="1"/>
  <c r="F115" i="9"/>
  <c r="G166" i="9"/>
  <c r="G202" i="9"/>
  <c r="F172" i="9"/>
  <c r="H172" i="9" s="1"/>
  <c r="G196" i="9"/>
  <c r="G223" i="9"/>
  <c r="G188" i="9"/>
  <c r="G120" i="9"/>
  <c r="F151" i="9"/>
  <c r="F152" i="9"/>
  <c r="H152" i="9" s="1"/>
  <c r="F252" i="9"/>
  <c r="H252" i="9" s="1"/>
  <c r="F120" i="9"/>
  <c r="G252" i="9"/>
  <c r="G138" i="9"/>
  <c r="F268" i="9"/>
  <c r="H268" i="9" s="1"/>
  <c r="F224" i="9"/>
  <c r="G143" i="9"/>
  <c r="F117" i="9"/>
  <c r="H117" i="9" s="1"/>
  <c r="G213" i="9"/>
  <c r="G155" i="9"/>
  <c r="F204" i="9"/>
  <c r="H204" i="9" s="1"/>
  <c r="G175" i="9"/>
  <c r="F170" i="9"/>
  <c r="H170" i="9" s="1"/>
  <c r="F197" i="9"/>
  <c r="F161" i="9"/>
  <c r="H161" i="9" s="1"/>
  <c r="F225" i="9"/>
  <c r="G225" i="9"/>
  <c r="F155" i="9"/>
  <c r="F148" i="9"/>
  <c r="H148" i="9" s="1"/>
  <c r="F247" i="9"/>
  <c r="H247" i="9" s="1"/>
  <c r="F226" i="9"/>
  <c r="H226" i="9" s="1"/>
  <c r="F144" i="9"/>
  <c r="H144" i="9" s="1"/>
  <c r="F250" i="9"/>
  <c r="H250" i="9" s="1"/>
  <c r="F121" i="9"/>
  <c r="H121" i="9" s="1"/>
  <c r="G264" i="9"/>
  <c r="G261" i="9"/>
  <c r="G241" i="9"/>
  <c r="G132" i="9"/>
  <c r="F131" i="9"/>
  <c r="G263" i="9"/>
  <c r="G231" i="9"/>
  <c r="F242" i="9"/>
  <c r="H242" i="9" s="1"/>
  <c r="F6" i="9"/>
  <c r="G106" i="9"/>
  <c r="F92" i="9"/>
  <c r="G74" i="9"/>
  <c r="F66" i="9"/>
  <c r="F105" i="9"/>
  <c r="F107" i="9"/>
  <c r="G59" i="9"/>
  <c r="F101" i="9"/>
  <c r="G66" i="9"/>
  <c r="G111" i="9"/>
  <c r="F88" i="9"/>
  <c r="G105" i="9"/>
  <c r="F106" i="9"/>
  <c r="H106" i="9" s="1"/>
  <c r="F89" i="9"/>
  <c r="H89" i="9" s="1"/>
  <c r="G88" i="9"/>
  <c r="F95" i="9"/>
  <c r="F59" i="9"/>
  <c r="F111" i="9"/>
  <c r="G98" i="9"/>
  <c r="G89" i="9"/>
  <c r="F113" i="9"/>
  <c r="G112" i="9"/>
  <c r="F60" i="9"/>
  <c r="G68" i="9"/>
  <c r="G55" i="9"/>
  <c r="G90" i="9"/>
  <c r="F112" i="9"/>
  <c r="F55" i="9"/>
  <c r="G60" i="9"/>
  <c r="G92" i="9"/>
  <c r="F90" i="9"/>
  <c r="G86" i="9"/>
  <c r="F108" i="9"/>
  <c r="F98" i="9"/>
  <c r="G65" i="9"/>
  <c r="G69" i="9"/>
  <c r="F86" i="9"/>
  <c r="H86" i="9" s="1"/>
  <c r="G96" i="9"/>
  <c r="G101" i="9"/>
  <c r="G108" i="9"/>
  <c r="F96" i="9"/>
  <c r="F74" i="9"/>
  <c r="G85" i="9"/>
  <c r="G83" i="9"/>
  <c r="F83" i="9"/>
  <c r="F53" i="9"/>
  <c r="G94" i="9"/>
  <c r="G61" i="9"/>
  <c r="G73" i="9"/>
  <c r="F85" i="9"/>
  <c r="F104" i="9"/>
  <c r="F93" i="9"/>
  <c r="G82" i="9"/>
  <c r="G54" i="9"/>
  <c r="G84" i="9"/>
  <c r="F78" i="9"/>
  <c r="G109" i="9"/>
  <c r="G63" i="9"/>
  <c r="G70" i="9"/>
  <c r="G57" i="9"/>
  <c r="F79" i="9"/>
  <c r="G75" i="9"/>
  <c r="F84" i="9"/>
  <c r="H84" i="9" s="1"/>
  <c r="F58" i="9"/>
  <c r="F77" i="9"/>
  <c r="G71" i="9"/>
  <c r="G62" i="9"/>
  <c r="G53" i="9"/>
  <c r="F56" i="9"/>
  <c r="F54" i="9"/>
  <c r="G67" i="9"/>
  <c r="F80" i="9"/>
  <c r="F68" i="9"/>
  <c r="H68" i="9" s="1"/>
  <c r="G104" i="9"/>
  <c r="F102" i="9"/>
  <c r="F69" i="9"/>
  <c r="G110" i="9"/>
  <c r="G80" i="9"/>
  <c r="G77" i="9"/>
  <c r="G58" i="9"/>
  <c r="F72" i="9"/>
  <c r="F63" i="9"/>
  <c r="H63" i="9" s="1"/>
  <c r="G72" i="9"/>
  <c r="G97" i="9"/>
  <c r="F61" i="9"/>
  <c r="H61" i="9" s="1"/>
  <c r="F57" i="9"/>
  <c r="F75" i="9"/>
  <c r="G76" i="9"/>
  <c r="G79" i="9"/>
  <c r="G81" i="9"/>
  <c r="F67" i="9"/>
  <c r="G102" i="9"/>
  <c r="G93" i="9"/>
  <c r="F94" i="9"/>
  <c r="F103" i="9"/>
  <c r="F87" i="9"/>
  <c r="F81" i="9"/>
  <c r="H81" i="9" s="1"/>
  <c r="G52" i="9"/>
  <c r="G64" i="9"/>
  <c r="G87" i="9"/>
  <c r="G113" i="9"/>
  <c r="F62" i="9"/>
  <c r="F71" i="9"/>
  <c r="F52" i="9"/>
  <c r="G100" i="9"/>
  <c r="G95" i="9"/>
  <c r="F76" i="9"/>
  <c r="G107" i="9"/>
  <c r="G78" i="9"/>
  <c r="F65" i="9"/>
  <c r="F73" i="9"/>
  <c r="H73" i="9" s="1"/>
  <c r="F100" i="9"/>
  <c r="F91" i="9"/>
  <c r="F110" i="9"/>
  <c r="F97" i="9"/>
  <c r="F109" i="9"/>
  <c r="G56" i="9"/>
  <c r="F64" i="9"/>
  <c r="F82" i="9"/>
  <c r="G103" i="9"/>
  <c r="G91" i="9"/>
  <c r="F99" i="9"/>
  <c r="G99" i="9"/>
  <c r="F70" i="9"/>
  <c r="H70" i="9" s="1"/>
  <c r="G39" i="9"/>
  <c r="G49" i="9"/>
  <c r="F51" i="9"/>
  <c r="F23" i="9"/>
  <c r="G23" i="9"/>
  <c r="G50" i="9"/>
  <c r="F50" i="9"/>
  <c r="F49" i="9"/>
  <c r="G51" i="9"/>
  <c r="F39" i="9"/>
  <c r="F35" i="9"/>
  <c r="F38" i="9"/>
  <c r="F40" i="9"/>
  <c r="F16" i="9"/>
  <c r="F10" i="9"/>
  <c r="F18" i="9"/>
  <c r="G38" i="9"/>
  <c r="F32" i="9"/>
  <c r="F21" i="9"/>
  <c r="G34" i="9"/>
  <c r="G40" i="9"/>
  <c r="F47" i="9"/>
  <c r="G35" i="9"/>
  <c r="F26" i="9"/>
  <c r="F33" i="9"/>
  <c r="F45" i="9"/>
  <c r="F20" i="9"/>
  <c r="G28" i="9"/>
  <c r="G12" i="9"/>
  <c r="G18" i="9"/>
  <c r="F24" i="9"/>
  <c r="G44" i="9"/>
  <c r="G31" i="9"/>
  <c r="G36" i="9"/>
  <c r="G42" i="9"/>
  <c r="G32" i="9"/>
  <c r="G10" i="9"/>
  <c r="F12" i="9"/>
  <c r="G29" i="9"/>
  <c r="G19" i="9"/>
  <c r="G48" i="9"/>
  <c r="F19" i="9"/>
  <c r="G7" i="9"/>
  <c r="F7" i="9"/>
  <c r="F31" i="9"/>
  <c r="F43" i="9"/>
  <c r="F30" i="9"/>
  <c r="F8" i="9"/>
  <c r="G26" i="9"/>
  <c r="F15" i="9"/>
  <c r="G45" i="9"/>
  <c r="F17" i="9"/>
  <c r="G9" i="9"/>
  <c r="F34" i="9"/>
  <c r="G24" i="9"/>
  <c r="G30" i="9"/>
  <c r="G46" i="9"/>
  <c r="G27" i="9"/>
  <c r="F27" i="9"/>
  <c r="F44" i="9"/>
  <c r="G47" i="9"/>
  <c r="F13" i="9"/>
  <c r="G43" i="9"/>
  <c r="F28" i="9"/>
  <c r="G15" i="9"/>
  <c r="F42" i="9"/>
  <c r="F25" i="9"/>
  <c r="F11" i="9"/>
  <c r="F36" i="9"/>
  <c r="G11" i="9"/>
  <c r="G13" i="9"/>
  <c r="F48" i="9"/>
  <c r="G37" i="9"/>
  <c r="G17" i="9"/>
  <c r="G25" i="9"/>
  <c r="F9" i="9"/>
  <c r="G41" i="9"/>
  <c r="G33" i="9"/>
  <c r="F22" i="9"/>
  <c r="G8" i="9"/>
  <c r="G21" i="9"/>
  <c r="G22" i="9"/>
  <c r="G6" i="9"/>
  <c r="G14" i="9"/>
  <c r="F37" i="9"/>
  <c r="H37" i="9" s="1"/>
  <c r="F29" i="9"/>
  <c r="F14" i="9"/>
  <c r="F41" i="9"/>
  <c r="F46" i="9"/>
  <c r="G20" i="9"/>
  <c r="G16" i="9"/>
  <c r="I229" i="9"/>
  <c r="I238" i="9"/>
  <c r="I204" i="9"/>
  <c r="I250" i="9"/>
  <c r="I121" i="9"/>
  <c r="I150" i="9"/>
  <c r="I248" i="9"/>
  <c r="I267" i="9"/>
  <c r="I235" i="9"/>
  <c r="I209" i="9"/>
  <c r="I228" i="9"/>
  <c r="I149" i="9"/>
  <c r="I152" i="9"/>
  <c r="I214" i="9"/>
  <c r="I174" i="9"/>
  <c r="I159" i="9"/>
  <c r="I156" i="9"/>
  <c r="I217" i="9"/>
  <c r="I252" i="9"/>
  <c r="I170" i="9"/>
  <c r="I265" i="9"/>
  <c r="I126" i="9"/>
  <c r="I171" i="9"/>
  <c r="I198" i="9"/>
  <c r="I184" i="9"/>
  <c r="I161" i="9"/>
  <c r="I201" i="9"/>
  <c r="I200" i="9"/>
  <c r="I227" i="9"/>
  <c r="I133" i="9"/>
  <c r="I268" i="9"/>
  <c r="I172" i="9"/>
  <c r="I148" i="9"/>
  <c r="I124" i="9"/>
  <c r="I167" i="9"/>
  <c r="I180" i="9"/>
  <c r="I256" i="9"/>
  <c r="I260" i="9"/>
  <c r="I218" i="9"/>
  <c r="I195" i="9"/>
  <c r="I205" i="9"/>
  <c r="I232" i="9"/>
  <c r="I168" i="9"/>
  <c r="I117" i="9"/>
  <c r="I247" i="9"/>
  <c r="I242" i="9"/>
  <c r="I206" i="9"/>
  <c r="I239" i="9"/>
  <c r="I246" i="9"/>
  <c r="I226" i="9"/>
  <c r="I266" i="9"/>
  <c r="I140" i="9"/>
  <c r="I144" i="9"/>
  <c r="I106" i="9"/>
  <c r="J13" i="9"/>
  <c r="H129" i="9" l="1"/>
  <c r="H98" i="9"/>
  <c r="H100" i="9"/>
  <c r="H109" i="9"/>
  <c r="H93" i="9"/>
  <c r="H66" i="9"/>
  <c r="H102" i="9"/>
  <c r="H92" i="9"/>
  <c r="H230" i="9"/>
  <c r="H258" i="9"/>
  <c r="H203" i="9"/>
  <c r="H154" i="9"/>
  <c r="H162" i="9"/>
  <c r="H137" i="9"/>
  <c r="H145" i="9"/>
  <c r="H94" i="9"/>
  <c r="H213" i="9"/>
  <c r="H163" i="9"/>
  <c r="H179" i="9"/>
  <c r="H135" i="9"/>
  <c r="H215" i="9"/>
  <c r="H234" i="9"/>
  <c r="H192" i="9"/>
  <c r="H131" i="9"/>
  <c r="H225" i="9"/>
  <c r="H240" i="9"/>
  <c r="H134" i="9"/>
  <c r="H259" i="9"/>
  <c r="H194" i="9"/>
  <c r="H139" i="9"/>
  <c r="H77" i="9"/>
  <c r="H96" i="9"/>
  <c r="H59" i="9"/>
  <c r="H197" i="9"/>
  <c r="H130" i="9"/>
  <c r="H216" i="9"/>
  <c r="H128" i="9"/>
  <c r="H147" i="9"/>
  <c r="H160" i="9"/>
  <c r="H164" i="9"/>
  <c r="H125" i="9"/>
  <c r="H142" i="9"/>
  <c r="H143" i="9"/>
  <c r="H249" i="9"/>
  <c r="H191" i="9"/>
  <c r="H158" i="9"/>
  <c r="H223" i="9"/>
  <c r="H127" i="9"/>
  <c r="H173" i="9"/>
  <c r="H221" i="9"/>
  <c r="H262" i="9"/>
  <c r="H138" i="9"/>
  <c r="H119" i="9"/>
  <c r="H257" i="9"/>
  <c r="H155" i="9"/>
  <c r="H224" i="9"/>
  <c r="H231" i="9"/>
  <c r="H255" i="9"/>
  <c r="H211" i="9"/>
  <c r="H261" i="9"/>
  <c r="H222" i="9"/>
  <c r="H182" i="9"/>
  <c r="H177" i="9"/>
  <c r="H196" i="9"/>
  <c r="H183" i="9"/>
  <c r="H118" i="9"/>
  <c r="H219" i="9"/>
  <c r="H251" i="9"/>
  <c r="H237" i="9"/>
  <c r="H208" i="9"/>
  <c r="H181" i="9"/>
  <c r="H264" i="9"/>
  <c r="H241" i="9"/>
  <c r="H244" i="9"/>
  <c r="H185" i="9"/>
  <c r="H157" i="9"/>
  <c r="H253" i="9"/>
  <c r="H62" i="9"/>
  <c r="H115" i="9"/>
  <c r="H210" i="9"/>
  <c r="H263" i="9"/>
  <c r="H254" i="9"/>
  <c r="H169" i="9"/>
  <c r="H175" i="9"/>
  <c r="H122" i="9"/>
  <c r="H146" i="9"/>
  <c r="H233" i="9"/>
  <c r="H212" i="9"/>
  <c r="H153" i="9"/>
  <c r="H116" i="9"/>
  <c r="H91" i="9"/>
  <c r="H105" i="9"/>
  <c r="H120" i="9"/>
  <c r="H243" i="9"/>
  <c r="H190" i="9"/>
  <c r="H114" i="9"/>
  <c r="H69" i="9"/>
  <c r="H199" i="9"/>
  <c r="H132" i="9"/>
  <c r="H220" i="9"/>
  <c r="H202" i="9"/>
  <c r="H141" i="9"/>
  <c r="H193" i="9"/>
  <c r="H188" i="9"/>
  <c r="H187" i="9"/>
  <c r="H123" i="9"/>
  <c r="H65" i="9"/>
  <c r="H57" i="9"/>
  <c r="H85" i="9"/>
  <c r="H151" i="9"/>
  <c r="H189" i="9"/>
  <c r="H176" i="9"/>
  <c r="H165" i="9"/>
  <c r="H166" i="9"/>
  <c r="H207" i="9"/>
  <c r="H236" i="9"/>
  <c r="H178" i="9"/>
  <c r="H186" i="9"/>
  <c r="H136" i="9"/>
  <c r="H245" i="9"/>
  <c r="H80" i="9"/>
  <c r="H99" i="9"/>
  <c r="H88" i="9"/>
  <c r="H54" i="9"/>
  <c r="H53" i="9"/>
  <c r="H64" i="9"/>
  <c r="H74" i="9"/>
  <c r="H58" i="9"/>
  <c r="H55" i="9"/>
  <c r="H95" i="9"/>
  <c r="H87" i="9"/>
  <c r="H82" i="9"/>
  <c r="H76" i="9"/>
  <c r="H103" i="9"/>
  <c r="H60" i="9"/>
  <c r="H72" i="9"/>
  <c r="H56" i="9"/>
  <c r="H83" i="9"/>
  <c r="H108" i="9"/>
  <c r="H113" i="9"/>
  <c r="H52" i="9"/>
  <c r="H78" i="9"/>
  <c r="H101" i="9"/>
  <c r="H97" i="9"/>
  <c r="H71" i="9"/>
  <c r="H67" i="9"/>
  <c r="H90" i="9"/>
  <c r="H110" i="9"/>
  <c r="H111" i="9"/>
  <c r="H107" i="9"/>
  <c r="H75" i="9"/>
  <c r="H104" i="9"/>
  <c r="H112" i="9"/>
  <c r="H79" i="9"/>
  <c r="H31" i="9"/>
  <c r="H39" i="9"/>
  <c r="H49" i="9"/>
  <c r="H40" i="9"/>
  <c r="H35" i="9"/>
  <c r="H33" i="9"/>
  <c r="H19" i="9"/>
  <c r="H42" i="9"/>
  <c r="H50" i="9"/>
  <c r="H34" i="9"/>
  <c r="H7" i="9"/>
  <c r="H48" i="9"/>
  <c r="H32" i="9"/>
  <c r="H24" i="9"/>
  <c r="H51" i="9"/>
  <c r="H6" i="9"/>
  <c r="H22" i="9"/>
  <c r="H41" i="9"/>
  <c r="H9" i="9"/>
  <c r="H14" i="9"/>
  <c r="H25" i="9"/>
  <c r="H21" i="9"/>
  <c r="H8" i="9"/>
  <c r="H38" i="9"/>
  <c r="H23" i="9"/>
  <c r="H12" i="9"/>
  <c r="H26" i="9"/>
  <c r="H30" i="9"/>
  <c r="H46" i="9"/>
  <c r="H17" i="9"/>
  <c r="H16" i="9"/>
  <c r="H27" i="9"/>
  <c r="H43" i="9"/>
  <c r="H15" i="9"/>
  <c r="H20" i="9"/>
  <c r="H10" i="9"/>
  <c r="H47" i="9"/>
  <c r="H45" i="9"/>
  <c r="H28" i="9"/>
  <c r="H18" i="9"/>
  <c r="H36" i="9"/>
  <c r="H44" i="9"/>
  <c r="H29" i="9"/>
  <c r="H11" i="9"/>
  <c r="H13" i="9"/>
  <c r="I129" i="9"/>
  <c r="I109" i="9"/>
  <c r="I102" i="9"/>
  <c r="I230" i="9"/>
  <c r="I215" i="9"/>
  <c r="I258" i="9"/>
  <c r="I234" i="9"/>
  <c r="I197" i="9"/>
  <c r="I203" i="9"/>
  <c r="I192" i="9"/>
  <c r="I130" i="9"/>
  <c r="I154" i="9"/>
  <c r="I131" i="9"/>
  <c r="I216" i="9"/>
  <c r="I162" i="9"/>
  <c r="I225" i="9"/>
  <c r="I128" i="9"/>
  <c r="I137" i="9"/>
  <c r="I240" i="9"/>
  <c r="I147" i="9"/>
  <c r="I145" i="9"/>
  <c r="I134" i="9"/>
  <c r="I160" i="9"/>
  <c r="I259" i="9"/>
  <c r="I164" i="9"/>
  <c r="I213" i="9"/>
  <c r="I194" i="9"/>
  <c r="I125" i="9"/>
  <c r="I163" i="9"/>
  <c r="I139" i="9"/>
  <c r="I179" i="9"/>
  <c r="I135" i="9"/>
  <c r="I142" i="9"/>
  <c r="I257" i="9"/>
  <c r="I118" i="9"/>
  <c r="I116" i="9"/>
  <c r="I141" i="9"/>
  <c r="I166" i="9"/>
  <c r="I143" i="9"/>
  <c r="I155" i="9"/>
  <c r="I219" i="9"/>
  <c r="I115" i="9"/>
  <c r="I193" i="9"/>
  <c r="I207" i="9"/>
  <c r="I249" i="9"/>
  <c r="I224" i="9"/>
  <c r="I251" i="9"/>
  <c r="I210" i="9"/>
  <c r="I105" i="9"/>
  <c r="I188" i="9"/>
  <c r="I236" i="9"/>
  <c r="I191" i="9"/>
  <c r="I231" i="9"/>
  <c r="I237" i="9"/>
  <c r="I263" i="9"/>
  <c r="I120" i="9"/>
  <c r="I187" i="9"/>
  <c r="I178" i="9"/>
  <c r="I158" i="9"/>
  <c r="I255" i="9"/>
  <c r="I208" i="9"/>
  <c r="I254" i="9"/>
  <c r="I243" i="9"/>
  <c r="I123" i="9"/>
  <c r="I186" i="9"/>
  <c r="I223" i="9"/>
  <c r="I211" i="9"/>
  <c r="I181" i="9"/>
  <c r="I169" i="9"/>
  <c r="I190" i="9"/>
  <c r="I136" i="9"/>
  <c r="I127" i="9"/>
  <c r="I261" i="9"/>
  <c r="I264" i="9"/>
  <c r="I175" i="9"/>
  <c r="I114" i="9"/>
  <c r="I245" i="9"/>
  <c r="I173" i="9"/>
  <c r="I222" i="9"/>
  <c r="I241" i="9"/>
  <c r="I122" i="9"/>
  <c r="I221" i="9"/>
  <c r="I182" i="9"/>
  <c r="I244" i="9"/>
  <c r="I146" i="9"/>
  <c r="I199" i="9"/>
  <c r="I151" i="9"/>
  <c r="I262" i="9"/>
  <c r="I177" i="9"/>
  <c r="I185" i="9"/>
  <c r="I233" i="9"/>
  <c r="I132" i="9"/>
  <c r="I189" i="9"/>
  <c r="I138" i="9"/>
  <c r="I196" i="9"/>
  <c r="I157" i="9"/>
  <c r="I212" i="9"/>
  <c r="I220" i="9"/>
  <c r="I176" i="9"/>
  <c r="I119" i="9"/>
  <c r="I183" i="9"/>
  <c r="I253" i="9"/>
  <c r="I153" i="9"/>
  <c r="I202" i="9"/>
  <c r="I165" i="9"/>
  <c r="I58" i="9"/>
  <c r="I98" i="9"/>
  <c r="I74" i="9"/>
  <c r="I112" i="9"/>
  <c r="I65" i="9"/>
  <c r="I101" i="9"/>
  <c r="I69" i="9"/>
  <c r="I80" i="9"/>
  <c r="I94" i="9"/>
  <c r="I77" i="9"/>
  <c r="I107" i="9"/>
  <c r="I89" i="9"/>
  <c r="I91" i="9"/>
  <c r="I53" i="9"/>
  <c r="I64" i="9"/>
  <c r="I96" i="9"/>
  <c r="I92" i="9"/>
  <c r="I99" i="9"/>
  <c r="I59" i="9"/>
  <c r="I93" i="9"/>
  <c r="I55" i="9"/>
  <c r="I81" i="9"/>
  <c r="I108" i="9"/>
  <c r="I66" i="9"/>
  <c r="I61" i="9"/>
  <c r="I95" i="9"/>
  <c r="I68" i="9"/>
  <c r="I103" i="9"/>
  <c r="I113" i="9"/>
  <c r="I100" i="9"/>
  <c r="I73" i="9"/>
  <c r="I70" i="9"/>
  <c r="I85" i="9"/>
  <c r="I88" i="9"/>
  <c r="I86" i="9"/>
  <c r="I57" i="9"/>
  <c r="I54" i="9"/>
  <c r="I110" i="9"/>
  <c r="I84" i="9"/>
  <c r="I111" i="9"/>
  <c r="I63" i="9"/>
  <c r="I62" i="9"/>
  <c r="I104" i="9"/>
  <c r="I31" i="9"/>
  <c r="I37" i="9"/>
  <c r="I12" i="9"/>
  <c r="I49" i="9"/>
  <c r="I46" i="9"/>
  <c r="I24" i="9"/>
  <c r="I36" i="9"/>
  <c r="I45" i="9"/>
  <c r="I29" i="9"/>
  <c r="I39" i="9"/>
  <c r="I50" i="9"/>
  <c r="I13" i="9"/>
  <c r="I42" i="9"/>
  <c r="I14" i="9"/>
  <c r="I27" i="9"/>
  <c r="I11" i="9"/>
  <c r="I34" i="9"/>
  <c r="I15" i="9"/>
  <c r="I6" i="9"/>
  <c r="I51" i="9"/>
  <c r="I30" i="9"/>
  <c r="I32" i="9"/>
  <c r="I28" i="9"/>
  <c r="I9" i="9"/>
  <c r="I20" i="9"/>
  <c r="I47" i="9"/>
  <c r="I48" i="9"/>
  <c r="I38" i="9"/>
  <c r="I10" i="9"/>
  <c r="I18" i="9"/>
  <c r="I23" i="9"/>
  <c r="I19" i="9"/>
  <c r="I44" i="9"/>
  <c r="I26" i="9"/>
  <c r="I41" i="9"/>
  <c r="I35" i="9"/>
  <c r="I22" i="9"/>
  <c r="I33" i="9"/>
  <c r="I17" i="9"/>
  <c r="I25" i="9"/>
  <c r="J14" i="9"/>
  <c r="K5" i="9" l="1"/>
  <c r="J5" i="9"/>
  <c r="M6" i="9"/>
  <c r="I52" i="9"/>
  <c r="I72" i="9"/>
  <c r="I75" i="9"/>
  <c r="I87" i="9"/>
  <c r="I79" i="9"/>
  <c r="I78" i="9"/>
  <c r="I60" i="9"/>
  <c r="I67" i="9"/>
  <c r="I83" i="9"/>
  <c r="I97" i="9"/>
  <c r="I76" i="9"/>
  <c r="I71" i="9"/>
  <c r="I56" i="9"/>
  <c r="I82" i="9"/>
  <c r="I90" i="9"/>
  <c r="I21" i="9"/>
  <c r="I43" i="9"/>
  <c r="I8" i="9"/>
  <c r="I7" i="9"/>
  <c r="I40" i="9"/>
  <c r="I16" i="9"/>
  <c r="J15" i="9"/>
  <c r="K14" i="9"/>
  <c r="M7" i="9"/>
  <c r="L7" i="9"/>
  <c r="L8" i="9"/>
  <c r="L11" i="9"/>
  <c r="M8" i="9"/>
  <c r="K9" i="9"/>
  <c r="K11" i="9"/>
  <c r="L6" i="9"/>
  <c r="L12" i="9"/>
  <c r="K7" i="9"/>
  <c r="L13" i="9"/>
  <c r="M9" i="9"/>
  <c r="M11" i="9"/>
  <c r="K6" i="9"/>
  <c r="M14" i="9"/>
  <c r="M12" i="9"/>
  <c r="M13" i="9"/>
  <c r="M10" i="9"/>
  <c r="L9" i="9"/>
  <c r="K13" i="9"/>
  <c r="L10" i="9"/>
  <c r="K8" i="9"/>
  <c r="L14" i="9"/>
  <c r="K10" i="9"/>
  <c r="K12" i="9"/>
  <c r="U52" i="5" l="1"/>
  <c r="G31" i="5"/>
  <c r="M15" i="9"/>
  <c r="K15" i="9"/>
  <c r="L15" i="9"/>
  <c r="J16" i="9"/>
  <c r="L16" i="9"/>
  <c r="J17" i="9"/>
  <c r="K16" i="9"/>
  <c r="M16" i="9"/>
  <c r="J18" i="9"/>
  <c r="L17" i="9"/>
  <c r="K17" i="9"/>
  <c r="M17" i="9"/>
  <c r="M18" i="9"/>
  <c r="K18" i="9"/>
  <c r="J19" i="9"/>
  <c r="L18" i="9"/>
  <c r="M19" i="9"/>
  <c r="J20" i="9"/>
  <c r="L19" i="9"/>
  <c r="K19" i="9"/>
  <c r="K20" i="9"/>
  <c r="L20" i="9"/>
  <c r="M20" i="9"/>
  <c r="J21" i="9"/>
  <c r="L21" i="9"/>
  <c r="M21" i="9"/>
  <c r="K21" i="9"/>
  <c r="J22" i="9"/>
  <c r="L22" i="9"/>
  <c r="M22" i="9"/>
  <c r="K22" i="9"/>
  <c r="J23" i="9"/>
  <c r="K23" i="9"/>
  <c r="M23" i="9"/>
  <c r="L23" i="9"/>
  <c r="J24" i="9"/>
  <c r="J25" i="9"/>
  <c r="M24" i="9"/>
  <c r="K24" i="9"/>
  <c r="L24" i="9"/>
  <c r="L25" i="9"/>
  <c r="M25" i="9"/>
  <c r="K25" i="9"/>
  <c r="J26" i="9"/>
  <c r="J27" i="9"/>
  <c r="K26" i="9"/>
  <c r="L26" i="9"/>
  <c r="M26" i="9"/>
  <c r="J28" i="9"/>
  <c r="K27" i="9"/>
  <c r="M27" i="9"/>
  <c r="L27" i="9"/>
  <c r="J29" i="9"/>
  <c r="L28" i="9"/>
  <c r="M28" i="9"/>
  <c r="K28" i="9"/>
  <c r="M29" i="9"/>
  <c r="K29" i="9"/>
  <c r="J30" i="9"/>
  <c r="L29" i="9"/>
  <c r="K30" i="9"/>
  <c r="L30" i="9"/>
  <c r="J31" i="9"/>
  <c r="M30" i="9"/>
  <c r="M31" i="9"/>
  <c r="L31" i="9"/>
  <c r="J32" i="9"/>
  <c r="K31" i="9"/>
  <c r="L32" i="9"/>
  <c r="J33" i="9"/>
  <c r="M32" i="9"/>
  <c r="K32" i="9"/>
  <c r="L33" i="9"/>
  <c r="J34" i="9"/>
  <c r="K33" i="9"/>
  <c r="M33" i="9"/>
  <c r="K34" i="9"/>
  <c r="M34" i="9"/>
  <c r="L34" i="9"/>
  <c r="J35" i="9"/>
  <c r="K35" i="9"/>
  <c r="M35" i="9"/>
  <c r="L35" i="9"/>
  <c r="J36" i="9"/>
  <c r="M36" i="9"/>
  <c r="J37" i="9"/>
  <c r="L36" i="9"/>
  <c r="K36" i="9"/>
  <c r="K37" i="9"/>
  <c r="L37" i="9"/>
  <c r="M37" i="9"/>
  <c r="J38" i="9"/>
  <c r="L38" i="9"/>
  <c r="K38" i="9"/>
  <c r="J39" i="9"/>
  <c r="M38" i="9"/>
  <c r="L39" i="9"/>
  <c r="K39" i="9"/>
  <c r="M39" i="9"/>
  <c r="J40" i="9"/>
  <c r="L40" i="9"/>
  <c r="K40" i="9"/>
  <c r="J41" i="9"/>
  <c r="M40" i="9"/>
  <c r="L41" i="9"/>
  <c r="J42" i="9"/>
  <c r="K41" i="9"/>
  <c r="M41" i="9"/>
  <c r="L42" i="9"/>
  <c r="J43" i="9"/>
  <c r="M42" i="9"/>
  <c r="K42" i="9"/>
  <c r="J44" i="9"/>
  <c r="L43" i="9"/>
  <c r="M43" i="9"/>
  <c r="K43" i="9"/>
  <c r="M44" i="9"/>
  <c r="J45" i="9"/>
  <c r="L44" i="9"/>
  <c r="K44" i="9"/>
  <c r="K45" i="9"/>
  <c r="J46" i="9"/>
  <c r="L45" i="9"/>
  <c r="M45" i="9"/>
  <c r="M46" i="9"/>
  <c r="L46" i="9"/>
  <c r="K46" i="9"/>
  <c r="J47" i="9"/>
  <c r="L47" i="9"/>
  <c r="J48" i="9"/>
  <c r="K47" i="9"/>
  <c r="M47" i="9"/>
  <c r="M48" i="9"/>
  <c r="K48" i="9"/>
  <c r="J49" i="9"/>
  <c r="L48" i="9"/>
  <c r="J50" i="9"/>
  <c r="L49" i="9"/>
  <c r="K49" i="9"/>
  <c r="M49" i="9"/>
  <c r="M50" i="9"/>
  <c r="J51" i="9"/>
  <c r="K50" i="9"/>
  <c r="L50" i="9"/>
  <c r="M51" i="9"/>
  <c r="K51" i="9"/>
  <c r="L51" i="9"/>
  <c r="J52" i="9"/>
  <c r="M52" i="9"/>
  <c r="K52" i="9"/>
  <c r="L52" i="9"/>
  <c r="J53" i="9"/>
  <c r="J54" i="9"/>
  <c r="M53" i="9"/>
  <c r="L53" i="9"/>
  <c r="K53" i="9"/>
  <c r="K54" i="9"/>
  <c r="J55" i="9"/>
  <c r="L54" i="9"/>
  <c r="M54" i="9"/>
  <c r="J56" i="9" l="1"/>
  <c r="K55" i="9"/>
  <c r="M55" i="9"/>
  <c r="L55" i="9"/>
  <c r="K56" i="9" l="1"/>
  <c r="J57" i="9"/>
  <c r="L56" i="9"/>
  <c r="M56" i="9"/>
  <c r="L57" i="9" l="1"/>
  <c r="M57" i="9"/>
  <c r="J58" i="9"/>
  <c r="K57" i="9"/>
  <c r="J59" i="9" l="1"/>
  <c r="L58" i="9"/>
  <c r="K58" i="9"/>
  <c r="M58" i="9"/>
  <c r="J60" i="9" l="1"/>
  <c r="K59" i="9"/>
  <c r="L59" i="9"/>
  <c r="M59" i="9"/>
  <c r="L60" i="9" l="1"/>
  <c r="J61" i="9"/>
  <c r="K60" i="9"/>
  <c r="M60" i="9"/>
  <c r="L61" i="9" l="1"/>
  <c r="M61" i="9"/>
  <c r="J62" i="9"/>
  <c r="K61" i="9"/>
  <c r="J63" i="9" l="1"/>
  <c r="L62" i="9"/>
  <c r="M62" i="9"/>
  <c r="K62" i="9"/>
  <c r="M63" i="9" l="1"/>
  <c r="K63" i="9"/>
  <c r="J64" i="9"/>
  <c r="L63" i="9"/>
  <c r="M64" i="9" l="1"/>
  <c r="J65" i="9"/>
  <c r="K64" i="9"/>
  <c r="L64" i="9"/>
  <c r="K65" i="9" l="1"/>
  <c r="M65" i="9"/>
  <c r="L65" i="9"/>
  <c r="J66" i="9"/>
  <c r="J67" i="9" l="1"/>
  <c r="L66" i="9"/>
  <c r="K66" i="9"/>
  <c r="M66" i="9"/>
  <c r="M67" i="9" l="1"/>
  <c r="L67" i="9"/>
  <c r="J68" i="9"/>
  <c r="K67" i="9"/>
  <c r="M68" i="9" l="1"/>
  <c r="L68" i="9"/>
  <c r="K68" i="9"/>
  <c r="J69" i="9"/>
  <c r="L69" i="9" l="1"/>
  <c r="K69" i="9"/>
  <c r="J70" i="9"/>
  <c r="M69" i="9"/>
  <c r="K70" i="9" l="1"/>
  <c r="J71" i="9"/>
  <c r="M70" i="9"/>
  <c r="L70" i="9"/>
  <c r="J72" i="9" l="1"/>
  <c r="K71" i="9"/>
  <c r="L71" i="9"/>
  <c r="M71" i="9"/>
  <c r="M72" i="9" l="1"/>
  <c r="K72" i="9"/>
  <c r="J73" i="9"/>
  <c r="L72" i="9"/>
  <c r="K73" i="9" l="1"/>
  <c r="M73" i="9"/>
  <c r="J74" i="9"/>
  <c r="L73" i="9"/>
  <c r="J75" i="9" l="1"/>
  <c r="K74" i="9"/>
  <c r="L74" i="9"/>
  <c r="M74" i="9"/>
  <c r="M75" i="9" l="1"/>
  <c r="K75" i="9"/>
  <c r="J76" i="9"/>
  <c r="L75" i="9"/>
  <c r="K76" i="9" l="1"/>
  <c r="J77" i="9"/>
  <c r="M76" i="9"/>
  <c r="L76" i="9"/>
  <c r="K77" i="9" l="1"/>
  <c r="M77" i="9"/>
  <c r="J78" i="9"/>
  <c r="L77" i="9"/>
  <c r="M78" i="9" l="1"/>
  <c r="L78" i="9"/>
  <c r="K78" i="9"/>
  <c r="J79" i="9"/>
  <c r="J80" i="9" l="1"/>
  <c r="K79" i="9"/>
  <c r="M79" i="9"/>
  <c r="L79" i="9"/>
  <c r="L80" i="9" l="1"/>
  <c r="M80" i="9"/>
  <c r="J81" i="9"/>
  <c r="K80" i="9"/>
  <c r="K81" i="9" l="1"/>
  <c r="M81" i="9"/>
  <c r="L81" i="9"/>
  <c r="J82" i="9"/>
  <c r="M82" i="9" l="1"/>
  <c r="K82" i="9"/>
  <c r="J83" i="9"/>
  <c r="L82" i="9"/>
  <c r="J84" i="9" l="1"/>
  <c r="K83" i="9"/>
  <c r="L83" i="9"/>
  <c r="M83" i="9"/>
  <c r="J85" i="9" l="1"/>
  <c r="M84" i="9"/>
  <c r="K84" i="9"/>
  <c r="L84" i="9"/>
  <c r="M85" i="9" l="1"/>
  <c r="L85" i="9"/>
  <c r="K85" i="9"/>
  <c r="J86" i="9"/>
  <c r="M86" i="9" l="1"/>
  <c r="L86" i="9"/>
  <c r="J87" i="9"/>
  <c r="K86" i="9"/>
  <c r="L87" i="9" l="1"/>
  <c r="M87" i="9"/>
  <c r="J88" i="9"/>
  <c r="K87" i="9"/>
  <c r="K88" i="9" l="1"/>
  <c r="J89" i="9"/>
  <c r="M88" i="9"/>
  <c r="L88" i="9"/>
  <c r="J90" i="9" l="1"/>
  <c r="M89" i="9"/>
  <c r="K89" i="9"/>
  <c r="L89" i="9"/>
  <c r="J91" i="9" l="1"/>
  <c r="L90" i="9"/>
  <c r="M90" i="9"/>
  <c r="K90" i="9"/>
  <c r="L91" i="9" l="1"/>
  <c r="K91" i="9"/>
  <c r="M91" i="9"/>
  <c r="J92" i="9"/>
  <c r="J93" i="9" l="1"/>
  <c r="L92" i="9"/>
  <c r="M92" i="9"/>
  <c r="K92" i="9"/>
  <c r="M93" i="9" l="1"/>
  <c r="J94" i="9"/>
  <c r="K93" i="9"/>
  <c r="L93" i="9"/>
  <c r="K94" i="9" l="1"/>
  <c r="L94" i="9"/>
  <c r="M94" i="9"/>
  <c r="J95" i="9"/>
  <c r="J96" i="9" l="1"/>
  <c r="M95" i="9"/>
  <c r="K95" i="9"/>
  <c r="L95" i="9"/>
  <c r="J97" i="9" l="1"/>
  <c r="M96" i="9"/>
  <c r="L96" i="9"/>
  <c r="K96" i="9"/>
  <c r="J98" i="9" l="1"/>
  <c r="M97" i="9"/>
  <c r="K97" i="9"/>
  <c r="L97" i="9"/>
  <c r="L98" i="9" l="1"/>
  <c r="J99" i="9"/>
  <c r="K98" i="9"/>
  <c r="M98" i="9"/>
  <c r="J100" i="9" l="1"/>
  <c r="M5" i="9" s="1"/>
  <c r="M99" i="9"/>
  <c r="L99" i="9"/>
  <c r="K99" i="9"/>
  <c r="L100" i="9" l="1"/>
  <c r="M100" i="9"/>
  <c r="K100" i="9"/>
  <c r="U55" i="5" l="1"/>
  <c r="U56" i="5"/>
  <c r="U53" i="5"/>
  <c r="U54" i="5"/>
  <c r="W54" i="5" s="1"/>
  <c r="W55" i="5" l="1"/>
  <c r="W53" i="5"/>
  <c r="W52" i="5"/>
  <c r="W56" i="5"/>
  <c r="S52" i="5" l="1"/>
  <c r="S56" i="5"/>
  <c r="S55" i="5"/>
  <c r="S53" i="5"/>
  <c r="S54" i="5"/>
  <c r="Y54" i="5" l="1"/>
  <c r="AA54" i="5" s="1"/>
  <c r="Y56" i="5"/>
  <c r="AA56" i="5" s="1"/>
  <c r="Y53" i="5"/>
  <c r="AA53" i="5" s="1"/>
  <c r="Y55" i="5"/>
  <c r="AA55" i="5" s="1"/>
  <c r="Y52" i="5"/>
  <c r="AA52" i="5" s="1"/>
  <c r="Z52" i="5" l="1" a="1"/>
  <c r="Z52" i="5" s="1"/>
  <c r="AF52" i="5" s="1"/>
  <c r="Z53" i="5" l="1"/>
  <c r="AF53" i="5" s="1"/>
  <c r="Z54" i="5"/>
  <c r="AF54" i="5" s="1"/>
  <c r="Z56" i="5"/>
  <c r="AF56" i="5" s="1"/>
  <c r="Z55" i="5"/>
  <c r="AF55" i="5" s="1"/>
</calcChain>
</file>

<file path=xl/sharedStrings.xml><?xml version="1.0" encoding="utf-8"?>
<sst xmlns="http://schemas.openxmlformats.org/spreadsheetml/2006/main" count="1052" uniqueCount="556">
  <si>
    <t>指数代码</t>
    <phoneticPr fontId="1" type="noConversion"/>
  </si>
  <si>
    <t>指数名称</t>
    <phoneticPr fontId="1" type="noConversion"/>
  </si>
  <si>
    <t>序号</t>
    <phoneticPr fontId="1" type="noConversion"/>
  </si>
  <si>
    <t>美洲</t>
    <phoneticPr fontId="1" type="noConversion"/>
  </si>
  <si>
    <t>台湾</t>
    <phoneticPr fontId="1" type="noConversion"/>
  </si>
  <si>
    <t>指数</t>
    <phoneticPr fontId="1" type="noConversion"/>
  </si>
  <si>
    <t>HSI.HI</t>
  </si>
  <si>
    <t>000001.SH</t>
  </si>
  <si>
    <t>399001.SZ</t>
  </si>
  <si>
    <t>AEX.GI</t>
  </si>
  <si>
    <t>AS51.GI</t>
  </si>
  <si>
    <t>ASE.GI</t>
  </si>
  <si>
    <t>ATX.GI</t>
  </si>
  <si>
    <t>BFX.GI</t>
  </si>
  <si>
    <t>BLOM.GI</t>
  </si>
  <si>
    <t>DJI.GI</t>
  </si>
  <si>
    <t>FCHI.GI</t>
  </si>
  <si>
    <t>FTSE.GI</t>
  </si>
  <si>
    <t>GDAXI.GI</t>
  </si>
  <si>
    <t>GSPTSE.GI</t>
  </si>
  <si>
    <t>HEX.GI</t>
  </si>
  <si>
    <t>IBEX.GI</t>
  </si>
  <si>
    <t>IBOVESPA.GI</t>
  </si>
  <si>
    <t>IBVC.GI</t>
  </si>
  <si>
    <t>ISEQ.GI</t>
  </si>
  <si>
    <t>IXIC.GI</t>
  </si>
  <si>
    <t>JALSH.GI</t>
  </si>
  <si>
    <t>JKSE.GI</t>
  </si>
  <si>
    <t>KAX.GI</t>
  </si>
  <si>
    <t>KLSE.GI</t>
  </si>
  <si>
    <t>KS11.GI</t>
  </si>
  <si>
    <t>LUXXX.GI</t>
  </si>
  <si>
    <t>MERV.GI</t>
  </si>
  <si>
    <t>MXX.GI</t>
  </si>
  <si>
    <t>N225.GI</t>
  </si>
  <si>
    <t>NZ50.GI</t>
  </si>
  <si>
    <t>OMXSPI.GI</t>
  </si>
  <si>
    <t>OSEAX.GI</t>
  </si>
  <si>
    <t>PSI.GI</t>
  </si>
  <si>
    <t>PX.GI</t>
  </si>
  <si>
    <t>SASEIDX.GI</t>
  </si>
  <si>
    <t>SETI.GI</t>
  </si>
  <si>
    <t>SPX.GI</t>
  </si>
  <si>
    <t>SSMI.GI</t>
  </si>
  <si>
    <t>STI.GI</t>
  </si>
  <si>
    <t>SX5P.GI</t>
  </si>
  <si>
    <t>TWII.TW</t>
  </si>
  <si>
    <t>VNINDEX.GI</t>
  </si>
  <si>
    <t>全球-大中华</t>
  </si>
  <si>
    <t>全球-美洲</t>
  </si>
  <si>
    <t>全球-欧非中东</t>
  </si>
  <si>
    <t>全球-亚太</t>
  </si>
  <si>
    <t>000002.SH</t>
  </si>
  <si>
    <t>000003.SH</t>
  </si>
  <si>
    <t>000010.SH</t>
  </si>
  <si>
    <t>000016.SH</t>
  </si>
  <si>
    <t>000017.SH</t>
  </si>
  <si>
    <t>000300.SH</t>
  </si>
  <si>
    <t>000903.SH</t>
  </si>
  <si>
    <t>399004.SZ</t>
  </si>
  <si>
    <t>399005.SZ</t>
  </si>
  <si>
    <t>399006.SZ</t>
  </si>
  <si>
    <t>399100.SZ</t>
  </si>
  <si>
    <t>399101.SZ</t>
  </si>
  <si>
    <t>399106.SZ</t>
  </si>
  <si>
    <t>399107.SZ</t>
  </si>
  <si>
    <t>399108.SZ</t>
  </si>
  <si>
    <t>801001.SI</t>
  </si>
  <si>
    <t>801002.SI</t>
  </si>
  <si>
    <t>801003.SI</t>
  </si>
  <si>
    <t>801005.SI</t>
  </si>
  <si>
    <t>801300.SI</t>
  </si>
  <si>
    <t>816000.CI</t>
  </si>
  <si>
    <t>816050.CI</t>
  </si>
  <si>
    <t>830001.XI</t>
  </si>
  <si>
    <t>830002.XI</t>
  </si>
  <si>
    <t>830003.XI</t>
  </si>
  <si>
    <t>830004.XI</t>
  </si>
  <si>
    <t>830009.XI</t>
  </si>
  <si>
    <t>881001.WI</t>
  </si>
  <si>
    <t>881002.WI</t>
  </si>
  <si>
    <t>DJCBN600.GI</t>
  </si>
  <si>
    <t>DJCHINA.GI</t>
  </si>
  <si>
    <t>DJCN88.GI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</si>
  <si>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</si>
  <si>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</si>
  <si>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</si>
  <si>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</si>
  <si>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</si>
  <si>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</si>
  <si>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</si>
  <si>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</si>
  <si>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</si>
  <si>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</si>
  <si>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</si>
  <si>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</si>
  <si>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</si>
  <si>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</si>
  <si>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</si>
  <si>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</si>
  <si>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</si>
  <si>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</si>
  <si>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</si>
  <si>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</si>
  <si>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</si>
  <si>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</si>
  <si>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</si>
  <si>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</si>
  <si>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</si>
  <si>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</si>
  <si>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</si>
  <si>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</si>
  <si>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</si>
  <si>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CI005101.WI</t>
  </si>
  <si>
    <t>CI005102.WI</t>
  </si>
  <si>
    <t>CI005104.WI</t>
  </si>
  <si>
    <t>CI005105.WI</t>
  </si>
  <si>
    <t>CI005106.WI</t>
  </si>
  <si>
    <t>CI005107.WI</t>
  </si>
  <si>
    <t>CI005109.WI</t>
  </si>
  <si>
    <t>CI005110.WI</t>
  </si>
  <si>
    <t>CI005111.WI</t>
  </si>
  <si>
    <t>CI005113.WI</t>
  </si>
  <si>
    <t>CI005117.WI</t>
  </si>
  <si>
    <t>CI005122.WI</t>
  </si>
  <si>
    <t>CI005124.WI</t>
  </si>
  <si>
    <t>CI005127.WI</t>
  </si>
  <si>
    <t>CI005129.WI</t>
  </si>
  <si>
    <t>CI005133.WI</t>
  </si>
  <si>
    <t>CI005134.WI</t>
  </si>
  <si>
    <t>CI005136.WI</t>
  </si>
  <si>
    <t>CI005137.WI</t>
  </si>
  <si>
    <t>CI005138.WI</t>
  </si>
  <si>
    <t>CI005139.WI</t>
  </si>
  <si>
    <t>CI005140.WI</t>
  </si>
  <si>
    <t>CI005143.WI</t>
  </si>
  <si>
    <t>CI005144.WI</t>
  </si>
  <si>
    <t>CI005145.WI</t>
  </si>
  <si>
    <t>CI005146.WI</t>
  </si>
  <si>
    <t>CI005152.WI</t>
  </si>
  <si>
    <t>CI005153.WI</t>
  </si>
  <si>
    <t>CI005154.WI</t>
  </si>
  <si>
    <t>CI005155.WI</t>
  </si>
  <si>
    <t>CI005156.WI</t>
  </si>
  <si>
    <t>CI005160.WI</t>
  </si>
  <si>
    <t>CI005162.WI</t>
  </si>
  <si>
    <t>CI005163.WI</t>
  </si>
  <si>
    <t>CI005164.WI</t>
  </si>
  <si>
    <t>CI005165.WI</t>
  </si>
  <si>
    <t>CI005166.WI</t>
  </si>
  <si>
    <t>CI005168.WI</t>
  </si>
  <si>
    <t>CI005170.WI</t>
  </si>
  <si>
    <t>CI005171.WI</t>
  </si>
  <si>
    <t>CI005172.WI</t>
  </si>
  <si>
    <t>CI005173.WI</t>
  </si>
  <si>
    <t>CI005178.WI</t>
  </si>
  <si>
    <t>CI005181.WI</t>
  </si>
  <si>
    <t>801010.SI</t>
  </si>
  <si>
    <t>801030.SI</t>
  </si>
  <si>
    <t>801040.SI</t>
  </si>
  <si>
    <t>801050.SI</t>
  </si>
  <si>
    <t>801080.SI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</si>
  <si>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</si>
  <si>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</si>
  <si>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</si>
  <si>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</si>
  <si>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</si>
  <si>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</si>
  <si>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</si>
  <si>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</si>
  <si>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801200.SI</t>
  </si>
  <si>
    <t>801210.SI</t>
  </si>
  <si>
    <t>801230.SI</t>
  </si>
  <si>
    <t>801012.SI</t>
  </si>
  <si>
    <t>801014.SI</t>
  </si>
  <si>
    <t>801015.SI</t>
  </si>
  <si>
    <t>801016.SI</t>
  </si>
  <si>
    <t>801032.SI</t>
  </si>
  <si>
    <t>801033.SI</t>
  </si>
  <si>
    <t>801034.SI</t>
  </si>
  <si>
    <t>801036.SI</t>
  </si>
  <si>
    <t>801037.SI</t>
  </si>
  <si>
    <t>801051.SI</t>
  </si>
  <si>
    <t>801072.SI</t>
  </si>
  <si>
    <t>801074.SI</t>
  </si>
  <si>
    <t>801081.SI</t>
  </si>
  <si>
    <t>801082.SI</t>
  </si>
  <si>
    <t>801083.SI</t>
  </si>
  <si>
    <t>801084.SI</t>
  </si>
  <si>
    <t>801092.SI</t>
  </si>
  <si>
    <t>801093.SI</t>
  </si>
  <si>
    <t>801101.SI</t>
  </si>
  <si>
    <t>801102.SI</t>
  </si>
  <si>
    <t>801111.SI</t>
  </si>
  <si>
    <t>801112.SI</t>
  </si>
  <si>
    <t>801131.SI</t>
  </si>
  <si>
    <t>801132.SI</t>
  </si>
  <si>
    <t>801141.SI</t>
  </si>
  <si>
    <t>801142.SI</t>
  </si>
  <si>
    <t>801143.SI</t>
  </si>
  <si>
    <t>801151.SI</t>
  </si>
  <si>
    <t>801152.SI</t>
  </si>
  <si>
    <t>801153.SI</t>
  </si>
  <si>
    <t>801154.SI</t>
  </si>
  <si>
    <t>801155.SI</t>
  </si>
  <si>
    <t>801156.SI</t>
  </si>
  <si>
    <t>801161.SI</t>
  </si>
  <si>
    <t>801163.SI</t>
  </si>
  <si>
    <t>801178.SI</t>
  </si>
  <si>
    <t>801181.SI</t>
  </si>
  <si>
    <t>801191.SI</t>
  </si>
  <si>
    <t>801193.SI</t>
  </si>
  <si>
    <t>801194.SI</t>
  </si>
  <si>
    <t>801202.SI</t>
  </si>
  <si>
    <t>801223.SI</t>
  </si>
  <si>
    <t>801231.SI</t>
  </si>
  <si>
    <t>882001.WI</t>
  </si>
  <si>
    <t>882002.WI</t>
  </si>
  <si>
    <t>882003.WI</t>
  </si>
  <si>
    <t>882004.WI</t>
  </si>
  <si>
    <t>882005.WI</t>
  </si>
  <si>
    <t>882006.WI</t>
  </si>
  <si>
    <t>882007.WI</t>
  </si>
  <si>
    <t>882008.WI</t>
  </si>
  <si>
    <t>882009.WI</t>
  </si>
  <si>
    <t>882010.WI</t>
  </si>
  <si>
    <t>882100.WI</t>
  </si>
  <si>
    <t>882101.WI</t>
  </si>
  <si>
    <t>882102.WI</t>
  </si>
  <si>
    <t>882103.WI</t>
  </si>
  <si>
    <t>882104.WI</t>
  </si>
  <si>
    <t>882105.WI</t>
  </si>
  <si>
    <t>882106.WI</t>
  </si>
  <si>
    <t>882107.WI</t>
  </si>
  <si>
    <t>882108.WI</t>
  </si>
  <si>
    <t>882109.WI</t>
  </si>
  <si>
    <t>882110.WI</t>
  </si>
  <si>
    <t>882111.WI</t>
  </si>
  <si>
    <t>882112.WI</t>
  </si>
  <si>
    <t>882113.WI</t>
  </si>
  <si>
    <t>882114.WI</t>
  </si>
  <si>
    <t>882115.WI</t>
  </si>
  <si>
    <t>882116.WI</t>
  </si>
  <si>
    <t>882117.WI</t>
  </si>
  <si>
    <t>882118.WI</t>
  </si>
  <si>
    <t>882119.WI</t>
  </si>
  <si>
    <t>882120.WI</t>
  </si>
  <si>
    <t>882121.WI</t>
  </si>
  <si>
    <t>882122.WI</t>
  </si>
  <si>
    <t>882123.WI</t>
  </si>
  <si>
    <t>沪深；中信一级行业</t>
  </si>
  <si>
    <t>沪深；中信二级行业</t>
  </si>
  <si>
    <t>沪深；申万一级行业</t>
  </si>
  <si>
    <t>沪深；申万二级行业</t>
  </si>
  <si>
    <t>沪深；wind二级行业</t>
  </si>
  <si>
    <t>全球-大中华；沪深基准</t>
    <phoneticPr fontId="1" type="noConversion"/>
  </si>
  <si>
    <t>沪深基准</t>
    <phoneticPr fontId="1" type="noConversion"/>
  </si>
  <si>
    <t>TWSE002.TW</t>
  </si>
  <si>
    <t>TWSE003.TW</t>
  </si>
  <si>
    <t>TWSE004.TW</t>
  </si>
  <si>
    <t>TWSE005.TW</t>
  </si>
  <si>
    <t>TWSE006.TW</t>
  </si>
  <si>
    <t>TWSE007.TW</t>
  </si>
  <si>
    <t>TWSE008.TW</t>
  </si>
  <si>
    <t>TWSE009.TW</t>
  </si>
  <si>
    <t>TWSE010.TW</t>
  </si>
  <si>
    <t>TWSE011.TW</t>
  </si>
  <si>
    <t>TWSE012.TW</t>
  </si>
  <si>
    <t>TWSE013.TW</t>
  </si>
  <si>
    <t>TWSE014.TW</t>
  </si>
  <si>
    <t>TWSE015.TW</t>
  </si>
  <si>
    <t>TWSE016.TW</t>
  </si>
  <si>
    <t>TWSE017.TW</t>
  </si>
  <si>
    <t>TWSE018.TW</t>
  </si>
  <si>
    <t>TWSE019.TW</t>
  </si>
  <si>
    <t>TWSE020.TW</t>
  </si>
  <si>
    <t>TWSE021.TW</t>
  </si>
  <si>
    <t>TWSE022.TW</t>
  </si>
  <si>
    <t>TWSE023.TW</t>
  </si>
  <si>
    <t>TWSE024.TW</t>
  </si>
  <si>
    <t>TWSE025.TW</t>
  </si>
  <si>
    <t>TWSE065.TW</t>
  </si>
  <si>
    <t>TWSE068.TW</t>
  </si>
  <si>
    <t>TWSE069.TW</t>
  </si>
  <si>
    <t>TWSE070.TW</t>
  </si>
  <si>
    <t>TWSE071.TW</t>
  </si>
  <si>
    <t>TWSE072.TW</t>
  </si>
  <si>
    <t>TWSE073.TW</t>
  </si>
  <si>
    <t>TWSE074.TW</t>
  </si>
  <si>
    <t>TWSE075.TW</t>
  </si>
  <si>
    <t>TWSE076.TW</t>
  </si>
  <si>
    <t>TWSE077.TW</t>
  </si>
  <si>
    <t>TWSE078.TW</t>
  </si>
  <si>
    <t>TWSE079.TW</t>
  </si>
  <si>
    <t>399310.SZ</t>
  </si>
  <si>
    <t>399311.SZ</t>
  </si>
  <si>
    <t>399312.SZ</t>
  </si>
  <si>
    <t>399313.SZ</t>
  </si>
  <si>
    <t>399314.SZ</t>
  </si>
  <si>
    <t>399315.SZ</t>
  </si>
  <si>
    <t>399316.SZ</t>
  </si>
  <si>
    <t>399317.SZ</t>
  </si>
  <si>
    <t>399318.SZ</t>
  </si>
  <si>
    <t>399370.SZ</t>
  </si>
  <si>
    <t>399371.SZ</t>
  </si>
  <si>
    <t>399372.SZ</t>
  </si>
  <si>
    <t>399373.SZ</t>
  </si>
  <si>
    <t>399374.SZ</t>
  </si>
  <si>
    <t>399375.SZ</t>
  </si>
  <si>
    <t>399376.SZ</t>
  </si>
  <si>
    <t>399377.SZ</t>
  </si>
  <si>
    <t>000905.SH</t>
  </si>
  <si>
    <t>000906.SH</t>
  </si>
  <si>
    <t>000907.SH</t>
  </si>
  <si>
    <t>地区-行业-规模-风格</t>
    <phoneticPr fontId="1" type="noConversion"/>
  </si>
  <si>
    <t>全球</t>
    <phoneticPr fontId="1" type="noConversion"/>
  </si>
  <si>
    <t>大中华</t>
    <phoneticPr fontId="1" type="noConversion"/>
  </si>
  <si>
    <t>欧非中东</t>
    <phoneticPr fontId="1" type="noConversion"/>
  </si>
  <si>
    <t>亚太</t>
    <phoneticPr fontId="1" type="noConversion"/>
  </si>
  <si>
    <t>区间收益率</t>
    <phoneticPr fontId="1" type="noConversion"/>
  </si>
  <si>
    <t>排序</t>
    <phoneticPr fontId="1" type="noConversion"/>
  </si>
  <si>
    <t>调整后收益率</t>
    <phoneticPr fontId="1" type="noConversion"/>
  </si>
  <si>
    <t>指数区间统计</t>
    <phoneticPr fontId="1" type="noConversion"/>
  </si>
  <si>
    <t>区间最高值</t>
    <phoneticPr fontId="1" type="noConversion"/>
  </si>
  <si>
    <t>区间中值</t>
    <phoneticPr fontId="1" type="noConversion"/>
  </si>
  <si>
    <t>区间最小值</t>
    <phoneticPr fontId="1" type="noConversion"/>
  </si>
  <si>
    <t>截止日期值</t>
    <phoneticPr fontId="1" type="noConversion"/>
  </si>
  <si>
    <t>区间均值</t>
    <phoneticPr fontId="1" type="noConversion"/>
  </si>
  <si>
    <t>分布</t>
    <phoneticPr fontId="1" type="noConversion"/>
  </si>
  <si>
    <t>world序号</t>
    <phoneticPr fontId="1" type="noConversion"/>
  </si>
  <si>
    <t>行业类型</t>
    <phoneticPr fontId="1" type="noConversion"/>
  </si>
  <si>
    <t>当前值</t>
    <phoneticPr fontId="1" type="noConversion"/>
  </si>
  <si>
    <t>主要市场</t>
    <phoneticPr fontId="1" type="noConversion"/>
  </si>
  <si>
    <t>沪深基准</t>
    <phoneticPr fontId="1" type="noConversion"/>
  </si>
  <si>
    <t>台湾；行业</t>
    <phoneticPr fontId="1" type="noConversion"/>
  </si>
  <si>
    <t>台湾；行业</t>
    <phoneticPr fontId="1" type="noConversion"/>
  </si>
  <si>
    <t>沪深：巨潮规模</t>
    <phoneticPr fontId="1" type="noConversion"/>
  </si>
  <si>
    <t>沪深：巨潮风格</t>
    <phoneticPr fontId="1" type="noConversion"/>
  </si>
  <si>
    <t>沪深；中证规模</t>
    <phoneticPr fontId="1" type="noConversion"/>
  </si>
  <si>
    <t>规模类型</t>
    <phoneticPr fontId="1" type="noConversion"/>
  </si>
  <si>
    <t>风格类型</t>
    <phoneticPr fontId="1" type="noConversion"/>
  </si>
  <si>
    <t>中信一级</t>
    <phoneticPr fontId="1" type="noConversion"/>
  </si>
  <si>
    <t>中信二级</t>
    <phoneticPr fontId="1" type="noConversion"/>
  </si>
  <si>
    <t>申万一级</t>
    <phoneticPr fontId="1" type="noConversion"/>
  </si>
  <si>
    <t>申万二级</t>
    <phoneticPr fontId="1" type="noConversion"/>
  </si>
  <si>
    <t>wind一级</t>
    <phoneticPr fontId="1" type="noConversion"/>
  </si>
  <si>
    <t>wind二级</t>
    <phoneticPr fontId="1" type="noConversion"/>
  </si>
  <si>
    <t>台湾；行业</t>
  </si>
  <si>
    <t>巨潮规模</t>
    <phoneticPr fontId="1" type="noConversion"/>
  </si>
  <si>
    <t>中证规模</t>
    <phoneticPr fontId="1" type="noConversion"/>
  </si>
  <si>
    <t>巨潮风格</t>
    <phoneticPr fontId="1" type="noConversion"/>
  </si>
  <si>
    <t>801811.SI</t>
  </si>
  <si>
    <t>801812.SI</t>
  </si>
  <si>
    <t>801813.SI</t>
  </si>
  <si>
    <t>申万规模</t>
    <phoneticPr fontId="1" type="noConversion"/>
  </si>
  <si>
    <t>沪深；申万规模</t>
    <phoneticPr fontId="1" type="noConversion"/>
  </si>
  <si>
    <t xml:space="preserve">沪深；wind一级行业；Energy </t>
  </si>
  <si>
    <t xml:space="preserve">沪深；wind一级行业；Materials </t>
  </si>
  <si>
    <t xml:space="preserve">沪深；wind一级行业；Industrials </t>
  </si>
  <si>
    <t>沪深；wind一级行业；Consumer Discretionary</t>
  </si>
  <si>
    <t>沪深；wind一级行业；Consumer Staples</t>
  </si>
  <si>
    <t>沪深；wind一级行业；Health Care</t>
  </si>
  <si>
    <t xml:space="preserve">沪深；wind一级行业；Financials </t>
  </si>
  <si>
    <t>沪深；wind一级行业；Information Technology</t>
  </si>
  <si>
    <t>沪深；wind一级行业；Telecommunication Services</t>
  </si>
  <si>
    <t xml:space="preserve">沪深；wind一级行业；Utilities </t>
  </si>
  <si>
    <t>沪深基准；中证规模</t>
    <phoneticPr fontId="1" type="noConversion"/>
  </si>
  <si>
    <t>涨幅</t>
    <phoneticPr fontId="1" type="noConversion"/>
  </si>
  <si>
    <t>波动率</t>
    <phoneticPr fontId="1" type="noConversion"/>
  </si>
  <si>
    <t>沪深</t>
    <phoneticPr fontId="1" type="noConversion"/>
  </si>
  <si>
    <t>区间周波动率</t>
    <phoneticPr fontId="1" type="noConversion"/>
  </si>
  <si>
    <t>区域</t>
  </si>
  <si>
    <t>全球</t>
  </si>
  <si>
    <t>周</t>
    <phoneticPr fontId="2" type="noConversion"/>
  </si>
  <si>
    <t>指数选择</t>
    <phoneticPr fontId="1" type="noConversion"/>
  </si>
  <si>
    <t>区间统计</t>
    <phoneticPr fontId="1" type="noConversion"/>
  </si>
  <si>
    <t>指数分析</t>
  </si>
  <si>
    <t>指数分析</t>
    <phoneticPr fontId="23" type="noConversion"/>
  </si>
  <si>
    <t>SENSEX.BO</t>
    <phoneticPr fontId="1" type="noConversion"/>
  </si>
  <si>
    <t>TA125.GI</t>
    <phoneticPr fontId="1" type="noConversion"/>
  </si>
  <si>
    <t>133333.CSI</t>
    <phoneticPr fontId="1" type="noConversion"/>
  </si>
  <si>
    <t>RTSI.GI</t>
    <phoneticPr fontId="1" type="noConversion"/>
  </si>
  <si>
    <t>起始日期：</t>
    <phoneticPr fontId="1" type="noConversion"/>
  </si>
  <si>
    <t>截止日期：</t>
    <phoneticPr fontId="2" type="noConversion"/>
  </si>
  <si>
    <t>周期：</t>
    <phoneticPr fontId="1" type="noConversion"/>
  </si>
  <si>
    <t>8884057.WI</t>
    <phoneticPr fontId="1" type="noConversion"/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</si>
  <si>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</si>
  <si>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</si>
  <si>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</si>
  <si>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</si>
  <si>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</si>
  <si>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</si>
  <si>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</si>
  <si>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</si>
  <si>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</si>
  <si>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</si>
  <si>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</si>
  <si>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801950.SI</t>
  </si>
  <si>
    <t>801960.SI</t>
  </si>
  <si>
    <t>801970.SI</t>
  </si>
  <si>
    <t>801980.SI</t>
  </si>
  <si>
    <t>801017.SI</t>
  </si>
  <si>
    <t>801018.SI</t>
  </si>
  <si>
    <t>801038.SI</t>
  </si>
  <si>
    <t>801039.SI</t>
  </si>
  <si>
    <t>801043.SI</t>
  </si>
  <si>
    <t>801044.SI</t>
  </si>
  <si>
    <t>801045.SI</t>
  </si>
  <si>
    <t>801053.SI</t>
  </si>
  <si>
    <t>801054.SI</t>
  </si>
  <si>
    <t>801055.SI</t>
  </si>
  <si>
    <t>801056.SI</t>
  </si>
  <si>
    <t>801076.SI</t>
  </si>
  <si>
    <t>801077.SI</t>
  </si>
  <si>
    <t>801078.SI</t>
  </si>
  <si>
    <t>801085.SI</t>
  </si>
  <si>
    <t>801086.SI</t>
  </si>
  <si>
    <t>801095.SI</t>
  </si>
  <si>
    <t>801096.SI</t>
  </si>
  <si>
    <t>801103.SI</t>
  </si>
  <si>
    <t>801104.SI</t>
  </si>
  <si>
    <t>801113.SI</t>
  </si>
  <si>
    <t>801114.SI</t>
  </si>
  <si>
    <t>801115.SI</t>
  </si>
  <si>
    <t>801116.SI</t>
  </si>
  <si>
    <t>801124.SI</t>
  </si>
  <si>
    <t>801125.SI</t>
  </si>
  <si>
    <t>801126.SI</t>
  </si>
  <si>
    <t>801127.SI</t>
  </si>
  <si>
    <t>801128.SI</t>
  </si>
  <si>
    <t>801129.SI</t>
  </si>
  <si>
    <t>801133.SI</t>
  </si>
  <si>
    <t>801145.SI</t>
  </si>
  <si>
    <t>801179.SI</t>
  </si>
  <si>
    <t>801183.SI</t>
  </si>
  <si>
    <t>801203.SI</t>
  </si>
  <si>
    <t>801204.SI</t>
  </si>
  <si>
    <t>801206.SI</t>
  </si>
  <si>
    <t>801218.SI</t>
  </si>
  <si>
    <t>801219.SI</t>
  </si>
  <si>
    <t>801711.SI</t>
  </si>
  <si>
    <t>801712.SI</t>
  </si>
  <si>
    <t>801713.SI</t>
  </si>
  <si>
    <t>801721.SI</t>
  </si>
  <si>
    <t>801722.SI</t>
  </si>
  <si>
    <t>801723.SI</t>
  </si>
  <si>
    <t>801724.SI</t>
  </si>
  <si>
    <t>801726.SI</t>
  </si>
  <si>
    <t>801731.SI</t>
  </si>
  <si>
    <t>801733.SI</t>
  </si>
  <si>
    <t>801735.SI</t>
  </si>
  <si>
    <t>801736.SI</t>
  </si>
  <si>
    <t>801737.SI</t>
  </si>
  <si>
    <t>801738.SI</t>
  </si>
  <si>
    <t>801741.SI</t>
  </si>
  <si>
    <t>801742.SI</t>
  </si>
  <si>
    <t>801743.SI</t>
  </si>
  <si>
    <t>801744.SI</t>
  </si>
  <si>
    <t>801745.SI</t>
  </si>
  <si>
    <t>801764.SI</t>
  </si>
  <si>
    <t>801765.SI</t>
  </si>
  <si>
    <t>801766.SI</t>
  </si>
  <si>
    <t>801767.SI</t>
  </si>
  <si>
    <t>801769.SI</t>
  </si>
  <si>
    <t>801782.SI</t>
  </si>
  <si>
    <t>801783.SI</t>
  </si>
  <si>
    <t>801784.SI</t>
  </si>
  <si>
    <t>801785.SI</t>
  </si>
  <si>
    <t>801881.SI</t>
  </si>
  <si>
    <t>801951.SI</t>
  </si>
  <si>
    <t>801952.SI</t>
  </si>
  <si>
    <t>801962.SI</t>
  </si>
  <si>
    <t>801963.SI</t>
  </si>
  <si>
    <t>801971.SI</t>
  </si>
  <si>
    <t>801972.SI</t>
  </si>
  <si>
    <t>801981.SI</t>
  </si>
  <si>
    <t>801982.SI</t>
  </si>
  <si>
    <t>801991.SI</t>
  </si>
  <si>
    <t>801992.SI</t>
  </si>
  <si>
    <t>801993.SI</t>
  </si>
  <si>
    <t>801994.SI</t>
  </si>
  <si>
    <t>801995.SI</t>
  </si>
  <si>
    <t>CI005030.WI</t>
  </si>
  <si>
    <t>CI005135.WI</t>
  </si>
  <si>
    <t>CI005185.WI</t>
  </si>
  <si>
    <t>CI005187.WI</t>
  </si>
  <si>
    <t>CI005188.WI</t>
  </si>
  <si>
    <t>CI005189.WI</t>
  </si>
  <si>
    <t>CI005190.WI</t>
  </si>
  <si>
    <t>CI005191.WI</t>
  </si>
  <si>
    <t>CI005192.WI</t>
  </si>
  <si>
    <t>CI005193.WI</t>
  </si>
  <si>
    <t>CI005194.WI</t>
  </si>
  <si>
    <t>CI005195.WI</t>
  </si>
  <si>
    <t>CI005196.WI</t>
  </si>
  <si>
    <t>CI005197.WI</t>
  </si>
  <si>
    <t>CI005198.WI</t>
  </si>
  <si>
    <t>CI005199.WI</t>
  </si>
  <si>
    <t>CI005800.WI</t>
  </si>
  <si>
    <t>CI005801.WI</t>
  </si>
  <si>
    <t>CI005802.WI</t>
  </si>
  <si>
    <t>CI005803.WI</t>
  </si>
  <si>
    <t>CI005804.WI</t>
  </si>
  <si>
    <t>CI005805.WI</t>
  </si>
  <si>
    <t>CI005806.WI</t>
  </si>
  <si>
    <t>CI005807.WI</t>
  </si>
  <si>
    <t>CI005808.WI</t>
  </si>
  <si>
    <t>CI005809.WI</t>
  </si>
  <si>
    <t>CI005810.WI</t>
  </si>
  <si>
    <t>CI005811.WI</t>
  </si>
  <si>
    <t>CI005812.WI</t>
  </si>
  <si>
    <t>CI005813.WI</t>
  </si>
  <si>
    <t>CI005814.WI</t>
  </si>
  <si>
    <t>CI005815.WI</t>
  </si>
  <si>
    <t>CI005816.WI</t>
  </si>
  <si>
    <t>CI005817.WI</t>
  </si>
  <si>
    <t>CI005818.WI</t>
  </si>
  <si>
    <t>CI005819.WI</t>
  </si>
  <si>
    <t>CI005820.WI</t>
  </si>
  <si>
    <t>CI005821.WI</t>
  </si>
  <si>
    <t>CI005822.WI</t>
  </si>
  <si>
    <t>CI005823.WI</t>
  </si>
  <si>
    <t>CI005824.WI</t>
  </si>
  <si>
    <t>CI005825.WI</t>
  </si>
  <si>
    <t>CI005826.WI</t>
  </si>
  <si>
    <t>CI005827.WI</t>
  </si>
  <si>
    <t>CI005828.WI</t>
  </si>
  <si>
    <t>CI005829.WI</t>
  </si>
  <si>
    <t>CI005830.WI</t>
  </si>
  <si>
    <t>CI005831.WI</t>
  </si>
  <si>
    <t>CI005832.WI</t>
  </si>
  <si>
    <t>CI005834.WI</t>
  </si>
  <si>
    <t>CI005835.WI</t>
  </si>
  <si>
    <t>CI005836.WI</t>
  </si>
  <si>
    <t>CI005837.WI</t>
  </si>
  <si>
    <t>CI005838.WI</t>
  </si>
  <si>
    <t>CI005839.WI</t>
  </si>
  <si>
    <t>CI005840.WI</t>
  </si>
  <si>
    <t>CI005841.WI</t>
  </si>
  <si>
    <t>CI005842.WI</t>
  </si>
  <si>
    <t>CI005843.WI</t>
  </si>
  <si>
    <t>CI005844.WI</t>
  </si>
  <si>
    <t>CI005845.WI</t>
  </si>
  <si>
    <t>CI005846.WI</t>
  </si>
  <si>
    <t>CI005847.WI</t>
  </si>
  <si>
    <t>CI005848.WI</t>
  </si>
  <si>
    <t>CI005849.WI</t>
  </si>
  <si>
    <t>882011.WI</t>
  </si>
  <si>
    <t>沪深；wind一级行业；</t>
    <phoneticPr fontId="1" type="noConversion"/>
  </si>
  <si>
    <t>000852.SH</t>
    <phoneticPr fontId="1" type="noConversion"/>
  </si>
  <si>
    <t>899050.BJ</t>
    <phoneticPr fontId="1" type="noConversion"/>
  </si>
  <si>
    <t>全球-大中华</t>
    <phoneticPr fontId="1" type="noConversion"/>
  </si>
  <si>
    <t>排序</t>
    <phoneticPr fontId="1" type="noConversion"/>
  </si>
  <si>
    <t>参数设置</t>
    <phoneticPr fontId="1" type="noConversion"/>
  </si>
  <si>
    <t>当期涨跌幅</t>
    <phoneticPr fontId="1" type="noConversion"/>
  </si>
  <si>
    <t>指数涨跌幅top20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</si>
</sst>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_ * #,##0_ ;_ * \-#,##0_ ;_ * &quot;-&quot;??_ ;_ @_ "/>
    <numFmt numFmtId="177" formatCode="0.0%"/>
  </numFmts>
  <fonts count="26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7"/>
      <color theme="1"/>
      <name val="宋体"/>
      <family val="3"/>
      <charset val="134"/>
      <scheme val="minor"/>
    </font>
    <font>
      <sz val="7"/>
      <color theme="1"/>
      <name val="微软雅黑"/>
      <family val="2"/>
      <charset val="134"/>
    </font>
    <font>
      <b/>
      <sz val="7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color theme="9" tint="-0.249977111117893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sz val="9"/>
      <color theme="3" tint="-0.249977111117893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</font>
    <font>
      <b/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u/>
      <sz val="12"/>
      <color theme="3" tint="-0.249977111117893"/>
      <name val="微软雅黑"/>
      <family val="2"/>
      <charset val="134"/>
    </font>
    <font>
      <sz val="12"/>
      <color rgb="FF212121"/>
      <name val="微软雅黑"/>
      <family val="2"/>
      <charset val="134"/>
    </font>
    <font>
      <sz val="12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theme="0"/>
      <name val="Arial"/>
      <family val="2"/>
    </font>
    <font>
      <sz val="20"/>
      <color theme="0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15159"/>
        <bgColor indexed="64"/>
      </patternFill>
    </fill>
    <fill>
      <patternFill patternType="solid">
        <fgColor rgb="FF4F4F57"/>
        <bgColor indexed="64"/>
      </patternFill>
    </fill>
    <fill>
      <patternFill patternType="solid">
        <fgColor rgb="FFE4C658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EFEFEF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14" fontId="5" fillId="0" borderId="0" xfId="2" applyNumberFormat="1" applyFont="1">
      <alignment vertical="center"/>
    </xf>
    <xf numFmtId="10" fontId="5" fillId="0" borderId="0" xfId="1" applyNumberFormat="1" applyFont="1">
      <alignment vertical="center"/>
    </xf>
    <xf numFmtId="176" fontId="5" fillId="0" borderId="0" xfId="2" applyNumberFormat="1" applyFont="1">
      <alignment vertical="center"/>
    </xf>
    <xf numFmtId="14" fontId="4" fillId="0" borderId="0" xfId="2" applyNumberFormat="1" applyFont="1">
      <alignment vertical="center"/>
    </xf>
    <xf numFmtId="10" fontId="4" fillId="0" borderId="0" xfId="1" applyNumberFormat="1" applyFont="1">
      <alignment vertical="center"/>
    </xf>
    <xf numFmtId="176" fontId="4" fillId="0" borderId="0" xfId="2" applyNumberFormat="1" applyFont="1">
      <alignment vertical="center"/>
    </xf>
    <xf numFmtId="0" fontId="6" fillId="0" borderId="0" xfId="0" applyFont="1">
      <alignment vertical="center"/>
    </xf>
    <xf numFmtId="49" fontId="5" fillId="0" borderId="0" xfId="0" applyNumberFormat="1" applyFont="1">
      <alignment vertical="center"/>
    </xf>
    <xf numFmtId="43" fontId="5" fillId="0" borderId="0" xfId="2" applyFont="1">
      <alignment vertical="center"/>
    </xf>
    <xf numFmtId="43" fontId="6" fillId="0" borderId="0" xfId="2" applyFont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177" fontId="5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0" fontId="4" fillId="0" borderId="0" xfId="1" applyNumberFormat="1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7" fillId="2" borderId="0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7" fillId="3" borderId="0" xfId="0" applyFont="1" applyFill="1" applyBorder="1">
      <alignment vertical="center"/>
    </xf>
    <xf numFmtId="0" fontId="7" fillId="3" borderId="0" xfId="0" applyFont="1" applyFill="1">
      <alignment vertical="center"/>
    </xf>
    <xf numFmtId="0" fontId="10" fillId="3" borderId="4" xfId="0" applyFont="1" applyFill="1" applyBorder="1" applyAlignment="1"/>
    <xf numFmtId="0" fontId="11" fillId="3" borderId="4" xfId="0" applyFont="1" applyFill="1" applyBorder="1" applyAlignment="1">
      <alignment vertical="top"/>
    </xf>
    <xf numFmtId="0" fontId="11" fillId="3" borderId="0" xfId="0" applyFont="1" applyFill="1" applyBorder="1" applyAlignment="1">
      <alignment vertical="top"/>
    </xf>
    <xf numFmtId="0" fontId="10" fillId="3" borderId="0" xfId="0" applyFont="1" applyFill="1" applyBorder="1" applyAlignment="1"/>
    <xf numFmtId="0" fontId="11" fillId="3" borderId="0" xfId="0" applyFont="1" applyFill="1">
      <alignment vertical="center"/>
    </xf>
    <xf numFmtId="0" fontId="12" fillId="3" borderId="0" xfId="0" applyFont="1" applyFill="1">
      <alignment vertical="center"/>
    </xf>
    <xf numFmtId="0" fontId="10" fillId="3" borderId="5" xfId="0" applyFont="1" applyFill="1" applyBorder="1" applyAlignment="1"/>
    <xf numFmtId="0" fontId="7" fillId="3" borderId="5" xfId="0" applyFont="1" applyFill="1" applyBorder="1">
      <alignment vertical="center"/>
    </xf>
    <xf numFmtId="0" fontId="11" fillId="3" borderId="5" xfId="0" applyFont="1" applyFill="1" applyBorder="1" applyAlignment="1"/>
    <xf numFmtId="0" fontId="11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1" fillId="2" borderId="0" xfId="0" applyFont="1" applyFill="1" applyBorder="1">
      <alignment vertical="center"/>
    </xf>
    <xf numFmtId="0" fontId="9" fillId="3" borderId="0" xfId="0" applyFont="1" applyFill="1" applyBorder="1">
      <alignment vertical="center"/>
    </xf>
    <xf numFmtId="0" fontId="8" fillId="3" borderId="0" xfId="0" applyFont="1" applyFill="1" applyBorder="1">
      <alignment vertical="center"/>
    </xf>
    <xf numFmtId="0" fontId="8" fillId="3" borderId="0" xfId="0" applyFont="1" applyFill="1">
      <alignment vertical="center"/>
    </xf>
    <xf numFmtId="0" fontId="7" fillId="6" borderId="0" xfId="0" applyFont="1" applyFill="1" applyBorder="1">
      <alignment vertical="center"/>
    </xf>
    <xf numFmtId="0" fontId="15" fillId="3" borderId="0" xfId="0" applyFont="1" applyFill="1" applyBorder="1">
      <alignment vertical="center"/>
    </xf>
    <xf numFmtId="176" fontId="15" fillId="3" borderId="0" xfId="0" applyNumberFormat="1" applyFont="1" applyFill="1" applyBorder="1">
      <alignment vertical="center"/>
    </xf>
    <xf numFmtId="176" fontId="15" fillId="3" borderId="0" xfId="2" applyNumberFormat="1" applyFont="1" applyFill="1" applyBorder="1">
      <alignment vertical="center"/>
    </xf>
    <xf numFmtId="177" fontId="15" fillId="3" borderId="0" xfId="1" applyNumberFormat="1" applyFont="1" applyFill="1" applyBorder="1" applyAlignment="1">
      <alignment horizontal="right" vertical="center"/>
    </xf>
    <xf numFmtId="0" fontId="15" fillId="7" borderId="0" xfId="0" applyFont="1" applyFill="1" applyBorder="1">
      <alignment vertical="center"/>
    </xf>
    <xf numFmtId="176" fontId="15" fillId="7" borderId="0" xfId="2" applyNumberFormat="1" applyFont="1" applyFill="1" applyBorder="1">
      <alignment vertical="center"/>
    </xf>
    <xf numFmtId="177" fontId="15" fillId="7" borderId="0" xfId="1" applyNumberFormat="1" applyFont="1" applyFill="1" applyBorder="1" applyAlignment="1">
      <alignment horizontal="right" vertical="center"/>
    </xf>
    <xf numFmtId="0" fontId="8" fillId="6" borderId="0" xfId="0" applyFont="1" applyFill="1" applyBorder="1">
      <alignment vertical="center"/>
    </xf>
    <xf numFmtId="0" fontId="14" fillId="4" borderId="0" xfId="0" applyFont="1" applyFill="1" applyAlignment="1">
      <alignment vertical="top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10" fontId="16" fillId="0" borderId="0" xfId="1" applyNumberFormat="1" applyFont="1">
      <alignment vertical="center"/>
    </xf>
    <xf numFmtId="43" fontId="16" fillId="0" borderId="0" xfId="2" applyFont="1">
      <alignment vertical="center"/>
    </xf>
    <xf numFmtId="14" fontId="16" fillId="0" borderId="0" xfId="2" applyNumberFormat="1" applyFont="1">
      <alignment vertical="center"/>
    </xf>
    <xf numFmtId="176" fontId="16" fillId="0" borderId="0" xfId="2" applyNumberFormat="1" applyFont="1">
      <alignment vertical="center"/>
    </xf>
    <xf numFmtId="177" fontId="16" fillId="0" borderId="0" xfId="1" applyNumberFormat="1" applyFont="1">
      <alignment vertical="center"/>
    </xf>
    <xf numFmtId="14" fontId="16" fillId="0" borderId="0" xfId="0" applyNumberFormat="1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2" applyNumberFormat="1" applyFont="1">
      <alignment vertical="center"/>
    </xf>
    <xf numFmtId="14" fontId="15" fillId="0" borderId="0" xfId="2" applyNumberFormat="1" applyFont="1">
      <alignment vertical="center"/>
    </xf>
    <xf numFmtId="176" fontId="17" fillId="0" borderId="0" xfId="2" applyNumberFormat="1" applyFont="1">
      <alignment vertical="center"/>
    </xf>
    <xf numFmtId="10" fontId="15" fillId="0" borderId="0" xfId="1" applyNumberFormat="1" applyFont="1">
      <alignment vertical="center"/>
    </xf>
    <xf numFmtId="176" fontId="15" fillId="0" borderId="0" xfId="2" applyNumberFormat="1" applyFont="1">
      <alignment vertical="center"/>
    </xf>
    <xf numFmtId="0" fontId="18" fillId="0" borderId="0" xfId="0" applyFont="1">
      <alignment vertical="center"/>
    </xf>
    <xf numFmtId="177" fontId="15" fillId="0" borderId="0" xfId="1" applyNumberFormat="1" applyFont="1">
      <alignment vertical="center"/>
    </xf>
    <xf numFmtId="43" fontId="15" fillId="0" borderId="0" xfId="2" applyFont="1">
      <alignment vertical="center"/>
    </xf>
    <xf numFmtId="0" fontId="19" fillId="8" borderId="0" xfId="0" applyFont="1" applyFill="1" applyAlignment="1">
      <alignment horizontal="left" vertical="center"/>
    </xf>
    <xf numFmtId="10" fontId="19" fillId="8" borderId="0" xfId="1" applyNumberFormat="1" applyFont="1" applyFill="1" applyAlignment="1">
      <alignment horizontal="left" vertical="center"/>
    </xf>
    <xf numFmtId="177" fontId="19" fillId="8" borderId="0" xfId="1" applyNumberFormat="1" applyFont="1" applyFill="1" applyAlignment="1">
      <alignment horizontal="left" vertical="center"/>
    </xf>
    <xf numFmtId="0" fontId="0" fillId="0" borderId="0" xfId="0" applyFill="1" applyAlignment="1"/>
    <xf numFmtId="0" fontId="7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176" fontId="7" fillId="0" borderId="0" xfId="2" applyNumberFormat="1" applyFont="1" applyFill="1">
      <alignment vertical="center"/>
    </xf>
    <xf numFmtId="9" fontId="7" fillId="0" borderId="0" xfId="1" applyFont="1" applyFill="1">
      <alignment vertical="center"/>
    </xf>
    <xf numFmtId="176" fontId="11" fillId="0" borderId="0" xfId="2" applyNumberFormat="1" applyFont="1" applyFill="1">
      <alignment vertical="center"/>
    </xf>
    <xf numFmtId="9" fontId="11" fillId="0" borderId="0" xfId="1" applyFont="1" applyFill="1">
      <alignment vertical="center"/>
    </xf>
    <xf numFmtId="176" fontId="7" fillId="0" borderId="0" xfId="2" applyNumberFormat="1" applyFont="1" applyFill="1" applyBorder="1">
      <alignment vertical="center"/>
    </xf>
    <xf numFmtId="9" fontId="7" fillId="0" borderId="0" xfId="1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8" fillId="0" borderId="0" xfId="0" applyFont="1" applyFill="1">
      <alignment vertical="center"/>
    </xf>
    <xf numFmtId="0" fontId="15" fillId="9" borderId="0" xfId="0" applyFont="1" applyFill="1" applyBorder="1">
      <alignment vertical="center"/>
    </xf>
    <xf numFmtId="0" fontId="8" fillId="3" borderId="0" xfId="0" applyFont="1" applyFill="1" applyBorder="1" applyAlignment="1">
      <alignment vertical="center" wrapText="1"/>
    </xf>
    <xf numFmtId="176" fontId="15" fillId="3" borderId="0" xfId="0" applyNumberFormat="1" applyFont="1" applyFill="1" applyBorder="1" applyAlignment="1">
      <alignment horizontal="center" vertical="center"/>
    </xf>
    <xf numFmtId="176" fontId="15" fillId="7" borderId="0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22" fillId="0" borderId="0" xfId="0" applyFont="1" applyAlignment="1"/>
    <xf numFmtId="14" fontId="24" fillId="10" borderId="0" xfId="0" applyNumberFormat="1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13" fillId="11" borderId="7" xfId="0" applyFont="1" applyFill="1" applyBorder="1" applyAlignment="1">
      <alignment vertical="center"/>
    </xf>
    <xf numFmtId="14" fontId="21" fillId="12" borderId="0" xfId="0" applyNumberFormat="1" applyFont="1" applyFill="1" applyAlignment="1">
      <alignment horizontal="left" vertical="center"/>
    </xf>
    <xf numFmtId="0" fontId="11" fillId="12" borderId="0" xfId="0" applyFont="1" applyFill="1">
      <alignment vertical="center"/>
    </xf>
    <xf numFmtId="0" fontId="21" fillId="5" borderId="0" xfId="0" applyFont="1" applyFill="1">
      <alignment vertical="center"/>
    </xf>
    <xf numFmtId="0" fontId="11" fillId="4" borderId="6" xfId="0" applyFont="1" applyFill="1" applyBorder="1">
      <alignment vertical="center"/>
    </xf>
    <xf numFmtId="0" fontId="11" fillId="12" borderId="0" xfId="0" applyFont="1" applyFill="1" applyAlignment="1">
      <alignment vertical="top"/>
    </xf>
    <xf numFmtId="0" fontId="5" fillId="0" borderId="0" xfId="0" applyFont="1" applyBorder="1">
      <alignment vertical="center"/>
    </xf>
    <xf numFmtId="176" fontId="5" fillId="0" borderId="0" xfId="2" applyNumberFormat="1" applyFont="1" applyBorder="1">
      <alignment vertical="center"/>
    </xf>
    <xf numFmtId="0" fontId="25" fillId="11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0" fontId="20" fillId="12" borderId="0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4" fillId="3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10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176" fontId="7" fillId="0" borderId="0" xfId="2" applyNumberFormat="1" applyFont="1" applyFill="1" applyAlignment="1">
      <alignment vertical="center"/>
    </xf>
    <xf numFmtId="9" fontId="7" fillId="0" borderId="0" xfId="1" applyFont="1" applyFill="1" applyAlignment="1">
      <alignment vertical="center"/>
    </xf>
  </cellXfs>
  <cellStyles count="3">
    <cellStyle name="百分比" xfId="1" builtinId="5"/>
    <cellStyle name="常规" xfId="0" builtinId="0"/>
    <cellStyle name="千位分隔" xfId="2" builtinId="3"/>
  </cellStyles>
  <dxfs count="0"/>
  <tableStyles count="0" defaultTableStyle="TableStyleMedium9" defaultPivotStyle="PivotStyleLight16"/>
  <colors>
    <mruColors>
      <color rgb="FF63636D"/>
      <color rgb="FF107F3A"/>
      <color rgb="FFC918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85029959137"/>
          <c:y val="8.9568691973204842E-2"/>
          <c:w val="0.78632715895039274"/>
          <c:h val="0.478786141455241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report!$F$5</c:f>
              <c:strCache>
                <c:ptCount val="1"/>
                <c:pt idx="0">
                  <c:v>全球指数一览</c:v>
                </c:pt>
              </c:strCache>
            </c:strRef>
          </c:tx>
          <c:spPr>
            <a:solidFill>
              <a:srgbClr val="C91818"/>
            </a:solidFill>
            <a:ln>
              <a:noFill/>
            </a:ln>
            <a:effectLst/>
          </c:spPr>
          <c:invertIfNegative val="1"/>
          <c:cat>
            <c:strRef>
              <c:f>[0]!worldx</c:f>
              <c:strCache>
                <c:ptCount val="47"/>
                <c:pt idx="0">
                  <c:v>MERV.GI阿根廷MERV</c:v>
                </c:pt>
                <c:pt idx="1">
                  <c:v>IBVC.GI委内瑞拉IBC</c:v>
                </c:pt>
                <c:pt idx="2">
                  <c:v>KAX.GI丹麦OMX20</c:v>
                </c:pt>
                <c:pt idx="3">
                  <c:v>8884057.WITAMAMA科技指数</c:v>
                </c:pt>
                <c:pt idx="4">
                  <c:v>TWII.TW台湾加权指数</c:v>
                </c:pt>
                <c:pt idx="5">
                  <c:v>IXIC.GI纳斯达克指数</c:v>
                </c:pt>
                <c:pt idx="6">
                  <c:v>SPX.GI标普500</c:v>
                </c:pt>
                <c:pt idx="7">
                  <c:v>AEX.GI荷兰AEX</c:v>
                </c:pt>
                <c:pt idx="8">
                  <c:v>OSEAX.GI挪威OSEAX</c:v>
                </c:pt>
                <c:pt idx="9">
                  <c:v>N225.GI日经225</c:v>
                </c:pt>
                <c:pt idx="10">
                  <c:v>PX.GI布拉格综指</c:v>
                </c:pt>
                <c:pt idx="11">
                  <c:v>SENSEX.BO印度SENSEX30</c:v>
                </c:pt>
                <c:pt idx="12">
                  <c:v>RTSI.GIRTS指数</c:v>
                </c:pt>
                <c:pt idx="13">
                  <c:v>OMXSPI.GI瑞典OMX全指</c:v>
                </c:pt>
                <c:pt idx="14">
                  <c:v>IBEX.GI西班牙IBEX35</c:v>
                </c:pt>
                <c:pt idx="15">
                  <c:v>GDAXI.GI德国DAX</c:v>
                </c:pt>
                <c:pt idx="16">
                  <c:v>ATX.GI奥地利ATX</c:v>
                </c:pt>
                <c:pt idx="17">
                  <c:v>SX5P.GI欧洲STOXX50(欧元)(退市)</c:v>
                </c:pt>
                <c:pt idx="18">
                  <c:v>DJI.GI道琼斯工业指数</c:v>
                </c:pt>
                <c:pt idx="19">
                  <c:v>KLSE.GI富时马来西亚综指</c:v>
                </c:pt>
                <c:pt idx="20">
                  <c:v>FTSE.GI英国富时100</c:v>
                </c:pt>
                <c:pt idx="21">
                  <c:v>BFX.GI比利时BFX</c:v>
                </c:pt>
                <c:pt idx="22">
                  <c:v>ISEQ.GI爱尔兰综指</c:v>
                </c:pt>
                <c:pt idx="23">
                  <c:v>VNINDEX.GI胡志明指数</c:v>
                </c:pt>
                <c:pt idx="24">
                  <c:v>GSPTSE.GI加拿大S&amp;P/TSX综合</c:v>
                </c:pt>
                <c:pt idx="25">
                  <c:v>ASE.GI希腊ASE综指</c:v>
                </c:pt>
                <c:pt idx="26">
                  <c:v>KS11.GI韩国综合指数</c:v>
                </c:pt>
                <c:pt idx="27">
                  <c:v>SSMI.GI瑞士SMI</c:v>
                </c:pt>
                <c:pt idx="28">
                  <c:v>TA125.GI以色列TA125</c:v>
                </c:pt>
                <c:pt idx="29">
                  <c:v>AS51.GI澳洲标普200</c:v>
                </c:pt>
                <c:pt idx="30">
                  <c:v>JALSH.GI南非富时综指</c:v>
                </c:pt>
                <c:pt idx="31">
                  <c:v>STI.GI富时新加坡海峡指数</c:v>
                </c:pt>
                <c:pt idx="32">
                  <c:v>FCHI.GI法国CAC40</c:v>
                </c:pt>
                <c:pt idx="33">
                  <c:v>IBOVESPA.GI巴西IBOVESPA指数</c:v>
                </c:pt>
                <c:pt idx="34">
                  <c:v>JKSE.GI印尼综指</c:v>
                </c:pt>
                <c:pt idx="35">
                  <c:v>HEX.GI芬兰OMX全指</c:v>
                </c:pt>
                <c:pt idx="36">
                  <c:v>SASEIDX.GI沙特全指</c:v>
                </c:pt>
                <c:pt idx="37">
                  <c:v>BLOM.GI贝鲁特BLOM</c:v>
                </c:pt>
                <c:pt idx="38">
                  <c:v>PSI.GI马尼拉综指</c:v>
                </c:pt>
                <c:pt idx="39">
                  <c:v>NZ50.GI新西兰标普50</c:v>
                </c:pt>
                <c:pt idx="40">
                  <c:v>MXX.GI墨西哥MXX</c:v>
                </c:pt>
                <c:pt idx="41">
                  <c:v>LUXXX.GI卢森堡LUXX</c:v>
                </c:pt>
                <c:pt idx="42">
                  <c:v>HSI.HI恒生指数</c:v>
                </c:pt>
                <c:pt idx="43">
                  <c:v>000001.SH上证指数</c:v>
                </c:pt>
                <c:pt idx="44">
                  <c:v>SETI.GI泰国SET指数</c:v>
                </c:pt>
                <c:pt idx="45">
                  <c:v>899050.BJ北证50</c:v>
                </c:pt>
                <c:pt idx="46">
                  <c:v>399001.SZ深证成指</c:v>
                </c:pt>
              </c:strCache>
            </c:strRef>
          </c:cat>
          <c:val>
            <c:numRef>
              <c:f>[0]!worldy</c:f>
              <c:numCache>
                <c:formatCode>0.00%</c:formatCode>
                <c:ptCount val="47"/>
                <c:pt idx="0">
                  <c:v>2.8589394927810692</c:v>
                </c:pt>
                <c:pt idx="1">
                  <c:v>1.2884980401177528</c:v>
                </c:pt>
                <c:pt idx="2">
                  <c:v>0.43910266345394322</c:v>
                </c:pt>
                <c:pt idx="3">
                  <c:v>0.42971902709468623</c:v>
                </c:pt>
                <c:pt idx="4">
                  <c:v>0.37406135363142146</c:v>
                </c:pt>
                <c:pt idx="5">
                  <c:v>0.29633366084169621</c:v>
                </c:pt>
                <c:pt idx="6">
                  <c:v>0.23775781520948214</c:v>
                </c:pt>
                <c:pt idx="7">
                  <c:v>0.22633870496721276</c:v>
                </c:pt>
                <c:pt idx="8">
                  <c:v>0.21027240316546969</c:v>
                </c:pt>
                <c:pt idx="9">
                  <c:v>0.20779470430250258</c:v>
                </c:pt>
                <c:pt idx="10">
                  <c:v>0.2021727465725196</c:v>
                </c:pt>
                <c:pt idx="11">
                  <c:v>0.20136750208708154</c:v>
                </c:pt>
                <c:pt idx="12">
                  <c:v>0.19354639366380688</c:v>
                </c:pt>
                <c:pt idx="13">
                  <c:v>0.18316318667917345</c:v>
                </c:pt>
                <c:pt idx="14">
                  <c:v>0.17864297253634898</c:v>
                </c:pt>
                <c:pt idx="15">
                  <c:v>0.17431838408504596</c:v>
                </c:pt>
                <c:pt idx="16">
                  <c:v>0.16402599287292197</c:v>
                </c:pt>
                <c:pt idx="17">
                  <c:v>0.1611853246017938</c:v>
                </c:pt>
                <c:pt idx="18">
                  <c:v>0.1531914442021256</c:v>
                </c:pt>
                <c:pt idx="19">
                  <c:v>0.14729247086835739</c:v>
                </c:pt>
                <c:pt idx="20">
                  <c:v>0.12136803790948412</c:v>
                </c:pt>
                <c:pt idx="21">
                  <c:v>0.1120443531545552</c:v>
                </c:pt>
                <c:pt idx="22">
                  <c:v>0.10936700120242392</c:v>
                </c:pt>
                <c:pt idx="23">
                  <c:v>0.1057519845145707</c:v>
                </c:pt>
                <c:pt idx="24">
                  <c:v>0.10424169980954744</c:v>
                </c:pt>
                <c:pt idx="25">
                  <c:v>9.7592621541347402E-2</c:v>
                </c:pt>
                <c:pt idx="26">
                  <c:v>9.4484585082287284E-2</c:v>
                </c:pt>
                <c:pt idx="27">
                  <c:v>9.1660158845448661E-2</c:v>
                </c:pt>
                <c:pt idx="28">
                  <c:v>9.058992291763189E-2</c:v>
                </c:pt>
                <c:pt idx="29">
                  <c:v>8.4679727974752428E-2</c:v>
                </c:pt>
                <c:pt idx="30">
                  <c:v>7.5477627338280451E-2</c:v>
                </c:pt>
                <c:pt idx="31">
                  <c:v>5.7887336014448953E-2</c:v>
                </c:pt>
                <c:pt idx="32">
                  <c:v>5.6070847141249436E-2</c:v>
                </c:pt>
                <c:pt idx="33">
                  <c:v>5.5191069757301925E-2</c:v>
                </c:pt>
                <c:pt idx="34">
                  <c:v>4.5320556296561509E-2</c:v>
                </c:pt>
                <c:pt idx="35">
                  <c:v>1.1399392352665183E-2</c:v>
                </c:pt>
                <c:pt idx="36">
                  <c:v>7.0348881824398024E-3</c:v>
                </c:pt>
                <c:pt idx="37">
                  <c:v>-4.9050262297248848E-3</c:v>
                </c:pt>
                <c:pt idx="38">
                  <c:v>-9.6304442515439126E-3</c:v>
                </c:pt>
                <c:pt idx="39">
                  <c:v>-1.3260776314392153E-2</c:v>
                </c:pt>
                <c:pt idx="40">
                  <c:v>-1.8118735687925103E-2</c:v>
                </c:pt>
                <c:pt idx="41">
                  <c:v>-3.6760435781663658E-2</c:v>
                </c:pt>
                <c:pt idx="42">
                  <c:v>-4.3945276141811436E-2</c:v>
                </c:pt>
                <c:pt idx="43">
                  <c:v>-7.429931131228007E-2</c:v>
                </c:pt>
                <c:pt idx="44">
                  <c:v>-0.12714195617460378</c:v>
                </c:pt>
                <c:pt idx="45">
                  <c:v>-0.19312020576787384</c:v>
                </c:pt>
                <c:pt idx="46">
                  <c:v>-0.19325301370904746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107F3A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483-41FC-9A03-675A978C3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3073311"/>
        <c:axId val="1"/>
      </c:barChart>
      <c:lineChart>
        <c:grouping val="standard"/>
        <c:varyColors val="0"/>
        <c:ser>
          <c:idx val="1"/>
          <c:order val="1"/>
          <c:tx>
            <c:strRef>
              <c:f>report!$I$5</c:f>
              <c:strCache>
                <c:ptCount val="1"/>
                <c:pt idx="0">
                  <c:v>区间周波动率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[0]!worldx</c:f>
              <c:strCache>
                <c:ptCount val="47"/>
                <c:pt idx="0">
                  <c:v>MERV.GI阿根廷MERV</c:v>
                </c:pt>
                <c:pt idx="1">
                  <c:v>IBVC.GI委内瑞拉IBC</c:v>
                </c:pt>
                <c:pt idx="2">
                  <c:v>KAX.GI丹麦OMX20</c:v>
                </c:pt>
                <c:pt idx="3">
                  <c:v>8884057.WITAMAMA科技指数</c:v>
                </c:pt>
                <c:pt idx="4">
                  <c:v>TWII.TW台湾加权指数</c:v>
                </c:pt>
                <c:pt idx="5">
                  <c:v>IXIC.GI纳斯达克指数</c:v>
                </c:pt>
                <c:pt idx="6">
                  <c:v>SPX.GI标普500</c:v>
                </c:pt>
                <c:pt idx="7">
                  <c:v>AEX.GI荷兰AEX</c:v>
                </c:pt>
                <c:pt idx="8">
                  <c:v>OSEAX.GI挪威OSEAX</c:v>
                </c:pt>
                <c:pt idx="9">
                  <c:v>N225.GI日经225</c:v>
                </c:pt>
                <c:pt idx="10">
                  <c:v>PX.GI布拉格综指</c:v>
                </c:pt>
                <c:pt idx="11">
                  <c:v>SENSEX.BO印度SENSEX30</c:v>
                </c:pt>
                <c:pt idx="12">
                  <c:v>RTSI.GIRTS指数</c:v>
                </c:pt>
                <c:pt idx="13">
                  <c:v>OMXSPI.GI瑞典OMX全指</c:v>
                </c:pt>
                <c:pt idx="14">
                  <c:v>IBEX.GI西班牙IBEX35</c:v>
                </c:pt>
                <c:pt idx="15">
                  <c:v>GDAXI.GI德国DAX</c:v>
                </c:pt>
                <c:pt idx="16">
                  <c:v>ATX.GI奥地利ATX</c:v>
                </c:pt>
                <c:pt idx="17">
                  <c:v>SX5P.GI欧洲STOXX50(欧元)(退市)</c:v>
                </c:pt>
                <c:pt idx="18">
                  <c:v>DJI.GI道琼斯工业指数</c:v>
                </c:pt>
                <c:pt idx="19">
                  <c:v>KLSE.GI富时马来西亚综指</c:v>
                </c:pt>
                <c:pt idx="20">
                  <c:v>FTSE.GI英国富时100</c:v>
                </c:pt>
                <c:pt idx="21">
                  <c:v>BFX.GI比利时BFX</c:v>
                </c:pt>
                <c:pt idx="22">
                  <c:v>ISEQ.GI爱尔兰综指</c:v>
                </c:pt>
                <c:pt idx="23">
                  <c:v>VNINDEX.GI胡志明指数</c:v>
                </c:pt>
                <c:pt idx="24">
                  <c:v>GSPTSE.GI加拿大S&amp;P/TSX综合</c:v>
                </c:pt>
                <c:pt idx="25">
                  <c:v>ASE.GI希腊ASE综指</c:v>
                </c:pt>
                <c:pt idx="26">
                  <c:v>KS11.GI韩国综合指数</c:v>
                </c:pt>
                <c:pt idx="27">
                  <c:v>SSMI.GI瑞士SMI</c:v>
                </c:pt>
                <c:pt idx="28">
                  <c:v>TA125.GI以色列TA125</c:v>
                </c:pt>
                <c:pt idx="29">
                  <c:v>AS51.GI澳洲标普200</c:v>
                </c:pt>
                <c:pt idx="30">
                  <c:v>JALSH.GI南非富时综指</c:v>
                </c:pt>
                <c:pt idx="31">
                  <c:v>STI.GI富时新加坡海峡指数</c:v>
                </c:pt>
                <c:pt idx="32">
                  <c:v>FCHI.GI法国CAC40</c:v>
                </c:pt>
                <c:pt idx="33">
                  <c:v>IBOVESPA.GI巴西IBOVESPA指数</c:v>
                </c:pt>
                <c:pt idx="34">
                  <c:v>JKSE.GI印尼综指</c:v>
                </c:pt>
                <c:pt idx="35">
                  <c:v>HEX.GI芬兰OMX全指</c:v>
                </c:pt>
                <c:pt idx="36">
                  <c:v>SASEIDX.GI沙特全指</c:v>
                </c:pt>
                <c:pt idx="37">
                  <c:v>BLOM.GI贝鲁特BLOM</c:v>
                </c:pt>
                <c:pt idx="38">
                  <c:v>PSI.GI马尼拉综指</c:v>
                </c:pt>
                <c:pt idx="39">
                  <c:v>NZ50.GI新西兰标普50</c:v>
                </c:pt>
                <c:pt idx="40">
                  <c:v>MXX.GI墨西哥MXX</c:v>
                </c:pt>
                <c:pt idx="41">
                  <c:v>LUXXX.GI卢森堡LUXX</c:v>
                </c:pt>
                <c:pt idx="42">
                  <c:v>HSI.HI恒生指数</c:v>
                </c:pt>
                <c:pt idx="43">
                  <c:v>000001.SH上证指数</c:v>
                </c:pt>
                <c:pt idx="44">
                  <c:v>SETI.GI泰国SET指数</c:v>
                </c:pt>
                <c:pt idx="45">
                  <c:v>899050.BJ北证50</c:v>
                </c:pt>
                <c:pt idx="46">
                  <c:v>399001.SZ深证成指</c:v>
                </c:pt>
              </c:strCache>
            </c:strRef>
          </c:cat>
          <c:val>
            <c:numRef>
              <c:f>[0]!worldstdev</c:f>
              <c:numCache>
                <c:formatCode>_(* #,##0.00_);_(* \(#,##0.00\);_(* "-"??_);_(@_)</c:formatCode>
                <c:ptCount val="47"/>
                <c:pt idx="0">
                  <c:v>70.674809678677406</c:v>
                </c:pt>
                <c:pt idx="1">
                  <c:v>34.11655175194403</c:v>
                </c:pt>
                <c:pt idx="2">
                  <c:v>18.287824894868905</c:v>
                </c:pt>
                <c:pt idx="3">
                  <c:v>20.061170387241724</c:v>
                </c:pt>
                <c:pt idx="4">
                  <c:v>14.527950750650861</c:v>
                </c:pt>
                <c:pt idx="5">
                  <c:v>16.539600455979357</c:v>
                </c:pt>
                <c:pt idx="6">
                  <c:v>12.027852408220287</c:v>
                </c:pt>
                <c:pt idx="7">
                  <c:v>12.373331267441536</c:v>
                </c:pt>
                <c:pt idx="8">
                  <c:v>12.05465776005771</c:v>
                </c:pt>
                <c:pt idx="9">
                  <c:v>17.709586291777704</c:v>
                </c:pt>
                <c:pt idx="10">
                  <c:v>8.7912061000319177</c:v>
                </c:pt>
                <c:pt idx="11">
                  <c:v>10.242817094141769</c:v>
                </c:pt>
                <c:pt idx="12">
                  <c:v>18.388449547856617</c:v>
                </c:pt>
                <c:pt idx="13">
                  <c:v>13.875527889076711</c:v>
                </c:pt>
                <c:pt idx="14">
                  <c:v>13.576156085302657</c:v>
                </c:pt>
                <c:pt idx="15">
                  <c:v>12.27390895414656</c:v>
                </c:pt>
                <c:pt idx="16">
                  <c:v>11.809226886130563</c:v>
                </c:pt>
                <c:pt idx="17">
                  <c:v>10.064707675737568</c:v>
                </c:pt>
                <c:pt idx="18">
                  <c:v>10.830906261186817</c:v>
                </c:pt>
                <c:pt idx="19">
                  <c:v>7.2064578352882158</c:v>
                </c:pt>
                <c:pt idx="20">
                  <c:v>10.951168077705594</c:v>
                </c:pt>
                <c:pt idx="21">
                  <c:v>15.412277363379426</c:v>
                </c:pt>
                <c:pt idx="22">
                  <c:v>16.197553122618132</c:v>
                </c:pt>
                <c:pt idx="23">
                  <c:v>17.117819574260512</c:v>
                </c:pt>
                <c:pt idx="24">
                  <c:v>12.003381992946721</c:v>
                </c:pt>
                <c:pt idx="25">
                  <c:v>14.984473746993737</c:v>
                </c:pt>
                <c:pt idx="26">
                  <c:v>14.884063546365461</c:v>
                </c:pt>
                <c:pt idx="27">
                  <c:v>11.339104668976404</c:v>
                </c:pt>
                <c:pt idx="28">
                  <c:v>13.853067955022617</c:v>
                </c:pt>
                <c:pt idx="29">
                  <c:v>11.196407167435471</c:v>
                </c:pt>
                <c:pt idx="30">
                  <c:v>15.668176975685119</c:v>
                </c:pt>
                <c:pt idx="31">
                  <c:v>11.289744983138235</c:v>
                </c:pt>
                <c:pt idx="32">
                  <c:v>13.447934879093953</c:v>
                </c:pt>
                <c:pt idx="33">
                  <c:v>12.120656884640463</c:v>
                </c:pt>
                <c:pt idx="34">
                  <c:v>9.6756233234120597</c:v>
                </c:pt>
                <c:pt idx="35">
                  <c:v>12.969203860381255</c:v>
                </c:pt>
                <c:pt idx="36">
                  <c:v>11.529691926314278</c:v>
                </c:pt>
                <c:pt idx="37">
                  <c:v>23.083261372609726</c:v>
                </c:pt>
                <c:pt idx="38">
                  <c:v>13.877156122985888</c:v>
                </c:pt>
                <c:pt idx="39">
                  <c:v>8.0851112403686187</c:v>
                </c:pt>
                <c:pt idx="40">
                  <c:v>13.841909250882519</c:v>
                </c:pt>
                <c:pt idx="41">
                  <c:v>16.784159365470288</c:v>
                </c:pt>
                <c:pt idx="42">
                  <c:v>22.116509715017536</c:v>
                </c:pt>
                <c:pt idx="43">
                  <c:v>14.172040846551088</c:v>
                </c:pt>
                <c:pt idx="44">
                  <c:v>11.048525516106512</c:v>
                </c:pt>
                <c:pt idx="45">
                  <c:v>41.086098365606546</c:v>
                </c:pt>
                <c:pt idx="46">
                  <c:v>20.116222336984261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3-41FC-9A03-675A978C3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214307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307331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60332168167324E-2"/>
          <c:y val="8.8753150239437362E-2"/>
          <c:w val="0.81320267977552529"/>
          <c:h val="0.742725102410723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report!$L$5</c:f>
              <c:strCache>
                <c:ptCount val="1"/>
                <c:pt idx="0">
                  <c:v>当期涨跌幅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[0]!indextime</c:f>
              <c:numCache>
                <c:formatCode>m/d/yyyy</c:formatCode>
                <c:ptCount val="49"/>
                <c:pt idx="0">
                  <c:v>45474</c:v>
                </c:pt>
                <c:pt idx="1">
                  <c:v>45467</c:v>
                </c:pt>
                <c:pt idx="2">
                  <c:v>45460</c:v>
                </c:pt>
                <c:pt idx="3">
                  <c:v>45450</c:v>
                </c:pt>
                <c:pt idx="4">
                  <c:v>45443</c:v>
                </c:pt>
                <c:pt idx="5">
                  <c:v>45436</c:v>
                </c:pt>
                <c:pt idx="6">
                  <c:v>45429</c:v>
                </c:pt>
                <c:pt idx="7">
                  <c:v>45422</c:v>
                </c:pt>
                <c:pt idx="8">
                  <c:v>45412</c:v>
                </c:pt>
                <c:pt idx="9">
                  <c:v>45405</c:v>
                </c:pt>
                <c:pt idx="10">
                  <c:v>45398</c:v>
                </c:pt>
                <c:pt idx="11">
                  <c:v>45391</c:v>
                </c:pt>
                <c:pt idx="12">
                  <c:v>45384</c:v>
                </c:pt>
                <c:pt idx="13">
                  <c:v>45377</c:v>
                </c:pt>
                <c:pt idx="14">
                  <c:v>45370</c:v>
                </c:pt>
                <c:pt idx="15">
                  <c:v>45363</c:v>
                </c:pt>
                <c:pt idx="16">
                  <c:v>45356</c:v>
                </c:pt>
                <c:pt idx="17">
                  <c:v>45349</c:v>
                </c:pt>
                <c:pt idx="18">
                  <c:v>45342</c:v>
                </c:pt>
                <c:pt idx="19">
                  <c:v>45330</c:v>
                </c:pt>
                <c:pt idx="20">
                  <c:v>45323</c:v>
                </c:pt>
                <c:pt idx="21">
                  <c:v>45316</c:v>
                </c:pt>
                <c:pt idx="22">
                  <c:v>45309</c:v>
                </c:pt>
                <c:pt idx="23">
                  <c:v>45302</c:v>
                </c:pt>
                <c:pt idx="24">
                  <c:v>45295</c:v>
                </c:pt>
                <c:pt idx="25">
                  <c:v>45288</c:v>
                </c:pt>
                <c:pt idx="26">
                  <c:v>45281</c:v>
                </c:pt>
                <c:pt idx="27">
                  <c:v>45274</c:v>
                </c:pt>
                <c:pt idx="28">
                  <c:v>45267</c:v>
                </c:pt>
                <c:pt idx="29">
                  <c:v>45260</c:v>
                </c:pt>
                <c:pt idx="30">
                  <c:v>45253</c:v>
                </c:pt>
                <c:pt idx="31">
                  <c:v>45246</c:v>
                </c:pt>
                <c:pt idx="32">
                  <c:v>45239</c:v>
                </c:pt>
                <c:pt idx="33">
                  <c:v>45232</c:v>
                </c:pt>
                <c:pt idx="34">
                  <c:v>45225</c:v>
                </c:pt>
                <c:pt idx="35">
                  <c:v>45218</c:v>
                </c:pt>
                <c:pt idx="36">
                  <c:v>45211</c:v>
                </c:pt>
                <c:pt idx="37">
                  <c:v>45197</c:v>
                </c:pt>
                <c:pt idx="38">
                  <c:v>45190</c:v>
                </c:pt>
                <c:pt idx="39">
                  <c:v>45183</c:v>
                </c:pt>
                <c:pt idx="40">
                  <c:v>45176</c:v>
                </c:pt>
                <c:pt idx="41">
                  <c:v>45169</c:v>
                </c:pt>
                <c:pt idx="42">
                  <c:v>45162</c:v>
                </c:pt>
                <c:pt idx="43">
                  <c:v>45155</c:v>
                </c:pt>
                <c:pt idx="44">
                  <c:v>45148</c:v>
                </c:pt>
                <c:pt idx="45">
                  <c:v>45141</c:v>
                </c:pt>
                <c:pt idx="46">
                  <c:v>45134</c:v>
                </c:pt>
                <c:pt idx="47">
                  <c:v>45127</c:v>
                </c:pt>
                <c:pt idx="48">
                  <c:v>45120</c:v>
                </c:pt>
              </c:numCache>
            </c:numRef>
          </c:cat>
          <c:val>
            <c:numRef>
              <c:f>[0]!indexpct</c:f>
              <c:numCache>
                <c:formatCode>0.00%</c:formatCode>
                <c:ptCount val="49"/>
                <c:pt idx="0">
                  <c:v>0</c:v>
                </c:pt>
                <c:pt idx="1">
                  <c:v>-2.1762531005756647E-2</c:v>
                </c:pt>
                <c:pt idx="2">
                  <c:v>-4.0159073684868929E-3</c:v>
                </c:pt>
                <c:pt idx="3">
                  <c:v>3.1319143631773905E-3</c:v>
                </c:pt>
                <c:pt idx="4">
                  <c:v>-3.6325731252763171E-3</c:v>
                </c:pt>
                <c:pt idx="5">
                  <c:v>-1.490987720818393E-2</c:v>
                </c:pt>
                <c:pt idx="6">
                  <c:v>3.4127271867463449E-3</c:v>
                </c:pt>
                <c:pt idx="7">
                  <c:v>-3.1554331112250145E-3</c:v>
                </c:pt>
                <c:pt idx="8">
                  <c:v>0</c:v>
                </c:pt>
                <c:pt idx="9">
                  <c:v>-1.0771117944581632E-2</c:v>
                </c:pt>
                <c:pt idx="10">
                  <c:v>-7.644191647281362E-4</c:v>
                </c:pt>
                <c:pt idx="11">
                  <c:v>9.9732075018994504E-3</c:v>
                </c:pt>
                <c:pt idx="12">
                  <c:v>4.3073849803358932E-3</c:v>
                </c:pt>
                <c:pt idx="13">
                  <c:v>1.1318284353162067E-2</c:v>
                </c:pt>
                <c:pt idx="14">
                  <c:v>-8.8455723889468985E-4</c:v>
                </c:pt>
                <c:pt idx="15">
                  <c:v>7.6973508486510855E-3</c:v>
                </c:pt>
                <c:pt idx="16">
                  <c:v>6.7939845093980544E-3</c:v>
                </c:pt>
                <c:pt idx="17">
                  <c:v>1.0856335312905863E-2</c:v>
                </c:pt>
                <c:pt idx="18">
                  <c:v>4.1552038009093906E-3</c:v>
                </c:pt>
                <c:pt idx="19">
                  <c:v>0</c:v>
                </c:pt>
                <c:pt idx="20">
                  <c:v>7.4808255533320711E-3</c:v>
                </c:pt>
                <c:pt idx="21">
                  <c:v>-2.216595479850425E-3</c:v>
                </c:pt>
                <c:pt idx="22">
                  <c:v>5.6170593447051331E-3</c:v>
                </c:pt>
                <c:pt idx="23">
                  <c:v>5.8542968817265617E-4</c:v>
                </c:pt>
                <c:pt idx="24">
                  <c:v>5.7246737809939496E-3</c:v>
                </c:pt>
                <c:pt idx="25">
                  <c:v>6.1854383728909834E-3</c:v>
                </c:pt>
                <c:pt idx="26">
                  <c:v>1.5171336167738581E-3</c:v>
                </c:pt>
                <c:pt idx="27">
                  <c:v>-3.6528450906478938E-3</c:v>
                </c:pt>
                <c:pt idx="28">
                  <c:v>-4.3855366068020762E-3</c:v>
                </c:pt>
                <c:pt idx="29">
                  <c:v>-7.8618063112076975E-3</c:v>
                </c:pt>
                <c:pt idx="30">
                  <c:v>-2.2741556086261605E-2</c:v>
                </c:pt>
                <c:pt idx="31">
                  <c:v>2.699331848552422E-3</c:v>
                </c:pt>
                <c:pt idx="32">
                  <c:v>4.1313778145024571E-4</c:v>
                </c:pt>
                <c:pt idx="33">
                  <c:v>3.4443952830732982E-2</c:v>
                </c:pt>
                <c:pt idx="34">
                  <c:v>-4.8166585502227403E-2</c:v>
                </c:pt>
                <c:pt idx="35">
                  <c:v>-2.05726118663907E-2</c:v>
                </c:pt>
                <c:pt idx="36">
                  <c:v>6.951625376907522E-4</c:v>
                </c:pt>
                <c:pt idx="37">
                  <c:v>-1.2306625644580294E-3</c:v>
                </c:pt>
                <c:pt idx="38">
                  <c:v>-6.1576856888859721E-3</c:v>
                </c:pt>
                <c:pt idx="39">
                  <c:v>-8.6430702249455926E-3</c:v>
                </c:pt>
                <c:pt idx="40">
                  <c:v>-6.9131832797419968E-4</c:v>
                </c:pt>
                <c:pt idx="41">
                  <c:v>8.9765570905733227E-3</c:v>
                </c:pt>
                <c:pt idx="42">
                  <c:v>1.4353210070273681E-2</c:v>
                </c:pt>
                <c:pt idx="43">
                  <c:v>-7.8664157135273083E-3</c:v>
                </c:pt>
                <c:pt idx="44">
                  <c:v>-1.0842875550045039E-2</c:v>
                </c:pt>
                <c:pt idx="45">
                  <c:v>-7.7677539883483915E-3</c:v>
                </c:pt>
                <c:pt idx="46">
                  <c:v>-2.9229539322473963E-3</c:v>
                </c:pt>
                <c:pt idx="47">
                  <c:v>-1.4493000733184491E-4</c:v>
                </c:pt>
                <c:pt idx="48">
                  <c:v>9.7210188875411774E-3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B-411D-AD5B-6B416606D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"/>
        <c:axId val="4"/>
      </c:barChart>
      <c:lineChart>
        <c:grouping val="standard"/>
        <c:varyColors val="0"/>
        <c:ser>
          <c:idx val="2"/>
          <c:order val="1"/>
          <c:tx>
            <c:strRef>
              <c:f>report!$J$5</c:f>
              <c:strCache>
                <c:ptCount val="1"/>
                <c:pt idx="0">
                  <c:v>胡志明指数阶段收益率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[0]!indextime</c:f>
              <c:numCache>
                <c:formatCode>m/d/yyyy</c:formatCode>
                <c:ptCount val="49"/>
                <c:pt idx="0">
                  <c:v>45474</c:v>
                </c:pt>
                <c:pt idx="1">
                  <c:v>45467</c:v>
                </c:pt>
                <c:pt idx="2">
                  <c:v>45460</c:v>
                </c:pt>
                <c:pt idx="3">
                  <c:v>45450</c:v>
                </c:pt>
                <c:pt idx="4">
                  <c:v>45443</c:v>
                </c:pt>
                <c:pt idx="5">
                  <c:v>45436</c:v>
                </c:pt>
                <c:pt idx="6">
                  <c:v>45429</c:v>
                </c:pt>
                <c:pt idx="7">
                  <c:v>45422</c:v>
                </c:pt>
                <c:pt idx="8">
                  <c:v>45412</c:v>
                </c:pt>
                <c:pt idx="9">
                  <c:v>45405</c:v>
                </c:pt>
                <c:pt idx="10">
                  <c:v>45398</c:v>
                </c:pt>
                <c:pt idx="11">
                  <c:v>45391</c:v>
                </c:pt>
                <c:pt idx="12">
                  <c:v>45384</c:v>
                </c:pt>
                <c:pt idx="13">
                  <c:v>45377</c:v>
                </c:pt>
                <c:pt idx="14">
                  <c:v>45370</c:v>
                </c:pt>
                <c:pt idx="15">
                  <c:v>45363</c:v>
                </c:pt>
                <c:pt idx="16">
                  <c:v>45356</c:v>
                </c:pt>
                <c:pt idx="17">
                  <c:v>45349</c:v>
                </c:pt>
                <c:pt idx="18">
                  <c:v>45342</c:v>
                </c:pt>
                <c:pt idx="19">
                  <c:v>45330</c:v>
                </c:pt>
                <c:pt idx="20">
                  <c:v>45323</c:v>
                </c:pt>
                <c:pt idx="21">
                  <c:v>45316</c:v>
                </c:pt>
                <c:pt idx="22">
                  <c:v>45309</c:v>
                </c:pt>
                <c:pt idx="23">
                  <c:v>45302</c:v>
                </c:pt>
                <c:pt idx="24">
                  <c:v>45295</c:v>
                </c:pt>
                <c:pt idx="25">
                  <c:v>45288</c:v>
                </c:pt>
                <c:pt idx="26">
                  <c:v>45281</c:v>
                </c:pt>
                <c:pt idx="27">
                  <c:v>45274</c:v>
                </c:pt>
                <c:pt idx="28">
                  <c:v>45267</c:v>
                </c:pt>
                <c:pt idx="29">
                  <c:v>45260</c:v>
                </c:pt>
                <c:pt idx="30">
                  <c:v>45253</c:v>
                </c:pt>
                <c:pt idx="31">
                  <c:v>45246</c:v>
                </c:pt>
                <c:pt idx="32">
                  <c:v>45239</c:v>
                </c:pt>
                <c:pt idx="33">
                  <c:v>45232</c:v>
                </c:pt>
                <c:pt idx="34">
                  <c:v>45225</c:v>
                </c:pt>
                <c:pt idx="35">
                  <c:v>45218</c:v>
                </c:pt>
                <c:pt idx="36">
                  <c:v>45211</c:v>
                </c:pt>
                <c:pt idx="37">
                  <c:v>45197</c:v>
                </c:pt>
                <c:pt idx="38">
                  <c:v>45190</c:v>
                </c:pt>
                <c:pt idx="39">
                  <c:v>45183</c:v>
                </c:pt>
                <c:pt idx="40">
                  <c:v>45176</c:v>
                </c:pt>
                <c:pt idx="41">
                  <c:v>45169</c:v>
                </c:pt>
                <c:pt idx="42">
                  <c:v>45162</c:v>
                </c:pt>
                <c:pt idx="43">
                  <c:v>45155</c:v>
                </c:pt>
                <c:pt idx="44">
                  <c:v>45148</c:v>
                </c:pt>
                <c:pt idx="45">
                  <c:v>45141</c:v>
                </c:pt>
                <c:pt idx="46">
                  <c:v>45134</c:v>
                </c:pt>
                <c:pt idx="47">
                  <c:v>45127</c:v>
                </c:pt>
                <c:pt idx="48">
                  <c:v>45120</c:v>
                </c:pt>
              </c:numCache>
            </c:numRef>
          </c:cat>
          <c:val>
            <c:numRef>
              <c:f>[0]!indexpct2</c:f>
              <c:numCache>
                <c:formatCode>0.00%</c:formatCode>
                <c:ptCount val="49"/>
                <c:pt idx="0">
                  <c:v>0.1057519845145707</c:v>
                </c:pt>
                <c:pt idx="1">
                  <c:v>0.11356573316048359</c:v>
                </c:pt>
                <c:pt idx="2">
                  <c:v>0.13190140469890421</c:v>
                </c:pt>
                <c:pt idx="3">
                  <c:v>0.14327573653460246</c:v>
                </c:pt>
                <c:pt idx="4">
                  <c:v>0.12031397062740856</c:v>
                </c:pt>
                <c:pt idx="5">
                  <c:v>0.12050043508373154</c:v>
                </c:pt>
                <c:pt idx="6">
                  <c:v>0.13042744756797053</c:v>
                </c:pt>
                <c:pt idx="7">
                  <c:v>0.10520147040542692</c:v>
                </c:pt>
                <c:pt idx="8">
                  <c:v>7.3964234341425295E-2</c:v>
                </c:pt>
                <c:pt idx="9">
                  <c:v>4.5444051783843253E-2</c:v>
                </c:pt>
                <c:pt idx="10">
                  <c:v>7.9433858393564316E-2</c:v>
                </c:pt>
                <c:pt idx="11">
                  <c:v>0.12129068920814756</c:v>
                </c:pt>
                <c:pt idx="12">
                  <c:v>0.14279625650405769</c:v>
                </c:pt>
                <c:pt idx="13">
                  <c:v>0.13850757400863056</c:v>
                </c:pt>
                <c:pt idx="14">
                  <c:v>0.10321251620464909</c:v>
                </c:pt>
                <c:pt idx="15">
                  <c:v>0.10546784820017407</c:v>
                </c:pt>
                <c:pt idx="16">
                  <c:v>0.12764823924277668</c:v>
                </c:pt>
                <c:pt idx="17">
                  <c:v>9.8772886292198603E-2</c:v>
                </c:pt>
                <c:pt idx="18">
                  <c:v>9.220223402177187E-2</c:v>
                </c:pt>
                <c:pt idx="19">
                  <c:v>6.4205927793859141E-2</c:v>
                </c:pt>
                <c:pt idx="20">
                  <c:v>4.1554935980536722E-2</c:v>
                </c:pt>
                <c:pt idx="21">
                  <c:v>3.9201932126937677E-2</c:v>
                </c:pt>
                <c:pt idx="22">
                  <c:v>3.8038749089875701E-2</c:v>
                </c:pt>
                <c:pt idx="23">
                  <c:v>3.1965335369643633E-2</c:v>
                </c:pt>
                <c:pt idx="24">
                  <c:v>2.1754186571007361E-2</c:v>
                </c:pt>
                <c:pt idx="25">
                  <c:v>2.4062794125481179E-3</c:v>
                </c:pt>
                <c:pt idx="26">
                  <c:v>-2.1123759123439445E-2</c:v>
                </c:pt>
                <c:pt idx="27">
                  <c:v>-1.4286729058265668E-2</c:v>
                </c:pt>
                <c:pt idx="28">
                  <c:v>-4.1998898971782328E-3</c:v>
                </c:pt>
                <c:pt idx="29">
                  <c:v>-2.8493544778107172E-2</c:v>
                </c:pt>
                <c:pt idx="30">
                  <c:v>-3.3501447319351452E-2</c:v>
                </c:pt>
                <c:pt idx="31">
                  <c:v>-6.1266892791822514E-4</c:v>
                </c:pt>
                <c:pt idx="32">
                  <c:v>-1.0948127364102889E-2</c:v>
                </c:pt>
                <c:pt idx="33">
                  <c:v>-4.5062243611372566E-2</c:v>
                </c:pt>
                <c:pt idx="34">
                  <c:v>-6.2838521780824386E-2</c:v>
                </c:pt>
                <c:pt idx="35">
                  <c:v>-3.4069719948145227E-2</c:v>
                </c:pt>
                <c:pt idx="36">
                  <c:v>2.2544440695423607E-2</c:v>
                </c:pt>
                <c:pt idx="37">
                  <c:v>2.32725400010656E-2</c:v>
                </c:pt>
                <c:pt idx="38">
                  <c:v>8.1991085223135793E-2</c:v>
                </c:pt>
                <c:pt idx="39">
                  <c:v>9.1776029550176622E-2</c:v>
                </c:pt>
                <c:pt idx="40">
                  <c:v>0.10381630587274258</c:v>
                </c:pt>
                <c:pt idx="41">
                  <c:v>8.6865798867006294E-2</c:v>
                </c:pt>
                <c:pt idx="42">
                  <c:v>5.609028431389973E-2</c:v>
                </c:pt>
                <c:pt idx="43">
                  <c:v>9.5238940881888112E-2</c:v>
                </c:pt>
                <c:pt idx="44">
                  <c:v>8.3811333487240347E-2</c:v>
                </c:pt>
                <c:pt idx="45">
                  <c:v>7.5233968496386083E-2</c:v>
                </c:pt>
                <c:pt idx="46">
                  <c:v>6.3140416614870798E-2</c:v>
                </c:pt>
                <c:pt idx="47">
                  <c:v>4.1368471524213746E-2</c:v>
                </c:pt>
                <c:pt idx="48">
                  <c:v>3.4806698513611956E-2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6B-411D-AD5B-6B416606D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279151"/>
        <c:axId val="1"/>
      </c:lineChart>
      <c:dateAx>
        <c:axId val="384279151"/>
        <c:scaling>
          <c:orientation val="minMax"/>
        </c:scaling>
        <c:delete val="0"/>
        <c:axPos val="b"/>
        <c:numFmt formatCode="yyyy/m/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"/>
        <c:crosses val="autoZero"/>
        <c:auto val="1"/>
        <c:lblOffset val="100"/>
        <c:baseTimeUnit val="days"/>
        <c:majorUnit val="3"/>
        <c:major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4279151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"/>
        <c:crosses val="autoZero"/>
        <c:auto val="1"/>
        <c:lblOffset val="100"/>
        <c:baseTimeUnit val="days"/>
      </c:dateAx>
      <c:valAx>
        <c:axId val="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571419686283265E-2"/>
          <c:y val="9.7760279965004374E-2"/>
          <c:w val="0.88335858491622199"/>
          <c:h val="0.745577786383259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指数分析!$Z$51</c:f>
              <c:strCache>
                <c:ptCount val="1"/>
                <c:pt idx="0">
                  <c:v>分布</c:v>
                </c:pt>
              </c:strCache>
            </c:strRef>
          </c:tx>
          <c:spPr>
            <a:solidFill>
              <a:srgbClr val="2276A1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trendline>
            <c:spPr>
              <a:ln w="25400">
                <a:solidFill>
                  <a:srgbClr val="F68616"/>
                </a:solidFill>
              </a:ln>
            </c:spPr>
            <c:trendlineType val="poly"/>
            <c:order val="6"/>
            <c:dispRSqr val="0"/>
            <c:dispEq val="0"/>
          </c:trendline>
          <c:cat>
            <c:numRef>
              <c:f>指数分析!$Y$52:$Y$56</c:f>
              <c:numCache>
                <c:formatCode>_ * #,##0_ ;_ * \-#,##0_ ;_ * "-"??_ ;_ @_ </c:formatCode>
                <c:ptCount val="5"/>
                <c:pt idx="0">
                  <c:v>1055.45</c:v>
                </c:pt>
                <c:pt idx="1">
                  <c:v>1193.8765306122446</c:v>
                </c:pt>
                <c:pt idx="2">
                  <c:v>1209.52</c:v>
                </c:pt>
                <c:pt idx="3">
                  <c:v>1245.32</c:v>
                </c:pt>
                <c:pt idx="4">
                  <c:v>1287.58</c:v>
                </c:pt>
              </c:numCache>
            </c:numRef>
          </c:cat>
          <c:val>
            <c:numRef>
              <c:f>指数分析!$Z$52:$Z$56</c:f>
              <c:numCache>
                <c:formatCode>0.0%</c:formatCode>
                <c:ptCount val="5"/>
                <c:pt idx="0">
                  <c:v>2.0408163265306121E-2</c:v>
                </c:pt>
                <c:pt idx="1">
                  <c:v>0.42857142857142855</c:v>
                </c:pt>
                <c:pt idx="2">
                  <c:v>6.1224489795918366E-2</c:v>
                </c:pt>
                <c:pt idx="3">
                  <c:v>0.2857142857142857</c:v>
                </c:pt>
                <c:pt idx="4">
                  <c:v>0.20408163265306123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7-4C52-850B-53BEC0CA8B92}"/>
            </c:ext>
          </c:extLst>
        </c:ser>
        <c:ser>
          <c:idx val="1"/>
          <c:order val="1"/>
          <c:tx>
            <c:strRef>
              <c:f>指数分析!$AA$51</c:f>
              <c:strCache>
                <c:ptCount val="1"/>
                <c:pt idx="0">
                  <c:v>当前值</c:v>
                </c:pt>
              </c:strCache>
            </c:strRef>
          </c:tx>
          <c:spPr>
            <a:noFill/>
          </c:spPr>
          <c:invertIfNegative val="0"/>
          <c:trendline>
            <c:trendlineType val="linear"/>
            <c:dispRSqr val="0"/>
            <c:dispEq val="0"/>
          </c:trendline>
          <c:cat>
            <c:numRef>
              <c:f>指数分析!$Y$52:$Y$56</c:f>
              <c:numCache>
                <c:formatCode>_ * #,##0_ ;_ * \-#,##0_ ;_ * "-"??_ ;_ @_ </c:formatCode>
                <c:ptCount val="5"/>
                <c:pt idx="0">
                  <c:v>1055.45</c:v>
                </c:pt>
                <c:pt idx="1">
                  <c:v>1193.8765306122446</c:v>
                </c:pt>
                <c:pt idx="2">
                  <c:v>1209.52</c:v>
                </c:pt>
                <c:pt idx="3">
                  <c:v>1245.32</c:v>
                </c:pt>
                <c:pt idx="4">
                  <c:v>1287.58</c:v>
                </c:pt>
              </c:numCache>
            </c:numRef>
          </c:cat>
          <c:val>
            <c:numRef>
              <c:f>指数分析!$AA$52:$AA$56</c:f>
              <c:numCache>
                <c:formatCode>General</c:formatCode>
                <c:ptCount val="5"/>
                <c:pt idx="0">
                  <c:v>#N/A</c:v>
                </c:pt>
                <c:pt idx="1">
                  <c:v>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7-4C52-850B-53BEC0CA8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2"/>
        <c:overlap val="100"/>
        <c:axId val="168053199"/>
        <c:axId val="1"/>
      </c:barChart>
      <c:catAx>
        <c:axId val="168053199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ln>
            <a:noFill/>
          </a:ln>
        </c:sp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8"/>
        </c:scaling>
        <c:delete val="0"/>
        <c:axPos val="b"/>
        <c:majorGridlines>
          <c:spPr>
            <a:ln w="0">
              <a:solidFill>
                <a:srgbClr val="D9D9D9"/>
              </a:solidFill>
              <a:prstDash val="sysDot"/>
            </a:ln>
          </c:spPr>
        </c:majorGridlines>
        <c:numFmt formatCode="0.0%" sourceLinked="1"/>
        <c:majorTickMark val="none"/>
        <c:minorTickMark val="none"/>
        <c:tickLblPos val="nextTo"/>
        <c:crossAx val="168053199"/>
        <c:crosses val="autoZero"/>
        <c:crossBetween val="between"/>
      </c:valAx>
      <c:spPr>
        <a:solidFill>
          <a:schemeClr val="bg1"/>
        </a:solidFill>
      </c:spPr>
    </c:plotArea>
    <c:plotVisOnly val="0"/>
    <c:dispBlanksAs val="gap"/>
    <c:showDLblsOverMax val="0"/>
  </c:chart>
  <c:spPr>
    <a:noFill/>
    <a:ln>
      <a:noFill/>
    </a:ln>
  </c:spPr>
  <c:txPr>
    <a:bodyPr/>
    <a:lstStyle/>
    <a:p>
      <a:pPr>
        <a:defRPr sz="1000">
          <a:solidFill>
            <a:sysClr val="windowText" lastClr="000000"/>
          </a:solidFill>
          <a:latin typeface="微软雅黑" pitchFamily="34" charset="-122"/>
          <a:ea typeface="微软雅黑" pitchFamily="34" charset="-122"/>
        </a:defRPr>
      </a:pPr>
      <a:endParaRPr lang="zh-CN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114739386660072E-2"/>
          <c:y val="9.0606819308876707E-2"/>
          <c:w val="0.69338120657131919"/>
          <c:h val="0.326864061347170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report!$P$4</c:f>
              <c:strCache>
                <c:ptCount val="1"/>
                <c:pt idx="0">
                  <c:v>指数涨跌幅top20</c:v>
                </c:pt>
              </c:strCache>
            </c:strRef>
          </c:tx>
          <c:spPr>
            <a:solidFill>
              <a:srgbClr val="C91818"/>
            </a:solidFill>
            <a:ln>
              <a:noFill/>
            </a:ln>
            <a:effectLst/>
          </c:spPr>
          <c:invertIfNegative val="1"/>
          <c:cat>
            <c:strRef>
              <c:f>[0]!top20indics</c:f>
              <c:strCache>
                <c:ptCount val="40"/>
                <c:pt idx="0">
                  <c:v>MERV.GI阿根廷MERV285.9%</c:v>
                </c:pt>
                <c:pt idx="1">
                  <c:v>IBVC.GI委内瑞拉IBC128.8%</c:v>
                </c:pt>
                <c:pt idx="2">
                  <c:v>TWSE078.TW台湾其他电子指数76.5%</c:v>
                </c:pt>
                <c:pt idx="3">
                  <c:v>TWSE071.TW台湾半导体指数63.5%</c:v>
                </c:pt>
                <c:pt idx="4">
                  <c:v>TWSE006.TW台湾建材营造指数56.2%</c:v>
                </c:pt>
                <c:pt idx="5">
                  <c:v>TWSE020.TW台湾电子指数53.0%</c:v>
                </c:pt>
                <c:pt idx="6">
                  <c:v>TWSE005.TW台湾机电指数52.3%</c:v>
                </c:pt>
                <c:pt idx="7">
                  <c:v>TWSE076.TW台湾电子通路指数49.7%</c:v>
                </c:pt>
                <c:pt idx="8">
                  <c:v>KAX.GI丹麦OMX2043.9%</c:v>
                </c:pt>
                <c:pt idx="9">
                  <c:v>8884057.WITAMAMA科技指数43.0%</c:v>
                </c:pt>
                <c:pt idx="10">
                  <c:v>TWSE013.TW台湾电机机械指数40.7%</c:v>
                </c:pt>
                <c:pt idx="11">
                  <c:v>CI005106.WI贵金属(中信)40.7%</c:v>
                </c:pt>
                <c:pt idx="12">
                  <c:v>TWSE072.TW台湾计算机及外围设备指数39.9%</c:v>
                </c:pt>
                <c:pt idx="13">
                  <c:v>TWSE002.TW台湾未含金融保险指数38.9%</c:v>
                </c:pt>
                <c:pt idx="14">
                  <c:v>TWII.TW台湾加权指数37.4%</c:v>
                </c:pt>
                <c:pt idx="15">
                  <c:v>CI005101.WI石油开采Ⅱ(中信)35.8%</c:v>
                </c:pt>
                <c:pt idx="16">
                  <c:v>CI005104.WI煤炭开采洗选(中信)34.8%</c:v>
                </c:pt>
                <c:pt idx="17">
                  <c:v>CI005163.WI国有大型银行Ⅱ(中信)31.3%</c:v>
                </c:pt>
                <c:pt idx="18">
                  <c:v>IXIC.GI纳斯达克指数29.6%</c:v>
                </c:pt>
                <c:pt idx="19">
                  <c:v>801951.SI煤炭开采(申万)28.1%</c:v>
                </c:pt>
                <c:pt idx="20">
                  <c:v>801156.SI医疗服务(申万)-40.4%</c:v>
                </c:pt>
                <c:pt idx="21">
                  <c:v>801736.SI风电设备(申万)-40.6%</c:v>
                </c:pt>
                <c:pt idx="22">
                  <c:v>801994.SI教育(申万)-41.2%</c:v>
                </c:pt>
                <c:pt idx="23">
                  <c:v>801219.SI酒店餐饮(申万)-41.4%</c:v>
                </c:pt>
                <c:pt idx="24">
                  <c:v>CI005825.WI林业(中信)-41.7%</c:v>
                </c:pt>
                <c:pt idx="25">
                  <c:v>CI005816.WI教育(中信)-43.0%</c:v>
                </c:pt>
                <c:pt idx="26">
                  <c:v>CI005144.WI酒店及餐饮(中信)-43.2%</c:v>
                </c:pt>
                <c:pt idx="27">
                  <c:v>801104.SI软件开发(申万)-43.4%</c:v>
                </c:pt>
                <c:pt idx="28">
                  <c:v>801092.SI汽车服务(申万)-43.8%</c:v>
                </c:pt>
                <c:pt idx="29">
                  <c:v>801722.SI装修装饰Ⅱ(申万)-43.9%</c:v>
                </c:pt>
                <c:pt idx="30">
                  <c:v>801206.SI互联网电商(申万)-44.6%</c:v>
                </c:pt>
                <c:pt idx="31">
                  <c:v>801764.SI游戏Ⅱ(申万)-44.8%</c:v>
                </c:pt>
                <c:pt idx="32">
                  <c:v>CI005809.WI电源设备(中信)-45.0%</c:v>
                </c:pt>
                <c:pt idx="33">
                  <c:v>CI005196.WI建筑装修Ⅱ(中信)-45.0%</c:v>
                </c:pt>
                <c:pt idx="34">
                  <c:v>CI005817.WI综合服务(中信)-46.1%</c:v>
                </c:pt>
                <c:pt idx="35">
                  <c:v>801056.SI能源金属(申万)-46.2%</c:v>
                </c:pt>
                <c:pt idx="36">
                  <c:v>CI005814.WI电商及服务Ⅱ(中信)-46.4%</c:v>
                </c:pt>
                <c:pt idx="37">
                  <c:v>CI005139.WI汽车销售及服务Ⅱ(中信)-48.5%</c:v>
                </c:pt>
                <c:pt idx="38">
                  <c:v>801735.SI光伏设备(申万)-50.7%</c:v>
                </c:pt>
                <c:pt idx="39">
                  <c:v>TWSE025.TW台湾综合行业指数-100.0%</c:v>
                </c:pt>
              </c:strCache>
            </c:strRef>
          </c:cat>
          <c:val>
            <c:numRef>
              <c:f>[0]!topturn</c:f>
              <c:numCache>
                <c:formatCode>0.0%</c:formatCode>
                <c:ptCount val="40"/>
                <c:pt idx="0">
                  <c:v>2.8589394927810692</c:v>
                </c:pt>
                <c:pt idx="1">
                  <c:v>1.2884980401177528</c:v>
                </c:pt>
                <c:pt idx="2">
                  <c:v>0.76466108149276479</c:v>
                </c:pt>
                <c:pt idx="3">
                  <c:v>0.63512832081530823</c:v>
                </c:pt>
                <c:pt idx="4">
                  <c:v>0.5621135761417364</c:v>
                </c:pt>
                <c:pt idx="5">
                  <c:v>0.52989337864125474</c:v>
                </c:pt>
                <c:pt idx="6">
                  <c:v>0.52263642055579629</c:v>
                </c:pt>
                <c:pt idx="7">
                  <c:v>0.49726365489859425</c:v>
                </c:pt>
                <c:pt idx="8">
                  <c:v>0.43910266345394322</c:v>
                </c:pt>
                <c:pt idx="9">
                  <c:v>0.42971902709468623</c:v>
                </c:pt>
                <c:pt idx="10">
                  <c:v>0.4073048564228603</c:v>
                </c:pt>
                <c:pt idx="11">
                  <c:v>0.40696925157736286</c:v>
                </c:pt>
                <c:pt idx="12">
                  <c:v>0.39911469987352843</c:v>
                </c:pt>
                <c:pt idx="13">
                  <c:v>0.38870988449811317</c:v>
                </c:pt>
                <c:pt idx="14">
                  <c:v>0.37406135363142146</c:v>
                </c:pt>
                <c:pt idx="15">
                  <c:v>0.35810432627884398</c:v>
                </c:pt>
                <c:pt idx="16">
                  <c:v>0.34800475305376644</c:v>
                </c:pt>
                <c:pt idx="17">
                  <c:v>0.31261101038986738</c:v>
                </c:pt>
                <c:pt idx="18">
                  <c:v>0.29633366084169621</c:v>
                </c:pt>
                <c:pt idx="19">
                  <c:v>0.2805623911698254</c:v>
                </c:pt>
                <c:pt idx="20">
                  <c:v>-0.40400987639674646</c:v>
                </c:pt>
                <c:pt idx="21">
                  <c:v>-0.40576848577248481</c:v>
                </c:pt>
                <c:pt idx="22">
                  <c:v>-0.41199276094076098</c:v>
                </c:pt>
                <c:pt idx="23">
                  <c:v>-0.41385949771921304</c:v>
                </c:pt>
                <c:pt idx="24">
                  <c:v>-0.41686495783791599</c:v>
                </c:pt>
                <c:pt idx="25">
                  <c:v>-0.42969895835859506</c:v>
                </c:pt>
                <c:pt idx="26">
                  <c:v>-0.43228688504152191</c:v>
                </c:pt>
                <c:pt idx="27">
                  <c:v>-0.43418669380663588</c:v>
                </c:pt>
                <c:pt idx="28">
                  <c:v>-0.43823390591701583</c:v>
                </c:pt>
                <c:pt idx="29">
                  <c:v>-0.43867986504141221</c:v>
                </c:pt>
                <c:pt idx="30">
                  <c:v>-0.4462687217860356</c:v>
                </c:pt>
                <c:pt idx="31">
                  <c:v>-0.44837223050774588</c:v>
                </c:pt>
                <c:pt idx="32">
                  <c:v>-0.44991549698754535</c:v>
                </c:pt>
                <c:pt idx="33">
                  <c:v>-0.45039055879181011</c:v>
                </c:pt>
                <c:pt idx="34">
                  <c:v>-0.46128005051265164</c:v>
                </c:pt>
                <c:pt idx="35">
                  <c:v>-0.46238180981764726</c:v>
                </c:pt>
                <c:pt idx="36">
                  <c:v>-0.46416228539687032</c:v>
                </c:pt>
                <c:pt idx="37">
                  <c:v>-0.48480068170460655</c:v>
                </c:pt>
                <c:pt idx="38">
                  <c:v>-0.50680978787727637</c:v>
                </c:pt>
                <c:pt idx="39">
                  <c:v>-1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107F3A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7E5-47A0-B93F-F1FC5BE3E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3870591"/>
        <c:axId val="1"/>
      </c:barChart>
      <c:lineChart>
        <c:grouping val="standard"/>
        <c:varyColors val="0"/>
        <c:ser>
          <c:idx val="1"/>
          <c:order val="1"/>
          <c:tx>
            <c:strRef>
              <c:f>report!$X$4</c:f>
              <c:strCache>
                <c:ptCount val="1"/>
                <c:pt idx="0">
                  <c:v>波动率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[0]!top20indics</c:f>
              <c:strCache>
                <c:ptCount val="40"/>
                <c:pt idx="0">
                  <c:v>MERV.GI阿根廷MERV285.9%</c:v>
                </c:pt>
                <c:pt idx="1">
                  <c:v>IBVC.GI委内瑞拉IBC128.8%</c:v>
                </c:pt>
                <c:pt idx="2">
                  <c:v>TWSE078.TW台湾其他电子指数76.5%</c:v>
                </c:pt>
                <c:pt idx="3">
                  <c:v>TWSE071.TW台湾半导体指数63.5%</c:v>
                </c:pt>
                <c:pt idx="4">
                  <c:v>TWSE006.TW台湾建材营造指数56.2%</c:v>
                </c:pt>
                <c:pt idx="5">
                  <c:v>TWSE020.TW台湾电子指数53.0%</c:v>
                </c:pt>
                <c:pt idx="6">
                  <c:v>TWSE005.TW台湾机电指数52.3%</c:v>
                </c:pt>
                <c:pt idx="7">
                  <c:v>TWSE076.TW台湾电子通路指数49.7%</c:v>
                </c:pt>
                <c:pt idx="8">
                  <c:v>KAX.GI丹麦OMX2043.9%</c:v>
                </c:pt>
                <c:pt idx="9">
                  <c:v>8884057.WITAMAMA科技指数43.0%</c:v>
                </c:pt>
                <c:pt idx="10">
                  <c:v>TWSE013.TW台湾电机机械指数40.7%</c:v>
                </c:pt>
                <c:pt idx="11">
                  <c:v>CI005106.WI贵金属(中信)40.7%</c:v>
                </c:pt>
                <c:pt idx="12">
                  <c:v>TWSE072.TW台湾计算机及外围设备指数39.9%</c:v>
                </c:pt>
                <c:pt idx="13">
                  <c:v>TWSE002.TW台湾未含金融保险指数38.9%</c:v>
                </c:pt>
                <c:pt idx="14">
                  <c:v>TWII.TW台湾加权指数37.4%</c:v>
                </c:pt>
                <c:pt idx="15">
                  <c:v>CI005101.WI石油开采Ⅱ(中信)35.8%</c:v>
                </c:pt>
                <c:pt idx="16">
                  <c:v>CI005104.WI煤炭开采洗选(中信)34.8%</c:v>
                </c:pt>
                <c:pt idx="17">
                  <c:v>CI005163.WI国有大型银行Ⅱ(中信)31.3%</c:v>
                </c:pt>
                <c:pt idx="18">
                  <c:v>IXIC.GI纳斯达克指数29.6%</c:v>
                </c:pt>
                <c:pt idx="19">
                  <c:v>801951.SI煤炭开采(申万)28.1%</c:v>
                </c:pt>
                <c:pt idx="20">
                  <c:v>801156.SI医疗服务(申万)-40.4%</c:v>
                </c:pt>
                <c:pt idx="21">
                  <c:v>801736.SI风电设备(申万)-40.6%</c:v>
                </c:pt>
                <c:pt idx="22">
                  <c:v>801994.SI教育(申万)-41.2%</c:v>
                </c:pt>
                <c:pt idx="23">
                  <c:v>801219.SI酒店餐饮(申万)-41.4%</c:v>
                </c:pt>
                <c:pt idx="24">
                  <c:v>CI005825.WI林业(中信)-41.7%</c:v>
                </c:pt>
                <c:pt idx="25">
                  <c:v>CI005816.WI教育(中信)-43.0%</c:v>
                </c:pt>
                <c:pt idx="26">
                  <c:v>CI005144.WI酒店及餐饮(中信)-43.2%</c:v>
                </c:pt>
                <c:pt idx="27">
                  <c:v>801104.SI软件开发(申万)-43.4%</c:v>
                </c:pt>
                <c:pt idx="28">
                  <c:v>801092.SI汽车服务(申万)-43.8%</c:v>
                </c:pt>
                <c:pt idx="29">
                  <c:v>801722.SI装修装饰Ⅱ(申万)-43.9%</c:v>
                </c:pt>
                <c:pt idx="30">
                  <c:v>801206.SI互联网电商(申万)-44.6%</c:v>
                </c:pt>
                <c:pt idx="31">
                  <c:v>801764.SI游戏Ⅱ(申万)-44.8%</c:v>
                </c:pt>
                <c:pt idx="32">
                  <c:v>CI005809.WI电源设备(中信)-45.0%</c:v>
                </c:pt>
                <c:pt idx="33">
                  <c:v>CI005196.WI建筑装修Ⅱ(中信)-45.0%</c:v>
                </c:pt>
                <c:pt idx="34">
                  <c:v>CI005817.WI综合服务(中信)-46.1%</c:v>
                </c:pt>
                <c:pt idx="35">
                  <c:v>801056.SI能源金属(申万)-46.2%</c:v>
                </c:pt>
                <c:pt idx="36">
                  <c:v>CI005814.WI电商及服务Ⅱ(中信)-46.4%</c:v>
                </c:pt>
                <c:pt idx="37">
                  <c:v>CI005139.WI汽车销售及服务Ⅱ(中信)-48.5%</c:v>
                </c:pt>
                <c:pt idx="38">
                  <c:v>801735.SI光伏设备(申万)-50.7%</c:v>
                </c:pt>
                <c:pt idx="39">
                  <c:v>TWSE025.TW台湾综合行业指数-100.0%</c:v>
                </c:pt>
              </c:strCache>
            </c:strRef>
          </c:cat>
          <c:val>
            <c:numRef>
              <c:f>[0]!top20stdev</c:f>
              <c:numCache>
                <c:formatCode>_(* #,##0.00_);_(* \(#,##0.00\);_(* "-"??_);_(@_)</c:formatCode>
                <c:ptCount val="40"/>
                <c:pt idx="0">
                  <c:v>70.674809678677406</c:v>
                </c:pt>
                <c:pt idx="1">
                  <c:v>34.11655175194403</c:v>
                </c:pt>
                <c:pt idx="2">
                  <c:v>26.13472474251455</c:v>
                </c:pt>
                <c:pt idx="3">
                  <c:v>24.748102375995636</c:v>
                </c:pt>
                <c:pt idx="4">
                  <c:v>19.30159266868867</c:v>
                </c:pt>
                <c:pt idx="5">
                  <c:v>19.239692726330922</c:v>
                </c:pt>
                <c:pt idx="6">
                  <c:v>18.692233984902714</c:v>
                </c:pt>
                <c:pt idx="7">
                  <c:v>16.302919888631262</c:v>
                </c:pt>
                <c:pt idx="8">
                  <c:v>18.287824894868905</c:v>
                </c:pt>
                <c:pt idx="9">
                  <c:v>20.061170387241724</c:v>
                </c:pt>
                <c:pt idx="10">
                  <c:v>23.233936026915071</c:v>
                </c:pt>
                <c:pt idx="11">
                  <c:v>26.360019564043469</c:v>
                </c:pt>
                <c:pt idx="12">
                  <c:v>31.086450632463343</c:v>
                </c:pt>
                <c:pt idx="13">
                  <c:v>15.325016185011812</c:v>
                </c:pt>
                <c:pt idx="14">
                  <c:v>14.527950750650861</c:v>
                </c:pt>
                <c:pt idx="15">
                  <c:v>25.452857603250489</c:v>
                </c:pt>
                <c:pt idx="16">
                  <c:v>23.041830765251671</c:v>
                </c:pt>
                <c:pt idx="17">
                  <c:v>15.757771777179979</c:v>
                </c:pt>
                <c:pt idx="18">
                  <c:v>16.539600455979357</c:v>
                </c:pt>
                <c:pt idx="19">
                  <c:v>23.269821706637327</c:v>
                </c:pt>
                <c:pt idx="20">
                  <c:v>30.457176625827977</c:v>
                </c:pt>
                <c:pt idx="21">
                  <c:v>28.316563537022354</c:v>
                </c:pt>
                <c:pt idx="22">
                  <c:v>39.959592372552066</c:v>
                </c:pt>
                <c:pt idx="23">
                  <c:v>32.467304948594631</c:v>
                </c:pt>
                <c:pt idx="24">
                  <c:v>42.396525379810974</c:v>
                </c:pt>
                <c:pt idx="25">
                  <c:v>35.677845416639201</c:v>
                </c:pt>
                <c:pt idx="26">
                  <c:v>33.368233893698815</c:v>
                </c:pt>
                <c:pt idx="27">
                  <c:v>34.178577419474479</c:v>
                </c:pt>
                <c:pt idx="28">
                  <c:v>31.196027657051197</c:v>
                </c:pt>
                <c:pt idx="29">
                  <c:v>32.741632416239142</c:v>
                </c:pt>
                <c:pt idx="30">
                  <c:v>36.827170609376871</c:v>
                </c:pt>
                <c:pt idx="31">
                  <c:v>37.85828154311033</c:v>
                </c:pt>
                <c:pt idx="32">
                  <c:v>27.300252180600459</c:v>
                </c:pt>
                <c:pt idx="33">
                  <c:v>33.730781506208359</c:v>
                </c:pt>
                <c:pt idx="34">
                  <c:v>29.157068923828849</c:v>
                </c:pt>
                <c:pt idx="35">
                  <c:v>35.116292067517506</c:v>
                </c:pt>
                <c:pt idx="36">
                  <c:v>35.889940462131534</c:v>
                </c:pt>
                <c:pt idx="37">
                  <c:v>30.003157716710692</c:v>
                </c:pt>
                <c:pt idx="38">
                  <c:v>31.606658268084786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E5-47A0-B93F-F1FC5BE3E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361647"/>
        <c:axId val="1604628143"/>
      </c:lineChart>
      <c:catAx>
        <c:axId val="663870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870591"/>
        <c:crosses val="autoZero"/>
        <c:crossBetween val="between"/>
      </c:valAx>
      <c:valAx>
        <c:axId val="1604628143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7361647"/>
        <c:crosses val="max"/>
        <c:crossBetween val="between"/>
      </c:valAx>
      <c:catAx>
        <c:axId val="1237361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4628143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22" fmlaLink="report!$H$5" fmlaRange="worldbox" noThreeD="1" sel="24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</xdr:row>
      <xdr:rowOff>57150</xdr:rowOff>
    </xdr:from>
    <xdr:to>
      <xdr:col>16</xdr:col>
      <xdr:colOff>66676</xdr:colOff>
      <xdr:row>27</xdr:row>
      <xdr:rowOff>133349</xdr:rowOff>
    </xdr:to>
    <xdr:graphicFrame macro="">
      <xdr:nvGraphicFramePr>
        <xdr:cNvPr id="2445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32</xdr:row>
      <xdr:rowOff>38100</xdr:rowOff>
    </xdr:from>
    <xdr:to>
      <xdr:col>16</xdr:col>
      <xdr:colOff>9525</xdr:colOff>
      <xdr:row>45</xdr:row>
      <xdr:rowOff>123825</xdr:rowOff>
    </xdr:to>
    <xdr:graphicFrame macro="">
      <xdr:nvGraphicFramePr>
        <xdr:cNvPr id="2446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38099</xdr:colOff>
      <xdr:row>30</xdr:row>
      <xdr:rowOff>266700</xdr:rowOff>
    </xdr:from>
    <xdr:to>
      <xdr:col>30</xdr:col>
      <xdr:colOff>28575</xdr:colOff>
      <xdr:row>45</xdr:row>
      <xdr:rowOff>247650</xdr:rowOff>
    </xdr:to>
    <xdr:graphicFrame macro="">
      <xdr:nvGraphicFramePr>
        <xdr:cNvPr id="2447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47627</xdr:colOff>
      <xdr:row>3</xdr:row>
      <xdr:rowOff>57150</xdr:rowOff>
    </xdr:from>
    <xdr:to>
      <xdr:col>32</xdr:col>
      <xdr:colOff>85725</xdr:colOff>
      <xdr:row>27</xdr:row>
      <xdr:rowOff>95250</xdr:rowOff>
    </xdr:to>
    <xdr:graphicFrame macro="">
      <xdr:nvGraphicFramePr>
        <xdr:cNvPr id="2449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9524</xdr:colOff>
          <xdr:row>31</xdr:row>
          <xdr:rowOff>9525</xdr:rowOff>
        </xdr:from>
        <xdr:to>
          <xdr:col>4</xdr:col>
          <xdr:colOff>66674</xdr:colOff>
          <xdr:row>45</xdr:row>
          <xdr:rowOff>257175</xdr:rowOff>
        </xdr:to>
        <xdr:sp macro="" textlink="">
          <xdr:nvSpPr>
            <xdr:cNvPr id="2096" name="List Box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2</xdr:col>
      <xdr:colOff>0</xdr:colOff>
      <xdr:row>0</xdr:row>
      <xdr:rowOff>95250</xdr:rowOff>
    </xdr:from>
    <xdr:to>
      <xdr:col>2</xdr:col>
      <xdr:colOff>608400</xdr:colOff>
      <xdr:row>0</xdr:row>
      <xdr:rowOff>314850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608400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f_dq_close"/>
      <definedName name="f_info_name"/>
      <definedName name="f_pq_pctchange"/>
      <definedName name="s_info_name"/>
      <definedName name="s_risk_stdevy"/>
      <definedName name="t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夏至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AA8A1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63636D"/>
  </sheetPr>
  <dimension ref="A1:BA64"/>
  <sheetViews>
    <sheetView showGridLines="0" tabSelected="1" zoomScaleNormal="100" workbookViewId="0">
      <selection activeCell="A45" sqref="A45"/>
    </sheetView>
  </sheetViews>
  <sheetFormatPr defaultRowHeight="14.25" x14ac:dyDescent="0.15"/>
  <cols>
    <col min="1" max="2" width="1.125" style="74" customWidth="1"/>
    <col min="3" max="3" width="10.875" style="74" customWidth="1"/>
    <col min="4" max="4" width="12.5" style="74" customWidth="1"/>
    <col min="5" max="5" width="1.5" style="74" customWidth="1"/>
    <col min="6" max="6" width="1.125" style="74" customWidth="1"/>
    <col min="7" max="7" width="10.875" style="74" customWidth="1"/>
    <col min="8" max="8" width="14.375" style="74" customWidth="1"/>
    <col min="9" max="9" width="10.625" style="74" customWidth="1"/>
    <col min="10" max="10" width="9.625" style="74" customWidth="1"/>
    <col min="11" max="11" width="7.5" style="74" customWidth="1"/>
    <col min="12" max="12" width="8.75" style="74" customWidth="1"/>
    <col min="13" max="15" width="7.5" style="74" customWidth="1"/>
    <col min="16" max="16" width="6.5" style="74" customWidth="1"/>
    <col min="17" max="17" width="1.125" style="74" customWidth="1"/>
    <col min="18" max="18" width="3.125" style="74" customWidth="1"/>
    <col min="19" max="19" width="1.25" style="74" customWidth="1"/>
    <col min="20" max="20" width="14.75" style="74" customWidth="1"/>
    <col min="21" max="21" width="11.25" style="74" customWidth="1"/>
    <col min="22" max="22" width="2" style="74" customWidth="1"/>
    <col min="23" max="23" width="8.625" style="74" customWidth="1"/>
    <col min="24" max="24" width="8.375" style="74" customWidth="1"/>
    <col min="25" max="25" width="7.875" style="74" customWidth="1"/>
    <col min="26" max="26" width="10.25" style="74" customWidth="1"/>
    <col min="27" max="27" width="1.125" style="74" customWidth="1"/>
    <col min="28" max="28" width="1" style="74" customWidth="1"/>
    <col min="29" max="29" width="12.25" style="74" customWidth="1"/>
    <col min="30" max="30" width="6.75" style="74" customWidth="1"/>
    <col min="31" max="31" width="1" style="74" customWidth="1"/>
    <col min="32" max="32" width="1.375" style="74" customWidth="1"/>
    <col min="33" max="33" width="1.375" style="84" customWidth="1"/>
    <col min="34" max="34" width="2.375" style="74" bestFit="1" customWidth="1"/>
    <col min="35" max="35" width="6.375" style="74" bestFit="1" customWidth="1"/>
    <col min="36" max="36" width="5.875" style="74" bestFit="1" customWidth="1"/>
    <col min="37" max="37" width="6" style="74" bestFit="1" customWidth="1"/>
    <col min="38" max="38" width="9" style="74"/>
    <col min="39" max="39" width="9" style="77"/>
    <col min="40" max="40" width="9" style="78"/>
    <col min="41" max="16384" width="9" style="74"/>
  </cols>
  <sheetData>
    <row r="1" spans="1:40" s="73" customFormat="1" ht="27.75" customHeight="1" x14ac:dyDescent="0.15">
      <c r="A1" s="92"/>
      <c r="B1" s="92"/>
      <c r="C1" s="93"/>
      <c r="D1" s="93"/>
      <c r="E1" s="102" t="s">
        <v>377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94"/>
      <c r="Z1" s="94"/>
      <c r="AA1" s="94"/>
      <c r="AB1" s="94"/>
      <c r="AC1" s="94"/>
      <c r="AD1" s="94"/>
      <c r="AE1" s="94"/>
      <c r="AF1" s="94"/>
      <c r="AG1" s="94"/>
    </row>
    <row r="2" spans="1:40" ht="12" customHeight="1" x14ac:dyDescent="0.1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40" s="116" customFormat="1" ht="21.95" customHeight="1" x14ac:dyDescent="0.15">
      <c r="A3" s="109"/>
      <c r="B3" s="109"/>
      <c r="C3" s="110" t="s">
        <v>553</v>
      </c>
      <c r="D3" s="109"/>
      <c r="E3" s="111"/>
      <c r="F3" s="112"/>
      <c r="G3" s="108" t="str">
        <f>report!$F$5</f>
        <v>全球指数一览</v>
      </c>
      <c r="H3" s="113"/>
      <c r="I3" s="113"/>
      <c r="J3" s="113"/>
      <c r="K3" s="113"/>
      <c r="L3" s="113"/>
      <c r="M3" s="113"/>
      <c r="N3" s="113"/>
      <c r="O3" s="113"/>
      <c r="P3" s="113"/>
      <c r="Q3" s="112"/>
      <c r="R3" s="109"/>
      <c r="S3" s="112"/>
      <c r="T3" s="108" t="str">
        <f>report!$P$4</f>
        <v>指数涨跌幅top20</v>
      </c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2"/>
      <c r="AF3" s="109"/>
      <c r="AG3" s="115"/>
      <c r="AM3" s="117"/>
      <c r="AN3" s="118"/>
    </row>
    <row r="4" spans="1:40" s="75" customFormat="1" ht="17.25" x14ac:dyDescent="0.15">
      <c r="A4" s="36"/>
      <c r="B4" s="36"/>
      <c r="C4" s="99" t="s">
        <v>371</v>
      </c>
      <c r="D4" s="104" t="s">
        <v>372</v>
      </c>
      <c r="E4" s="22"/>
      <c r="F4" s="31"/>
      <c r="Q4" s="30"/>
      <c r="R4" s="36"/>
      <c r="S4" s="31"/>
      <c r="AE4" s="29"/>
      <c r="AF4" s="36"/>
      <c r="AG4" s="37"/>
      <c r="AM4" s="79"/>
      <c r="AN4" s="80"/>
    </row>
    <row r="5" spans="1:40" ht="17.25" x14ac:dyDescent="0.15">
      <c r="A5" s="20"/>
      <c r="B5" s="20"/>
      <c r="C5" s="97" t="s">
        <v>382</v>
      </c>
      <c r="D5" s="95">
        <f ca="1">TODAY()-360</f>
        <v>45114</v>
      </c>
      <c r="E5" s="22"/>
      <c r="F5" s="26"/>
      <c r="G5" s="26"/>
      <c r="H5" s="26"/>
      <c r="I5" s="26"/>
      <c r="J5" s="26"/>
      <c r="K5" s="26"/>
      <c r="L5" s="26"/>
      <c r="M5" s="26"/>
      <c r="N5" s="26"/>
      <c r="O5" s="32"/>
      <c r="P5" s="26"/>
      <c r="Q5" s="26"/>
      <c r="R5" s="20"/>
      <c r="S5" s="26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0"/>
      <c r="AG5" s="21"/>
    </row>
    <row r="6" spans="1:40" s="76" customFormat="1" ht="17.25" x14ac:dyDescent="0.3">
      <c r="A6" s="22"/>
      <c r="B6" s="22"/>
      <c r="C6" s="98" t="s">
        <v>383</v>
      </c>
      <c r="D6" s="95">
        <f ca="1">TODAY()</f>
        <v>45474</v>
      </c>
      <c r="E6" s="22"/>
      <c r="F6" s="25"/>
      <c r="G6" s="35"/>
      <c r="H6" s="33"/>
      <c r="I6" s="33"/>
      <c r="J6" s="33"/>
      <c r="K6" s="33"/>
      <c r="L6" s="33"/>
      <c r="M6" s="33"/>
      <c r="N6" s="33"/>
      <c r="O6" s="33"/>
      <c r="P6" s="34"/>
      <c r="Q6" s="25"/>
      <c r="R6" s="24"/>
      <c r="S6" s="39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2"/>
      <c r="AG6" s="22"/>
      <c r="AM6" s="81"/>
      <c r="AN6" s="82"/>
    </row>
    <row r="7" spans="1:40" s="76" customFormat="1" ht="17.25" x14ac:dyDescent="0.15">
      <c r="A7" s="22"/>
      <c r="B7" s="22"/>
      <c r="C7" s="97" t="s">
        <v>384</v>
      </c>
      <c r="D7" s="96" t="s">
        <v>373</v>
      </c>
      <c r="E7" s="22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4"/>
      <c r="S7" s="39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2"/>
      <c r="AG7" s="22"/>
      <c r="AM7" s="81"/>
      <c r="AN7" s="82"/>
    </row>
    <row r="8" spans="1:40" s="76" customFormat="1" x14ac:dyDescent="0.15">
      <c r="A8" s="22"/>
      <c r="B8" s="22"/>
      <c r="C8" s="22"/>
      <c r="D8" s="22"/>
      <c r="E8" s="22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4"/>
      <c r="S8" s="39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2"/>
      <c r="AG8" s="22"/>
      <c r="AM8" s="81"/>
      <c r="AN8" s="82"/>
    </row>
    <row r="9" spans="1:40" s="76" customFormat="1" x14ac:dyDescent="0.15">
      <c r="A9" s="22"/>
      <c r="B9" s="22"/>
      <c r="C9" s="22"/>
      <c r="D9" s="22"/>
      <c r="E9" s="22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4"/>
      <c r="S9" s="39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2"/>
      <c r="AG9" s="22"/>
      <c r="AM9" s="81"/>
      <c r="AN9" s="82"/>
    </row>
    <row r="10" spans="1:40" s="76" customFormat="1" ht="15.95" customHeight="1" x14ac:dyDescent="0.15">
      <c r="A10" s="22"/>
      <c r="B10" s="22"/>
      <c r="C10" s="22"/>
      <c r="D10" s="22"/>
      <c r="E10" s="22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4"/>
      <c r="S10" s="39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2"/>
      <c r="AG10" s="22"/>
      <c r="AM10" s="81"/>
      <c r="AN10" s="82"/>
    </row>
    <row r="11" spans="1:40" s="76" customFormat="1" ht="15.95" customHeight="1" x14ac:dyDescent="0.15">
      <c r="A11" s="22"/>
      <c r="B11" s="22"/>
      <c r="C11" s="22"/>
      <c r="D11" s="22"/>
      <c r="E11" s="22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4"/>
      <c r="S11" s="39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2"/>
      <c r="AG11" s="22"/>
      <c r="AM11" s="81"/>
      <c r="AN11" s="82"/>
    </row>
    <row r="12" spans="1:40" s="76" customFormat="1" ht="15.95" customHeight="1" x14ac:dyDescent="0.15">
      <c r="A12" s="22"/>
      <c r="B12" s="22"/>
      <c r="C12" s="22"/>
      <c r="D12" s="22"/>
      <c r="E12" s="22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4"/>
      <c r="S12" s="39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2"/>
      <c r="AG12" s="22"/>
      <c r="AM12" s="81"/>
      <c r="AN12" s="82"/>
    </row>
    <row r="13" spans="1:40" s="76" customFormat="1" ht="15.95" customHeight="1" x14ac:dyDescent="0.15">
      <c r="A13" s="22"/>
      <c r="B13" s="22"/>
      <c r="C13" s="22"/>
      <c r="D13" s="22"/>
      <c r="E13" s="22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4"/>
      <c r="S13" s="39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2"/>
      <c r="AG13" s="22"/>
      <c r="AM13" s="81"/>
      <c r="AN13" s="82"/>
    </row>
    <row r="14" spans="1:40" s="76" customFormat="1" ht="15.95" customHeight="1" x14ac:dyDescent="0.15">
      <c r="A14" s="22"/>
      <c r="B14" s="22"/>
      <c r="C14" s="22"/>
      <c r="D14" s="22"/>
      <c r="E14" s="22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4"/>
      <c r="S14" s="39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2"/>
      <c r="AG14" s="22"/>
      <c r="AM14" s="81"/>
      <c r="AN14" s="82"/>
    </row>
    <row r="15" spans="1:40" s="76" customFormat="1" ht="15.95" customHeight="1" x14ac:dyDescent="0.15">
      <c r="A15" s="22"/>
      <c r="B15" s="22"/>
      <c r="C15" s="22"/>
      <c r="D15" s="22"/>
      <c r="E15" s="22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4"/>
      <c r="S15" s="39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2"/>
      <c r="AG15" s="23"/>
      <c r="AM15" s="81"/>
      <c r="AN15" s="82"/>
    </row>
    <row r="16" spans="1:40" s="76" customFormat="1" ht="15.95" customHeight="1" x14ac:dyDescent="0.15">
      <c r="A16" s="22"/>
      <c r="B16" s="22"/>
      <c r="C16" s="22"/>
      <c r="D16" s="22"/>
      <c r="E16" s="22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4"/>
      <c r="S16" s="39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2"/>
      <c r="AG16" s="23"/>
      <c r="AM16" s="81"/>
      <c r="AN16" s="82"/>
    </row>
    <row r="17" spans="1:53" s="76" customFormat="1" ht="15.95" customHeight="1" x14ac:dyDescent="0.15">
      <c r="A17" s="22"/>
      <c r="B17" s="22"/>
      <c r="C17" s="22"/>
      <c r="D17" s="22"/>
      <c r="E17" s="22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4"/>
      <c r="S17" s="39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2"/>
      <c r="AG17" s="23"/>
      <c r="AM17" s="81"/>
      <c r="AN17" s="82"/>
    </row>
    <row r="18" spans="1:53" s="76" customFormat="1" ht="15.95" customHeight="1" x14ac:dyDescent="0.15">
      <c r="A18" s="22"/>
      <c r="B18" s="22"/>
      <c r="C18" s="22"/>
      <c r="D18" s="22"/>
      <c r="E18" s="22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4"/>
      <c r="S18" s="39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2"/>
      <c r="AG18" s="23"/>
      <c r="AM18" s="81"/>
      <c r="AN18" s="82"/>
    </row>
    <row r="19" spans="1:53" s="76" customFormat="1" ht="15.95" customHeight="1" x14ac:dyDescent="0.15">
      <c r="A19" s="22"/>
      <c r="B19" s="22"/>
      <c r="C19" s="22"/>
      <c r="D19" s="22"/>
      <c r="E19" s="22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4"/>
      <c r="S19" s="39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2"/>
      <c r="AG19" s="23"/>
      <c r="AM19" s="81"/>
      <c r="AN19" s="82"/>
    </row>
    <row r="20" spans="1:53" s="76" customFormat="1" ht="10.5" customHeight="1" x14ac:dyDescent="0.15">
      <c r="A20" s="22"/>
      <c r="B20" s="22"/>
      <c r="C20" s="22"/>
      <c r="D20" s="22"/>
      <c r="E20" s="22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4"/>
      <c r="S20" s="39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2"/>
      <c r="AG20" s="23"/>
      <c r="AM20" s="81"/>
      <c r="AN20" s="82"/>
    </row>
    <row r="21" spans="1:53" s="76" customFormat="1" ht="10.5" customHeight="1" x14ac:dyDescent="0.15">
      <c r="A21" s="22"/>
      <c r="B21" s="22"/>
      <c r="C21" s="22"/>
      <c r="D21" s="22"/>
      <c r="E21" s="22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4"/>
      <c r="S21" s="39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2"/>
      <c r="AG21" s="23"/>
      <c r="AM21" s="81"/>
      <c r="AN21" s="82"/>
    </row>
    <row r="22" spans="1:53" s="76" customFormat="1" ht="10.5" customHeight="1" x14ac:dyDescent="0.15">
      <c r="A22" s="22"/>
      <c r="B22" s="22"/>
      <c r="C22" s="22"/>
      <c r="D22" s="22"/>
      <c r="E22" s="22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4"/>
      <c r="S22" s="39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2"/>
      <c r="AG22" s="23"/>
      <c r="AM22" s="81"/>
      <c r="AN22" s="82"/>
    </row>
    <row r="23" spans="1:53" s="76" customFormat="1" ht="10.5" customHeight="1" x14ac:dyDescent="0.15">
      <c r="A23" s="22"/>
      <c r="B23" s="22"/>
      <c r="C23" s="22"/>
      <c r="D23" s="22"/>
      <c r="E23" s="22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4"/>
      <c r="S23" s="39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2"/>
      <c r="AG23" s="23"/>
      <c r="AM23" s="81"/>
      <c r="AN23" s="82"/>
    </row>
    <row r="24" spans="1:53" s="76" customFormat="1" ht="10.5" customHeight="1" x14ac:dyDescent="0.15">
      <c r="A24" s="22"/>
      <c r="B24" s="22"/>
      <c r="C24" s="22"/>
      <c r="D24" s="22"/>
      <c r="E24" s="22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4"/>
      <c r="S24" s="39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2"/>
      <c r="AG24" s="23"/>
      <c r="AM24" s="81"/>
      <c r="AN24" s="82"/>
    </row>
    <row r="25" spans="1:53" s="76" customFormat="1" ht="10.5" customHeight="1" x14ac:dyDescent="0.15">
      <c r="A25" s="22"/>
      <c r="B25" s="22"/>
      <c r="C25" s="22"/>
      <c r="D25" s="22"/>
      <c r="E25" s="22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4"/>
      <c r="S25" s="39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2"/>
      <c r="AG25" s="23"/>
      <c r="AM25" s="81"/>
      <c r="AN25" s="82"/>
    </row>
    <row r="26" spans="1:53" s="76" customFormat="1" ht="10.5" customHeight="1" x14ac:dyDescent="0.15">
      <c r="A26" s="22"/>
      <c r="B26" s="22"/>
      <c r="C26" s="22"/>
      <c r="D26" s="22"/>
      <c r="E26" s="22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4"/>
      <c r="S26" s="39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2"/>
      <c r="AG26" s="23"/>
      <c r="AM26" s="81"/>
      <c r="AN26" s="82"/>
    </row>
    <row r="27" spans="1:53" s="76" customFormat="1" ht="10.5" customHeight="1" x14ac:dyDescent="0.15">
      <c r="A27" s="22"/>
      <c r="B27" s="22"/>
      <c r="C27" s="22"/>
      <c r="D27" s="22"/>
      <c r="E27" s="22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4"/>
      <c r="S27" s="39"/>
      <c r="T27" s="25"/>
      <c r="U27" s="25"/>
      <c r="V27" s="39"/>
      <c r="W27" s="25"/>
      <c r="X27" s="25"/>
      <c r="Y27" s="25"/>
      <c r="Z27" s="25"/>
      <c r="AA27" s="25"/>
      <c r="AB27" s="25"/>
      <c r="AC27" s="25"/>
      <c r="AD27" s="25"/>
      <c r="AE27" s="25"/>
      <c r="AF27" s="22"/>
      <c r="AG27" s="23"/>
      <c r="AM27" s="81"/>
      <c r="AN27" s="82"/>
    </row>
    <row r="28" spans="1:53" s="76" customFormat="1" ht="10.5" customHeight="1" x14ac:dyDescent="0.15">
      <c r="A28" s="22"/>
      <c r="B28" s="22"/>
      <c r="C28" s="22"/>
      <c r="D28" s="22"/>
      <c r="E28" s="22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2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2"/>
      <c r="AG28" s="24"/>
      <c r="AJ28" s="83"/>
      <c r="AZ28" s="81"/>
      <c r="BA28" s="82"/>
    </row>
    <row r="29" spans="1:53" s="76" customFormat="1" x14ac:dyDescent="0.1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M29" s="81"/>
      <c r="AN29" s="82"/>
    </row>
    <row r="30" spans="1:53" s="76" customFormat="1" ht="8.1" customHeight="1" x14ac:dyDescent="0.1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M30" s="81"/>
      <c r="AN30" s="82"/>
    </row>
    <row r="31" spans="1:53" s="76" customFormat="1" ht="21.95" customHeight="1" x14ac:dyDescent="0.15">
      <c r="A31" s="22"/>
      <c r="B31" s="22"/>
      <c r="C31" s="51" t="s">
        <v>374</v>
      </c>
      <c r="D31" s="22"/>
      <c r="E31" s="22"/>
      <c r="F31" s="25"/>
      <c r="G31" s="108" t="str">
        <f ca="1">report!$J$5</f>
        <v>胡志明指数阶段收益率</v>
      </c>
      <c r="H31" s="27"/>
      <c r="I31" s="27"/>
      <c r="J31" s="27"/>
      <c r="K31" s="27"/>
      <c r="L31" s="27"/>
      <c r="M31" s="27"/>
      <c r="N31" s="27"/>
      <c r="O31" s="27"/>
      <c r="P31" s="25"/>
      <c r="Q31" s="25"/>
      <c r="R31" s="22"/>
      <c r="S31" s="25"/>
      <c r="T31" s="108" t="s">
        <v>322</v>
      </c>
      <c r="U31" s="27"/>
      <c r="V31" s="27"/>
      <c r="W31" s="27"/>
      <c r="X31" s="27"/>
      <c r="Y31" s="27"/>
      <c r="Z31" s="27"/>
      <c r="AA31" s="27"/>
      <c r="AB31" s="27"/>
      <c r="AC31" s="28"/>
      <c r="AD31" s="30"/>
      <c r="AE31" s="30"/>
      <c r="AF31" s="22"/>
      <c r="AG31" s="22"/>
      <c r="AM31" s="81"/>
      <c r="AN31" s="82"/>
    </row>
    <row r="32" spans="1:53" s="76" customFormat="1" ht="8.1" customHeight="1" x14ac:dyDescent="0.15">
      <c r="A32" s="22"/>
      <c r="B32" s="22"/>
      <c r="C32" s="38"/>
      <c r="D32" s="22"/>
      <c r="E32" s="22"/>
      <c r="F32" s="25"/>
      <c r="G32" s="29"/>
      <c r="H32" s="30"/>
      <c r="I32" s="30"/>
      <c r="J32" s="30"/>
      <c r="K32" s="30"/>
      <c r="L32" s="30"/>
      <c r="M32" s="30"/>
      <c r="N32" s="30"/>
      <c r="O32" s="30"/>
      <c r="P32" s="25"/>
      <c r="Q32" s="25"/>
      <c r="R32" s="22"/>
      <c r="S32" s="25"/>
      <c r="T32" s="29"/>
      <c r="U32" s="30"/>
      <c r="V32" s="30"/>
      <c r="W32" s="30"/>
      <c r="X32" s="30"/>
      <c r="Y32" s="30"/>
      <c r="Z32" s="30"/>
      <c r="AA32" s="30"/>
      <c r="AB32" s="30"/>
      <c r="AC32" s="29"/>
      <c r="AD32" s="30"/>
      <c r="AE32" s="30"/>
      <c r="AF32" s="22"/>
      <c r="AG32" s="22"/>
      <c r="AM32" s="81"/>
      <c r="AN32" s="82"/>
    </row>
    <row r="33" spans="1:40" s="76" customFormat="1" ht="22.5" customHeight="1" x14ac:dyDescent="0.15">
      <c r="A33" s="22"/>
      <c r="B33" s="22"/>
      <c r="C33" s="22"/>
      <c r="D33" s="22"/>
      <c r="E33" s="22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2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2"/>
      <c r="AG33" s="22"/>
      <c r="AM33" s="81"/>
      <c r="AN33" s="82"/>
    </row>
    <row r="34" spans="1:40" s="76" customFormat="1" ht="22.5" customHeight="1" x14ac:dyDescent="0.15">
      <c r="A34" s="22"/>
      <c r="B34" s="22"/>
      <c r="C34" s="22"/>
      <c r="D34" s="22"/>
      <c r="E34" s="22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2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2"/>
      <c r="AG34" s="22"/>
      <c r="AM34" s="81"/>
      <c r="AN34" s="82"/>
    </row>
    <row r="35" spans="1:40" s="76" customFormat="1" ht="22.5" customHeight="1" x14ac:dyDescent="0.15">
      <c r="A35" s="22"/>
      <c r="B35" s="22"/>
      <c r="C35" s="22"/>
      <c r="D35" s="22"/>
      <c r="E35" s="22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2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2"/>
      <c r="AG35" s="22"/>
      <c r="AM35" s="81"/>
      <c r="AN35" s="82"/>
    </row>
    <row r="36" spans="1:40" s="76" customFormat="1" ht="22.5" customHeight="1" x14ac:dyDescent="0.15">
      <c r="A36" s="22"/>
      <c r="B36" s="22"/>
      <c r="C36" s="22"/>
      <c r="D36" s="22"/>
      <c r="E36" s="22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2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2"/>
      <c r="AG36" s="22"/>
      <c r="AM36" s="81"/>
      <c r="AN36" s="82"/>
    </row>
    <row r="37" spans="1:40" s="76" customFormat="1" ht="22.5" customHeight="1" x14ac:dyDescent="0.15">
      <c r="A37" s="22"/>
      <c r="B37" s="22"/>
      <c r="C37" s="22"/>
      <c r="D37" s="22"/>
      <c r="E37" s="22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2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2"/>
      <c r="AG37" s="22"/>
      <c r="AM37" s="81"/>
      <c r="AN37" s="82"/>
    </row>
    <row r="38" spans="1:40" s="76" customFormat="1" ht="22.5" customHeight="1" x14ac:dyDescent="0.15">
      <c r="A38" s="22"/>
      <c r="B38" s="22"/>
      <c r="C38" s="22"/>
      <c r="D38" s="22"/>
      <c r="E38" s="22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2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2"/>
      <c r="AG38" s="22"/>
      <c r="AM38" s="81"/>
      <c r="AN38" s="82"/>
    </row>
    <row r="39" spans="1:40" s="76" customFormat="1" ht="8.1" customHeight="1" x14ac:dyDescent="0.15">
      <c r="A39" s="22"/>
      <c r="B39" s="22"/>
      <c r="C39" s="22"/>
      <c r="D39" s="22"/>
      <c r="E39" s="22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2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2"/>
      <c r="AG39" s="22"/>
      <c r="AM39" s="81"/>
      <c r="AN39" s="82"/>
    </row>
    <row r="40" spans="1:40" s="76" customFormat="1" ht="22.5" customHeight="1" x14ac:dyDescent="0.15">
      <c r="A40" s="22"/>
      <c r="B40" s="22"/>
      <c r="C40" s="22"/>
      <c r="D40" s="22"/>
      <c r="E40" s="22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2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2"/>
      <c r="AG40" s="22"/>
      <c r="AM40" s="81"/>
      <c r="AN40" s="82"/>
    </row>
    <row r="41" spans="1:40" s="76" customFormat="1" ht="22.5" customHeight="1" x14ac:dyDescent="0.15">
      <c r="A41" s="22"/>
      <c r="B41" s="22"/>
      <c r="C41" s="22"/>
      <c r="D41" s="22"/>
      <c r="E41" s="22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2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2"/>
      <c r="AG41" s="22"/>
      <c r="AM41" s="81"/>
      <c r="AN41" s="82"/>
    </row>
    <row r="42" spans="1:40" s="76" customFormat="1" ht="22.5" customHeight="1" x14ac:dyDescent="0.15">
      <c r="A42" s="22"/>
      <c r="B42" s="22"/>
      <c r="C42" s="22"/>
      <c r="D42" s="22"/>
      <c r="E42" s="22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2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2"/>
      <c r="AG42" s="22"/>
      <c r="AM42" s="81"/>
      <c r="AN42" s="82"/>
    </row>
    <row r="43" spans="1:40" s="76" customFormat="1" ht="22.5" customHeight="1" x14ac:dyDescent="0.15">
      <c r="A43" s="22"/>
      <c r="B43" s="22"/>
      <c r="C43" s="22"/>
      <c r="D43" s="22"/>
      <c r="E43" s="22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2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2"/>
      <c r="AG43" s="22"/>
      <c r="AM43" s="81"/>
      <c r="AN43" s="82"/>
    </row>
    <row r="44" spans="1:40" s="76" customFormat="1" ht="22.5" customHeight="1" x14ac:dyDescent="0.15">
      <c r="A44" s="22"/>
      <c r="B44" s="22"/>
      <c r="C44" s="22"/>
      <c r="D44" s="22"/>
      <c r="E44" s="22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2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2"/>
      <c r="AG44" s="23"/>
      <c r="AM44" s="81"/>
      <c r="AN44" s="82"/>
    </row>
    <row r="45" spans="1:40" s="76" customFormat="1" ht="22.5" customHeight="1" x14ac:dyDescent="0.15">
      <c r="A45" s="22"/>
      <c r="B45" s="22"/>
      <c r="C45" s="22"/>
      <c r="D45" s="22"/>
      <c r="E45" s="22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2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2"/>
      <c r="AG45" s="23"/>
      <c r="AM45" s="81"/>
      <c r="AN45" s="82"/>
    </row>
    <row r="46" spans="1:40" s="76" customFormat="1" ht="22.5" customHeight="1" x14ac:dyDescent="0.15">
      <c r="A46" s="22"/>
      <c r="B46" s="22"/>
      <c r="C46" s="22"/>
      <c r="D46" s="22"/>
      <c r="E46" s="22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2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2"/>
      <c r="AG46" s="22"/>
      <c r="AM46" s="81"/>
      <c r="AN46" s="82"/>
    </row>
    <row r="47" spans="1:40" s="76" customFormat="1" ht="8.1" customHeight="1" x14ac:dyDescent="0.1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3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M47" s="81"/>
      <c r="AN47" s="82"/>
    </row>
    <row r="48" spans="1:40" s="76" customFormat="1" ht="8.1" customHeight="1" x14ac:dyDescent="0.1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40"/>
      <c r="T48" s="25"/>
      <c r="U48" s="25"/>
      <c r="V48" s="25"/>
      <c r="W48" s="25"/>
      <c r="X48" s="25"/>
      <c r="Y48" s="25"/>
      <c r="Z48" s="25"/>
      <c r="AA48" s="40"/>
      <c r="AB48" s="22"/>
      <c r="AC48" s="22"/>
      <c r="AD48" s="22"/>
      <c r="AE48" s="22"/>
      <c r="AF48" s="22"/>
      <c r="AG48" s="22"/>
      <c r="AM48" s="81"/>
      <c r="AN48" s="82"/>
    </row>
    <row r="49" spans="1:40" s="76" customFormat="1" ht="22.5" customHeight="1" x14ac:dyDescent="0.1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30"/>
      <c r="T49" s="28" t="s">
        <v>375</v>
      </c>
      <c r="U49" s="27"/>
      <c r="V49" s="27"/>
      <c r="W49" s="27"/>
      <c r="X49" s="27"/>
      <c r="Y49" s="27"/>
      <c r="Z49" s="27"/>
      <c r="AA49" s="40"/>
      <c r="AB49" s="22"/>
      <c r="AC49" s="22"/>
      <c r="AD49" s="22"/>
      <c r="AE49" s="22"/>
      <c r="AF49" s="22"/>
      <c r="AG49" s="22"/>
      <c r="AM49" s="81"/>
      <c r="AN49" s="82"/>
    </row>
    <row r="50" spans="1:40" s="76" customFormat="1" ht="8.1" customHeight="1" x14ac:dyDescent="0.1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41"/>
      <c r="T50" s="26"/>
      <c r="U50" s="26"/>
      <c r="V50" s="26"/>
      <c r="W50" s="26"/>
      <c r="X50" s="26"/>
      <c r="Y50" s="26"/>
      <c r="Z50" s="26"/>
      <c r="AA50" s="40"/>
      <c r="AB50" s="22"/>
      <c r="AC50" s="22"/>
      <c r="AD50" s="22"/>
      <c r="AE50" s="22"/>
      <c r="AF50" s="22"/>
      <c r="AG50" s="22"/>
      <c r="AM50" s="81"/>
      <c r="AN50" s="82"/>
    </row>
    <row r="51" spans="1:40" s="76" customFormat="1" ht="22.5" customHeight="1" x14ac:dyDescent="0.1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40"/>
      <c r="T51" s="85" t="s">
        <v>322</v>
      </c>
      <c r="U51" s="85"/>
      <c r="V51" s="85"/>
      <c r="W51" s="85"/>
      <c r="X51" s="85"/>
      <c r="Y51" s="85"/>
      <c r="Z51" s="85" t="s">
        <v>328</v>
      </c>
      <c r="AA51" s="86" t="s">
        <v>331</v>
      </c>
      <c r="AB51" s="22"/>
      <c r="AC51" s="22"/>
      <c r="AD51" s="22"/>
      <c r="AE51" s="22"/>
      <c r="AF51" s="22"/>
      <c r="AG51" s="22"/>
      <c r="AM51" s="81"/>
      <c r="AN51" s="82"/>
    </row>
    <row r="52" spans="1:40" s="76" customFormat="1" ht="22.5" customHeight="1" x14ac:dyDescent="0.1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40">
        <f ca="1">RANK(W52,$W$52:$W$56,1)</f>
        <v>4</v>
      </c>
      <c r="T52" s="43" t="s">
        <v>326</v>
      </c>
      <c r="U52" s="44">
        <f ca="1">report!K6</f>
        <v>1245.32</v>
      </c>
      <c r="V52" s="44"/>
      <c r="W52" s="87">
        <f ca="1">RANK(U52,$U$52:$U$56,1)+ROW()*0.00001</f>
        <v>4.0005199999999999</v>
      </c>
      <c r="X52" s="89">
        <v>1</v>
      </c>
      <c r="Y52" s="45">
        <f ca="1">IF(ISERROR(VLOOKUP(X52,$S$52:$U$56,3,FALSE)),NA(),VLOOKUP(X52,$S$52:$U$56,3,FALSE))</f>
        <v>1055.45</v>
      </c>
      <c r="Z52" s="46">
        <f t="array" aca="1" ref="Z52:Z56" ca="1">FREQUENCY(indexclose,$Y$52:$Y$56)/report!$M$5</f>
        <v>2.0408163265306121E-2</v>
      </c>
      <c r="AA52" s="40" t="e">
        <f ca="1">IF($U$55=Y52,1,NA())</f>
        <v>#N/A</v>
      </c>
      <c r="AB52" s="22"/>
      <c r="AC52" s="22"/>
      <c r="AD52" s="22"/>
      <c r="AE52" s="22"/>
      <c r="AF52" s="22" t="e">
        <f ca="1">IF($U$55=Z52,1,NA())</f>
        <v>#N/A</v>
      </c>
      <c r="AG52" s="22"/>
      <c r="AM52" s="81"/>
      <c r="AN52" s="82"/>
    </row>
    <row r="53" spans="1:40" s="76" customFormat="1" ht="22.5" customHeight="1" x14ac:dyDescent="0.1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40">
        <f ca="1">RANK(W53,$W$52:$W$56,1)</f>
        <v>5</v>
      </c>
      <c r="T53" s="47" t="s">
        <v>323</v>
      </c>
      <c r="U53" s="48">
        <f ca="1">MAX(indexclose)</f>
        <v>1287.58</v>
      </c>
      <c r="V53" s="48"/>
      <c r="W53" s="88">
        <f ca="1">RANK(U53,$U$52:$U$56,1)+ROW()*0.00001</f>
        <v>5.0005300000000004</v>
      </c>
      <c r="X53" s="90">
        <v>2</v>
      </c>
      <c r="Y53" s="48">
        <f ca="1">IF(ISERROR(VLOOKUP(X53,$S$52:$U$56,3,FALSE)),NA(),VLOOKUP(X53,$S$52:$U$56,3,FALSE))</f>
        <v>1193.8765306122446</v>
      </c>
      <c r="Z53" s="49">
        <f ca="1"/>
        <v>0.42857142857142855</v>
      </c>
      <c r="AA53" s="40">
        <f ca="1">IF($U$55=Y53,1,NA())</f>
        <v>1</v>
      </c>
      <c r="AB53" s="22"/>
      <c r="AC53" s="22"/>
      <c r="AD53" s="22"/>
      <c r="AE53" s="22"/>
      <c r="AF53" s="22" t="e">
        <f ca="1">IF($U$55=Z53,1,NA())</f>
        <v>#N/A</v>
      </c>
      <c r="AG53" s="22"/>
      <c r="AM53" s="81"/>
      <c r="AN53" s="82"/>
    </row>
    <row r="54" spans="1:40" s="76" customFormat="1" ht="22.5" customHeight="1" x14ac:dyDescent="0.1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40">
        <f ca="1">RANK(W54,$W$52:$W$56,1)</f>
        <v>3</v>
      </c>
      <c r="T54" s="43" t="s">
        <v>324</v>
      </c>
      <c r="U54" s="45">
        <f ca="1">MEDIAN(indexclose)</f>
        <v>1209.52</v>
      </c>
      <c r="V54" s="45"/>
      <c r="W54" s="87">
        <f ca="1">RANK(U54,$U$52:$U$56,1)+ROW()*0.00001</f>
        <v>3.00054</v>
      </c>
      <c r="X54" s="89">
        <v>3</v>
      </c>
      <c r="Y54" s="45">
        <f ca="1">IF(ISERROR(VLOOKUP(X54,$S$52:$U$56,3,FALSE)),NA(),VLOOKUP(X54,$S$52:$U$56,3,FALSE))</f>
        <v>1209.52</v>
      </c>
      <c r="Z54" s="46">
        <f ca="1"/>
        <v>6.1224489795918366E-2</v>
      </c>
      <c r="AA54" s="40" t="e">
        <f ca="1">IF($U$55=Y54,1,NA())</f>
        <v>#N/A</v>
      </c>
      <c r="AB54" s="22"/>
      <c r="AC54" s="22"/>
      <c r="AD54" s="22"/>
      <c r="AE54" s="22"/>
      <c r="AF54" s="22" t="e">
        <f ca="1">IF($U$55=Z54,1,NA())</f>
        <v>#N/A</v>
      </c>
      <c r="AG54" s="22"/>
      <c r="AM54" s="81"/>
      <c r="AN54" s="82"/>
    </row>
    <row r="55" spans="1:40" s="76" customFormat="1" ht="22.5" customHeight="1" x14ac:dyDescent="0.1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40">
        <f ca="1">RANK(W55,$W$52:$W$56,1)</f>
        <v>2</v>
      </c>
      <c r="T55" s="47" t="s">
        <v>327</v>
      </c>
      <c r="U55" s="48">
        <f ca="1">AVERAGE(indexclose)</f>
        <v>1193.8765306122446</v>
      </c>
      <c r="V55" s="48"/>
      <c r="W55" s="88">
        <f ca="1">RANK(U55,$U$52:$U$56,1)+ROW()*0.00001</f>
        <v>2.0005500000000001</v>
      </c>
      <c r="X55" s="90">
        <v>4</v>
      </c>
      <c r="Y55" s="48">
        <f ca="1">IF(ISERROR(VLOOKUP(X55,$S$52:$U$56,3,FALSE)),NA(),VLOOKUP(X55,$S$52:$U$56,3,FALSE))</f>
        <v>1245.32</v>
      </c>
      <c r="Z55" s="49">
        <f ca="1"/>
        <v>0.2857142857142857</v>
      </c>
      <c r="AA55" s="40" t="e">
        <f ca="1">IF($U$55=Y55,1,NA())</f>
        <v>#N/A</v>
      </c>
      <c r="AB55" s="22"/>
      <c r="AC55" s="22"/>
      <c r="AD55" s="22"/>
      <c r="AE55" s="22"/>
      <c r="AF55" s="22" t="e">
        <f ca="1">IF($U$55=Z55,1,NA())</f>
        <v>#N/A</v>
      </c>
      <c r="AG55" s="22"/>
      <c r="AM55" s="81"/>
      <c r="AN55" s="82"/>
    </row>
    <row r="56" spans="1:40" s="76" customFormat="1" ht="22.5" customHeight="1" x14ac:dyDescent="0.1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40">
        <f ca="1">RANK(W56,$W$52:$W$56,1)</f>
        <v>1</v>
      </c>
      <c r="T56" s="43" t="s">
        <v>325</v>
      </c>
      <c r="U56" s="45">
        <f ca="1">MIN(indexclose)</f>
        <v>1055.45</v>
      </c>
      <c r="V56" s="45"/>
      <c r="W56" s="87">
        <f ca="1">RANK(U56,$U$52:$U$56,1)+ROW()*0.00001</f>
        <v>1.0005599999999999</v>
      </c>
      <c r="X56" s="89">
        <v>5</v>
      </c>
      <c r="Y56" s="45">
        <f ca="1">IF(ISERROR(VLOOKUP(X56,$S$52:$U$56,3,FALSE)),NA(),VLOOKUP(X56,$S$52:$U$56,3,FALSE))</f>
        <v>1287.58</v>
      </c>
      <c r="Z56" s="46">
        <f ca="1"/>
        <v>0.20408163265306123</v>
      </c>
      <c r="AA56" s="40" t="e">
        <f ca="1">IF($U$55=Y56,1,NA())</f>
        <v>#N/A</v>
      </c>
      <c r="AB56" s="22"/>
      <c r="AC56" s="22"/>
      <c r="AD56" s="22"/>
      <c r="AE56" s="22"/>
      <c r="AF56" s="22" t="e">
        <f ca="1">IF($U$55=Z56,1,NA())</f>
        <v>#N/A</v>
      </c>
      <c r="AG56" s="22"/>
      <c r="AM56" s="81"/>
      <c r="AN56" s="82"/>
    </row>
    <row r="57" spans="1:40" s="76" customFormat="1" ht="22.5" customHeight="1" x14ac:dyDescent="0.1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50"/>
      <c r="X57" s="42"/>
      <c r="Y57" s="42"/>
      <c r="Z57" s="42"/>
      <c r="AA57" s="42"/>
      <c r="AB57" s="42"/>
      <c r="AC57" s="22"/>
      <c r="AD57" s="22"/>
      <c r="AE57" s="22"/>
      <c r="AF57" s="22"/>
      <c r="AG57" s="22"/>
      <c r="AM57" s="81"/>
      <c r="AN57" s="82"/>
    </row>
    <row r="58" spans="1:40" s="76" customFormat="1" ht="22.5" customHeight="1" x14ac:dyDescent="0.1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M58" s="81"/>
      <c r="AN58" s="82"/>
    </row>
    <row r="59" spans="1:40" s="76" customFormat="1" ht="22.5" customHeight="1" x14ac:dyDescent="0.1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M59" s="81"/>
      <c r="AN59" s="82"/>
    </row>
    <row r="60" spans="1:40" s="76" customFormat="1" ht="22.5" customHeight="1" x14ac:dyDescent="0.1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M60" s="81"/>
      <c r="AN60" s="82"/>
    </row>
    <row r="61" spans="1:40" s="76" customFormat="1" ht="22.5" customHeight="1" x14ac:dyDescent="0.1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M61" s="81"/>
      <c r="AN61" s="82"/>
    </row>
    <row r="62" spans="1:40" s="76" customFormat="1" ht="22.5" customHeight="1" x14ac:dyDescent="0.1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M62" s="81"/>
      <c r="AN62" s="82"/>
    </row>
    <row r="63" spans="1:40" s="76" customFormat="1" ht="22.5" customHeight="1" x14ac:dyDescent="0.1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M63" s="81"/>
      <c r="AN63" s="82"/>
    </row>
    <row r="64" spans="1:40" ht="9" customHeight="1" x14ac:dyDescent="0.1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1"/>
    </row>
  </sheetData>
  <dataConsolidate/>
  <mergeCells count="1">
    <mergeCell ref="E1:X1"/>
  </mergeCells>
  <phoneticPr fontId="1" type="noConversion"/>
  <dataValidations count="3">
    <dataValidation type="list" allowBlank="1" showInputMessage="1" showErrorMessage="1" sqref="D7">
      <formula1>"日,周,月"</formula1>
    </dataValidation>
    <dataValidation type="list" allowBlank="1" showInputMessage="1" showErrorMessage="1" sqref="C4">
      <formula1>"区域,主要市场,行业,风格/概念,规模"</formula1>
    </dataValidation>
    <dataValidation type="list" allowBlank="1" showInputMessage="1" showErrorMessage="1" sqref="D4">
      <formula1>IF(C4="区域",world,IF(C4="主要市场",mkt,IF(C4="行业",industry,IF(C4="风格/概念",type,size))))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96" r:id="rId4" name="List Box 48">
              <controlPr locked="0" defaultSize="0" autoLine="0" autoPict="0">
                <anchor moveWithCells="1">
                  <from>
                    <xdr:col>2</xdr:col>
                    <xdr:colOff>9525</xdr:colOff>
                    <xdr:row>31</xdr:row>
                    <xdr:rowOff>9525</xdr:rowOff>
                  </from>
                  <to>
                    <xdr:col>4</xdr:col>
                    <xdr:colOff>66675</xdr:colOff>
                    <xdr:row>45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4:Z268"/>
  <sheetViews>
    <sheetView topLeftCell="A2" workbookViewId="0">
      <pane xSplit="3" ySplit="3" topLeftCell="D5" activePane="bottomRight" state="frozen"/>
      <selection activeCell="A2" sqref="A2"/>
      <selection pane="topRight" activeCell="D2" sqref="D2"/>
      <selection pane="bottomLeft" activeCell="A5" sqref="A5"/>
      <selection pane="bottomRight" activeCell="A54" sqref="A54"/>
    </sheetView>
  </sheetViews>
  <sheetFormatPr defaultRowHeight="9.75" x14ac:dyDescent="0.15"/>
  <cols>
    <col min="1" max="1" width="5.125" style="1" customWidth="1"/>
    <col min="2" max="3" width="4" style="1" bestFit="1" customWidth="1"/>
    <col min="4" max="4" width="16.375" style="1" customWidth="1"/>
    <col min="5" max="5" width="9.375" style="1" customWidth="1"/>
    <col min="6" max="6" width="17.875" style="1" customWidth="1"/>
    <col min="7" max="7" width="10.875" style="1" customWidth="1"/>
    <col min="8" max="8" width="23.875" style="1" customWidth="1"/>
    <col min="9" max="9" width="15.25" style="19" customWidth="1"/>
    <col min="10" max="10" width="16.125" style="7" customWidth="1"/>
    <col min="11" max="11" width="9.625" style="9" bestFit="1" customWidth="1"/>
    <col min="12" max="12" width="12" style="8" customWidth="1"/>
    <col min="13" max="13" width="13.125" style="8" customWidth="1"/>
    <col min="14" max="14" width="5.625" style="8" customWidth="1"/>
    <col min="15" max="15" width="3.625" style="1" customWidth="1"/>
    <col min="16" max="16" width="5.25" style="107" customWidth="1"/>
    <col min="17" max="17" width="15.875" style="1" bestFit="1" customWidth="1"/>
    <col min="18" max="18" width="29.875" style="1" customWidth="1"/>
    <col min="19" max="19" width="10.375" style="18" bestFit="1" customWidth="1"/>
    <col min="20" max="21" width="14.625" style="1" customWidth="1"/>
    <col min="22" max="22" width="6.375" style="1" customWidth="1"/>
    <col min="23" max="23" width="11.5" style="1" customWidth="1"/>
    <col min="24" max="24" width="7.875" style="8" bestFit="1" customWidth="1"/>
    <col min="25" max="37" width="6.25" style="1" customWidth="1"/>
    <col min="38" max="16384" width="9" style="1"/>
  </cols>
  <sheetData>
    <row r="4" spans="2:26" s="67" customFormat="1" ht="16.5" x14ac:dyDescent="0.15">
      <c r="B4" s="70" t="str">
        <f>指数分析!C4</f>
        <v>区域</v>
      </c>
      <c r="C4" s="70"/>
      <c r="D4" s="70"/>
      <c r="E4" s="72"/>
      <c r="F4" s="70"/>
      <c r="G4" s="70"/>
      <c r="H4" s="70"/>
      <c r="I4" s="70"/>
      <c r="J4" s="71"/>
      <c r="K4" s="71"/>
      <c r="L4" s="71"/>
      <c r="M4" s="71"/>
      <c r="P4" s="70" t="s">
        <v>555</v>
      </c>
      <c r="Q4" s="70"/>
      <c r="R4" s="70"/>
      <c r="S4" s="72"/>
      <c r="T4" s="70"/>
      <c r="U4" s="70"/>
      <c r="V4" s="70"/>
      <c r="W4" s="70"/>
      <c r="X4" s="71" t="s">
        <v>368</v>
      </c>
    </row>
    <row r="5" spans="2:26" s="67" customFormat="1" ht="16.5" x14ac:dyDescent="0.15">
      <c r="B5" s="60" t="s">
        <v>320</v>
      </c>
      <c r="C5" s="60" t="s">
        <v>2</v>
      </c>
      <c r="D5" s="61" t="s">
        <v>5</v>
      </c>
      <c r="E5" s="61" t="s">
        <v>319</v>
      </c>
      <c r="F5" s="61" t="str">
        <f>指数分析!$D$4&amp;"指数一览"</f>
        <v>全球指数一览</v>
      </c>
      <c r="G5" s="61" t="s">
        <v>321</v>
      </c>
      <c r="H5" s="61">
        <v>24</v>
      </c>
      <c r="I5" s="62" t="s">
        <v>370</v>
      </c>
      <c r="J5" s="63" t="str">
        <f ca="1">[1]!f_info_name(K5)&amp;"阶段收益率"</f>
        <v>胡志明指数阶段收益率</v>
      </c>
      <c r="K5" s="64" t="str">
        <f ca="1">LEFT(OFFSET(H5,H5,0,1,1),FIND(".",OFFSET(H5,H5,0,1,1),1)+2)</f>
        <v>VNINDEX.GI</v>
      </c>
      <c r="L5" s="65" t="s">
        <v>554</v>
      </c>
      <c r="M5" s="66">
        <f ca="1">COUNTIF(J:J,"&gt;1")</f>
        <v>49</v>
      </c>
      <c r="N5" s="66"/>
      <c r="P5" s="60">
        <v>1</v>
      </c>
      <c r="Q5" s="60" t="str">
        <f ca="1">VLOOKUP(P5,topfield,3,FALSE)</f>
        <v>MERV.GI</v>
      </c>
      <c r="R5" s="53" t="str">
        <f t="shared" ref="R5:R44" ca="1" si="0">Q5&amp;VLOOKUP(P5,topfield,4,FALSE)&amp;TEXT(S5,"0.0%")</f>
        <v>MERV.GI阿根廷MERV285.9%</v>
      </c>
      <c r="S5" s="68">
        <f ca="1">VLOOKUP(P5,topfield,7,FALSE)</f>
        <v>2.8589394927810692</v>
      </c>
      <c r="T5" s="61"/>
      <c r="U5" s="64"/>
      <c r="V5" s="64"/>
      <c r="W5" s="64"/>
      <c r="X5" s="69">
        <f ca="1">IF(R5="","",[1]!s_risk_stdevy(LEFT(R5,FIND(".",R5)+2),指数分析!$D$5,指数分析!$D$6,2,1))</f>
        <v>70.674809678677406</v>
      </c>
    </row>
    <row r="6" spans="2:26" s="53" customFormat="1" ht="12.75" x14ac:dyDescent="0.15">
      <c r="B6" s="52">
        <f ca="1">IF(E6="","",IF(COUNTIF(E$6:E6,E6)=1,RANK(E6,E:E,0),RANK(E6,E:E,0)+COUNTIF(E$6:E6,E6)-1))</f>
        <v>44</v>
      </c>
      <c r="C6" s="52">
        <f t="shared" ref="C6:C69" si="1">IF(ROW()-ROW($C$5)&gt;worldnums,"",ROW()-ROW($C$5))</f>
        <v>1</v>
      </c>
      <c r="D6" s="53" t="str">
        <f ca="1">IF(C6="","",VLOOKUP(C6,worldfield,2,FALSE)&amp;VLOOKUP(C6,worldfield,3,FALSE))</f>
        <v>000001.SH上证指数</v>
      </c>
      <c r="E6" s="54">
        <f ca="1">IF(C6="","",[1]!f_pq_pctchange(VLOOKUP(C6,worldfield,2,FALSE),指数分析!$D$5,指数分析!$D$6)/100)</f>
        <v>-7.429931131228007E-2</v>
      </c>
      <c r="F6" s="54" t="str">
        <f ca="1">IF(C6="","",VLOOKUP(C6,B:E,3,FALSE))</f>
        <v>MERV.GI阿根廷MERV</v>
      </c>
      <c r="G6" s="54">
        <f ca="1">IF(C6="","",VLOOKUP(C6,B:E,4,FALSE))</f>
        <v>2.8589394927810692</v>
      </c>
      <c r="H6" s="54" t="str">
        <f ca="1">IF(C6="","",F6&amp;":"&amp;TEXT(G6,"0.0%"))</f>
        <v>MERV.GI阿根廷MERV:285.9%</v>
      </c>
      <c r="I6" s="55">
        <f ca="1">IF(H6="","",[1]!s_risk_stdevy(LEFT(H6,FIND(".",H6)+2),指数分析!$D$5,指数分析!$D$6,2,1))</f>
        <v>70.674809678677406</v>
      </c>
      <c r="J6" s="56">
        <f ca="1">--指数分析!$D$6</f>
        <v>45474</v>
      </c>
      <c r="K6" s="57">
        <f ca="1">IF(J6="","",[1]!f_dq_close($K$5,J6))</f>
        <v>1245.32</v>
      </c>
      <c r="L6" s="54">
        <f ca="1">IF(J6="","",[1]!f_pq_pctchange($K$5,J6,J6)/100)</f>
        <v>0</v>
      </c>
      <c r="M6" s="54">
        <f ca="1">IF(J6="","",[1]!f_pq_pctchange($K$5,指数分析!$D$5,J6)/100)</f>
        <v>0.1057519845145707</v>
      </c>
      <c r="N6" s="54"/>
      <c r="P6" s="52">
        <v>2</v>
      </c>
      <c r="Q6" s="52" t="str">
        <f t="shared" ref="Q6:Q43" ca="1" si="2">VLOOKUP(P6,topfield,3,FALSE)</f>
        <v>IBVC.GI</v>
      </c>
      <c r="R6" s="53" t="str">
        <f t="shared" ca="1" si="0"/>
        <v>IBVC.GI委内瑞拉IBC128.8%</v>
      </c>
      <c r="S6" s="58">
        <f t="shared" ref="S6:S24" ca="1" si="3">VLOOKUP(P6,topfield,7,FALSE)</f>
        <v>1.2884980401177528</v>
      </c>
      <c r="T6" s="56"/>
      <c r="U6" s="57"/>
      <c r="V6" s="57"/>
      <c r="W6" s="57"/>
      <c r="X6" s="55">
        <f ca="1">IF(R6="","",[1]!s_risk_stdevy(LEFT(R6,FIND(".",R6)+2),指数分析!$D$5,指数分析!$D$6,2,1))</f>
        <v>34.11655175194403</v>
      </c>
      <c r="Y6" s="59"/>
      <c r="Z6" s="59"/>
    </row>
    <row r="7" spans="2:26" s="53" customFormat="1" ht="12.75" x14ac:dyDescent="0.15">
      <c r="B7" s="52">
        <f ca="1">IF(E7="","",IF(COUNTIF(E$6:E7,E7)=1,RANK(E7,E:E,0),RANK(E7,E:E,0)+COUNTIF(E$6:E7,E7)-1))</f>
        <v>47</v>
      </c>
      <c r="C7" s="52">
        <f t="shared" si="1"/>
        <v>2</v>
      </c>
      <c r="D7" s="53" t="str">
        <f t="shared" ref="D7:D69" ca="1" si="4">IF(C7="","",VLOOKUP(C7,worldfield,2,FALSE)&amp;VLOOKUP(C7,worldfield,3,FALSE))</f>
        <v>399001.SZ深证成指</v>
      </c>
      <c r="E7" s="54">
        <f ca="1">IF(C7="","",[1]!f_pq_pctchange(VLOOKUP(C7,worldfield,2,FALSE),指数分析!$D$5,指数分析!$D$6)/100)</f>
        <v>-0.19325301370904746</v>
      </c>
      <c r="F7" s="54" t="str">
        <f t="shared" ref="F7:F70" ca="1" si="5">IF(C7="","",VLOOKUP(C7,B:E,3,FALSE))</f>
        <v>IBVC.GI委内瑞拉IBC</v>
      </c>
      <c r="G7" s="54">
        <f t="shared" ref="G7:G70" ca="1" si="6">IF(C7="","",VLOOKUP(C7,B:E,4,FALSE))</f>
        <v>1.2884980401177528</v>
      </c>
      <c r="H7" s="54" t="str">
        <f t="shared" ref="H7:H70" ca="1" si="7">IF(C7="","",F7&amp;":"&amp;TEXT(G7,"0.0%"))</f>
        <v>IBVC.GI委内瑞拉IBC:128.8%</v>
      </c>
      <c r="I7" s="55">
        <f ca="1">IF(H7="","",[1]!s_risk_stdevy(LEFT(H7,FIND(".",H7)+2),指数分析!$D$5,指数分析!$D$6,2,1))</f>
        <v>34.11655175194403</v>
      </c>
      <c r="J7" s="56">
        <f ca="1">IF(J6="","",IF([1]!td(J6-IF(指数分析!$D$7="日",1,IF(指数分析!$D$7="周",7,30)))-指数分析!$D$5&gt;=0,--[1]!td(J6-IF(指数分析!$D$7="日",1,IF(指数分析!$D$7="周",7,30))),""))</f>
        <v>45467</v>
      </c>
      <c r="K7" s="57">
        <f ca="1">IF(J7="","",[1]!f_dq_close($K$5,J7))</f>
        <v>1254.1199999999999</v>
      </c>
      <c r="L7" s="54">
        <f ca="1">IF(J7="","",[1]!f_pq_pctchange($K$5,J7,J7)/100)</f>
        <v>-2.1762531005756647E-2</v>
      </c>
      <c r="M7" s="54">
        <f ca="1">IF(J7="","",[1]!f_pq_pctchange($K$5,指数分析!$D$5,J7)/100)</f>
        <v>0.11356573316048359</v>
      </c>
      <c r="N7" s="54"/>
      <c r="P7" s="52">
        <v>3</v>
      </c>
      <c r="Q7" s="52" t="str">
        <f t="shared" ca="1" si="2"/>
        <v>TWSE078.TW</v>
      </c>
      <c r="R7" s="53" t="str">
        <f t="shared" ca="1" si="0"/>
        <v>TWSE078.TW台湾其他电子指数76.5%</v>
      </c>
      <c r="S7" s="58">
        <f t="shared" ca="1" si="3"/>
        <v>0.76466108149276479</v>
      </c>
      <c r="T7" s="56"/>
      <c r="U7" s="57"/>
      <c r="V7" s="57"/>
      <c r="W7" s="57"/>
      <c r="X7" s="55">
        <f ca="1">IF(R7="","",[1]!s_risk_stdevy(LEFT(R7,FIND(".",R7)+2),指数分析!$D$5,指数分析!$D$6,2,1))</f>
        <v>26.13472474251455</v>
      </c>
      <c r="Y7" s="59"/>
      <c r="Z7" s="59"/>
    </row>
    <row r="8" spans="2:26" s="53" customFormat="1" ht="12.75" x14ac:dyDescent="0.15">
      <c r="B8" s="52">
        <f ca="1">IF(E8="","",IF(COUNTIF(E$6:E8,E8)=1,RANK(E8,E:E,0),RANK(E8,E:E,0)+COUNTIF(E$6:E8,E8)-1))</f>
        <v>43</v>
      </c>
      <c r="C8" s="52">
        <f t="shared" si="1"/>
        <v>3</v>
      </c>
      <c r="D8" s="53" t="str">
        <f t="shared" ca="1" si="4"/>
        <v>HSI.HI恒生指数</v>
      </c>
      <c r="E8" s="54">
        <f ca="1">IF(C8="","",[1]!f_pq_pctchange(VLOOKUP(C8,worldfield,2,FALSE),指数分析!$D$5,指数分析!$D$6)/100)</f>
        <v>-4.3945276141811436E-2</v>
      </c>
      <c r="F8" s="54" t="str">
        <f t="shared" ca="1" si="5"/>
        <v>KAX.GI丹麦OMX20</v>
      </c>
      <c r="G8" s="54">
        <f t="shared" ca="1" si="6"/>
        <v>0.43910266345394322</v>
      </c>
      <c r="H8" s="54" t="str">
        <f t="shared" ca="1" si="7"/>
        <v>KAX.GI丹麦OMX20:43.9%</v>
      </c>
      <c r="I8" s="55">
        <f ca="1">IF(H8="","",[1]!s_risk_stdevy(LEFT(H8,FIND(".",H8)+2),指数分析!$D$5,指数分析!$D$6,2,1))</f>
        <v>18.287824894868905</v>
      </c>
      <c r="J8" s="56">
        <f ca="1">IF(J7="","",IF([1]!td(J7-IF(指数分析!$D$7="日",1,IF(指数分析!$D$7="周",7,30)))-指数分析!$D$5&gt;=0,--[1]!td(J7-IF(指数分析!$D$7="日",1,IF(指数分析!$D$7="周",7,30))),""))</f>
        <v>45460</v>
      </c>
      <c r="K8" s="57">
        <f ca="1">IF(J8="","",[1]!f_dq_close($K$5,J8))</f>
        <v>1274.77</v>
      </c>
      <c r="L8" s="54">
        <f ca="1">IF(J8="","",[1]!f_pq_pctchange($K$5,J8,J8)/100)</f>
        <v>-4.0159073684868929E-3</v>
      </c>
      <c r="M8" s="54">
        <f ca="1">IF(J8="","",[1]!f_pq_pctchange($K$5,指数分析!$D$5,J8)/100)</f>
        <v>0.13190140469890421</v>
      </c>
      <c r="N8" s="54"/>
      <c r="P8" s="52">
        <v>4</v>
      </c>
      <c r="Q8" s="52" t="str">
        <f t="shared" ca="1" si="2"/>
        <v>TWSE071.TW</v>
      </c>
      <c r="R8" s="53" t="str">
        <f t="shared" ca="1" si="0"/>
        <v>TWSE071.TW台湾半导体指数63.5%</v>
      </c>
      <c r="S8" s="58">
        <f t="shared" ca="1" si="3"/>
        <v>0.63512832081530823</v>
      </c>
      <c r="T8" s="56"/>
      <c r="U8" s="57"/>
      <c r="V8" s="57"/>
      <c r="W8" s="57"/>
      <c r="X8" s="55">
        <f ca="1">IF(R8="","",[1]!s_risk_stdevy(LEFT(R8,FIND(".",R8)+2),指数分析!$D$5,指数分析!$D$6,2,1))</f>
        <v>24.748102375995636</v>
      </c>
      <c r="Y8" s="59"/>
      <c r="Z8" s="59"/>
    </row>
    <row r="9" spans="2:26" s="53" customFormat="1" ht="12.75" x14ac:dyDescent="0.15">
      <c r="B9" s="52">
        <f ca="1">IF(E9="","",IF(COUNTIF(E$6:E9,E9)=1,RANK(E9,E:E,0),RANK(E9,E:E,0)+COUNTIF(E$6:E9,E9)-1))</f>
        <v>5</v>
      </c>
      <c r="C9" s="52">
        <f t="shared" si="1"/>
        <v>4</v>
      </c>
      <c r="D9" s="53" t="str">
        <f t="shared" ca="1" si="4"/>
        <v>TWII.TW台湾加权指数</v>
      </c>
      <c r="E9" s="54">
        <f ca="1">IF(C9="","",[1]!f_pq_pctchange(VLOOKUP(C9,worldfield,2,FALSE),指数分析!$D$5,指数分析!$D$6)/100)</f>
        <v>0.37406135363142146</v>
      </c>
      <c r="F9" s="54" t="str">
        <f t="shared" ca="1" si="5"/>
        <v>8884057.WITAMAMA科技指数</v>
      </c>
      <c r="G9" s="54">
        <f t="shared" ca="1" si="6"/>
        <v>0.42971902709468623</v>
      </c>
      <c r="H9" s="54" t="str">
        <f t="shared" ca="1" si="7"/>
        <v>8884057.WITAMAMA科技指数:43.0%</v>
      </c>
      <c r="I9" s="55">
        <f ca="1">IF(H9="","",[1]!s_risk_stdevy(LEFT(H9,FIND(".",H9)+2),指数分析!$D$5,指数分析!$D$6,2,1))</f>
        <v>20.061170387241724</v>
      </c>
      <c r="J9" s="56">
        <f ca="1">IF(J8="","",IF([1]!td(J8-IF(指数分析!$D$7="日",1,IF(指数分析!$D$7="周",7,30)))-指数分析!$D$5&gt;=0,--[1]!td(J8-IF(指数分析!$D$7="日",1,IF(指数分析!$D$7="周",7,30))),""))</f>
        <v>45450</v>
      </c>
      <c r="K9" s="57">
        <f ca="1">IF(J9="","",[1]!f_dq_close($K$5,J9))</f>
        <v>1287.58</v>
      </c>
      <c r="L9" s="54">
        <f ca="1">IF(J9="","",[1]!f_pq_pctchange($K$5,J9,J9)/100)</f>
        <v>3.1319143631773905E-3</v>
      </c>
      <c r="M9" s="54">
        <f ca="1">IF(J9="","",[1]!f_pq_pctchange($K$5,指数分析!$D$5,J9)/100)</f>
        <v>0.14327573653460246</v>
      </c>
      <c r="N9" s="54"/>
      <c r="P9" s="52">
        <v>5</v>
      </c>
      <c r="Q9" s="52" t="str">
        <f t="shared" ca="1" si="2"/>
        <v>TWSE006.TW</v>
      </c>
      <c r="R9" s="53" t="str">
        <f t="shared" ca="1" si="0"/>
        <v>TWSE006.TW台湾建材营造指数56.2%</v>
      </c>
      <c r="S9" s="58">
        <f t="shared" ca="1" si="3"/>
        <v>0.5621135761417364</v>
      </c>
      <c r="T9" s="56"/>
      <c r="U9" s="57"/>
      <c r="V9" s="57"/>
      <c r="W9" s="57"/>
      <c r="X9" s="55">
        <f ca="1">IF(R9="","",[1]!s_risk_stdevy(LEFT(R9,FIND(".",R9)+2),指数分析!$D$5,指数分析!$D$6,2,1))</f>
        <v>19.30159266868867</v>
      </c>
      <c r="Y9" s="59"/>
      <c r="Z9" s="59"/>
    </row>
    <row r="10" spans="2:26" s="53" customFormat="1" ht="12.75" x14ac:dyDescent="0.15">
      <c r="B10" s="52">
        <f ca="1">IF(E10="","",IF(COUNTIF(E$6:E10,E10)=1,RANK(E10,E:E,0),RANK(E10,E:E,0)+COUNTIF(E$6:E10,E10)-1))</f>
        <v>46</v>
      </c>
      <c r="C10" s="52">
        <f t="shared" si="1"/>
        <v>5</v>
      </c>
      <c r="D10" s="53" t="str">
        <f t="shared" ca="1" si="4"/>
        <v>899050.BJ北证50</v>
      </c>
      <c r="E10" s="54">
        <f ca="1">IF(C10="","",[1]!f_pq_pctchange(VLOOKUP(C10,worldfield,2,FALSE),指数分析!$D$5,指数分析!$D$6)/100)</f>
        <v>-0.19312020576787384</v>
      </c>
      <c r="F10" s="54" t="str">
        <f t="shared" ca="1" si="5"/>
        <v>TWII.TW台湾加权指数</v>
      </c>
      <c r="G10" s="54">
        <f t="shared" ca="1" si="6"/>
        <v>0.37406135363142146</v>
      </c>
      <c r="H10" s="54" t="str">
        <f t="shared" ca="1" si="7"/>
        <v>TWII.TW台湾加权指数:37.4%</v>
      </c>
      <c r="I10" s="55">
        <f ca="1">IF(H10="","",[1]!s_risk_stdevy(LEFT(H10,FIND(".",H10)+2),指数分析!$D$5,指数分析!$D$6,2,1))</f>
        <v>14.527950750650861</v>
      </c>
      <c r="J10" s="56">
        <f ca="1">IF(J9="","",IF([1]!td(J9-IF(指数分析!$D$7="日",1,IF(指数分析!$D$7="周",7,30)))-指数分析!$D$5&gt;=0,--[1]!td(J9-IF(指数分析!$D$7="日",1,IF(指数分析!$D$7="周",7,30))),""))</f>
        <v>45443</v>
      </c>
      <c r="K10" s="57">
        <f ca="1">IF(J10="","",[1]!f_dq_close($K$5,J10))</f>
        <v>1261.72</v>
      </c>
      <c r="L10" s="54">
        <f ca="1">IF(J10="","",[1]!f_pq_pctchange($K$5,J10,J10)/100)</f>
        <v>-3.6325731252763171E-3</v>
      </c>
      <c r="M10" s="54">
        <f ca="1">IF(J10="","",[1]!f_pq_pctchange($K$5,指数分析!$D$5,J10)/100)</f>
        <v>0.12031397062740856</v>
      </c>
      <c r="N10" s="54"/>
      <c r="P10" s="52">
        <v>6</v>
      </c>
      <c r="Q10" s="52" t="str">
        <f t="shared" ca="1" si="2"/>
        <v>TWSE020.TW</v>
      </c>
      <c r="R10" s="53" t="str">
        <f t="shared" ca="1" si="0"/>
        <v>TWSE020.TW台湾电子指数53.0%</v>
      </c>
      <c r="S10" s="58">
        <f t="shared" ca="1" si="3"/>
        <v>0.52989337864125474</v>
      </c>
      <c r="T10" s="56"/>
      <c r="U10" s="57"/>
      <c r="V10" s="57"/>
      <c r="W10" s="57"/>
      <c r="X10" s="55">
        <f ca="1">IF(R10="","",[1]!s_risk_stdevy(LEFT(R10,FIND(".",R10)+2),指数分析!$D$5,指数分析!$D$6,2,1))</f>
        <v>19.239692726330922</v>
      </c>
      <c r="Y10" s="59"/>
      <c r="Z10" s="59"/>
    </row>
    <row r="11" spans="2:26" s="53" customFormat="1" ht="12.75" x14ac:dyDescent="0.15">
      <c r="B11" s="52">
        <f ca="1">IF(E11="","",IF(COUNTIF(E$6:E11,E11)=1,RANK(E11,E:E,0),RANK(E11,E:E,0)+COUNTIF(E$6:E11,E11)-1))</f>
        <v>4</v>
      </c>
      <c r="C11" s="52">
        <f t="shared" si="1"/>
        <v>6</v>
      </c>
      <c r="D11" s="53" t="str">
        <f t="shared" ca="1" si="4"/>
        <v>8884057.WITAMAMA科技指数</v>
      </c>
      <c r="E11" s="54">
        <f ca="1">IF(C11="","",[1]!f_pq_pctchange(VLOOKUP(C11,worldfield,2,FALSE),指数分析!$D$5,指数分析!$D$6)/100)</f>
        <v>0.42971902709468623</v>
      </c>
      <c r="F11" s="54" t="str">
        <f t="shared" ca="1" si="5"/>
        <v>IXIC.GI纳斯达克指数</v>
      </c>
      <c r="G11" s="54">
        <f t="shared" ca="1" si="6"/>
        <v>0.29633366084169621</v>
      </c>
      <c r="H11" s="54" t="str">
        <f t="shared" ca="1" si="7"/>
        <v>IXIC.GI纳斯达克指数:29.6%</v>
      </c>
      <c r="I11" s="55">
        <f ca="1">IF(H11="","",[1]!s_risk_stdevy(LEFT(H11,FIND(".",H11)+2),指数分析!$D$5,指数分析!$D$6,2,1))</f>
        <v>16.539600455979357</v>
      </c>
      <c r="J11" s="56">
        <f ca="1">IF(J10="","",IF([1]!td(J10-IF(指数分析!$D$7="日",1,IF(指数分析!$D$7="周",7,30)))-指数分析!$D$5&gt;=0,--[1]!td(J10-IF(指数分析!$D$7="日",1,IF(指数分析!$D$7="周",7,30))),""))</f>
        <v>45436</v>
      </c>
      <c r="K11" s="57">
        <f ca="1">IF(J11="","",[1]!f_dq_close($K$5,J11))</f>
        <v>1261.93</v>
      </c>
      <c r="L11" s="54">
        <f ca="1">IF(J11="","",[1]!f_pq_pctchange($K$5,J11,J11)/100)</f>
        <v>-1.490987720818393E-2</v>
      </c>
      <c r="M11" s="54">
        <f ca="1">IF(J11="","",[1]!f_pq_pctchange($K$5,指数分析!$D$5,J11)/100)</f>
        <v>0.12050043508373154</v>
      </c>
      <c r="N11" s="54"/>
      <c r="P11" s="52">
        <v>7</v>
      </c>
      <c r="Q11" s="52" t="str">
        <f t="shared" ca="1" si="2"/>
        <v>TWSE005.TW</v>
      </c>
      <c r="R11" s="53" t="str">
        <f t="shared" ca="1" si="0"/>
        <v>TWSE005.TW台湾机电指数52.3%</v>
      </c>
      <c r="S11" s="58">
        <f t="shared" ca="1" si="3"/>
        <v>0.52263642055579629</v>
      </c>
      <c r="T11" s="56"/>
      <c r="U11" s="57"/>
      <c r="V11" s="57"/>
      <c r="W11" s="57"/>
      <c r="X11" s="55">
        <f ca="1">IF(R11="","",[1]!s_risk_stdevy(LEFT(R11,FIND(".",R11)+2),指数分析!$D$5,指数分析!$D$6,2,1))</f>
        <v>18.692233984902714</v>
      </c>
      <c r="Y11" s="59"/>
      <c r="Z11" s="59"/>
    </row>
    <row r="12" spans="2:26" s="53" customFormat="1" ht="12.75" x14ac:dyDescent="0.15">
      <c r="B12" s="52">
        <f ca="1">IF(E12="","",IF(COUNTIF(E$6:E12,E12)=1,RANK(E12,E:E,0),RANK(E12,E:E,0)+COUNTIF(E$6:E12,E12)-1))</f>
        <v>19</v>
      </c>
      <c r="C12" s="52">
        <f t="shared" si="1"/>
        <v>7</v>
      </c>
      <c r="D12" s="53" t="str">
        <f t="shared" ca="1" si="4"/>
        <v>DJI.GI道琼斯工业指数</v>
      </c>
      <c r="E12" s="54">
        <f ca="1">IF(C12="","",[1]!f_pq_pctchange(VLOOKUP(C12,worldfield,2,FALSE),指数分析!$D$5,指数分析!$D$6)/100)</f>
        <v>0.1531914442021256</v>
      </c>
      <c r="F12" s="54" t="str">
        <f t="shared" ca="1" si="5"/>
        <v>SPX.GI标普500</v>
      </c>
      <c r="G12" s="54">
        <f t="shared" ca="1" si="6"/>
        <v>0.23775781520948214</v>
      </c>
      <c r="H12" s="54" t="str">
        <f t="shared" ca="1" si="7"/>
        <v>SPX.GI标普500:23.8%</v>
      </c>
      <c r="I12" s="55">
        <f ca="1">IF(H12="","",[1]!s_risk_stdevy(LEFT(H12,FIND(".",H12)+2),指数分析!$D$5,指数分析!$D$6,2,1))</f>
        <v>12.027852408220287</v>
      </c>
      <c r="J12" s="56">
        <f ca="1">IF(J11="","",IF([1]!td(J11-IF(指数分析!$D$7="日",1,IF(指数分析!$D$7="周",7,30)))-指数分析!$D$5&gt;=0,--[1]!td(J11-IF(指数分析!$D$7="日",1,IF(指数分析!$D$7="周",7,30))),""))</f>
        <v>45429</v>
      </c>
      <c r="K12" s="57">
        <f ca="1">IF(J12="","",[1]!f_dq_close($K$5,J12))</f>
        <v>1273.1099999999999</v>
      </c>
      <c r="L12" s="54">
        <f ca="1">IF(J12="","",[1]!f_pq_pctchange($K$5,J12,J12)/100)</f>
        <v>3.4127271867463449E-3</v>
      </c>
      <c r="M12" s="54">
        <f ca="1">IF(J12="","",[1]!f_pq_pctchange($K$5,指数分析!$D$5,J12)/100)</f>
        <v>0.13042744756797053</v>
      </c>
      <c r="N12" s="54"/>
      <c r="P12" s="52">
        <v>8</v>
      </c>
      <c r="Q12" s="52" t="str">
        <f t="shared" ca="1" si="2"/>
        <v>TWSE076.TW</v>
      </c>
      <c r="R12" s="53" t="str">
        <f t="shared" ca="1" si="0"/>
        <v>TWSE076.TW台湾电子通路指数49.7%</v>
      </c>
      <c r="S12" s="58">
        <f t="shared" ca="1" si="3"/>
        <v>0.49726365489859425</v>
      </c>
      <c r="T12" s="56"/>
      <c r="U12" s="57"/>
      <c r="V12" s="57"/>
      <c r="W12" s="57"/>
      <c r="X12" s="55">
        <f ca="1">IF(R12="","",[1]!s_risk_stdevy(LEFT(R12,FIND(".",R12)+2),指数分析!$D$5,指数分析!$D$6,2,1))</f>
        <v>16.302919888631262</v>
      </c>
      <c r="Y12" s="59"/>
      <c r="Z12" s="59"/>
    </row>
    <row r="13" spans="2:26" s="53" customFormat="1" ht="12.75" x14ac:dyDescent="0.15">
      <c r="B13" s="52">
        <f ca="1">IF(E13="","",IF(COUNTIF(E$6:E13,E13)=1,RANK(E13,E:E,0),RANK(E13,E:E,0)+COUNTIF(E$6:E13,E13)-1))</f>
        <v>25</v>
      </c>
      <c r="C13" s="52">
        <f t="shared" si="1"/>
        <v>8</v>
      </c>
      <c r="D13" s="53" t="str">
        <f t="shared" ca="1" si="4"/>
        <v>GSPTSE.GI加拿大S&amp;P/TSX综合</v>
      </c>
      <c r="E13" s="54">
        <f ca="1">IF(C13="","",[1]!f_pq_pctchange(VLOOKUP(C13,worldfield,2,FALSE),指数分析!$D$5,指数分析!$D$6)/100)</f>
        <v>0.10424169980954744</v>
      </c>
      <c r="F13" s="54" t="str">
        <f t="shared" ca="1" si="5"/>
        <v>AEX.GI荷兰AEX</v>
      </c>
      <c r="G13" s="54">
        <f t="shared" ca="1" si="6"/>
        <v>0.22633870496721276</v>
      </c>
      <c r="H13" s="54" t="str">
        <f t="shared" ca="1" si="7"/>
        <v>AEX.GI荷兰AEX:22.6%</v>
      </c>
      <c r="I13" s="55">
        <f ca="1">IF(H13="","",[1]!s_risk_stdevy(LEFT(H13,FIND(".",H13)+2),指数分析!$D$5,指数分析!$D$6,2,1))</f>
        <v>12.373331267441536</v>
      </c>
      <c r="J13" s="56">
        <f ca="1">IF(J12="","",IF([1]!td(J12-IF(指数分析!$D$7="日",1,IF(指数分析!$D$7="周",7,30)))-指数分析!$D$5&gt;=0,--[1]!td(J12-IF(指数分析!$D$7="日",1,IF(指数分析!$D$7="周",7,30))),""))</f>
        <v>45422</v>
      </c>
      <c r="K13" s="57">
        <f ca="1">IF(J13="","",[1]!f_dq_close($K$5,J13))</f>
        <v>1244.7</v>
      </c>
      <c r="L13" s="54">
        <f ca="1">IF(J13="","",[1]!f_pq_pctchange($K$5,J13,J13)/100)</f>
        <v>-3.1554331112250145E-3</v>
      </c>
      <c r="M13" s="54">
        <f ca="1">IF(J13="","",[1]!f_pq_pctchange($K$5,指数分析!$D$5,J13)/100)</f>
        <v>0.10520147040542692</v>
      </c>
      <c r="N13" s="54"/>
      <c r="P13" s="52">
        <v>9</v>
      </c>
      <c r="Q13" s="52" t="str">
        <f t="shared" ca="1" si="2"/>
        <v>KAX.GI</v>
      </c>
      <c r="R13" s="53" t="str">
        <f t="shared" ca="1" si="0"/>
        <v>KAX.GI丹麦OMX2043.9%</v>
      </c>
      <c r="S13" s="58">
        <f t="shared" ca="1" si="3"/>
        <v>0.43910266345394322</v>
      </c>
      <c r="T13" s="56"/>
      <c r="U13" s="57"/>
      <c r="V13" s="57"/>
      <c r="W13" s="57"/>
      <c r="X13" s="55">
        <f ca="1">IF(R13="","",[1]!s_risk_stdevy(LEFT(R13,FIND(".",R13)+2),指数分析!$D$5,指数分析!$D$6,2,1))</f>
        <v>18.287824894868905</v>
      </c>
      <c r="Y13" s="59"/>
      <c r="Z13" s="59"/>
    </row>
    <row r="14" spans="2:26" s="53" customFormat="1" ht="12.75" x14ac:dyDescent="0.15">
      <c r="B14" s="52">
        <f ca="1">IF(E14="","",IF(COUNTIF(E$6:E14,E14)=1,RANK(E14,E:E,0),RANK(E14,E:E,0)+COUNTIF(E$6:E14,E14)-1))</f>
        <v>34</v>
      </c>
      <c r="C14" s="52">
        <f t="shared" si="1"/>
        <v>9</v>
      </c>
      <c r="D14" s="53" t="str">
        <f t="shared" ca="1" si="4"/>
        <v>IBOVESPA.GI巴西IBOVESPA指数</v>
      </c>
      <c r="E14" s="54">
        <f ca="1">IF(C14="","",[1]!f_pq_pctchange(VLOOKUP(C14,worldfield,2,FALSE),指数分析!$D$5,指数分析!$D$6)/100)</f>
        <v>5.5191069757301925E-2</v>
      </c>
      <c r="F14" s="54" t="str">
        <f t="shared" ca="1" si="5"/>
        <v>OSEAX.GI挪威OSEAX</v>
      </c>
      <c r="G14" s="54">
        <f t="shared" ca="1" si="6"/>
        <v>0.21027240316546969</v>
      </c>
      <c r="H14" s="54" t="str">
        <f t="shared" ca="1" si="7"/>
        <v>OSEAX.GI挪威OSEAX:21.0%</v>
      </c>
      <c r="I14" s="55">
        <f ca="1">IF(H14="","",[1]!s_risk_stdevy(LEFT(H14,FIND(".",H14)+2),指数分析!$D$5,指数分析!$D$6,2,1))</f>
        <v>12.05465776005771</v>
      </c>
      <c r="J14" s="56">
        <f ca="1">IF(J13="","",IF([1]!td(J13-IF(指数分析!$D$7="日",1,IF(指数分析!$D$7="周",7,30)))-指数分析!$D$5&gt;=0,--[1]!td(J13-IF(指数分析!$D$7="日",1,IF(指数分析!$D$7="周",7,30))),""))</f>
        <v>45412</v>
      </c>
      <c r="K14" s="57">
        <f ca="1">IF(J14="","",[1]!f_dq_close($K$5,J14))</f>
        <v>1209.52</v>
      </c>
      <c r="L14" s="54">
        <f ca="1">IF(J14="","",[1]!f_pq_pctchange($K$5,J14,J14)/100)</f>
        <v>0</v>
      </c>
      <c r="M14" s="54">
        <f ca="1">IF(J14="","",[1]!f_pq_pctchange($K$5,指数分析!$D$5,J14)/100)</f>
        <v>7.3964234341425295E-2</v>
      </c>
      <c r="N14" s="54"/>
      <c r="P14" s="52">
        <v>10</v>
      </c>
      <c r="Q14" s="52" t="str">
        <f t="shared" ca="1" si="2"/>
        <v>8884057.WI</v>
      </c>
      <c r="R14" s="53" t="str">
        <f t="shared" ca="1" si="0"/>
        <v>8884057.WITAMAMA科技指数43.0%</v>
      </c>
      <c r="S14" s="58">
        <f t="shared" ca="1" si="3"/>
        <v>0.42971902709468623</v>
      </c>
      <c r="T14" s="56"/>
      <c r="U14" s="57"/>
      <c r="V14" s="57"/>
      <c r="W14" s="57"/>
      <c r="X14" s="55">
        <f ca="1">IF(R14="","",[1]!s_risk_stdevy(LEFT(R14,FIND(".",R14)+2),指数分析!$D$5,指数分析!$D$6,2,1))</f>
        <v>20.061170387241724</v>
      </c>
      <c r="Y14" s="59"/>
      <c r="Z14" s="59"/>
    </row>
    <row r="15" spans="2:26" s="53" customFormat="1" ht="12.75" x14ac:dyDescent="0.15">
      <c r="B15" s="52">
        <f ca="1">IF(E15="","",IF(COUNTIF(E$6:E15,E15)=1,RANK(E15,E:E,0),RANK(E15,E:E,0)+COUNTIF(E$6:E15,E15)-1))</f>
        <v>2</v>
      </c>
      <c r="C15" s="52">
        <f t="shared" si="1"/>
        <v>10</v>
      </c>
      <c r="D15" s="53" t="str">
        <f t="shared" ca="1" si="4"/>
        <v>IBVC.GI委内瑞拉IBC</v>
      </c>
      <c r="E15" s="54">
        <f ca="1">IF(C15="","",[1]!f_pq_pctchange(VLOOKUP(C15,worldfield,2,FALSE),指数分析!$D$5,指数分析!$D$6)/100)</f>
        <v>1.2884980401177528</v>
      </c>
      <c r="F15" s="54" t="str">
        <f t="shared" ca="1" si="5"/>
        <v>N225.GI日经225</v>
      </c>
      <c r="G15" s="54">
        <f t="shared" ca="1" si="6"/>
        <v>0.20779470430250258</v>
      </c>
      <c r="H15" s="54" t="str">
        <f t="shared" ca="1" si="7"/>
        <v>N225.GI日经225:20.8%</v>
      </c>
      <c r="I15" s="55">
        <f ca="1">IF(H15="","",[1]!s_risk_stdevy(LEFT(H15,FIND(".",H15)+2),指数分析!$D$5,指数分析!$D$6,2,1))</f>
        <v>17.709586291777704</v>
      </c>
      <c r="J15" s="56">
        <f ca="1">IF(J14="","",IF([1]!td(J14-IF(指数分析!$D$7="日",1,IF(指数分析!$D$7="周",7,30)))-指数分析!$D$5&gt;=0,--[1]!td(J14-IF(指数分析!$D$7="日",1,IF(指数分析!$D$7="周",7,30))),""))</f>
        <v>45405</v>
      </c>
      <c r="K15" s="57">
        <f ca="1">IF(J15="","",[1]!f_dq_close($K$5,J15))</f>
        <v>1177.4000000000001</v>
      </c>
      <c r="L15" s="54">
        <f ca="1">IF(J15="","",[1]!f_pq_pctchange($K$5,J15,J15)/100)</f>
        <v>-1.0771117944581632E-2</v>
      </c>
      <c r="M15" s="54">
        <f ca="1">IF(J15="","",[1]!f_pq_pctchange($K$5,指数分析!$D$5,J15)/100)</f>
        <v>4.5444051783843253E-2</v>
      </c>
      <c r="N15" s="54"/>
      <c r="P15" s="52">
        <v>11</v>
      </c>
      <c r="Q15" s="52" t="str">
        <f t="shared" ca="1" si="2"/>
        <v>TWSE013.TW</v>
      </c>
      <c r="R15" s="53" t="str">
        <f t="shared" ca="1" si="0"/>
        <v>TWSE013.TW台湾电机机械指数40.7%</v>
      </c>
      <c r="S15" s="58">
        <f t="shared" ca="1" si="3"/>
        <v>0.4073048564228603</v>
      </c>
      <c r="T15" s="56"/>
      <c r="U15" s="57"/>
      <c r="V15" s="57"/>
      <c r="W15" s="57"/>
      <c r="X15" s="55">
        <f ca="1">IF(R15="","",[1]!s_risk_stdevy(LEFT(R15,FIND(".",R15)+2),指数分析!$D$5,指数分析!$D$6,2,1))</f>
        <v>23.233936026915071</v>
      </c>
      <c r="Y15" s="59"/>
      <c r="Z15" s="59"/>
    </row>
    <row r="16" spans="2:26" s="53" customFormat="1" ht="12.75" x14ac:dyDescent="0.15">
      <c r="B16" s="52">
        <f ca="1">IF(E16="","",IF(COUNTIF(E$6:E16,E16)=1,RANK(E16,E:E,0),RANK(E16,E:E,0)+COUNTIF(E$6:E16,E16)-1))</f>
        <v>6</v>
      </c>
      <c r="C16" s="52">
        <f t="shared" si="1"/>
        <v>11</v>
      </c>
      <c r="D16" s="53" t="str">
        <f t="shared" ca="1" si="4"/>
        <v>IXIC.GI纳斯达克指数</v>
      </c>
      <c r="E16" s="54">
        <f ca="1">IF(C16="","",[1]!f_pq_pctchange(VLOOKUP(C16,worldfield,2,FALSE),指数分析!$D$5,指数分析!$D$6)/100)</f>
        <v>0.29633366084169621</v>
      </c>
      <c r="F16" s="54" t="str">
        <f t="shared" ca="1" si="5"/>
        <v>PX.GI布拉格综指</v>
      </c>
      <c r="G16" s="54">
        <f t="shared" ca="1" si="6"/>
        <v>0.2021727465725196</v>
      </c>
      <c r="H16" s="54" t="str">
        <f t="shared" ca="1" si="7"/>
        <v>PX.GI布拉格综指:20.2%</v>
      </c>
      <c r="I16" s="55">
        <f ca="1">IF(H16="","",[1]!s_risk_stdevy(LEFT(H16,FIND(".",H16)+2),指数分析!$D$5,指数分析!$D$6,2,1))</f>
        <v>8.7912061000319177</v>
      </c>
      <c r="J16" s="56">
        <f ca="1">IF(J15="","",IF([1]!td(J15-IF(指数分析!$D$7="日",1,IF(指数分析!$D$7="周",7,30)))-指数分析!$D$5&gt;=0,--[1]!td(J15-IF(指数分析!$D$7="日",1,IF(指数分析!$D$7="周",7,30))),""))</f>
        <v>45398</v>
      </c>
      <c r="K16" s="57">
        <f ca="1">IF(J16="","",[1]!f_dq_close($K$5,J16))</f>
        <v>1215.68</v>
      </c>
      <c r="L16" s="54">
        <f ca="1">IF(J16="","",[1]!f_pq_pctchange($K$5,J16,J16)/100)</f>
        <v>-7.644191647281362E-4</v>
      </c>
      <c r="M16" s="54">
        <f ca="1">IF(J16="","",[1]!f_pq_pctchange($K$5,指数分析!$D$5,J16)/100)</f>
        <v>7.9433858393564316E-2</v>
      </c>
      <c r="N16" s="54"/>
      <c r="P16" s="52">
        <v>12</v>
      </c>
      <c r="Q16" s="52" t="str">
        <f t="shared" ca="1" si="2"/>
        <v>CI005106.WI</v>
      </c>
      <c r="R16" s="53" t="str">
        <f t="shared" ca="1" si="0"/>
        <v>CI005106.WI贵金属(中信)40.7%</v>
      </c>
      <c r="S16" s="58">
        <f t="shared" ca="1" si="3"/>
        <v>0.40696925157736286</v>
      </c>
      <c r="T16" s="56"/>
      <c r="U16" s="57"/>
      <c r="V16" s="57"/>
      <c r="W16" s="57"/>
      <c r="X16" s="55">
        <f ca="1">IF(R16="","",[1]!s_risk_stdevy(LEFT(R16,FIND(".",R16)+2),指数分析!$D$5,指数分析!$D$6,2,1))</f>
        <v>26.360019564043469</v>
      </c>
      <c r="Y16" s="59"/>
      <c r="Z16" s="59"/>
    </row>
    <row r="17" spans="2:26" s="53" customFormat="1" ht="12.75" x14ac:dyDescent="0.15">
      <c r="B17" s="52">
        <f ca="1">IF(E17="","",IF(COUNTIF(E$6:E17,E17)=1,RANK(E17,E:E,0),RANK(E17,E:E,0)+COUNTIF(E$6:E17,E17)-1))</f>
        <v>1</v>
      </c>
      <c r="C17" s="52">
        <f t="shared" si="1"/>
        <v>12</v>
      </c>
      <c r="D17" s="53" t="str">
        <f t="shared" ca="1" si="4"/>
        <v>MERV.GI阿根廷MERV</v>
      </c>
      <c r="E17" s="54">
        <f ca="1">IF(C17="","",[1]!f_pq_pctchange(VLOOKUP(C17,worldfield,2,FALSE),指数分析!$D$5,指数分析!$D$6)/100)</f>
        <v>2.8589394927810692</v>
      </c>
      <c r="F17" s="54" t="str">
        <f t="shared" ca="1" si="5"/>
        <v>SENSEX.BO印度SENSEX30</v>
      </c>
      <c r="G17" s="54">
        <f t="shared" ca="1" si="6"/>
        <v>0.20136750208708154</v>
      </c>
      <c r="H17" s="54" t="str">
        <f t="shared" ca="1" si="7"/>
        <v>SENSEX.BO印度SENSEX30:20.1%</v>
      </c>
      <c r="I17" s="55">
        <f ca="1">IF(H17="","",[1]!s_risk_stdevy(LEFT(H17,FIND(".",H17)+2),指数分析!$D$5,指数分析!$D$6,2,1))</f>
        <v>10.242817094141769</v>
      </c>
      <c r="J17" s="56">
        <f ca="1">IF(J16="","",IF([1]!td(J16-IF(指数分析!$D$7="日",1,IF(指数分析!$D$7="周",7,30)))-指数分析!$D$5&gt;=0,--[1]!td(J16-IF(指数分析!$D$7="日",1,IF(指数分析!$D$7="周",7,30))),""))</f>
        <v>45391</v>
      </c>
      <c r="K17" s="57">
        <f ca="1">IF(J17="","",[1]!f_dq_close($K$5,J17))</f>
        <v>1262.82</v>
      </c>
      <c r="L17" s="54">
        <f ca="1">IF(J17="","",[1]!f_pq_pctchange($K$5,J17,J17)/100)</f>
        <v>9.9732075018994504E-3</v>
      </c>
      <c r="M17" s="54">
        <f ca="1">IF(J17="","",[1]!f_pq_pctchange($K$5,指数分析!$D$5,J17)/100)</f>
        <v>0.12129068920814756</v>
      </c>
      <c r="N17" s="54"/>
      <c r="P17" s="52">
        <v>13</v>
      </c>
      <c r="Q17" s="52" t="str">
        <f t="shared" ca="1" si="2"/>
        <v>TWSE072.TW</v>
      </c>
      <c r="R17" s="53" t="str">
        <f t="shared" ca="1" si="0"/>
        <v>TWSE072.TW台湾计算机及外围设备指数39.9%</v>
      </c>
      <c r="S17" s="58">
        <f t="shared" ca="1" si="3"/>
        <v>0.39911469987352843</v>
      </c>
      <c r="T17" s="56"/>
      <c r="U17" s="57"/>
      <c r="V17" s="57"/>
      <c r="W17" s="57"/>
      <c r="X17" s="55">
        <f ca="1">IF(R17="","",[1]!s_risk_stdevy(LEFT(R17,FIND(".",R17)+2),指数分析!$D$5,指数分析!$D$6,2,1))</f>
        <v>31.086450632463343</v>
      </c>
      <c r="Y17" s="59"/>
      <c r="Z17" s="59"/>
    </row>
    <row r="18" spans="2:26" s="53" customFormat="1" ht="12.75" x14ac:dyDescent="0.15">
      <c r="B18" s="52">
        <f ca="1">IF(E18="","",IF(COUNTIF(E$6:E18,E18)=1,RANK(E18,E:E,0),RANK(E18,E:E,0)+COUNTIF(E$6:E18,E18)-1))</f>
        <v>41</v>
      </c>
      <c r="C18" s="52">
        <f t="shared" si="1"/>
        <v>13</v>
      </c>
      <c r="D18" s="53" t="str">
        <f t="shared" ca="1" si="4"/>
        <v>MXX.GI墨西哥MXX</v>
      </c>
      <c r="E18" s="54">
        <f ca="1">IF(C18="","",[1]!f_pq_pctchange(VLOOKUP(C18,worldfield,2,FALSE),指数分析!$D$5,指数分析!$D$6)/100)</f>
        <v>-1.8118735687925103E-2</v>
      </c>
      <c r="F18" s="54" t="str">
        <f t="shared" ca="1" si="5"/>
        <v>RTSI.GIRTS指数</v>
      </c>
      <c r="G18" s="54">
        <f t="shared" ca="1" si="6"/>
        <v>0.19354639366380688</v>
      </c>
      <c r="H18" s="54" t="str">
        <f t="shared" ca="1" si="7"/>
        <v>RTSI.GIRTS指数:19.4%</v>
      </c>
      <c r="I18" s="55">
        <f ca="1">IF(H18="","",[1]!s_risk_stdevy(LEFT(H18,FIND(".",H18)+2),指数分析!$D$5,指数分析!$D$6,2,1))</f>
        <v>18.388449547856617</v>
      </c>
      <c r="J18" s="56">
        <f ca="1">IF(J17="","",IF([1]!td(J17-IF(指数分析!$D$7="日",1,IF(指数分析!$D$7="周",7,30)))-指数分析!$D$5&gt;=0,--[1]!td(J17-IF(指数分析!$D$7="日",1,IF(指数分析!$D$7="周",7,30))),""))</f>
        <v>45384</v>
      </c>
      <c r="K18" s="57">
        <f ca="1">IF(J18="","",[1]!f_dq_close($K$5,J18))</f>
        <v>1287.04</v>
      </c>
      <c r="L18" s="54">
        <f ca="1">IF(J18="","",[1]!f_pq_pctchange($K$5,J18,J18)/100)</f>
        <v>4.3073849803358932E-3</v>
      </c>
      <c r="M18" s="54">
        <f ca="1">IF(J18="","",[1]!f_pq_pctchange($K$5,指数分析!$D$5,J18)/100)</f>
        <v>0.14279625650405769</v>
      </c>
      <c r="N18" s="54"/>
      <c r="P18" s="52">
        <v>14</v>
      </c>
      <c r="Q18" s="52" t="str">
        <f t="shared" ca="1" si="2"/>
        <v>TWSE002.TW</v>
      </c>
      <c r="R18" s="53" t="str">
        <f t="shared" ca="1" si="0"/>
        <v>TWSE002.TW台湾未含金融保险指数38.9%</v>
      </c>
      <c r="S18" s="58">
        <f t="shared" ca="1" si="3"/>
        <v>0.38870988449811317</v>
      </c>
      <c r="T18" s="56"/>
      <c r="U18" s="57"/>
      <c r="V18" s="57"/>
      <c r="W18" s="57"/>
      <c r="X18" s="55">
        <f ca="1">IF(R18="","",[1]!s_risk_stdevy(LEFT(R18,FIND(".",R18)+2),指数分析!$D$5,指数分析!$D$6,2,1))</f>
        <v>15.325016185011812</v>
      </c>
      <c r="Y18" s="59"/>
      <c r="Z18" s="59"/>
    </row>
    <row r="19" spans="2:26" s="53" customFormat="1" ht="12.75" x14ac:dyDescent="0.15">
      <c r="B19" s="52">
        <f ca="1">IF(E19="","",IF(COUNTIF(E$6:E19,E19)=1,RANK(E19,E:E,0),RANK(E19,E:E,0)+COUNTIF(E$6:E19,E19)-1))</f>
        <v>7</v>
      </c>
      <c r="C19" s="52">
        <f t="shared" si="1"/>
        <v>14</v>
      </c>
      <c r="D19" s="53" t="str">
        <f t="shared" ca="1" si="4"/>
        <v>SPX.GI标普500</v>
      </c>
      <c r="E19" s="54">
        <f ca="1">IF(C19="","",[1]!f_pq_pctchange(VLOOKUP(C19,worldfield,2,FALSE),指数分析!$D$5,指数分析!$D$6)/100)</f>
        <v>0.23775781520948214</v>
      </c>
      <c r="F19" s="54" t="str">
        <f t="shared" ca="1" si="5"/>
        <v>OMXSPI.GI瑞典OMX全指</v>
      </c>
      <c r="G19" s="54">
        <f t="shared" ca="1" si="6"/>
        <v>0.18316318667917345</v>
      </c>
      <c r="H19" s="54" t="str">
        <f t="shared" ca="1" si="7"/>
        <v>OMXSPI.GI瑞典OMX全指:18.3%</v>
      </c>
      <c r="I19" s="55">
        <f ca="1">IF(H19="","",[1]!s_risk_stdevy(LEFT(H19,FIND(".",H19)+2),指数分析!$D$5,指数分析!$D$6,2,1))</f>
        <v>13.875527889076711</v>
      </c>
      <c r="J19" s="56">
        <f ca="1">IF(J18="","",IF([1]!td(J18-IF(指数分析!$D$7="日",1,IF(指数分析!$D$7="周",7,30)))-指数分析!$D$5&gt;=0,--[1]!td(J18-IF(指数分析!$D$7="日",1,IF(指数分析!$D$7="周",7,30))),""))</f>
        <v>45377</v>
      </c>
      <c r="K19" s="57">
        <f ca="1">IF(J19="","",[1]!f_dq_close($K$5,J19))</f>
        <v>1282.21</v>
      </c>
      <c r="L19" s="54">
        <f ca="1">IF(J19="","",[1]!f_pq_pctchange($K$5,J19,J19)/100)</f>
        <v>1.1318284353162067E-2</v>
      </c>
      <c r="M19" s="54">
        <f ca="1">IF(J19="","",[1]!f_pq_pctchange($K$5,指数分析!$D$5,J19)/100)</f>
        <v>0.13850757400863056</v>
      </c>
      <c r="N19" s="54"/>
      <c r="P19" s="52">
        <v>15</v>
      </c>
      <c r="Q19" s="52" t="str">
        <f t="shared" ca="1" si="2"/>
        <v>TWII.TW</v>
      </c>
      <c r="R19" s="53" t="str">
        <f t="shared" ca="1" si="0"/>
        <v>TWII.TW台湾加权指数37.4%</v>
      </c>
      <c r="S19" s="58">
        <f t="shared" ca="1" si="3"/>
        <v>0.37406135363142146</v>
      </c>
      <c r="T19" s="56"/>
      <c r="U19" s="57"/>
      <c r="V19" s="57"/>
      <c r="W19" s="57"/>
      <c r="X19" s="55">
        <f ca="1">IF(R19="","",[1]!s_risk_stdevy(LEFT(R19,FIND(".",R19)+2),指数分析!$D$5,指数分析!$D$6,2,1))</f>
        <v>14.527950750650861</v>
      </c>
      <c r="Y19" s="59"/>
      <c r="Z19" s="59"/>
    </row>
    <row r="20" spans="2:26" s="53" customFormat="1" ht="12.75" x14ac:dyDescent="0.15">
      <c r="B20" s="52">
        <f ca="1">IF(E20="","",IF(COUNTIF(E$6:E20,E20)=1,RANK(E20,E:E,0),RANK(E20,E:E,0)+COUNTIF(E$6:E20,E20)-1))</f>
        <v>8</v>
      </c>
      <c r="C20" s="52">
        <f t="shared" si="1"/>
        <v>15</v>
      </c>
      <c r="D20" s="53" t="str">
        <f t="shared" ca="1" si="4"/>
        <v>AEX.GI荷兰AEX</v>
      </c>
      <c r="E20" s="54">
        <f ca="1">IF(C20="","",[1]!f_pq_pctchange(VLOOKUP(C20,worldfield,2,FALSE),指数分析!$D$5,指数分析!$D$6)/100)</f>
        <v>0.22633870496721276</v>
      </c>
      <c r="F20" s="54" t="str">
        <f t="shared" ca="1" si="5"/>
        <v>IBEX.GI西班牙IBEX35</v>
      </c>
      <c r="G20" s="54">
        <f t="shared" ca="1" si="6"/>
        <v>0.17864297253634898</v>
      </c>
      <c r="H20" s="54" t="str">
        <f t="shared" ca="1" si="7"/>
        <v>IBEX.GI西班牙IBEX35:17.9%</v>
      </c>
      <c r="I20" s="55">
        <f ca="1">IF(H20="","",[1]!s_risk_stdevy(LEFT(H20,FIND(".",H20)+2),指数分析!$D$5,指数分析!$D$6,2,1))</f>
        <v>13.576156085302657</v>
      </c>
      <c r="J20" s="56">
        <f ca="1">IF(J19="","",IF([1]!td(J19-IF(指数分析!$D$7="日",1,IF(指数分析!$D$7="周",7,30)))-指数分析!$D$5&gt;=0,--[1]!td(J19-IF(指数分析!$D$7="日",1,IF(指数分析!$D$7="周",7,30))),""))</f>
        <v>45370</v>
      </c>
      <c r="K20" s="57">
        <f ca="1">IF(J20="","",[1]!f_dq_close($K$5,J20))</f>
        <v>1242.46</v>
      </c>
      <c r="L20" s="54">
        <f ca="1">IF(J20="","",[1]!f_pq_pctchange($K$5,J20,J20)/100)</f>
        <v>-8.8455723889468985E-4</v>
      </c>
      <c r="M20" s="54">
        <f ca="1">IF(J20="","",[1]!f_pq_pctchange($K$5,指数分析!$D$5,J20)/100)</f>
        <v>0.10321251620464909</v>
      </c>
      <c r="N20" s="54"/>
      <c r="P20" s="52">
        <v>16</v>
      </c>
      <c r="Q20" s="52" t="str">
        <f t="shared" ca="1" si="2"/>
        <v>CI005101.WI</v>
      </c>
      <c r="R20" s="53" t="str">
        <f t="shared" ca="1" si="0"/>
        <v>CI005101.WI石油开采Ⅱ(中信)35.8%</v>
      </c>
      <c r="S20" s="58">
        <f t="shared" ca="1" si="3"/>
        <v>0.35810432627884398</v>
      </c>
      <c r="T20" s="56"/>
      <c r="U20" s="57"/>
      <c r="V20" s="57"/>
      <c r="W20" s="57"/>
      <c r="X20" s="55">
        <f ca="1">IF(R20="","",[1]!s_risk_stdevy(LEFT(R20,FIND(".",R20)+2),指数分析!$D$5,指数分析!$D$6,2,1))</f>
        <v>25.452857603250489</v>
      </c>
      <c r="Y20" s="59"/>
      <c r="Z20" s="59"/>
    </row>
    <row r="21" spans="2:26" s="53" customFormat="1" ht="12.75" x14ac:dyDescent="0.15">
      <c r="B21" s="52">
        <f ca="1">IF(E21="","",IF(COUNTIF(E$6:E21,E21)=1,RANK(E21,E:E,0),RANK(E21,E:E,0)+COUNTIF(E$6:E21,E21)-1))</f>
        <v>26</v>
      </c>
      <c r="C21" s="52">
        <f t="shared" si="1"/>
        <v>16</v>
      </c>
      <c r="D21" s="53" t="str">
        <f t="shared" ca="1" si="4"/>
        <v>ASE.GI希腊ASE综指</v>
      </c>
      <c r="E21" s="54">
        <f ca="1">IF(C21="","",[1]!f_pq_pctchange(VLOOKUP(C21,worldfield,2,FALSE),指数分析!$D$5,指数分析!$D$6)/100)</f>
        <v>9.7592621541347402E-2</v>
      </c>
      <c r="F21" s="54" t="str">
        <f t="shared" ca="1" si="5"/>
        <v>GDAXI.GI德国DAX</v>
      </c>
      <c r="G21" s="54">
        <f t="shared" ca="1" si="6"/>
        <v>0.17431838408504596</v>
      </c>
      <c r="H21" s="54" t="str">
        <f t="shared" ca="1" si="7"/>
        <v>GDAXI.GI德国DAX:17.4%</v>
      </c>
      <c r="I21" s="55">
        <f ca="1">IF(H21="","",[1]!s_risk_stdevy(LEFT(H21,FIND(".",H21)+2),指数分析!$D$5,指数分析!$D$6,2,1))</f>
        <v>12.27390895414656</v>
      </c>
      <c r="J21" s="56">
        <f ca="1">IF(J20="","",IF([1]!td(J20-IF(指数分析!$D$7="日",1,IF(指数分析!$D$7="周",7,30)))-指数分析!$D$5&gt;=0,--[1]!td(J20-IF(指数分析!$D$7="日",1,IF(指数分析!$D$7="周",7,30))),""))</f>
        <v>45363</v>
      </c>
      <c r="K21" s="57">
        <f ca="1">IF(J21="","",[1]!f_dq_close($K$5,J21))</f>
        <v>1245</v>
      </c>
      <c r="L21" s="54">
        <f ca="1">IF(J21="","",[1]!f_pq_pctchange($K$5,J21,J21)/100)</f>
        <v>7.6973508486510855E-3</v>
      </c>
      <c r="M21" s="54">
        <f ca="1">IF(J21="","",[1]!f_pq_pctchange($K$5,指数分析!$D$5,J21)/100)</f>
        <v>0.10546784820017407</v>
      </c>
      <c r="N21" s="54"/>
      <c r="P21" s="52">
        <v>17</v>
      </c>
      <c r="Q21" s="52" t="str">
        <f t="shared" ca="1" si="2"/>
        <v>CI005104.WI</v>
      </c>
      <c r="R21" s="53" t="str">
        <f t="shared" ca="1" si="0"/>
        <v>CI005104.WI煤炭开采洗选(中信)34.8%</v>
      </c>
      <c r="S21" s="58">
        <f t="shared" ca="1" si="3"/>
        <v>0.34800475305376644</v>
      </c>
      <c r="T21" s="56"/>
      <c r="U21" s="57"/>
      <c r="V21" s="57"/>
      <c r="W21" s="57"/>
      <c r="X21" s="55">
        <f ca="1">IF(R21="","",[1]!s_risk_stdevy(LEFT(R21,FIND(".",R21)+2),指数分析!$D$5,指数分析!$D$6,2,1))</f>
        <v>23.041830765251671</v>
      </c>
      <c r="Y21" s="59"/>
      <c r="Z21" s="59"/>
    </row>
    <row r="22" spans="2:26" s="53" customFormat="1" ht="12.75" x14ac:dyDescent="0.15">
      <c r="B22" s="52">
        <f ca="1">IF(E22="","",IF(COUNTIF(E$6:E22,E22)=1,RANK(E22,E:E,0),RANK(E22,E:E,0)+COUNTIF(E$6:E22,E22)-1))</f>
        <v>17</v>
      </c>
      <c r="C22" s="52">
        <f t="shared" si="1"/>
        <v>17</v>
      </c>
      <c r="D22" s="53" t="str">
        <f t="shared" ca="1" si="4"/>
        <v>ATX.GI奥地利ATX</v>
      </c>
      <c r="E22" s="54">
        <f ca="1">IF(C22="","",[1]!f_pq_pctchange(VLOOKUP(C22,worldfield,2,FALSE),指数分析!$D$5,指数分析!$D$6)/100)</f>
        <v>0.16402599287292197</v>
      </c>
      <c r="F22" s="54" t="str">
        <f t="shared" ca="1" si="5"/>
        <v>ATX.GI奥地利ATX</v>
      </c>
      <c r="G22" s="54">
        <f t="shared" ca="1" si="6"/>
        <v>0.16402599287292197</v>
      </c>
      <c r="H22" s="54" t="str">
        <f t="shared" ca="1" si="7"/>
        <v>ATX.GI奥地利ATX:16.4%</v>
      </c>
      <c r="I22" s="55">
        <f ca="1">IF(H22="","",[1]!s_risk_stdevy(LEFT(H22,FIND(".",H22)+2),指数分析!$D$5,指数分析!$D$6,2,1))</f>
        <v>11.809226886130563</v>
      </c>
      <c r="J22" s="56">
        <f ca="1">IF(J21="","",IF([1]!td(J21-IF(指数分析!$D$7="日",1,IF(指数分析!$D$7="周",7,30)))-指数分析!$D$5&gt;=0,--[1]!td(J21-IF(指数分析!$D$7="日",1,IF(指数分析!$D$7="周",7,30))),""))</f>
        <v>45356</v>
      </c>
      <c r="K22" s="57">
        <f ca="1">IF(J22="","",[1]!f_dq_close($K$5,J22))</f>
        <v>1269.98</v>
      </c>
      <c r="L22" s="54">
        <f ca="1">IF(J22="","",[1]!f_pq_pctchange($K$5,J22,J22)/100)</f>
        <v>6.7939845093980544E-3</v>
      </c>
      <c r="M22" s="54">
        <f ca="1">IF(J22="","",[1]!f_pq_pctchange($K$5,指数分析!$D$5,J22)/100)</f>
        <v>0.12764823924277668</v>
      </c>
      <c r="N22" s="54"/>
      <c r="P22" s="52">
        <v>18</v>
      </c>
      <c r="Q22" s="52" t="str">
        <f t="shared" ca="1" si="2"/>
        <v>CI005163.WI</v>
      </c>
      <c r="R22" s="53" t="str">
        <f t="shared" ca="1" si="0"/>
        <v>CI005163.WI国有大型银行Ⅱ(中信)31.3%</v>
      </c>
      <c r="S22" s="58">
        <f t="shared" ca="1" si="3"/>
        <v>0.31261101038986738</v>
      </c>
      <c r="T22" s="56"/>
      <c r="U22" s="57"/>
      <c r="V22" s="57"/>
      <c r="W22" s="57"/>
      <c r="X22" s="55">
        <f ca="1">IF(R22="","",[1]!s_risk_stdevy(LEFT(R22,FIND(".",R22)+2),指数分析!$D$5,指数分析!$D$6,2,1))</f>
        <v>15.757771777179979</v>
      </c>
      <c r="Y22" s="59"/>
      <c r="Z22" s="59"/>
    </row>
    <row r="23" spans="2:26" s="53" customFormat="1" ht="12.75" x14ac:dyDescent="0.15">
      <c r="B23" s="52">
        <f ca="1">IF(E23="","",IF(COUNTIF(E$6:E23,E23)=1,RANK(E23,E:E,0),RANK(E23,E:E,0)+COUNTIF(E$6:E23,E23)-1))</f>
        <v>22</v>
      </c>
      <c r="C23" s="52">
        <f t="shared" si="1"/>
        <v>18</v>
      </c>
      <c r="D23" s="53" t="str">
        <f t="shared" ca="1" si="4"/>
        <v>BFX.GI比利时BFX</v>
      </c>
      <c r="E23" s="54">
        <f ca="1">IF(C23="","",[1]!f_pq_pctchange(VLOOKUP(C23,worldfield,2,FALSE),指数分析!$D$5,指数分析!$D$6)/100)</f>
        <v>0.1120443531545552</v>
      </c>
      <c r="F23" s="54" t="str">
        <f t="shared" ca="1" si="5"/>
        <v>SX5P.GI欧洲STOXX50(欧元)(退市)</v>
      </c>
      <c r="G23" s="54">
        <f t="shared" ca="1" si="6"/>
        <v>0.1611853246017938</v>
      </c>
      <c r="H23" s="54" t="str">
        <f t="shared" ca="1" si="7"/>
        <v>SX5P.GI欧洲STOXX50(欧元)(退市):16.1%</v>
      </c>
      <c r="I23" s="55">
        <f ca="1">IF(H23="","",[1]!s_risk_stdevy(LEFT(H23,FIND(".",H23)+2),指数分析!$D$5,指数分析!$D$6,2,1))</f>
        <v>10.064707675737568</v>
      </c>
      <c r="J23" s="56">
        <f ca="1">IF(J22="","",IF([1]!td(J22-IF(指数分析!$D$7="日",1,IF(指数分析!$D$7="周",7,30)))-指数分析!$D$5&gt;=0,--[1]!td(J22-IF(指数分析!$D$7="日",1,IF(指数分析!$D$7="周",7,30))),""))</f>
        <v>45349</v>
      </c>
      <c r="K23" s="57">
        <f ca="1">IF(J23="","",[1]!f_dq_close($K$5,J23))</f>
        <v>1237.46</v>
      </c>
      <c r="L23" s="54">
        <f ca="1">IF(J23="","",[1]!f_pq_pctchange($K$5,J23,J23)/100)</f>
        <v>1.0856335312905863E-2</v>
      </c>
      <c r="M23" s="54">
        <f ca="1">IF(J23="","",[1]!f_pq_pctchange($K$5,指数分析!$D$5,J23)/100)</f>
        <v>9.8772886292198603E-2</v>
      </c>
      <c r="N23" s="54"/>
      <c r="P23" s="52">
        <v>19</v>
      </c>
      <c r="Q23" s="52" t="str">
        <f t="shared" ca="1" si="2"/>
        <v>IXIC.GI</v>
      </c>
      <c r="R23" s="53" t="str">
        <f t="shared" ca="1" si="0"/>
        <v>IXIC.GI纳斯达克指数29.6%</v>
      </c>
      <c r="S23" s="58">
        <f t="shared" ca="1" si="3"/>
        <v>0.29633366084169621</v>
      </c>
      <c r="T23" s="56"/>
      <c r="U23" s="57"/>
      <c r="V23" s="57"/>
      <c r="W23" s="57"/>
      <c r="X23" s="55">
        <f ca="1">IF(R23="","",[1]!s_risk_stdevy(LEFT(R23,FIND(".",R23)+2),指数分析!$D$5,指数分析!$D$6,2,1))</f>
        <v>16.539600455979357</v>
      </c>
      <c r="Y23" s="59"/>
      <c r="Z23" s="59"/>
    </row>
    <row r="24" spans="2:26" s="53" customFormat="1" ht="12.75" x14ac:dyDescent="0.15">
      <c r="B24" s="52">
        <f ca="1">IF(E24="","",IF(COUNTIF(E$6:E24,E24)=1,RANK(E24,E:E,0),RANK(E24,E:E,0)+COUNTIF(E$6:E24,E24)-1))</f>
        <v>33</v>
      </c>
      <c r="C24" s="52">
        <f t="shared" si="1"/>
        <v>19</v>
      </c>
      <c r="D24" s="53" t="str">
        <f t="shared" ca="1" si="4"/>
        <v>FCHI.GI法国CAC40</v>
      </c>
      <c r="E24" s="54">
        <f ca="1">IF(C24="","",[1]!f_pq_pctchange(VLOOKUP(C24,worldfield,2,FALSE),指数分析!$D$5,指数分析!$D$6)/100)</f>
        <v>5.6070847141249436E-2</v>
      </c>
      <c r="F24" s="54" t="str">
        <f t="shared" ca="1" si="5"/>
        <v>DJI.GI道琼斯工业指数</v>
      </c>
      <c r="G24" s="54">
        <f t="shared" ca="1" si="6"/>
        <v>0.1531914442021256</v>
      </c>
      <c r="H24" s="54" t="str">
        <f t="shared" ca="1" si="7"/>
        <v>DJI.GI道琼斯工业指数:15.3%</v>
      </c>
      <c r="I24" s="55">
        <f ca="1">IF(H24="","",[1]!s_risk_stdevy(LEFT(H24,FIND(".",H24)+2),指数分析!$D$5,指数分析!$D$6,2,1))</f>
        <v>10.830906261186817</v>
      </c>
      <c r="J24" s="56">
        <f ca="1">IF(J23="","",IF([1]!td(J23-IF(指数分析!$D$7="日",1,IF(指数分析!$D$7="周",7,30)))-指数分析!$D$5&gt;=0,--[1]!td(J23-IF(指数分析!$D$7="日",1,IF(指数分析!$D$7="周",7,30))),""))</f>
        <v>45342</v>
      </c>
      <c r="K24" s="57">
        <f ca="1">IF(J24="","",[1]!f_dq_close($K$5,J24))</f>
        <v>1230.06</v>
      </c>
      <c r="L24" s="54">
        <f ca="1">IF(J24="","",[1]!f_pq_pctchange($K$5,J24,J24)/100)</f>
        <v>4.1552038009093906E-3</v>
      </c>
      <c r="M24" s="54">
        <f ca="1">IF(J24="","",[1]!f_pq_pctchange($K$5,指数分析!$D$5,J24)/100)</f>
        <v>9.220223402177187E-2</v>
      </c>
      <c r="N24" s="54"/>
      <c r="P24" s="52">
        <v>20</v>
      </c>
      <c r="Q24" s="52" t="str">
        <f t="shared" ca="1" si="2"/>
        <v>801951.SI</v>
      </c>
      <c r="R24" s="53" t="str">
        <f t="shared" ca="1" si="0"/>
        <v>801951.SI煤炭开采(申万)28.1%</v>
      </c>
      <c r="S24" s="58">
        <f t="shared" ca="1" si="3"/>
        <v>0.2805623911698254</v>
      </c>
      <c r="T24" s="56"/>
      <c r="U24" s="57"/>
      <c r="V24" s="57"/>
      <c r="W24" s="57"/>
      <c r="X24" s="55">
        <f ca="1">IF(R24="","",[1]!s_risk_stdevy(LEFT(R24,FIND(".",R24)+2),指数分析!$D$5,指数分析!$D$6,2,1))</f>
        <v>23.269821706637327</v>
      </c>
      <c r="Y24" s="59"/>
      <c r="Z24" s="59"/>
    </row>
    <row r="25" spans="2:26" s="53" customFormat="1" ht="12.75" x14ac:dyDescent="0.15">
      <c r="B25" s="52">
        <f ca="1">IF(E25="","",IF(COUNTIF(E$6:E25,E25)=1,RANK(E25,E:E,0),RANK(E25,E:E,0)+COUNTIF(E$6:E25,E25)-1))</f>
        <v>21</v>
      </c>
      <c r="C25" s="52">
        <f t="shared" si="1"/>
        <v>20</v>
      </c>
      <c r="D25" s="53" t="str">
        <f t="shared" ca="1" si="4"/>
        <v>FTSE.GI英国富时100</v>
      </c>
      <c r="E25" s="54">
        <f ca="1">IF(C25="","",[1]!f_pq_pctchange(VLOOKUP(C25,worldfield,2,FALSE),指数分析!$D$5,指数分析!$D$6)/100)</f>
        <v>0.12136803790948412</v>
      </c>
      <c r="F25" s="54" t="str">
        <f t="shared" ca="1" si="5"/>
        <v>KLSE.GI富时马来西亚综指</v>
      </c>
      <c r="G25" s="54">
        <f t="shared" ca="1" si="6"/>
        <v>0.14729247086835739</v>
      </c>
      <c r="H25" s="54" t="str">
        <f t="shared" ca="1" si="7"/>
        <v>KLSE.GI富时马来西亚综指:14.7%</v>
      </c>
      <c r="I25" s="55">
        <f ca="1">IF(H25="","",[1]!s_risk_stdevy(LEFT(H25,FIND(".",H25)+2),指数分析!$D$5,指数分析!$D$6,2,1))</f>
        <v>7.2064578352882158</v>
      </c>
      <c r="J25" s="56">
        <f ca="1">IF(J24="","",IF([1]!td(J24-IF(指数分析!$D$7="日",1,IF(指数分析!$D$7="周",7,30)))-指数分析!$D$5&gt;=0,--[1]!td(J24-IF(指数分析!$D$7="日",1,IF(指数分析!$D$7="周",7,30))),""))</f>
        <v>45330</v>
      </c>
      <c r="K25" s="57">
        <f ca="1">IF(J25="","",[1]!f_dq_close($K$5,J25))</f>
        <v>1198.53</v>
      </c>
      <c r="L25" s="54">
        <f ca="1">IF(J25="","",[1]!f_pq_pctchange($K$5,J25,J25)/100)</f>
        <v>0</v>
      </c>
      <c r="M25" s="54">
        <f ca="1">IF(J25="","",[1]!f_pq_pctchange($K$5,指数分析!$D$5,J25)/100)</f>
        <v>6.4205927793859141E-2</v>
      </c>
      <c r="N25" s="54"/>
      <c r="P25" s="52">
        <f ca="1">MAX(rawdate!A:A)-19</f>
        <v>478</v>
      </c>
      <c r="Q25" s="52" t="str">
        <f ca="1">VLOOKUP(P25,topfield,3,FALSE)</f>
        <v>801156.SI</v>
      </c>
      <c r="R25" s="53" t="str">
        <f t="shared" ca="1" si="0"/>
        <v>801156.SI医疗服务(申万)-40.4%</v>
      </c>
      <c r="S25" s="58">
        <f ca="1">VLOOKUP(P25,topfield,7,FALSE)</f>
        <v>-0.40400987639674646</v>
      </c>
      <c r="T25" s="56"/>
      <c r="U25" s="57"/>
      <c r="V25" s="57"/>
      <c r="W25" s="57"/>
      <c r="X25" s="55">
        <f ca="1">IF(R25="","",[1]!s_risk_stdevy(LEFT(R25,FIND(".",R25)+2),指数分析!$D$5,指数分析!$D$6,2,1))</f>
        <v>30.457176625827977</v>
      </c>
      <c r="Y25" s="59"/>
      <c r="Z25" s="59"/>
    </row>
    <row r="26" spans="2:26" s="53" customFormat="1" ht="12.75" x14ac:dyDescent="0.15">
      <c r="B26" s="52">
        <f ca="1">IF(E26="","",IF(COUNTIF(E$6:E26,E26)=1,RANK(E26,E:E,0),RANK(E26,E:E,0)+COUNTIF(E$6:E26,E26)-1))</f>
        <v>16</v>
      </c>
      <c r="C26" s="52">
        <f t="shared" si="1"/>
        <v>21</v>
      </c>
      <c r="D26" s="53" t="str">
        <f t="shared" ca="1" si="4"/>
        <v>GDAXI.GI德国DAX</v>
      </c>
      <c r="E26" s="54">
        <f ca="1">IF(C26="","",[1]!f_pq_pctchange(VLOOKUP(C26,worldfield,2,FALSE),指数分析!$D$5,指数分析!$D$6)/100)</f>
        <v>0.17431838408504596</v>
      </c>
      <c r="F26" s="54" t="str">
        <f t="shared" ca="1" si="5"/>
        <v>FTSE.GI英国富时100</v>
      </c>
      <c r="G26" s="54">
        <f t="shared" ca="1" si="6"/>
        <v>0.12136803790948412</v>
      </c>
      <c r="H26" s="54" t="str">
        <f t="shared" ca="1" si="7"/>
        <v>FTSE.GI英国富时100:12.1%</v>
      </c>
      <c r="I26" s="55">
        <f ca="1">IF(H26="","",[1]!s_risk_stdevy(LEFT(H26,FIND(".",H26)+2),指数分析!$D$5,指数分析!$D$6,2,1))</f>
        <v>10.951168077705594</v>
      </c>
      <c r="J26" s="56">
        <f ca="1">IF(J25="","",IF([1]!td(J25-IF(指数分析!$D$7="日",1,IF(指数分析!$D$7="周",7,30)))-指数分析!$D$5&gt;=0,--[1]!td(J25-IF(指数分析!$D$7="日",1,IF(指数分析!$D$7="周",7,30))),""))</f>
        <v>45323</v>
      </c>
      <c r="K26" s="57">
        <f ca="1">IF(J26="","",[1]!f_dq_close($K$5,J26))</f>
        <v>1173.02</v>
      </c>
      <c r="L26" s="54">
        <f ca="1">IF(J26="","",[1]!f_pq_pctchange($K$5,J26,J26)/100)</f>
        <v>7.4808255533320711E-3</v>
      </c>
      <c r="M26" s="54">
        <f ca="1">IF(J26="","",[1]!f_pq_pctchange($K$5,指数分析!$D$5,J26)/100)</f>
        <v>4.1554935980536722E-2</v>
      </c>
      <c r="N26" s="54"/>
      <c r="P26" s="52">
        <f ca="1">MAX(rawdate!A:A)-18</f>
        <v>479</v>
      </c>
      <c r="Q26" s="52" t="str">
        <f t="shared" ca="1" si="2"/>
        <v>801736.SI</v>
      </c>
      <c r="R26" s="53" t="str">
        <f t="shared" ca="1" si="0"/>
        <v>801736.SI风电设备(申万)-40.6%</v>
      </c>
      <c r="S26" s="58">
        <f ca="1">VLOOKUP(P26,topfield,7,FALSE)</f>
        <v>-0.40576848577248481</v>
      </c>
      <c r="T26" s="56"/>
      <c r="U26" s="57"/>
      <c r="V26" s="57"/>
      <c r="W26" s="57"/>
      <c r="X26" s="55">
        <f ca="1">IF(R26="","",[1]!s_risk_stdevy(LEFT(R26,FIND(".",R26)+2),指数分析!$D$5,指数分析!$D$6,2,1))</f>
        <v>28.316563537022354</v>
      </c>
      <c r="Y26" s="59"/>
      <c r="Z26" s="59"/>
    </row>
    <row r="27" spans="2:26" s="53" customFormat="1" ht="12.75" x14ac:dyDescent="0.15">
      <c r="B27" s="52">
        <f ca="1">IF(E27="","",IF(COUNTIF(E$6:E27,E27)=1,RANK(E27,E:E,0),RANK(E27,E:E,0)+COUNTIF(E$6:E27,E27)-1))</f>
        <v>36</v>
      </c>
      <c r="C27" s="52">
        <f t="shared" si="1"/>
        <v>22</v>
      </c>
      <c r="D27" s="53" t="str">
        <f t="shared" ca="1" si="4"/>
        <v>HEX.GI芬兰OMX全指</v>
      </c>
      <c r="E27" s="54">
        <f ca="1">IF(C27="","",[1]!f_pq_pctchange(VLOOKUP(C27,worldfield,2,FALSE),指数分析!$D$5,指数分析!$D$6)/100)</f>
        <v>1.1399392352665183E-2</v>
      </c>
      <c r="F27" s="54" t="str">
        <f t="shared" ca="1" si="5"/>
        <v>BFX.GI比利时BFX</v>
      </c>
      <c r="G27" s="54">
        <f t="shared" ca="1" si="6"/>
        <v>0.1120443531545552</v>
      </c>
      <c r="H27" s="54" t="str">
        <f t="shared" ca="1" si="7"/>
        <v>BFX.GI比利时BFX:11.2%</v>
      </c>
      <c r="I27" s="55">
        <f ca="1">IF(H27="","",[1]!s_risk_stdevy(LEFT(H27,FIND(".",H27)+2),指数分析!$D$5,指数分析!$D$6,2,1))</f>
        <v>15.412277363379426</v>
      </c>
      <c r="J27" s="56">
        <f ca="1">IF(J26="","",IF([1]!td(J26-IF(指数分析!$D$7="日",1,IF(指数分析!$D$7="周",7,30)))-指数分析!$D$5&gt;=0,--[1]!td(J26-IF(指数分析!$D$7="日",1,IF(指数分析!$D$7="周",7,30))),""))</f>
        <v>45316</v>
      </c>
      <c r="K27" s="57">
        <f ca="1">IF(J27="","",[1]!f_dq_close($K$5,J27))</f>
        <v>1170.3699999999999</v>
      </c>
      <c r="L27" s="54">
        <f ca="1">IF(J27="","",[1]!f_pq_pctchange($K$5,J27,J27)/100)</f>
        <v>-2.216595479850425E-3</v>
      </c>
      <c r="M27" s="54">
        <f ca="1">IF(J27="","",[1]!f_pq_pctchange($K$5,指数分析!$D$5,J27)/100)</f>
        <v>3.9201932126937677E-2</v>
      </c>
      <c r="N27" s="54"/>
      <c r="P27" s="52">
        <f ca="1">MAX(rawdate!A:A)-17</f>
        <v>480</v>
      </c>
      <c r="Q27" s="52" t="str">
        <f t="shared" ca="1" si="2"/>
        <v>801994.SI</v>
      </c>
      <c r="R27" s="53" t="str">
        <f t="shared" ca="1" si="0"/>
        <v>801994.SI教育(申万)-41.2%</v>
      </c>
      <c r="S27" s="58">
        <f ca="1">VLOOKUP(P27,topfield,7,FALSE)</f>
        <v>-0.41199276094076098</v>
      </c>
      <c r="T27" s="56"/>
      <c r="U27" s="57"/>
      <c r="V27" s="57"/>
      <c r="W27" s="57"/>
      <c r="X27" s="55">
        <f ca="1">IF(R27="","",[1]!s_risk_stdevy(LEFT(R27,FIND(".",R27)+2),指数分析!$D$5,指数分析!$D$6,2,1))</f>
        <v>39.959592372552066</v>
      </c>
      <c r="Y27" s="59"/>
      <c r="Z27" s="59"/>
    </row>
    <row r="28" spans="2:26" s="53" customFormat="1" ht="12.75" x14ac:dyDescent="0.15">
      <c r="B28" s="52">
        <f ca="1">IF(E28="","",IF(COUNTIF(E$6:E28,E28)=1,RANK(E28,E:E,0),RANK(E28,E:E,0)+COUNTIF(E$6:E28,E28)-1))</f>
        <v>15</v>
      </c>
      <c r="C28" s="52">
        <f t="shared" si="1"/>
        <v>23</v>
      </c>
      <c r="D28" s="53" t="str">
        <f t="shared" ca="1" si="4"/>
        <v>IBEX.GI西班牙IBEX35</v>
      </c>
      <c r="E28" s="54">
        <f ca="1">IF(C28="","",[1]!f_pq_pctchange(VLOOKUP(C28,worldfield,2,FALSE),指数分析!$D$5,指数分析!$D$6)/100)</f>
        <v>0.17864297253634898</v>
      </c>
      <c r="F28" s="54" t="str">
        <f t="shared" ca="1" si="5"/>
        <v>ISEQ.GI爱尔兰综指</v>
      </c>
      <c r="G28" s="54">
        <f t="shared" ca="1" si="6"/>
        <v>0.10936700120242392</v>
      </c>
      <c r="H28" s="54" t="str">
        <f t="shared" ca="1" si="7"/>
        <v>ISEQ.GI爱尔兰综指:10.9%</v>
      </c>
      <c r="I28" s="55">
        <f ca="1">IF(H28="","",[1]!s_risk_stdevy(LEFT(H28,FIND(".",H28)+2),指数分析!$D$5,指数分析!$D$6,2,1))</f>
        <v>16.197553122618132</v>
      </c>
      <c r="J28" s="56">
        <f ca="1">IF(J27="","",IF([1]!td(J27-IF(指数分析!$D$7="日",1,IF(指数分析!$D$7="周",7,30)))-指数分析!$D$5&gt;=0,--[1]!td(J27-IF(指数分析!$D$7="日",1,IF(指数分析!$D$7="周",7,30))),""))</f>
        <v>45309</v>
      </c>
      <c r="K28" s="57">
        <f ca="1">IF(J28="","",[1]!f_dq_close($K$5,J28))</f>
        <v>1169.06</v>
      </c>
      <c r="L28" s="54">
        <f ca="1">IF(J28="","",[1]!f_pq_pctchange($K$5,J28,J28)/100)</f>
        <v>5.6170593447051331E-3</v>
      </c>
      <c r="M28" s="54">
        <f ca="1">IF(J28="","",[1]!f_pq_pctchange($K$5,指数分析!$D$5,J28)/100)</f>
        <v>3.8038749089875701E-2</v>
      </c>
      <c r="N28" s="54"/>
      <c r="P28" s="52">
        <f ca="1">MAX(rawdate!A:A)-16</f>
        <v>481</v>
      </c>
      <c r="Q28" s="52" t="str">
        <f t="shared" ca="1" si="2"/>
        <v>801219.SI</v>
      </c>
      <c r="R28" s="53" t="str">
        <f t="shared" ca="1" si="0"/>
        <v>801219.SI酒店餐饮(申万)-41.4%</v>
      </c>
      <c r="S28" s="58">
        <f ca="1">VLOOKUP(P28,topfield,7,FALSE)</f>
        <v>-0.41385949771921304</v>
      </c>
      <c r="T28" s="56"/>
      <c r="U28" s="57"/>
      <c r="V28" s="57"/>
      <c r="W28" s="57"/>
      <c r="X28" s="55">
        <f ca="1">IF(R28="","",[1]!s_risk_stdevy(LEFT(R28,FIND(".",R28)+2),指数分析!$D$5,指数分析!$D$6,2,1))</f>
        <v>32.467304948594631</v>
      </c>
      <c r="Y28" s="59"/>
      <c r="Z28" s="59"/>
    </row>
    <row r="29" spans="2:26" s="53" customFormat="1" ht="12.75" x14ac:dyDescent="0.15">
      <c r="B29" s="52">
        <f ca="1">IF(E29="","",IF(COUNTIF(E$6:E29,E29)=1,RANK(E29,E:E,0),RANK(E29,E:E,0)+COUNTIF(E$6:E29,E29)-1))</f>
        <v>23</v>
      </c>
      <c r="C29" s="52">
        <f t="shared" si="1"/>
        <v>24</v>
      </c>
      <c r="D29" s="53" t="str">
        <f t="shared" ca="1" si="4"/>
        <v>ISEQ.GI爱尔兰综指</v>
      </c>
      <c r="E29" s="54">
        <f ca="1">IF(C29="","",[1]!f_pq_pctchange(VLOOKUP(C29,worldfield,2,FALSE),指数分析!$D$5,指数分析!$D$6)/100)</f>
        <v>0.10936700120242392</v>
      </c>
      <c r="F29" s="54" t="str">
        <f t="shared" ca="1" si="5"/>
        <v>VNINDEX.GI胡志明指数</v>
      </c>
      <c r="G29" s="54">
        <f t="shared" ca="1" si="6"/>
        <v>0.1057519845145707</v>
      </c>
      <c r="H29" s="54" t="str">
        <f t="shared" ca="1" si="7"/>
        <v>VNINDEX.GI胡志明指数:10.6%</v>
      </c>
      <c r="I29" s="55">
        <f ca="1">IF(H29="","",[1]!s_risk_stdevy(LEFT(H29,FIND(".",H29)+2),指数分析!$D$5,指数分析!$D$6,2,1))</f>
        <v>17.117819574260512</v>
      </c>
      <c r="J29" s="56">
        <f ca="1">IF(J28="","",IF([1]!td(J28-IF(指数分析!$D$7="日",1,IF(指数分析!$D$7="周",7,30)))-指数分析!$D$5&gt;=0,--[1]!td(J28-IF(指数分析!$D$7="日",1,IF(指数分析!$D$7="周",7,30))),""))</f>
        <v>45302</v>
      </c>
      <c r="K29" s="57">
        <f ca="1">IF(J29="","",[1]!f_dq_close($K$5,J29))</f>
        <v>1162.22</v>
      </c>
      <c r="L29" s="54">
        <f ca="1">IF(J29="","",[1]!f_pq_pctchange($K$5,J29,J29)/100)</f>
        <v>5.8542968817265617E-4</v>
      </c>
      <c r="M29" s="54">
        <f ca="1">IF(J29="","",[1]!f_pq_pctchange($K$5,指数分析!$D$5,J29)/100)</f>
        <v>3.1965335369643633E-2</v>
      </c>
      <c r="N29" s="54"/>
      <c r="P29" s="52">
        <f ca="1">MAX(rawdate!A:A)-15</f>
        <v>482</v>
      </c>
      <c r="Q29" s="52" t="str">
        <f t="shared" ca="1" si="2"/>
        <v>CI005825.WI</v>
      </c>
      <c r="R29" s="53" t="str">
        <f t="shared" ca="1" si="0"/>
        <v>CI005825.WI林业(中信)-41.7%</v>
      </c>
      <c r="S29" s="58">
        <f ca="1">VLOOKUP(P29,topfield,7,FALSE)</f>
        <v>-0.41686495783791599</v>
      </c>
      <c r="T29" s="56"/>
      <c r="U29" s="57"/>
      <c r="V29" s="57"/>
      <c r="W29" s="57"/>
      <c r="X29" s="55">
        <f ca="1">IF(R29="","",[1]!s_risk_stdevy(LEFT(R29,FIND(".",R29)+2),指数分析!$D$5,指数分析!$D$6,2,1))</f>
        <v>42.396525379810974</v>
      </c>
    </row>
    <row r="30" spans="2:26" s="53" customFormat="1" ht="12.75" x14ac:dyDescent="0.15">
      <c r="B30" s="52">
        <f ca="1">IF(E30="","",IF(COUNTIF(E$6:E30,E30)=1,RANK(E30,E:E,0),RANK(E30,E:E,0)+COUNTIF(E$6:E30,E30)-1))</f>
        <v>31</v>
      </c>
      <c r="C30" s="52">
        <f t="shared" si="1"/>
        <v>25</v>
      </c>
      <c r="D30" s="53" t="str">
        <f t="shared" ca="1" si="4"/>
        <v>JALSH.GI南非富时综指</v>
      </c>
      <c r="E30" s="54">
        <f ca="1">IF(C30="","",[1]!f_pq_pctchange(VLOOKUP(C30,worldfield,2,FALSE),指数分析!$D$5,指数分析!$D$6)/100)</f>
        <v>7.5477627338280451E-2</v>
      </c>
      <c r="F30" s="54" t="str">
        <f t="shared" ca="1" si="5"/>
        <v>GSPTSE.GI加拿大S&amp;P/TSX综合</v>
      </c>
      <c r="G30" s="54">
        <f t="shared" ca="1" si="6"/>
        <v>0.10424169980954744</v>
      </c>
      <c r="H30" s="54" t="str">
        <f t="shared" ca="1" si="7"/>
        <v>GSPTSE.GI加拿大S&amp;P/TSX综合:10.4%</v>
      </c>
      <c r="I30" s="55">
        <f ca="1">IF(H30="","",[1]!s_risk_stdevy(LEFT(H30,FIND(".",H30)+2),指数分析!$D$5,指数分析!$D$6,2,1))</f>
        <v>12.003381992946721</v>
      </c>
      <c r="J30" s="56">
        <f ca="1">IF(J29="","",IF([1]!td(J29-IF(指数分析!$D$7="日",1,IF(指数分析!$D$7="周",7,30)))-指数分析!$D$5&gt;=0,--[1]!td(J29-IF(指数分析!$D$7="日",1,IF(指数分析!$D$7="周",7,30))),""))</f>
        <v>45295</v>
      </c>
      <c r="K30" s="57">
        <f ca="1">IF(J30="","",[1]!f_dq_close($K$5,J30))</f>
        <v>1150.72</v>
      </c>
      <c r="L30" s="54">
        <f ca="1">IF(J30="","",[1]!f_pq_pctchange($K$5,J30,J30)/100)</f>
        <v>5.7246737809939496E-3</v>
      </c>
      <c r="M30" s="54">
        <f ca="1">IF(J30="","",[1]!f_pq_pctchange($K$5,指数分析!$D$5,J30)/100)</f>
        <v>2.1754186571007361E-2</v>
      </c>
      <c r="N30" s="54"/>
      <c r="P30" s="52">
        <f ca="1">MAX(rawdate!A:A)-14</f>
        <v>483</v>
      </c>
      <c r="Q30" s="52" t="str">
        <f t="shared" ca="1" si="2"/>
        <v>CI005816.WI</v>
      </c>
      <c r="R30" s="53" t="str">
        <f t="shared" ca="1" si="0"/>
        <v>CI005816.WI教育(中信)-43.0%</v>
      </c>
      <c r="S30" s="58">
        <f ca="1">VLOOKUP(P30,topfield,7,FALSE)</f>
        <v>-0.42969895835859506</v>
      </c>
      <c r="T30" s="56"/>
      <c r="U30" s="57"/>
      <c r="V30" s="57"/>
      <c r="W30" s="57"/>
      <c r="X30" s="55">
        <f ca="1">IF(R30="","",[1]!s_risk_stdevy(LEFT(R30,FIND(".",R30)+2),指数分析!$D$5,指数分析!$D$6,2,1))</f>
        <v>35.677845416639201</v>
      </c>
    </row>
    <row r="31" spans="2:26" s="53" customFormat="1" ht="12.75" x14ac:dyDescent="0.15">
      <c r="B31" s="52">
        <f ca="1">IF(E31="","",IF(COUNTIF(E$6:E31,E31)=1,RANK(E31,E:E,0),RANK(E31,E:E,0)+COUNTIF(E$6:E31,E31)-1))</f>
        <v>3</v>
      </c>
      <c r="C31" s="52">
        <f t="shared" si="1"/>
        <v>26</v>
      </c>
      <c r="D31" s="53" t="str">
        <f t="shared" ca="1" si="4"/>
        <v>KAX.GI丹麦OMX20</v>
      </c>
      <c r="E31" s="54">
        <f ca="1">IF(C31="","",[1]!f_pq_pctchange(VLOOKUP(C31,worldfield,2,FALSE),指数分析!$D$5,指数分析!$D$6)/100)</f>
        <v>0.43910266345394322</v>
      </c>
      <c r="F31" s="54" t="str">
        <f t="shared" ca="1" si="5"/>
        <v>ASE.GI希腊ASE综指</v>
      </c>
      <c r="G31" s="54">
        <f t="shared" ca="1" si="6"/>
        <v>9.7592621541347402E-2</v>
      </c>
      <c r="H31" s="54" t="str">
        <f t="shared" ca="1" si="7"/>
        <v>ASE.GI希腊ASE综指:9.8%</v>
      </c>
      <c r="I31" s="55">
        <f ca="1">IF(H31="","",[1]!s_risk_stdevy(LEFT(H31,FIND(".",H31)+2),指数分析!$D$5,指数分析!$D$6,2,1))</f>
        <v>14.984473746993737</v>
      </c>
      <c r="J31" s="56">
        <f ca="1">IF(J30="","",IF([1]!td(J30-IF(指数分析!$D$7="日",1,IF(指数分析!$D$7="周",7,30)))-指数分析!$D$5&gt;=0,--[1]!td(J30-IF(指数分析!$D$7="日",1,IF(指数分析!$D$7="周",7,30))),""))</f>
        <v>45288</v>
      </c>
      <c r="K31" s="57">
        <f ca="1">IF(J31="","",[1]!f_dq_close($K$5,J31))</f>
        <v>1128.93</v>
      </c>
      <c r="L31" s="54">
        <f ca="1">IF(J31="","",[1]!f_pq_pctchange($K$5,J31,J31)/100)</f>
        <v>6.1854383728909834E-3</v>
      </c>
      <c r="M31" s="54">
        <f ca="1">IF(J31="","",[1]!f_pq_pctchange($K$5,指数分析!$D$5,J31)/100)</f>
        <v>2.4062794125481179E-3</v>
      </c>
      <c r="N31" s="54"/>
      <c r="P31" s="52">
        <f ca="1">MAX(rawdate!A:A)-13</f>
        <v>484</v>
      </c>
      <c r="Q31" s="52" t="str">
        <f t="shared" ca="1" si="2"/>
        <v>CI005144.WI</v>
      </c>
      <c r="R31" s="53" t="str">
        <f t="shared" ca="1" si="0"/>
        <v>CI005144.WI酒店及餐饮(中信)-43.2%</v>
      </c>
      <c r="S31" s="58">
        <f ca="1">VLOOKUP(P31,topfield,7,FALSE)</f>
        <v>-0.43228688504152191</v>
      </c>
      <c r="T31" s="56"/>
      <c r="U31" s="57"/>
      <c r="V31" s="57"/>
      <c r="W31" s="57"/>
      <c r="X31" s="55">
        <f ca="1">IF(R31="","",[1]!s_risk_stdevy(LEFT(R31,FIND(".",R31)+2),指数分析!$D$5,指数分析!$D$6,2,1))</f>
        <v>33.368233893698815</v>
      </c>
    </row>
    <row r="32" spans="2:26" s="53" customFormat="1" ht="12.75" x14ac:dyDescent="0.15">
      <c r="B32" s="52">
        <f ca="1">IF(E32="","",IF(COUNTIF(E$6:E32,E32)=1,RANK(E32,E:E,0),RANK(E32,E:E,0)+COUNTIF(E$6:E32,E32)-1))</f>
        <v>42</v>
      </c>
      <c r="C32" s="52">
        <f t="shared" si="1"/>
        <v>27</v>
      </c>
      <c r="D32" s="53" t="str">
        <f t="shared" ca="1" si="4"/>
        <v>LUXXX.GI卢森堡LUXX</v>
      </c>
      <c r="E32" s="54">
        <f ca="1">IF(C32="","",[1]!f_pq_pctchange(VLOOKUP(C32,worldfield,2,FALSE),指数分析!$D$5,指数分析!$D$6)/100)</f>
        <v>-3.6760435781663658E-2</v>
      </c>
      <c r="F32" s="54" t="str">
        <f t="shared" ca="1" si="5"/>
        <v>KS11.GI韩国综合指数</v>
      </c>
      <c r="G32" s="54">
        <f t="shared" ca="1" si="6"/>
        <v>9.4484585082287284E-2</v>
      </c>
      <c r="H32" s="54" t="str">
        <f t="shared" ca="1" si="7"/>
        <v>KS11.GI韩国综合指数:9.4%</v>
      </c>
      <c r="I32" s="55">
        <f ca="1">IF(H32="","",[1]!s_risk_stdevy(LEFT(H32,FIND(".",H32)+2),指数分析!$D$5,指数分析!$D$6,2,1))</f>
        <v>14.884063546365461</v>
      </c>
      <c r="J32" s="56">
        <f ca="1">IF(J31="","",IF([1]!td(J31-IF(指数分析!$D$7="日",1,IF(指数分析!$D$7="周",7,30)))-指数分析!$D$5&gt;=0,--[1]!td(J31-IF(指数分析!$D$7="日",1,IF(指数分析!$D$7="周",7,30))),""))</f>
        <v>45281</v>
      </c>
      <c r="K32" s="57">
        <f ca="1">IF(J32="","",[1]!f_dq_close($K$5,J32))</f>
        <v>1102.43</v>
      </c>
      <c r="L32" s="54">
        <f ca="1">IF(J32="","",[1]!f_pq_pctchange($K$5,J32,J32)/100)</f>
        <v>1.5171336167738581E-3</v>
      </c>
      <c r="M32" s="54">
        <f ca="1">IF(J32="","",[1]!f_pq_pctchange($K$5,指数分析!$D$5,J32)/100)</f>
        <v>-2.1123759123439445E-2</v>
      </c>
      <c r="N32" s="54"/>
      <c r="P32" s="52">
        <f ca="1">MAX(rawdate!A:A)-12</f>
        <v>485</v>
      </c>
      <c r="Q32" s="52" t="str">
        <f t="shared" ca="1" si="2"/>
        <v>801104.SI</v>
      </c>
      <c r="R32" s="53" t="str">
        <f t="shared" ca="1" si="0"/>
        <v>801104.SI软件开发(申万)-43.4%</v>
      </c>
      <c r="S32" s="58">
        <f ca="1">VLOOKUP(P32,topfield,7,FALSE)</f>
        <v>-0.43418669380663588</v>
      </c>
      <c r="T32" s="56"/>
      <c r="U32" s="57"/>
      <c r="V32" s="57"/>
      <c r="W32" s="57"/>
      <c r="X32" s="55">
        <f ca="1">IF(R32="","",[1]!s_risk_stdevy(LEFT(R32,FIND(".",R32)+2),指数分析!$D$5,指数分析!$D$6,2,1))</f>
        <v>34.178577419474479</v>
      </c>
    </row>
    <row r="33" spans="2:24" s="53" customFormat="1" ht="12.75" x14ac:dyDescent="0.15">
      <c r="B33" s="52">
        <f ca="1">IF(E33="","",IF(COUNTIF(E$6:E33,E33)=1,RANK(E33,E:E,0),RANK(E33,E:E,0)+COUNTIF(E$6:E33,E33)-1))</f>
        <v>14</v>
      </c>
      <c r="C33" s="52">
        <f t="shared" si="1"/>
        <v>28</v>
      </c>
      <c r="D33" s="53" t="str">
        <f t="shared" ca="1" si="4"/>
        <v>OMXSPI.GI瑞典OMX全指</v>
      </c>
      <c r="E33" s="54">
        <f ca="1">IF(C33="","",[1]!f_pq_pctchange(VLOOKUP(C33,worldfield,2,FALSE),指数分析!$D$5,指数分析!$D$6)/100)</f>
        <v>0.18316318667917345</v>
      </c>
      <c r="F33" s="54" t="str">
        <f t="shared" ca="1" si="5"/>
        <v>SSMI.GI瑞士SMI</v>
      </c>
      <c r="G33" s="54">
        <f t="shared" ca="1" si="6"/>
        <v>9.1660158845448661E-2</v>
      </c>
      <c r="H33" s="54" t="str">
        <f t="shared" ca="1" si="7"/>
        <v>SSMI.GI瑞士SMI:9.2%</v>
      </c>
      <c r="I33" s="55">
        <f ca="1">IF(H33="","",[1]!s_risk_stdevy(LEFT(H33,FIND(".",H33)+2),指数分析!$D$5,指数分析!$D$6,2,1))</f>
        <v>11.339104668976404</v>
      </c>
      <c r="J33" s="56">
        <f ca="1">IF(J32="","",IF([1]!td(J32-IF(指数分析!$D$7="日",1,IF(指数分析!$D$7="周",7,30)))-指数分析!$D$5&gt;=0,--[1]!td(J32-IF(指数分析!$D$7="日",1,IF(指数分析!$D$7="周",7,30))),""))</f>
        <v>45274</v>
      </c>
      <c r="K33" s="57">
        <f ca="1">IF(J33="","",[1]!f_dq_close($K$5,J33))</f>
        <v>1110.1300000000001</v>
      </c>
      <c r="L33" s="54">
        <f ca="1">IF(J33="","",[1]!f_pq_pctchange($K$5,J33,J33)/100)</f>
        <v>-3.6528450906478938E-3</v>
      </c>
      <c r="M33" s="54">
        <f ca="1">IF(J33="","",[1]!f_pq_pctchange($K$5,指数分析!$D$5,J33)/100)</f>
        <v>-1.4286729058265668E-2</v>
      </c>
      <c r="N33" s="54"/>
      <c r="P33" s="52">
        <f ca="1">MAX(rawdate!A:A)-11</f>
        <v>486</v>
      </c>
      <c r="Q33" s="52" t="str">
        <f t="shared" ca="1" si="2"/>
        <v>801092.SI</v>
      </c>
      <c r="R33" s="53" t="str">
        <f t="shared" ca="1" si="0"/>
        <v>801092.SI汽车服务(申万)-43.8%</v>
      </c>
      <c r="S33" s="58">
        <f ca="1">VLOOKUP(P33,topfield,7,FALSE)</f>
        <v>-0.43823390591701583</v>
      </c>
      <c r="T33" s="56"/>
      <c r="U33" s="57"/>
      <c r="V33" s="57"/>
      <c r="W33" s="57"/>
      <c r="X33" s="55">
        <f ca="1">IF(R33="","",[1]!s_risk_stdevy(LEFT(R33,FIND(".",R33)+2),指数分析!$D$5,指数分析!$D$6,2,1))</f>
        <v>31.196027657051197</v>
      </c>
    </row>
    <row r="34" spans="2:24" s="53" customFormat="1" ht="12.75" x14ac:dyDescent="0.15">
      <c r="B34" s="52">
        <f ca="1">IF(E34="","",IF(COUNTIF(E$6:E34,E34)=1,RANK(E34,E:E,0),RANK(E34,E:E,0)+COUNTIF(E$6:E34,E34)-1))</f>
        <v>9</v>
      </c>
      <c r="C34" s="52">
        <f t="shared" si="1"/>
        <v>29</v>
      </c>
      <c r="D34" s="53" t="str">
        <f t="shared" ca="1" si="4"/>
        <v>OSEAX.GI挪威OSEAX</v>
      </c>
      <c r="E34" s="54">
        <f ca="1">IF(C34="","",[1]!f_pq_pctchange(VLOOKUP(C34,worldfield,2,FALSE),指数分析!$D$5,指数分析!$D$6)/100)</f>
        <v>0.21027240316546969</v>
      </c>
      <c r="F34" s="54" t="str">
        <f t="shared" ca="1" si="5"/>
        <v>TA125.GI以色列TA125</v>
      </c>
      <c r="G34" s="54">
        <f t="shared" ca="1" si="6"/>
        <v>9.058992291763189E-2</v>
      </c>
      <c r="H34" s="54" t="str">
        <f t="shared" ca="1" si="7"/>
        <v>TA125.GI以色列TA125:9.1%</v>
      </c>
      <c r="I34" s="55">
        <f ca="1">IF(H34="","",[1]!s_risk_stdevy(LEFT(H34,FIND(".",H34)+2),指数分析!$D$5,指数分析!$D$6,2,1))</f>
        <v>13.853067955022617</v>
      </c>
      <c r="J34" s="56">
        <f ca="1">IF(J33="","",IF([1]!td(J33-IF(指数分析!$D$7="日",1,IF(指数分析!$D$7="周",7,30)))-指数分析!$D$5&gt;=0,--[1]!td(J33-IF(指数分析!$D$7="日",1,IF(指数分析!$D$7="周",7,30))),""))</f>
        <v>45267</v>
      </c>
      <c r="K34" s="57">
        <f ca="1">IF(J34="","",[1]!f_dq_close($K$5,J34))</f>
        <v>1121.49</v>
      </c>
      <c r="L34" s="54">
        <f ca="1">IF(J34="","",[1]!f_pq_pctchange($K$5,J34,J34)/100)</f>
        <v>-4.3855366068020762E-3</v>
      </c>
      <c r="M34" s="54">
        <f ca="1">IF(J34="","",[1]!f_pq_pctchange($K$5,指数分析!$D$5,J34)/100)</f>
        <v>-4.1998898971782328E-3</v>
      </c>
      <c r="N34" s="54"/>
      <c r="P34" s="52">
        <f ca="1">MAX(rawdate!A:A)-10</f>
        <v>487</v>
      </c>
      <c r="Q34" s="52" t="str">
        <f t="shared" ca="1" si="2"/>
        <v>801722.SI</v>
      </c>
      <c r="R34" s="53" t="str">
        <f t="shared" ca="1" si="0"/>
        <v>801722.SI装修装饰Ⅱ(申万)-43.9%</v>
      </c>
      <c r="S34" s="58">
        <f ca="1">VLOOKUP(P34,topfield,7,FALSE)</f>
        <v>-0.43867986504141221</v>
      </c>
      <c r="T34" s="56"/>
      <c r="U34" s="57"/>
      <c r="V34" s="57"/>
      <c r="W34" s="57"/>
      <c r="X34" s="55">
        <f ca="1">IF(R34="","",[1]!s_risk_stdevy(LEFT(R34,FIND(".",R34)+2),指数分析!$D$5,指数分析!$D$6,2,1))</f>
        <v>32.741632416239142</v>
      </c>
    </row>
    <row r="35" spans="2:24" s="53" customFormat="1" ht="12.75" x14ac:dyDescent="0.15">
      <c r="B35" s="52">
        <f ca="1">IF(E35="","",IF(COUNTIF(E$6:E35,E35)=1,RANK(E35,E:E,0),RANK(E35,E:E,0)+COUNTIF(E$6:E35,E35)-1))</f>
        <v>11</v>
      </c>
      <c r="C35" s="52">
        <f t="shared" si="1"/>
        <v>30</v>
      </c>
      <c r="D35" s="53" t="str">
        <f t="shared" ca="1" si="4"/>
        <v>PX.GI布拉格综指</v>
      </c>
      <c r="E35" s="54">
        <f ca="1">IF(C35="","",[1]!f_pq_pctchange(VLOOKUP(C35,worldfield,2,FALSE),指数分析!$D$5,指数分析!$D$6)/100)</f>
        <v>0.2021727465725196</v>
      </c>
      <c r="F35" s="54" t="str">
        <f t="shared" ca="1" si="5"/>
        <v>AS51.GI澳洲标普200</v>
      </c>
      <c r="G35" s="54">
        <f t="shared" ca="1" si="6"/>
        <v>8.4679727974752428E-2</v>
      </c>
      <c r="H35" s="54" t="str">
        <f t="shared" ca="1" si="7"/>
        <v>AS51.GI澳洲标普200:8.5%</v>
      </c>
      <c r="I35" s="55">
        <f ca="1">IF(H35="","",[1]!s_risk_stdevy(LEFT(H35,FIND(".",H35)+2),指数分析!$D$5,指数分析!$D$6,2,1))</f>
        <v>11.196407167435471</v>
      </c>
      <c r="J35" s="56">
        <f ca="1">IF(J34="","",IF([1]!td(J34-IF(指数分析!$D$7="日",1,IF(指数分析!$D$7="周",7,30)))-指数分析!$D$5&gt;=0,--[1]!td(J34-IF(指数分析!$D$7="日",1,IF(指数分析!$D$7="周",7,30))),""))</f>
        <v>45260</v>
      </c>
      <c r="K35" s="57">
        <f ca="1">IF(J35="","",[1]!f_dq_close($K$5,J35))</f>
        <v>1094.1300000000001</v>
      </c>
      <c r="L35" s="54">
        <f ca="1">IF(J35="","",[1]!f_pq_pctchange($K$5,J35,J35)/100)</f>
        <v>-7.8618063112076975E-3</v>
      </c>
      <c r="M35" s="54">
        <f ca="1">IF(J35="","",[1]!f_pq_pctchange($K$5,指数分析!$D$5,J35)/100)</f>
        <v>-2.8493544778107172E-2</v>
      </c>
      <c r="N35" s="54"/>
      <c r="P35" s="52">
        <f ca="1">MAX(rawdate!A:A)-9</f>
        <v>488</v>
      </c>
      <c r="Q35" s="52" t="str">
        <f t="shared" ca="1" si="2"/>
        <v>801206.SI</v>
      </c>
      <c r="R35" s="53" t="str">
        <f t="shared" ca="1" si="0"/>
        <v>801206.SI互联网电商(申万)-44.6%</v>
      </c>
      <c r="S35" s="58">
        <f ca="1">VLOOKUP(P35,topfield,7,FALSE)</f>
        <v>-0.4462687217860356</v>
      </c>
      <c r="T35" s="56"/>
      <c r="U35" s="57"/>
      <c r="V35" s="57"/>
      <c r="W35" s="57"/>
      <c r="X35" s="55">
        <f ca="1">IF(R35="","",[1]!s_risk_stdevy(LEFT(R35,FIND(".",R35)+2),指数分析!$D$5,指数分析!$D$6,2,1))</f>
        <v>36.827170609376871</v>
      </c>
    </row>
    <row r="36" spans="2:24" s="53" customFormat="1" ht="12.75" x14ac:dyDescent="0.15">
      <c r="B36" s="52">
        <f ca="1">IF(E36="","",IF(COUNTIF(E$6:E36,E36)=1,RANK(E36,E:E,0),RANK(E36,E:E,0)+COUNTIF(E$6:E36,E36)-1))</f>
        <v>13</v>
      </c>
      <c r="C36" s="52">
        <f t="shared" si="1"/>
        <v>31</v>
      </c>
      <c r="D36" s="53" t="str">
        <f t="shared" ca="1" si="4"/>
        <v>RTSI.GIRTS指数</v>
      </c>
      <c r="E36" s="54">
        <f ca="1">IF(C36="","",[1]!f_pq_pctchange(VLOOKUP(C36,worldfield,2,FALSE),指数分析!$D$5,指数分析!$D$6)/100)</f>
        <v>0.19354639366380688</v>
      </c>
      <c r="F36" s="54" t="str">
        <f t="shared" ca="1" si="5"/>
        <v>JALSH.GI南非富时综指</v>
      </c>
      <c r="G36" s="54">
        <f t="shared" ca="1" si="6"/>
        <v>7.5477627338280451E-2</v>
      </c>
      <c r="H36" s="54" t="str">
        <f t="shared" ca="1" si="7"/>
        <v>JALSH.GI南非富时综指:7.5%</v>
      </c>
      <c r="I36" s="55">
        <f ca="1">IF(H36="","",[1]!s_risk_stdevy(LEFT(H36,FIND(".",H36)+2),指数分析!$D$5,指数分析!$D$6,2,1))</f>
        <v>15.668176975685119</v>
      </c>
      <c r="J36" s="56">
        <f ca="1">IF(J35="","",IF([1]!td(J35-IF(指数分析!$D$7="日",1,IF(指数分析!$D$7="周",7,30)))-指数分析!$D$5&gt;=0,--[1]!td(J35-IF(指数分析!$D$7="日",1,IF(指数分析!$D$7="周",7,30))),""))</f>
        <v>45253</v>
      </c>
      <c r="K36" s="57">
        <f ca="1">IF(J36="","",[1]!f_dq_close($K$5,J36))</f>
        <v>1088.49</v>
      </c>
      <c r="L36" s="54">
        <f ca="1">IF(J36="","",[1]!f_pq_pctchange($K$5,J36,J36)/100)</f>
        <v>-2.2741556086261605E-2</v>
      </c>
      <c r="M36" s="54">
        <f ca="1">IF(J36="","",[1]!f_pq_pctchange($K$5,指数分析!$D$5,J36)/100)</f>
        <v>-3.3501447319351452E-2</v>
      </c>
      <c r="N36" s="54"/>
      <c r="P36" s="52">
        <f ca="1">MAX(rawdate!A:A)-8</f>
        <v>489</v>
      </c>
      <c r="Q36" s="52" t="str">
        <f t="shared" ca="1" si="2"/>
        <v>801764.SI</v>
      </c>
      <c r="R36" s="53" t="str">
        <f t="shared" ca="1" si="0"/>
        <v>801764.SI游戏Ⅱ(申万)-44.8%</v>
      </c>
      <c r="S36" s="58">
        <f ca="1">VLOOKUP(P36,topfield,7,FALSE)</f>
        <v>-0.44837223050774588</v>
      </c>
      <c r="T36" s="56"/>
      <c r="U36" s="57"/>
      <c r="V36" s="57"/>
      <c r="W36" s="57"/>
      <c r="X36" s="55">
        <f ca="1">IF(R36="","",[1]!s_risk_stdevy(LEFT(R36,FIND(".",R36)+2),指数分析!$D$5,指数分析!$D$6,2,1))</f>
        <v>37.85828154311033</v>
      </c>
    </row>
    <row r="37" spans="2:24" s="53" customFormat="1" ht="12.75" x14ac:dyDescent="0.15">
      <c r="B37" s="52">
        <f ca="1">IF(E37="","",IF(COUNTIF(E$6:E37,E37)=1,RANK(E37,E:E,0),RANK(E37,E:E,0)+COUNTIF(E$6:E37,E37)-1))</f>
        <v>28</v>
      </c>
      <c r="C37" s="52">
        <f t="shared" si="1"/>
        <v>32</v>
      </c>
      <c r="D37" s="53" t="str">
        <f t="shared" ca="1" si="4"/>
        <v>SSMI.GI瑞士SMI</v>
      </c>
      <c r="E37" s="54">
        <f ca="1">IF(C37="","",[1]!f_pq_pctchange(VLOOKUP(C37,worldfield,2,FALSE),指数分析!$D$5,指数分析!$D$6)/100)</f>
        <v>9.1660158845448661E-2</v>
      </c>
      <c r="F37" s="54" t="str">
        <f t="shared" ca="1" si="5"/>
        <v>STI.GI富时新加坡海峡指数</v>
      </c>
      <c r="G37" s="54">
        <f t="shared" ca="1" si="6"/>
        <v>5.7887336014448953E-2</v>
      </c>
      <c r="H37" s="54" t="str">
        <f t="shared" ca="1" si="7"/>
        <v>STI.GI富时新加坡海峡指数:5.8%</v>
      </c>
      <c r="I37" s="55">
        <f ca="1">IF(H37="","",[1]!s_risk_stdevy(LEFT(H37,FIND(".",H37)+2),指数分析!$D$5,指数分析!$D$6,2,1))</f>
        <v>11.289744983138235</v>
      </c>
      <c r="J37" s="56">
        <f ca="1">IF(J36="","",IF([1]!td(J36-IF(指数分析!$D$7="日",1,IF(指数分析!$D$7="周",7,30)))-指数分析!$D$5&gt;=0,--[1]!td(J36-IF(指数分析!$D$7="日",1,IF(指数分析!$D$7="周",7,30))),""))</f>
        <v>45246</v>
      </c>
      <c r="K37" s="57">
        <f ca="1">IF(J37="","",[1]!f_dq_close($K$5,J37))</f>
        <v>1125.53</v>
      </c>
      <c r="L37" s="54">
        <f ca="1">IF(J37="","",[1]!f_pq_pctchange($K$5,J37,J37)/100)</f>
        <v>2.699331848552422E-3</v>
      </c>
      <c r="M37" s="54">
        <f ca="1">IF(J37="","",[1]!f_pq_pctchange($K$5,指数分析!$D$5,J37)/100)</f>
        <v>-6.1266892791822514E-4</v>
      </c>
      <c r="N37" s="54"/>
      <c r="P37" s="52">
        <f ca="1">MAX(rawdate!A:A)-7</f>
        <v>490</v>
      </c>
      <c r="Q37" s="52" t="str">
        <f t="shared" ca="1" si="2"/>
        <v>CI005809.WI</v>
      </c>
      <c r="R37" s="53" t="str">
        <f t="shared" ca="1" si="0"/>
        <v>CI005809.WI电源设备(中信)-45.0%</v>
      </c>
      <c r="S37" s="58">
        <f ca="1">VLOOKUP(P37,topfield,7,FALSE)</f>
        <v>-0.44991549698754535</v>
      </c>
      <c r="T37" s="56"/>
      <c r="U37" s="57"/>
      <c r="V37" s="57"/>
      <c r="W37" s="57"/>
      <c r="X37" s="55">
        <f ca="1">IF(R37="","",[1]!s_risk_stdevy(LEFT(R37,FIND(".",R37)+2),指数分析!$D$5,指数分析!$D$6,2,1))</f>
        <v>27.300252180600459</v>
      </c>
    </row>
    <row r="38" spans="2:24" s="53" customFormat="1" ht="12.75" x14ac:dyDescent="0.15">
      <c r="B38" s="52">
        <f ca="1">IF(E38="","",IF(COUNTIF(E$6:E38,E38)=1,RANK(E38,E:E,0),RANK(E38,E:E,0)+COUNTIF(E$6:E38,E38)-1))</f>
        <v>18</v>
      </c>
      <c r="C38" s="52">
        <f t="shared" si="1"/>
        <v>33</v>
      </c>
      <c r="D38" s="53" t="str">
        <f t="shared" ca="1" si="4"/>
        <v>SX5P.GI欧洲STOXX50(欧元)(退市)</v>
      </c>
      <c r="E38" s="54">
        <f ca="1">IF(C38="","",[1]!f_pq_pctchange(VLOOKUP(C38,worldfield,2,FALSE),指数分析!$D$5,指数分析!$D$6)/100)</f>
        <v>0.1611853246017938</v>
      </c>
      <c r="F38" s="54" t="str">
        <f t="shared" ca="1" si="5"/>
        <v>FCHI.GI法国CAC40</v>
      </c>
      <c r="G38" s="54">
        <f t="shared" ca="1" si="6"/>
        <v>5.6070847141249436E-2</v>
      </c>
      <c r="H38" s="54" t="str">
        <f t="shared" ca="1" si="7"/>
        <v>FCHI.GI法国CAC40:5.6%</v>
      </c>
      <c r="I38" s="55">
        <f ca="1">IF(H38="","",[1]!s_risk_stdevy(LEFT(H38,FIND(".",H38)+2),指数分析!$D$5,指数分析!$D$6,2,1))</f>
        <v>13.447934879093953</v>
      </c>
      <c r="J38" s="56">
        <f ca="1">IF(J37="","",IF([1]!td(J37-IF(指数分析!$D$7="日",1,IF(指数分析!$D$7="周",7,30)))-指数分析!$D$5&gt;=0,--[1]!td(J37-IF(指数分析!$D$7="日",1,IF(指数分析!$D$7="周",7,30))),""))</f>
        <v>45239</v>
      </c>
      <c r="K38" s="57">
        <f ca="1">IF(J38="","",[1]!f_dq_close($K$5,J38))</f>
        <v>1113.8900000000001</v>
      </c>
      <c r="L38" s="54">
        <f ca="1">IF(J38="","",[1]!f_pq_pctchange($K$5,J38,J38)/100)</f>
        <v>4.1313778145024571E-4</v>
      </c>
      <c r="M38" s="54">
        <f ca="1">IF(J38="","",[1]!f_pq_pctchange($K$5,指数分析!$D$5,J38)/100)</f>
        <v>-1.0948127364102889E-2</v>
      </c>
      <c r="N38" s="54"/>
      <c r="P38" s="52">
        <f ca="1">MAX(rawdate!A:A)-6</f>
        <v>491</v>
      </c>
      <c r="Q38" s="52" t="str">
        <f t="shared" ca="1" si="2"/>
        <v>CI005196.WI</v>
      </c>
      <c r="R38" s="53" t="str">
        <f t="shared" ca="1" si="0"/>
        <v>CI005196.WI建筑装修Ⅱ(中信)-45.0%</v>
      </c>
      <c r="S38" s="58">
        <f ca="1">VLOOKUP(P38,topfield,7,FALSE)</f>
        <v>-0.45039055879181011</v>
      </c>
      <c r="T38" s="56"/>
      <c r="U38" s="57"/>
      <c r="V38" s="57"/>
      <c r="W38" s="57"/>
      <c r="X38" s="55">
        <f ca="1">IF(R38="","",[1]!s_risk_stdevy(LEFT(R38,FIND(".",R38)+2),指数分析!$D$5,指数分析!$D$6,2,1))</f>
        <v>33.730781506208359</v>
      </c>
    </row>
    <row r="39" spans="2:24" s="53" customFormat="1" ht="12.75" x14ac:dyDescent="0.15">
      <c r="B39" s="52">
        <f ca="1">IF(E39="","",IF(COUNTIF(E$6:E39,E39)=1,RANK(E39,E:E,0),RANK(E39,E:E,0)+COUNTIF(E$6:E39,E39)-1))</f>
        <v>29</v>
      </c>
      <c r="C39" s="52">
        <f t="shared" si="1"/>
        <v>34</v>
      </c>
      <c r="D39" s="53" t="str">
        <f t="shared" ca="1" si="4"/>
        <v>TA125.GI以色列TA125</v>
      </c>
      <c r="E39" s="54">
        <f ca="1">IF(C39="","",[1]!f_pq_pctchange(VLOOKUP(C39,worldfield,2,FALSE),指数分析!$D$5,指数分析!$D$6)/100)</f>
        <v>9.058992291763189E-2</v>
      </c>
      <c r="F39" s="54" t="str">
        <f t="shared" ca="1" si="5"/>
        <v>IBOVESPA.GI巴西IBOVESPA指数</v>
      </c>
      <c r="G39" s="54">
        <f t="shared" ca="1" si="6"/>
        <v>5.5191069757301925E-2</v>
      </c>
      <c r="H39" s="54" t="str">
        <f t="shared" ca="1" si="7"/>
        <v>IBOVESPA.GI巴西IBOVESPA指数:5.5%</v>
      </c>
      <c r="I39" s="55">
        <f ca="1">IF(H39="","",[1]!s_risk_stdevy(LEFT(H39,FIND(".",H39)+2),指数分析!$D$5,指数分析!$D$6,2,1))</f>
        <v>12.120656884640463</v>
      </c>
      <c r="J39" s="56">
        <f ca="1">IF(J38="","",IF([1]!td(J38-IF(指数分析!$D$7="日",1,IF(指数分析!$D$7="周",7,30)))-指数分析!$D$5&gt;=0,--[1]!td(J38-IF(指数分析!$D$7="日",1,IF(指数分析!$D$7="周",7,30))),""))</f>
        <v>45232</v>
      </c>
      <c r="K39" s="57">
        <f ca="1">IF(J39="","",[1]!f_dq_close($K$5,J39))</f>
        <v>1075.47</v>
      </c>
      <c r="L39" s="54">
        <f ca="1">IF(J39="","",[1]!f_pq_pctchange($K$5,J39,J39)/100)</f>
        <v>3.4443952830732982E-2</v>
      </c>
      <c r="M39" s="54">
        <f ca="1">IF(J39="","",[1]!f_pq_pctchange($K$5,指数分析!$D$5,J39)/100)</f>
        <v>-4.5062243611372566E-2</v>
      </c>
      <c r="N39" s="54"/>
      <c r="P39" s="52">
        <f ca="1">MAX(rawdate!A:A)-5</f>
        <v>492</v>
      </c>
      <c r="Q39" s="52" t="str">
        <f t="shared" ca="1" si="2"/>
        <v>CI005817.WI</v>
      </c>
      <c r="R39" s="53" t="str">
        <f t="shared" ca="1" si="0"/>
        <v>CI005817.WI综合服务(中信)-46.1%</v>
      </c>
      <c r="S39" s="58">
        <f ca="1">VLOOKUP(P39,topfield,7,FALSE)</f>
        <v>-0.46128005051265164</v>
      </c>
      <c r="T39" s="56"/>
      <c r="U39" s="57"/>
      <c r="V39" s="57"/>
      <c r="W39" s="57"/>
      <c r="X39" s="55">
        <f ca="1">IF(R39="","",[1]!s_risk_stdevy(LEFT(R39,FIND(".",R39)+2),指数分析!$D$5,指数分析!$D$6,2,1))</f>
        <v>29.157068923828849</v>
      </c>
    </row>
    <row r="40" spans="2:24" s="53" customFormat="1" ht="12.75" x14ac:dyDescent="0.15">
      <c r="B40" s="52">
        <f ca="1">IF(E40="","",IF(COUNTIF(E$6:E40,E40)=1,RANK(E40,E:E,0),RANK(E40,E:E,0)+COUNTIF(E$6:E40,E40)-1))</f>
        <v>30</v>
      </c>
      <c r="C40" s="52">
        <f t="shared" si="1"/>
        <v>35</v>
      </c>
      <c r="D40" s="53" t="str">
        <f t="shared" ca="1" si="4"/>
        <v>AS51.GI澳洲标普200</v>
      </c>
      <c r="E40" s="54">
        <f ca="1">IF(C40="","",[1]!f_pq_pctchange(VLOOKUP(C40,worldfield,2,FALSE),指数分析!$D$5,指数分析!$D$6)/100)</f>
        <v>8.4679727974752428E-2</v>
      </c>
      <c r="F40" s="54" t="str">
        <f t="shared" ca="1" si="5"/>
        <v>JKSE.GI印尼综指</v>
      </c>
      <c r="G40" s="54">
        <f t="shared" ca="1" si="6"/>
        <v>4.5320556296561509E-2</v>
      </c>
      <c r="H40" s="54" t="str">
        <f t="shared" ca="1" si="7"/>
        <v>JKSE.GI印尼综指:4.5%</v>
      </c>
      <c r="I40" s="55">
        <f ca="1">IF(H40="","",[1]!s_risk_stdevy(LEFT(H40,FIND(".",H40)+2),指数分析!$D$5,指数分析!$D$6,2,1))</f>
        <v>9.6756233234120597</v>
      </c>
      <c r="J40" s="56">
        <f ca="1">IF(J39="","",IF([1]!td(J39-IF(指数分析!$D$7="日",1,IF(指数分析!$D$7="周",7,30)))-指数分析!$D$5&gt;=0,--[1]!td(J39-IF(指数分析!$D$7="日",1,IF(指数分析!$D$7="周",7,30))),""))</f>
        <v>45225</v>
      </c>
      <c r="K40" s="57">
        <f ca="1">IF(J40="","",[1]!f_dq_close($K$5,J40))</f>
        <v>1055.45</v>
      </c>
      <c r="L40" s="54">
        <f ca="1">IF(J40="","",[1]!f_pq_pctchange($K$5,J40,J40)/100)</f>
        <v>-4.8166585502227403E-2</v>
      </c>
      <c r="M40" s="54">
        <f ca="1">IF(J40="","",[1]!f_pq_pctchange($K$5,指数分析!$D$5,J40)/100)</f>
        <v>-6.2838521780824386E-2</v>
      </c>
      <c r="N40" s="54"/>
      <c r="P40" s="52">
        <f ca="1">MAX(rawdate!A:A)-4</f>
        <v>493</v>
      </c>
      <c r="Q40" s="52" t="str">
        <f t="shared" ca="1" si="2"/>
        <v>801056.SI</v>
      </c>
      <c r="R40" s="53" t="str">
        <f t="shared" ca="1" si="0"/>
        <v>801056.SI能源金属(申万)-46.2%</v>
      </c>
      <c r="S40" s="58">
        <f ca="1">VLOOKUP(P40,topfield,7,FALSE)</f>
        <v>-0.46238180981764726</v>
      </c>
      <c r="T40" s="56"/>
      <c r="U40" s="57"/>
      <c r="V40" s="57"/>
      <c r="W40" s="57"/>
      <c r="X40" s="55">
        <f ca="1">IF(R40="","",[1]!s_risk_stdevy(LEFT(R40,FIND(".",R40)+2),指数分析!$D$5,指数分析!$D$6,2,1))</f>
        <v>35.116292067517506</v>
      </c>
    </row>
    <row r="41" spans="2:24" s="53" customFormat="1" ht="12.75" x14ac:dyDescent="0.15">
      <c r="B41" s="52">
        <f ca="1">IF(E41="","",IF(COUNTIF(E$6:E41,E41)=1,RANK(E41,E:E,0),RANK(E41,E:E,0)+COUNTIF(E$6:E41,E41)-1))</f>
        <v>38</v>
      </c>
      <c r="C41" s="52">
        <f t="shared" si="1"/>
        <v>36</v>
      </c>
      <c r="D41" s="53" t="str">
        <f t="shared" ca="1" si="4"/>
        <v>BLOM.GI贝鲁特BLOM</v>
      </c>
      <c r="E41" s="54">
        <f ca="1">IF(C41="","",[1]!f_pq_pctchange(VLOOKUP(C41,worldfield,2,FALSE),指数分析!$D$5,指数分析!$D$6)/100)</f>
        <v>-4.9050262297248848E-3</v>
      </c>
      <c r="F41" s="54" t="str">
        <f t="shared" ca="1" si="5"/>
        <v>HEX.GI芬兰OMX全指</v>
      </c>
      <c r="G41" s="54">
        <f t="shared" ca="1" si="6"/>
        <v>1.1399392352665183E-2</v>
      </c>
      <c r="H41" s="54" t="str">
        <f t="shared" ca="1" si="7"/>
        <v>HEX.GI芬兰OMX全指:1.1%</v>
      </c>
      <c r="I41" s="55">
        <f ca="1">IF(H41="","",[1]!s_risk_stdevy(LEFT(H41,FIND(".",H41)+2),指数分析!$D$5,指数分析!$D$6,2,1))</f>
        <v>12.969203860381255</v>
      </c>
      <c r="J41" s="56">
        <f ca="1">IF(J40="","",IF([1]!td(J40-IF(指数分析!$D$7="日",1,IF(指数分析!$D$7="周",7,30)))-指数分析!$D$5&gt;=0,--[1]!td(J40-IF(指数分析!$D$7="日",1,IF(指数分析!$D$7="周",7,30))),""))</f>
        <v>45218</v>
      </c>
      <c r="K41" s="57">
        <f ca="1">IF(J41="","",[1]!f_dq_close($K$5,J41))</f>
        <v>1087.8499999999999</v>
      </c>
      <c r="L41" s="54">
        <f ca="1">IF(J41="","",[1]!f_pq_pctchange($K$5,J41,J41)/100)</f>
        <v>-2.05726118663907E-2</v>
      </c>
      <c r="M41" s="54">
        <f ca="1">IF(J41="","",[1]!f_pq_pctchange($K$5,指数分析!$D$5,J41)/100)</f>
        <v>-3.4069719948145227E-2</v>
      </c>
      <c r="N41" s="54"/>
      <c r="P41" s="52">
        <f ca="1">MAX(rawdate!A:A)-3</f>
        <v>494</v>
      </c>
      <c r="Q41" s="52" t="str">
        <f t="shared" ca="1" si="2"/>
        <v>CI005814.WI</v>
      </c>
      <c r="R41" s="53" t="str">
        <f t="shared" ca="1" si="0"/>
        <v>CI005814.WI电商及服务Ⅱ(中信)-46.4%</v>
      </c>
      <c r="S41" s="58">
        <f ca="1">VLOOKUP(P41,topfield,7,FALSE)</f>
        <v>-0.46416228539687032</v>
      </c>
      <c r="T41" s="56"/>
      <c r="U41" s="57"/>
      <c r="V41" s="57"/>
      <c r="W41" s="57"/>
      <c r="X41" s="55">
        <f ca="1">IF(R41="","",[1]!s_risk_stdevy(LEFT(R41,FIND(".",R41)+2),指数分析!$D$5,指数分析!$D$6,2,1))</f>
        <v>35.889940462131534</v>
      </c>
    </row>
    <row r="42" spans="2:24" s="53" customFormat="1" ht="12.75" x14ac:dyDescent="0.15">
      <c r="B42" s="52">
        <f ca="1">IF(E42="","",IF(COUNTIF(E$6:E42,E42)=1,RANK(E42,E:E,0),RANK(E42,E:E,0)+COUNTIF(E$6:E42,E42)-1))</f>
        <v>35</v>
      </c>
      <c r="C42" s="52">
        <f t="shared" si="1"/>
        <v>37</v>
      </c>
      <c r="D42" s="53" t="str">
        <f t="shared" ca="1" si="4"/>
        <v>JKSE.GI印尼综指</v>
      </c>
      <c r="E42" s="54">
        <f ca="1">IF(C42="","",[1]!f_pq_pctchange(VLOOKUP(C42,worldfield,2,FALSE),指数分析!$D$5,指数分析!$D$6)/100)</f>
        <v>4.5320556296561509E-2</v>
      </c>
      <c r="F42" s="54" t="str">
        <f t="shared" ca="1" si="5"/>
        <v>SASEIDX.GI沙特全指</v>
      </c>
      <c r="G42" s="54">
        <f t="shared" ca="1" si="6"/>
        <v>7.0348881824398024E-3</v>
      </c>
      <c r="H42" s="54" t="str">
        <f t="shared" ca="1" si="7"/>
        <v>SASEIDX.GI沙特全指:0.7%</v>
      </c>
      <c r="I42" s="55">
        <f ca="1">IF(H42="","",[1]!s_risk_stdevy(LEFT(H42,FIND(".",H42)+2),指数分析!$D$5,指数分析!$D$6,2,1))</f>
        <v>11.529691926314278</v>
      </c>
      <c r="J42" s="56">
        <f ca="1">IF(J41="","",IF([1]!td(J41-IF(指数分析!$D$7="日",1,IF(指数分析!$D$7="周",7,30)))-指数分析!$D$5&gt;=0,--[1]!td(J41-IF(指数分析!$D$7="日",1,IF(指数分析!$D$7="周",7,30))),""))</f>
        <v>45211</v>
      </c>
      <c r="K42" s="57">
        <f ca="1">IF(J42="","",[1]!f_dq_close($K$5,J42))</f>
        <v>1151.6099999999999</v>
      </c>
      <c r="L42" s="54">
        <f ca="1">IF(J42="","",[1]!f_pq_pctchange($K$5,J42,J42)/100)</f>
        <v>6.951625376907522E-4</v>
      </c>
      <c r="M42" s="54">
        <f ca="1">IF(J42="","",[1]!f_pq_pctchange($K$5,指数分析!$D$5,J42)/100)</f>
        <v>2.2544440695423607E-2</v>
      </c>
      <c r="N42" s="54"/>
      <c r="P42" s="52">
        <f ca="1">MAX(rawdate!A:A)-2</f>
        <v>495</v>
      </c>
      <c r="Q42" s="52" t="str">
        <f t="shared" ca="1" si="2"/>
        <v>CI005139.WI</v>
      </c>
      <c r="R42" s="53" t="str">
        <f t="shared" ca="1" si="0"/>
        <v>CI005139.WI汽车销售及服务Ⅱ(中信)-48.5%</v>
      </c>
      <c r="S42" s="58">
        <f ca="1">VLOOKUP(P42,topfield,7,FALSE)</f>
        <v>-0.48480068170460655</v>
      </c>
      <c r="T42" s="56"/>
      <c r="U42" s="57"/>
      <c r="V42" s="57"/>
      <c r="W42" s="57"/>
      <c r="X42" s="55">
        <f ca="1">IF(R42="","",[1]!s_risk_stdevy(LEFT(R42,FIND(".",R42)+2),指数分析!$D$5,指数分析!$D$6,2,1))</f>
        <v>30.003157716710692</v>
      </c>
    </row>
    <row r="43" spans="2:24" s="53" customFormat="1" ht="12.75" x14ac:dyDescent="0.15">
      <c r="B43" s="52">
        <f ca="1">IF(E43="","",IF(COUNTIF(E$6:E43,E43)=1,RANK(E43,E:E,0),RANK(E43,E:E,0)+COUNTIF(E$6:E43,E43)-1))</f>
        <v>20</v>
      </c>
      <c r="C43" s="52">
        <f t="shared" si="1"/>
        <v>38</v>
      </c>
      <c r="D43" s="53" t="str">
        <f t="shared" ca="1" si="4"/>
        <v>KLSE.GI富时马来西亚综指</v>
      </c>
      <c r="E43" s="54">
        <f ca="1">IF(C43="","",[1]!f_pq_pctchange(VLOOKUP(C43,worldfield,2,FALSE),指数分析!$D$5,指数分析!$D$6)/100)</f>
        <v>0.14729247086835739</v>
      </c>
      <c r="F43" s="54" t="str">
        <f t="shared" ca="1" si="5"/>
        <v>BLOM.GI贝鲁特BLOM</v>
      </c>
      <c r="G43" s="54">
        <f t="shared" ca="1" si="6"/>
        <v>-4.9050262297248848E-3</v>
      </c>
      <c r="H43" s="54" t="str">
        <f t="shared" ca="1" si="7"/>
        <v>BLOM.GI贝鲁特BLOM:-0.5%</v>
      </c>
      <c r="I43" s="55">
        <f ca="1">IF(H43="","",[1]!s_risk_stdevy(LEFT(H43,FIND(".",H43)+2),指数分析!$D$5,指数分析!$D$6,2,1))</f>
        <v>23.083261372609726</v>
      </c>
      <c r="J43" s="56">
        <f ca="1">IF(J42="","",IF([1]!td(J42-IF(指数分析!$D$7="日",1,IF(指数分析!$D$7="周",7,30)))-指数分析!$D$5&gt;=0,--[1]!td(J42-IF(指数分析!$D$7="日",1,IF(指数分析!$D$7="周",7,30))),""))</f>
        <v>45197</v>
      </c>
      <c r="K43" s="57">
        <f ca="1">IF(J43="","",[1]!f_dq_close($K$5,J43))</f>
        <v>1152.43</v>
      </c>
      <c r="L43" s="54">
        <f ca="1">IF(J43="","",[1]!f_pq_pctchange($K$5,J43,J43)/100)</f>
        <v>-1.2306625644580294E-3</v>
      </c>
      <c r="M43" s="54">
        <f ca="1">IF(J43="","",[1]!f_pq_pctchange($K$5,指数分析!$D$5,J43)/100)</f>
        <v>2.32725400010656E-2</v>
      </c>
      <c r="N43" s="54"/>
      <c r="P43" s="52">
        <f ca="1">MAX(rawdate!A:A)-1</f>
        <v>496</v>
      </c>
      <c r="Q43" s="52" t="str">
        <f t="shared" ca="1" si="2"/>
        <v>801735.SI</v>
      </c>
      <c r="R43" s="53" t="str">
        <f ca="1">Q43&amp;VLOOKUP(P43,topfield,4,FALSE)&amp;TEXT(S43,"0.0%")</f>
        <v>801735.SI光伏设备(申万)-50.7%</v>
      </c>
      <c r="S43" s="58">
        <f ca="1">VLOOKUP(P43,topfield,7,FALSE)</f>
        <v>-0.50680978787727637</v>
      </c>
      <c r="T43" s="56"/>
      <c r="U43" s="57"/>
      <c r="V43" s="57"/>
      <c r="W43" s="57"/>
      <c r="X43" s="55">
        <f ca="1">IF(R43="","",[1]!s_risk_stdevy(LEFT(R43,FIND(".",R43)+2),指数分析!$D$5,指数分析!$D$6,2,1))</f>
        <v>31.606658268084786</v>
      </c>
    </row>
    <row r="44" spans="2:24" s="53" customFormat="1" ht="12.75" x14ac:dyDescent="0.15">
      <c r="B44" s="52">
        <f ca="1">IF(E44="","",IF(COUNTIF(E$6:E44,E44)=1,RANK(E44,E:E,0),RANK(E44,E:E,0)+COUNTIF(E$6:E44,E44)-1))</f>
        <v>27</v>
      </c>
      <c r="C44" s="52">
        <f t="shared" si="1"/>
        <v>39</v>
      </c>
      <c r="D44" s="53" t="str">
        <f t="shared" ca="1" si="4"/>
        <v>KS11.GI韩国综合指数</v>
      </c>
      <c r="E44" s="54">
        <f ca="1">IF(C44="","",[1]!f_pq_pctchange(VLOOKUP(C44,worldfield,2,FALSE),指数分析!$D$5,指数分析!$D$6)/100)</f>
        <v>9.4484585082287284E-2</v>
      </c>
      <c r="F44" s="54" t="str">
        <f t="shared" ca="1" si="5"/>
        <v>PSI.GI马尼拉综指</v>
      </c>
      <c r="G44" s="54">
        <f t="shared" ca="1" si="6"/>
        <v>-9.6304442515439126E-3</v>
      </c>
      <c r="H44" s="54" t="str">
        <f t="shared" ca="1" si="7"/>
        <v>PSI.GI马尼拉综指:-1.0%</v>
      </c>
      <c r="I44" s="55">
        <f ca="1">IF(H44="","",[1]!s_risk_stdevy(LEFT(H44,FIND(".",H44)+2),指数分析!$D$5,指数分析!$D$6,2,1))</f>
        <v>13.877156122985888</v>
      </c>
      <c r="J44" s="56">
        <f ca="1">IF(J43="","",IF([1]!td(J43-IF(指数分析!$D$7="日",1,IF(指数分析!$D$7="周",7,30)))-指数分析!$D$5&gt;=0,--[1]!td(J43-IF(指数分析!$D$7="日",1,IF(指数分析!$D$7="周",7,30))),""))</f>
        <v>45190</v>
      </c>
      <c r="K44" s="57">
        <f ca="1">IF(J44="","",[1]!f_dq_close($K$5,J44))</f>
        <v>1218.56</v>
      </c>
      <c r="L44" s="54">
        <f ca="1">IF(J44="","",[1]!f_pq_pctchange($K$5,J44,J44)/100)</f>
        <v>-6.1576856888859721E-3</v>
      </c>
      <c r="M44" s="54">
        <f ca="1">IF(J44="","",[1]!f_pq_pctchange($K$5,指数分析!$D$5,J44)/100)</f>
        <v>8.1991085223135793E-2</v>
      </c>
      <c r="N44" s="54"/>
      <c r="P44" s="52">
        <f ca="1">MAX(rawdate!A:A)</f>
        <v>497</v>
      </c>
      <c r="Q44" s="52" t="str">
        <f ca="1">VLOOKUP(P44,topfield,3,FALSE)</f>
        <v>TWSE025.TW</v>
      </c>
      <c r="R44" s="53" t="str">
        <f t="shared" ca="1" si="0"/>
        <v>TWSE025.TW台湾综合行业指数-100.0%</v>
      </c>
      <c r="S44" s="58">
        <f ca="1">VLOOKUP(P44,topfield,7,FALSE)</f>
        <v>-1</v>
      </c>
      <c r="T44" s="56"/>
      <c r="U44" s="57"/>
      <c r="V44" s="57"/>
      <c r="W44" s="57"/>
      <c r="X44" s="55" t="str">
        <f ca="1">IF(R44="","",[1]!s_risk_stdevy(LEFT(R44,FIND(".",R44)+2),指数分析!$D$5,指数分析!$D$6,2,1))</f>
        <v>0</v>
      </c>
    </row>
    <row r="45" spans="2:24" s="53" customFormat="1" ht="12.75" x14ac:dyDescent="0.15">
      <c r="B45" s="52">
        <f ca="1">IF(E45="","",IF(COUNTIF(E$6:E45,E45)=1,RANK(E45,E:E,0),RANK(E45,E:E,0)+COUNTIF(E$6:E45,E45)-1))</f>
        <v>10</v>
      </c>
      <c r="C45" s="52">
        <f t="shared" si="1"/>
        <v>40</v>
      </c>
      <c r="D45" s="53" t="str">
        <f t="shared" ca="1" si="4"/>
        <v>N225.GI日经225</v>
      </c>
      <c r="E45" s="54">
        <f ca="1">IF(C45="","",[1]!f_pq_pctchange(VLOOKUP(C45,worldfield,2,FALSE),指数分析!$D$5,指数分析!$D$6)/100)</f>
        <v>0.20779470430250258</v>
      </c>
      <c r="F45" s="54" t="str">
        <f t="shared" ca="1" si="5"/>
        <v>NZ50.GI新西兰标普50</v>
      </c>
      <c r="G45" s="54">
        <f t="shared" ca="1" si="6"/>
        <v>-1.3260776314392153E-2</v>
      </c>
      <c r="H45" s="54" t="str">
        <f t="shared" ca="1" si="7"/>
        <v>NZ50.GI新西兰标普50:-1.3%</v>
      </c>
      <c r="I45" s="55">
        <f ca="1">IF(H45="","",[1]!s_risk_stdevy(LEFT(H45,FIND(".",H45)+2),指数分析!$D$5,指数分析!$D$6,2,1))</f>
        <v>8.0851112403686187</v>
      </c>
      <c r="J45" s="56">
        <f ca="1">IF(J44="","",IF([1]!td(J44-IF(指数分析!$D$7="日",1,IF(指数分析!$D$7="周",7,30)))-指数分析!$D$5&gt;=0,--[1]!td(J44-IF(指数分析!$D$7="日",1,IF(指数分析!$D$7="周",7,30))),""))</f>
        <v>45183</v>
      </c>
      <c r="K45" s="57">
        <f ca="1">IF(J45="","",[1]!f_dq_close($K$5,J45))</f>
        <v>1229.58</v>
      </c>
      <c r="L45" s="54">
        <f ca="1">IF(J45="","",[1]!f_pq_pctchange($K$5,J45,J45)/100)</f>
        <v>-8.6430702249455926E-3</v>
      </c>
      <c r="M45" s="54">
        <f ca="1">IF(J45="","",[1]!f_pq_pctchange($K$5,指数分析!$D$5,J45)/100)</f>
        <v>9.1776029550176622E-2</v>
      </c>
      <c r="N45" s="54"/>
      <c r="P45" s="52"/>
      <c r="Q45" s="52"/>
      <c r="S45" s="58"/>
      <c r="T45" s="56"/>
      <c r="U45" s="57"/>
      <c r="V45" s="57"/>
      <c r="W45" s="57"/>
      <c r="X45" s="55" t="str">
        <f>IF(R45="","",[1]!s_risk_stdevy(LEFT(R45,FIND(".",R45)+2),指数分析!$D$5,指数分析!$D$6,2,1))</f>
        <v/>
      </c>
    </row>
    <row r="46" spans="2:24" s="53" customFormat="1" ht="12.75" x14ac:dyDescent="0.15">
      <c r="B46" s="52">
        <f ca="1">IF(E46="","",IF(COUNTIF(E$6:E46,E46)=1,RANK(E46,E:E,0),RANK(E46,E:E,0)+COUNTIF(E$6:E46,E46)-1))</f>
        <v>40</v>
      </c>
      <c r="C46" s="52">
        <f t="shared" si="1"/>
        <v>41</v>
      </c>
      <c r="D46" s="53" t="str">
        <f t="shared" ca="1" si="4"/>
        <v>NZ50.GI新西兰标普50</v>
      </c>
      <c r="E46" s="54">
        <f ca="1">IF(C46="","",[1]!f_pq_pctchange(VLOOKUP(C46,worldfield,2,FALSE),指数分析!$D$5,指数分析!$D$6)/100)</f>
        <v>-1.3260776314392153E-2</v>
      </c>
      <c r="F46" s="54" t="str">
        <f t="shared" ca="1" si="5"/>
        <v>MXX.GI墨西哥MXX</v>
      </c>
      <c r="G46" s="54">
        <f t="shared" ca="1" si="6"/>
        <v>-1.8118735687925103E-2</v>
      </c>
      <c r="H46" s="54" t="str">
        <f t="shared" ca="1" si="7"/>
        <v>MXX.GI墨西哥MXX:-1.8%</v>
      </c>
      <c r="I46" s="55">
        <f ca="1">IF(H46="","",[1]!s_risk_stdevy(LEFT(H46,FIND(".",H46)+2),指数分析!$D$5,指数分析!$D$6,2,1))</f>
        <v>13.841909250882519</v>
      </c>
      <c r="J46" s="56">
        <f ca="1">IF(J45="","",IF([1]!td(J45-IF(指数分析!$D$7="日",1,IF(指数分析!$D$7="周",7,30)))-指数分析!$D$5&gt;=0,--[1]!td(J45-IF(指数分析!$D$7="日",1,IF(指数分析!$D$7="周",7,30))),""))</f>
        <v>45176</v>
      </c>
      <c r="K46" s="57">
        <f ca="1">IF(J46="","",[1]!f_dq_close($K$5,J46))</f>
        <v>1243.1400000000001</v>
      </c>
      <c r="L46" s="54">
        <f ca="1">IF(J46="","",[1]!f_pq_pctchange($K$5,J46,J46)/100)</f>
        <v>-6.9131832797419968E-4</v>
      </c>
      <c r="M46" s="54">
        <f ca="1">IF(J46="","",[1]!f_pq_pctchange($K$5,指数分析!$D$5,J46)/100)</f>
        <v>0.10381630587274258</v>
      </c>
      <c r="N46" s="54"/>
      <c r="P46" s="52"/>
      <c r="Q46" s="52"/>
      <c r="S46" s="58"/>
      <c r="T46" s="56"/>
      <c r="U46" s="57"/>
      <c r="V46" s="57"/>
      <c r="W46" s="57"/>
      <c r="X46" s="55" t="str">
        <f>IF(R46="","",[1]!s_risk_stdevy(LEFT(R46,FIND(".",R46)+2),指数分析!$D$5,指数分析!$D$6,2,1))</f>
        <v/>
      </c>
    </row>
    <row r="47" spans="2:24" s="53" customFormat="1" ht="12.75" x14ac:dyDescent="0.15">
      <c r="B47" s="52">
        <f ca="1">IF(E47="","",IF(COUNTIF(E$6:E47,E47)=1,RANK(E47,E:E,0),RANK(E47,E:E,0)+COUNTIF(E$6:E47,E47)-1))</f>
        <v>39</v>
      </c>
      <c r="C47" s="52">
        <f t="shared" si="1"/>
        <v>42</v>
      </c>
      <c r="D47" s="53" t="str">
        <f t="shared" ca="1" si="4"/>
        <v>PSI.GI马尼拉综指</v>
      </c>
      <c r="E47" s="54">
        <f ca="1">IF(C47="","",[1]!f_pq_pctchange(VLOOKUP(C47,worldfield,2,FALSE),指数分析!$D$5,指数分析!$D$6)/100)</f>
        <v>-9.6304442515439126E-3</v>
      </c>
      <c r="F47" s="54" t="str">
        <f t="shared" ca="1" si="5"/>
        <v>LUXXX.GI卢森堡LUXX</v>
      </c>
      <c r="G47" s="54">
        <f t="shared" ca="1" si="6"/>
        <v>-3.6760435781663658E-2</v>
      </c>
      <c r="H47" s="54" t="str">
        <f t="shared" ca="1" si="7"/>
        <v>LUXXX.GI卢森堡LUXX:-3.7%</v>
      </c>
      <c r="I47" s="55">
        <f ca="1">IF(H47="","",[1]!s_risk_stdevy(LEFT(H47,FIND(".",H47)+2),指数分析!$D$5,指数分析!$D$6,2,1))</f>
        <v>16.784159365470288</v>
      </c>
      <c r="J47" s="56">
        <f ca="1">IF(J46="","",IF([1]!td(J46-IF(指数分析!$D$7="日",1,IF(指数分析!$D$7="周",7,30)))-指数分析!$D$5&gt;=0,--[1]!td(J46-IF(指数分析!$D$7="日",1,IF(指数分析!$D$7="周",7,30))),""))</f>
        <v>45169</v>
      </c>
      <c r="K47" s="57">
        <f ca="1">IF(J47="","",[1]!f_dq_close($K$5,J47))</f>
        <v>1224.05</v>
      </c>
      <c r="L47" s="54">
        <f ca="1">IF(J47="","",[1]!f_pq_pctchange($K$5,J47,J47)/100)</f>
        <v>8.9765570905733227E-3</v>
      </c>
      <c r="M47" s="54">
        <f ca="1">IF(J47="","",[1]!f_pq_pctchange($K$5,指数分析!$D$5,J47)/100)</f>
        <v>8.6865798867006294E-2</v>
      </c>
      <c r="N47" s="54"/>
      <c r="P47" s="52"/>
      <c r="Q47" s="52"/>
      <c r="S47" s="58"/>
      <c r="T47" s="56"/>
      <c r="U47" s="57"/>
      <c r="V47" s="57"/>
      <c r="W47" s="57"/>
      <c r="X47" s="55" t="str">
        <f>IF(R47="","",[1]!s_risk_stdevy(LEFT(R47,FIND(".",R47)+2),指数分析!$D$5,指数分析!$D$6,2,1))</f>
        <v/>
      </c>
    </row>
    <row r="48" spans="2:24" s="53" customFormat="1" ht="12.75" x14ac:dyDescent="0.15">
      <c r="B48" s="52">
        <f ca="1">IF(E48="","",IF(COUNTIF(E$6:E48,E48)=1,RANK(E48,E:E,0),RANK(E48,E:E,0)+COUNTIF(E$6:E48,E48)-1))</f>
        <v>37</v>
      </c>
      <c r="C48" s="52">
        <f t="shared" si="1"/>
        <v>43</v>
      </c>
      <c r="D48" s="53" t="str">
        <f t="shared" ca="1" si="4"/>
        <v>SASEIDX.GI沙特全指</v>
      </c>
      <c r="E48" s="54">
        <f ca="1">IF(C48="","",[1]!f_pq_pctchange(VLOOKUP(C48,worldfield,2,FALSE),指数分析!$D$5,指数分析!$D$6)/100)</f>
        <v>7.0348881824398024E-3</v>
      </c>
      <c r="F48" s="54" t="str">
        <f t="shared" ca="1" si="5"/>
        <v>HSI.HI恒生指数</v>
      </c>
      <c r="G48" s="54">
        <f t="shared" ca="1" si="6"/>
        <v>-4.3945276141811436E-2</v>
      </c>
      <c r="H48" s="54" t="str">
        <f t="shared" ca="1" si="7"/>
        <v>HSI.HI恒生指数:-4.4%</v>
      </c>
      <c r="I48" s="55">
        <f ca="1">IF(H48="","",[1]!s_risk_stdevy(LEFT(H48,FIND(".",H48)+2),指数分析!$D$5,指数分析!$D$6,2,1))</f>
        <v>22.116509715017536</v>
      </c>
      <c r="J48" s="56">
        <f ca="1">IF(J47="","",IF([1]!td(J47-IF(指数分析!$D$7="日",1,IF(指数分析!$D$7="周",7,30)))-指数分析!$D$5&gt;=0,--[1]!td(J47-IF(指数分析!$D$7="日",1,IF(指数分析!$D$7="周",7,30))),""))</f>
        <v>45162</v>
      </c>
      <c r="K48" s="57">
        <f ca="1">IF(J48="","",[1]!f_dq_close($K$5,J48))</f>
        <v>1189.3900000000001</v>
      </c>
      <c r="L48" s="54">
        <f ca="1">IF(J48="","",[1]!f_pq_pctchange($K$5,J48,J48)/100)</f>
        <v>1.4353210070273681E-2</v>
      </c>
      <c r="M48" s="54">
        <f ca="1">IF(J48="","",[1]!f_pq_pctchange($K$5,指数分析!$D$5,J48)/100)</f>
        <v>5.609028431389973E-2</v>
      </c>
      <c r="N48" s="54"/>
      <c r="P48" s="52"/>
      <c r="Q48" s="52"/>
      <c r="S48" s="58"/>
      <c r="T48" s="56"/>
      <c r="U48" s="57"/>
      <c r="V48" s="57"/>
      <c r="W48" s="57"/>
      <c r="X48" s="55" t="str">
        <f>IF(R48="","",[1]!s_risk_stdevy(LEFT(R48,FIND(".",R48)+2),指数分析!$D$5,指数分析!$D$6,2,1))</f>
        <v/>
      </c>
    </row>
    <row r="49" spans="2:24" s="53" customFormat="1" ht="12.75" x14ac:dyDescent="0.15">
      <c r="B49" s="52">
        <f ca="1">IF(E49="","",IF(COUNTIF(E$6:E49,E49)=1,RANK(E49,E:E,0),RANK(E49,E:E,0)+COUNTIF(E$6:E49,E49)-1))</f>
        <v>12</v>
      </c>
      <c r="C49" s="52">
        <f t="shared" si="1"/>
        <v>44</v>
      </c>
      <c r="D49" s="53" t="str">
        <f t="shared" ca="1" si="4"/>
        <v>SENSEX.BO印度SENSEX30</v>
      </c>
      <c r="E49" s="54">
        <f ca="1">IF(C49="","",[1]!f_pq_pctchange(VLOOKUP(C49,worldfield,2,FALSE),指数分析!$D$5,指数分析!$D$6)/100)</f>
        <v>0.20136750208708154</v>
      </c>
      <c r="F49" s="54" t="str">
        <f t="shared" ca="1" si="5"/>
        <v>000001.SH上证指数</v>
      </c>
      <c r="G49" s="54">
        <f t="shared" ca="1" si="6"/>
        <v>-7.429931131228007E-2</v>
      </c>
      <c r="H49" s="54" t="str">
        <f t="shared" ca="1" si="7"/>
        <v>000001.SH上证指数:-7.4%</v>
      </c>
      <c r="I49" s="55">
        <f ca="1">IF(H49="","",[1]!s_risk_stdevy(LEFT(H49,FIND(".",H49)+2),指数分析!$D$5,指数分析!$D$6,2,1))</f>
        <v>14.172040846551088</v>
      </c>
      <c r="J49" s="56">
        <f ca="1">IF(J48="","",IF([1]!td(J48-IF(指数分析!$D$7="日",1,IF(指数分析!$D$7="周",7,30)))-指数分析!$D$5&gt;=0,--[1]!td(J48-IF(指数分析!$D$7="日",1,IF(指数分析!$D$7="周",7,30))),""))</f>
        <v>45155</v>
      </c>
      <c r="K49" s="57">
        <f ca="1">IF(J49="","",[1]!f_dq_close($K$5,J49))</f>
        <v>1233.48</v>
      </c>
      <c r="L49" s="54">
        <f ca="1">IF(J49="","",[1]!f_pq_pctchange($K$5,J49,J49)/100)</f>
        <v>-7.8664157135273083E-3</v>
      </c>
      <c r="M49" s="54">
        <f ca="1">IF(J49="","",[1]!f_pq_pctchange($K$5,指数分析!$D$5,J49)/100)</f>
        <v>9.5238940881888112E-2</v>
      </c>
      <c r="N49" s="54"/>
      <c r="P49" s="52"/>
      <c r="Q49" s="52"/>
      <c r="S49" s="58"/>
      <c r="T49" s="56"/>
      <c r="U49" s="57"/>
      <c r="V49" s="57"/>
      <c r="W49" s="57"/>
      <c r="X49" s="55" t="str">
        <f>IF(R49="","",[1]!s_risk_stdevy(LEFT(R49,FIND(".",R49)+2),指数分析!$D$5,指数分析!$D$6,2,1))</f>
        <v/>
      </c>
    </row>
    <row r="50" spans="2:24" s="53" customFormat="1" ht="12.75" x14ac:dyDescent="0.15">
      <c r="B50" s="52">
        <f ca="1">IF(E50="","",IF(COUNTIF(E$6:E50,E50)=1,RANK(E50,E:E,0),RANK(E50,E:E,0)+COUNTIF(E$6:E50,E50)-1))</f>
        <v>45</v>
      </c>
      <c r="C50" s="52">
        <f t="shared" si="1"/>
        <v>45</v>
      </c>
      <c r="D50" s="53" t="str">
        <f t="shared" ca="1" si="4"/>
        <v>SETI.GI泰国SET指数</v>
      </c>
      <c r="E50" s="54">
        <f ca="1">IF(C50="","",[1]!f_pq_pctchange(VLOOKUP(C50,worldfield,2,FALSE),指数分析!$D$5,指数分析!$D$6)/100)</f>
        <v>-0.12714195617460378</v>
      </c>
      <c r="F50" s="54" t="str">
        <f t="shared" ca="1" si="5"/>
        <v>SETI.GI泰国SET指数</v>
      </c>
      <c r="G50" s="54">
        <f t="shared" ca="1" si="6"/>
        <v>-0.12714195617460378</v>
      </c>
      <c r="H50" s="54" t="str">
        <f t="shared" ca="1" si="7"/>
        <v>SETI.GI泰国SET指数:-12.7%</v>
      </c>
      <c r="I50" s="55">
        <f ca="1">IF(H50="","",[1]!s_risk_stdevy(LEFT(H50,FIND(".",H50)+2),指数分析!$D$5,指数分析!$D$6,2,1))</f>
        <v>11.048525516106512</v>
      </c>
      <c r="J50" s="56">
        <f ca="1">IF(J49="","",IF([1]!td(J49-IF(指数分析!$D$7="日",1,IF(指数分析!$D$7="周",7,30)))-指数分析!$D$5&gt;=0,--[1]!td(J49-IF(指数分析!$D$7="日",1,IF(指数分析!$D$7="周",7,30))),""))</f>
        <v>45148</v>
      </c>
      <c r="K50" s="57">
        <f ca="1">IF(J50="","",[1]!f_dq_close($K$5,J50))</f>
        <v>1220.6099999999999</v>
      </c>
      <c r="L50" s="54">
        <f ca="1">IF(J50="","",[1]!f_pq_pctchange($K$5,J50,J50)/100)</f>
        <v>-1.0842875550045039E-2</v>
      </c>
      <c r="M50" s="54">
        <f ca="1">IF(J50="","",[1]!f_pq_pctchange($K$5,指数分析!$D$5,J50)/100)</f>
        <v>8.3811333487240347E-2</v>
      </c>
      <c r="N50" s="54"/>
      <c r="P50" s="52"/>
      <c r="Q50" s="52"/>
      <c r="S50" s="58"/>
      <c r="T50" s="56"/>
      <c r="U50" s="57"/>
      <c r="V50" s="57"/>
      <c r="W50" s="57"/>
      <c r="X50" s="55" t="str">
        <f>IF(R50="","",[1]!s_risk_stdevy(LEFT(R50,FIND(".",R50)+2),指数分析!$D$5,指数分析!$D$6,2,1))</f>
        <v/>
      </c>
    </row>
    <row r="51" spans="2:24" s="53" customFormat="1" ht="12.75" x14ac:dyDescent="0.15">
      <c r="B51" s="52">
        <f ca="1">IF(E51="","",IF(COUNTIF(E$6:E51,E51)=1,RANK(E51,E:E,0),RANK(E51,E:E,0)+COUNTIF(E$6:E51,E51)-1))</f>
        <v>32</v>
      </c>
      <c r="C51" s="52">
        <f t="shared" si="1"/>
        <v>46</v>
      </c>
      <c r="D51" s="53" t="str">
        <f t="shared" ca="1" si="4"/>
        <v>STI.GI富时新加坡海峡指数</v>
      </c>
      <c r="E51" s="54">
        <f ca="1">IF(C51="","",[1]!f_pq_pctchange(VLOOKUP(C51,worldfield,2,FALSE),指数分析!$D$5,指数分析!$D$6)/100)</f>
        <v>5.7887336014448953E-2</v>
      </c>
      <c r="F51" s="54" t="str">
        <f t="shared" ca="1" si="5"/>
        <v>899050.BJ北证50</v>
      </c>
      <c r="G51" s="54">
        <f t="shared" ca="1" si="6"/>
        <v>-0.19312020576787384</v>
      </c>
      <c r="H51" s="54" t="str">
        <f t="shared" ca="1" si="7"/>
        <v>899050.BJ北证50:-19.3%</v>
      </c>
      <c r="I51" s="55">
        <f ca="1">IF(H51="","",[1]!s_risk_stdevy(LEFT(H51,FIND(".",H51)+2),指数分析!$D$5,指数分析!$D$6,2,1))</f>
        <v>41.086098365606546</v>
      </c>
      <c r="J51" s="56">
        <f ca="1">IF(J50="","",IF([1]!td(J50-IF(指数分析!$D$7="日",1,IF(指数分析!$D$7="周",7,30)))-指数分析!$D$5&gt;=0,--[1]!td(J50-IF(指数分析!$D$7="日",1,IF(指数分析!$D$7="周",7,30))),""))</f>
        <v>45141</v>
      </c>
      <c r="K51" s="57">
        <f ca="1">IF(J51="","",[1]!f_dq_close($K$5,J51))</f>
        <v>1210.95</v>
      </c>
      <c r="L51" s="54">
        <f ca="1">IF(J51="","",[1]!f_pq_pctchange($K$5,J51,J51)/100)</f>
        <v>-7.7677539883483915E-3</v>
      </c>
      <c r="M51" s="54">
        <f ca="1">IF(J51="","",[1]!f_pq_pctchange($K$5,指数分析!$D$5,J51)/100)</f>
        <v>7.5233968496386083E-2</v>
      </c>
      <c r="N51" s="54"/>
      <c r="P51" s="52"/>
      <c r="Q51" s="52"/>
      <c r="S51" s="58"/>
      <c r="T51" s="56"/>
      <c r="U51" s="57"/>
      <c r="V51" s="57"/>
      <c r="W51" s="57"/>
      <c r="X51" s="55" t="str">
        <f>IF(R51="","",[1]!s_risk_stdevy(LEFT(R51,FIND(".",R51)+2),指数分析!$D$5,指数分析!$D$6,2,1))</f>
        <v/>
      </c>
    </row>
    <row r="52" spans="2:24" s="53" customFormat="1" ht="12.75" x14ac:dyDescent="0.15">
      <c r="B52" s="52">
        <f ca="1">IF(E52="","",IF(COUNTIF(E$6:E52,E52)=1,RANK(E52,E:E,0),RANK(E52,E:E,0)+COUNTIF(E$6:E52,E52)-1))</f>
        <v>24</v>
      </c>
      <c r="C52" s="52">
        <f t="shared" si="1"/>
        <v>47</v>
      </c>
      <c r="D52" s="53" t="str">
        <f t="shared" ca="1" si="4"/>
        <v>VNINDEX.GI胡志明指数</v>
      </c>
      <c r="E52" s="54">
        <f ca="1">IF(C52="","",[1]!f_pq_pctchange(VLOOKUP(C52,worldfield,2,FALSE),指数分析!$D$5,指数分析!$D$6)/100)</f>
        <v>0.1057519845145707</v>
      </c>
      <c r="F52" s="54" t="str">
        <f t="shared" ca="1" si="5"/>
        <v>399001.SZ深证成指</v>
      </c>
      <c r="G52" s="54">
        <f t="shared" ca="1" si="6"/>
        <v>-0.19325301370904746</v>
      </c>
      <c r="H52" s="54" t="str">
        <f t="shared" ca="1" si="7"/>
        <v>399001.SZ深证成指:-19.3%</v>
      </c>
      <c r="I52" s="55">
        <f ca="1">IF(H52="","",[1]!s_risk_stdevy(LEFT(H52,FIND(".",H52)+2),指数分析!$D$5,指数分析!$D$6,2,1))</f>
        <v>20.116222336984261</v>
      </c>
      <c r="J52" s="56">
        <f ca="1">IF(J51="","",IF([1]!td(J51-IF(指数分析!$D$7="日",1,IF(指数分析!$D$7="周",7,30)))-指数分析!$D$5&gt;=0,--[1]!td(J51-IF(指数分析!$D$7="日",1,IF(指数分析!$D$7="周",7,30))),""))</f>
        <v>45134</v>
      </c>
      <c r="K52" s="57">
        <f ca="1">IF(J52="","",[1]!f_dq_close($K$5,J52))</f>
        <v>1197.33</v>
      </c>
      <c r="L52" s="54">
        <f ca="1">IF(J52="","",[1]!f_pq_pctchange($K$5,J52,J52)/100)</f>
        <v>-2.9229539322473963E-3</v>
      </c>
      <c r="M52" s="54">
        <f ca="1">IF(J52="","",[1]!f_pq_pctchange($K$5,指数分析!$D$5,J52)/100)</f>
        <v>6.3140416614870798E-2</v>
      </c>
      <c r="N52" s="54"/>
      <c r="P52" s="52"/>
      <c r="Q52" s="52"/>
      <c r="S52" s="58"/>
      <c r="T52" s="56"/>
      <c r="U52" s="57"/>
      <c r="V52" s="57"/>
      <c r="W52" s="57"/>
      <c r="X52" s="55" t="str">
        <f>IF(R52="","",[1]!s_risk_stdevy(LEFT(R52,FIND(".",R52)+2),指数分析!$D$5,指数分析!$D$6,2,1))</f>
        <v/>
      </c>
    </row>
    <row r="53" spans="2:24" s="53" customFormat="1" ht="12.75" x14ac:dyDescent="0.15">
      <c r="B53" s="52" t="str">
        <f>IF(E53="","",IF(COUNTIF(E$6:E53,E53)=1,RANK(E53,E:E,0),RANK(E53,E:E,0)+COUNTIF(E$6:E53,E53)-1))</f>
        <v/>
      </c>
      <c r="C53" s="52" t="str">
        <f t="shared" si="1"/>
        <v/>
      </c>
      <c r="D53" s="53" t="str">
        <f t="shared" si="4"/>
        <v/>
      </c>
      <c r="E53" s="54" t="str">
        <f>IF(C53="","",[1]!f_pq_pctchange(VLOOKUP(C53,worldfield,2,FALSE),指数分析!$D$5,指数分析!$D$6)/100)</f>
        <v/>
      </c>
      <c r="F53" s="54" t="str">
        <f t="shared" si="5"/>
        <v/>
      </c>
      <c r="G53" s="54" t="str">
        <f t="shared" si="6"/>
        <v/>
      </c>
      <c r="H53" s="54" t="str">
        <f t="shared" si="7"/>
        <v/>
      </c>
      <c r="I53" s="55" t="str">
        <f>IF(H53="","",[1]!s_risk_stdevy(LEFT(H53,FIND(".",H53)+2),指数分析!$D$5,指数分析!$D$6,2,1))</f>
        <v/>
      </c>
      <c r="J53" s="56">
        <f ca="1">IF(J52="","",IF([1]!td(J52-IF(指数分析!$D$7="日",1,IF(指数分析!$D$7="周",7,30)))-指数分析!$D$5&gt;=0,--[1]!td(J52-IF(指数分析!$D$7="日",1,IF(指数分析!$D$7="周",7,30))),""))</f>
        <v>45127</v>
      </c>
      <c r="K53" s="57">
        <f ca="1">IF(J53="","",[1]!f_dq_close($K$5,J53))</f>
        <v>1172.81</v>
      </c>
      <c r="L53" s="54">
        <f ca="1">IF(J53="","",[1]!f_pq_pctchange($K$5,J53,J53)/100)</f>
        <v>-1.4493000733184491E-4</v>
      </c>
      <c r="M53" s="54">
        <f ca="1">IF(J53="","",[1]!f_pq_pctchange($K$5,指数分析!$D$5,J53)/100)</f>
        <v>4.1368471524213746E-2</v>
      </c>
      <c r="N53" s="54"/>
      <c r="P53" s="52"/>
      <c r="Q53" s="52"/>
      <c r="S53" s="58"/>
      <c r="T53" s="56"/>
      <c r="U53" s="57"/>
      <c r="V53" s="57"/>
      <c r="W53" s="57"/>
      <c r="X53" s="55" t="str">
        <f>IF(R53="","",[1]!s_risk_stdevy(LEFT(R53,FIND(".",R53)+2),指数分析!$D$5,指数分析!$D$6,2,1))</f>
        <v/>
      </c>
    </row>
    <row r="54" spans="2:24" s="53" customFormat="1" ht="12.75" x14ac:dyDescent="0.15">
      <c r="B54" s="52" t="str">
        <f>IF(E54="","",IF(COUNTIF(E$6:E54,E54)=1,RANK(E54,E:E,0),RANK(E54,E:E,0)+COUNTIF(E$6:E54,E54)-1))</f>
        <v/>
      </c>
      <c r="C54" s="52" t="str">
        <f t="shared" si="1"/>
        <v/>
      </c>
      <c r="D54" s="53" t="str">
        <f t="shared" si="4"/>
        <v/>
      </c>
      <c r="E54" s="54" t="str">
        <f>IF(C54="","",[1]!f_pq_pctchange(VLOOKUP(C54,worldfield,2,FALSE),指数分析!$D$5,指数分析!$D$6)/100)</f>
        <v/>
      </c>
      <c r="F54" s="54" t="str">
        <f t="shared" si="5"/>
        <v/>
      </c>
      <c r="G54" s="54" t="str">
        <f t="shared" si="6"/>
        <v/>
      </c>
      <c r="H54" s="54" t="str">
        <f t="shared" si="7"/>
        <v/>
      </c>
      <c r="I54" s="55" t="str">
        <f>IF(H54="","",[1]!s_risk_stdevy(LEFT(H54,FIND(".",H54)+2),指数分析!$D$5,指数分析!$D$6,2,1))</f>
        <v/>
      </c>
      <c r="J54" s="56">
        <f ca="1">IF(J53="","",IF([1]!td(J53-IF(指数分析!$D$7="日",1,IF(指数分析!$D$7="周",7,30)))-指数分析!$D$5&gt;=0,--[1]!td(J53-IF(指数分析!$D$7="日",1,IF(指数分析!$D$7="周",7,30))),""))</f>
        <v>45120</v>
      </c>
      <c r="K54" s="57">
        <f ca="1">IF(J54="","",[1]!f_dq_close($K$5,J54))</f>
        <v>1165.42</v>
      </c>
      <c r="L54" s="54">
        <f ca="1">IF(J54="","",[1]!f_pq_pctchange($K$5,J54,J54)/100)</f>
        <v>9.7210188875411774E-3</v>
      </c>
      <c r="M54" s="54">
        <f ca="1">IF(J54="","",[1]!f_pq_pctchange($K$5,指数分析!$D$5,J54)/100)</f>
        <v>3.4806698513611956E-2</v>
      </c>
      <c r="N54" s="54"/>
      <c r="P54" s="52"/>
      <c r="Q54" s="52"/>
      <c r="S54" s="58"/>
      <c r="T54" s="56"/>
      <c r="U54" s="57"/>
      <c r="V54" s="57"/>
      <c r="W54" s="57"/>
      <c r="X54" s="55" t="str">
        <f>IF(R54="","",[1]!s_risk_stdevy(LEFT(R54,FIND(".",R54)+2),指数分析!$D$5,指数分析!$D$6,2,1))</f>
        <v/>
      </c>
    </row>
    <row r="55" spans="2:24" s="53" customFormat="1" ht="12.75" x14ac:dyDescent="0.15">
      <c r="B55" s="52" t="str">
        <f>IF(E55="","",IF(COUNTIF(E$6:E55,E55)=1,RANK(E55,E:E,0),RANK(E55,E:E,0)+COUNTIF(E$6:E55,E55)-1))</f>
        <v/>
      </c>
      <c r="C55" s="52" t="str">
        <f t="shared" si="1"/>
        <v/>
      </c>
      <c r="D55" s="53" t="str">
        <f t="shared" si="4"/>
        <v/>
      </c>
      <c r="E55" s="54" t="str">
        <f>IF(C55="","",[1]!f_pq_pctchange(VLOOKUP(C55,worldfield,2,FALSE),指数分析!$D$5,指数分析!$D$6)/100)</f>
        <v/>
      </c>
      <c r="F55" s="54" t="str">
        <f t="shared" si="5"/>
        <v/>
      </c>
      <c r="G55" s="54" t="str">
        <f t="shared" si="6"/>
        <v/>
      </c>
      <c r="H55" s="54" t="str">
        <f t="shared" si="7"/>
        <v/>
      </c>
      <c r="I55" s="55" t="str">
        <f>IF(H55="","",[1]!s_risk_stdevy(LEFT(H55,FIND(".",H55)+2),指数分析!$D$5,指数分析!$D$6,2,1))</f>
        <v/>
      </c>
      <c r="J55" s="56" t="str">
        <f ca="1">IF(J54="","",IF([1]!td(J54-IF(指数分析!$D$7="日",1,IF(指数分析!$D$7="周",7,30)))-指数分析!$D$5&gt;=0,--[1]!td(J54-IF(指数分析!$D$7="日",1,IF(指数分析!$D$7="周",7,30))),""))</f>
        <v/>
      </c>
      <c r="K55" s="57" t="str">
        <f ca="1">IF(J55="","",[1]!f_dq_close($K$5,J55))</f>
        <v/>
      </c>
      <c r="L55" s="54" t="str">
        <f ca="1">IF(J55="","",[1]!f_pq_pctchange($K$5,J55,J55)/100)</f>
        <v/>
      </c>
      <c r="M55" s="54" t="str">
        <f ca="1">IF(J55="","",[1]!f_pq_pctchange($K$5,指数分析!$D$5,J55)/100)</f>
        <v/>
      </c>
      <c r="N55" s="54"/>
      <c r="P55" s="52"/>
      <c r="Q55" s="52"/>
      <c r="S55" s="58"/>
      <c r="T55" s="56"/>
      <c r="U55" s="57"/>
      <c r="V55" s="57"/>
      <c r="W55" s="57"/>
      <c r="X55" s="55" t="str">
        <f>IF(R55="","",[1]!s_risk_stdevy(LEFT(R55,FIND(".",R55)+2),指数分析!$D$5,指数分析!$D$6,2,1))</f>
        <v/>
      </c>
    </row>
    <row r="56" spans="2:24" s="53" customFormat="1" ht="12.75" x14ac:dyDescent="0.15">
      <c r="B56" s="52" t="str">
        <f>IF(E56="","",IF(COUNTIF(E$6:E56,E56)=1,RANK(E56,E:E,0),RANK(E56,E:E,0)+COUNTIF(E$6:E56,E56)-1))</f>
        <v/>
      </c>
      <c r="C56" s="52" t="str">
        <f t="shared" si="1"/>
        <v/>
      </c>
      <c r="D56" s="53" t="str">
        <f t="shared" si="4"/>
        <v/>
      </c>
      <c r="E56" s="54" t="str">
        <f>IF(C56="","",[1]!f_pq_pctchange(VLOOKUP(C56,worldfield,2,FALSE),指数分析!$D$5,指数分析!$D$6)/100)</f>
        <v/>
      </c>
      <c r="F56" s="54" t="str">
        <f t="shared" si="5"/>
        <v/>
      </c>
      <c r="G56" s="54" t="str">
        <f t="shared" si="6"/>
        <v/>
      </c>
      <c r="H56" s="54" t="str">
        <f t="shared" si="7"/>
        <v/>
      </c>
      <c r="I56" s="55" t="str">
        <f>IF(H56="","",[1]!s_risk_stdevy(LEFT(H56,FIND(".",H56)+2),指数分析!$D$5,指数分析!$D$6,2,1))</f>
        <v/>
      </c>
      <c r="J56" s="56" t="str">
        <f ca="1">IF(J55="","",IF([1]!td(J55-IF(指数分析!$D$7="日",1,IF(指数分析!$D$7="周",7,30)))-指数分析!$D$5&gt;=0,--[1]!td(J55-IF(指数分析!$D$7="日",1,IF(指数分析!$D$7="周",7,30))),""))</f>
        <v/>
      </c>
      <c r="K56" s="57" t="str">
        <f ca="1">IF(J56="","",[1]!f_dq_close($K$5,J56))</f>
        <v/>
      </c>
      <c r="L56" s="54" t="str">
        <f ca="1">IF(J56="","",[1]!f_pq_pctchange($K$5,J56,J56)/100)</f>
        <v/>
      </c>
      <c r="M56" s="54" t="str">
        <f ca="1">IF(J56="","",[1]!f_pq_pctchange($K$5,指数分析!$D$5,J56)/100)</f>
        <v/>
      </c>
      <c r="N56" s="54"/>
      <c r="P56" s="52"/>
      <c r="Q56" s="52"/>
      <c r="S56" s="58"/>
      <c r="T56" s="56"/>
      <c r="U56" s="57"/>
      <c r="V56" s="57"/>
      <c r="W56" s="57"/>
      <c r="X56" s="55" t="str">
        <f>IF(R56="","",[1]!s_risk_stdevy(LEFT(R56,FIND(".",R56)+2),指数分析!$D$5,指数分析!$D$6,2,1))</f>
        <v/>
      </c>
    </row>
    <row r="57" spans="2:24" s="53" customFormat="1" ht="12.75" x14ac:dyDescent="0.15">
      <c r="B57" s="52" t="str">
        <f>IF(E57="","",IF(COUNTIF(E$6:E57,E57)=1,RANK(E57,E:E,0),RANK(E57,E:E,0)+COUNTIF(E$6:E57,E57)-1))</f>
        <v/>
      </c>
      <c r="C57" s="52" t="str">
        <f t="shared" si="1"/>
        <v/>
      </c>
      <c r="D57" s="53" t="str">
        <f t="shared" si="4"/>
        <v/>
      </c>
      <c r="E57" s="54" t="str">
        <f>IF(C57="","",[1]!f_pq_pctchange(VLOOKUP(C57,worldfield,2,FALSE),指数分析!$D$5,指数分析!$D$6)/100)</f>
        <v/>
      </c>
      <c r="F57" s="54" t="str">
        <f t="shared" si="5"/>
        <v/>
      </c>
      <c r="G57" s="54" t="str">
        <f t="shared" si="6"/>
        <v/>
      </c>
      <c r="H57" s="54" t="str">
        <f t="shared" si="7"/>
        <v/>
      </c>
      <c r="I57" s="55" t="str">
        <f>IF(H57="","",[1]!s_risk_stdevy(LEFT(H57,FIND(".",H57)+2),指数分析!$D$5,指数分析!$D$6,2,1))</f>
        <v/>
      </c>
      <c r="J57" s="56" t="str">
        <f ca="1">IF(J56="","",IF([1]!td(J56-IF(指数分析!$D$7="日",1,IF(指数分析!$D$7="周",7,30)))-指数分析!$D$5&gt;=0,--[1]!td(J56-IF(指数分析!$D$7="日",1,IF(指数分析!$D$7="周",7,30))),""))</f>
        <v/>
      </c>
      <c r="K57" s="57" t="str">
        <f ca="1">IF(J57="","",[1]!f_dq_close($K$5,J57))</f>
        <v/>
      </c>
      <c r="L57" s="54" t="str">
        <f ca="1">IF(J57="","",[1]!f_pq_pctchange($K$5,J57,J57)/100)</f>
        <v/>
      </c>
      <c r="M57" s="54" t="str">
        <f ca="1">IF(J57="","",[1]!f_pq_pctchange($K$5,指数分析!$D$5,J57)/100)</f>
        <v/>
      </c>
      <c r="N57" s="54"/>
      <c r="P57" s="52"/>
      <c r="Q57" s="52"/>
      <c r="S57" s="58"/>
      <c r="T57" s="56"/>
      <c r="U57" s="57"/>
      <c r="V57" s="57"/>
      <c r="W57" s="57"/>
      <c r="X57" s="55" t="str">
        <f>IF(R57="","",[1]!s_risk_stdevy(LEFT(R57,FIND(".",R57)+2),指数分析!$D$5,指数分析!$D$6,2,1))</f>
        <v/>
      </c>
    </row>
    <row r="58" spans="2:24" s="53" customFormat="1" ht="12.75" x14ac:dyDescent="0.15">
      <c r="B58" s="52" t="str">
        <f>IF(E58="","",IF(COUNTIF(E$6:E58,E58)=1,RANK(E58,E:E,0),RANK(E58,E:E,0)+COUNTIF(E$6:E58,E58)-1))</f>
        <v/>
      </c>
      <c r="C58" s="52" t="str">
        <f t="shared" si="1"/>
        <v/>
      </c>
      <c r="D58" s="53" t="str">
        <f t="shared" si="4"/>
        <v/>
      </c>
      <c r="E58" s="54" t="str">
        <f>IF(C58="","",[1]!f_pq_pctchange(VLOOKUP(C58,worldfield,2,FALSE),指数分析!$D$5,指数分析!$D$6)/100)</f>
        <v/>
      </c>
      <c r="F58" s="54" t="str">
        <f t="shared" si="5"/>
        <v/>
      </c>
      <c r="G58" s="54" t="str">
        <f t="shared" si="6"/>
        <v/>
      </c>
      <c r="H58" s="54" t="str">
        <f t="shared" si="7"/>
        <v/>
      </c>
      <c r="I58" s="55" t="str">
        <f>IF(H58="","",[1]!s_risk_stdevy(LEFT(H58,FIND(".",H58)+2),指数分析!$D$5,指数分析!$D$6,2,1))</f>
        <v/>
      </c>
      <c r="J58" s="56" t="str">
        <f ca="1">IF(J57="","",IF([1]!td(J57-IF(指数分析!$D$7="日",1,IF(指数分析!$D$7="周",7,30)))-指数分析!$D$5&gt;=0,--[1]!td(J57-IF(指数分析!$D$7="日",1,IF(指数分析!$D$7="周",7,30))),""))</f>
        <v/>
      </c>
      <c r="K58" s="57" t="str">
        <f ca="1">IF(J58="","",[1]!f_dq_close($K$5,J58))</f>
        <v/>
      </c>
      <c r="L58" s="54" t="str">
        <f ca="1">IF(J58="","",[1]!f_pq_pctchange($K$5,J58,J58)/100)</f>
        <v/>
      </c>
      <c r="M58" s="54" t="str">
        <f ca="1">IF(J58="","",[1]!f_pq_pctchange($K$5,指数分析!$D$5,J58)/100)</f>
        <v/>
      </c>
      <c r="N58" s="54"/>
      <c r="P58" s="52"/>
      <c r="Q58" s="52"/>
      <c r="S58" s="58"/>
      <c r="T58" s="56"/>
      <c r="U58" s="57"/>
      <c r="V58" s="57"/>
      <c r="W58" s="57"/>
      <c r="X58" s="55" t="str">
        <f>IF(R58="","",[1]!s_risk_stdevy(LEFT(R58,FIND(".",R58)+2),指数分析!$D$5,指数分析!$D$6,2,1))</f>
        <v/>
      </c>
    </row>
    <row r="59" spans="2:24" s="53" customFormat="1" ht="12.75" x14ac:dyDescent="0.15">
      <c r="B59" s="52" t="str">
        <f>IF(E59="","",IF(COUNTIF(E$6:E59,E59)=1,RANK(E59,E:E,0),RANK(E59,E:E,0)+COUNTIF(E$6:E59,E59)-1))</f>
        <v/>
      </c>
      <c r="C59" s="52" t="str">
        <f t="shared" si="1"/>
        <v/>
      </c>
      <c r="D59" s="53" t="str">
        <f t="shared" si="4"/>
        <v/>
      </c>
      <c r="E59" s="54" t="str">
        <f>IF(C59="","",[1]!f_pq_pctchange(VLOOKUP(C59,worldfield,2,FALSE),指数分析!$D$5,指数分析!$D$6)/100)</f>
        <v/>
      </c>
      <c r="F59" s="54" t="str">
        <f t="shared" si="5"/>
        <v/>
      </c>
      <c r="G59" s="54" t="str">
        <f t="shared" si="6"/>
        <v/>
      </c>
      <c r="H59" s="54" t="str">
        <f t="shared" si="7"/>
        <v/>
      </c>
      <c r="I59" s="55" t="str">
        <f>IF(H59="","",[1]!s_risk_stdevy(LEFT(H59,FIND(".",H59)+2),指数分析!$D$5,指数分析!$D$6,2,1))</f>
        <v/>
      </c>
      <c r="J59" s="56" t="str">
        <f ca="1">IF(J58="","",IF([1]!td(J58-IF(指数分析!$D$7="日",1,IF(指数分析!$D$7="周",7,30)))-指数分析!$D$5&gt;=0,--[1]!td(J58-IF(指数分析!$D$7="日",1,IF(指数分析!$D$7="周",7,30))),""))</f>
        <v/>
      </c>
      <c r="K59" s="57" t="str">
        <f ca="1">IF(J59="","",[1]!f_dq_close($K$5,J59))</f>
        <v/>
      </c>
      <c r="L59" s="54" t="str">
        <f ca="1">IF(J59="","",[1]!f_pq_pctchange($K$5,J59,J59)/100)</f>
        <v/>
      </c>
      <c r="M59" s="54" t="str">
        <f ca="1">IF(J59="","",[1]!f_pq_pctchange($K$5,指数分析!$D$5,J59)/100)</f>
        <v/>
      </c>
      <c r="N59" s="54"/>
      <c r="P59" s="52"/>
      <c r="Q59" s="52"/>
      <c r="S59" s="58"/>
      <c r="T59" s="56"/>
      <c r="U59" s="57"/>
      <c r="V59" s="57"/>
      <c r="W59" s="57"/>
      <c r="X59" s="55" t="str">
        <f>IF(R59="","",[1]!s_risk_stdevy(LEFT(R59,FIND(".",R59)+2),指数分析!$D$5,指数分析!$D$6,2,1))</f>
        <v/>
      </c>
    </row>
    <row r="60" spans="2:24" s="53" customFormat="1" ht="12.75" x14ac:dyDescent="0.15">
      <c r="B60" s="52" t="str">
        <f>IF(E60="","",IF(COUNTIF(E$6:E60,E60)=1,RANK(E60,E:E,0),RANK(E60,E:E,0)+COUNTIF(E$6:E60,E60)-1))</f>
        <v/>
      </c>
      <c r="C60" s="52" t="str">
        <f t="shared" si="1"/>
        <v/>
      </c>
      <c r="D60" s="53" t="str">
        <f t="shared" si="4"/>
        <v/>
      </c>
      <c r="E60" s="54" t="str">
        <f>IF(C60="","",[1]!f_pq_pctchange(VLOOKUP(C60,worldfield,2,FALSE),指数分析!$D$5,指数分析!$D$6)/100)</f>
        <v/>
      </c>
      <c r="F60" s="54" t="str">
        <f t="shared" si="5"/>
        <v/>
      </c>
      <c r="G60" s="54" t="str">
        <f t="shared" si="6"/>
        <v/>
      </c>
      <c r="H60" s="54" t="str">
        <f t="shared" si="7"/>
        <v/>
      </c>
      <c r="I60" s="55" t="str">
        <f>IF(H60="","",[1]!s_risk_stdevy(LEFT(H60,FIND(".",H60)+2),指数分析!$D$5,指数分析!$D$6,2,1))</f>
        <v/>
      </c>
      <c r="J60" s="56" t="str">
        <f ca="1">IF(J59="","",IF([1]!td(J59-IF(指数分析!$D$7="日",1,IF(指数分析!$D$7="周",7,30)))-指数分析!$D$5&gt;=0,--[1]!td(J59-IF(指数分析!$D$7="日",1,IF(指数分析!$D$7="周",7,30))),""))</f>
        <v/>
      </c>
      <c r="K60" s="57" t="str">
        <f ca="1">IF(J60="","",[1]!f_dq_close($K$5,J60))</f>
        <v/>
      </c>
      <c r="L60" s="54" t="str">
        <f ca="1">IF(J60="","",[1]!f_pq_pctchange($K$5,J60,J60)/100)</f>
        <v/>
      </c>
      <c r="M60" s="54" t="str">
        <f ca="1">IF(J60="","",[1]!f_pq_pctchange($K$5,指数分析!$D$5,J60)/100)</f>
        <v/>
      </c>
      <c r="N60" s="54"/>
      <c r="P60" s="52"/>
      <c r="Q60" s="52"/>
      <c r="S60" s="58"/>
      <c r="T60" s="56"/>
      <c r="U60" s="57"/>
      <c r="V60" s="57"/>
      <c r="W60" s="57"/>
      <c r="X60" s="55" t="str">
        <f>IF(R60="","",[1]!s_risk_stdevy(LEFT(R60,FIND(".",R60)+2),指数分析!$D$5,指数分析!$D$6,2,1))</f>
        <v/>
      </c>
    </row>
    <row r="61" spans="2:24" s="53" customFormat="1" ht="12.75" x14ac:dyDescent="0.15">
      <c r="B61" s="52" t="str">
        <f>IF(E61="","",IF(COUNTIF(E$6:E61,E61)=1,RANK(E61,E:E,0),RANK(E61,E:E,0)+COUNTIF(E$6:E61,E61)-1))</f>
        <v/>
      </c>
      <c r="C61" s="52" t="str">
        <f t="shared" si="1"/>
        <v/>
      </c>
      <c r="D61" s="53" t="str">
        <f t="shared" si="4"/>
        <v/>
      </c>
      <c r="E61" s="54" t="str">
        <f>IF(C61="","",[1]!f_pq_pctchange(VLOOKUP(C61,worldfield,2,FALSE),指数分析!$D$5,指数分析!$D$6)/100)</f>
        <v/>
      </c>
      <c r="F61" s="54" t="str">
        <f t="shared" si="5"/>
        <v/>
      </c>
      <c r="G61" s="54" t="str">
        <f t="shared" si="6"/>
        <v/>
      </c>
      <c r="H61" s="54" t="str">
        <f t="shared" si="7"/>
        <v/>
      </c>
      <c r="I61" s="55" t="str">
        <f>IF(H61="","",[1]!s_risk_stdevy(LEFT(H61,FIND(".",H61)+2),指数分析!$D$5,指数分析!$D$6,2,1))</f>
        <v/>
      </c>
      <c r="J61" s="56" t="str">
        <f ca="1">IF(J60="","",IF([1]!td(J60-IF(指数分析!$D$7="日",1,IF(指数分析!$D$7="周",7,30)))-指数分析!$D$5&gt;=0,--[1]!td(J60-IF(指数分析!$D$7="日",1,IF(指数分析!$D$7="周",7,30))),""))</f>
        <v/>
      </c>
      <c r="K61" s="57" t="str">
        <f ca="1">IF(J61="","",[1]!f_dq_close($K$5,J61))</f>
        <v/>
      </c>
      <c r="L61" s="54" t="str">
        <f ca="1">IF(J61="","",[1]!f_pq_pctchange($K$5,J61,J61)/100)</f>
        <v/>
      </c>
      <c r="M61" s="54" t="str">
        <f ca="1">IF(J61="","",[1]!f_pq_pctchange($K$5,指数分析!$D$5,J61)/100)</f>
        <v/>
      </c>
      <c r="N61" s="54"/>
      <c r="P61" s="52"/>
      <c r="Q61" s="52"/>
      <c r="S61" s="58"/>
      <c r="T61" s="56"/>
      <c r="U61" s="57"/>
      <c r="V61" s="57"/>
      <c r="W61" s="57"/>
      <c r="X61" s="55" t="str">
        <f>IF(R61="","",[1]!s_risk_stdevy(LEFT(R61,FIND(".",R61)+2),指数分析!$D$5,指数分析!$D$6,2,1))</f>
        <v/>
      </c>
    </row>
    <row r="62" spans="2:24" s="53" customFormat="1" ht="12.75" x14ac:dyDescent="0.15">
      <c r="B62" s="52" t="str">
        <f>IF(E62="","",IF(COUNTIF(E$6:E62,E62)=1,RANK(E62,E:E,0),RANK(E62,E:E,0)+COUNTIF(E$6:E62,E62)-1))</f>
        <v/>
      </c>
      <c r="C62" s="52" t="str">
        <f t="shared" si="1"/>
        <v/>
      </c>
      <c r="D62" s="53" t="str">
        <f t="shared" si="4"/>
        <v/>
      </c>
      <c r="E62" s="54" t="str">
        <f>IF(C62="","",[1]!f_pq_pctchange(VLOOKUP(C62,worldfield,2,FALSE),指数分析!$D$5,指数分析!$D$6)/100)</f>
        <v/>
      </c>
      <c r="F62" s="54" t="str">
        <f t="shared" si="5"/>
        <v/>
      </c>
      <c r="G62" s="54" t="str">
        <f t="shared" si="6"/>
        <v/>
      </c>
      <c r="H62" s="54" t="str">
        <f t="shared" si="7"/>
        <v/>
      </c>
      <c r="I62" s="55" t="str">
        <f>IF(H62="","",[1]!s_risk_stdevy(LEFT(H62,FIND(".",H62)+2),指数分析!$D$5,指数分析!$D$6,2,1))</f>
        <v/>
      </c>
      <c r="J62" s="56" t="str">
        <f ca="1">IF(J61="","",IF([1]!td(J61-IF(指数分析!$D$7="日",1,IF(指数分析!$D$7="周",7,30)))-指数分析!$D$5&gt;=0,--[1]!td(J61-IF(指数分析!$D$7="日",1,IF(指数分析!$D$7="周",7,30))),""))</f>
        <v/>
      </c>
      <c r="K62" s="57" t="str">
        <f ca="1">IF(J62="","",[1]!f_dq_close($K$5,J62))</f>
        <v/>
      </c>
      <c r="L62" s="54" t="str">
        <f ca="1">IF(J62="","",[1]!f_pq_pctchange($K$5,J62,J62)/100)</f>
        <v/>
      </c>
      <c r="M62" s="54" t="str">
        <f ca="1">IF(J62="","",[1]!f_pq_pctchange($K$5,指数分析!$D$5,J62)/100)</f>
        <v/>
      </c>
      <c r="N62" s="54"/>
      <c r="P62" s="52"/>
      <c r="Q62" s="52"/>
      <c r="S62" s="58"/>
      <c r="T62" s="56"/>
      <c r="U62" s="57"/>
      <c r="V62" s="57"/>
      <c r="W62" s="57"/>
      <c r="X62" s="55" t="str">
        <f>IF(R62="","",[1]!s_risk_stdevy(LEFT(R62,FIND(".",R62)+2),指数分析!$D$5,指数分析!$D$6,2,1))</f>
        <v/>
      </c>
    </row>
    <row r="63" spans="2:24" s="53" customFormat="1" ht="12.75" x14ac:dyDescent="0.15">
      <c r="B63" s="52" t="str">
        <f>IF(E63="","",IF(COUNTIF(E$6:E63,E63)=1,RANK(E63,E:E,0),RANK(E63,E:E,0)+COUNTIF(E$6:E63,E63)-1))</f>
        <v/>
      </c>
      <c r="C63" s="52" t="str">
        <f t="shared" si="1"/>
        <v/>
      </c>
      <c r="D63" s="53" t="str">
        <f t="shared" si="4"/>
        <v/>
      </c>
      <c r="E63" s="54" t="str">
        <f>IF(C63="","",[1]!f_pq_pctchange(VLOOKUP(C63,worldfield,2,FALSE),指数分析!$D$5,指数分析!$D$6)/100)</f>
        <v/>
      </c>
      <c r="F63" s="54" t="str">
        <f t="shared" si="5"/>
        <v/>
      </c>
      <c r="G63" s="54" t="str">
        <f t="shared" si="6"/>
        <v/>
      </c>
      <c r="H63" s="54" t="str">
        <f t="shared" si="7"/>
        <v/>
      </c>
      <c r="I63" s="55" t="str">
        <f>IF(H63="","",[1]!s_risk_stdevy(LEFT(H63,FIND(".",H63)+2),指数分析!$D$5,指数分析!$D$6,2,1))</f>
        <v/>
      </c>
      <c r="J63" s="56" t="str">
        <f ca="1">IF(J62="","",IF([1]!td(J62-IF(指数分析!$D$7="日",1,IF(指数分析!$D$7="周",7,30)))-指数分析!$D$5&gt;=0,--[1]!td(J62-IF(指数分析!$D$7="日",1,IF(指数分析!$D$7="周",7,30))),""))</f>
        <v/>
      </c>
      <c r="K63" s="57" t="str">
        <f ca="1">IF(J63="","",[1]!f_dq_close($K$5,J63))</f>
        <v/>
      </c>
      <c r="L63" s="54" t="str">
        <f ca="1">IF(J63="","",[1]!f_pq_pctchange($K$5,J63,J63)/100)</f>
        <v/>
      </c>
      <c r="M63" s="54" t="str">
        <f ca="1">IF(J63="","",[1]!f_pq_pctchange($K$5,指数分析!$D$5,J63)/100)</f>
        <v/>
      </c>
      <c r="N63" s="54"/>
      <c r="P63" s="52"/>
      <c r="Q63" s="52"/>
      <c r="S63" s="58"/>
      <c r="T63" s="56"/>
      <c r="U63" s="57"/>
      <c r="V63" s="57"/>
      <c r="W63" s="57"/>
      <c r="X63" s="55" t="str">
        <f>IF(R63="","",[1]!s_risk_stdevy(LEFT(R63,FIND(".",R63)+2),指数分析!$D$5,指数分析!$D$6,2,1))</f>
        <v/>
      </c>
    </row>
    <row r="64" spans="2:24" s="53" customFormat="1" ht="12.75" x14ac:dyDescent="0.15">
      <c r="B64" s="52" t="str">
        <f>IF(E64="","",IF(COUNTIF(E$6:E64,E64)=1,RANK(E64,E:E,0),RANK(E64,E:E,0)+COUNTIF(E$6:E64,E64)-1))</f>
        <v/>
      </c>
      <c r="C64" s="52" t="str">
        <f t="shared" si="1"/>
        <v/>
      </c>
      <c r="D64" s="53" t="str">
        <f t="shared" si="4"/>
        <v/>
      </c>
      <c r="E64" s="54" t="str">
        <f>IF(C64="","",[1]!f_pq_pctchange(VLOOKUP(C64,worldfield,2,FALSE),指数分析!$D$5,指数分析!$D$6)/100)</f>
        <v/>
      </c>
      <c r="F64" s="54" t="str">
        <f t="shared" si="5"/>
        <v/>
      </c>
      <c r="G64" s="54" t="str">
        <f t="shared" si="6"/>
        <v/>
      </c>
      <c r="H64" s="54" t="str">
        <f t="shared" si="7"/>
        <v/>
      </c>
      <c r="I64" s="55" t="str">
        <f>IF(H64="","",[1]!s_risk_stdevy(LEFT(H64,FIND(".",H64)+2),指数分析!$D$5,指数分析!$D$6,2,1))</f>
        <v/>
      </c>
      <c r="J64" s="56" t="str">
        <f ca="1">IF(J63="","",IF([1]!td(J63-IF(指数分析!$D$7="日",1,IF(指数分析!$D$7="周",7,30)))-指数分析!$D$5&gt;=0,--[1]!td(J63-IF(指数分析!$D$7="日",1,IF(指数分析!$D$7="周",7,30))),""))</f>
        <v/>
      </c>
      <c r="K64" s="57" t="str">
        <f ca="1">IF(J64="","",[1]!f_dq_close($K$5,J64))</f>
        <v/>
      </c>
      <c r="L64" s="54" t="str">
        <f ca="1">IF(J64="","",[1]!f_pq_pctchange($K$5,J64,J64)/100)</f>
        <v/>
      </c>
      <c r="M64" s="54" t="str">
        <f ca="1">IF(J64="","",[1]!f_pq_pctchange($K$5,指数分析!$D$5,J64)/100)</f>
        <v/>
      </c>
      <c r="N64" s="54"/>
      <c r="P64" s="52"/>
      <c r="Q64" s="52"/>
      <c r="S64" s="58"/>
      <c r="T64" s="56"/>
      <c r="U64" s="57"/>
      <c r="V64" s="57"/>
      <c r="W64" s="57"/>
      <c r="X64" s="55" t="str">
        <f>IF(R64="","",[1]!s_risk_stdevy(LEFT(R64,FIND(".",R64)+2),指数分析!$D$5,指数分析!$D$6,2,1))</f>
        <v/>
      </c>
    </row>
    <row r="65" spans="2:24" s="53" customFormat="1" ht="12.75" x14ac:dyDescent="0.15">
      <c r="B65" s="52" t="str">
        <f>IF(E65="","",IF(COUNTIF(E$6:E65,E65)=1,RANK(E65,E:E,0),RANK(E65,E:E,0)+COUNTIF(E$6:E65,E65)-1))</f>
        <v/>
      </c>
      <c r="C65" s="52" t="str">
        <f t="shared" si="1"/>
        <v/>
      </c>
      <c r="D65" s="53" t="str">
        <f t="shared" si="4"/>
        <v/>
      </c>
      <c r="E65" s="54" t="str">
        <f>IF(C65="","",[1]!f_pq_pctchange(VLOOKUP(C65,worldfield,2,FALSE),指数分析!$D$5,指数分析!$D$6)/100)</f>
        <v/>
      </c>
      <c r="F65" s="54" t="str">
        <f t="shared" si="5"/>
        <v/>
      </c>
      <c r="G65" s="54" t="str">
        <f t="shared" si="6"/>
        <v/>
      </c>
      <c r="H65" s="54" t="str">
        <f t="shared" si="7"/>
        <v/>
      </c>
      <c r="I65" s="55" t="str">
        <f>IF(H65="","",[1]!s_risk_stdevy(LEFT(H65,FIND(".",H65)+2),指数分析!$D$5,指数分析!$D$6,2,1))</f>
        <v/>
      </c>
      <c r="J65" s="56" t="str">
        <f ca="1">IF(J64="","",IF([1]!td(J64-IF(指数分析!$D$7="日",1,IF(指数分析!$D$7="周",7,30)))-指数分析!$D$5&gt;=0,--[1]!td(J64-IF(指数分析!$D$7="日",1,IF(指数分析!$D$7="周",7,30))),""))</f>
        <v/>
      </c>
      <c r="K65" s="57" t="str">
        <f ca="1">IF(J65="","",[1]!f_dq_close($K$5,J65))</f>
        <v/>
      </c>
      <c r="L65" s="54" t="str">
        <f ca="1">IF(J65="","",[1]!f_pq_pctchange($K$5,J65,J65)/100)</f>
        <v/>
      </c>
      <c r="M65" s="54" t="str">
        <f ca="1">IF(J65="","",[1]!f_pq_pctchange($K$5,指数分析!$D$5,J65)/100)</f>
        <v/>
      </c>
      <c r="N65" s="54"/>
      <c r="P65" s="52"/>
      <c r="Q65" s="52"/>
      <c r="S65" s="58"/>
      <c r="T65" s="56"/>
      <c r="U65" s="57"/>
      <c r="V65" s="57"/>
      <c r="W65" s="57"/>
      <c r="X65" s="55" t="str">
        <f>IF(R65="","",[1]!s_risk_stdevy(LEFT(R65,FIND(".",R65)+2),指数分析!$D$5,指数分析!$D$6,2,1))</f>
        <v/>
      </c>
    </row>
    <row r="66" spans="2:24" s="53" customFormat="1" ht="12.75" x14ac:dyDescent="0.15">
      <c r="B66" s="52" t="str">
        <f>IF(E66="","",IF(COUNTIF(E$6:E66,E66)=1,RANK(E66,E:E,0),RANK(E66,E:E,0)+COUNTIF(E$6:E66,E66)-1))</f>
        <v/>
      </c>
      <c r="C66" s="52" t="str">
        <f t="shared" si="1"/>
        <v/>
      </c>
      <c r="D66" s="53" t="str">
        <f t="shared" si="4"/>
        <v/>
      </c>
      <c r="E66" s="54" t="str">
        <f>IF(C66="","",[1]!f_pq_pctchange(VLOOKUP(C66,worldfield,2,FALSE),指数分析!$D$5,指数分析!$D$6)/100)</f>
        <v/>
      </c>
      <c r="F66" s="54" t="str">
        <f t="shared" si="5"/>
        <v/>
      </c>
      <c r="G66" s="54" t="str">
        <f t="shared" si="6"/>
        <v/>
      </c>
      <c r="H66" s="54" t="str">
        <f t="shared" si="7"/>
        <v/>
      </c>
      <c r="I66" s="55" t="str">
        <f>IF(H66="","",[1]!s_risk_stdevy(LEFT(H66,FIND(".",H66)+2),指数分析!$D$5,指数分析!$D$6,2,1))</f>
        <v/>
      </c>
      <c r="J66" s="56" t="str">
        <f ca="1">IF(J65="","",IF([1]!td(J65-IF(指数分析!$D$7="日",1,IF(指数分析!$D$7="周",7,30)))-指数分析!$D$5&gt;=0,--[1]!td(J65-IF(指数分析!$D$7="日",1,IF(指数分析!$D$7="周",7,30))),""))</f>
        <v/>
      </c>
      <c r="K66" s="57" t="str">
        <f ca="1">IF(J66="","",[1]!f_dq_close($K$5,J66))</f>
        <v/>
      </c>
      <c r="L66" s="54" t="str">
        <f ca="1">IF(J66="","",[1]!f_pq_pctchange($K$5,J66,J66)/100)</f>
        <v/>
      </c>
      <c r="M66" s="54" t="str">
        <f ca="1">IF(J66="","",[1]!f_pq_pctchange($K$5,指数分析!$D$5,J66)/100)</f>
        <v/>
      </c>
      <c r="N66" s="54"/>
      <c r="P66" s="52"/>
      <c r="Q66" s="52"/>
      <c r="S66" s="58"/>
      <c r="T66" s="56"/>
      <c r="U66" s="57"/>
      <c r="V66" s="57"/>
      <c r="W66" s="57"/>
      <c r="X66" s="55" t="str">
        <f>IF(R66="","",[1]!s_risk_stdevy(LEFT(R66,FIND(".",R66)+2),指数分析!$D$5,指数分析!$D$6,2,1))</f>
        <v/>
      </c>
    </row>
    <row r="67" spans="2:24" s="53" customFormat="1" ht="12.75" x14ac:dyDescent="0.15">
      <c r="B67" s="52" t="str">
        <f>IF(E67="","",IF(COUNTIF(E$6:E67,E67)=1,RANK(E67,E:E,0),RANK(E67,E:E,0)+COUNTIF(E$6:E67,E67)-1))</f>
        <v/>
      </c>
      <c r="C67" s="52" t="str">
        <f t="shared" si="1"/>
        <v/>
      </c>
      <c r="D67" s="53" t="str">
        <f t="shared" si="4"/>
        <v/>
      </c>
      <c r="E67" s="54" t="str">
        <f>IF(C67="","",[1]!f_pq_pctchange(VLOOKUP(C67,worldfield,2,FALSE),指数分析!$D$5,指数分析!$D$6)/100)</f>
        <v/>
      </c>
      <c r="F67" s="54" t="str">
        <f t="shared" si="5"/>
        <v/>
      </c>
      <c r="G67" s="54" t="str">
        <f t="shared" si="6"/>
        <v/>
      </c>
      <c r="H67" s="54" t="str">
        <f t="shared" si="7"/>
        <v/>
      </c>
      <c r="I67" s="55" t="str">
        <f>IF(H67="","",[1]!s_risk_stdevy(LEFT(H67,FIND(".",H67)+2),指数分析!$D$5,指数分析!$D$6,2,1))</f>
        <v/>
      </c>
      <c r="J67" s="56" t="str">
        <f ca="1">IF(J66="","",IF([1]!td(J66-IF(指数分析!$D$7="日",1,IF(指数分析!$D$7="周",7,30)))-指数分析!$D$5&gt;=0,--[1]!td(J66-IF(指数分析!$D$7="日",1,IF(指数分析!$D$7="周",7,30))),""))</f>
        <v/>
      </c>
      <c r="K67" s="57" t="str">
        <f ca="1">IF(J67="","",[1]!f_dq_close($K$5,J67))</f>
        <v/>
      </c>
      <c r="L67" s="54" t="str">
        <f ca="1">IF(J67="","",[1]!f_pq_pctchange($K$5,J67,J67)/100)</f>
        <v/>
      </c>
      <c r="M67" s="54" t="str">
        <f ca="1">IF(J67="","",[1]!f_pq_pctchange($K$5,指数分析!$D$5,J67)/100)</f>
        <v/>
      </c>
      <c r="N67" s="54"/>
      <c r="P67" s="52"/>
      <c r="Q67" s="52"/>
      <c r="S67" s="58"/>
      <c r="T67" s="56"/>
      <c r="U67" s="57"/>
      <c r="V67" s="57"/>
      <c r="W67" s="57"/>
      <c r="X67" s="55" t="str">
        <f>IF(R67="","",[1]!s_risk_stdevy(LEFT(R67,FIND(".",R67)+2),指数分析!$D$5,指数分析!$D$6,2,1))</f>
        <v/>
      </c>
    </row>
    <row r="68" spans="2:24" s="53" customFormat="1" ht="12.75" x14ac:dyDescent="0.15">
      <c r="B68" s="52" t="str">
        <f>IF(E68="","",IF(COUNTIF(E$6:E68,E68)=1,RANK(E68,E:E,0),RANK(E68,E:E,0)+COUNTIF(E$6:E68,E68)-1))</f>
        <v/>
      </c>
      <c r="C68" s="52" t="str">
        <f t="shared" si="1"/>
        <v/>
      </c>
      <c r="D68" s="53" t="str">
        <f t="shared" si="4"/>
        <v/>
      </c>
      <c r="E68" s="54" t="str">
        <f>IF(C68="","",[1]!f_pq_pctchange(VLOOKUP(C68,worldfield,2,FALSE),指数分析!$D$5,指数分析!$D$6)/100)</f>
        <v/>
      </c>
      <c r="F68" s="54" t="str">
        <f t="shared" si="5"/>
        <v/>
      </c>
      <c r="G68" s="54" t="str">
        <f t="shared" si="6"/>
        <v/>
      </c>
      <c r="H68" s="54" t="str">
        <f t="shared" si="7"/>
        <v/>
      </c>
      <c r="I68" s="55" t="str">
        <f>IF(H68="","",[1]!s_risk_stdevy(LEFT(H68,FIND(".",H68)+2),指数分析!$D$5,指数分析!$D$6,2,1))</f>
        <v/>
      </c>
      <c r="J68" s="56" t="str">
        <f ca="1">IF(J67="","",IF([1]!td(J67-IF(指数分析!$D$7="日",1,IF(指数分析!$D$7="周",7,30)))-指数分析!$D$5&gt;=0,--[1]!td(J67-IF(指数分析!$D$7="日",1,IF(指数分析!$D$7="周",7,30))),""))</f>
        <v/>
      </c>
      <c r="K68" s="57" t="str">
        <f ca="1">IF(J68="","",[1]!f_dq_close($K$5,J68))</f>
        <v/>
      </c>
      <c r="L68" s="54" t="str">
        <f ca="1">IF(J68="","",[1]!f_pq_pctchange($K$5,J68,J68)/100)</f>
        <v/>
      </c>
      <c r="M68" s="54" t="str">
        <f ca="1">IF(J68="","",[1]!f_pq_pctchange($K$5,指数分析!$D$5,J68)/100)</f>
        <v/>
      </c>
      <c r="N68" s="54"/>
      <c r="P68" s="52"/>
      <c r="Q68" s="52"/>
      <c r="S68" s="58"/>
      <c r="T68" s="56"/>
      <c r="U68" s="57"/>
      <c r="V68" s="57"/>
      <c r="W68" s="57"/>
      <c r="X68" s="55" t="str">
        <f>IF(R68="","",[1]!s_risk_stdevy(LEFT(R68,FIND(".",R68)+2),指数分析!$D$5,指数分析!$D$6,2,1))</f>
        <v/>
      </c>
    </row>
    <row r="69" spans="2:24" s="53" customFormat="1" ht="12.75" x14ac:dyDescent="0.15">
      <c r="B69" s="52" t="str">
        <f>IF(E69="","",IF(COUNTIF(E$6:E69,E69)=1,RANK(E69,E:E,0),RANK(E69,E:E,0)+COUNTIF(E$6:E69,E69)-1))</f>
        <v/>
      </c>
      <c r="C69" s="52" t="str">
        <f t="shared" si="1"/>
        <v/>
      </c>
      <c r="D69" s="53" t="str">
        <f t="shared" si="4"/>
        <v/>
      </c>
      <c r="E69" s="54" t="str">
        <f>IF(C69="","",[1]!f_pq_pctchange(VLOOKUP(C69,worldfield,2,FALSE),指数分析!$D$5,指数分析!$D$6)/100)</f>
        <v/>
      </c>
      <c r="F69" s="54" t="str">
        <f t="shared" si="5"/>
        <v/>
      </c>
      <c r="G69" s="54" t="str">
        <f t="shared" si="6"/>
        <v/>
      </c>
      <c r="H69" s="54" t="str">
        <f t="shared" si="7"/>
        <v/>
      </c>
      <c r="I69" s="55" t="str">
        <f>IF(H69="","",[1]!s_risk_stdevy(LEFT(H69,FIND(".",H69)+2),指数分析!$D$5,指数分析!$D$6,2,1))</f>
        <v/>
      </c>
      <c r="J69" s="56" t="str">
        <f ca="1">IF(J68="","",IF([1]!td(J68-IF(指数分析!$D$7="日",1,IF(指数分析!$D$7="周",7,30)))-指数分析!$D$5&gt;=0,--[1]!td(J68-IF(指数分析!$D$7="日",1,IF(指数分析!$D$7="周",7,30))),""))</f>
        <v/>
      </c>
      <c r="K69" s="57" t="str">
        <f ca="1">IF(J69="","",[1]!f_dq_close($K$5,J69))</f>
        <v/>
      </c>
      <c r="L69" s="54" t="str">
        <f ca="1">IF(J69="","",[1]!f_pq_pctchange($K$5,J69,J69)/100)</f>
        <v/>
      </c>
      <c r="M69" s="54" t="str">
        <f ca="1">IF(J69="","",[1]!f_pq_pctchange($K$5,指数分析!$D$5,J69)/100)</f>
        <v/>
      </c>
      <c r="N69" s="54"/>
      <c r="P69" s="52"/>
      <c r="Q69" s="52"/>
      <c r="S69" s="58"/>
      <c r="T69" s="56"/>
      <c r="U69" s="57"/>
      <c r="V69" s="57"/>
      <c r="W69" s="57"/>
      <c r="X69" s="55" t="str">
        <f>IF(R69="","",[1]!s_risk_stdevy(LEFT(R69,FIND(".",R69)+2),指数分析!$D$5,指数分析!$D$6,2,1))</f>
        <v/>
      </c>
    </row>
    <row r="70" spans="2:24" s="53" customFormat="1" ht="12.75" x14ac:dyDescent="0.15">
      <c r="B70" s="52" t="str">
        <f>IF(E70="","",IF(COUNTIF(E$6:E70,E70)=1,RANK(E70,E:E,0),RANK(E70,E:E,0)+COUNTIF(E$6:E70,E70)-1))</f>
        <v/>
      </c>
      <c r="C70" s="52" t="str">
        <f t="shared" ref="C70:C133" si="8">IF(ROW()-ROW($C$5)&gt;worldnums,"",ROW()-ROW($C$5))</f>
        <v/>
      </c>
      <c r="D70" s="53" t="str">
        <f t="shared" ref="D70:D133" si="9">IF(C70="","",VLOOKUP(C70,worldfield,2,FALSE)&amp;VLOOKUP(C70,worldfield,3,FALSE))</f>
        <v/>
      </c>
      <c r="E70" s="54" t="str">
        <f>IF(C70="","",[1]!f_pq_pctchange(VLOOKUP(C70,worldfield,2,FALSE),指数分析!$D$5,指数分析!$D$6)/100)</f>
        <v/>
      </c>
      <c r="F70" s="54" t="str">
        <f t="shared" si="5"/>
        <v/>
      </c>
      <c r="G70" s="54" t="str">
        <f t="shared" si="6"/>
        <v/>
      </c>
      <c r="H70" s="54" t="str">
        <f t="shared" si="7"/>
        <v/>
      </c>
      <c r="I70" s="55" t="str">
        <f>IF(H70="","",[1]!s_risk_stdevy(LEFT(H70,FIND(".",H70)+2),指数分析!$D$5,指数分析!$D$6,2,1))</f>
        <v/>
      </c>
      <c r="J70" s="56" t="str">
        <f ca="1">IF(J69="","",IF([1]!td(J69-IF(指数分析!$D$7="日",1,IF(指数分析!$D$7="周",7,30)))-指数分析!$D$5&gt;=0,--[1]!td(J69-IF(指数分析!$D$7="日",1,IF(指数分析!$D$7="周",7,30))),""))</f>
        <v/>
      </c>
      <c r="K70" s="57" t="str">
        <f ca="1">IF(J70="","",[1]!f_dq_close($K$5,J70))</f>
        <v/>
      </c>
      <c r="L70" s="54" t="str">
        <f ca="1">IF(J70="","",[1]!f_pq_pctchange($K$5,J70,J70)/100)</f>
        <v/>
      </c>
      <c r="M70" s="54" t="str">
        <f ca="1">IF(J70="","",[1]!f_pq_pctchange($K$5,指数分析!$D$5,J70)/100)</f>
        <v/>
      </c>
      <c r="N70" s="54"/>
      <c r="P70" s="52"/>
      <c r="Q70" s="52"/>
      <c r="S70" s="58"/>
      <c r="T70" s="56"/>
      <c r="U70" s="57"/>
      <c r="V70" s="57"/>
      <c r="W70" s="57"/>
      <c r="X70" s="55" t="str">
        <f>IF(R70="","",[1]!s_risk_stdevy(LEFT(R70,FIND(".",R70)+2),指数分析!$D$5,指数分析!$D$6,2,1))</f>
        <v/>
      </c>
    </row>
    <row r="71" spans="2:24" s="53" customFormat="1" ht="12.75" x14ac:dyDescent="0.15">
      <c r="B71" s="52" t="str">
        <f>IF(E71="","",IF(COUNTIF(E$6:E71,E71)=1,RANK(E71,E:E,0),RANK(E71,E:E,0)+COUNTIF(E$6:E71,E71)-1))</f>
        <v/>
      </c>
      <c r="C71" s="52" t="str">
        <f t="shared" si="8"/>
        <v/>
      </c>
      <c r="D71" s="53" t="str">
        <f t="shared" si="9"/>
        <v/>
      </c>
      <c r="E71" s="54" t="str">
        <f>IF(C71="","",[1]!f_pq_pctchange(VLOOKUP(C71,worldfield,2,FALSE),指数分析!$D$5,指数分析!$D$6)/100)</f>
        <v/>
      </c>
      <c r="F71" s="54" t="str">
        <f t="shared" ref="F71:F134" si="10">IF(C71="","",VLOOKUP(C71,B:E,3,FALSE))</f>
        <v/>
      </c>
      <c r="G71" s="54" t="str">
        <f t="shared" ref="G71:G134" si="11">IF(C71="","",VLOOKUP(C71,B:E,4,FALSE))</f>
        <v/>
      </c>
      <c r="H71" s="54" t="str">
        <f t="shared" ref="H71:H134" si="12">IF(C71="","",F71&amp;":"&amp;TEXT(G71,"0.0%"))</f>
        <v/>
      </c>
      <c r="I71" s="55" t="str">
        <f>IF(H71="","",[1]!s_risk_stdevy(LEFT(H71,FIND(".",H71)+2),指数分析!$D$5,指数分析!$D$6,2,1))</f>
        <v/>
      </c>
      <c r="J71" s="56" t="str">
        <f ca="1">IF(J70="","",IF([1]!td(J70-IF(指数分析!$D$7="日",1,IF(指数分析!$D$7="周",7,30)))-指数分析!$D$5&gt;=0,--[1]!td(J70-IF(指数分析!$D$7="日",1,IF(指数分析!$D$7="周",7,30))),""))</f>
        <v/>
      </c>
      <c r="K71" s="57" t="str">
        <f ca="1">IF(J71="","",[1]!f_dq_close($K$5,J71))</f>
        <v/>
      </c>
      <c r="L71" s="54" t="str">
        <f ca="1">IF(J71="","",[1]!f_pq_pctchange($K$5,J71,J71)/100)</f>
        <v/>
      </c>
      <c r="M71" s="54" t="str">
        <f ca="1">IF(J71="","",[1]!f_pq_pctchange($K$5,指数分析!$D$5,J71)/100)</f>
        <v/>
      </c>
      <c r="N71" s="54"/>
      <c r="P71" s="52"/>
      <c r="Q71" s="52"/>
      <c r="S71" s="58"/>
      <c r="T71" s="56"/>
      <c r="U71" s="57"/>
      <c r="V71" s="57"/>
      <c r="W71" s="57"/>
      <c r="X71" s="55" t="str">
        <f>IF(R71="","",[1]!s_risk_stdevy(LEFT(R71,FIND(".",R71)+2),指数分析!$D$5,指数分析!$D$6,2,1))</f>
        <v/>
      </c>
    </row>
    <row r="72" spans="2:24" s="53" customFormat="1" ht="12.75" x14ac:dyDescent="0.15">
      <c r="B72" s="52" t="str">
        <f>IF(E72="","",IF(COUNTIF(E$6:E72,E72)=1,RANK(E72,E:E,0),RANK(E72,E:E,0)+COUNTIF(E$6:E72,E72)-1))</f>
        <v/>
      </c>
      <c r="C72" s="52" t="str">
        <f t="shared" si="8"/>
        <v/>
      </c>
      <c r="D72" s="53" t="str">
        <f t="shared" si="9"/>
        <v/>
      </c>
      <c r="E72" s="54" t="str">
        <f>IF(C72="","",[1]!f_pq_pctchange(VLOOKUP(C72,worldfield,2,FALSE),指数分析!$D$5,指数分析!$D$6)/100)</f>
        <v/>
      </c>
      <c r="F72" s="54" t="str">
        <f t="shared" si="10"/>
        <v/>
      </c>
      <c r="G72" s="54" t="str">
        <f t="shared" si="11"/>
        <v/>
      </c>
      <c r="H72" s="54" t="str">
        <f t="shared" si="12"/>
        <v/>
      </c>
      <c r="I72" s="55" t="str">
        <f>IF(H72="","",[1]!s_risk_stdevy(LEFT(H72,FIND(".",H72)+2),指数分析!$D$5,指数分析!$D$6,2,1))</f>
        <v/>
      </c>
      <c r="J72" s="56" t="str">
        <f ca="1">IF(J71="","",IF([1]!td(J71-IF(指数分析!$D$7="日",1,IF(指数分析!$D$7="周",7,30)))-指数分析!$D$5&gt;=0,--[1]!td(J71-IF(指数分析!$D$7="日",1,IF(指数分析!$D$7="周",7,30))),""))</f>
        <v/>
      </c>
      <c r="K72" s="57" t="str">
        <f ca="1">IF(J72="","",[1]!f_dq_close($K$5,J72))</f>
        <v/>
      </c>
      <c r="L72" s="54" t="str">
        <f ca="1">IF(J72="","",[1]!f_pq_pctchange($K$5,J72,J72)/100)</f>
        <v/>
      </c>
      <c r="M72" s="54" t="str">
        <f ca="1">IF(J72="","",[1]!f_pq_pctchange($K$5,指数分析!$D$5,J72)/100)</f>
        <v/>
      </c>
      <c r="N72" s="54"/>
      <c r="P72" s="52"/>
      <c r="Q72" s="52"/>
      <c r="S72" s="58"/>
      <c r="T72" s="56"/>
      <c r="U72" s="57"/>
      <c r="V72" s="57"/>
      <c r="W72" s="57"/>
      <c r="X72" s="55" t="str">
        <f>IF(R72="","",[1]!s_risk_stdevy(LEFT(R72,FIND(".",R72)+2),指数分析!$D$5,指数分析!$D$6,2,1))</f>
        <v/>
      </c>
    </row>
    <row r="73" spans="2:24" s="53" customFormat="1" ht="12.75" x14ac:dyDescent="0.15">
      <c r="B73" s="52" t="str">
        <f>IF(E73="","",IF(COUNTIF(E$6:E73,E73)=1,RANK(E73,E:E,0),RANK(E73,E:E,0)+COUNTIF(E$6:E73,E73)-1))</f>
        <v/>
      </c>
      <c r="C73" s="52" t="str">
        <f t="shared" si="8"/>
        <v/>
      </c>
      <c r="D73" s="53" t="str">
        <f t="shared" si="9"/>
        <v/>
      </c>
      <c r="E73" s="54" t="str">
        <f>IF(C73="","",[1]!f_pq_pctchange(VLOOKUP(C73,worldfield,2,FALSE),指数分析!$D$5,指数分析!$D$6)/100)</f>
        <v/>
      </c>
      <c r="F73" s="54" t="str">
        <f t="shared" si="10"/>
        <v/>
      </c>
      <c r="G73" s="54" t="str">
        <f t="shared" si="11"/>
        <v/>
      </c>
      <c r="H73" s="54" t="str">
        <f t="shared" si="12"/>
        <v/>
      </c>
      <c r="I73" s="55" t="str">
        <f>IF(H73="","",[1]!s_risk_stdevy(LEFT(H73,FIND(".",H73)+2),指数分析!$D$5,指数分析!$D$6,2,1))</f>
        <v/>
      </c>
      <c r="J73" s="56" t="str">
        <f ca="1">IF(J72="","",IF([1]!td(J72-IF(指数分析!$D$7="日",1,IF(指数分析!$D$7="周",7,30)))-指数分析!$D$5&gt;=0,--[1]!td(J72-IF(指数分析!$D$7="日",1,IF(指数分析!$D$7="周",7,30))),""))</f>
        <v/>
      </c>
      <c r="K73" s="57" t="str">
        <f ca="1">IF(J73="","",[1]!f_dq_close($K$5,J73))</f>
        <v/>
      </c>
      <c r="L73" s="54" t="str">
        <f ca="1">IF(J73="","",[1]!f_pq_pctchange($K$5,J73,J73)/100)</f>
        <v/>
      </c>
      <c r="M73" s="54" t="str">
        <f ca="1">IF(J73="","",[1]!f_pq_pctchange($K$5,指数分析!$D$5,J73)/100)</f>
        <v/>
      </c>
      <c r="N73" s="54"/>
      <c r="P73" s="52"/>
      <c r="Q73" s="52"/>
      <c r="S73" s="58"/>
      <c r="T73" s="56"/>
      <c r="U73" s="57"/>
      <c r="V73" s="57"/>
      <c r="W73" s="57"/>
      <c r="X73" s="55" t="str">
        <f>IF(R73="","",[1]!s_risk_stdevy(LEFT(R73,FIND(".",R73)+2),指数分析!$D$5,指数分析!$D$6,2,1))</f>
        <v/>
      </c>
    </row>
    <row r="74" spans="2:24" s="53" customFormat="1" ht="12.75" x14ac:dyDescent="0.15">
      <c r="B74" s="52" t="str">
        <f>IF(E74="","",IF(COUNTIF(E$6:E74,E74)=1,RANK(E74,E:E,0),RANK(E74,E:E,0)+COUNTIF(E$6:E74,E74)-1))</f>
        <v/>
      </c>
      <c r="C74" s="52" t="str">
        <f t="shared" si="8"/>
        <v/>
      </c>
      <c r="D74" s="53" t="str">
        <f t="shared" si="9"/>
        <v/>
      </c>
      <c r="E74" s="54" t="str">
        <f>IF(C74="","",[1]!f_pq_pctchange(VLOOKUP(C74,worldfield,2,FALSE),指数分析!$D$5,指数分析!$D$6)/100)</f>
        <v/>
      </c>
      <c r="F74" s="54" t="str">
        <f t="shared" si="10"/>
        <v/>
      </c>
      <c r="G74" s="54" t="str">
        <f t="shared" si="11"/>
        <v/>
      </c>
      <c r="H74" s="54" t="str">
        <f t="shared" si="12"/>
        <v/>
      </c>
      <c r="I74" s="55" t="str">
        <f>IF(H74="","",[1]!s_risk_stdevy(LEFT(H74,FIND(".",H74)+2),指数分析!$D$5,指数分析!$D$6,2,1))</f>
        <v/>
      </c>
      <c r="J74" s="56" t="str">
        <f ca="1">IF(J73="","",IF([1]!td(J73-IF(指数分析!$D$7="日",1,IF(指数分析!$D$7="周",7,30)))-指数分析!$D$5&gt;=0,--[1]!td(J73-IF(指数分析!$D$7="日",1,IF(指数分析!$D$7="周",7,30))),""))</f>
        <v/>
      </c>
      <c r="K74" s="57" t="str">
        <f ca="1">IF(J74="","",[1]!f_dq_close($K$5,J74))</f>
        <v/>
      </c>
      <c r="L74" s="54" t="str">
        <f ca="1">IF(J74="","",[1]!f_pq_pctchange($K$5,J74,J74)/100)</f>
        <v/>
      </c>
      <c r="M74" s="54" t="str">
        <f ca="1">IF(J74="","",[1]!f_pq_pctchange($K$5,指数分析!$D$5,J74)/100)</f>
        <v/>
      </c>
      <c r="N74" s="54"/>
      <c r="P74" s="52"/>
      <c r="Q74" s="52"/>
      <c r="S74" s="58"/>
      <c r="T74" s="56"/>
      <c r="U74" s="57"/>
      <c r="V74" s="57"/>
      <c r="W74" s="57"/>
      <c r="X74" s="55" t="str">
        <f>IF(R74="","",[1]!s_risk_stdevy(LEFT(R74,FIND(".",R74)+2),指数分析!$D$5,指数分析!$D$6,2,1))</f>
        <v/>
      </c>
    </row>
    <row r="75" spans="2:24" s="53" customFormat="1" ht="12.75" x14ac:dyDescent="0.15">
      <c r="B75" s="52" t="str">
        <f>IF(E75="","",IF(COUNTIF(E$6:E75,E75)=1,RANK(E75,E:E,0),RANK(E75,E:E,0)+COUNTIF(E$6:E75,E75)-1))</f>
        <v/>
      </c>
      <c r="C75" s="52" t="str">
        <f t="shared" si="8"/>
        <v/>
      </c>
      <c r="D75" s="53" t="str">
        <f t="shared" si="9"/>
        <v/>
      </c>
      <c r="E75" s="54" t="str">
        <f>IF(C75="","",[1]!f_pq_pctchange(VLOOKUP(C75,worldfield,2,FALSE),指数分析!$D$5,指数分析!$D$6)/100)</f>
        <v/>
      </c>
      <c r="F75" s="54" t="str">
        <f t="shared" si="10"/>
        <v/>
      </c>
      <c r="G75" s="54" t="str">
        <f t="shared" si="11"/>
        <v/>
      </c>
      <c r="H75" s="54" t="str">
        <f t="shared" si="12"/>
        <v/>
      </c>
      <c r="I75" s="55" t="str">
        <f>IF(H75="","",[1]!s_risk_stdevy(LEFT(H75,FIND(".",H75)+2),指数分析!$D$5,指数分析!$D$6,2,1))</f>
        <v/>
      </c>
      <c r="J75" s="56" t="str">
        <f ca="1">IF(J74="","",IF([1]!td(J74-IF(指数分析!$D$7="日",1,IF(指数分析!$D$7="周",7,30)))-指数分析!$D$5&gt;=0,--[1]!td(J74-IF(指数分析!$D$7="日",1,IF(指数分析!$D$7="周",7,30))),""))</f>
        <v/>
      </c>
      <c r="K75" s="57" t="str">
        <f ca="1">IF(J75="","",[1]!f_dq_close($K$5,J75))</f>
        <v/>
      </c>
      <c r="L75" s="54" t="str">
        <f ca="1">IF(J75="","",[1]!f_pq_pctchange($K$5,J75,J75)/100)</f>
        <v/>
      </c>
      <c r="M75" s="54" t="str">
        <f ca="1">IF(J75="","",[1]!f_pq_pctchange($K$5,指数分析!$D$5,J75)/100)</f>
        <v/>
      </c>
      <c r="N75" s="54"/>
      <c r="P75" s="52"/>
      <c r="Q75" s="52"/>
      <c r="S75" s="58"/>
      <c r="T75" s="56"/>
      <c r="U75" s="57"/>
      <c r="V75" s="57"/>
      <c r="W75" s="57"/>
      <c r="X75" s="55" t="str">
        <f>IF(R75="","",[1]!s_risk_stdevy(LEFT(R75,FIND(".",R75)+2),指数分析!$D$5,指数分析!$D$6,2,1))</f>
        <v/>
      </c>
    </row>
    <row r="76" spans="2:24" s="53" customFormat="1" ht="12.75" x14ac:dyDescent="0.15">
      <c r="B76" s="52" t="str">
        <f>IF(E76="","",IF(COUNTIF(E$6:E76,E76)=1,RANK(E76,E:E,0),RANK(E76,E:E,0)+COUNTIF(E$6:E76,E76)-1))</f>
        <v/>
      </c>
      <c r="C76" s="52" t="str">
        <f t="shared" si="8"/>
        <v/>
      </c>
      <c r="D76" s="53" t="str">
        <f t="shared" si="9"/>
        <v/>
      </c>
      <c r="E76" s="54" t="str">
        <f>IF(C76="","",[1]!f_pq_pctchange(VLOOKUP(C76,worldfield,2,FALSE),指数分析!$D$5,指数分析!$D$6)/100)</f>
        <v/>
      </c>
      <c r="F76" s="54" t="str">
        <f t="shared" si="10"/>
        <v/>
      </c>
      <c r="G76" s="54" t="str">
        <f t="shared" si="11"/>
        <v/>
      </c>
      <c r="H76" s="54" t="str">
        <f t="shared" si="12"/>
        <v/>
      </c>
      <c r="I76" s="55" t="str">
        <f>IF(H76="","",[1]!s_risk_stdevy(LEFT(H76,FIND(".",H76)+2),指数分析!$D$5,指数分析!$D$6,2,1))</f>
        <v/>
      </c>
      <c r="J76" s="56" t="str">
        <f ca="1">IF(J75="","",IF([1]!td(J75-IF(指数分析!$D$7="日",1,IF(指数分析!$D$7="周",7,30)))-指数分析!$D$5&gt;=0,--[1]!td(J75-IF(指数分析!$D$7="日",1,IF(指数分析!$D$7="周",7,30))),""))</f>
        <v/>
      </c>
      <c r="K76" s="57" t="str">
        <f ca="1">IF(J76="","",[1]!f_dq_close($K$5,J76))</f>
        <v/>
      </c>
      <c r="L76" s="54" t="str">
        <f ca="1">IF(J76="","",[1]!f_pq_pctchange($K$5,J76,J76)/100)</f>
        <v/>
      </c>
      <c r="M76" s="54" t="str">
        <f ca="1">IF(J76="","",[1]!f_pq_pctchange($K$5,指数分析!$D$5,J76)/100)</f>
        <v/>
      </c>
      <c r="N76" s="54"/>
      <c r="P76" s="52"/>
      <c r="Q76" s="52"/>
      <c r="S76" s="58"/>
      <c r="T76" s="56"/>
      <c r="U76" s="57"/>
      <c r="V76" s="57"/>
      <c r="W76" s="57"/>
      <c r="X76" s="55" t="str">
        <f>IF(R76="","",[1]!s_risk_stdevy(LEFT(R76,FIND(".",R76)+2),指数分析!$D$5,指数分析!$D$6,2,1))</f>
        <v/>
      </c>
    </row>
    <row r="77" spans="2:24" s="53" customFormat="1" ht="12.75" x14ac:dyDescent="0.15">
      <c r="B77" s="52" t="str">
        <f>IF(E77="","",IF(COUNTIF(E$6:E77,E77)=1,RANK(E77,E:E,0),RANK(E77,E:E,0)+COUNTIF(E$6:E77,E77)-1))</f>
        <v/>
      </c>
      <c r="C77" s="52" t="str">
        <f t="shared" si="8"/>
        <v/>
      </c>
      <c r="D77" s="53" t="str">
        <f t="shared" si="9"/>
        <v/>
      </c>
      <c r="E77" s="54" t="str">
        <f>IF(C77="","",[1]!f_pq_pctchange(VLOOKUP(C77,worldfield,2,FALSE),指数分析!$D$5,指数分析!$D$6)/100)</f>
        <v/>
      </c>
      <c r="F77" s="54" t="str">
        <f t="shared" si="10"/>
        <v/>
      </c>
      <c r="G77" s="54" t="str">
        <f t="shared" si="11"/>
        <v/>
      </c>
      <c r="H77" s="54" t="str">
        <f t="shared" si="12"/>
        <v/>
      </c>
      <c r="I77" s="55" t="str">
        <f>IF(H77="","",[1]!s_risk_stdevy(LEFT(H77,FIND(".",H77)+2),指数分析!$D$5,指数分析!$D$6,2,1))</f>
        <v/>
      </c>
      <c r="J77" s="56" t="str">
        <f ca="1">IF(J76="","",IF([1]!td(J76-IF(指数分析!$D$7="日",1,IF(指数分析!$D$7="周",7,30)))-指数分析!$D$5&gt;=0,--[1]!td(J76-IF(指数分析!$D$7="日",1,IF(指数分析!$D$7="周",7,30))),""))</f>
        <v/>
      </c>
      <c r="K77" s="57" t="str">
        <f ca="1">IF(J77="","",[1]!f_dq_close($K$5,J77))</f>
        <v/>
      </c>
      <c r="L77" s="54" t="str">
        <f ca="1">IF(J77="","",[1]!f_pq_pctchange($K$5,J77,J77)/100)</f>
        <v/>
      </c>
      <c r="M77" s="54" t="str">
        <f ca="1">IF(J77="","",[1]!f_pq_pctchange($K$5,指数分析!$D$5,J77)/100)</f>
        <v/>
      </c>
      <c r="N77" s="54"/>
      <c r="P77" s="52"/>
      <c r="Q77" s="52"/>
      <c r="S77" s="58"/>
      <c r="T77" s="56"/>
      <c r="U77" s="57"/>
      <c r="V77" s="57"/>
      <c r="W77" s="57"/>
      <c r="X77" s="55" t="str">
        <f>IF(R77="","",[1]!s_risk_stdevy(LEFT(R77,FIND(".",R77)+2),指数分析!$D$5,指数分析!$D$6,2,1))</f>
        <v/>
      </c>
    </row>
    <row r="78" spans="2:24" s="53" customFormat="1" ht="12.75" x14ac:dyDescent="0.15">
      <c r="B78" s="52" t="str">
        <f>IF(E78="","",IF(COUNTIF(E$6:E78,E78)=1,RANK(E78,E:E,0),RANK(E78,E:E,0)+COUNTIF(E$6:E78,E78)-1))</f>
        <v/>
      </c>
      <c r="C78" s="52" t="str">
        <f t="shared" si="8"/>
        <v/>
      </c>
      <c r="D78" s="53" t="str">
        <f t="shared" si="9"/>
        <v/>
      </c>
      <c r="E78" s="54" t="str">
        <f>IF(C78="","",[1]!f_pq_pctchange(VLOOKUP(C78,worldfield,2,FALSE),指数分析!$D$5,指数分析!$D$6)/100)</f>
        <v/>
      </c>
      <c r="F78" s="54" t="str">
        <f t="shared" si="10"/>
        <v/>
      </c>
      <c r="G78" s="54" t="str">
        <f t="shared" si="11"/>
        <v/>
      </c>
      <c r="H78" s="54" t="str">
        <f t="shared" si="12"/>
        <v/>
      </c>
      <c r="I78" s="55" t="str">
        <f>IF(H78="","",[1]!s_risk_stdevy(LEFT(H78,FIND(".",H78)+2),指数分析!$D$5,指数分析!$D$6,2,1))</f>
        <v/>
      </c>
      <c r="J78" s="56" t="str">
        <f ca="1">IF(J77="","",IF([1]!td(J77-IF(指数分析!$D$7="日",1,IF(指数分析!$D$7="周",7,30)))-指数分析!$D$5&gt;=0,--[1]!td(J77-IF(指数分析!$D$7="日",1,IF(指数分析!$D$7="周",7,30))),""))</f>
        <v/>
      </c>
      <c r="K78" s="57" t="str">
        <f ca="1">IF(J78="","",[1]!f_dq_close($K$5,J78))</f>
        <v/>
      </c>
      <c r="L78" s="54" t="str">
        <f ca="1">IF(J78="","",[1]!f_pq_pctchange($K$5,J78,J78)/100)</f>
        <v/>
      </c>
      <c r="M78" s="54" t="str">
        <f ca="1">IF(J78="","",[1]!f_pq_pctchange($K$5,指数分析!$D$5,J78)/100)</f>
        <v/>
      </c>
      <c r="N78" s="54"/>
      <c r="P78" s="52"/>
      <c r="Q78" s="52"/>
      <c r="S78" s="58"/>
      <c r="T78" s="56"/>
      <c r="U78" s="57"/>
      <c r="V78" s="57"/>
      <c r="W78" s="57"/>
      <c r="X78" s="55" t="str">
        <f>IF(R78="","",[1]!s_risk_stdevy(LEFT(R78,FIND(".",R78)+2),指数分析!$D$5,指数分析!$D$6,2,1))</f>
        <v/>
      </c>
    </row>
    <row r="79" spans="2:24" s="53" customFormat="1" ht="12.75" x14ac:dyDescent="0.15">
      <c r="B79" s="52" t="str">
        <f>IF(E79="","",IF(COUNTIF(E$6:E79,E79)=1,RANK(E79,E:E,0),RANK(E79,E:E,0)+COUNTIF(E$6:E79,E79)-1))</f>
        <v/>
      </c>
      <c r="C79" s="52" t="str">
        <f t="shared" si="8"/>
        <v/>
      </c>
      <c r="D79" s="53" t="str">
        <f t="shared" si="9"/>
        <v/>
      </c>
      <c r="E79" s="54" t="str">
        <f>IF(C79="","",[1]!f_pq_pctchange(VLOOKUP(C79,worldfield,2,FALSE),指数分析!$D$5,指数分析!$D$6)/100)</f>
        <v/>
      </c>
      <c r="F79" s="54" t="str">
        <f t="shared" si="10"/>
        <v/>
      </c>
      <c r="G79" s="54" t="str">
        <f t="shared" si="11"/>
        <v/>
      </c>
      <c r="H79" s="54" t="str">
        <f t="shared" si="12"/>
        <v/>
      </c>
      <c r="I79" s="55" t="str">
        <f>IF(H79="","",[1]!s_risk_stdevy(LEFT(H79,FIND(".",H79)+2),指数分析!$D$5,指数分析!$D$6,2,1))</f>
        <v/>
      </c>
      <c r="J79" s="56" t="str">
        <f ca="1">IF(J78="","",IF([1]!td(J78-IF(指数分析!$D$7="日",1,IF(指数分析!$D$7="周",7,30)))-指数分析!$D$5&gt;=0,--[1]!td(J78-IF(指数分析!$D$7="日",1,IF(指数分析!$D$7="周",7,30))),""))</f>
        <v/>
      </c>
      <c r="K79" s="57" t="str">
        <f ca="1">IF(J79="","",[1]!f_dq_close($K$5,J79))</f>
        <v/>
      </c>
      <c r="L79" s="54" t="str">
        <f ca="1">IF(J79="","",[1]!f_pq_pctchange($K$5,J79,J79)/100)</f>
        <v/>
      </c>
      <c r="M79" s="54" t="str">
        <f ca="1">IF(J79="","",[1]!f_pq_pctchange($K$5,指数分析!$D$5,J79)/100)</f>
        <v/>
      </c>
      <c r="N79" s="54"/>
      <c r="P79" s="52"/>
      <c r="Q79" s="52"/>
      <c r="S79" s="58"/>
      <c r="T79" s="56"/>
      <c r="U79" s="57"/>
      <c r="V79" s="57"/>
      <c r="W79" s="57"/>
      <c r="X79" s="55" t="str">
        <f>IF(R79="","",[1]!s_risk_stdevy(LEFT(R79,FIND(".",R79)+2),指数分析!$D$5,指数分析!$D$6,2,1))</f>
        <v/>
      </c>
    </row>
    <row r="80" spans="2:24" s="53" customFormat="1" ht="12.75" x14ac:dyDescent="0.15">
      <c r="B80" s="52" t="str">
        <f>IF(E80="","",IF(COUNTIF(E$6:E80,E80)=1,RANK(E80,E:E,0),RANK(E80,E:E,0)+COUNTIF(E$6:E80,E80)-1))</f>
        <v/>
      </c>
      <c r="C80" s="52" t="str">
        <f t="shared" si="8"/>
        <v/>
      </c>
      <c r="D80" s="53" t="str">
        <f t="shared" si="9"/>
        <v/>
      </c>
      <c r="E80" s="54" t="str">
        <f>IF(C80="","",[1]!f_pq_pctchange(VLOOKUP(C80,worldfield,2,FALSE),指数分析!$D$5,指数分析!$D$6)/100)</f>
        <v/>
      </c>
      <c r="F80" s="54" t="str">
        <f t="shared" si="10"/>
        <v/>
      </c>
      <c r="G80" s="54" t="str">
        <f t="shared" si="11"/>
        <v/>
      </c>
      <c r="H80" s="54" t="str">
        <f t="shared" si="12"/>
        <v/>
      </c>
      <c r="I80" s="55" t="str">
        <f>IF(H80="","",[1]!s_risk_stdevy(LEFT(H80,FIND(".",H80)+2),指数分析!$D$5,指数分析!$D$6,2,1))</f>
        <v/>
      </c>
      <c r="J80" s="56" t="str">
        <f ca="1">IF(J79="","",IF([1]!td(J79-IF(指数分析!$D$7="日",1,IF(指数分析!$D$7="周",7,30)))-指数分析!$D$5&gt;=0,--[1]!td(J79-IF(指数分析!$D$7="日",1,IF(指数分析!$D$7="周",7,30))),""))</f>
        <v/>
      </c>
      <c r="K80" s="57" t="str">
        <f ca="1">IF(J80="","",[1]!f_dq_close($K$5,J80))</f>
        <v/>
      </c>
      <c r="L80" s="54" t="str">
        <f ca="1">IF(J80="","",[1]!f_pq_pctchange($K$5,J80,J80)/100)</f>
        <v/>
      </c>
      <c r="M80" s="54" t="str">
        <f ca="1">IF(J80="","",[1]!f_pq_pctchange($K$5,指数分析!$D$5,J80)/100)</f>
        <v/>
      </c>
      <c r="N80" s="54"/>
      <c r="P80" s="52"/>
      <c r="Q80" s="52"/>
      <c r="S80" s="58"/>
      <c r="T80" s="56"/>
      <c r="U80" s="57"/>
      <c r="V80" s="57"/>
      <c r="W80" s="57"/>
      <c r="X80" s="55" t="str">
        <f>IF(R80="","",[1]!s_risk_stdevy(LEFT(R80,FIND(".",R80)+2),指数分析!$D$5,指数分析!$D$6,2,1))</f>
        <v/>
      </c>
    </row>
    <row r="81" spans="2:24" s="53" customFormat="1" ht="12.75" x14ac:dyDescent="0.15">
      <c r="B81" s="52" t="str">
        <f>IF(E81="","",IF(COUNTIF(E$6:E81,E81)=1,RANK(E81,E:E,0),RANK(E81,E:E,0)+COUNTIF(E$6:E81,E81)-1))</f>
        <v/>
      </c>
      <c r="C81" s="52" t="str">
        <f t="shared" si="8"/>
        <v/>
      </c>
      <c r="D81" s="53" t="str">
        <f t="shared" si="9"/>
        <v/>
      </c>
      <c r="E81" s="54" t="str">
        <f>IF(C81="","",[1]!f_pq_pctchange(VLOOKUP(C81,worldfield,2,FALSE),指数分析!$D$5,指数分析!$D$6)/100)</f>
        <v/>
      </c>
      <c r="F81" s="54" t="str">
        <f t="shared" si="10"/>
        <v/>
      </c>
      <c r="G81" s="54" t="str">
        <f t="shared" si="11"/>
        <v/>
      </c>
      <c r="H81" s="54" t="str">
        <f t="shared" si="12"/>
        <v/>
      </c>
      <c r="I81" s="55" t="str">
        <f>IF(H81="","",[1]!s_risk_stdevy(LEFT(H81,FIND(".",H81)+2),指数分析!$D$5,指数分析!$D$6,2,1))</f>
        <v/>
      </c>
      <c r="J81" s="56" t="str">
        <f ca="1">IF(J80="","",IF([1]!td(J80-IF(指数分析!$D$7="日",1,IF(指数分析!$D$7="周",7,30)))-指数分析!$D$5&gt;=0,--[1]!td(J80-IF(指数分析!$D$7="日",1,IF(指数分析!$D$7="周",7,30))),""))</f>
        <v/>
      </c>
      <c r="K81" s="57" t="str">
        <f ca="1">IF(J81="","",[1]!f_dq_close($K$5,J81))</f>
        <v/>
      </c>
      <c r="L81" s="54" t="str">
        <f ca="1">IF(J81="","",[1]!f_pq_pctchange($K$5,J81,J81)/100)</f>
        <v/>
      </c>
      <c r="M81" s="54" t="str">
        <f ca="1">IF(J81="","",[1]!f_pq_pctchange($K$5,指数分析!$D$5,J81)/100)</f>
        <v/>
      </c>
      <c r="N81" s="54"/>
      <c r="P81" s="52"/>
      <c r="Q81" s="52"/>
      <c r="S81" s="58"/>
      <c r="T81" s="56"/>
      <c r="U81" s="57"/>
      <c r="V81" s="57"/>
      <c r="W81" s="57"/>
      <c r="X81" s="55" t="str">
        <f>IF(R81="","",[1]!s_risk_stdevy(LEFT(R81,FIND(".",R81)+2),指数分析!$D$5,指数分析!$D$6,2,1))</f>
        <v/>
      </c>
    </row>
    <row r="82" spans="2:24" s="53" customFormat="1" ht="12.75" x14ac:dyDescent="0.15">
      <c r="B82" s="52" t="str">
        <f>IF(E82="","",IF(COUNTIF(E$6:E82,E82)=1,RANK(E82,E:E,0),RANK(E82,E:E,0)+COUNTIF(E$6:E82,E82)-1))</f>
        <v/>
      </c>
      <c r="C82" s="52" t="str">
        <f t="shared" si="8"/>
        <v/>
      </c>
      <c r="D82" s="53" t="str">
        <f t="shared" si="9"/>
        <v/>
      </c>
      <c r="E82" s="54" t="str">
        <f>IF(C82="","",[1]!f_pq_pctchange(VLOOKUP(C82,worldfield,2,FALSE),指数分析!$D$5,指数分析!$D$6)/100)</f>
        <v/>
      </c>
      <c r="F82" s="54" t="str">
        <f t="shared" si="10"/>
        <v/>
      </c>
      <c r="G82" s="54" t="str">
        <f t="shared" si="11"/>
        <v/>
      </c>
      <c r="H82" s="54" t="str">
        <f t="shared" si="12"/>
        <v/>
      </c>
      <c r="I82" s="55" t="str">
        <f>IF(H82="","",[1]!s_risk_stdevy(LEFT(H82,FIND(".",H82)+2),指数分析!$D$5,指数分析!$D$6,2,1))</f>
        <v/>
      </c>
      <c r="J82" s="56" t="str">
        <f ca="1">IF(J81="","",IF([1]!td(J81-IF(指数分析!$D$7="日",1,IF(指数分析!$D$7="周",7,30)))-指数分析!$D$5&gt;=0,--[1]!td(J81-IF(指数分析!$D$7="日",1,IF(指数分析!$D$7="周",7,30))),""))</f>
        <v/>
      </c>
      <c r="K82" s="57" t="str">
        <f ca="1">IF(J82="","",[1]!f_dq_close($K$5,J82))</f>
        <v/>
      </c>
      <c r="L82" s="54" t="str">
        <f ca="1">IF(J82="","",[1]!f_pq_pctchange($K$5,J82,J82)/100)</f>
        <v/>
      </c>
      <c r="M82" s="54" t="str">
        <f ca="1">IF(J82="","",[1]!f_pq_pctchange($K$5,指数分析!$D$5,J82)/100)</f>
        <v/>
      </c>
      <c r="N82" s="54"/>
      <c r="P82" s="52"/>
      <c r="Q82" s="52"/>
      <c r="S82" s="58"/>
      <c r="T82" s="56"/>
      <c r="U82" s="57"/>
      <c r="V82" s="57"/>
      <c r="W82" s="57"/>
      <c r="X82" s="55" t="str">
        <f>IF(R82="","",[1]!s_risk_stdevy(LEFT(R82,FIND(".",R82)+2),指数分析!$D$5,指数分析!$D$6,2,1))</f>
        <v/>
      </c>
    </row>
    <row r="83" spans="2:24" s="53" customFormat="1" ht="12.75" x14ac:dyDescent="0.15">
      <c r="B83" s="52" t="str">
        <f>IF(E83="","",IF(COUNTIF(E$6:E83,E83)=1,RANK(E83,E:E,0),RANK(E83,E:E,0)+COUNTIF(E$6:E83,E83)-1))</f>
        <v/>
      </c>
      <c r="C83" s="52" t="str">
        <f t="shared" si="8"/>
        <v/>
      </c>
      <c r="D83" s="53" t="str">
        <f t="shared" si="9"/>
        <v/>
      </c>
      <c r="E83" s="54" t="str">
        <f>IF(C83="","",[1]!f_pq_pctchange(VLOOKUP(C83,worldfield,2,FALSE),指数分析!$D$5,指数分析!$D$6)/100)</f>
        <v/>
      </c>
      <c r="F83" s="54" t="str">
        <f t="shared" si="10"/>
        <v/>
      </c>
      <c r="G83" s="54" t="str">
        <f t="shared" si="11"/>
        <v/>
      </c>
      <c r="H83" s="54" t="str">
        <f t="shared" si="12"/>
        <v/>
      </c>
      <c r="I83" s="55" t="str">
        <f>IF(H83="","",[1]!s_risk_stdevy(LEFT(H83,FIND(".",H83)+2),指数分析!$D$5,指数分析!$D$6,2,1))</f>
        <v/>
      </c>
      <c r="J83" s="56" t="str">
        <f ca="1">IF(J82="","",IF([1]!td(J82-IF(指数分析!$D$7="日",1,IF(指数分析!$D$7="周",7,30)))-指数分析!$D$5&gt;=0,--[1]!td(J82-IF(指数分析!$D$7="日",1,IF(指数分析!$D$7="周",7,30))),""))</f>
        <v/>
      </c>
      <c r="K83" s="57" t="str">
        <f ca="1">IF(J83="","",[1]!f_dq_close($K$5,J83))</f>
        <v/>
      </c>
      <c r="L83" s="54" t="str">
        <f ca="1">IF(J83="","",[1]!f_pq_pctchange($K$5,J83,J83)/100)</f>
        <v/>
      </c>
      <c r="M83" s="54" t="str">
        <f ca="1">IF(J83="","",[1]!f_pq_pctchange($K$5,指数分析!$D$5,J83)/100)</f>
        <v/>
      </c>
      <c r="N83" s="54"/>
      <c r="P83" s="52"/>
      <c r="Q83" s="52"/>
      <c r="S83" s="58"/>
      <c r="T83" s="56"/>
      <c r="U83" s="57"/>
      <c r="V83" s="57"/>
      <c r="W83" s="57"/>
      <c r="X83" s="55" t="str">
        <f>IF(R83="","",[1]!s_risk_stdevy(LEFT(R83,FIND(".",R83)+2),指数分析!$D$5,指数分析!$D$6,2,1))</f>
        <v/>
      </c>
    </row>
    <row r="84" spans="2:24" s="53" customFormat="1" ht="12.75" x14ac:dyDescent="0.15">
      <c r="B84" s="52" t="str">
        <f>IF(E84="","",IF(COUNTIF(E$6:E84,E84)=1,RANK(E84,E:E,0),RANK(E84,E:E,0)+COUNTIF(E$6:E84,E84)-1))</f>
        <v/>
      </c>
      <c r="C84" s="52" t="str">
        <f t="shared" si="8"/>
        <v/>
      </c>
      <c r="D84" s="53" t="str">
        <f t="shared" si="9"/>
        <v/>
      </c>
      <c r="E84" s="54" t="str">
        <f>IF(C84="","",[1]!f_pq_pctchange(VLOOKUP(C84,worldfield,2,FALSE),指数分析!$D$5,指数分析!$D$6)/100)</f>
        <v/>
      </c>
      <c r="F84" s="54" t="str">
        <f t="shared" si="10"/>
        <v/>
      </c>
      <c r="G84" s="54" t="str">
        <f t="shared" si="11"/>
        <v/>
      </c>
      <c r="H84" s="54" t="str">
        <f t="shared" si="12"/>
        <v/>
      </c>
      <c r="I84" s="55" t="str">
        <f>IF(H84="","",[1]!s_risk_stdevy(LEFT(H84,FIND(".",H84)+2),指数分析!$D$5,指数分析!$D$6,2,1))</f>
        <v/>
      </c>
      <c r="J84" s="56" t="str">
        <f ca="1">IF(J83="","",IF([1]!td(J83-IF(指数分析!$D$7="日",1,IF(指数分析!$D$7="周",7,30)))-指数分析!$D$5&gt;=0,--[1]!td(J83-IF(指数分析!$D$7="日",1,IF(指数分析!$D$7="周",7,30))),""))</f>
        <v/>
      </c>
      <c r="K84" s="57" t="str">
        <f ca="1">IF(J84="","",[1]!f_dq_close($K$5,J84))</f>
        <v/>
      </c>
      <c r="L84" s="54" t="str">
        <f ca="1">IF(J84="","",[1]!f_pq_pctchange($K$5,J84,J84)/100)</f>
        <v/>
      </c>
      <c r="M84" s="54" t="str">
        <f ca="1">IF(J84="","",[1]!f_pq_pctchange($K$5,指数分析!$D$5,J84)/100)</f>
        <v/>
      </c>
      <c r="N84" s="54"/>
      <c r="P84" s="52"/>
      <c r="Q84" s="52"/>
      <c r="S84" s="58"/>
      <c r="T84" s="56"/>
      <c r="U84" s="57"/>
      <c r="V84" s="57"/>
      <c r="W84" s="57"/>
      <c r="X84" s="55" t="str">
        <f>IF(R84="","",[1]!s_risk_stdevy(LEFT(R84,FIND(".",R84)+2),指数分析!$D$5,指数分析!$D$6,2,1))</f>
        <v/>
      </c>
    </row>
    <row r="85" spans="2:24" s="53" customFormat="1" ht="12.75" x14ac:dyDescent="0.15">
      <c r="B85" s="52" t="str">
        <f>IF(E85="","",IF(COUNTIF(E$6:E85,E85)=1,RANK(E85,E:E,0),RANK(E85,E:E,0)+COUNTIF(E$6:E85,E85)-1))</f>
        <v/>
      </c>
      <c r="C85" s="52" t="str">
        <f t="shared" si="8"/>
        <v/>
      </c>
      <c r="D85" s="53" t="str">
        <f t="shared" si="9"/>
        <v/>
      </c>
      <c r="E85" s="54" t="str">
        <f>IF(C85="","",[1]!f_pq_pctchange(VLOOKUP(C85,worldfield,2,FALSE),指数分析!$D$5,指数分析!$D$6)/100)</f>
        <v/>
      </c>
      <c r="F85" s="54" t="str">
        <f t="shared" si="10"/>
        <v/>
      </c>
      <c r="G85" s="54" t="str">
        <f t="shared" si="11"/>
        <v/>
      </c>
      <c r="H85" s="54" t="str">
        <f t="shared" si="12"/>
        <v/>
      </c>
      <c r="I85" s="55" t="str">
        <f>IF(H85="","",[1]!s_risk_stdevy(LEFT(H85,FIND(".",H85)+2),指数分析!$D$5,指数分析!$D$6,2,1))</f>
        <v/>
      </c>
      <c r="J85" s="56" t="str">
        <f ca="1">IF(J84="","",IF([1]!td(J84-IF(指数分析!$D$7="日",1,IF(指数分析!$D$7="周",7,30)))-指数分析!$D$5&gt;=0,--[1]!td(J84-IF(指数分析!$D$7="日",1,IF(指数分析!$D$7="周",7,30))),""))</f>
        <v/>
      </c>
      <c r="K85" s="57" t="str">
        <f ca="1">IF(J85="","",[1]!f_dq_close($K$5,J85))</f>
        <v/>
      </c>
      <c r="L85" s="54" t="str">
        <f ca="1">IF(J85="","",[1]!f_pq_pctchange($K$5,J85,J85)/100)</f>
        <v/>
      </c>
      <c r="M85" s="54" t="str">
        <f ca="1">IF(J85="","",[1]!f_pq_pctchange($K$5,指数分析!$D$5,J85)/100)</f>
        <v/>
      </c>
      <c r="N85" s="54"/>
      <c r="P85" s="52"/>
      <c r="Q85" s="52"/>
      <c r="S85" s="58"/>
      <c r="T85" s="56"/>
      <c r="U85" s="57"/>
      <c r="V85" s="57"/>
      <c r="W85" s="57"/>
      <c r="X85" s="55" t="str">
        <f>IF(R85="","",[1]!s_risk_stdevy(LEFT(R85,FIND(".",R85)+2),指数分析!$D$5,指数分析!$D$6,2,1))</f>
        <v/>
      </c>
    </row>
    <row r="86" spans="2:24" s="53" customFormat="1" ht="12.75" x14ac:dyDescent="0.15">
      <c r="B86" s="52" t="str">
        <f>IF(E86="","",IF(COUNTIF(E$6:E86,E86)=1,RANK(E86,E:E,0),RANK(E86,E:E,0)+COUNTIF(E$6:E86,E86)-1))</f>
        <v/>
      </c>
      <c r="C86" s="52" t="str">
        <f t="shared" si="8"/>
        <v/>
      </c>
      <c r="D86" s="53" t="str">
        <f t="shared" si="9"/>
        <v/>
      </c>
      <c r="E86" s="54" t="str">
        <f>IF(C86="","",[1]!f_pq_pctchange(VLOOKUP(C86,worldfield,2,FALSE),指数分析!$D$5,指数分析!$D$6)/100)</f>
        <v/>
      </c>
      <c r="F86" s="54" t="str">
        <f t="shared" si="10"/>
        <v/>
      </c>
      <c r="G86" s="54" t="str">
        <f t="shared" si="11"/>
        <v/>
      </c>
      <c r="H86" s="54" t="str">
        <f t="shared" si="12"/>
        <v/>
      </c>
      <c r="I86" s="55" t="str">
        <f>IF(H86="","",[1]!s_risk_stdevy(LEFT(H86,FIND(".",H86)+2),指数分析!$D$5,指数分析!$D$6,2,1))</f>
        <v/>
      </c>
      <c r="J86" s="56" t="str">
        <f ca="1">IF(J85="","",IF([1]!td(J85-IF(指数分析!$D$7="日",1,IF(指数分析!$D$7="周",7,30)))-指数分析!$D$5&gt;=0,--[1]!td(J85-IF(指数分析!$D$7="日",1,IF(指数分析!$D$7="周",7,30))),""))</f>
        <v/>
      </c>
      <c r="K86" s="57" t="str">
        <f ca="1">IF(J86="","",[1]!f_dq_close($K$5,J86))</f>
        <v/>
      </c>
      <c r="L86" s="54" t="str">
        <f ca="1">IF(J86="","",[1]!f_pq_pctchange($K$5,J86,J86)/100)</f>
        <v/>
      </c>
      <c r="M86" s="54" t="str">
        <f ca="1">IF(J86="","",[1]!f_pq_pctchange($K$5,指数分析!$D$5,J86)/100)</f>
        <v/>
      </c>
      <c r="N86" s="54"/>
      <c r="P86" s="52"/>
      <c r="Q86" s="52"/>
      <c r="S86" s="58"/>
      <c r="T86" s="56"/>
      <c r="U86" s="57"/>
      <c r="V86" s="57"/>
      <c r="W86" s="57"/>
      <c r="X86" s="55" t="str">
        <f>IF(R86="","",[1]!s_risk_stdevy(LEFT(R86,FIND(".",R86)+2),指数分析!$D$5,指数分析!$D$6,2,1))</f>
        <v/>
      </c>
    </row>
    <row r="87" spans="2:24" s="53" customFormat="1" ht="12.75" x14ac:dyDescent="0.15">
      <c r="B87" s="52" t="str">
        <f>IF(E87="","",IF(COUNTIF(E$6:E87,E87)=1,RANK(E87,E:E,0),RANK(E87,E:E,0)+COUNTIF(E$6:E87,E87)-1))</f>
        <v/>
      </c>
      <c r="C87" s="52" t="str">
        <f t="shared" si="8"/>
        <v/>
      </c>
      <c r="D87" s="53" t="str">
        <f t="shared" si="9"/>
        <v/>
      </c>
      <c r="E87" s="54" t="str">
        <f>IF(C87="","",[1]!f_pq_pctchange(VLOOKUP(C87,worldfield,2,FALSE),指数分析!$D$5,指数分析!$D$6)/100)</f>
        <v/>
      </c>
      <c r="F87" s="54" t="str">
        <f t="shared" si="10"/>
        <v/>
      </c>
      <c r="G87" s="54" t="str">
        <f t="shared" si="11"/>
        <v/>
      </c>
      <c r="H87" s="54" t="str">
        <f t="shared" si="12"/>
        <v/>
      </c>
      <c r="I87" s="55" t="str">
        <f>IF(H87="","",[1]!s_risk_stdevy(LEFT(H87,FIND(".",H87)+2),指数分析!$D$5,指数分析!$D$6,2,1))</f>
        <v/>
      </c>
      <c r="J87" s="56" t="str">
        <f ca="1">IF(J86="","",IF([1]!td(J86-IF(指数分析!$D$7="日",1,IF(指数分析!$D$7="周",7,30)))-指数分析!$D$5&gt;=0,--[1]!td(J86-IF(指数分析!$D$7="日",1,IF(指数分析!$D$7="周",7,30))),""))</f>
        <v/>
      </c>
      <c r="K87" s="57" t="str">
        <f ca="1">IF(J87="","",[1]!f_dq_close($K$5,J87))</f>
        <v/>
      </c>
      <c r="L87" s="54" t="str">
        <f ca="1">IF(J87="","",[1]!f_pq_pctchange($K$5,J87,J87)/100)</f>
        <v/>
      </c>
      <c r="M87" s="54" t="str">
        <f ca="1">IF(J87="","",[1]!f_pq_pctchange($K$5,指数分析!$D$5,J87)/100)</f>
        <v/>
      </c>
      <c r="N87" s="54"/>
      <c r="P87" s="52"/>
      <c r="Q87" s="52"/>
      <c r="S87" s="58"/>
      <c r="T87" s="56"/>
      <c r="U87" s="57"/>
      <c r="V87" s="57"/>
      <c r="W87" s="57"/>
      <c r="X87" s="55" t="str">
        <f>IF(R87="","",[1]!s_risk_stdevy(LEFT(R87,FIND(".",R87)+2),指数分析!$D$5,指数分析!$D$6,2,1))</f>
        <v/>
      </c>
    </row>
    <row r="88" spans="2:24" s="53" customFormat="1" ht="12.75" x14ac:dyDescent="0.15">
      <c r="B88" s="52" t="str">
        <f>IF(E88="","",IF(COUNTIF(E$6:E88,E88)=1,RANK(E88,E:E,0),RANK(E88,E:E,0)+COUNTIF(E$6:E88,E88)-1))</f>
        <v/>
      </c>
      <c r="C88" s="52" t="str">
        <f t="shared" si="8"/>
        <v/>
      </c>
      <c r="D88" s="53" t="str">
        <f t="shared" si="9"/>
        <v/>
      </c>
      <c r="E88" s="54" t="str">
        <f>IF(C88="","",[1]!f_pq_pctchange(VLOOKUP(C88,worldfield,2,FALSE),指数分析!$D$5,指数分析!$D$6)/100)</f>
        <v/>
      </c>
      <c r="F88" s="54" t="str">
        <f t="shared" si="10"/>
        <v/>
      </c>
      <c r="G88" s="54" t="str">
        <f t="shared" si="11"/>
        <v/>
      </c>
      <c r="H88" s="54" t="str">
        <f t="shared" si="12"/>
        <v/>
      </c>
      <c r="I88" s="55" t="str">
        <f>IF(H88="","",[1]!s_risk_stdevy(LEFT(H88,FIND(".",H88)+2),指数分析!$D$5,指数分析!$D$6,2,1))</f>
        <v/>
      </c>
      <c r="J88" s="56" t="str">
        <f ca="1">IF(J87="","",IF([1]!td(J87-IF(指数分析!$D$7="日",1,IF(指数分析!$D$7="周",7,30)))-指数分析!$D$5&gt;=0,--[1]!td(J87-IF(指数分析!$D$7="日",1,IF(指数分析!$D$7="周",7,30))),""))</f>
        <v/>
      </c>
      <c r="K88" s="57" t="str">
        <f ca="1">IF(J88="","",[1]!f_dq_close($K$5,J88))</f>
        <v/>
      </c>
      <c r="L88" s="54" t="str">
        <f ca="1">IF(J88="","",[1]!f_pq_pctchange($K$5,J88,J88)/100)</f>
        <v/>
      </c>
      <c r="M88" s="54" t="str">
        <f ca="1">IF(J88="","",[1]!f_pq_pctchange($K$5,指数分析!$D$5,J88)/100)</f>
        <v/>
      </c>
      <c r="N88" s="54"/>
      <c r="P88" s="52"/>
      <c r="Q88" s="52"/>
      <c r="S88" s="58"/>
      <c r="T88" s="56"/>
      <c r="U88" s="57"/>
      <c r="V88" s="57"/>
      <c r="W88" s="57"/>
      <c r="X88" s="55" t="str">
        <f>IF(R88="","",[1]!s_risk_stdevy(LEFT(R88,FIND(".",R88)+2),指数分析!$D$5,指数分析!$D$6,2,1))</f>
        <v/>
      </c>
    </row>
    <row r="89" spans="2:24" s="53" customFormat="1" ht="12.75" x14ac:dyDescent="0.15">
      <c r="B89" s="52" t="str">
        <f>IF(E89="","",IF(COUNTIF(E$6:E89,E89)=1,RANK(E89,E:E,0),RANK(E89,E:E,0)+COUNTIF(E$6:E89,E89)-1))</f>
        <v/>
      </c>
      <c r="C89" s="52" t="str">
        <f t="shared" si="8"/>
        <v/>
      </c>
      <c r="D89" s="53" t="str">
        <f t="shared" si="9"/>
        <v/>
      </c>
      <c r="E89" s="54" t="str">
        <f>IF(C89="","",[1]!f_pq_pctchange(VLOOKUP(C89,worldfield,2,FALSE),指数分析!$D$5,指数分析!$D$6)/100)</f>
        <v/>
      </c>
      <c r="F89" s="54" t="str">
        <f t="shared" si="10"/>
        <v/>
      </c>
      <c r="G89" s="54" t="str">
        <f t="shared" si="11"/>
        <v/>
      </c>
      <c r="H89" s="54" t="str">
        <f t="shared" si="12"/>
        <v/>
      </c>
      <c r="I89" s="55" t="str">
        <f>IF(H89="","",[1]!s_risk_stdevy(LEFT(H89,FIND(".",H89)+2),指数分析!$D$5,指数分析!$D$6,2,1))</f>
        <v/>
      </c>
      <c r="J89" s="56" t="str">
        <f ca="1">IF(J88="","",IF([1]!td(J88-IF(指数分析!$D$7="日",1,IF(指数分析!$D$7="周",7,30)))-指数分析!$D$5&gt;=0,--[1]!td(J88-IF(指数分析!$D$7="日",1,IF(指数分析!$D$7="周",7,30))),""))</f>
        <v/>
      </c>
      <c r="K89" s="57" t="str">
        <f ca="1">IF(J89="","",[1]!f_dq_close($K$5,J89))</f>
        <v/>
      </c>
      <c r="L89" s="54" t="str">
        <f ca="1">IF(J89="","",[1]!f_pq_pctchange($K$5,J89,J89)/100)</f>
        <v/>
      </c>
      <c r="M89" s="54" t="str">
        <f ca="1">IF(J89="","",[1]!f_pq_pctchange($K$5,指数分析!$D$5,J89)/100)</f>
        <v/>
      </c>
      <c r="N89" s="54"/>
      <c r="P89" s="52"/>
      <c r="Q89" s="52"/>
      <c r="S89" s="58"/>
      <c r="T89" s="56"/>
      <c r="U89" s="57"/>
      <c r="V89" s="57"/>
      <c r="W89" s="57"/>
      <c r="X89" s="55" t="str">
        <f>IF(R89="","",[1]!s_risk_stdevy(LEFT(R89,FIND(".",R89)+2),指数分析!$D$5,指数分析!$D$6,2,1))</f>
        <v/>
      </c>
    </row>
    <row r="90" spans="2:24" s="53" customFormat="1" ht="12.75" x14ac:dyDescent="0.15">
      <c r="B90" s="52" t="str">
        <f>IF(E90="","",IF(COUNTIF(E$6:E90,E90)=1,RANK(E90,E:E,0),RANK(E90,E:E,0)+COUNTIF(E$6:E90,E90)-1))</f>
        <v/>
      </c>
      <c r="C90" s="52" t="str">
        <f t="shared" si="8"/>
        <v/>
      </c>
      <c r="D90" s="53" t="str">
        <f t="shared" si="9"/>
        <v/>
      </c>
      <c r="E90" s="54" t="str">
        <f>IF(C90="","",[1]!f_pq_pctchange(VLOOKUP(C90,worldfield,2,FALSE),指数分析!$D$5,指数分析!$D$6)/100)</f>
        <v/>
      </c>
      <c r="F90" s="54" t="str">
        <f t="shared" si="10"/>
        <v/>
      </c>
      <c r="G90" s="54" t="str">
        <f t="shared" si="11"/>
        <v/>
      </c>
      <c r="H90" s="54" t="str">
        <f t="shared" si="12"/>
        <v/>
      </c>
      <c r="I90" s="55" t="str">
        <f>IF(H90="","",[1]!s_risk_stdevy(LEFT(H90,FIND(".",H90)+2),指数分析!$D$5,指数分析!$D$6,2,1))</f>
        <v/>
      </c>
      <c r="J90" s="56" t="str">
        <f ca="1">IF(J89="","",IF([1]!td(J89-IF(指数分析!$D$7="日",1,IF(指数分析!$D$7="周",7,30)))-指数分析!$D$5&gt;=0,--[1]!td(J89-IF(指数分析!$D$7="日",1,IF(指数分析!$D$7="周",7,30))),""))</f>
        <v/>
      </c>
      <c r="K90" s="57" t="str">
        <f ca="1">IF(J90="","",[1]!f_dq_close($K$5,J90))</f>
        <v/>
      </c>
      <c r="L90" s="54" t="str">
        <f ca="1">IF(J90="","",[1]!f_pq_pctchange($K$5,J90,J90)/100)</f>
        <v/>
      </c>
      <c r="M90" s="54" t="str">
        <f ca="1">IF(J90="","",[1]!f_pq_pctchange($K$5,指数分析!$D$5,J90)/100)</f>
        <v/>
      </c>
      <c r="N90" s="54"/>
      <c r="P90" s="52"/>
      <c r="Q90" s="52"/>
      <c r="S90" s="58"/>
      <c r="T90" s="56"/>
      <c r="U90" s="57"/>
      <c r="V90" s="57"/>
      <c r="W90" s="57"/>
      <c r="X90" s="55" t="str">
        <f>IF(R90="","",[1]!s_risk_stdevy(LEFT(R90,FIND(".",R90)+2),指数分析!$D$5,指数分析!$D$6,2,1))</f>
        <v/>
      </c>
    </row>
    <row r="91" spans="2:24" s="53" customFormat="1" ht="12.75" x14ac:dyDescent="0.15">
      <c r="B91" s="52" t="str">
        <f>IF(E91="","",IF(COUNTIF(E$6:E91,E91)=1,RANK(E91,E:E,0),RANK(E91,E:E,0)+COUNTIF(E$6:E91,E91)-1))</f>
        <v/>
      </c>
      <c r="C91" s="52" t="str">
        <f t="shared" si="8"/>
        <v/>
      </c>
      <c r="D91" s="53" t="str">
        <f t="shared" si="9"/>
        <v/>
      </c>
      <c r="E91" s="54" t="str">
        <f>IF(C91="","",[1]!f_pq_pctchange(VLOOKUP(C91,worldfield,2,FALSE),指数分析!$D$5,指数分析!$D$6)/100)</f>
        <v/>
      </c>
      <c r="F91" s="54" t="str">
        <f t="shared" si="10"/>
        <v/>
      </c>
      <c r="G91" s="54" t="str">
        <f t="shared" si="11"/>
        <v/>
      </c>
      <c r="H91" s="54" t="str">
        <f t="shared" si="12"/>
        <v/>
      </c>
      <c r="I91" s="55" t="str">
        <f>IF(H91="","",[1]!s_risk_stdevy(LEFT(H91,FIND(".",H91)+2),指数分析!$D$5,指数分析!$D$6,2,1))</f>
        <v/>
      </c>
      <c r="J91" s="56" t="str">
        <f ca="1">IF(J90="","",IF([1]!td(J90-IF(指数分析!$D$7="日",1,IF(指数分析!$D$7="周",7,30)))-指数分析!$D$5&gt;=0,--[1]!td(J90-IF(指数分析!$D$7="日",1,IF(指数分析!$D$7="周",7,30))),""))</f>
        <v/>
      </c>
      <c r="K91" s="57" t="str">
        <f ca="1">IF(J91="","",[1]!f_dq_close($K$5,J91))</f>
        <v/>
      </c>
      <c r="L91" s="54" t="str">
        <f ca="1">IF(J91="","",[1]!f_pq_pctchange($K$5,J91,J91)/100)</f>
        <v/>
      </c>
      <c r="M91" s="54" t="str">
        <f ca="1">IF(J91="","",[1]!f_pq_pctchange($K$5,指数分析!$D$5,J91)/100)</f>
        <v/>
      </c>
      <c r="N91" s="54"/>
      <c r="P91" s="52"/>
      <c r="Q91" s="52"/>
      <c r="S91" s="58"/>
      <c r="T91" s="56"/>
      <c r="U91" s="57"/>
      <c r="V91" s="57"/>
      <c r="W91" s="57"/>
      <c r="X91" s="55" t="str">
        <f>IF(R91="","",[1]!s_risk_stdevy(LEFT(R91,FIND(".",R91)+2),指数分析!$D$5,指数分析!$D$6,2,1))</f>
        <v/>
      </c>
    </row>
    <row r="92" spans="2:24" s="53" customFormat="1" ht="12.75" x14ac:dyDescent="0.15">
      <c r="B92" s="52" t="str">
        <f>IF(E92="","",IF(COUNTIF(E$6:E92,E92)=1,RANK(E92,E:E,0),RANK(E92,E:E,0)+COUNTIF(E$6:E92,E92)-1))</f>
        <v/>
      </c>
      <c r="C92" s="52" t="str">
        <f t="shared" si="8"/>
        <v/>
      </c>
      <c r="D92" s="53" t="str">
        <f t="shared" si="9"/>
        <v/>
      </c>
      <c r="E92" s="54" t="str">
        <f>IF(C92="","",[1]!f_pq_pctchange(VLOOKUP(C92,worldfield,2,FALSE),指数分析!$D$5,指数分析!$D$6)/100)</f>
        <v/>
      </c>
      <c r="F92" s="54" t="str">
        <f t="shared" si="10"/>
        <v/>
      </c>
      <c r="G92" s="54" t="str">
        <f t="shared" si="11"/>
        <v/>
      </c>
      <c r="H92" s="54" t="str">
        <f t="shared" si="12"/>
        <v/>
      </c>
      <c r="I92" s="55" t="str">
        <f>IF(H92="","",[1]!s_risk_stdevy(LEFT(H92,FIND(".",H92)+2),指数分析!$D$5,指数分析!$D$6,2,1))</f>
        <v/>
      </c>
      <c r="J92" s="56" t="str">
        <f ca="1">IF(J91="","",IF([1]!td(J91-IF(指数分析!$D$7="日",1,IF(指数分析!$D$7="周",7,30)))-指数分析!$D$5&gt;=0,--[1]!td(J91-IF(指数分析!$D$7="日",1,IF(指数分析!$D$7="周",7,30))),""))</f>
        <v/>
      </c>
      <c r="K92" s="57" t="str">
        <f ca="1">IF(J92="","",[1]!f_dq_close($K$5,J92))</f>
        <v/>
      </c>
      <c r="L92" s="54" t="str">
        <f ca="1">IF(J92="","",[1]!f_pq_pctchange($K$5,J92,J92)/100)</f>
        <v/>
      </c>
      <c r="M92" s="54" t="str">
        <f ca="1">IF(J92="","",[1]!f_pq_pctchange($K$5,指数分析!$D$5,J92)/100)</f>
        <v/>
      </c>
      <c r="N92" s="54"/>
      <c r="P92" s="52"/>
      <c r="Q92" s="52"/>
      <c r="S92" s="58"/>
      <c r="T92" s="56"/>
      <c r="U92" s="57"/>
      <c r="V92" s="57"/>
      <c r="W92" s="57"/>
      <c r="X92" s="55" t="str">
        <f>IF(R92="","",[1]!s_risk_stdevy(LEFT(R92,FIND(".",R92)+2),指数分析!$D$5,指数分析!$D$6,2,1))</f>
        <v/>
      </c>
    </row>
    <row r="93" spans="2:24" s="53" customFormat="1" ht="12.75" x14ac:dyDescent="0.15">
      <c r="B93" s="52" t="str">
        <f>IF(E93="","",IF(COUNTIF(E$6:E93,E93)=1,RANK(E93,E:E,0),RANK(E93,E:E,0)+COUNTIF(E$6:E93,E93)-1))</f>
        <v/>
      </c>
      <c r="C93" s="52" t="str">
        <f t="shared" si="8"/>
        <v/>
      </c>
      <c r="D93" s="53" t="str">
        <f t="shared" si="9"/>
        <v/>
      </c>
      <c r="E93" s="54" t="str">
        <f>IF(C93="","",[1]!f_pq_pctchange(VLOOKUP(C93,worldfield,2,FALSE),指数分析!$D$5,指数分析!$D$6)/100)</f>
        <v/>
      </c>
      <c r="F93" s="54" t="str">
        <f t="shared" si="10"/>
        <v/>
      </c>
      <c r="G93" s="54" t="str">
        <f t="shared" si="11"/>
        <v/>
      </c>
      <c r="H93" s="54" t="str">
        <f t="shared" si="12"/>
        <v/>
      </c>
      <c r="I93" s="55" t="str">
        <f>IF(H93="","",[1]!s_risk_stdevy(LEFT(H93,FIND(".",H93)+2),指数分析!$D$5,指数分析!$D$6,2,1))</f>
        <v/>
      </c>
      <c r="J93" s="56" t="str">
        <f ca="1">IF(J92="","",IF([1]!td(J92-IF(指数分析!$D$7="日",1,IF(指数分析!$D$7="周",7,30)))-指数分析!$D$5&gt;=0,--[1]!td(J92-IF(指数分析!$D$7="日",1,IF(指数分析!$D$7="周",7,30))),""))</f>
        <v/>
      </c>
      <c r="K93" s="57" t="str">
        <f ca="1">IF(J93="","",[1]!f_dq_close($K$5,J93))</f>
        <v/>
      </c>
      <c r="L93" s="54" t="str">
        <f ca="1">IF(J93="","",[1]!f_pq_pctchange($K$5,J93,J93)/100)</f>
        <v/>
      </c>
      <c r="M93" s="54" t="str">
        <f ca="1">IF(J93="","",[1]!f_pq_pctchange($K$5,指数分析!$D$5,J93)/100)</f>
        <v/>
      </c>
      <c r="N93" s="54"/>
      <c r="P93" s="52"/>
      <c r="Q93" s="52"/>
      <c r="S93" s="58"/>
      <c r="T93" s="56"/>
      <c r="U93" s="57"/>
      <c r="V93" s="57"/>
      <c r="W93" s="57"/>
      <c r="X93" s="55" t="str">
        <f>IF(R93="","",[1]!s_risk_stdevy(LEFT(R93,FIND(".",R93)+2),指数分析!$D$5,指数分析!$D$6,2,1))</f>
        <v/>
      </c>
    </row>
    <row r="94" spans="2:24" s="53" customFormat="1" ht="12.75" x14ac:dyDescent="0.15">
      <c r="B94" s="52" t="str">
        <f>IF(E94="","",IF(COUNTIF(E$6:E94,E94)=1,RANK(E94,E:E,0),RANK(E94,E:E,0)+COUNTIF(E$6:E94,E94)-1))</f>
        <v/>
      </c>
      <c r="C94" s="52" t="str">
        <f t="shared" si="8"/>
        <v/>
      </c>
      <c r="D94" s="53" t="str">
        <f t="shared" si="9"/>
        <v/>
      </c>
      <c r="E94" s="54" t="str">
        <f>IF(C94="","",[1]!f_pq_pctchange(VLOOKUP(C94,worldfield,2,FALSE),指数分析!$D$5,指数分析!$D$6)/100)</f>
        <v/>
      </c>
      <c r="F94" s="54" t="str">
        <f t="shared" si="10"/>
        <v/>
      </c>
      <c r="G94" s="54" t="str">
        <f t="shared" si="11"/>
        <v/>
      </c>
      <c r="H94" s="54" t="str">
        <f t="shared" si="12"/>
        <v/>
      </c>
      <c r="I94" s="55" t="str">
        <f>IF(H94="","",[1]!s_risk_stdevy(LEFT(H94,FIND(".",H94)+2),指数分析!$D$5,指数分析!$D$6,2,1))</f>
        <v/>
      </c>
      <c r="J94" s="56" t="str">
        <f ca="1">IF(J93="","",IF([1]!td(J93-IF(指数分析!$D$7="日",1,IF(指数分析!$D$7="周",7,30)))-指数分析!$D$5&gt;=0,--[1]!td(J93-IF(指数分析!$D$7="日",1,IF(指数分析!$D$7="周",7,30))),""))</f>
        <v/>
      </c>
      <c r="K94" s="57" t="str">
        <f ca="1">IF(J94="","",[1]!f_dq_close($K$5,J94))</f>
        <v/>
      </c>
      <c r="L94" s="54" t="str">
        <f ca="1">IF(J94="","",[1]!f_pq_pctchange($K$5,J94,J94)/100)</f>
        <v/>
      </c>
      <c r="M94" s="54" t="str">
        <f ca="1">IF(J94="","",[1]!f_pq_pctchange($K$5,指数分析!$D$5,J94)/100)</f>
        <v/>
      </c>
      <c r="N94" s="54"/>
      <c r="P94" s="52"/>
      <c r="Q94" s="52"/>
      <c r="S94" s="58"/>
      <c r="T94" s="56"/>
      <c r="U94" s="57"/>
      <c r="V94" s="57"/>
      <c r="W94" s="57"/>
      <c r="X94" s="55" t="str">
        <f>IF(R94="","",[1]!s_risk_stdevy(LEFT(R94,FIND(".",R94)+2),指数分析!$D$5,指数分析!$D$6,2,1))</f>
        <v/>
      </c>
    </row>
    <row r="95" spans="2:24" s="53" customFormat="1" ht="12.75" x14ac:dyDescent="0.15">
      <c r="B95" s="52" t="str">
        <f>IF(E95="","",IF(COUNTIF(E$6:E95,E95)=1,RANK(E95,E:E,0),RANK(E95,E:E,0)+COUNTIF(E$6:E95,E95)-1))</f>
        <v/>
      </c>
      <c r="C95" s="52" t="str">
        <f t="shared" si="8"/>
        <v/>
      </c>
      <c r="D95" s="53" t="str">
        <f t="shared" si="9"/>
        <v/>
      </c>
      <c r="E95" s="54" t="str">
        <f>IF(C95="","",[1]!f_pq_pctchange(VLOOKUP(C95,worldfield,2,FALSE),指数分析!$D$5,指数分析!$D$6)/100)</f>
        <v/>
      </c>
      <c r="F95" s="54" t="str">
        <f t="shared" si="10"/>
        <v/>
      </c>
      <c r="G95" s="54" t="str">
        <f t="shared" si="11"/>
        <v/>
      </c>
      <c r="H95" s="54" t="str">
        <f t="shared" si="12"/>
        <v/>
      </c>
      <c r="I95" s="55" t="str">
        <f>IF(H95="","",[1]!s_risk_stdevy(LEFT(H95,FIND(".",H95)+2),指数分析!$D$5,指数分析!$D$6,2,1))</f>
        <v/>
      </c>
      <c r="J95" s="56" t="str">
        <f ca="1">IF(J94="","",IF([1]!td(J94-IF(指数分析!$D$7="日",1,IF(指数分析!$D$7="周",7,30)))-指数分析!$D$5&gt;=0,--[1]!td(J94-IF(指数分析!$D$7="日",1,IF(指数分析!$D$7="周",7,30))),""))</f>
        <v/>
      </c>
      <c r="K95" s="57" t="str">
        <f ca="1">IF(J95="","",[1]!f_dq_close($K$5,J95))</f>
        <v/>
      </c>
      <c r="L95" s="54" t="str">
        <f ca="1">IF(J95="","",[1]!f_pq_pctchange($K$5,J95,J95)/100)</f>
        <v/>
      </c>
      <c r="M95" s="54" t="str">
        <f ca="1">IF(J95="","",[1]!f_pq_pctchange($K$5,指数分析!$D$5,J95)/100)</f>
        <v/>
      </c>
      <c r="N95" s="54"/>
      <c r="P95" s="52"/>
      <c r="Q95" s="52"/>
      <c r="S95" s="58"/>
      <c r="T95" s="56"/>
      <c r="U95" s="57"/>
      <c r="V95" s="57"/>
      <c r="W95" s="57"/>
      <c r="X95" s="55" t="str">
        <f>IF(R95="","",[1]!s_risk_stdevy(LEFT(R95,FIND(".",R95)+2),指数分析!$D$5,指数分析!$D$6,2,1))</f>
        <v/>
      </c>
    </row>
    <row r="96" spans="2:24" s="53" customFormat="1" ht="12.75" x14ac:dyDescent="0.15">
      <c r="B96" s="52" t="str">
        <f>IF(E96="","",IF(COUNTIF(E$6:E96,E96)=1,RANK(E96,E:E,0),RANK(E96,E:E,0)+COUNTIF(E$6:E96,E96)-1))</f>
        <v/>
      </c>
      <c r="C96" s="52" t="str">
        <f t="shared" si="8"/>
        <v/>
      </c>
      <c r="D96" s="53" t="str">
        <f t="shared" si="9"/>
        <v/>
      </c>
      <c r="E96" s="54" t="str">
        <f>IF(C96="","",[1]!f_pq_pctchange(VLOOKUP(C96,worldfield,2,FALSE),指数分析!$D$5,指数分析!$D$6)/100)</f>
        <v/>
      </c>
      <c r="F96" s="54" t="str">
        <f t="shared" si="10"/>
        <v/>
      </c>
      <c r="G96" s="54" t="str">
        <f t="shared" si="11"/>
        <v/>
      </c>
      <c r="H96" s="54" t="str">
        <f t="shared" si="12"/>
        <v/>
      </c>
      <c r="I96" s="55" t="str">
        <f>IF(H96="","",[1]!s_risk_stdevy(LEFT(H96,FIND(".",H96)+2),指数分析!$D$5,指数分析!$D$6,2,1))</f>
        <v/>
      </c>
      <c r="J96" s="56" t="str">
        <f ca="1">IF(J95="","",IF([1]!td(J95-IF(指数分析!$D$7="日",1,IF(指数分析!$D$7="周",7,30)))-指数分析!$D$5&gt;=0,--[1]!td(J95-IF(指数分析!$D$7="日",1,IF(指数分析!$D$7="周",7,30))),""))</f>
        <v/>
      </c>
      <c r="K96" s="57" t="str">
        <f ca="1">IF(J96="","",[1]!f_dq_close($K$5,J96))</f>
        <v/>
      </c>
      <c r="L96" s="54" t="str">
        <f ca="1">IF(J96="","",[1]!f_pq_pctchange($K$5,J96,J96)/100)</f>
        <v/>
      </c>
      <c r="M96" s="54" t="str">
        <f ca="1">IF(J96="","",[1]!f_pq_pctchange($K$5,指数分析!$D$5,J96)/100)</f>
        <v/>
      </c>
      <c r="N96" s="54"/>
      <c r="P96" s="52"/>
      <c r="Q96" s="52"/>
      <c r="S96" s="58"/>
      <c r="T96" s="56"/>
      <c r="U96" s="57"/>
      <c r="V96" s="57"/>
      <c r="W96" s="57"/>
      <c r="X96" s="55" t="str">
        <f>IF(R96="","",[1]!s_risk_stdevy(LEFT(R96,FIND(".",R96)+2),指数分析!$D$5,指数分析!$D$6,2,1))</f>
        <v/>
      </c>
    </row>
    <row r="97" spans="2:24" s="53" customFormat="1" ht="12.75" x14ac:dyDescent="0.15">
      <c r="B97" s="52" t="str">
        <f>IF(E97="","",IF(COUNTIF(E$6:E97,E97)=1,RANK(E97,E:E,0),RANK(E97,E:E,0)+COUNTIF(E$6:E97,E97)-1))</f>
        <v/>
      </c>
      <c r="C97" s="52" t="str">
        <f t="shared" si="8"/>
        <v/>
      </c>
      <c r="D97" s="53" t="str">
        <f t="shared" si="9"/>
        <v/>
      </c>
      <c r="E97" s="54" t="str">
        <f>IF(C97="","",[1]!f_pq_pctchange(VLOOKUP(C97,worldfield,2,FALSE),指数分析!$D$5,指数分析!$D$6)/100)</f>
        <v/>
      </c>
      <c r="F97" s="54" t="str">
        <f t="shared" si="10"/>
        <v/>
      </c>
      <c r="G97" s="54" t="str">
        <f t="shared" si="11"/>
        <v/>
      </c>
      <c r="H97" s="54" t="str">
        <f t="shared" si="12"/>
        <v/>
      </c>
      <c r="I97" s="55" t="str">
        <f>IF(H97="","",[1]!s_risk_stdevy(LEFT(H97,FIND(".",H97)+2),指数分析!$D$5,指数分析!$D$6,2,1))</f>
        <v/>
      </c>
      <c r="J97" s="56" t="str">
        <f ca="1">IF(J96="","",IF([1]!td(J96-IF(指数分析!$D$7="日",1,IF(指数分析!$D$7="周",7,30)))-指数分析!$D$5&gt;=0,--[1]!td(J96-IF(指数分析!$D$7="日",1,IF(指数分析!$D$7="周",7,30))),""))</f>
        <v/>
      </c>
      <c r="K97" s="57" t="str">
        <f ca="1">IF(J97="","",[1]!f_dq_close($K$5,J97))</f>
        <v/>
      </c>
      <c r="L97" s="54" t="str">
        <f ca="1">IF(J97="","",[1]!f_pq_pctchange($K$5,J97,J97)/100)</f>
        <v/>
      </c>
      <c r="M97" s="54" t="str">
        <f ca="1">IF(J97="","",[1]!f_pq_pctchange($K$5,指数分析!$D$5,J97)/100)</f>
        <v/>
      </c>
      <c r="N97" s="54"/>
      <c r="P97" s="52"/>
      <c r="Q97" s="52"/>
      <c r="S97" s="58"/>
      <c r="T97" s="56"/>
      <c r="U97" s="57"/>
      <c r="V97" s="57"/>
      <c r="W97" s="57"/>
      <c r="X97" s="55" t="str">
        <f>IF(R97="","",[1]!s_risk_stdevy(LEFT(R97,FIND(".",R97)+2),指数分析!$D$5,指数分析!$D$6,2,1))</f>
        <v/>
      </c>
    </row>
    <row r="98" spans="2:24" s="53" customFormat="1" ht="12.75" x14ac:dyDescent="0.15">
      <c r="B98" s="52" t="str">
        <f>IF(E98="","",IF(COUNTIF(E$6:E98,E98)=1,RANK(E98,E:E,0),RANK(E98,E:E,0)+COUNTIF(E$6:E98,E98)-1))</f>
        <v/>
      </c>
      <c r="C98" s="52" t="str">
        <f t="shared" si="8"/>
        <v/>
      </c>
      <c r="D98" s="53" t="str">
        <f t="shared" si="9"/>
        <v/>
      </c>
      <c r="E98" s="54" t="str">
        <f>IF(C98="","",[1]!f_pq_pctchange(VLOOKUP(C98,worldfield,2,FALSE),指数分析!$D$5,指数分析!$D$6)/100)</f>
        <v/>
      </c>
      <c r="F98" s="54" t="str">
        <f t="shared" si="10"/>
        <v/>
      </c>
      <c r="G98" s="54" t="str">
        <f t="shared" si="11"/>
        <v/>
      </c>
      <c r="H98" s="54" t="str">
        <f t="shared" si="12"/>
        <v/>
      </c>
      <c r="I98" s="55" t="str">
        <f>IF(H98="","",[1]!s_risk_stdevy(LEFT(H98,FIND(".",H98)+2),指数分析!$D$5,指数分析!$D$6,2,1))</f>
        <v/>
      </c>
      <c r="J98" s="56" t="str">
        <f ca="1">IF(J97="","",IF([1]!td(J97-IF(指数分析!$D$7="日",1,IF(指数分析!$D$7="周",7,30)))-指数分析!$D$5&gt;=0,--[1]!td(J97-IF(指数分析!$D$7="日",1,IF(指数分析!$D$7="周",7,30))),""))</f>
        <v/>
      </c>
      <c r="K98" s="57" t="str">
        <f ca="1">IF(J98="","",[1]!f_dq_close($K$5,J98))</f>
        <v/>
      </c>
      <c r="L98" s="54" t="str">
        <f ca="1">IF(J98="","",[1]!f_pq_pctchange($K$5,J98,J98)/100)</f>
        <v/>
      </c>
      <c r="M98" s="54" t="str">
        <f ca="1">IF(J98="","",[1]!f_pq_pctchange($K$5,指数分析!$D$5,J98)/100)</f>
        <v/>
      </c>
      <c r="N98" s="54"/>
      <c r="P98" s="52"/>
      <c r="Q98" s="52"/>
      <c r="S98" s="58"/>
      <c r="T98" s="56"/>
      <c r="U98" s="57"/>
      <c r="V98" s="57"/>
      <c r="W98" s="57"/>
      <c r="X98" s="55" t="str">
        <f>IF(R98="","",[1]!s_risk_stdevy(LEFT(R98,FIND(".",R98)+2),指数分析!$D$5,指数分析!$D$6,2,1))</f>
        <v/>
      </c>
    </row>
    <row r="99" spans="2:24" s="53" customFormat="1" ht="12.75" x14ac:dyDescent="0.15">
      <c r="B99" s="52" t="str">
        <f>IF(E99="","",IF(COUNTIF(E$6:E99,E99)=1,RANK(E99,E:E,0),RANK(E99,E:E,0)+COUNTIF(E$6:E99,E99)-1))</f>
        <v/>
      </c>
      <c r="C99" s="52" t="str">
        <f t="shared" si="8"/>
        <v/>
      </c>
      <c r="D99" s="53" t="str">
        <f t="shared" si="9"/>
        <v/>
      </c>
      <c r="E99" s="54" t="str">
        <f>IF(C99="","",[1]!f_pq_pctchange(VLOOKUP(C99,worldfield,2,FALSE),指数分析!$D$5,指数分析!$D$6)/100)</f>
        <v/>
      </c>
      <c r="F99" s="54" t="str">
        <f t="shared" si="10"/>
        <v/>
      </c>
      <c r="G99" s="54" t="str">
        <f t="shared" si="11"/>
        <v/>
      </c>
      <c r="H99" s="54" t="str">
        <f t="shared" si="12"/>
        <v/>
      </c>
      <c r="I99" s="55" t="str">
        <f>IF(H99="","",[1]!s_risk_stdevy(LEFT(H99,FIND(".",H99)+2),指数分析!$D$5,指数分析!$D$6,2,1))</f>
        <v/>
      </c>
      <c r="J99" s="56" t="str">
        <f ca="1">IF(J98="","",IF([1]!td(J98-IF(指数分析!$D$7="日",1,IF(指数分析!$D$7="周",7,30)))-指数分析!$D$5&gt;=0,--[1]!td(J98-IF(指数分析!$D$7="日",1,IF(指数分析!$D$7="周",7,30))),""))</f>
        <v/>
      </c>
      <c r="K99" s="57" t="str">
        <f ca="1">IF(J99="","",[1]!f_dq_close($K$5,J99))</f>
        <v/>
      </c>
      <c r="L99" s="54" t="str">
        <f ca="1">IF(J99="","",[1]!f_pq_pctchange($K$5,J99,J99)/100)</f>
        <v/>
      </c>
      <c r="M99" s="54" t="str">
        <f ca="1">IF(J99="","",[1]!f_pq_pctchange($K$5,指数分析!$D$5,J99)/100)</f>
        <v/>
      </c>
      <c r="N99" s="54"/>
      <c r="P99" s="52"/>
      <c r="Q99" s="52"/>
      <c r="S99" s="58"/>
      <c r="T99" s="56"/>
      <c r="U99" s="57"/>
      <c r="V99" s="57"/>
      <c r="W99" s="57"/>
      <c r="X99" s="55" t="str">
        <f>IF(R99="","",[1]!s_risk_stdevy(LEFT(R99,FIND(".",R99)+2),指数分析!$D$5,指数分析!$D$6,2,1))</f>
        <v/>
      </c>
    </row>
    <row r="100" spans="2:24" s="53" customFormat="1" ht="12.75" x14ac:dyDescent="0.15">
      <c r="B100" s="52" t="str">
        <f>IF(E100="","",IF(COUNTIF(E$6:E100,E100)=1,RANK(E100,E:E,0),RANK(E100,E:E,0)+COUNTIF(E$6:E100,E100)-1))</f>
        <v/>
      </c>
      <c r="C100" s="52" t="str">
        <f t="shared" si="8"/>
        <v/>
      </c>
      <c r="D100" s="53" t="str">
        <f t="shared" si="9"/>
        <v/>
      </c>
      <c r="E100" s="54" t="str">
        <f>IF(C100="","",[1]!f_pq_pctchange(VLOOKUP(C100,worldfield,2,FALSE),指数分析!$D$5,指数分析!$D$6)/100)</f>
        <v/>
      </c>
      <c r="F100" s="54" t="str">
        <f t="shared" si="10"/>
        <v/>
      </c>
      <c r="G100" s="54" t="str">
        <f t="shared" si="11"/>
        <v/>
      </c>
      <c r="H100" s="54" t="str">
        <f t="shared" si="12"/>
        <v/>
      </c>
      <c r="I100" s="55" t="str">
        <f>IF(H100="","",[1]!s_risk_stdevy(LEFT(H100,FIND(".",H100)+2),指数分析!$D$5,指数分析!$D$6,2,1))</f>
        <v/>
      </c>
      <c r="J100" s="56" t="str">
        <f ca="1">IF(J99="","",IF([1]!td(J99-IF(指数分析!$D$7="日",1,IF(指数分析!$D$7="周",7,30)))-指数分析!$D$5&gt;=0,--[1]!td(J99-IF(指数分析!$D$7="日",1,IF(指数分析!$D$7="周",7,30))),""))</f>
        <v/>
      </c>
      <c r="K100" s="57" t="str">
        <f ca="1">IF(J100="","",[1]!f_dq_close($K$5,J100))</f>
        <v/>
      </c>
      <c r="L100" s="54" t="str">
        <f ca="1">IF(J100="","",[1]!f_pq_pctchange($K$5,J100,J100)/100)</f>
        <v/>
      </c>
      <c r="M100" s="54" t="str">
        <f ca="1">IF(J100="","",[1]!f_pq_pctchange($K$5,指数分析!$D$5,J100)/100)</f>
        <v/>
      </c>
      <c r="N100" s="54"/>
      <c r="P100" s="52"/>
      <c r="Q100" s="52"/>
      <c r="S100" s="58"/>
      <c r="T100" s="56"/>
      <c r="U100" s="57"/>
      <c r="V100" s="57"/>
      <c r="W100" s="57"/>
      <c r="X100" s="55" t="str">
        <f>IF(R100="","",[1]!s_risk_stdevy(LEFT(R100,FIND(".",R100)+2),指数分析!$D$5,指数分析!$D$6,2,1))</f>
        <v/>
      </c>
    </row>
    <row r="101" spans="2:24" s="53" customFormat="1" ht="12.75" x14ac:dyDescent="0.15">
      <c r="B101" s="52" t="str">
        <f>IF(E101="","",IF(COUNTIF(E$6:E101,E101)=1,RANK(E101,E:E,0),RANK(E101,E:E,0)+COUNTIF(E$6:E101,E101)-1))</f>
        <v/>
      </c>
      <c r="C101" s="52" t="str">
        <f t="shared" si="8"/>
        <v/>
      </c>
      <c r="D101" s="53" t="str">
        <f t="shared" si="9"/>
        <v/>
      </c>
      <c r="E101" s="54" t="str">
        <f>IF(C101="","",[1]!f_pq_pctchange(VLOOKUP(C101,worldfield,2,FALSE),指数分析!$D$5,指数分析!$D$6)/100)</f>
        <v/>
      </c>
      <c r="F101" s="54" t="str">
        <f t="shared" si="10"/>
        <v/>
      </c>
      <c r="G101" s="54" t="str">
        <f t="shared" si="11"/>
        <v/>
      </c>
      <c r="H101" s="54" t="str">
        <f t="shared" si="12"/>
        <v/>
      </c>
      <c r="I101" s="55" t="str">
        <f>IF(H101="","",[1]!s_risk_stdevy(LEFT(H101,FIND(".",H101)+2),指数分析!$D$5,指数分析!$D$6,2,1))</f>
        <v/>
      </c>
      <c r="J101" s="56"/>
      <c r="K101" s="57"/>
      <c r="L101" s="54"/>
      <c r="M101" s="54"/>
      <c r="N101" s="54"/>
      <c r="P101" s="52"/>
      <c r="Q101" s="52"/>
      <c r="S101" s="58"/>
      <c r="T101" s="56"/>
      <c r="U101" s="57"/>
      <c r="V101" s="57"/>
      <c r="W101" s="57"/>
      <c r="X101" s="55" t="str">
        <f>IF(R101="","",[1]!s_risk_stdevy(LEFT(R101,FIND(".",R101)+2),指数分析!$D$5,指数分析!$D$6,2,1))</f>
        <v/>
      </c>
    </row>
    <row r="102" spans="2:24" ht="12.75" x14ac:dyDescent="0.15">
      <c r="B102" s="2" t="str">
        <f>IF(E102="","",IF(COUNTIF(E$6:E102,E102)=1,RANK(E102,E:E,0),RANK(E102,E:E,0)+COUNTIF(E$6:E102,E102)-1))</f>
        <v/>
      </c>
      <c r="C102" s="2" t="str">
        <f t="shared" si="8"/>
        <v/>
      </c>
      <c r="D102" s="3" t="str">
        <f t="shared" si="9"/>
        <v/>
      </c>
      <c r="E102" s="5" t="str">
        <f>IF(C102="","",[1]!f_pq_pctchange(VLOOKUP(C102,worldfield,2,FALSE),指数分析!$D$5,指数分析!$D$6)/100)</f>
        <v/>
      </c>
      <c r="F102" s="5" t="str">
        <f t="shared" si="10"/>
        <v/>
      </c>
      <c r="G102" s="5" t="str">
        <f t="shared" si="11"/>
        <v/>
      </c>
      <c r="H102" s="5" t="str">
        <f t="shared" si="12"/>
        <v/>
      </c>
      <c r="I102" s="12" t="str">
        <f>IF(H102="","",[1]!s_risk_stdevy(LEFT(H102,FIND(".",H102)+2),指数分析!$D$5,指数分析!$D$6,2,1))</f>
        <v/>
      </c>
      <c r="J102" s="4"/>
      <c r="K102" s="6"/>
      <c r="L102" s="5"/>
      <c r="M102" s="5"/>
      <c r="N102" s="5"/>
      <c r="P102" s="2"/>
      <c r="Q102" s="2"/>
      <c r="R102" s="3"/>
      <c r="S102" s="17"/>
      <c r="T102" s="4"/>
      <c r="U102" s="5"/>
      <c r="V102" s="5"/>
      <c r="W102" s="5"/>
      <c r="X102" s="5"/>
    </row>
    <row r="103" spans="2:24" ht="12.75" x14ac:dyDescent="0.15">
      <c r="B103" s="2" t="str">
        <f>IF(E103="","",IF(COUNTIF(E$6:E103,E103)=1,RANK(E103,E:E,0),RANK(E103,E:E,0)+COUNTIF(E$6:E103,E103)-1))</f>
        <v/>
      </c>
      <c r="C103" s="2" t="str">
        <f t="shared" si="8"/>
        <v/>
      </c>
      <c r="D103" s="3" t="str">
        <f t="shared" si="9"/>
        <v/>
      </c>
      <c r="E103" s="5" t="str">
        <f>IF(C103="","",[1]!f_pq_pctchange(VLOOKUP(C103,worldfield,2,FALSE),指数分析!$D$5,指数分析!$D$6)/100)</f>
        <v/>
      </c>
      <c r="F103" s="5" t="str">
        <f t="shared" si="10"/>
        <v/>
      </c>
      <c r="G103" s="5" t="str">
        <f t="shared" si="11"/>
        <v/>
      </c>
      <c r="H103" s="5" t="str">
        <f t="shared" si="12"/>
        <v/>
      </c>
      <c r="I103" s="12" t="str">
        <f>IF(H103="","",[1]!s_risk_stdevy(LEFT(H103,FIND(".",H103)+2),指数分析!$D$5,指数分析!$D$6,2,1))</f>
        <v/>
      </c>
      <c r="J103" s="4"/>
      <c r="K103" s="6"/>
      <c r="L103" s="5"/>
      <c r="M103" s="5"/>
      <c r="N103" s="5"/>
      <c r="P103" s="2"/>
      <c r="Q103" s="2"/>
      <c r="R103" s="3"/>
      <c r="S103" s="17"/>
      <c r="T103" s="5"/>
      <c r="U103" s="5"/>
      <c r="V103" s="5"/>
      <c r="W103" s="5"/>
      <c r="X103" s="5"/>
    </row>
    <row r="104" spans="2:24" ht="12.75" x14ac:dyDescent="0.15">
      <c r="B104" s="2" t="str">
        <f>IF(E104="","",IF(COUNTIF(E$6:E104,E104)=1,RANK(E104,E:E,0),RANK(E104,E:E,0)+COUNTIF(E$6:E104,E104)-1))</f>
        <v/>
      </c>
      <c r="C104" s="2" t="str">
        <f t="shared" si="8"/>
        <v/>
      </c>
      <c r="D104" s="3" t="str">
        <f t="shared" si="9"/>
        <v/>
      </c>
      <c r="E104" s="5" t="str">
        <f>IF(C104="","",[1]!f_pq_pctchange(VLOOKUP(C104,worldfield,2,FALSE),指数分析!$D$5,指数分析!$D$6)/100)</f>
        <v/>
      </c>
      <c r="F104" s="5" t="str">
        <f t="shared" si="10"/>
        <v/>
      </c>
      <c r="G104" s="5" t="str">
        <f t="shared" si="11"/>
        <v/>
      </c>
      <c r="H104" s="5" t="str">
        <f t="shared" si="12"/>
        <v/>
      </c>
      <c r="I104" s="12" t="str">
        <f>IF(H104="","",[1]!s_risk_stdevy(LEFT(H104,FIND(".",H104)+2),指数分析!$D$5,指数分析!$D$6,2,1))</f>
        <v/>
      </c>
      <c r="J104" s="4"/>
      <c r="K104" s="6"/>
      <c r="L104" s="5"/>
      <c r="M104" s="5"/>
      <c r="N104" s="5"/>
      <c r="P104" s="2"/>
      <c r="Q104" s="2"/>
      <c r="R104" s="3"/>
      <c r="S104" s="17"/>
      <c r="T104" s="5"/>
      <c r="U104" s="5"/>
      <c r="V104" s="5"/>
      <c r="W104" s="5"/>
      <c r="X104" s="5"/>
    </row>
    <row r="105" spans="2:24" ht="12.75" x14ac:dyDescent="0.15">
      <c r="B105" s="2" t="str">
        <f>IF(E105="","",IF(COUNTIF(E$6:E105,E105)=1,RANK(E105,E:E,0),RANK(E105,E:E,0)+COUNTIF(E$6:E105,E105)-1))</f>
        <v/>
      </c>
      <c r="C105" s="2" t="str">
        <f t="shared" si="8"/>
        <v/>
      </c>
      <c r="D105" s="3" t="str">
        <f t="shared" si="9"/>
        <v/>
      </c>
      <c r="E105" s="5" t="str">
        <f>IF(C105="","",[1]!f_pq_pctchange(VLOOKUP(C105,worldfield,2,FALSE),指数分析!$D$5,指数分析!$D$6)/100)</f>
        <v/>
      </c>
      <c r="F105" s="5" t="str">
        <f t="shared" si="10"/>
        <v/>
      </c>
      <c r="G105" s="5" t="str">
        <f t="shared" si="11"/>
        <v/>
      </c>
      <c r="H105" s="5" t="str">
        <f t="shared" si="12"/>
        <v/>
      </c>
      <c r="I105" s="12" t="str">
        <f>IF(H105="","",[1]!s_risk_stdevy(LEFT(H105,FIND(".",H105)+2),指数分析!$D$5,指数分析!$D$6,2,1))</f>
        <v/>
      </c>
      <c r="J105" s="4"/>
      <c r="K105" s="6"/>
      <c r="L105" s="5"/>
      <c r="M105" s="5"/>
      <c r="N105" s="5"/>
      <c r="P105" s="2"/>
      <c r="Q105" s="2"/>
      <c r="R105" s="3"/>
      <c r="S105" s="17"/>
      <c r="T105" s="5"/>
      <c r="U105" s="5"/>
      <c r="V105" s="5"/>
      <c r="W105" s="5"/>
      <c r="X105" s="5"/>
    </row>
    <row r="106" spans="2:24" ht="12.75" x14ac:dyDescent="0.15">
      <c r="B106" s="2" t="str">
        <f>IF(E106="","",IF(COUNTIF(E$6:E106,E106)=1,RANK(E106,E:E,0),RANK(E106,E:E,0)+COUNTIF(E$6:E106,E106)-1))</f>
        <v/>
      </c>
      <c r="C106" s="2" t="str">
        <f t="shared" si="8"/>
        <v/>
      </c>
      <c r="D106" s="3" t="str">
        <f t="shared" si="9"/>
        <v/>
      </c>
      <c r="E106" s="5" t="str">
        <f>IF(C106="","",[1]!f_pq_pctchange(VLOOKUP(C106,worldfield,2,FALSE),指数分析!$D$5,指数分析!$D$6)/100)</f>
        <v/>
      </c>
      <c r="F106" s="5" t="str">
        <f t="shared" si="10"/>
        <v/>
      </c>
      <c r="G106" s="5" t="str">
        <f t="shared" si="11"/>
        <v/>
      </c>
      <c r="H106" s="5" t="str">
        <f t="shared" si="12"/>
        <v/>
      </c>
      <c r="I106" s="12" t="str">
        <f>IF(H106="","",[1]!s_risk_stdevy(LEFT(H106,FIND(".",H106)+2),指数分析!$D$5,指数分析!$D$6,2,1))</f>
        <v/>
      </c>
      <c r="J106" s="4"/>
      <c r="K106" s="6"/>
      <c r="L106" s="5"/>
      <c r="M106" s="5"/>
      <c r="N106" s="5"/>
      <c r="P106" s="2"/>
      <c r="Q106" s="2"/>
      <c r="R106" s="3"/>
      <c r="S106" s="17"/>
      <c r="T106" s="5"/>
      <c r="U106" s="5"/>
      <c r="V106" s="5"/>
      <c r="W106" s="5"/>
      <c r="X106" s="5"/>
    </row>
    <row r="107" spans="2:24" ht="12.75" x14ac:dyDescent="0.15">
      <c r="B107" s="2" t="str">
        <f>IF(E107="","",IF(COUNTIF(E$6:E107,E107)=1,RANK(E107,E:E,0),RANK(E107,E:E,0)+COUNTIF(E$6:E107,E107)-1))</f>
        <v/>
      </c>
      <c r="C107" s="2" t="str">
        <f t="shared" si="8"/>
        <v/>
      </c>
      <c r="D107" s="3" t="str">
        <f t="shared" si="9"/>
        <v/>
      </c>
      <c r="E107" s="5" t="str">
        <f>IF(C107="","",[1]!f_pq_pctchange(VLOOKUP(C107,worldfield,2,FALSE),指数分析!$D$5,指数分析!$D$6)/100)</f>
        <v/>
      </c>
      <c r="F107" s="5" t="str">
        <f t="shared" si="10"/>
        <v/>
      </c>
      <c r="G107" s="5" t="str">
        <f t="shared" si="11"/>
        <v/>
      </c>
      <c r="H107" s="5" t="str">
        <f t="shared" si="12"/>
        <v/>
      </c>
      <c r="I107" s="12" t="str">
        <f>IF(H107="","",[1]!s_risk_stdevy(LEFT(H107,FIND(".",H107)+2),指数分析!$D$5,指数分析!$D$6,2,1))</f>
        <v/>
      </c>
      <c r="J107" s="4"/>
      <c r="K107" s="6"/>
      <c r="L107" s="5"/>
      <c r="M107" s="5"/>
      <c r="N107" s="5"/>
      <c r="P107" s="2"/>
      <c r="Q107" s="2"/>
      <c r="R107" s="3"/>
      <c r="S107" s="17"/>
      <c r="T107" s="5"/>
      <c r="U107" s="5"/>
      <c r="V107" s="5"/>
      <c r="W107" s="5"/>
      <c r="X107" s="5"/>
    </row>
    <row r="108" spans="2:24" ht="12.75" x14ac:dyDescent="0.15">
      <c r="B108" s="2" t="str">
        <f>IF(E108="","",IF(COUNTIF(E$6:E108,E108)=1,RANK(E108,E:E,0),RANK(E108,E:E,0)+COUNTIF(E$6:E108,E108)-1))</f>
        <v/>
      </c>
      <c r="C108" s="2" t="str">
        <f t="shared" si="8"/>
        <v/>
      </c>
      <c r="D108" s="3" t="str">
        <f t="shared" si="9"/>
        <v/>
      </c>
      <c r="E108" s="5" t="str">
        <f>IF(C108="","",[1]!f_pq_pctchange(VLOOKUP(C108,worldfield,2,FALSE),指数分析!$D$5,指数分析!$D$6)/100)</f>
        <v/>
      </c>
      <c r="F108" s="5" t="str">
        <f t="shared" si="10"/>
        <v/>
      </c>
      <c r="G108" s="5" t="str">
        <f t="shared" si="11"/>
        <v/>
      </c>
      <c r="H108" s="5" t="str">
        <f t="shared" si="12"/>
        <v/>
      </c>
      <c r="I108" s="12" t="str">
        <f>IF(H108="","",[1]!s_risk_stdevy(LEFT(H108,FIND(".",H108)+2),指数分析!$D$5,指数分析!$D$6,2,1))</f>
        <v/>
      </c>
      <c r="J108" s="4"/>
      <c r="K108" s="6"/>
      <c r="L108" s="5"/>
      <c r="M108" s="5"/>
      <c r="N108" s="5"/>
      <c r="P108" s="2"/>
      <c r="Q108" s="2"/>
      <c r="R108" s="3"/>
      <c r="S108" s="17"/>
      <c r="T108" s="5"/>
      <c r="U108" s="5"/>
      <c r="V108" s="5"/>
      <c r="W108" s="5"/>
      <c r="X108" s="5"/>
    </row>
    <row r="109" spans="2:24" ht="12.75" x14ac:dyDescent="0.15">
      <c r="B109" s="2" t="str">
        <f>IF(E109="","",IF(COUNTIF(E$6:E109,E109)=1,RANK(E109,E:E,0),RANK(E109,E:E,0)+COUNTIF(E$6:E109,E109)-1))</f>
        <v/>
      </c>
      <c r="C109" s="2" t="str">
        <f t="shared" si="8"/>
        <v/>
      </c>
      <c r="D109" s="3" t="str">
        <f t="shared" si="9"/>
        <v/>
      </c>
      <c r="E109" s="5" t="str">
        <f>IF(C109="","",[1]!f_pq_pctchange(VLOOKUP(C109,worldfield,2,FALSE),指数分析!$D$5,指数分析!$D$6)/100)</f>
        <v/>
      </c>
      <c r="F109" s="5" t="str">
        <f t="shared" si="10"/>
        <v/>
      </c>
      <c r="G109" s="5" t="str">
        <f t="shared" si="11"/>
        <v/>
      </c>
      <c r="H109" s="5" t="str">
        <f t="shared" si="12"/>
        <v/>
      </c>
      <c r="I109" s="12" t="str">
        <f>IF(H109="","",[1]!s_risk_stdevy(LEFT(H109,FIND(".",H109)+2),指数分析!$D$5,指数分析!$D$6,2,1))</f>
        <v/>
      </c>
      <c r="J109" s="4"/>
      <c r="K109" s="6"/>
      <c r="L109" s="5"/>
      <c r="M109" s="5"/>
      <c r="N109" s="5"/>
      <c r="P109" s="2"/>
      <c r="Q109" s="2"/>
      <c r="R109" s="3"/>
      <c r="S109" s="17"/>
      <c r="T109" s="5"/>
      <c r="U109" s="5"/>
      <c r="V109" s="5"/>
      <c r="W109" s="5"/>
      <c r="X109" s="5"/>
    </row>
    <row r="110" spans="2:24" ht="12.75" x14ac:dyDescent="0.15">
      <c r="B110" s="2" t="str">
        <f>IF(E110="","",IF(COUNTIF(E$6:E110,E110)=1,RANK(E110,E:E,0),RANK(E110,E:E,0)+COUNTIF(E$6:E110,E110)-1))</f>
        <v/>
      </c>
      <c r="C110" s="2" t="str">
        <f t="shared" si="8"/>
        <v/>
      </c>
      <c r="D110" s="3" t="str">
        <f t="shared" si="9"/>
        <v/>
      </c>
      <c r="E110" s="5" t="str">
        <f>IF(C110="","",[1]!f_pq_pctchange(VLOOKUP(C110,worldfield,2,FALSE),指数分析!$D$5,指数分析!$D$6)/100)</f>
        <v/>
      </c>
      <c r="F110" s="5" t="str">
        <f t="shared" si="10"/>
        <v/>
      </c>
      <c r="G110" s="5" t="str">
        <f t="shared" si="11"/>
        <v/>
      </c>
      <c r="H110" s="5" t="str">
        <f t="shared" si="12"/>
        <v/>
      </c>
      <c r="I110" s="12" t="str">
        <f>IF(H110="","",[1]!s_risk_stdevy(LEFT(H110,FIND(".",H110)+2),指数分析!$D$5,指数分析!$D$6,2,1))</f>
        <v/>
      </c>
      <c r="J110" s="4"/>
      <c r="K110" s="6"/>
      <c r="L110" s="5"/>
      <c r="M110" s="5"/>
      <c r="N110" s="5"/>
      <c r="P110" s="2"/>
      <c r="Q110" s="2"/>
      <c r="R110" s="3"/>
      <c r="S110" s="17"/>
      <c r="T110" s="5"/>
      <c r="U110" s="5"/>
      <c r="V110" s="5"/>
      <c r="W110" s="5"/>
      <c r="X110" s="5"/>
    </row>
    <row r="111" spans="2:24" ht="12.75" x14ac:dyDescent="0.15">
      <c r="B111" s="2" t="str">
        <f>IF(E111="","",IF(COUNTIF(E$6:E111,E111)=1,RANK(E111,E:E,0),RANK(E111,E:E,0)+COUNTIF(E$6:E111,E111)-1))</f>
        <v/>
      </c>
      <c r="C111" s="2" t="str">
        <f t="shared" si="8"/>
        <v/>
      </c>
      <c r="D111" s="3" t="str">
        <f t="shared" si="9"/>
        <v/>
      </c>
      <c r="E111" s="5" t="str">
        <f>IF(C111="","",[1]!f_pq_pctchange(VLOOKUP(C111,worldfield,2,FALSE),指数分析!$D$5,指数分析!$D$6)/100)</f>
        <v/>
      </c>
      <c r="F111" s="5" t="str">
        <f t="shared" si="10"/>
        <v/>
      </c>
      <c r="G111" s="5" t="str">
        <f t="shared" si="11"/>
        <v/>
      </c>
      <c r="H111" s="5" t="str">
        <f t="shared" si="12"/>
        <v/>
      </c>
      <c r="I111" s="12" t="str">
        <f>IF(H111="","",[1]!s_risk_stdevy(LEFT(H111,FIND(".",H111)+2),指数分析!$D$5,指数分析!$D$6,2,1))</f>
        <v/>
      </c>
      <c r="J111" s="4"/>
      <c r="K111" s="6"/>
      <c r="L111" s="5"/>
      <c r="M111" s="5"/>
      <c r="N111" s="5"/>
      <c r="P111" s="2"/>
      <c r="Q111" s="2"/>
      <c r="R111" s="3"/>
      <c r="S111" s="17"/>
      <c r="T111" s="5"/>
      <c r="U111" s="5"/>
      <c r="V111" s="5"/>
      <c r="W111" s="5"/>
      <c r="X111" s="5"/>
    </row>
    <row r="112" spans="2:24" ht="12.75" x14ac:dyDescent="0.15">
      <c r="B112" s="2" t="str">
        <f>IF(E112="","",IF(COUNTIF(E$6:E112,E112)=1,RANK(E112,E:E,0),RANK(E112,E:E,0)+COUNTIF(E$6:E112,E112)-1))</f>
        <v/>
      </c>
      <c r="C112" s="2" t="str">
        <f t="shared" si="8"/>
        <v/>
      </c>
      <c r="D112" s="3" t="str">
        <f t="shared" si="9"/>
        <v/>
      </c>
      <c r="E112" s="5" t="str">
        <f>IF(C112="","",[1]!f_pq_pctchange(VLOOKUP(C112,worldfield,2,FALSE),指数分析!$D$5,指数分析!$D$6)/100)</f>
        <v/>
      </c>
      <c r="F112" s="5" t="str">
        <f t="shared" si="10"/>
        <v/>
      </c>
      <c r="G112" s="5" t="str">
        <f t="shared" si="11"/>
        <v/>
      </c>
      <c r="H112" s="5" t="str">
        <f t="shared" si="12"/>
        <v/>
      </c>
      <c r="I112" s="12" t="str">
        <f>IF(H112="","",[1]!s_risk_stdevy(LEFT(H112,FIND(".",H112)+2),指数分析!$D$5,指数分析!$D$6,2,1))</f>
        <v/>
      </c>
      <c r="J112" s="4"/>
      <c r="K112" s="6"/>
      <c r="L112" s="5"/>
      <c r="M112" s="5"/>
      <c r="N112" s="5"/>
      <c r="P112" s="2"/>
      <c r="Q112" s="2"/>
      <c r="R112" s="3"/>
      <c r="S112" s="17"/>
      <c r="T112" s="5"/>
      <c r="U112" s="5"/>
      <c r="V112" s="5"/>
      <c r="W112" s="5"/>
      <c r="X112" s="5"/>
    </row>
    <row r="113" spans="2:24" ht="12.75" x14ac:dyDescent="0.15">
      <c r="B113" s="2" t="str">
        <f>IF(E113="","",IF(COUNTIF(E$6:E113,E113)=1,RANK(E113,E:E,0),RANK(E113,E:E,0)+COUNTIF(E$6:E113,E113)-1))</f>
        <v/>
      </c>
      <c r="C113" s="2" t="str">
        <f t="shared" si="8"/>
        <v/>
      </c>
      <c r="D113" s="3" t="str">
        <f t="shared" si="9"/>
        <v/>
      </c>
      <c r="E113" s="5" t="str">
        <f>IF(C113="","",[1]!f_pq_pctchange(VLOOKUP(C113,worldfield,2,FALSE),指数分析!$D$5,指数分析!$D$6)/100)</f>
        <v/>
      </c>
      <c r="F113" s="5" t="str">
        <f t="shared" si="10"/>
        <v/>
      </c>
      <c r="G113" s="5" t="str">
        <f t="shared" si="11"/>
        <v/>
      </c>
      <c r="H113" s="5" t="str">
        <f t="shared" si="12"/>
        <v/>
      </c>
      <c r="I113" s="12" t="str">
        <f>IF(H113="","",[1]!s_risk_stdevy(LEFT(H113,FIND(".",H113)+2),指数分析!$D$5,指数分析!$D$6,2,1))</f>
        <v/>
      </c>
      <c r="J113" s="4"/>
      <c r="K113" s="6"/>
      <c r="L113" s="5"/>
      <c r="M113" s="5"/>
      <c r="N113" s="5"/>
      <c r="P113" s="2"/>
      <c r="Q113" s="2"/>
      <c r="R113" s="3"/>
      <c r="S113" s="17"/>
      <c r="T113" s="5"/>
      <c r="U113" s="5"/>
      <c r="V113" s="5"/>
      <c r="W113" s="5"/>
      <c r="X113" s="5"/>
    </row>
    <row r="114" spans="2:24" ht="12.75" x14ac:dyDescent="0.15">
      <c r="B114" s="2" t="str">
        <f>IF(E114="","",IF(COUNTIF(E$6:E114,E114)=1,RANK(E114,E:E,0),RANK(E114,E:E,0)+COUNTIF(E$6:E114,E114)-1))</f>
        <v/>
      </c>
      <c r="C114" s="2" t="str">
        <f t="shared" si="8"/>
        <v/>
      </c>
      <c r="D114" s="3" t="str">
        <f t="shared" si="9"/>
        <v/>
      </c>
      <c r="E114" s="5" t="str">
        <f>IF(C114="","",[1]!f_pq_pctchange(VLOOKUP(C114,worldfield,2,FALSE),指数分析!$D$5,指数分析!$D$6)/100)</f>
        <v/>
      </c>
      <c r="F114" s="5" t="str">
        <f t="shared" si="10"/>
        <v/>
      </c>
      <c r="G114" s="5" t="str">
        <f t="shared" si="11"/>
        <v/>
      </c>
      <c r="H114" s="5" t="str">
        <f t="shared" si="12"/>
        <v/>
      </c>
      <c r="I114" s="12" t="str">
        <f>IF(H114="","",[1]!s_risk_stdevy(LEFT(H114,FIND(".",H114)+2),指数分析!$D$5,指数分析!$D$6,2,1))</f>
        <v/>
      </c>
      <c r="J114" s="4"/>
      <c r="K114" s="6"/>
      <c r="L114" s="5"/>
      <c r="M114" s="5"/>
      <c r="N114" s="5"/>
      <c r="P114" s="2"/>
      <c r="Q114" s="2"/>
      <c r="R114" s="3"/>
      <c r="S114" s="17"/>
      <c r="T114" s="5"/>
      <c r="U114" s="5"/>
      <c r="V114" s="5"/>
      <c r="W114" s="5"/>
      <c r="X114" s="5"/>
    </row>
    <row r="115" spans="2:24" ht="12.75" x14ac:dyDescent="0.15">
      <c r="B115" s="2" t="str">
        <f>IF(E115="","",IF(COUNTIF(E$6:E115,E115)=1,RANK(E115,E:E,0),RANK(E115,E:E,0)+COUNTIF(E$6:E115,E115)-1))</f>
        <v/>
      </c>
      <c r="C115" s="2" t="str">
        <f t="shared" si="8"/>
        <v/>
      </c>
      <c r="D115" s="3" t="str">
        <f t="shared" si="9"/>
        <v/>
      </c>
      <c r="E115" s="5" t="str">
        <f>IF(C115="","",[1]!f_pq_pctchange(VLOOKUP(C115,worldfield,2,FALSE),指数分析!$D$5,指数分析!$D$6)/100)</f>
        <v/>
      </c>
      <c r="F115" s="5" t="str">
        <f t="shared" si="10"/>
        <v/>
      </c>
      <c r="G115" s="5" t="str">
        <f t="shared" si="11"/>
        <v/>
      </c>
      <c r="H115" s="5" t="str">
        <f t="shared" si="12"/>
        <v/>
      </c>
      <c r="I115" s="12" t="str">
        <f>IF(H115="","",[1]!s_risk_stdevy(LEFT(H115,FIND(".",H115)+2),指数分析!$D$5,指数分析!$D$6,2,1))</f>
        <v/>
      </c>
      <c r="J115" s="4"/>
      <c r="K115" s="6"/>
      <c r="L115" s="5"/>
      <c r="M115" s="5"/>
      <c r="N115" s="5"/>
      <c r="P115" s="2"/>
      <c r="Q115" s="2"/>
      <c r="R115" s="3"/>
      <c r="S115" s="17"/>
      <c r="T115" s="5"/>
      <c r="U115" s="5"/>
      <c r="V115" s="5"/>
      <c r="W115" s="5"/>
      <c r="X115" s="5"/>
    </row>
    <row r="116" spans="2:24" ht="12.75" x14ac:dyDescent="0.15">
      <c r="B116" s="2" t="str">
        <f>IF(E116="","",IF(COUNTIF(E$6:E116,E116)=1,RANK(E116,E:E,0),RANK(E116,E:E,0)+COUNTIF(E$6:E116,E116)-1))</f>
        <v/>
      </c>
      <c r="C116" s="2" t="str">
        <f t="shared" si="8"/>
        <v/>
      </c>
      <c r="D116" s="3" t="str">
        <f t="shared" si="9"/>
        <v/>
      </c>
      <c r="E116" s="5" t="str">
        <f>IF(C116="","",[1]!f_pq_pctchange(VLOOKUP(C116,worldfield,2,FALSE),指数分析!$D$5,指数分析!$D$6)/100)</f>
        <v/>
      </c>
      <c r="F116" s="5" t="str">
        <f t="shared" si="10"/>
        <v/>
      </c>
      <c r="G116" s="5" t="str">
        <f t="shared" si="11"/>
        <v/>
      </c>
      <c r="H116" s="5" t="str">
        <f t="shared" si="12"/>
        <v/>
      </c>
      <c r="I116" s="12" t="str">
        <f>IF(H116="","",[1]!s_risk_stdevy(LEFT(H116,FIND(".",H116)+2),指数分析!$D$5,指数分析!$D$6,2,1))</f>
        <v/>
      </c>
      <c r="J116" s="4"/>
      <c r="K116" s="6"/>
      <c r="L116" s="5"/>
      <c r="M116" s="5"/>
      <c r="N116" s="5"/>
      <c r="P116" s="2"/>
      <c r="Q116" s="2"/>
      <c r="R116" s="3"/>
      <c r="S116" s="17"/>
      <c r="T116" s="5"/>
      <c r="U116" s="5"/>
      <c r="V116" s="5"/>
      <c r="W116" s="5"/>
      <c r="X116" s="5"/>
    </row>
    <row r="117" spans="2:24" ht="12.75" x14ac:dyDescent="0.15">
      <c r="B117" s="2" t="str">
        <f>IF(E117="","",IF(COUNTIF(E$6:E117,E117)=1,RANK(E117,E:E,0),RANK(E117,E:E,0)+COUNTIF(E$6:E117,E117)-1))</f>
        <v/>
      </c>
      <c r="C117" s="2" t="str">
        <f t="shared" si="8"/>
        <v/>
      </c>
      <c r="D117" s="3" t="str">
        <f t="shared" si="9"/>
        <v/>
      </c>
      <c r="E117" s="5" t="str">
        <f>IF(C117="","",[1]!f_pq_pctchange(VLOOKUP(C117,worldfield,2,FALSE),指数分析!$D$5,指数分析!$D$6)/100)</f>
        <v/>
      </c>
      <c r="F117" s="5" t="str">
        <f t="shared" si="10"/>
        <v/>
      </c>
      <c r="G117" s="5" t="str">
        <f t="shared" si="11"/>
        <v/>
      </c>
      <c r="H117" s="5" t="str">
        <f t="shared" si="12"/>
        <v/>
      </c>
      <c r="I117" s="12" t="str">
        <f>IF(H117="","",[1]!s_risk_stdevy(LEFT(H117,FIND(".",H117)+2),指数分析!$D$5,指数分析!$D$6,2,1))</f>
        <v/>
      </c>
      <c r="J117" s="4"/>
      <c r="K117" s="6"/>
      <c r="L117" s="5"/>
      <c r="M117" s="5"/>
      <c r="N117" s="5"/>
      <c r="P117" s="2"/>
      <c r="Q117" s="2"/>
      <c r="R117" s="3"/>
      <c r="S117" s="17"/>
      <c r="T117" s="5"/>
      <c r="U117" s="5"/>
      <c r="V117" s="5"/>
      <c r="W117" s="5"/>
      <c r="X117" s="5"/>
    </row>
    <row r="118" spans="2:24" ht="12.75" x14ac:dyDescent="0.15">
      <c r="B118" s="2" t="str">
        <f>IF(E118="","",IF(COUNTIF(E$6:E118,E118)=1,RANK(E118,E:E,0),RANK(E118,E:E,0)+COUNTIF(E$6:E118,E118)-1))</f>
        <v/>
      </c>
      <c r="C118" s="2" t="str">
        <f t="shared" si="8"/>
        <v/>
      </c>
      <c r="D118" s="3" t="str">
        <f t="shared" si="9"/>
        <v/>
      </c>
      <c r="E118" s="5" t="str">
        <f>IF(C118="","",[1]!f_pq_pctchange(VLOOKUP(C118,worldfield,2,FALSE),指数分析!$D$5,指数分析!$D$6)/100)</f>
        <v/>
      </c>
      <c r="F118" s="5" t="str">
        <f t="shared" si="10"/>
        <v/>
      </c>
      <c r="G118" s="5" t="str">
        <f t="shared" si="11"/>
        <v/>
      </c>
      <c r="H118" s="5" t="str">
        <f t="shared" si="12"/>
        <v/>
      </c>
      <c r="I118" s="12" t="str">
        <f>IF(H118="","",[1]!s_risk_stdevy(LEFT(H118,FIND(".",H118)+2),指数分析!$D$5,指数分析!$D$6,2,1))</f>
        <v/>
      </c>
      <c r="J118" s="4"/>
      <c r="K118" s="6"/>
      <c r="L118" s="5"/>
      <c r="M118" s="5"/>
      <c r="N118" s="5"/>
      <c r="P118" s="2"/>
      <c r="Q118" s="2"/>
      <c r="R118" s="3"/>
      <c r="S118" s="17"/>
      <c r="T118" s="5"/>
      <c r="U118" s="5"/>
      <c r="V118" s="5"/>
      <c r="W118" s="5"/>
      <c r="X118" s="5"/>
    </row>
    <row r="119" spans="2:24" ht="12.75" x14ac:dyDescent="0.15">
      <c r="B119" s="2" t="str">
        <f>IF(E119="","",IF(COUNTIF(E$6:E119,E119)=1,RANK(E119,E:E,0),RANK(E119,E:E,0)+COUNTIF(E$6:E119,E119)-1))</f>
        <v/>
      </c>
      <c r="C119" s="2" t="str">
        <f t="shared" si="8"/>
        <v/>
      </c>
      <c r="D119" s="3" t="str">
        <f t="shared" si="9"/>
        <v/>
      </c>
      <c r="E119" s="5" t="str">
        <f>IF(C119="","",[1]!f_pq_pctchange(VLOOKUP(C119,worldfield,2,FALSE),指数分析!$D$5,指数分析!$D$6)/100)</f>
        <v/>
      </c>
      <c r="F119" s="5" t="str">
        <f t="shared" si="10"/>
        <v/>
      </c>
      <c r="G119" s="5" t="str">
        <f t="shared" si="11"/>
        <v/>
      </c>
      <c r="H119" s="5" t="str">
        <f t="shared" si="12"/>
        <v/>
      </c>
      <c r="I119" s="12" t="str">
        <f>IF(H119="","",[1]!s_risk_stdevy(LEFT(H119,FIND(".",H119)+2),指数分析!$D$5,指数分析!$D$6,2,1))</f>
        <v/>
      </c>
      <c r="J119" s="4"/>
      <c r="K119" s="6"/>
      <c r="L119" s="5"/>
      <c r="M119" s="5"/>
      <c r="N119" s="5"/>
      <c r="P119" s="2"/>
      <c r="Q119" s="2"/>
      <c r="R119" s="3"/>
      <c r="S119" s="17"/>
      <c r="T119" s="5"/>
      <c r="U119" s="5"/>
      <c r="V119" s="5"/>
      <c r="W119" s="5"/>
      <c r="X119" s="5"/>
    </row>
    <row r="120" spans="2:24" ht="12.75" x14ac:dyDescent="0.15">
      <c r="B120" s="2" t="str">
        <f>IF(E120="","",IF(COUNTIF(E$6:E120,E120)=1,RANK(E120,E:E,0),RANK(E120,E:E,0)+COUNTIF(E$6:E120,E120)-1))</f>
        <v/>
      </c>
      <c r="C120" s="2" t="str">
        <f t="shared" si="8"/>
        <v/>
      </c>
      <c r="D120" s="3" t="str">
        <f t="shared" si="9"/>
        <v/>
      </c>
      <c r="E120" s="5" t="str">
        <f>IF(C120="","",[1]!f_pq_pctchange(VLOOKUP(C120,worldfield,2,FALSE),指数分析!$D$5,指数分析!$D$6)/100)</f>
        <v/>
      </c>
      <c r="F120" s="5" t="str">
        <f t="shared" si="10"/>
        <v/>
      </c>
      <c r="G120" s="5" t="str">
        <f t="shared" si="11"/>
        <v/>
      </c>
      <c r="H120" s="5" t="str">
        <f t="shared" si="12"/>
        <v/>
      </c>
      <c r="I120" s="12" t="str">
        <f>IF(H120="","",[1]!s_risk_stdevy(LEFT(H120,FIND(".",H120)+2),指数分析!$D$5,指数分析!$D$6,2,1))</f>
        <v/>
      </c>
      <c r="J120" s="4"/>
      <c r="K120" s="6"/>
      <c r="L120" s="5"/>
      <c r="M120" s="5"/>
      <c r="N120" s="5"/>
      <c r="P120" s="2"/>
      <c r="Q120" s="2"/>
      <c r="R120" s="3"/>
      <c r="S120" s="17"/>
      <c r="T120" s="5"/>
      <c r="U120" s="5"/>
      <c r="V120" s="5"/>
      <c r="W120" s="5"/>
      <c r="X120" s="5"/>
    </row>
    <row r="121" spans="2:24" ht="12.75" x14ac:dyDescent="0.15">
      <c r="B121" s="2" t="str">
        <f>IF(E121="","",IF(COUNTIF(E$6:E121,E121)=1,RANK(E121,E:E,0),RANK(E121,E:E,0)+COUNTIF(E$6:E121,E121)-1))</f>
        <v/>
      </c>
      <c r="C121" s="2" t="str">
        <f t="shared" si="8"/>
        <v/>
      </c>
      <c r="D121" s="3" t="str">
        <f t="shared" si="9"/>
        <v/>
      </c>
      <c r="E121" s="5" t="str">
        <f>IF(C121="","",[1]!f_pq_pctchange(VLOOKUP(C121,worldfield,2,FALSE),指数分析!$D$5,指数分析!$D$6)/100)</f>
        <v/>
      </c>
      <c r="F121" s="5" t="str">
        <f t="shared" si="10"/>
        <v/>
      </c>
      <c r="G121" s="5" t="str">
        <f t="shared" si="11"/>
        <v/>
      </c>
      <c r="H121" s="5" t="str">
        <f t="shared" si="12"/>
        <v/>
      </c>
      <c r="I121" s="12" t="str">
        <f>IF(H121="","",[1]!s_risk_stdevy(LEFT(H121,FIND(".",H121)+2),指数分析!$D$5,指数分析!$D$6,2,1))</f>
        <v/>
      </c>
      <c r="J121" s="4"/>
      <c r="K121" s="6"/>
      <c r="L121" s="5"/>
      <c r="M121" s="5"/>
      <c r="N121" s="5"/>
      <c r="P121" s="2"/>
      <c r="Q121" s="2"/>
      <c r="R121" s="3"/>
      <c r="S121" s="17"/>
      <c r="T121" s="5"/>
      <c r="U121" s="5"/>
      <c r="V121" s="5"/>
      <c r="W121" s="5"/>
      <c r="X121" s="5"/>
    </row>
    <row r="122" spans="2:24" ht="12.75" x14ac:dyDescent="0.15">
      <c r="B122" s="2" t="str">
        <f>IF(E122="","",IF(COUNTIF(E$6:E122,E122)=1,RANK(E122,E:E,0),RANK(E122,E:E,0)+COUNTIF(E$6:E122,E122)-1))</f>
        <v/>
      </c>
      <c r="C122" s="2" t="str">
        <f t="shared" si="8"/>
        <v/>
      </c>
      <c r="D122" s="3" t="str">
        <f t="shared" si="9"/>
        <v/>
      </c>
      <c r="E122" s="5" t="str">
        <f>IF(C122="","",[1]!f_pq_pctchange(VLOOKUP(C122,worldfield,2,FALSE),指数分析!$D$5,指数分析!$D$6)/100)</f>
        <v/>
      </c>
      <c r="F122" s="5" t="str">
        <f t="shared" si="10"/>
        <v/>
      </c>
      <c r="G122" s="5" t="str">
        <f t="shared" si="11"/>
        <v/>
      </c>
      <c r="H122" s="5" t="str">
        <f t="shared" si="12"/>
        <v/>
      </c>
      <c r="I122" s="12" t="str">
        <f>IF(H122="","",[1]!s_risk_stdevy(LEFT(H122,FIND(".",H122)+2),指数分析!$D$5,指数分析!$D$6,2,1))</f>
        <v/>
      </c>
      <c r="J122" s="4"/>
      <c r="K122" s="6"/>
      <c r="L122" s="5"/>
      <c r="M122" s="5"/>
      <c r="N122" s="5"/>
      <c r="P122" s="2"/>
      <c r="Q122" s="2"/>
      <c r="R122" s="3"/>
      <c r="S122" s="17"/>
      <c r="T122" s="5"/>
      <c r="U122" s="5"/>
      <c r="V122" s="5"/>
      <c r="W122" s="5"/>
      <c r="X122" s="5"/>
    </row>
    <row r="123" spans="2:24" ht="12.75" x14ac:dyDescent="0.15">
      <c r="B123" s="2" t="str">
        <f>IF(E123="","",IF(COUNTIF(E$6:E123,E123)=1,RANK(E123,E:E,0),RANK(E123,E:E,0)+COUNTIF(E$6:E123,E123)-1))</f>
        <v/>
      </c>
      <c r="C123" s="2" t="str">
        <f t="shared" si="8"/>
        <v/>
      </c>
      <c r="D123" s="3" t="str">
        <f t="shared" si="9"/>
        <v/>
      </c>
      <c r="E123" s="5" t="str">
        <f>IF(C123="","",[1]!f_pq_pctchange(VLOOKUP(C123,worldfield,2,FALSE),指数分析!$D$5,指数分析!$D$6)/100)</f>
        <v/>
      </c>
      <c r="F123" s="5" t="str">
        <f t="shared" si="10"/>
        <v/>
      </c>
      <c r="G123" s="5" t="str">
        <f t="shared" si="11"/>
        <v/>
      </c>
      <c r="H123" s="5" t="str">
        <f t="shared" si="12"/>
        <v/>
      </c>
      <c r="I123" s="12" t="str">
        <f>IF(H123="","",[1]!s_risk_stdevy(LEFT(H123,FIND(".",H123)+2),指数分析!$D$5,指数分析!$D$6,2,1))</f>
        <v/>
      </c>
      <c r="J123" s="4"/>
      <c r="K123" s="6"/>
      <c r="L123" s="5"/>
      <c r="M123" s="5"/>
      <c r="N123" s="5"/>
      <c r="P123" s="2"/>
      <c r="Q123" s="2"/>
      <c r="R123" s="3"/>
      <c r="S123" s="17"/>
      <c r="T123" s="5"/>
      <c r="U123" s="5"/>
      <c r="V123" s="5"/>
      <c r="W123" s="5"/>
      <c r="X123" s="5"/>
    </row>
    <row r="124" spans="2:24" ht="12.75" x14ac:dyDescent="0.15">
      <c r="B124" s="2" t="str">
        <f>IF(E124="","",IF(COUNTIF(E$6:E124,E124)=1,RANK(E124,E:E,0),RANK(E124,E:E,0)+COUNTIF(E$6:E124,E124)-1))</f>
        <v/>
      </c>
      <c r="C124" s="2" t="str">
        <f t="shared" si="8"/>
        <v/>
      </c>
      <c r="D124" s="3" t="str">
        <f t="shared" si="9"/>
        <v/>
      </c>
      <c r="E124" s="5" t="str">
        <f>IF(C124="","",[1]!f_pq_pctchange(VLOOKUP(C124,worldfield,2,FALSE),指数分析!$D$5,指数分析!$D$6)/100)</f>
        <v/>
      </c>
      <c r="F124" s="5" t="str">
        <f t="shared" si="10"/>
        <v/>
      </c>
      <c r="G124" s="5" t="str">
        <f t="shared" si="11"/>
        <v/>
      </c>
      <c r="H124" s="5" t="str">
        <f t="shared" si="12"/>
        <v/>
      </c>
      <c r="I124" s="12" t="str">
        <f>IF(H124="","",[1]!s_risk_stdevy(LEFT(H124,FIND(".",H124)+2),指数分析!$D$5,指数分析!$D$6,2,1))</f>
        <v/>
      </c>
      <c r="J124" s="4"/>
      <c r="K124" s="6"/>
      <c r="L124" s="5"/>
      <c r="M124" s="5"/>
      <c r="N124" s="5"/>
      <c r="P124" s="2"/>
      <c r="Q124" s="2"/>
      <c r="R124" s="3"/>
      <c r="S124" s="17"/>
      <c r="T124" s="5"/>
      <c r="U124" s="5"/>
      <c r="V124" s="5"/>
      <c r="W124" s="5"/>
      <c r="X124" s="5"/>
    </row>
    <row r="125" spans="2:24" ht="12.75" x14ac:dyDescent="0.15">
      <c r="B125" s="2" t="str">
        <f>IF(E125="","",IF(COUNTIF(E$6:E125,E125)=1,RANK(E125,E:E,0),RANK(E125,E:E,0)+COUNTIF(E$6:E125,E125)-1))</f>
        <v/>
      </c>
      <c r="C125" s="2" t="str">
        <f t="shared" si="8"/>
        <v/>
      </c>
      <c r="D125" s="3" t="str">
        <f t="shared" si="9"/>
        <v/>
      </c>
      <c r="E125" s="5" t="str">
        <f>IF(C125="","",[1]!f_pq_pctchange(VLOOKUP(C125,worldfield,2,FALSE),指数分析!$D$5,指数分析!$D$6)/100)</f>
        <v/>
      </c>
      <c r="F125" s="5" t="str">
        <f t="shared" si="10"/>
        <v/>
      </c>
      <c r="G125" s="5" t="str">
        <f t="shared" si="11"/>
        <v/>
      </c>
      <c r="H125" s="5" t="str">
        <f t="shared" si="12"/>
        <v/>
      </c>
      <c r="I125" s="12" t="str">
        <f>IF(H125="","",[1]!s_risk_stdevy(LEFT(H125,FIND(".",H125)+2),指数分析!$D$5,指数分析!$D$6,2,1))</f>
        <v/>
      </c>
      <c r="J125" s="4"/>
      <c r="K125" s="6"/>
      <c r="L125" s="5"/>
      <c r="M125" s="5"/>
      <c r="N125" s="5"/>
      <c r="P125" s="2"/>
      <c r="Q125" s="2"/>
      <c r="R125" s="3"/>
      <c r="S125" s="17"/>
      <c r="T125" s="5"/>
      <c r="U125" s="5"/>
      <c r="V125" s="5"/>
      <c r="W125" s="5"/>
      <c r="X125" s="5"/>
    </row>
    <row r="126" spans="2:24" ht="12.75" x14ac:dyDescent="0.15">
      <c r="B126" s="2" t="str">
        <f>IF(E126="","",IF(COUNTIF(E$6:E126,E126)=1,RANK(E126,E:E,0),RANK(E126,E:E,0)+COUNTIF(E$6:E126,E126)-1))</f>
        <v/>
      </c>
      <c r="C126" s="2" t="str">
        <f t="shared" si="8"/>
        <v/>
      </c>
      <c r="D126" s="3" t="str">
        <f t="shared" si="9"/>
        <v/>
      </c>
      <c r="E126" s="5" t="str">
        <f>IF(C126="","",[1]!f_pq_pctchange(VLOOKUP(C126,worldfield,2,FALSE),指数分析!$D$5,指数分析!$D$6)/100)</f>
        <v/>
      </c>
      <c r="F126" s="5" t="str">
        <f t="shared" si="10"/>
        <v/>
      </c>
      <c r="G126" s="5" t="str">
        <f t="shared" si="11"/>
        <v/>
      </c>
      <c r="H126" s="5" t="str">
        <f t="shared" si="12"/>
        <v/>
      </c>
      <c r="I126" s="12" t="str">
        <f>IF(H126="","",[1]!s_risk_stdevy(LEFT(H126,FIND(".",H126)+2),指数分析!$D$5,指数分析!$D$6,2,1))</f>
        <v/>
      </c>
      <c r="J126" s="4"/>
      <c r="K126" s="6"/>
      <c r="L126" s="5"/>
      <c r="M126" s="5"/>
      <c r="N126" s="5"/>
      <c r="P126" s="2"/>
      <c r="Q126" s="2"/>
      <c r="R126" s="3"/>
      <c r="S126" s="17"/>
      <c r="T126" s="5"/>
      <c r="U126" s="5"/>
      <c r="V126" s="5"/>
      <c r="W126" s="5"/>
      <c r="X126" s="5"/>
    </row>
    <row r="127" spans="2:24" ht="12.75" x14ac:dyDescent="0.15">
      <c r="B127" s="2" t="str">
        <f>IF(E127="","",IF(COUNTIF(E$6:E127,E127)=1,RANK(E127,E:E,0),RANK(E127,E:E,0)+COUNTIF(E$6:E127,E127)-1))</f>
        <v/>
      </c>
      <c r="C127" s="2" t="str">
        <f t="shared" si="8"/>
        <v/>
      </c>
      <c r="D127" s="3" t="str">
        <f t="shared" si="9"/>
        <v/>
      </c>
      <c r="E127" s="5" t="str">
        <f>IF(C127="","",[1]!f_pq_pctchange(VLOOKUP(C127,worldfield,2,FALSE),指数分析!$D$5,指数分析!$D$6)/100)</f>
        <v/>
      </c>
      <c r="F127" s="5" t="str">
        <f t="shared" si="10"/>
        <v/>
      </c>
      <c r="G127" s="5" t="str">
        <f t="shared" si="11"/>
        <v/>
      </c>
      <c r="H127" s="5" t="str">
        <f t="shared" si="12"/>
        <v/>
      </c>
      <c r="I127" s="12" t="str">
        <f>IF(H127="","",[1]!s_risk_stdevy(LEFT(H127,FIND(".",H127)+2),指数分析!$D$5,指数分析!$D$6,2,1))</f>
        <v/>
      </c>
      <c r="J127" s="4"/>
      <c r="K127" s="6"/>
      <c r="L127" s="5"/>
      <c r="M127" s="5"/>
      <c r="N127" s="5"/>
      <c r="P127" s="2"/>
      <c r="Q127" s="2"/>
      <c r="R127" s="3"/>
      <c r="S127" s="17"/>
      <c r="T127" s="5"/>
      <c r="U127" s="5"/>
      <c r="V127" s="5"/>
      <c r="W127" s="5"/>
      <c r="X127" s="5"/>
    </row>
    <row r="128" spans="2:24" ht="12.75" x14ac:dyDescent="0.15">
      <c r="B128" s="2" t="str">
        <f>IF(E128="","",IF(COUNTIF(E$6:E128,E128)=1,RANK(E128,E:E,0),RANK(E128,E:E,0)+COUNTIF(E$6:E128,E128)-1))</f>
        <v/>
      </c>
      <c r="C128" s="2" t="str">
        <f t="shared" si="8"/>
        <v/>
      </c>
      <c r="D128" s="3" t="str">
        <f t="shared" si="9"/>
        <v/>
      </c>
      <c r="E128" s="5" t="str">
        <f>IF(C128="","",[1]!f_pq_pctchange(VLOOKUP(C128,worldfield,2,FALSE),指数分析!$D$5,指数分析!$D$6)/100)</f>
        <v/>
      </c>
      <c r="F128" s="5" t="str">
        <f t="shared" si="10"/>
        <v/>
      </c>
      <c r="G128" s="5" t="str">
        <f t="shared" si="11"/>
        <v/>
      </c>
      <c r="H128" s="5" t="str">
        <f t="shared" si="12"/>
        <v/>
      </c>
      <c r="I128" s="12" t="str">
        <f>IF(H128="","",[1]!s_risk_stdevy(LEFT(H128,FIND(".",H128)+2),指数分析!$D$5,指数分析!$D$6,2,1))</f>
        <v/>
      </c>
      <c r="J128" s="4"/>
      <c r="K128" s="6"/>
      <c r="L128" s="5"/>
      <c r="M128" s="5"/>
      <c r="N128" s="5"/>
      <c r="P128" s="2"/>
      <c r="Q128" s="2"/>
      <c r="R128" s="3"/>
      <c r="S128" s="17"/>
      <c r="T128" s="5"/>
      <c r="U128" s="5"/>
      <c r="V128" s="5"/>
      <c r="W128" s="5"/>
      <c r="X128" s="5"/>
    </row>
    <row r="129" spans="2:24" ht="12.75" x14ac:dyDescent="0.15">
      <c r="B129" s="2" t="str">
        <f>IF(E129="","",IF(COUNTIF(E$6:E129,E129)=1,RANK(E129,E:E,0),RANK(E129,E:E,0)+COUNTIF(E$6:E129,E129)-1))</f>
        <v/>
      </c>
      <c r="C129" s="2" t="str">
        <f t="shared" si="8"/>
        <v/>
      </c>
      <c r="D129" s="3" t="str">
        <f t="shared" si="9"/>
        <v/>
      </c>
      <c r="E129" s="5" t="str">
        <f>IF(C129="","",[1]!f_pq_pctchange(VLOOKUP(C129,worldfield,2,FALSE),指数分析!$D$5,指数分析!$D$6)/100)</f>
        <v/>
      </c>
      <c r="F129" s="5" t="str">
        <f t="shared" si="10"/>
        <v/>
      </c>
      <c r="G129" s="5" t="str">
        <f t="shared" si="11"/>
        <v/>
      </c>
      <c r="H129" s="5" t="str">
        <f t="shared" si="12"/>
        <v/>
      </c>
      <c r="I129" s="12" t="str">
        <f>IF(H129="","",[1]!s_risk_stdevy(LEFT(H129,FIND(".",H129)+2),指数分析!$D$5,指数分析!$D$6,2,1))</f>
        <v/>
      </c>
      <c r="J129" s="4"/>
      <c r="K129" s="6"/>
      <c r="L129" s="5"/>
      <c r="M129" s="5"/>
      <c r="N129" s="5"/>
      <c r="P129" s="2"/>
      <c r="Q129" s="2"/>
      <c r="R129" s="3"/>
      <c r="S129" s="17"/>
      <c r="T129" s="5"/>
      <c r="U129" s="5"/>
      <c r="V129" s="5"/>
      <c r="W129" s="5"/>
      <c r="X129" s="5"/>
    </row>
    <row r="130" spans="2:24" ht="12.75" x14ac:dyDescent="0.15">
      <c r="B130" s="2" t="str">
        <f>IF(E130="","",IF(COUNTIF(E$6:E130,E130)=1,RANK(E130,E:E,0),RANK(E130,E:E,0)+COUNTIF(E$6:E130,E130)-1))</f>
        <v/>
      </c>
      <c r="C130" s="2" t="str">
        <f t="shared" si="8"/>
        <v/>
      </c>
      <c r="D130" s="3" t="str">
        <f t="shared" si="9"/>
        <v/>
      </c>
      <c r="E130" s="5" t="str">
        <f>IF(C130="","",[1]!f_pq_pctchange(VLOOKUP(C130,worldfield,2,FALSE),指数分析!$D$5,指数分析!$D$6)/100)</f>
        <v/>
      </c>
      <c r="F130" s="5" t="str">
        <f t="shared" si="10"/>
        <v/>
      </c>
      <c r="G130" s="5" t="str">
        <f t="shared" si="11"/>
        <v/>
      </c>
      <c r="H130" s="5" t="str">
        <f t="shared" si="12"/>
        <v/>
      </c>
      <c r="I130" s="12" t="str">
        <f>IF(H130="","",[1]!s_risk_stdevy(LEFT(H130,FIND(".",H130)+2),指数分析!$D$5,指数分析!$D$6,2,1))</f>
        <v/>
      </c>
      <c r="J130" s="4"/>
      <c r="K130" s="6"/>
      <c r="L130" s="5"/>
      <c r="M130" s="5"/>
      <c r="N130" s="5"/>
      <c r="P130" s="2"/>
      <c r="Q130" s="2"/>
      <c r="R130" s="3"/>
      <c r="S130" s="17"/>
      <c r="T130" s="5"/>
      <c r="U130" s="5"/>
      <c r="V130" s="5"/>
      <c r="W130" s="5"/>
      <c r="X130" s="5"/>
    </row>
    <row r="131" spans="2:24" ht="12.75" x14ac:dyDescent="0.15">
      <c r="B131" s="2" t="str">
        <f>IF(E131="","",IF(COUNTIF(E$6:E131,E131)=1,RANK(E131,E:E,0),RANK(E131,E:E,0)+COUNTIF(E$6:E131,E131)-1))</f>
        <v/>
      </c>
      <c r="C131" s="2" t="str">
        <f t="shared" si="8"/>
        <v/>
      </c>
      <c r="D131" s="3" t="str">
        <f t="shared" si="9"/>
        <v/>
      </c>
      <c r="E131" s="5" t="str">
        <f>IF(C131="","",[1]!f_pq_pctchange(VLOOKUP(C131,worldfield,2,FALSE),指数分析!$D$5,指数分析!$D$6)/100)</f>
        <v/>
      </c>
      <c r="F131" s="5" t="str">
        <f t="shared" si="10"/>
        <v/>
      </c>
      <c r="G131" s="5" t="str">
        <f t="shared" si="11"/>
        <v/>
      </c>
      <c r="H131" s="5" t="str">
        <f t="shared" si="12"/>
        <v/>
      </c>
      <c r="I131" s="12" t="str">
        <f>IF(H131="","",[1]!s_risk_stdevy(LEFT(H131,FIND(".",H131)+2),指数分析!$D$5,指数分析!$D$6,2,1))</f>
        <v/>
      </c>
      <c r="J131" s="4"/>
      <c r="K131" s="6"/>
      <c r="L131" s="5"/>
      <c r="M131" s="5"/>
      <c r="N131" s="5"/>
      <c r="P131" s="2"/>
      <c r="Q131" s="2"/>
      <c r="R131" s="3"/>
      <c r="S131" s="17"/>
      <c r="T131" s="5"/>
      <c r="U131" s="5"/>
      <c r="V131" s="5"/>
      <c r="W131" s="5"/>
      <c r="X131" s="5"/>
    </row>
    <row r="132" spans="2:24" ht="12.75" x14ac:dyDescent="0.15">
      <c r="B132" s="2" t="str">
        <f>IF(E132="","",IF(COUNTIF(E$6:E132,E132)=1,RANK(E132,E:E,0),RANK(E132,E:E,0)+COUNTIF(E$6:E132,E132)-1))</f>
        <v/>
      </c>
      <c r="C132" s="2" t="str">
        <f t="shared" si="8"/>
        <v/>
      </c>
      <c r="D132" s="3" t="str">
        <f t="shared" si="9"/>
        <v/>
      </c>
      <c r="E132" s="5" t="str">
        <f>IF(C132="","",[1]!f_pq_pctchange(VLOOKUP(C132,worldfield,2,FALSE),指数分析!$D$5,指数分析!$D$6)/100)</f>
        <v/>
      </c>
      <c r="F132" s="5" t="str">
        <f t="shared" si="10"/>
        <v/>
      </c>
      <c r="G132" s="5" t="str">
        <f t="shared" si="11"/>
        <v/>
      </c>
      <c r="H132" s="5" t="str">
        <f t="shared" si="12"/>
        <v/>
      </c>
      <c r="I132" s="12" t="str">
        <f>IF(H132="","",[1]!s_risk_stdevy(LEFT(H132,FIND(".",H132)+2),指数分析!$D$5,指数分析!$D$6,2,1))</f>
        <v/>
      </c>
      <c r="J132" s="4"/>
      <c r="K132" s="6"/>
      <c r="L132" s="5"/>
      <c r="M132" s="5"/>
      <c r="N132" s="5"/>
      <c r="P132" s="2"/>
      <c r="Q132" s="2"/>
      <c r="R132" s="3"/>
      <c r="S132" s="17"/>
      <c r="T132" s="5"/>
      <c r="U132" s="5"/>
      <c r="V132" s="5"/>
      <c r="W132" s="5"/>
      <c r="X132" s="5"/>
    </row>
    <row r="133" spans="2:24" ht="12.75" x14ac:dyDescent="0.15">
      <c r="B133" s="2" t="str">
        <f>IF(E133="","",IF(COUNTIF(E$6:E133,E133)=1,RANK(E133,E:E,0),RANK(E133,E:E,0)+COUNTIF(E$6:E133,E133)-1))</f>
        <v/>
      </c>
      <c r="C133" s="2" t="str">
        <f t="shared" si="8"/>
        <v/>
      </c>
      <c r="D133" s="3" t="str">
        <f t="shared" si="9"/>
        <v/>
      </c>
      <c r="E133" s="5" t="str">
        <f>IF(C133="","",[1]!f_pq_pctchange(VLOOKUP(C133,worldfield,2,FALSE),指数分析!$D$5,指数分析!$D$6)/100)</f>
        <v/>
      </c>
      <c r="F133" s="5" t="str">
        <f t="shared" si="10"/>
        <v/>
      </c>
      <c r="G133" s="5" t="str">
        <f t="shared" si="11"/>
        <v/>
      </c>
      <c r="H133" s="5" t="str">
        <f t="shared" si="12"/>
        <v/>
      </c>
      <c r="I133" s="12" t="str">
        <f>IF(H133="","",[1]!s_risk_stdevy(LEFT(H133,FIND(".",H133)+2),指数分析!$D$5,指数分析!$D$6,2,1))</f>
        <v/>
      </c>
      <c r="J133" s="4"/>
      <c r="K133" s="6"/>
      <c r="L133" s="5"/>
      <c r="M133" s="5"/>
      <c r="N133" s="5"/>
      <c r="P133" s="2"/>
      <c r="Q133" s="2"/>
      <c r="R133" s="3"/>
      <c r="S133" s="17"/>
      <c r="T133" s="5"/>
      <c r="U133" s="5"/>
      <c r="V133" s="5"/>
      <c r="W133" s="5"/>
      <c r="X133" s="5"/>
    </row>
    <row r="134" spans="2:24" ht="12.75" x14ac:dyDescent="0.15">
      <c r="B134" s="2" t="str">
        <f>IF(E134="","",IF(COUNTIF(E$6:E134,E134)=1,RANK(E134,E:E,0),RANK(E134,E:E,0)+COUNTIF(E$6:E134,E134)-1))</f>
        <v/>
      </c>
      <c r="C134" s="2" t="str">
        <f t="shared" ref="C134:C197" si="13">IF(ROW()-ROW($C$5)&gt;worldnums,"",ROW()-ROW($C$5))</f>
        <v/>
      </c>
      <c r="D134" s="3" t="str">
        <f t="shared" ref="D134:D197" si="14">IF(C134="","",VLOOKUP(C134,worldfield,2,FALSE)&amp;VLOOKUP(C134,worldfield,3,FALSE))</f>
        <v/>
      </c>
      <c r="E134" s="5" t="str">
        <f>IF(C134="","",[1]!f_pq_pctchange(VLOOKUP(C134,worldfield,2,FALSE),指数分析!$D$5,指数分析!$D$6)/100)</f>
        <v/>
      </c>
      <c r="F134" s="5" t="str">
        <f t="shared" si="10"/>
        <v/>
      </c>
      <c r="G134" s="5" t="str">
        <f t="shared" si="11"/>
        <v/>
      </c>
      <c r="H134" s="5" t="str">
        <f t="shared" si="12"/>
        <v/>
      </c>
      <c r="I134" s="12" t="str">
        <f>IF(H134="","",[1]!s_risk_stdevy(LEFT(H134,FIND(".",H134)+2),指数分析!$D$5,指数分析!$D$6,2,1))</f>
        <v/>
      </c>
      <c r="J134" s="4"/>
      <c r="K134" s="6"/>
      <c r="L134" s="5"/>
      <c r="M134" s="5"/>
      <c r="N134" s="5"/>
      <c r="P134" s="2"/>
      <c r="Q134" s="2"/>
      <c r="R134" s="3"/>
      <c r="S134" s="17"/>
      <c r="T134" s="5"/>
      <c r="U134" s="5"/>
      <c r="V134" s="5"/>
      <c r="W134" s="5"/>
      <c r="X134" s="5"/>
    </row>
    <row r="135" spans="2:24" ht="12.75" x14ac:dyDescent="0.15">
      <c r="B135" s="2" t="str">
        <f>IF(E135="","",IF(COUNTIF(E$6:E135,E135)=1,RANK(E135,E:E,0),RANK(E135,E:E,0)+COUNTIF(E$6:E135,E135)-1))</f>
        <v/>
      </c>
      <c r="C135" s="2" t="str">
        <f t="shared" si="13"/>
        <v/>
      </c>
      <c r="D135" s="3" t="str">
        <f t="shared" si="14"/>
        <v/>
      </c>
      <c r="E135" s="5" t="str">
        <f>IF(C135="","",[1]!f_pq_pctchange(VLOOKUP(C135,worldfield,2,FALSE),指数分析!$D$5,指数分析!$D$6)/100)</f>
        <v/>
      </c>
      <c r="F135" s="5" t="str">
        <f t="shared" ref="F135:F198" si="15">IF(C135="","",VLOOKUP(C135,B:E,3,FALSE))</f>
        <v/>
      </c>
      <c r="G135" s="5" t="str">
        <f t="shared" ref="G135:G198" si="16">IF(C135="","",VLOOKUP(C135,B:E,4,FALSE))</f>
        <v/>
      </c>
      <c r="H135" s="5" t="str">
        <f t="shared" ref="H135:H198" si="17">IF(C135="","",F135&amp;":"&amp;TEXT(G135,"0.0%"))</f>
        <v/>
      </c>
      <c r="I135" s="12" t="str">
        <f>IF(H135="","",[1]!s_risk_stdevy(LEFT(H135,FIND(".",H135)+2),指数分析!$D$5,指数分析!$D$6,2,1))</f>
        <v/>
      </c>
      <c r="J135" s="4"/>
      <c r="K135" s="6"/>
      <c r="L135" s="5"/>
      <c r="M135" s="5"/>
      <c r="N135" s="5"/>
      <c r="P135" s="2"/>
      <c r="Q135" s="2"/>
      <c r="R135" s="3"/>
      <c r="S135" s="17"/>
      <c r="T135" s="5"/>
      <c r="U135" s="5"/>
      <c r="V135" s="5"/>
      <c r="W135" s="5"/>
      <c r="X135" s="5"/>
    </row>
    <row r="136" spans="2:24" ht="12.75" x14ac:dyDescent="0.15">
      <c r="B136" s="2" t="str">
        <f>IF(E136="","",IF(COUNTIF(E$6:E136,E136)=1,RANK(E136,E:E,0),RANK(E136,E:E,0)+COUNTIF(E$6:E136,E136)-1))</f>
        <v/>
      </c>
      <c r="C136" s="2" t="str">
        <f t="shared" si="13"/>
        <v/>
      </c>
      <c r="D136" s="3" t="str">
        <f t="shared" si="14"/>
        <v/>
      </c>
      <c r="E136" s="5" t="str">
        <f>IF(C136="","",[1]!f_pq_pctchange(VLOOKUP(C136,worldfield,2,FALSE),指数分析!$D$5,指数分析!$D$6)/100)</f>
        <v/>
      </c>
      <c r="F136" s="5" t="str">
        <f t="shared" si="15"/>
        <v/>
      </c>
      <c r="G136" s="5" t="str">
        <f t="shared" si="16"/>
        <v/>
      </c>
      <c r="H136" s="5" t="str">
        <f t="shared" si="17"/>
        <v/>
      </c>
      <c r="I136" s="12" t="str">
        <f>IF(H136="","",[1]!s_risk_stdevy(LEFT(H136,FIND(".",H136)+2),指数分析!$D$5,指数分析!$D$6,2,1))</f>
        <v/>
      </c>
      <c r="J136" s="4"/>
      <c r="K136" s="6"/>
      <c r="L136" s="5"/>
      <c r="M136" s="5"/>
      <c r="N136" s="5"/>
      <c r="P136" s="2"/>
      <c r="Q136" s="2"/>
      <c r="R136" s="3"/>
      <c r="S136" s="17"/>
      <c r="T136" s="5"/>
      <c r="U136" s="5"/>
      <c r="V136" s="5"/>
      <c r="W136" s="5"/>
      <c r="X136" s="5"/>
    </row>
    <row r="137" spans="2:24" ht="12.75" x14ac:dyDescent="0.15">
      <c r="B137" s="2" t="str">
        <f>IF(E137="","",IF(COUNTIF(E$6:E137,E137)=1,RANK(E137,E:E,0),RANK(E137,E:E,0)+COUNTIF(E$6:E137,E137)-1))</f>
        <v/>
      </c>
      <c r="C137" s="2" t="str">
        <f t="shared" si="13"/>
        <v/>
      </c>
      <c r="D137" s="3" t="str">
        <f t="shared" si="14"/>
        <v/>
      </c>
      <c r="E137" s="5" t="str">
        <f>IF(C137="","",[1]!f_pq_pctchange(VLOOKUP(C137,worldfield,2,FALSE),指数分析!$D$5,指数分析!$D$6)/100)</f>
        <v/>
      </c>
      <c r="F137" s="5" t="str">
        <f t="shared" si="15"/>
        <v/>
      </c>
      <c r="G137" s="5" t="str">
        <f t="shared" si="16"/>
        <v/>
      </c>
      <c r="H137" s="5" t="str">
        <f t="shared" si="17"/>
        <v/>
      </c>
      <c r="I137" s="12" t="str">
        <f>IF(H137="","",[1]!s_risk_stdevy(LEFT(H137,FIND(".",H137)+2),指数分析!$D$5,指数分析!$D$6,2,1))</f>
        <v/>
      </c>
      <c r="J137" s="4"/>
      <c r="K137" s="6"/>
      <c r="L137" s="5"/>
      <c r="M137" s="5"/>
      <c r="N137" s="5"/>
      <c r="P137" s="2"/>
      <c r="Q137" s="2"/>
      <c r="R137" s="3"/>
      <c r="S137" s="17"/>
      <c r="T137" s="5"/>
      <c r="U137" s="5"/>
      <c r="V137" s="5"/>
      <c r="W137" s="5"/>
      <c r="X137" s="5"/>
    </row>
    <row r="138" spans="2:24" ht="12.75" x14ac:dyDescent="0.15">
      <c r="B138" s="2" t="str">
        <f>IF(E138="","",IF(COUNTIF(E$6:E138,E138)=1,RANK(E138,E:E,0),RANK(E138,E:E,0)+COUNTIF(E$6:E138,E138)-1))</f>
        <v/>
      </c>
      <c r="C138" s="2" t="str">
        <f t="shared" si="13"/>
        <v/>
      </c>
      <c r="D138" s="3" t="str">
        <f t="shared" si="14"/>
        <v/>
      </c>
      <c r="E138" s="5" t="str">
        <f>IF(C138="","",[1]!f_pq_pctchange(VLOOKUP(C138,worldfield,2,FALSE),指数分析!$D$5,指数分析!$D$6)/100)</f>
        <v/>
      </c>
      <c r="F138" s="5" t="str">
        <f t="shared" si="15"/>
        <v/>
      </c>
      <c r="G138" s="5" t="str">
        <f t="shared" si="16"/>
        <v/>
      </c>
      <c r="H138" s="5" t="str">
        <f t="shared" si="17"/>
        <v/>
      </c>
      <c r="I138" s="12" t="str">
        <f>IF(H138="","",[1]!s_risk_stdevy(LEFT(H138,FIND(".",H138)+2),指数分析!$D$5,指数分析!$D$6,2,1))</f>
        <v/>
      </c>
      <c r="J138" s="4"/>
      <c r="K138" s="6"/>
      <c r="L138" s="5"/>
      <c r="M138" s="5"/>
      <c r="N138" s="5"/>
      <c r="P138" s="2"/>
      <c r="Q138" s="2"/>
      <c r="R138" s="3"/>
      <c r="S138" s="17"/>
      <c r="T138" s="5"/>
      <c r="U138" s="5"/>
      <c r="V138" s="5"/>
      <c r="W138" s="5"/>
      <c r="X138" s="5"/>
    </row>
    <row r="139" spans="2:24" ht="12.75" x14ac:dyDescent="0.15">
      <c r="B139" s="2" t="str">
        <f>IF(E139="","",IF(COUNTIF(E$6:E139,E139)=1,RANK(E139,E:E,0),RANK(E139,E:E,0)+COUNTIF(E$6:E139,E139)-1))</f>
        <v/>
      </c>
      <c r="C139" s="2" t="str">
        <f t="shared" si="13"/>
        <v/>
      </c>
      <c r="D139" s="3" t="str">
        <f t="shared" si="14"/>
        <v/>
      </c>
      <c r="E139" s="5" t="str">
        <f>IF(C139="","",[1]!f_pq_pctchange(VLOOKUP(C139,worldfield,2,FALSE),指数分析!$D$5,指数分析!$D$6)/100)</f>
        <v/>
      </c>
      <c r="F139" s="5" t="str">
        <f t="shared" si="15"/>
        <v/>
      </c>
      <c r="G139" s="5" t="str">
        <f t="shared" si="16"/>
        <v/>
      </c>
      <c r="H139" s="5" t="str">
        <f t="shared" si="17"/>
        <v/>
      </c>
      <c r="I139" s="12" t="str">
        <f>IF(H139="","",[1]!s_risk_stdevy(LEFT(H139,FIND(".",H139)+2),指数分析!$D$5,指数分析!$D$6,2,1))</f>
        <v/>
      </c>
      <c r="J139" s="4"/>
      <c r="K139" s="6"/>
      <c r="L139" s="5"/>
      <c r="M139" s="5"/>
      <c r="N139" s="5"/>
      <c r="P139" s="2"/>
      <c r="Q139" s="2"/>
      <c r="R139" s="3"/>
      <c r="S139" s="17"/>
      <c r="T139" s="5"/>
      <c r="U139" s="5"/>
      <c r="V139" s="5"/>
      <c r="W139" s="5"/>
      <c r="X139" s="5"/>
    </row>
    <row r="140" spans="2:24" ht="12.75" x14ac:dyDescent="0.15">
      <c r="B140" s="2" t="str">
        <f>IF(E140="","",IF(COUNTIF(E$6:E140,E140)=1,RANK(E140,E:E,0),RANK(E140,E:E,0)+COUNTIF(E$6:E140,E140)-1))</f>
        <v/>
      </c>
      <c r="C140" s="2" t="str">
        <f t="shared" si="13"/>
        <v/>
      </c>
      <c r="D140" s="3" t="str">
        <f t="shared" si="14"/>
        <v/>
      </c>
      <c r="E140" s="5" t="str">
        <f>IF(C140="","",[1]!f_pq_pctchange(VLOOKUP(C140,worldfield,2,FALSE),指数分析!$D$5,指数分析!$D$6)/100)</f>
        <v/>
      </c>
      <c r="F140" s="5" t="str">
        <f t="shared" si="15"/>
        <v/>
      </c>
      <c r="G140" s="5" t="str">
        <f t="shared" si="16"/>
        <v/>
      </c>
      <c r="H140" s="5" t="str">
        <f t="shared" si="17"/>
        <v/>
      </c>
      <c r="I140" s="12" t="str">
        <f>IF(H140="","",[1]!s_risk_stdevy(LEFT(H140,FIND(".",H140)+2),指数分析!$D$5,指数分析!$D$6,2,1))</f>
        <v/>
      </c>
      <c r="J140" s="4"/>
      <c r="K140" s="6"/>
      <c r="L140" s="5"/>
      <c r="M140" s="5"/>
      <c r="N140" s="5"/>
      <c r="P140" s="2"/>
      <c r="Q140" s="2"/>
      <c r="R140" s="3"/>
      <c r="S140" s="17"/>
      <c r="T140" s="5"/>
      <c r="U140" s="5"/>
      <c r="V140" s="5"/>
      <c r="W140" s="5"/>
      <c r="X140" s="5"/>
    </row>
    <row r="141" spans="2:24" ht="12.75" x14ac:dyDescent="0.15">
      <c r="B141" s="2" t="str">
        <f>IF(E141="","",IF(COUNTIF(E$6:E141,E141)=1,RANK(E141,E:E,0),RANK(E141,E:E,0)+COUNTIF(E$6:E141,E141)-1))</f>
        <v/>
      </c>
      <c r="C141" s="2" t="str">
        <f t="shared" si="13"/>
        <v/>
      </c>
      <c r="D141" s="3" t="str">
        <f t="shared" si="14"/>
        <v/>
      </c>
      <c r="E141" s="5" t="str">
        <f>IF(C141="","",[1]!f_pq_pctchange(VLOOKUP(C141,worldfield,2,FALSE),指数分析!$D$5,指数分析!$D$6)/100)</f>
        <v/>
      </c>
      <c r="F141" s="5" t="str">
        <f t="shared" si="15"/>
        <v/>
      </c>
      <c r="G141" s="5" t="str">
        <f t="shared" si="16"/>
        <v/>
      </c>
      <c r="H141" s="5" t="str">
        <f t="shared" si="17"/>
        <v/>
      </c>
      <c r="I141" s="12" t="str">
        <f>IF(H141="","",[1]!s_risk_stdevy(LEFT(H141,FIND(".",H141)+2),指数分析!$D$5,指数分析!$D$6,2,1))</f>
        <v/>
      </c>
      <c r="J141" s="4"/>
      <c r="K141" s="6"/>
      <c r="L141" s="5"/>
      <c r="M141" s="5"/>
      <c r="N141" s="5"/>
      <c r="P141" s="2"/>
      <c r="Q141" s="2"/>
      <c r="R141" s="3"/>
      <c r="S141" s="17"/>
      <c r="T141" s="5"/>
      <c r="U141" s="5"/>
      <c r="V141" s="5"/>
      <c r="W141" s="5"/>
      <c r="X141" s="5"/>
    </row>
    <row r="142" spans="2:24" ht="12.75" x14ac:dyDescent="0.15">
      <c r="B142" s="2" t="str">
        <f>IF(E142="","",IF(COUNTIF(E$6:E142,E142)=1,RANK(E142,E:E,0),RANK(E142,E:E,0)+COUNTIF(E$6:E142,E142)-1))</f>
        <v/>
      </c>
      <c r="C142" s="2" t="str">
        <f t="shared" si="13"/>
        <v/>
      </c>
      <c r="D142" s="3" t="str">
        <f t="shared" si="14"/>
        <v/>
      </c>
      <c r="E142" s="5" t="str">
        <f>IF(C142="","",[1]!f_pq_pctchange(VLOOKUP(C142,worldfield,2,FALSE),指数分析!$D$5,指数分析!$D$6)/100)</f>
        <v/>
      </c>
      <c r="F142" s="5" t="str">
        <f t="shared" si="15"/>
        <v/>
      </c>
      <c r="G142" s="5" t="str">
        <f t="shared" si="16"/>
        <v/>
      </c>
      <c r="H142" s="5" t="str">
        <f t="shared" si="17"/>
        <v/>
      </c>
      <c r="I142" s="12" t="str">
        <f>IF(H142="","",[1]!s_risk_stdevy(LEFT(H142,FIND(".",H142)+2),指数分析!$D$5,指数分析!$D$6,2,1))</f>
        <v/>
      </c>
      <c r="J142" s="4"/>
      <c r="K142" s="6"/>
      <c r="L142" s="5"/>
      <c r="M142" s="5"/>
      <c r="N142" s="5"/>
      <c r="P142" s="2"/>
      <c r="Q142" s="2"/>
      <c r="R142" s="3"/>
      <c r="S142" s="17"/>
      <c r="T142" s="5"/>
      <c r="U142" s="5"/>
      <c r="V142" s="5"/>
      <c r="W142" s="5"/>
      <c r="X142" s="5"/>
    </row>
    <row r="143" spans="2:24" ht="12.75" x14ac:dyDescent="0.15">
      <c r="B143" s="2" t="str">
        <f>IF(E143="","",IF(COUNTIF(E$6:E143,E143)=1,RANK(E143,E:E,0),RANK(E143,E:E,0)+COUNTIF(E$6:E143,E143)-1))</f>
        <v/>
      </c>
      <c r="C143" s="2" t="str">
        <f t="shared" si="13"/>
        <v/>
      </c>
      <c r="D143" s="3" t="str">
        <f t="shared" si="14"/>
        <v/>
      </c>
      <c r="E143" s="5" t="str">
        <f>IF(C143="","",[1]!f_pq_pctchange(VLOOKUP(C143,worldfield,2,FALSE),指数分析!$D$5,指数分析!$D$6)/100)</f>
        <v/>
      </c>
      <c r="F143" s="5" t="str">
        <f t="shared" si="15"/>
        <v/>
      </c>
      <c r="G143" s="5" t="str">
        <f t="shared" si="16"/>
        <v/>
      </c>
      <c r="H143" s="5" t="str">
        <f t="shared" si="17"/>
        <v/>
      </c>
      <c r="I143" s="12" t="str">
        <f>IF(H143="","",[1]!s_risk_stdevy(LEFT(H143,FIND(".",H143)+2),指数分析!$D$5,指数分析!$D$6,2,1))</f>
        <v/>
      </c>
      <c r="J143" s="4"/>
      <c r="K143" s="6"/>
      <c r="L143" s="5"/>
      <c r="M143" s="5"/>
      <c r="N143" s="5"/>
      <c r="P143" s="2"/>
      <c r="Q143" s="2"/>
      <c r="R143" s="3"/>
      <c r="S143" s="17"/>
      <c r="T143" s="5"/>
      <c r="U143" s="5"/>
      <c r="V143" s="5"/>
      <c r="W143" s="5"/>
      <c r="X143" s="5"/>
    </row>
    <row r="144" spans="2:24" ht="12.75" x14ac:dyDescent="0.15">
      <c r="B144" s="2" t="str">
        <f>IF(E144="","",IF(COUNTIF(E$6:E144,E144)=1,RANK(E144,E:E,0),RANK(E144,E:E,0)+COUNTIF(E$6:E144,E144)-1))</f>
        <v/>
      </c>
      <c r="C144" s="2" t="str">
        <f t="shared" si="13"/>
        <v/>
      </c>
      <c r="D144" s="3" t="str">
        <f t="shared" si="14"/>
        <v/>
      </c>
      <c r="E144" s="5" t="str">
        <f>IF(C144="","",[1]!f_pq_pctchange(VLOOKUP(C144,worldfield,2,FALSE),指数分析!$D$5,指数分析!$D$6)/100)</f>
        <v/>
      </c>
      <c r="F144" s="5" t="str">
        <f t="shared" si="15"/>
        <v/>
      </c>
      <c r="G144" s="5" t="str">
        <f t="shared" si="16"/>
        <v/>
      </c>
      <c r="H144" s="5" t="str">
        <f t="shared" si="17"/>
        <v/>
      </c>
      <c r="I144" s="12" t="str">
        <f>IF(H144="","",[1]!s_risk_stdevy(LEFT(H144,FIND(".",H144)+2),指数分析!$D$5,指数分析!$D$6,2,1))</f>
        <v/>
      </c>
    </row>
    <row r="145" spans="2:9" ht="12.75" x14ac:dyDescent="0.15">
      <c r="B145" s="2" t="str">
        <f>IF(E145="","",IF(COUNTIF(E$6:E145,E145)=1,RANK(E145,E:E,0),RANK(E145,E:E,0)+COUNTIF(E$6:E145,E145)-1))</f>
        <v/>
      </c>
      <c r="C145" s="2" t="str">
        <f t="shared" si="13"/>
        <v/>
      </c>
      <c r="D145" s="3" t="str">
        <f t="shared" si="14"/>
        <v/>
      </c>
      <c r="E145" s="5" t="str">
        <f>IF(C145="","",[1]!f_pq_pctchange(VLOOKUP(C145,worldfield,2,FALSE),指数分析!$D$5,指数分析!$D$6)/100)</f>
        <v/>
      </c>
      <c r="F145" s="5" t="str">
        <f t="shared" si="15"/>
        <v/>
      </c>
      <c r="G145" s="5" t="str">
        <f t="shared" si="16"/>
        <v/>
      </c>
      <c r="H145" s="5" t="str">
        <f t="shared" si="17"/>
        <v/>
      </c>
      <c r="I145" s="12" t="str">
        <f>IF(H145="","",[1]!s_risk_stdevy(LEFT(H145,FIND(".",H145)+2),指数分析!$D$5,指数分析!$D$6,2,1))</f>
        <v/>
      </c>
    </row>
    <row r="146" spans="2:9" ht="12.75" x14ac:dyDescent="0.15">
      <c r="B146" s="2" t="str">
        <f>IF(E146="","",IF(COUNTIF(E$6:E146,E146)=1,RANK(E146,E:E,0),RANK(E146,E:E,0)+COUNTIF(E$6:E146,E146)-1))</f>
        <v/>
      </c>
      <c r="C146" s="2" t="str">
        <f t="shared" si="13"/>
        <v/>
      </c>
      <c r="D146" s="3" t="str">
        <f t="shared" si="14"/>
        <v/>
      </c>
      <c r="E146" s="5" t="str">
        <f>IF(C146="","",[1]!f_pq_pctchange(VLOOKUP(C146,worldfield,2,FALSE),指数分析!$D$5,指数分析!$D$6)/100)</f>
        <v/>
      </c>
      <c r="F146" s="5" t="str">
        <f t="shared" si="15"/>
        <v/>
      </c>
      <c r="G146" s="5" t="str">
        <f t="shared" si="16"/>
        <v/>
      </c>
      <c r="H146" s="5" t="str">
        <f t="shared" si="17"/>
        <v/>
      </c>
      <c r="I146" s="12" t="str">
        <f>IF(H146="","",[1]!s_risk_stdevy(LEFT(H146,FIND(".",H146)+2),指数分析!$D$5,指数分析!$D$6,2,1))</f>
        <v/>
      </c>
    </row>
    <row r="147" spans="2:9" ht="12.75" x14ac:dyDescent="0.15">
      <c r="B147" s="2" t="str">
        <f>IF(E147="","",IF(COUNTIF(E$6:E147,E147)=1,RANK(E147,E:E,0),RANK(E147,E:E,0)+COUNTIF(E$6:E147,E147)-1))</f>
        <v/>
      </c>
      <c r="C147" s="2" t="str">
        <f t="shared" si="13"/>
        <v/>
      </c>
      <c r="D147" s="3" t="str">
        <f t="shared" si="14"/>
        <v/>
      </c>
      <c r="E147" s="5" t="str">
        <f>IF(C147="","",[1]!f_pq_pctchange(VLOOKUP(C147,worldfield,2,FALSE),指数分析!$D$5,指数分析!$D$6)/100)</f>
        <v/>
      </c>
      <c r="F147" s="5" t="str">
        <f t="shared" si="15"/>
        <v/>
      </c>
      <c r="G147" s="5" t="str">
        <f t="shared" si="16"/>
        <v/>
      </c>
      <c r="H147" s="5" t="str">
        <f t="shared" si="17"/>
        <v/>
      </c>
      <c r="I147" s="12" t="str">
        <f>IF(H147="","",[1]!s_risk_stdevy(LEFT(H147,FIND(".",H147)+2),指数分析!$D$5,指数分析!$D$6,2,1))</f>
        <v/>
      </c>
    </row>
    <row r="148" spans="2:9" ht="12.75" x14ac:dyDescent="0.15">
      <c r="B148" s="2" t="str">
        <f>IF(E148="","",IF(COUNTIF(E$6:E148,E148)=1,RANK(E148,E:E,0),RANK(E148,E:E,0)+COUNTIF(E$6:E148,E148)-1))</f>
        <v/>
      </c>
      <c r="C148" s="2" t="str">
        <f t="shared" si="13"/>
        <v/>
      </c>
      <c r="D148" s="3" t="str">
        <f t="shared" si="14"/>
        <v/>
      </c>
      <c r="E148" s="5" t="str">
        <f>IF(C148="","",[1]!f_pq_pctchange(VLOOKUP(C148,worldfield,2,FALSE),指数分析!$D$5,指数分析!$D$6)/100)</f>
        <v/>
      </c>
      <c r="F148" s="5" t="str">
        <f t="shared" si="15"/>
        <v/>
      </c>
      <c r="G148" s="5" t="str">
        <f t="shared" si="16"/>
        <v/>
      </c>
      <c r="H148" s="5" t="str">
        <f t="shared" si="17"/>
        <v/>
      </c>
      <c r="I148" s="12" t="str">
        <f>IF(H148="","",[1]!s_risk_stdevy(LEFT(H148,FIND(".",H148)+2),指数分析!$D$5,指数分析!$D$6,2,1))</f>
        <v/>
      </c>
    </row>
    <row r="149" spans="2:9" ht="12.75" x14ac:dyDescent="0.15">
      <c r="B149" s="2" t="str">
        <f>IF(E149="","",IF(COUNTIF(E$6:E149,E149)=1,RANK(E149,E:E,0),RANK(E149,E:E,0)+COUNTIF(E$6:E149,E149)-1))</f>
        <v/>
      </c>
      <c r="C149" s="2" t="str">
        <f t="shared" si="13"/>
        <v/>
      </c>
      <c r="D149" s="3" t="str">
        <f t="shared" si="14"/>
        <v/>
      </c>
      <c r="E149" s="5" t="str">
        <f>IF(C149="","",[1]!f_pq_pctchange(VLOOKUP(C149,worldfield,2,FALSE),指数分析!$D$5,指数分析!$D$6)/100)</f>
        <v/>
      </c>
      <c r="F149" s="5" t="str">
        <f t="shared" si="15"/>
        <v/>
      </c>
      <c r="G149" s="5" t="str">
        <f t="shared" si="16"/>
        <v/>
      </c>
      <c r="H149" s="5" t="str">
        <f t="shared" si="17"/>
        <v/>
      </c>
      <c r="I149" s="12" t="str">
        <f>IF(H149="","",[1]!s_risk_stdevy(LEFT(H149,FIND(".",H149)+2),指数分析!$D$5,指数分析!$D$6,2,1))</f>
        <v/>
      </c>
    </row>
    <row r="150" spans="2:9" ht="12.75" x14ac:dyDescent="0.15">
      <c r="B150" s="2" t="str">
        <f>IF(E150="","",IF(COUNTIF(E$6:E150,E150)=1,RANK(E150,E:E,0),RANK(E150,E:E,0)+COUNTIF(E$6:E150,E150)-1))</f>
        <v/>
      </c>
      <c r="C150" s="2" t="str">
        <f t="shared" si="13"/>
        <v/>
      </c>
      <c r="D150" s="3" t="str">
        <f t="shared" si="14"/>
        <v/>
      </c>
      <c r="E150" s="5" t="str">
        <f>IF(C150="","",[1]!f_pq_pctchange(VLOOKUP(C150,worldfield,2,FALSE),指数分析!$D$5,指数分析!$D$6)/100)</f>
        <v/>
      </c>
      <c r="F150" s="5" t="str">
        <f t="shared" si="15"/>
        <v/>
      </c>
      <c r="G150" s="5" t="str">
        <f t="shared" si="16"/>
        <v/>
      </c>
      <c r="H150" s="5" t="str">
        <f t="shared" si="17"/>
        <v/>
      </c>
      <c r="I150" s="12" t="str">
        <f>IF(H150="","",[1]!s_risk_stdevy(LEFT(H150,FIND(".",H150)+2),指数分析!$D$5,指数分析!$D$6,2,1))</f>
        <v/>
      </c>
    </row>
    <row r="151" spans="2:9" ht="12.75" x14ac:dyDescent="0.15">
      <c r="B151" s="2" t="str">
        <f>IF(E151="","",IF(COUNTIF(E$6:E151,E151)=1,RANK(E151,E:E,0),RANK(E151,E:E,0)+COUNTIF(E$6:E151,E151)-1))</f>
        <v/>
      </c>
      <c r="C151" s="2" t="str">
        <f t="shared" si="13"/>
        <v/>
      </c>
      <c r="D151" s="3" t="str">
        <f t="shared" si="14"/>
        <v/>
      </c>
      <c r="E151" s="5" t="str">
        <f>IF(C151="","",[1]!f_pq_pctchange(VLOOKUP(C151,worldfield,2,FALSE),指数分析!$D$5,指数分析!$D$6)/100)</f>
        <v/>
      </c>
      <c r="F151" s="5" t="str">
        <f t="shared" si="15"/>
        <v/>
      </c>
      <c r="G151" s="5" t="str">
        <f t="shared" si="16"/>
        <v/>
      </c>
      <c r="H151" s="5" t="str">
        <f t="shared" si="17"/>
        <v/>
      </c>
      <c r="I151" s="12" t="str">
        <f>IF(H151="","",[1]!s_risk_stdevy(LEFT(H151,FIND(".",H151)+2),指数分析!$D$5,指数分析!$D$6,2,1))</f>
        <v/>
      </c>
    </row>
    <row r="152" spans="2:9" ht="12.75" x14ac:dyDescent="0.15">
      <c r="B152" s="2" t="str">
        <f>IF(E152="","",IF(COUNTIF(E$6:E152,E152)=1,RANK(E152,E:E,0),RANK(E152,E:E,0)+COUNTIF(E$6:E152,E152)-1))</f>
        <v/>
      </c>
      <c r="C152" s="2" t="str">
        <f t="shared" si="13"/>
        <v/>
      </c>
      <c r="D152" s="3" t="str">
        <f t="shared" si="14"/>
        <v/>
      </c>
      <c r="E152" s="5" t="str">
        <f>IF(C152="","",[1]!f_pq_pctchange(VLOOKUP(C152,worldfield,2,FALSE),指数分析!$D$5,指数分析!$D$6)/100)</f>
        <v/>
      </c>
      <c r="F152" s="5" t="str">
        <f t="shared" si="15"/>
        <v/>
      </c>
      <c r="G152" s="5" t="str">
        <f t="shared" si="16"/>
        <v/>
      </c>
      <c r="H152" s="5" t="str">
        <f t="shared" si="17"/>
        <v/>
      </c>
      <c r="I152" s="12" t="str">
        <f>IF(H152="","",[1]!s_risk_stdevy(LEFT(H152,FIND(".",H152)+2),指数分析!$D$5,指数分析!$D$6,2,1))</f>
        <v/>
      </c>
    </row>
    <row r="153" spans="2:9" ht="12.75" x14ac:dyDescent="0.15">
      <c r="B153" s="2" t="str">
        <f>IF(E153="","",IF(COUNTIF(E$6:E153,E153)=1,RANK(E153,E:E,0),RANK(E153,E:E,0)+COUNTIF(E$6:E153,E153)-1))</f>
        <v/>
      </c>
      <c r="C153" s="2" t="str">
        <f t="shared" si="13"/>
        <v/>
      </c>
      <c r="D153" s="3" t="str">
        <f t="shared" si="14"/>
        <v/>
      </c>
      <c r="E153" s="5" t="str">
        <f>IF(C153="","",[1]!f_pq_pctchange(VLOOKUP(C153,worldfield,2,FALSE),指数分析!$D$5,指数分析!$D$6)/100)</f>
        <v/>
      </c>
      <c r="F153" s="5" t="str">
        <f t="shared" si="15"/>
        <v/>
      </c>
      <c r="G153" s="5" t="str">
        <f t="shared" si="16"/>
        <v/>
      </c>
      <c r="H153" s="5" t="str">
        <f t="shared" si="17"/>
        <v/>
      </c>
      <c r="I153" s="12" t="str">
        <f>IF(H153="","",[1]!s_risk_stdevy(LEFT(H153,FIND(".",H153)+2),指数分析!$D$5,指数分析!$D$6,2,1))</f>
        <v/>
      </c>
    </row>
    <row r="154" spans="2:9" ht="12.75" x14ac:dyDescent="0.15">
      <c r="B154" s="2" t="str">
        <f>IF(E154="","",IF(COUNTIF(E$6:E154,E154)=1,RANK(E154,E:E,0),RANK(E154,E:E,0)+COUNTIF(E$6:E154,E154)-1))</f>
        <v/>
      </c>
      <c r="C154" s="2" t="str">
        <f t="shared" si="13"/>
        <v/>
      </c>
      <c r="D154" s="3" t="str">
        <f t="shared" si="14"/>
        <v/>
      </c>
      <c r="E154" s="5" t="str">
        <f>IF(C154="","",[1]!f_pq_pctchange(VLOOKUP(C154,worldfield,2,FALSE),指数分析!$D$5,指数分析!$D$6)/100)</f>
        <v/>
      </c>
      <c r="F154" s="5" t="str">
        <f t="shared" si="15"/>
        <v/>
      </c>
      <c r="G154" s="5" t="str">
        <f t="shared" si="16"/>
        <v/>
      </c>
      <c r="H154" s="5" t="str">
        <f t="shared" si="17"/>
        <v/>
      </c>
      <c r="I154" s="12" t="str">
        <f>IF(H154="","",[1]!s_risk_stdevy(LEFT(H154,FIND(".",H154)+2),指数分析!$D$5,指数分析!$D$6,2,1))</f>
        <v/>
      </c>
    </row>
    <row r="155" spans="2:9" ht="12.75" x14ac:dyDescent="0.15">
      <c r="B155" s="2" t="str">
        <f>IF(E155="","",IF(COUNTIF(E$6:E155,E155)=1,RANK(E155,E:E,0),RANK(E155,E:E,0)+COUNTIF(E$6:E155,E155)-1))</f>
        <v/>
      </c>
      <c r="C155" s="2" t="str">
        <f t="shared" si="13"/>
        <v/>
      </c>
      <c r="D155" s="3" t="str">
        <f t="shared" si="14"/>
        <v/>
      </c>
      <c r="E155" s="5" t="str">
        <f>IF(C155="","",[1]!f_pq_pctchange(VLOOKUP(C155,worldfield,2,FALSE),指数分析!$D$5,指数分析!$D$6)/100)</f>
        <v/>
      </c>
      <c r="F155" s="5" t="str">
        <f t="shared" si="15"/>
        <v/>
      </c>
      <c r="G155" s="5" t="str">
        <f t="shared" si="16"/>
        <v/>
      </c>
      <c r="H155" s="5" t="str">
        <f t="shared" si="17"/>
        <v/>
      </c>
      <c r="I155" s="12" t="str">
        <f>IF(H155="","",[1]!s_risk_stdevy(LEFT(H155,FIND(".",H155)+2),指数分析!$D$5,指数分析!$D$6,2,1))</f>
        <v/>
      </c>
    </row>
    <row r="156" spans="2:9" ht="12.75" x14ac:dyDescent="0.15">
      <c r="B156" s="2" t="str">
        <f>IF(E156="","",IF(COUNTIF(E$6:E156,E156)=1,RANK(E156,E:E,0),RANK(E156,E:E,0)+COUNTIF(E$6:E156,E156)-1))</f>
        <v/>
      </c>
      <c r="C156" s="2" t="str">
        <f t="shared" si="13"/>
        <v/>
      </c>
      <c r="D156" s="3" t="str">
        <f t="shared" si="14"/>
        <v/>
      </c>
      <c r="E156" s="5" t="str">
        <f>IF(C156="","",[1]!f_pq_pctchange(VLOOKUP(C156,worldfield,2,FALSE),指数分析!$D$5,指数分析!$D$6)/100)</f>
        <v/>
      </c>
      <c r="F156" s="5" t="str">
        <f t="shared" si="15"/>
        <v/>
      </c>
      <c r="G156" s="5" t="str">
        <f t="shared" si="16"/>
        <v/>
      </c>
      <c r="H156" s="5" t="str">
        <f t="shared" si="17"/>
        <v/>
      </c>
      <c r="I156" s="12" t="str">
        <f>IF(H156="","",[1]!s_risk_stdevy(LEFT(H156,FIND(".",H156)+2),指数分析!$D$5,指数分析!$D$6,2,1))</f>
        <v/>
      </c>
    </row>
    <row r="157" spans="2:9" ht="12.75" x14ac:dyDescent="0.15">
      <c r="B157" s="2" t="str">
        <f>IF(E157="","",IF(COUNTIF(E$6:E157,E157)=1,RANK(E157,E:E,0),RANK(E157,E:E,0)+COUNTIF(E$6:E157,E157)-1))</f>
        <v/>
      </c>
      <c r="C157" s="2" t="str">
        <f t="shared" si="13"/>
        <v/>
      </c>
      <c r="D157" s="3" t="str">
        <f t="shared" si="14"/>
        <v/>
      </c>
      <c r="E157" s="5" t="str">
        <f>IF(C157="","",[1]!f_pq_pctchange(VLOOKUP(C157,worldfield,2,FALSE),指数分析!$D$5,指数分析!$D$6)/100)</f>
        <v/>
      </c>
      <c r="F157" s="5" t="str">
        <f t="shared" si="15"/>
        <v/>
      </c>
      <c r="G157" s="5" t="str">
        <f t="shared" si="16"/>
        <v/>
      </c>
      <c r="H157" s="5" t="str">
        <f t="shared" si="17"/>
        <v/>
      </c>
      <c r="I157" s="12" t="str">
        <f>IF(H157="","",[1]!s_risk_stdevy(LEFT(H157,FIND(".",H157)+2),指数分析!$D$5,指数分析!$D$6,2,1))</f>
        <v/>
      </c>
    </row>
    <row r="158" spans="2:9" ht="12.75" x14ac:dyDescent="0.15">
      <c r="B158" s="2" t="str">
        <f>IF(E158="","",IF(COUNTIF(E$6:E158,E158)=1,RANK(E158,E:E,0),RANK(E158,E:E,0)+COUNTIF(E$6:E158,E158)-1))</f>
        <v/>
      </c>
      <c r="C158" s="2" t="str">
        <f t="shared" si="13"/>
        <v/>
      </c>
      <c r="D158" s="3" t="str">
        <f t="shared" si="14"/>
        <v/>
      </c>
      <c r="E158" s="5" t="str">
        <f>IF(C158="","",[1]!f_pq_pctchange(VLOOKUP(C158,worldfield,2,FALSE),指数分析!$D$5,指数分析!$D$6)/100)</f>
        <v/>
      </c>
      <c r="F158" s="5" t="str">
        <f t="shared" si="15"/>
        <v/>
      </c>
      <c r="G158" s="5" t="str">
        <f t="shared" si="16"/>
        <v/>
      </c>
      <c r="H158" s="5" t="str">
        <f t="shared" si="17"/>
        <v/>
      </c>
      <c r="I158" s="12" t="str">
        <f>IF(H158="","",[1]!s_risk_stdevy(LEFT(H158,FIND(".",H158)+2),指数分析!$D$5,指数分析!$D$6,2,1))</f>
        <v/>
      </c>
    </row>
    <row r="159" spans="2:9" ht="12.75" x14ac:dyDescent="0.15">
      <c r="B159" s="2" t="str">
        <f>IF(E159="","",IF(COUNTIF(E$6:E159,E159)=1,RANK(E159,E:E,0),RANK(E159,E:E,0)+COUNTIF(E$6:E159,E159)-1))</f>
        <v/>
      </c>
      <c r="C159" s="2" t="str">
        <f t="shared" si="13"/>
        <v/>
      </c>
      <c r="D159" s="3" t="str">
        <f t="shared" si="14"/>
        <v/>
      </c>
      <c r="E159" s="5" t="str">
        <f>IF(C159="","",[1]!f_pq_pctchange(VLOOKUP(C159,worldfield,2,FALSE),指数分析!$D$5,指数分析!$D$6)/100)</f>
        <v/>
      </c>
      <c r="F159" s="5" t="str">
        <f t="shared" si="15"/>
        <v/>
      </c>
      <c r="G159" s="5" t="str">
        <f t="shared" si="16"/>
        <v/>
      </c>
      <c r="H159" s="5" t="str">
        <f t="shared" si="17"/>
        <v/>
      </c>
      <c r="I159" s="12" t="str">
        <f>IF(H159="","",[1]!s_risk_stdevy(LEFT(H159,FIND(".",H159)+2),指数分析!$D$5,指数分析!$D$6,2,1))</f>
        <v/>
      </c>
    </row>
    <row r="160" spans="2:9" ht="12.75" x14ac:dyDescent="0.15">
      <c r="B160" s="2" t="str">
        <f>IF(E160="","",IF(COUNTIF(E$6:E160,E160)=1,RANK(E160,E:E,0),RANK(E160,E:E,0)+COUNTIF(E$6:E160,E160)-1))</f>
        <v/>
      </c>
      <c r="C160" s="2" t="str">
        <f t="shared" si="13"/>
        <v/>
      </c>
      <c r="D160" s="3" t="str">
        <f t="shared" si="14"/>
        <v/>
      </c>
      <c r="E160" s="5" t="str">
        <f>IF(C160="","",[1]!f_pq_pctchange(VLOOKUP(C160,worldfield,2,FALSE),指数分析!$D$5,指数分析!$D$6)/100)</f>
        <v/>
      </c>
      <c r="F160" s="5" t="str">
        <f t="shared" si="15"/>
        <v/>
      </c>
      <c r="G160" s="5" t="str">
        <f t="shared" si="16"/>
        <v/>
      </c>
      <c r="H160" s="5" t="str">
        <f t="shared" si="17"/>
        <v/>
      </c>
      <c r="I160" s="12" t="str">
        <f>IF(H160="","",[1]!s_risk_stdevy(LEFT(H160,FIND(".",H160)+2),指数分析!$D$5,指数分析!$D$6,2,1))</f>
        <v/>
      </c>
    </row>
    <row r="161" spans="2:9" ht="12.75" x14ac:dyDescent="0.15">
      <c r="B161" s="2" t="str">
        <f>IF(E161="","",IF(COUNTIF(E$6:E161,E161)=1,RANK(E161,E:E,0),RANK(E161,E:E,0)+COUNTIF(E$6:E161,E161)-1))</f>
        <v/>
      </c>
      <c r="C161" s="2" t="str">
        <f t="shared" si="13"/>
        <v/>
      </c>
      <c r="D161" s="3" t="str">
        <f t="shared" si="14"/>
        <v/>
      </c>
      <c r="E161" s="5" t="str">
        <f>IF(C161="","",[1]!f_pq_pctchange(VLOOKUP(C161,worldfield,2,FALSE),指数分析!$D$5,指数分析!$D$6)/100)</f>
        <v/>
      </c>
      <c r="F161" s="5" t="str">
        <f t="shared" si="15"/>
        <v/>
      </c>
      <c r="G161" s="5" t="str">
        <f t="shared" si="16"/>
        <v/>
      </c>
      <c r="H161" s="5" t="str">
        <f t="shared" si="17"/>
        <v/>
      </c>
      <c r="I161" s="12" t="str">
        <f>IF(H161="","",[1]!s_risk_stdevy(LEFT(H161,FIND(".",H161)+2),指数分析!$D$5,指数分析!$D$6,2,1))</f>
        <v/>
      </c>
    </row>
    <row r="162" spans="2:9" ht="12.75" x14ac:dyDescent="0.15">
      <c r="B162" s="2" t="str">
        <f>IF(E162="","",IF(COUNTIF(E$6:E162,E162)=1,RANK(E162,E:E,0),RANK(E162,E:E,0)+COUNTIF(E$6:E162,E162)-1))</f>
        <v/>
      </c>
      <c r="C162" s="2" t="str">
        <f t="shared" si="13"/>
        <v/>
      </c>
      <c r="D162" s="3" t="str">
        <f t="shared" si="14"/>
        <v/>
      </c>
      <c r="E162" s="5" t="str">
        <f>IF(C162="","",[1]!f_pq_pctchange(VLOOKUP(C162,worldfield,2,FALSE),指数分析!$D$5,指数分析!$D$6)/100)</f>
        <v/>
      </c>
      <c r="F162" s="5" t="str">
        <f t="shared" si="15"/>
        <v/>
      </c>
      <c r="G162" s="5" t="str">
        <f t="shared" si="16"/>
        <v/>
      </c>
      <c r="H162" s="5" t="str">
        <f t="shared" si="17"/>
        <v/>
      </c>
      <c r="I162" s="12" t="str">
        <f>IF(H162="","",[1]!s_risk_stdevy(LEFT(H162,FIND(".",H162)+2),指数分析!$D$5,指数分析!$D$6,2,1))</f>
        <v/>
      </c>
    </row>
    <row r="163" spans="2:9" ht="12.75" x14ac:dyDescent="0.15">
      <c r="B163" s="2" t="str">
        <f>IF(E163="","",IF(COUNTIF(E$6:E163,E163)=1,RANK(E163,E:E,0),RANK(E163,E:E,0)+COUNTIF(E$6:E163,E163)-1))</f>
        <v/>
      </c>
      <c r="C163" s="2" t="str">
        <f t="shared" si="13"/>
        <v/>
      </c>
      <c r="D163" s="3" t="str">
        <f t="shared" si="14"/>
        <v/>
      </c>
      <c r="E163" s="5" t="str">
        <f>IF(C163="","",[1]!f_pq_pctchange(VLOOKUP(C163,worldfield,2,FALSE),指数分析!$D$5,指数分析!$D$6)/100)</f>
        <v/>
      </c>
      <c r="F163" s="5" t="str">
        <f t="shared" si="15"/>
        <v/>
      </c>
      <c r="G163" s="5" t="str">
        <f t="shared" si="16"/>
        <v/>
      </c>
      <c r="H163" s="5" t="str">
        <f t="shared" si="17"/>
        <v/>
      </c>
      <c r="I163" s="12" t="str">
        <f>IF(H163="","",[1]!s_risk_stdevy(LEFT(H163,FIND(".",H163)+2),指数分析!$D$5,指数分析!$D$6,2,1))</f>
        <v/>
      </c>
    </row>
    <row r="164" spans="2:9" ht="12.75" x14ac:dyDescent="0.15">
      <c r="B164" s="2" t="str">
        <f>IF(E164="","",IF(COUNTIF(E$6:E164,E164)=1,RANK(E164,E:E,0),RANK(E164,E:E,0)+COUNTIF(E$6:E164,E164)-1))</f>
        <v/>
      </c>
      <c r="C164" s="2" t="str">
        <f t="shared" si="13"/>
        <v/>
      </c>
      <c r="D164" s="3" t="str">
        <f t="shared" si="14"/>
        <v/>
      </c>
      <c r="E164" s="5" t="str">
        <f>IF(C164="","",[1]!f_pq_pctchange(VLOOKUP(C164,worldfield,2,FALSE),指数分析!$D$5,指数分析!$D$6)/100)</f>
        <v/>
      </c>
      <c r="F164" s="5" t="str">
        <f t="shared" si="15"/>
        <v/>
      </c>
      <c r="G164" s="5" t="str">
        <f t="shared" si="16"/>
        <v/>
      </c>
      <c r="H164" s="5" t="str">
        <f t="shared" si="17"/>
        <v/>
      </c>
      <c r="I164" s="12" t="str">
        <f>IF(H164="","",[1]!s_risk_stdevy(LEFT(H164,FIND(".",H164)+2),指数分析!$D$5,指数分析!$D$6,2,1))</f>
        <v/>
      </c>
    </row>
    <row r="165" spans="2:9" ht="12.75" x14ac:dyDescent="0.15">
      <c r="B165" s="2" t="str">
        <f>IF(E165="","",IF(COUNTIF(E$6:E165,E165)=1,RANK(E165,E:E,0),RANK(E165,E:E,0)+COUNTIF(E$6:E165,E165)-1))</f>
        <v/>
      </c>
      <c r="C165" s="2" t="str">
        <f t="shared" si="13"/>
        <v/>
      </c>
      <c r="D165" s="3" t="str">
        <f t="shared" si="14"/>
        <v/>
      </c>
      <c r="E165" s="5" t="str">
        <f>IF(C165="","",[1]!f_pq_pctchange(VLOOKUP(C165,worldfield,2,FALSE),指数分析!$D$5,指数分析!$D$6)/100)</f>
        <v/>
      </c>
      <c r="F165" s="5" t="str">
        <f t="shared" si="15"/>
        <v/>
      </c>
      <c r="G165" s="5" t="str">
        <f t="shared" si="16"/>
        <v/>
      </c>
      <c r="H165" s="5" t="str">
        <f t="shared" si="17"/>
        <v/>
      </c>
      <c r="I165" s="12" t="str">
        <f>IF(H165="","",[1]!s_risk_stdevy(LEFT(H165,FIND(".",H165)+2),指数分析!$D$5,指数分析!$D$6,2,1))</f>
        <v/>
      </c>
    </row>
    <row r="166" spans="2:9" ht="12.75" x14ac:dyDescent="0.15">
      <c r="B166" s="2" t="str">
        <f>IF(E166="","",IF(COUNTIF(E$6:E166,E166)=1,RANK(E166,E:E,0),RANK(E166,E:E,0)+COUNTIF(E$6:E166,E166)-1))</f>
        <v/>
      </c>
      <c r="C166" s="2" t="str">
        <f t="shared" si="13"/>
        <v/>
      </c>
      <c r="D166" s="3" t="str">
        <f t="shared" si="14"/>
        <v/>
      </c>
      <c r="E166" s="5" t="str">
        <f>IF(C166="","",[1]!f_pq_pctchange(VLOOKUP(C166,worldfield,2,FALSE),指数分析!$D$5,指数分析!$D$6)/100)</f>
        <v/>
      </c>
      <c r="F166" s="5" t="str">
        <f t="shared" si="15"/>
        <v/>
      </c>
      <c r="G166" s="5" t="str">
        <f t="shared" si="16"/>
        <v/>
      </c>
      <c r="H166" s="5" t="str">
        <f t="shared" si="17"/>
        <v/>
      </c>
      <c r="I166" s="12" t="str">
        <f>IF(H166="","",[1]!s_risk_stdevy(LEFT(H166,FIND(".",H166)+2),指数分析!$D$5,指数分析!$D$6,2,1))</f>
        <v/>
      </c>
    </row>
    <row r="167" spans="2:9" ht="12.75" x14ac:dyDescent="0.15">
      <c r="B167" s="2" t="str">
        <f>IF(E167="","",IF(COUNTIF(E$6:E167,E167)=1,RANK(E167,E:E,0),RANK(E167,E:E,0)+COUNTIF(E$6:E167,E167)-1))</f>
        <v/>
      </c>
      <c r="C167" s="2" t="str">
        <f t="shared" si="13"/>
        <v/>
      </c>
      <c r="D167" s="3" t="str">
        <f t="shared" si="14"/>
        <v/>
      </c>
      <c r="E167" s="5" t="str">
        <f>IF(C167="","",[1]!f_pq_pctchange(VLOOKUP(C167,worldfield,2,FALSE),指数分析!$D$5,指数分析!$D$6)/100)</f>
        <v/>
      </c>
      <c r="F167" s="5" t="str">
        <f t="shared" si="15"/>
        <v/>
      </c>
      <c r="G167" s="5" t="str">
        <f t="shared" si="16"/>
        <v/>
      </c>
      <c r="H167" s="5" t="str">
        <f t="shared" si="17"/>
        <v/>
      </c>
      <c r="I167" s="12" t="str">
        <f>IF(H167="","",[1]!s_risk_stdevy(LEFT(H167,FIND(".",H167)+2),指数分析!$D$5,指数分析!$D$6,2,1))</f>
        <v/>
      </c>
    </row>
    <row r="168" spans="2:9" ht="12.75" x14ac:dyDescent="0.15">
      <c r="B168" s="2" t="str">
        <f>IF(E168="","",IF(COUNTIF(E$6:E168,E168)=1,RANK(E168,E:E,0),RANK(E168,E:E,0)+COUNTIF(E$6:E168,E168)-1))</f>
        <v/>
      </c>
      <c r="C168" s="2" t="str">
        <f t="shared" si="13"/>
        <v/>
      </c>
      <c r="D168" s="3" t="str">
        <f t="shared" si="14"/>
        <v/>
      </c>
      <c r="E168" s="5" t="str">
        <f>IF(C168="","",[1]!f_pq_pctchange(VLOOKUP(C168,worldfield,2,FALSE),指数分析!$D$5,指数分析!$D$6)/100)</f>
        <v/>
      </c>
      <c r="F168" s="5" t="str">
        <f t="shared" si="15"/>
        <v/>
      </c>
      <c r="G168" s="5" t="str">
        <f t="shared" si="16"/>
        <v/>
      </c>
      <c r="H168" s="5" t="str">
        <f t="shared" si="17"/>
        <v/>
      </c>
      <c r="I168" s="12" t="str">
        <f>IF(H168="","",[1]!s_risk_stdevy(LEFT(H168,FIND(".",H168)+2),指数分析!$D$5,指数分析!$D$6,2,1))</f>
        <v/>
      </c>
    </row>
    <row r="169" spans="2:9" ht="12.75" x14ac:dyDescent="0.15">
      <c r="B169" s="2" t="str">
        <f>IF(E169="","",IF(COUNTIF(E$6:E169,E169)=1,RANK(E169,E:E,0),RANK(E169,E:E,0)+COUNTIF(E$6:E169,E169)-1))</f>
        <v/>
      </c>
      <c r="C169" s="2" t="str">
        <f t="shared" si="13"/>
        <v/>
      </c>
      <c r="D169" s="3" t="str">
        <f t="shared" si="14"/>
        <v/>
      </c>
      <c r="E169" s="5" t="str">
        <f>IF(C169="","",[1]!f_pq_pctchange(VLOOKUP(C169,worldfield,2,FALSE),指数分析!$D$5,指数分析!$D$6)/100)</f>
        <v/>
      </c>
      <c r="F169" s="5" t="str">
        <f t="shared" si="15"/>
        <v/>
      </c>
      <c r="G169" s="5" t="str">
        <f t="shared" si="16"/>
        <v/>
      </c>
      <c r="H169" s="5" t="str">
        <f t="shared" si="17"/>
        <v/>
      </c>
      <c r="I169" s="12" t="str">
        <f>IF(H169="","",[1]!s_risk_stdevy(LEFT(H169,FIND(".",H169)+2),指数分析!$D$5,指数分析!$D$6,2,1))</f>
        <v/>
      </c>
    </row>
    <row r="170" spans="2:9" ht="12.75" x14ac:dyDescent="0.15">
      <c r="B170" s="2" t="str">
        <f>IF(E170="","",IF(COUNTIF(E$6:E170,E170)=1,RANK(E170,E:E,0),RANK(E170,E:E,0)+COUNTIF(E$6:E170,E170)-1))</f>
        <v/>
      </c>
      <c r="C170" s="2" t="str">
        <f t="shared" si="13"/>
        <v/>
      </c>
      <c r="D170" s="3" t="str">
        <f t="shared" si="14"/>
        <v/>
      </c>
      <c r="E170" s="5" t="str">
        <f>IF(C170="","",[1]!f_pq_pctchange(VLOOKUP(C170,worldfield,2,FALSE),指数分析!$D$5,指数分析!$D$6)/100)</f>
        <v/>
      </c>
      <c r="F170" s="5" t="str">
        <f t="shared" si="15"/>
        <v/>
      </c>
      <c r="G170" s="5" t="str">
        <f t="shared" si="16"/>
        <v/>
      </c>
      <c r="H170" s="5" t="str">
        <f t="shared" si="17"/>
        <v/>
      </c>
      <c r="I170" s="12" t="str">
        <f>IF(H170="","",[1]!s_risk_stdevy(LEFT(H170,FIND(".",H170)+2),指数分析!$D$5,指数分析!$D$6,2,1))</f>
        <v/>
      </c>
    </row>
    <row r="171" spans="2:9" ht="12.75" x14ac:dyDescent="0.15">
      <c r="B171" s="2" t="str">
        <f>IF(E171="","",IF(COUNTIF(E$6:E171,E171)=1,RANK(E171,E:E,0),RANK(E171,E:E,0)+COUNTIF(E$6:E171,E171)-1))</f>
        <v/>
      </c>
      <c r="C171" s="2" t="str">
        <f t="shared" si="13"/>
        <v/>
      </c>
      <c r="D171" s="3" t="str">
        <f t="shared" si="14"/>
        <v/>
      </c>
      <c r="E171" s="5" t="str">
        <f>IF(C171="","",[1]!f_pq_pctchange(VLOOKUP(C171,worldfield,2,FALSE),指数分析!$D$5,指数分析!$D$6)/100)</f>
        <v/>
      </c>
      <c r="F171" s="5" t="str">
        <f t="shared" si="15"/>
        <v/>
      </c>
      <c r="G171" s="5" t="str">
        <f t="shared" si="16"/>
        <v/>
      </c>
      <c r="H171" s="5" t="str">
        <f t="shared" si="17"/>
        <v/>
      </c>
      <c r="I171" s="12" t="str">
        <f>IF(H171="","",[1]!s_risk_stdevy(LEFT(H171,FIND(".",H171)+2),指数分析!$D$5,指数分析!$D$6,2,1))</f>
        <v/>
      </c>
    </row>
    <row r="172" spans="2:9" ht="12.75" x14ac:dyDescent="0.15">
      <c r="B172" s="2" t="str">
        <f>IF(E172="","",IF(COUNTIF(E$6:E172,E172)=1,RANK(E172,E:E,0),RANK(E172,E:E,0)+COUNTIF(E$6:E172,E172)-1))</f>
        <v/>
      </c>
      <c r="C172" s="2" t="str">
        <f t="shared" si="13"/>
        <v/>
      </c>
      <c r="D172" s="3" t="str">
        <f t="shared" si="14"/>
        <v/>
      </c>
      <c r="E172" s="5" t="str">
        <f>IF(C172="","",[1]!f_pq_pctchange(VLOOKUP(C172,worldfield,2,FALSE),指数分析!$D$5,指数分析!$D$6)/100)</f>
        <v/>
      </c>
      <c r="F172" s="5" t="str">
        <f t="shared" si="15"/>
        <v/>
      </c>
      <c r="G172" s="5" t="str">
        <f t="shared" si="16"/>
        <v/>
      </c>
      <c r="H172" s="5" t="str">
        <f t="shared" si="17"/>
        <v/>
      </c>
      <c r="I172" s="12" t="str">
        <f>IF(H172="","",[1]!s_risk_stdevy(LEFT(H172,FIND(".",H172)+2),指数分析!$D$5,指数分析!$D$6,2,1))</f>
        <v/>
      </c>
    </row>
    <row r="173" spans="2:9" ht="12.75" x14ac:dyDescent="0.15">
      <c r="B173" s="2" t="str">
        <f>IF(E173="","",IF(COUNTIF(E$6:E173,E173)=1,RANK(E173,E:E,0),RANK(E173,E:E,0)+COUNTIF(E$6:E173,E173)-1))</f>
        <v/>
      </c>
      <c r="C173" s="2" t="str">
        <f t="shared" si="13"/>
        <v/>
      </c>
      <c r="D173" s="3" t="str">
        <f t="shared" si="14"/>
        <v/>
      </c>
      <c r="E173" s="5" t="str">
        <f>IF(C173="","",[1]!f_pq_pctchange(VLOOKUP(C173,worldfield,2,FALSE),指数分析!$D$5,指数分析!$D$6)/100)</f>
        <v/>
      </c>
      <c r="F173" s="5" t="str">
        <f t="shared" si="15"/>
        <v/>
      </c>
      <c r="G173" s="5" t="str">
        <f t="shared" si="16"/>
        <v/>
      </c>
      <c r="H173" s="5" t="str">
        <f t="shared" si="17"/>
        <v/>
      </c>
      <c r="I173" s="12" t="str">
        <f>IF(H173="","",[1]!s_risk_stdevy(LEFT(H173,FIND(".",H173)+2),指数分析!$D$5,指数分析!$D$6,2,1))</f>
        <v/>
      </c>
    </row>
    <row r="174" spans="2:9" ht="12.75" x14ac:dyDescent="0.15">
      <c r="B174" s="2" t="str">
        <f>IF(E174="","",IF(COUNTIF(E$6:E174,E174)=1,RANK(E174,E:E,0),RANK(E174,E:E,0)+COUNTIF(E$6:E174,E174)-1))</f>
        <v/>
      </c>
      <c r="C174" s="2" t="str">
        <f t="shared" si="13"/>
        <v/>
      </c>
      <c r="D174" s="3" t="str">
        <f t="shared" si="14"/>
        <v/>
      </c>
      <c r="E174" s="5" t="str">
        <f>IF(C174="","",[1]!f_pq_pctchange(VLOOKUP(C174,worldfield,2,FALSE),指数分析!$D$5,指数分析!$D$6)/100)</f>
        <v/>
      </c>
      <c r="F174" s="5" t="str">
        <f t="shared" si="15"/>
        <v/>
      </c>
      <c r="G174" s="5" t="str">
        <f t="shared" si="16"/>
        <v/>
      </c>
      <c r="H174" s="5" t="str">
        <f t="shared" si="17"/>
        <v/>
      </c>
      <c r="I174" s="12" t="str">
        <f>IF(H174="","",[1]!s_risk_stdevy(LEFT(H174,FIND(".",H174)+2),指数分析!$D$5,指数分析!$D$6,2,1))</f>
        <v/>
      </c>
    </row>
    <row r="175" spans="2:9" ht="12.75" x14ac:dyDescent="0.15">
      <c r="B175" s="2" t="str">
        <f>IF(E175="","",IF(COUNTIF(E$6:E175,E175)=1,RANK(E175,E:E,0),RANK(E175,E:E,0)+COUNTIF(E$6:E175,E175)-1))</f>
        <v/>
      </c>
      <c r="C175" s="2" t="str">
        <f t="shared" si="13"/>
        <v/>
      </c>
      <c r="D175" s="3" t="str">
        <f t="shared" si="14"/>
        <v/>
      </c>
      <c r="E175" s="5" t="str">
        <f>IF(C175="","",[1]!f_pq_pctchange(VLOOKUP(C175,worldfield,2,FALSE),指数分析!$D$5,指数分析!$D$6)/100)</f>
        <v/>
      </c>
      <c r="F175" s="5" t="str">
        <f t="shared" si="15"/>
        <v/>
      </c>
      <c r="G175" s="5" t="str">
        <f t="shared" si="16"/>
        <v/>
      </c>
      <c r="H175" s="5" t="str">
        <f t="shared" si="17"/>
        <v/>
      </c>
      <c r="I175" s="12" t="str">
        <f>IF(H175="","",[1]!s_risk_stdevy(LEFT(H175,FIND(".",H175)+2),指数分析!$D$5,指数分析!$D$6,2,1))</f>
        <v/>
      </c>
    </row>
    <row r="176" spans="2:9" ht="12.75" x14ac:dyDescent="0.15">
      <c r="B176" s="2" t="str">
        <f>IF(E176="","",IF(COUNTIF(E$6:E176,E176)=1,RANK(E176,E:E,0),RANK(E176,E:E,0)+COUNTIF(E$6:E176,E176)-1))</f>
        <v/>
      </c>
      <c r="C176" s="2" t="str">
        <f t="shared" si="13"/>
        <v/>
      </c>
      <c r="D176" s="3" t="str">
        <f t="shared" si="14"/>
        <v/>
      </c>
      <c r="E176" s="5" t="str">
        <f>IF(C176="","",[1]!f_pq_pctchange(VLOOKUP(C176,worldfield,2,FALSE),指数分析!$D$5,指数分析!$D$6)/100)</f>
        <v/>
      </c>
      <c r="F176" s="5" t="str">
        <f t="shared" si="15"/>
        <v/>
      </c>
      <c r="G176" s="5" t="str">
        <f t="shared" si="16"/>
        <v/>
      </c>
      <c r="H176" s="5" t="str">
        <f t="shared" si="17"/>
        <v/>
      </c>
      <c r="I176" s="12" t="str">
        <f>IF(H176="","",[1]!s_risk_stdevy(LEFT(H176,FIND(".",H176)+2),指数分析!$D$5,指数分析!$D$6,2,1))</f>
        <v/>
      </c>
    </row>
    <row r="177" spans="2:9" ht="12.75" x14ac:dyDescent="0.15">
      <c r="B177" s="2" t="str">
        <f>IF(E177="","",IF(COUNTIF(E$6:E177,E177)=1,RANK(E177,E:E,0),RANK(E177,E:E,0)+COUNTIF(E$6:E177,E177)-1))</f>
        <v/>
      </c>
      <c r="C177" s="2" t="str">
        <f t="shared" si="13"/>
        <v/>
      </c>
      <c r="D177" s="3" t="str">
        <f t="shared" si="14"/>
        <v/>
      </c>
      <c r="E177" s="5" t="str">
        <f>IF(C177="","",[1]!f_pq_pctchange(VLOOKUP(C177,worldfield,2,FALSE),指数分析!$D$5,指数分析!$D$6)/100)</f>
        <v/>
      </c>
      <c r="F177" s="5" t="str">
        <f t="shared" si="15"/>
        <v/>
      </c>
      <c r="G177" s="5" t="str">
        <f t="shared" si="16"/>
        <v/>
      </c>
      <c r="H177" s="5" t="str">
        <f t="shared" si="17"/>
        <v/>
      </c>
      <c r="I177" s="12" t="str">
        <f>IF(H177="","",[1]!s_risk_stdevy(LEFT(H177,FIND(".",H177)+2),指数分析!$D$5,指数分析!$D$6,2,1))</f>
        <v/>
      </c>
    </row>
    <row r="178" spans="2:9" ht="12.75" x14ac:dyDescent="0.15">
      <c r="B178" s="2" t="str">
        <f>IF(E178="","",IF(COUNTIF(E$6:E178,E178)=1,RANK(E178,E:E,0),RANK(E178,E:E,0)+COUNTIF(E$6:E178,E178)-1))</f>
        <v/>
      </c>
      <c r="C178" s="2" t="str">
        <f t="shared" si="13"/>
        <v/>
      </c>
      <c r="D178" s="3" t="str">
        <f t="shared" si="14"/>
        <v/>
      </c>
      <c r="E178" s="5" t="str">
        <f>IF(C178="","",[1]!f_pq_pctchange(VLOOKUP(C178,worldfield,2,FALSE),指数分析!$D$5,指数分析!$D$6)/100)</f>
        <v/>
      </c>
      <c r="F178" s="5" t="str">
        <f t="shared" si="15"/>
        <v/>
      </c>
      <c r="G178" s="5" t="str">
        <f t="shared" si="16"/>
        <v/>
      </c>
      <c r="H178" s="5" t="str">
        <f t="shared" si="17"/>
        <v/>
      </c>
      <c r="I178" s="12" t="str">
        <f>IF(H178="","",[1]!s_risk_stdevy(LEFT(H178,FIND(".",H178)+2),指数分析!$D$5,指数分析!$D$6,2,1))</f>
        <v/>
      </c>
    </row>
    <row r="179" spans="2:9" ht="12.75" x14ac:dyDescent="0.15">
      <c r="B179" s="2" t="str">
        <f>IF(E179="","",IF(COUNTIF(E$6:E179,E179)=1,RANK(E179,E:E,0),RANK(E179,E:E,0)+COUNTIF(E$6:E179,E179)-1))</f>
        <v/>
      </c>
      <c r="C179" s="2" t="str">
        <f t="shared" si="13"/>
        <v/>
      </c>
      <c r="D179" s="3" t="str">
        <f t="shared" si="14"/>
        <v/>
      </c>
      <c r="E179" s="5" t="str">
        <f>IF(C179="","",[1]!f_pq_pctchange(VLOOKUP(C179,worldfield,2,FALSE),指数分析!$D$5,指数分析!$D$6)/100)</f>
        <v/>
      </c>
      <c r="F179" s="5" t="str">
        <f t="shared" si="15"/>
        <v/>
      </c>
      <c r="G179" s="5" t="str">
        <f t="shared" si="16"/>
        <v/>
      </c>
      <c r="H179" s="5" t="str">
        <f t="shared" si="17"/>
        <v/>
      </c>
      <c r="I179" s="12" t="str">
        <f>IF(H179="","",[1]!s_risk_stdevy(LEFT(H179,FIND(".",H179)+2),指数分析!$D$5,指数分析!$D$6,2,1))</f>
        <v/>
      </c>
    </row>
    <row r="180" spans="2:9" ht="12.75" x14ac:dyDescent="0.15">
      <c r="B180" s="2" t="str">
        <f>IF(E180="","",IF(COUNTIF(E$6:E180,E180)=1,RANK(E180,E:E,0),RANK(E180,E:E,0)+COUNTIF(E$6:E180,E180)-1))</f>
        <v/>
      </c>
      <c r="C180" s="2" t="str">
        <f t="shared" si="13"/>
        <v/>
      </c>
      <c r="D180" s="3" t="str">
        <f t="shared" si="14"/>
        <v/>
      </c>
      <c r="E180" s="5" t="str">
        <f>IF(C180="","",[1]!f_pq_pctchange(VLOOKUP(C180,worldfield,2,FALSE),指数分析!$D$5,指数分析!$D$6)/100)</f>
        <v/>
      </c>
      <c r="F180" s="5" t="str">
        <f t="shared" si="15"/>
        <v/>
      </c>
      <c r="G180" s="5" t="str">
        <f t="shared" si="16"/>
        <v/>
      </c>
      <c r="H180" s="5" t="str">
        <f t="shared" si="17"/>
        <v/>
      </c>
      <c r="I180" s="12" t="str">
        <f>IF(H180="","",[1]!s_risk_stdevy(LEFT(H180,FIND(".",H180)+2),指数分析!$D$5,指数分析!$D$6,2,1))</f>
        <v/>
      </c>
    </row>
    <row r="181" spans="2:9" ht="12.75" x14ac:dyDescent="0.15">
      <c r="B181" s="2" t="str">
        <f>IF(E181="","",IF(COUNTIF(E$6:E181,E181)=1,RANK(E181,E:E,0),RANK(E181,E:E,0)+COUNTIF(E$6:E181,E181)-1))</f>
        <v/>
      </c>
      <c r="C181" s="2" t="str">
        <f t="shared" si="13"/>
        <v/>
      </c>
      <c r="D181" s="3" t="str">
        <f t="shared" si="14"/>
        <v/>
      </c>
      <c r="E181" s="5" t="str">
        <f>IF(C181="","",[1]!f_pq_pctchange(VLOOKUP(C181,worldfield,2,FALSE),指数分析!$D$5,指数分析!$D$6)/100)</f>
        <v/>
      </c>
      <c r="F181" s="5" t="str">
        <f t="shared" si="15"/>
        <v/>
      </c>
      <c r="G181" s="5" t="str">
        <f t="shared" si="16"/>
        <v/>
      </c>
      <c r="H181" s="5" t="str">
        <f t="shared" si="17"/>
        <v/>
      </c>
      <c r="I181" s="12" t="str">
        <f>IF(H181="","",[1]!s_risk_stdevy(LEFT(H181,FIND(".",H181)+2),指数分析!$D$5,指数分析!$D$6,2,1))</f>
        <v/>
      </c>
    </row>
    <row r="182" spans="2:9" ht="12.75" x14ac:dyDescent="0.15">
      <c r="B182" s="2" t="str">
        <f>IF(E182="","",IF(COUNTIF(E$6:E182,E182)=1,RANK(E182,E:E,0),RANK(E182,E:E,0)+COUNTIF(E$6:E182,E182)-1))</f>
        <v/>
      </c>
      <c r="C182" s="2" t="str">
        <f t="shared" si="13"/>
        <v/>
      </c>
      <c r="D182" s="3" t="str">
        <f t="shared" si="14"/>
        <v/>
      </c>
      <c r="E182" s="5" t="str">
        <f>IF(C182="","",[1]!f_pq_pctchange(VLOOKUP(C182,worldfield,2,FALSE),指数分析!$D$5,指数分析!$D$6)/100)</f>
        <v/>
      </c>
      <c r="F182" s="5" t="str">
        <f t="shared" si="15"/>
        <v/>
      </c>
      <c r="G182" s="5" t="str">
        <f t="shared" si="16"/>
        <v/>
      </c>
      <c r="H182" s="5" t="str">
        <f t="shared" si="17"/>
        <v/>
      </c>
      <c r="I182" s="12" t="str">
        <f>IF(H182="","",[1]!s_risk_stdevy(LEFT(H182,FIND(".",H182)+2),指数分析!$D$5,指数分析!$D$6,2,1))</f>
        <v/>
      </c>
    </row>
    <row r="183" spans="2:9" ht="12.75" x14ac:dyDescent="0.15">
      <c r="B183" s="2" t="str">
        <f>IF(E183="","",IF(COUNTIF(E$6:E183,E183)=1,RANK(E183,E:E,0),RANK(E183,E:E,0)+COUNTIF(E$6:E183,E183)-1))</f>
        <v/>
      </c>
      <c r="C183" s="2" t="str">
        <f t="shared" si="13"/>
        <v/>
      </c>
      <c r="D183" s="3" t="str">
        <f t="shared" si="14"/>
        <v/>
      </c>
      <c r="E183" s="5" t="str">
        <f>IF(C183="","",[1]!f_pq_pctchange(VLOOKUP(C183,worldfield,2,FALSE),指数分析!$D$5,指数分析!$D$6)/100)</f>
        <v/>
      </c>
      <c r="F183" s="5" t="str">
        <f t="shared" si="15"/>
        <v/>
      </c>
      <c r="G183" s="5" t="str">
        <f t="shared" si="16"/>
        <v/>
      </c>
      <c r="H183" s="5" t="str">
        <f t="shared" si="17"/>
        <v/>
      </c>
      <c r="I183" s="12" t="str">
        <f>IF(H183="","",[1]!s_risk_stdevy(LEFT(H183,FIND(".",H183)+2),指数分析!$D$5,指数分析!$D$6,2,1))</f>
        <v/>
      </c>
    </row>
    <row r="184" spans="2:9" ht="12.75" x14ac:dyDescent="0.15">
      <c r="B184" s="2" t="str">
        <f>IF(E184="","",IF(COUNTIF(E$6:E184,E184)=1,RANK(E184,E:E,0),RANK(E184,E:E,0)+COUNTIF(E$6:E184,E184)-1))</f>
        <v/>
      </c>
      <c r="C184" s="2" t="str">
        <f t="shared" si="13"/>
        <v/>
      </c>
      <c r="D184" s="3" t="str">
        <f t="shared" si="14"/>
        <v/>
      </c>
      <c r="E184" s="5" t="str">
        <f>IF(C184="","",[1]!f_pq_pctchange(VLOOKUP(C184,worldfield,2,FALSE),指数分析!$D$5,指数分析!$D$6)/100)</f>
        <v/>
      </c>
      <c r="F184" s="5" t="str">
        <f t="shared" si="15"/>
        <v/>
      </c>
      <c r="G184" s="5" t="str">
        <f t="shared" si="16"/>
        <v/>
      </c>
      <c r="H184" s="5" t="str">
        <f t="shared" si="17"/>
        <v/>
      </c>
      <c r="I184" s="12" t="str">
        <f>IF(H184="","",[1]!s_risk_stdevy(LEFT(H184,FIND(".",H184)+2),指数分析!$D$5,指数分析!$D$6,2,1))</f>
        <v/>
      </c>
    </row>
    <row r="185" spans="2:9" ht="12.75" x14ac:dyDescent="0.15">
      <c r="B185" s="2" t="str">
        <f>IF(E185="","",IF(COUNTIF(E$6:E185,E185)=1,RANK(E185,E:E,0),RANK(E185,E:E,0)+COUNTIF(E$6:E185,E185)-1))</f>
        <v/>
      </c>
      <c r="C185" s="2" t="str">
        <f t="shared" si="13"/>
        <v/>
      </c>
      <c r="D185" s="3" t="str">
        <f t="shared" si="14"/>
        <v/>
      </c>
      <c r="E185" s="5" t="str">
        <f>IF(C185="","",[1]!f_pq_pctchange(VLOOKUP(C185,worldfield,2,FALSE),指数分析!$D$5,指数分析!$D$6)/100)</f>
        <v/>
      </c>
      <c r="F185" s="5" t="str">
        <f t="shared" si="15"/>
        <v/>
      </c>
      <c r="G185" s="5" t="str">
        <f t="shared" si="16"/>
        <v/>
      </c>
      <c r="H185" s="5" t="str">
        <f t="shared" si="17"/>
        <v/>
      </c>
      <c r="I185" s="12" t="str">
        <f>IF(H185="","",[1]!s_risk_stdevy(LEFT(H185,FIND(".",H185)+2),指数分析!$D$5,指数分析!$D$6,2,1))</f>
        <v/>
      </c>
    </row>
    <row r="186" spans="2:9" ht="12.75" x14ac:dyDescent="0.15">
      <c r="B186" s="2" t="str">
        <f>IF(E186="","",IF(COUNTIF(E$6:E186,E186)=1,RANK(E186,E:E,0),RANK(E186,E:E,0)+COUNTIF(E$6:E186,E186)-1))</f>
        <v/>
      </c>
      <c r="C186" s="2" t="str">
        <f t="shared" si="13"/>
        <v/>
      </c>
      <c r="D186" s="3" t="str">
        <f t="shared" si="14"/>
        <v/>
      </c>
      <c r="E186" s="5" t="str">
        <f>IF(C186="","",[1]!f_pq_pctchange(VLOOKUP(C186,worldfield,2,FALSE),指数分析!$D$5,指数分析!$D$6)/100)</f>
        <v/>
      </c>
      <c r="F186" s="5" t="str">
        <f t="shared" si="15"/>
        <v/>
      </c>
      <c r="G186" s="5" t="str">
        <f t="shared" si="16"/>
        <v/>
      </c>
      <c r="H186" s="5" t="str">
        <f t="shared" si="17"/>
        <v/>
      </c>
      <c r="I186" s="12" t="str">
        <f>IF(H186="","",[1]!s_risk_stdevy(LEFT(H186,FIND(".",H186)+2),指数分析!$D$5,指数分析!$D$6,2,1))</f>
        <v/>
      </c>
    </row>
    <row r="187" spans="2:9" ht="12.75" x14ac:dyDescent="0.15">
      <c r="B187" s="2" t="str">
        <f>IF(E187="","",IF(COUNTIF(E$6:E187,E187)=1,RANK(E187,E:E,0),RANK(E187,E:E,0)+COUNTIF(E$6:E187,E187)-1))</f>
        <v/>
      </c>
      <c r="C187" s="2" t="str">
        <f t="shared" si="13"/>
        <v/>
      </c>
      <c r="D187" s="3" t="str">
        <f t="shared" si="14"/>
        <v/>
      </c>
      <c r="E187" s="5" t="str">
        <f>IF(C187="","",[1]!f_pq_pctchange(VLOOKUP(C187,worldfield,2,FALSE),指数分析!$D$5,指数分析!$D$6)/100)</f>
        <v/>
      </c>
      <c r="F187" s="5" t="str">
        <f t="shared" si="15"/>
        <v/>
      </c>
      <c r="G187" s="5" t="str">
        <f t="shared" si="16"/>
        <v/>
      </c>
      <c r="H187" s="5" t="str">
        <f t="shared" si="17"/>
        <v/>
      </c>
      <c r="I187" s="12" t="str">
        <f>IF(H187="","",[1]!s_risk_stdevy(LEFT(H187,FIND(".",H187)+2),指数分析!$D$5,指数分析!$D$6,2,1))</f>
        <v/>
      </c>
    </row>
    <row r="188" spans="2:9" ht="12.75" x14ac:dyDescent="0.15">
      <c r="B188" s="2" t="str">
        <f>IF(E188="","",IF(COUNTIF(E$6:E188,E188)=1,RANK(E188,E:E,0),RANK(E188,E:E,0)+COUNTIF(E$6:E188,E188)-1))</f>
        <v/>
      </c>
      <c r="C188" s="2" t="str">
        <f t="shared" si="13"/>
        <v/>
      </c>
      <c r="D188" s="3" t="str">
        <f t="shared" si="14"/>
        <v/>
      </c>
      <c r="E188" s="5" t="str">
        <f>IF(C188="","",[1]!f_pq_pctchange(VLOOKUP(C188,worldfield,2,FALSE),指数分析!$D$5,指数分析!$D$6)/100)</f>
        <v/>
      </c>
      <c r="F188" s="5" t="str">
        <f t="shared" si="15"/>
        <v/>
      </c>
      <c r="G188" s="5" t="str">
        <f t="shared" si="16"/>
        <v/>
      </c>
      <c r="H188" s="5" t="str">
        <f t="shared" si="17"/>
        <v/>
      </c>
      <c r="I188" s="12" t="str">
        <f>IF(H188="","",[1]!s_risk_stdevy(LEFT(H188,FIND(".",H188)+2),指数分析!$D$5,指数分析!$D$6,2,1))</f>
        <v/>
      </c>
    </row>
    <row r="189" spans="2:9" ht="12.75" x14ac:dyDescent="0.15">
      <c r="B189" s="2" t="str">
        <f>IF(E189="","",IF(COUNTIF(E$6:E189,E189)=1,RANK(E189,E:E,0),RANK(E189,E:E,0)+COUNTIF(E$6:E189,E189)-1))</f>
        <v/>
      </c>
      <c r="C189" s="2" t="str">
        <f t="shared" si="13"/>
        <v/>
      </c>
      <c r="D189" s="3" t="str">
        <f t="shared" si="14"/>
        <v/>
      </c>
      <c r="E189" s="5" t="str">
        <f>IF(C189="","",[1]!f_pq_pctchange(VLOOKUP(C189,worldfield,2,FALSE),指数分析!$D$5,指数分析!$D$6)/100)</f>
        <v/>
      </c>
      <c r="F189" s="5" t="str">
        <f t="shared" si="15"/>
        <v/>
      </c>
      <c r="G189" s="5" t="str">
        <f t="shared" si="16"/>
        <v/>
      </c>
      <c r="H189" s="5" t="str">
        <f t="shared" si="17"/>
        <v/>
      </c>
      <c r="I189" s="12" t="str">
        <f>IF(H189="","",[1]!s_risk_stdevy(LEFT(H189,FIND(".",H189)+2),指数分析!$D$5,指数分析!$D$6,2,1))</f>
        <v/>
      </c>
    </row>
    <row r="190" spans="2:9" ht="12.75" x14ac:dyDescent="0.15">
      <c r="B190" s="2" t="str">
        <f>IF(E190="","",IF(COUNTIF(E$6:E190,E190)=1,RANK(E190,E:E,0),RANK(E190,E:E,0)+COUNTIF(E$6:E190,E190)-1))</f>
        <v/>
      </c>
      <c r="C190" s="2" t="str">
        <f t="shared" si="13"/>
        <v/>
      </c>
      <c r="D190" s="3" t="str">
        <f t="shared" si="14"/>
        <v/>
      </c>
      <c r="E190" s="5" t="str">
        <f>IF(C190="","",[1]!f_pq_pctchange(VLOOKUP(C190,worldfield,2,FALSE),指数分析!$D$5,指数分析!$D$6)/100)</f>
        <v/>
      </c>
      <c r="F190" s="5" t="str">
        <f t="shared" si="15"/>
        <v/>
      </c>
      <c r="G190" s="5" t="str">
        <f t="shared" si="16"/>
        <v/>
      </c>
      <c r="H190" s="5" t="str">
        <f t="shared" si="17"/>
        <v/>
      </c>
      <c r="I190" s="12" t="str">
        <f>IF(H190="","",[1]!s_risk_stdevy(LEFT(H190,FIND(".",H190)+2),指数分析!$D$5,指数分析!$D$6,2,1))</f>
        <v/>
      </c>
    </row>
    <row r="191" spans="2:9" ht="12.75" x14ac:dyDescent="0.15">
      <c r="B191" s="2" t="str">
        <f>IF(E191="","",IF(COUNTIF(E$6:E191,E191)=1,RANK(E191,E:E,0),RANK(E191,E:E,0)+COUNTIF(E$6:E191,E191)-1))</f>
        <v/>
      </c>
      <c r="C191" s="2" t="str">
        <f t="shared" si="13"/>
        <v/>
      </c>
      <c r="D191" s="3" t="str">
        <f t="shared" si="14"/>
        <v/>
      </c>
      <c r="E191" s="5" t="str">
        <f>IF(C191="","",[1]!f_pq_pctchange(VLOOKUP(C191,worldfield,2,FALSE),指数分析!$D$5,指数分析!$D$6)/100)</f>
        <v/>
      </c>
      <c r="F191" s="5" t="str">
        <f t="shared" si="15"/>
        <v/>
      </c>
      <c r="G191" s="5" t="str">
        <f t="shared" si="16"/>
        <v/>
      </c>
      <c r="H191" s="5" t="str">
        <f t="shared" si="17"/>
        <v/>
      </c>
      <c r="I191" s="12" t="str">
        <f>IF(H191="","",[1]!s_risk_stdevy(LEFT(H191,FIND(".",H191)+2),指数分析!$D$5,指数分析!$D$6,2,1))</f>
        <v/>
      </c>
    </row>
    <row r="192" spans="2:9" ht="12.75" x14ac:dyDescent="0.15">
      <c r="B192" s="2" t="str">
        <f>IF(E192="","",IF(COUNTIF(E$6:E192,E192)=1,RANK(E192,E:E,0),RANK(E192,E:E,0)+COUNTIF(E$6:E192,E192)-1))</f>
        <v/>
      </c>
      <c r="C192" s="2" t="str">
        <f t="shared" si="13"/>
        <v/>
      </c>
      <c r="D192" s="3" t="str">
        <f t="shared" si="14"/>
        <v/>
      </c>
      <c r="E192" s="5" t="str">
        <f>IF(C192="","",[1]!f_pq_pctchange(VLOOKUP(C192,worldfield,2,FALSE),指数分析!$D$5,指数分析!$D$6)/100)</f>
        <v/>
      </c>
      <c r="F192" s="5" t="str">
        <f t="shared" si="15"/>
        <v/>
      </c>
      <c r="G192" s="5" t="str">
        <f t="shared" si="16"/>
        <v/>
      </c>
      <c r="H192" s="5" t="str">
        <f t="shared" si="17"/>
        <v/>
      </c>
      <c r="I192" s="12" t="str">
        <f>IF(H192="","",[1]!s_risk_stdevy(LEFT(H192,FIND(".",H192)+2),指数分析!$D$5,指数分析!$D$6,2,1))</f>
        <v/>
      </c>
    </row>
    <row r="193" spans="2:9" ht="12.75" x14ac:dyDescent="0.15">
      <c r="B193" s="2" t="str">
        <f>IF(E193="","",IF(COUNTIF(E$6:E193,E193)=1,RANK(E193,E:E,0),RANK(E193,E:E,0)+COUNTIF(E$6:E193,E193)-1))</f>
        <v/>
      </c>
      <c r="C193" s="2" t="str">
        <f t="shared" si="13"/>
        <v/>
      </c>
      <c r="D193" s="3" t="str">
        <f t="shared" si="14"/>
        <v/>
      </c>
      <c r="E193" s="5" t="str">
        <f>IF(C193="","",[1]!f_pq_pctchange(VLOOKUP(C193,worldfield,2,FALSE),指数分析!$D$5,指数分析!$D$6)/100)</f>
        <v/>
      </c>
      <c r="F193" s="5" t="str">
        <f t="shared" si="15"/>
        <v/>
      </c>
      <c r="G193" s="5" t="str">
        <f t="shared" si="16"/>
        <v/>
      </c>
      <c r="H193" s="5" t="str">
        <f t="shared" si="17"/>
        <v/>
      </c>
      <c r="I193" s="12" t="str">
        <f>IF(H193="","",[1]!s_risk_stdevy(LEFT(H193,FIND(".",H193)+2),指数分析!$D$5,指数分析!$D$6,2,1))</f>
        <v/>
      </c>
    </row>
    <row r="194" spans="2:9" ht="12.75" x14ac:dyDescent="0.15">
      <c r="B194" s="2" t="str">
        <f>IF(E194="","",IF(COUNTIF(E$6:E194,E194)=1,RANK(E194,E:E,0),RANK(E194,E:E,0)+COUNTIF(E$6:E194,E194)-1))</f>
        <v/>
      </c>
      <c r="C194" s="2" t="str">
        <f t="shared" si="13"/>
        <v/>
      </c>
      <c r="D194" s="3" t="str">
        <f t="shared" si="14"/>
        <v/>
      </c>
      <c r="E194" s="5" t="str">
        <f>IF(C194="","",[1]!f_pq_pctchange(VLOOKUP(C194,worldfield,2,FALSE),指数分析!$D$5,指数分析!$D$6)/100)</f>
        <v/>
      </c>
      <c r="F194" s="5" t="str">
        <f t="shared" si="15"/>
        <v/>
      </c>
      <c r="G194" s="5" t="str">
        <f t="shared" si="16"/>
        <v/>
      </c>
      <c r="H194" s="5" t="str">
        <f t="shared" si="17"/>
        <v/>
      </c>
      <c r="I194" s="12" t="str">
        <f>IF(H194="","",[1]!s_risk_stdevy(LEFT(H194,FIND(".",H194)+2),指数分析!$D$5,指数分析!$D$6,2,1))</f>
        <v/>
      </c>
    </row>
    <row r="195" spans="2:9" ht="12.75" x14ac:dyDescent="0.15">
      <c r="B195" s="2" t="str">
        <f>IF(E195="","",IF(COUNTIF(E$6:E195,E195)=1,RANK(E195,E:E,0),RANK(E195,E:E,0)+COUNTIF(E$6:E195,E195)-1))</f>
        <v/>
      </c>
      <c r="C195" s="2" t="str">
        <f t="shared" si="13"/>
        <v/>
      </c>
      <c r="D195" s="3" t="str">
        <f t="shared" si="14"/>
        <v/>
      </c>
      <c r="E195" s="5" t="str">
        <f>IF(C195="","",[1]!f_pq_pctchange(VLOOKUP(C195,worldfield,2,FALSE),指数分析!$D$5,指数分析!$D$6)/100)</f>
        <v/>
      </c>
      <c r="F195" s="5" t="str">
        <f t="shared" si="15"/>
        <v/>
      </c>
      <c r="G195" s="5" t="str">
        <f t="shared" si="16"/>
        <v/>
      </c>
      <c r="H195" s="5" t="str">
        <f t="shared" si="17"/>
        <v/>
      </c>
      <c r="I195" s="12" t="str">
        <f>IF(H195="","",[1]!s_risk_stdevy(LEFT(H195,FIND(".",H195)+2),指数分析!$D$5,指数分析!$D$6,2,1))</f>
        <v/>
      </c>
    </row>
    <row r="196" spans="2:9" ht="12.75" x14ac:dyDescent="0.15">
      <c r="B196" s="2" t="str">
        <f>IF(E196="","",IF(COUNTIF(E$6:E196,E196)=1,RANK(E196,E:E,0),RANK(E196,E:E,0)+COUNTIF(E$6:E196,E196)-1))</f>
        <v/>
      </c>
      <c r="C196" s="2" t="str">
        <f t="shared" si="13"/>
        <v/>
      </c>
      <c r="D196" s="3" t="str">
        <f t="shared" si="14"/>
        <v/>
      </c>
      <c r="E196" s="5" t="str">
        <f>IF(C196="","",[1]!f_pq_pctchange(VLOOKUP(C196,worldfield,2,FALSE),指数分析!$D$5,指数分析!$D$6)/100)</f>
        <v/>
      </c>
      <c r="F196" s="5" t="str">
        <f t="shared" si="15"/>
        <v/>
      </c>
      <c r="G196" s="5" t="str">
        <f t="shared" si="16"/>
        <v/>
      </c>
      <c r="H196" s="5" t="str">
        <f t="shared" si="17"/>
        <v/>
      </c>
      <c r="I196" s="12" t="str">
        <f>IF(H196="","",[1]!s_risk_stdevy(LEFT(H196,FIND(".",H196)+2),指数分析!$D$5,指数分析!$D$6,2,1))</f>
        <v/>
      </c>
    </row>
    <row r="197" spans="2:9" ht="12.75" x14ac:dyDescent="0.15">
      <c r="B197" s="2" t="str">
        <f>IF(E197="","",IF(COUNTIF(E$6:E197,E197)=1,RANK(E197,E:E,0),RANK(E197,E:E,0)+COUNTIF(E$6:E197,E197)-1))</f>
        <v/>
      </c>
      <c r="C197" s="2" t="str">
        <f t="shared" si="13"/>
        <v/>
      </c>
      <c r="D197" s="3" t="str">
        <f t="shared" si="14"/>
        <v/>
      </c>
      <c r="E197" s="5" t="str">
        <f>IF(C197="","",[1]!f_pq_pctchange(VLOOKUP(C197,worldfield,2,FALSE),指数分析!$D$5,指数分析!$D$6)/100)</f>
        <v/>
      </c>
      <c r="F197" s="5" t="str">
        <f t="shared" si="15"/>
        <v/>
      </c>
      <c r="G197" s="5" t="str">
        <f t="shared" si="16"/>
        <v/>
      </c>
      <c r="H197" s="5" t="str">
        <f t="shared" si="17"/>
        <v/>
      </c>
      <c r="I197" s="12" t="str">
        <f>IF(H197="","",[1]!s_risk_stdevy(LEFT(H197,FIND(".",H197)+2),指数分析!$D$5,指数分析!$D$6,2,1))</f>
        <v/>
      </c>
    </row>
    <row r="198" spans="2:9" ht="12.75" x14ac:dyDescent="0.15">
      <c r="B198" s="2" t="str">
        <f>IF(E198="","",IF(COUNTIF(E$6:E198,E198)=1,RANK(E198,E:E,0),RANK(E198,E:E,0)+COUNTIF(E$6:E198,E198)-1))</f>
        <v/>
      </c>
      <c r="C198" s="2" t="str">
        <f t="shared" ref="C198:C261" si="18">IF(ROW()-ROW($C$5)&gt;worldnums,"",ROW()-ROW($C$5))</f>
        <v/>
      </c>
      <c r="D198" s="3" t="str">
        <f t="shared" ref="D198:D261" si="19">IF(C198="","",VLOOKUP(C198,worldfield,2,FALSE)&amp;VLOOKUP(C198,worldfield,3,FALSE))</f>
        <v/>
      </c>
      <c r="E198" s="5" t="str">
        <f>IF(C198="","",[1]!f_pq_pctchange(VLOOKUP(C198,worldfield,2,FALSE),指数分析!$D$5,指数分析!$D$6)/100)</f>
        <v/>
      </c>
      <c r="F198" s="5" t="str">
        <f t="shared" si="15"/>
        <v/>
      </c>
      <c r="G198" s="5" t="str">
        <f t="shared" si="16"/>
        <v/>
      </c>
      <c r="H198" s="5" t="str">
        <f t="shared" si="17"/>
        <v/>
      </c>
      <c r="I198" s="12" t="str">
        <f>IF(H198="","",[1]!s_risk_stdevy(LEFT(H198,FIND(".",H198)+2),指数分析!$D$5,指数分析!$D$6,2,1))</f>
        <v/>
      </c>
    </row>
    <row r="199" spans="2:9" ht="12.75" x14ac:dyDescent="0.15">
      <c r="B199" s="2" t="str">
        <f>IF(E199="","",IF(COUNTIF(E$6:E199,E199)=1,RANK(E199,E:E,0),RANK(E199,E:E,0)+COUNTIF(E$6:E199,E199)-1))</f>
        <v/>
      </c>
      <c r="C199" s="2" t="str">
        <f t="shared" si="18"/>
        <v/>
      </c>
      <c r="D199" s="3" t="str">
        <f t="shared" si="19"/>
        <v/>
      </c>
      <c r="E199" s="5" t="str">
        <f>IF(C199="","",[1]!f_pq_pctchange(VLOOKUP(C199,worldfield,2,FALSE),指数分析!$D$5,指数分析!$D$6)/100)</f>
        <v/>
      </c>
      <c r="F199" s="5" t="str">
        <f t="shared" ref="F199:F224" si="20">IF(C199="","",VLOOKUP(C199,B:E,3,FALSE))</f>
        <v/>
      </c>
      <c r="G199" s="5" t="str">
        <f t="shared" ref="G199:G224" si="21">IF(C199="","",VLOOKUP(C199,B:E,4,FALSE))</f>
        <v/>
      </c>
      <c r="H199" s="5" t="str">
        <f t="shared" ref="H199:H224" si="22">IF(C199="","",F199&amp;":"&amp;TEXT(G199,"0.0%"))</f>
        <v/>
      </c>
      <c r="I199" s="12" t="str">
        <f>IF(H199="","",[1]!s_risk_stdevy(LEFT(H199,FIND(".",H199)+2),指数分析!$D$5,指数分析!$D$6,2,1))</f>
        <v/>
      </c>
    </row>
    <row r="200" spans="2:9" ht="12.75" x14ac:dyDescent="0.15">
      <c r="B200" s="2" t="str">
        <f>IF(E200="","",IF(COUNTIF(E$6:E200,E200)=1,RANK(E200,E:E,0),RANK(E200,E:E,0)+COUNTIF(E$6:E200,E200)-1))</f>
        <v/>
      </c>
      <c r="C200" s="2" t="str">
        <f t="shared" si="18"/>
        <v/>
      </c>
      <c r="D200" s="3" t="str">
        <f t="shared" si="19"/>
        <v/>
      </c>
      <c r="E200" s="5" t="str">
        <f>IF(C200="","",[1]!f_pq_pctchange(VLOOKUP(C200,worldfield,2,FALSE),指数分析!$D$5,指数分析!$D$6)/100)</f>
        <v/>
      </c>
      <c r="F200" s="5" t="str">
        <f t="shared" si="20"/>
        <v/>
      </c>
      <c r="G200" s="5" t="str">
        <f t="shared" si="21"/>
        <v/>
      </c>
      <c r="H200" s="5" t="str">
        <f t="shared" si="22"/>
        <v/>
      </c>
      <c r="I200" s="12" t="str">
        <f>IF(H200="","",[1]!s_risk_stdevy(LEFT(H200,FIND(".",H200)+2),指数分析!$D$5,指数分析!$D$6,2,1))</f>
        <v/>
      </c>
    </row>
    <row r="201" spans="2:9" ht="12.75" x14ac:dyDescent="0.15">
      <c r="B201" s="2" t="str">
        <f>IF(E201="","",IF(COUNTIF(E$6:E201,E201)=1,RANK(E201,E:E,0),RANK(E201,E:E,0)+COUNTIF(E$6:E201,E201)-1))</f>
        <v/>
      </c>
      <c r="C201" s="2" t="str">
        <f t="shared" si="18"/>
        <v/>
      </c>
      <c r="D201" s="3" t="str">
        <f t="shared" si="19"/>
        <v/>
      </c>
      <c r="E201" s="5" t="str">
        <f>IF(C201="","",[1]!f_pq_pctchange(VLOOKUP(C201,worldfield,2,FALSE),指数分析!$D$5,指数分析!$D$6)/100)</f>
        <v/>
      </c>
      <c r="F201" s="5" t="str">
        <f t="shared" si="20"/>
        <v/>
      </c>
      <c r="G201" s="5" t="str">
        <f t="shared" si="21"/>
        <v/>
      </c>
      <c r="H201" s="5" t="str">
        <f t="shared" si="22"/>
        <v/>
      </c>
      <c r="I201" s="12" t="str">
        <f>IF(H201="","",[1]!s_risk_stdevy(LEFT(H201,FIND(".",H201)+2),指数分析!$D$5,指数分析!$D$6,2,1))</f>
        <v/>
      </c>
    </row>
    <row r="202" spans="2:9" ht="12.75" x14ac:dyDescent="0.15">
      <c r="B202" s="2" t="str">
        <f>IF(E202="","",IF(COUNTIF(E$6:E202,E202)=1,RANK(E202,E:E,0),RANK(E202,E:E,0)+COUNTIF(E$6:E202,E202)-1))</f>
        <v/>
      </c>
      <c r="C202" s="2" t="str">
        <f t="shared" si="18"/>
        <v/>
      </c>
      <c r="D202" s="3" t="str">
        <f t="shared" si="19"/>
        <v/>
      </c>
      <c r="E202" s="5" t="str">
        <f>IF(C202="","",[1]!f_pq_pctchange(VLOOKUP(C202,worldfield,2,FALSE),指数分析!$D$5,指数分析!$D$6)/100)</f>
        <v/>
      </c>
      <c r="F202" s="5" t="str">
        <f t="shared" si="20"/>
        <v/>
      </c>
      <c r="G202" s="5" t="str">
        <f t="shared" si="21"/>
        <v/>
      </c>
      <c r="H202" s="5" t="str">
        <f t="shared" si="22"/>
        <v/>
      </c>
      <c r="I202" s="12" t="str">
        <f>IF(H202="","",[1]!s_risk_stdevy(LEFT(H202,FIND(".",H202)+2),指数分析!$D$5,指数分析!$D$6,2,1))</f>
        <v/>
      </c>
    </row>
    <row r="203" spans="2:9" ht="12.75" x14ac:dyDescent="0.15">
      <c r="B203" s="2" t="str">
        <f>IF(E203="","",IF(COUNTIF(E$6:E203,E203)=1,RANK(E203,E:E,0),RANK(E203,E:E,0)+COUNTIF(E$6:E203,E203)-1))</f>
        <v/>
      </c>
      <c r="C203" s="2" t="str">
        <f t="shared" si="18"/>
        <v/>
      </c>
      <c r="D203" s="3" t="str">
        <f t="shared" si="19"/>
        <v/>
      </c>
      <c r="E203" s="5" t="str">
        <f>IF(C203="","",[1]!f_pq_pctchange(VLOOKUP(C203,worldfield,2,FALSE),指数分析!$D$5,指数分析!$D$6)/100)</f>
        <v/>
      </c>
      <c r="F203" s="5" t="str">
        <f t="shared" si="20"/>
        <v/>
      </c>
      <c r="G203" s="5" t="str">
        <f t="shared" si="21"/>
        <v/>
      </c>
      <c r="H203" s="5" t="str">
        <f t="shared" si="22"/>
        <v/>
      </c>
      <c r="I203" s="12" t="str">
        <f>IF(H203="","",[1]!s_risk_stdevy(LEFT(H203,FIND(".",H203)+2),指数分析!$D$5,指数分析!$D$6,2,1))</f>
        <v/>
      </c>
    </row>
    <row r="204" spans="2:9" ht="12.75" x14ac:dyDescent="0.15">
      <c r="B204" s="2" t="str">
        <f>IF(E204="","",IF(COUNTIF(E$6:E204,E204)=1,RANK(E204,E:E,0),RANK(E204,E:E,0)+COUNTIF(E$6:E204,E204)-1))</f>
        <v/>
      </c>
      <c r="C204" s="2" t="str">
        <f t="shared" si="18"/>
        <v/>
      </c>
      <c r="D204" s="3" t="str">
        <f t="shared" si="19"/>
        <v/>
      </c>
      <c r="E204" s="5" t="str">
        <f>IF(C204="","",[1]!f_pq_pctchange(VLOOKUP(C204,worldfield,2,FALSE),指数分析!$D$5,指数分析!$D$6)/100)</f>
        <v/>
      </c>
      <c r="F204" s="5" t="str">
        <f t="shared" si="20"/>
        <v/>
      </c>
      <c r="G204" s="5" t="str">
        <f t="shared" si="21"/>
        <v/>
      </c>
      <c r="H204" s="5" t="str">
        <f t="shared" si="22"/>
        <v/>
      </c>
      <c r="I204" s="12" t="str">
        <f>IF(H204="","",[1]!s_risk_stdevy(LEFT(H204,FIND(".",H204)+2),指数分析!$D$5,指数分析!$D$6,2,1))</f>
        <v/>
      </c>
    </row>
    <row r="205" spans="2:9" ht="12.75" x14ac:dyDescent="0.15">
      <c r="B205" s="2" t="str">
        <f>IF(E205="","",IF(COUNTIF(E$6:E205,E205)=1,RANK(E205,E:E,0),RANK(E205,E:E,0)+COUNTIF(E$6:E205,E205)-1))</f>
        <v/>
      </c>
      <c r="C205" s="2" t="str">
        <f t="shared" si="18"/>
        <v/>
      </c>
      <c r="D205" s="3" t="str">
        <f t="shared" si="19"/>
        <v/>
      </c>
      <c r="E205" s="5" t="str">
        <f>IF(C205="","",[1]!f_pq_pctchange(VLOOKUP(C205,worldfield,2,FALSE),指数分析!$D$5,指数分析!$D$6)/100)</f>
        <v/>
      </c>
      <c r="F205" s="5" t="str">
        <f t="shared" si="20"/>
        <v/>
      </c>
      <c r="G205" s="5" t="str">
        <f t="shared" si="21"/>
        <v/>
      </c>
      <c r="H205" s="5" t="str">
        <f t="shared" si="22"/>
        <v/>
      </c>
      <c r="I205" s="12" t="str">
        <f>IF(H205="","",[1]!s_risk_stdevy(LEFT(H205,FIND(".",H205)+2),指数分析!$D$5,指数分析!$D$6,2,1))</f>
        <v/>
      </c>
    </row>
    <row r="206" spans="2:9" ht="12.75" x14ac:dyDescent="0.15">
      <c r="B206" s="2" t="str">
        <f>IF(E206="","",IF(COUNTIF(E$6:E206,E206)=1,RANK(E206,E:E,0),RANK(E206,E:E,0)+COUNTIF(E$6:E206,E206)-1))</f>
        <v/>
      </c>
      <c r="C206" s="2" t="str">
        <f t="shared" si="18"/>
        <v/>
      </c>
      <c r="D206" s="3" t="str">
        <f t="shared" si="19"/>
        <v/>
      </c>
      <c r="E206" s="5" t="str">
        <f>IF(C206="","",[1]!f_pq_pctchange(VLOOKUP(C206,worldfield,2,FALSE),指数分析!$D$5,指数分析!$D$6)/100)</f>
        <v/>
      </c>
      <c r="F206" s="5" t="str">
        <f t="shared" si="20"/>
        <v/>
      </c>
      <c r="G206" s="5" t="str">
        <f t="shared" si="21"/>
        <v/>
      </c>
      <c r="H206" s="5" t="str">
        <f t="shared" si="22"/>
        <v/>
      </c>
      <c r="I206" s="12" t="str">
        <f>IF(H206="","",[1]!s_risk_stdevy(LEFT(H206,FIND(".",H206)+2),指数分析!$D$5,指数分析!$D$6,2,1))</f>
        <v/>
      </c>
    </row>
    <row r="207" spans="2:9" ht="12.75" x14ac:dyDescent="0.15">
      <c r="B207" s="2" t="str">
        <f>IF(E207="","",IF(COUNTIF(E$6:E207,E207)=1,RANK(E207,E:E,0),RANK(E207,E:E,0)+COUNTIF(E$6:E207,E207)-1))</f>
        <v/>
      </c>
      <c r="C207" s="2" t="str">
        <f t="shared" si="18"/>
        <v/>
      </c>
      <c r="D207" s="3" t="str">
        <f t="shared" si="19"/>
        <v/>
      </c>
      <c r="E207" s="5" t="str">
        <f>IF(C207="","",[1]!f_pq_pctchange(VLOOKUP(C207,worldfield,2,FALSE),指数分析!$D$5,指数分析!$D$6)/100)</f>
        <v/>
      </c>
      <c r="F207" s="5" t="str">
        <f t="shared" si="20"/>
        <v/>
      </c>
      <c r="G207" s="5" t="str">
        <f t="shared" si="21"/>
        <v/>
      </c>
      <c r="H207" s="5" t="str">
        <f t="shared" si="22"/>
        <v/>
      </c>
      <c r="I207" s="12" t="str">
        <f>IF(H207="","",[1]!s_risk_stdevy(LEFT(H207,FIND(".",H207)+2),指数分析!$D$5,指数分析!$D$6,2,1))</f>
        <v/>
      </c>
    </row>
    <row r="208" spans="2:9" ht="12.75" x14ac:dyDescent="0.15">
      <c r="B208" s="2" t="str">
        <f>IF(E208="","",IF(COUNTIF(E$6:E208,E208)=1,RANK(E208,E:E,0),RANK(E208,E:E,0)+COUNTIF(E$6:E208,E208)-1))</f>
        <v/>
      </c>
      <c r="C208" s="2" t="str">
        <f t="shared" si="18"/>
        <v/>
      </c>
      <c r="D208" s="3" t="str">
        <f t="shared" si="19"/>
        <v/>
      </c>
      <c r="E208" s="5" t="str">
        <f>IF(C208="","",[1]!f_pq_pctchange(VLOOKUP(C208,worldfield,2,FALSE),指数分析!$D$5,指数分析!$D$6)/100)</f>
        <v/>
      </c>
      <c r="F208" s="5" t="str">
        <f t="shared" si="20"/>
        <v/>
      </c>
      <c r="G208" s="5" t="str">
        <f t="shared" si="21"/>
        <v/>
      </c>
      <c r="H208" s="5" t="str">
        <f t="shared" si="22"/>
        <v/>
      </c>
      <c r="I208" s="12" t="str">
        <f>IF(H208="","",[1]!s_risk_stdevy(LEFT(H208,FIND(".",H208)+2),指数分析!$D$5,指数分析!$D$6,2,1))</f>
        <v/>
      </c>
    </row>
    <row r="209" spans="2:9" ht="12.75" x14ac:dyDescent="0.15">
      <c r="B209" s="2" t="str">
        <f>IF(E209="","",IF(COUNTIF(E$6:E209,E209)=1,RANK(E209,E:E,0),RANK(E209,E:E,0)+COUNTIF(E$6:E209,E209)-1))</f>
        <v/>
      </c>
      <c r="C209" s="2" t="str">
        <f t="shared" si="18"/>
        <v/>
      </c>
      <c r="D209" s="3" t="str">
        <f t="shared" si="19"/>
        <v/>
      </c>
      <c r="E209" s="5" t="str">
        <f>IF(C209="","",[1]!f_pq_pctchange(VLOOKUP(C209,worldfield,2,FALSE),指数分析!$D$5,指数分析!$D$6)/100)</f>
        <v/>
      </c>
      <c r="F209" s="5" t="str">
        <f t="shared" si="20"/>
        <v/>
      </c>
      <c r="G209" s="5" t="str">
        <f t="shared" si="21"/>
        <v/>
      </c>
      <c r="H209" s="5" t="str">
        <f t="shared" si="22"/>
        <v/>
      </c>
      <c r="I209" s="12" t="str">
        <f>IF(H209="","",[1]!s_risk_stdevy(LEFT(H209,FIND(".",H209)+2),指数分析!$D$5,指数分析!$D$6,2,1))</f>
        <v/>
      </c>
    </row>
    <row r="210" spans="2:9" ht="12.75" x14ac:dyDescent="0.15">
      <c r="B210" s="2" t="str">
        <f>IF(E210="","",IF(COUNTIF(E$6:E210,E210)=1,RANK(E210,E:E,0),RANK(E210,E:E,0)+COUNTIF(E$6:E210,E210)-1))</f>
        <v/>
      </c>
      <c r="C210" s="2" t="str">
        <f t="shared" si="18"/>
        <v/>
      </c>
      <c r="D210" s="3" t="str">
        <f t="shared" si="19"/>
        <v/>
      </c>
      <c r="E210" s="5" t="str">
        <f>IF(C210="","",[1]!f_pq_pctchange(VLOOKUP(C210,worldfield,2,FALSE),指数分析!$D$5,指数分析!$D$6)/100)</f>
        <v/>
      </c>
      <c r="F210" s="5" t="str">
        <f t="shared" si="20"/>
        <v/>
      </c>
      <c r="G210" s="5" t="str">
        <f t="shared" si="21"/>
        <v/>
      </c>
      <c r="H210" s="5" t="str">
        <f t="shared" si="22"/>
        <v/>
      </c>
      <c r="I210" s="12" t="str">
        <f>IF(H210="","",[1]!s_risk_stdevy(LEFT(H210,FIND(".",H210)+2),指数分析!$D$5,指数分析!$D$6,2,1))</f>
        <v/>
      </c>
    </row>
    <row r="211" spans="2:9" ht="12.75" x14ac:dyDescent="0.15">
      <c r="B211" s="2" t="str">
        <f>IF(E211="","",IF(COUNTIF(E$6:E211,E211)=1,RANK(E211,E:E,0),RANK(E211,E:E,0)+COUNTIF(E$6:E211,E211)-1))</f>
        <v/>
      </c>
      <c r="C211" s="2" t="str">
        <f t="shared" si="18"/>
        <v/>
      </c>
      <c r="D211" s="3" t="str">
        <f t="shared" si="19"/>
        <v/>
      </c>
      <c r="E211" s="5" t="str">
        <f>IF(C211="","",[1]!f_pq_pctchange(VLOOKUP(C211,worldfield,2,FALSE),指数分析!$D$5,指数分析!$D$6)/100)</f>
        <v/>
      </c>
      <c r="F211" s="5" t="str">
        <f t="shared" si="20"/>
        <v/>
      </c>
      <c r="G211" s="5" t="str">
        <f t="shared" si="21"/>
        <v/>
      </c>
      <c r="H211" s="5" t="str">
        <f t="shared" si="22"/>
        <v/>
      </c>
      <c r="I211" s="12" t="str">
        <f>IF(H211="","",[1]!s_risk_stdevy(LEFT(H211,FIND(".",H211)+2),指数分析!$D$5,指数分析!$D$6,2,1))</f>
        <v/>
      </c>
    </row>
    <row r="212" spans="2:9" ht="12.75" x14ac:dyDescent="0.15">
      <c r="B212" s="2" t="str">
        <f>IF(E212="","",IF(COUNTIF(E$6:E212,E212)=1,RANK(E212,E:E,0),RANK(E212,E:E,0)+COUNTIF(E$6:E212,E212)-1))</f>
        <v/>
      </c>
      <c r="C212" s="2" t="str">
        <f t="shared" si="18"/>
        <v/>
      </c>
      <c r="D212" s="3" t="str">
        <f t="shared" si="19"/>
        <v/>
      </c>
      <c r="E212" s="5" t="str">
        <f>IF(C212="","",[1]!f_pq_pctchange(VLOOKUP(C212,worldfield,2,FALSE),指数分析!$D$5,指数分析!$D$6)/100)</f>
        <v/>
      </c>
      <c r="F212" s="5" t="str">
        <f t="shared" si="20"/>
        <v/>
      </c>
      <c r="G212" s="5" t="str">
        <f t="shared" si="21"/>
        <v/>
      </c>
      <c r="H212" s="5" t="str">
        <f t="shared" si="22"/>
        <v/>
      </c>
      <c r="I212" s="12" t="str">
        <f>IF(H212="","",[1]!s_risk_stdevy(LEFT(H212,FIND(".",H212)+2),指数分析!$D$5,指数分析!$D$6,2,1))</f>
        <v/>
      </c>
    </row>
    <row r="213" spans="2:9" ht="12.75" x14ac:dyDescent="0.15">
      <c r="B213" s="2" t="str">
        <f>IF(E213="","",IF(COUNTIF(E$6:E213,E213)=1,RANK(E213,E:E,0),RANK(E213,E:E,0)+COUNTIF(E$6:E213,E213)-1))</f>
        <v/>
      </c>
      <c r="C213" s="2" t="str">
        <f t="shared" si="18"/>
        <v/>
      </c>
      <c r="D213" s="3" t="str">
        <f t="shared" si="19"/>
        <v/>
      </c>
      <c r="E213" s="5" t="str">
        <f>IF(C213="","",[1]!f_pq_pctchange(VLOOKUP(C213,worldfield,2,FALSE),指数分析!$D$5,指数分析!$D$6)/100)</f>
        <v/>
      </c>
      <c r="F213" s="5" t="str">
        <f t="shared" si="20"/>
        <v/>
      </c>
      <c r="G213" s="5" t="str">
        <f t="shared" si="21"/>
        <v/>
      </c>
      <c r="H213" s="5" t="str">
        <f t="shared" si="22"/>
        <v/>
      </c>
      <c r="I213" s="12" t="str">
        <f>IF(H213="","",[1]!s_risk_stdevy(LEFT(H213,FIND(".",H213)+2),指数分析!$D$5,指数分析!$D$6,2,1))</f>
        <v/>
      </c>
    </row>
    <row r="214" spans="2:9" ht="12.75" x14ac:dyDescent="0.15">
      <c r="B214" s="2" t="str">
        <f>IF(E214="","",IF(COUNTIF(E$6:E214,E214)=1,RANK(E214,E:E,0),RANK(E214,E:E,0)+COUNTIF(E$6:E214,E214)-1))</f>
        <v/>
      </c>
      <c r="C214" s="2" t="str">
        <f t="shared" si="18"/>
        <v/>
      </c>
      <c r="D214" s="3" t="str">
        <f t="shared" si="19"/>
        <v/>
      </c>
      <c r="E214" s="5" t="str">
        <f>IF(C214="","",[1]!f_pq_pctchange(VLOOKUP(C214,worldfield,2,FALSE),指数分析!$D$5,指数分析!$D$6)/100)</f>
        <v/>
      </c>
      <c r="F214" s="5" t="str">
        <f t="shared" si="20"/>
        <v/>
      </c>
      <c r="G214" s="5" t="str">
        <f t="shared" si="21"/>
        <v/>
      </c>
      <c r="H214" s="5" t="str">
        <f t="shared" si="22"/>
        <v/>
      </c>
      <c r="I214" s="12" t="str">
        <f>IF(H214="","",[1]!s_risk_stdevy(LEFT(H214,FIND(".",H214)+2),指数分析!$D$5,指数分析!$D$6,2,1))</f>
        <v/>
      </c>
    </row>
    <row r="215" spans="2:9" ht="12.75" x14ac:dyDescent="0.15">
      <c r="B215" s="2" t="str">
        <f>IF(E215="","",IF(COUNTIF(E$6:E215,E215)=1,RANK(E215,E:E,0),RANK(E215,E:E,0)+COUNTIF(E$6:E215,E215)-1))</f>
        <v/>
      </c>
      <c r="C215" s="2" t="str">
        <f t="shared" si="18"/>
        <v/>
      </c>
      <c r="D215" s="3" t="str">
        <f t="shared" si="19"/>
        <v/>
      </c>
      <c r="E215" s="5" t="str">
        <f>IF(C215="","",[1]!f_pq_pctchange(VLOOKUP(C215,worldfield,2,FALSE),指数分析!$D$5,指数分析!$D$6)/100)</f>
        <v/>
      </c>
      <c r="F215" s="5" t="str">
        <f t="shared" si="20"/>
        <v/>
      </c>
      <c r="G215" s="5" t="str">
        <f t="shared" si="21"/>
        <v/>
      </c>
      <c r="H215" s="5" t="str">
        <f t="shared" si="22"/>
        <v/>
      </c>
      <c r="I215" s="12" t="str">
        <f>IF(H215="","",[1]!s_risk_stdevy(LEFT(H215,FIND(".",H215)+2),指数分析!$D$5,指数分析!$D$6,2,1))</f>
        <v/>
      </c>
    </row>
    <row r="216" spans="2:9" ht="12.75" x14ac:dyDescent="0.15">
      <c r="B216" s="2" t="str">
        <f>IF(E216="","",IF(COUNTIF(E$6:E216,E216)=1,RANK(E216,E:E,0),RANK(E216,E:E,0)+COUNTIF(E$6:E216,E216)-1))</f>
        <v/>
      </c>
      <c r="C216" s="2" t="str">
        <f t="shared" si="18"/>
        <v/>
      </c>
      <c r="D216" s="3" t="str">
        <f t="shared" si="19"/>
        <v/>
      </c>
      <c r="E216" s="5" t="str">
        <f>IF(C216="","",[1]!f_pq_pctchange(VLOOKUP(C216,worldfield,2,FALSE),指数分析!$D$5,指数分析!$D$6)/100)</f>
        <v/>
      </c>
      <c r="F216" s="5" t="str">
        <f t="shared" si="20"/>
        <v/>
      </c>
      <c r="G216" s="5" t="str">
        <f t="shared" si="21"/>
        <v/>
      </c>
      <c r="H216" s="5" t="str">
        <f t="shared" si="22"/>
        <v/>
      </c>
      <c r="I216" s="12" t="str">
        <f>IF(H216="","",[1]!s_risk_stdevy(LEFT(H216,FIND(".",H216)+2),指数分析!$D$5,指数分析!$D$6,2,1))</f>
        <v/>
      </c>
    </row>
    <row r="217" spans="2:9" ht="12.75" x14ac:dyDescent="0.15">
      <c r="B217" s="2" t="str">
        <f>IF(E217="","",IF(COUNTIF(E$6:E217,E217)=1,RANK(E217,E:E,0),RANK(E217,E:E,0)+COUNTIF(E$6:E217,E217)-1))</f>
        <v/>
      </c>
      <c r="C217" s="2" t="str">
        <f t="shared" si="18"/>
        <v/>
      </c>
      <c r="D217" s="3" t="str">
        <f t="shared" si="19"/>
        <v/>
      </c>
      <c r="E217" s="5" t="str">
        <f>IF(C217="","",[1]!f_pq_pctchange(VLOOKUP(C217,worldfield,2,FALSE),指数分析!$D$5,指数分析!$D$6)/100)</f>
        <v/>
      </c>
      <c r="F217" s="5" t="str">
        <f t="shared" si="20"/>
        <v/>
      </c>
      <c r="G217" s="5" t="str">
        <f t="shared" si="21"/>
        <v/>
      </c>
      <c r="H217" s="5" t="str">
        <f t="shared" si="22"/>
        <v/>
      </c>
      <c r="I217" s="12" t="str">
        <f>IF(H217="","",[1]!s_risk_stdevy(LEFT(H217,FIND(".",H217)+2),指数分析!$D$5,指数分析!$D$6,2,1))</f>
        <v/>
      </c>
    </row>
    <row r="218" spans="2:9" ht="12.75" x14ac:dyDescent="0.15">
      <c r="B218" s="2" t="str">
        <f>IF(E218="","",IF(COUNTIF(E$6:E218,E218)=1,RANK(E218,E:E,0),RANK(E218,E:E,0)+COUNTIF(E$6:E218,E218)-1))</f>
        <v/>
      </c>
      <c r="C218" s="2" t="str">
        <f t="shared" si="18"/>
        <v/>
      </c>
      <c r="D218" s="3" t="str">
        <f t="shared" si="19"/>
        <v/>
      </c>
      <c r="E218" s="5" t="str">
        <f>IF(C218="","",[1]!f_pq_pctchange(VLOOKUP(C218,worldfield,2,FALSE),指数分析!$D$5,指数分析!$D$6)/100)</f>
        <v/>
      </c>
      <c r="F218" s="5" t="str">
        <f t="shared" si="20"/>
        <v/>
      </c>
      <c r="G218" s="5" t="str">
        <f t="shared" si="21"/>
        <v/>
      </c>
      <c r="H218" s="5" t="str">
        <f t="shared" si="22"/>
        <v/>
      </c>
      <c r="I218" s="12" t="str">
        <f>IF(H218="","",[1]!s_risk_stdevy(LEFT(H218,FIND(".",H218)+2),指数分析!$D$5,指数分析!$D$6,2,1))</f>
        <v/>
      </c>
    </row>
    <row r="219" spans="2:9" ht="12.75" x14ac:dyDescent="0.15">
      <c r="B219" s="2" t="str">
        <f>IF(E219="","",IF(COUNTIF(E$6:E219,E219)=1,RANK(E219,E:E,0),RANK(E219,E:E,0)+COUNTIF(E$6:E219,E219)-1))</f>
        <v/>
      </c>
      <c r="C219" s="2" t="str">
        <f t="shared" si="18"/>
        <v/>
      </c>
      <c r="D219" s="3" t="str">
        <f t="shared" si="19"/>
        <v/>
      </c>
      <c r="E219" s="5" t="str">
        <f>IF(C219="","",[1]!f_pq_pctchange(VLOOKUP(C219,worldfield,2,FALSE),指数分析!$D$5,指数分析!$D$6)/100)</f>
        <v/>
      </c>
      <c r="F219" s="5" t="str">
        <f t="shared" si="20"/>
        <v/>
      </c>
      <c r="G219" s="5" t="str">
        <f t="shared" si="21"/>
        <v/>
      </c>
      <c r="H219" s="5" t="str">
        <f t="shared" si="22"/>
        <v/>
      </c>
      <c r="I219" s="12" t="str">
        <f>IF(H219="","",[1]!s_risk_stdevy(LEFT(H219,FIND(".",H219)+2),指数分析!$D$5,指数分析!$D$6,2,1))</f>
        <v/>
      </c>
    </row>
    <row r="220" spans="2:9" ht="12.75" x14ac:dyDescent="0.15">
      <c r="B220" s="2" t="str">
        <f>IF(E220="","",IF(COUNTIF(E$6:E220,E220)=1,RANK(E220,E:E,0),RANK(E220,E:E,0)+COUNTIF(E$6:E220,E220)-1))</f>
        <v/>
      </c>
      <c r="C220" s="2" t="str">
        <f t="shared" si="18"/>
        <v/>
      </c>
      <c r="D220" s="3" t="str">
        <f t="shared" si="19"/>
        <v/>
      </c>
      <c r="E220" s="5" t="str">
        <f>IF(C220="","",[1]!f_pq_pctchange(VLOOKUP(C220,worldfield,2,FALSE),指数分析!$D$5,指数分析!$D$6)/100)</f>
        <v/>
      </c>
      <c r="F220" s="5" t="str">
        <f t="shared" si="20"/>
        <v/>
      </c>
      <c r="G220" s="5" t="str">
        <f t="shared" si="21"/>
        <v/>
      </c>
      <c r="H220" s="5" t="str">
        <f t="shared" si="22"/>
        <v/>
      </c>
      <c r="I220" s="12" t="str">
        <f>IF(H220="","",[1]!s_risk_stdevy(LEFT(H220,FIND(".",H220)+2),指数分析!$D$5,指数分析!$D$6,2,1))</f>
        <v/>
      </c>
    </row>
    <row r="221" spans="2:9" ht="12.75" x14ac:dyDescent="0.15">
      <c r="B221" s="2" t="str">
        <f>IF(E221="","",IF(COUNTIF(E$6:E221,E221)=1,RANK(E221,E:E,0),RANK(E221,E:E,0)+COUNTIF(E$6:E221,E221)-1))</f>
        <v/>
      </c>
      <c r="C221" s="2" t="str">
        <f t="shared" si="18"/>
        <v/>
      </c>
      <c r="D221" s="3" t="str">
        <f t="shared" si="19"/>
        <v/>
      </c>
      <c r="E221" s="5" t="str">
        <f>IF(C221="","",[1]!f_pq_pctchange(VLOOKUP(C221,worldfield,2,FALSE),指数分析!$D$5,指数分析!$D$6)/100)</f>
        <v/>
      </c>
      <c r="F221" s="5" t="str">
        <f t="shared" si="20"/>
        <v/>
      </c>
      <c r="G221" s="5" t="str">
        <f t="shared" si="21"/>
        <v/>
      </c>
      <c r="H221" s="5" t="str">
        <f t="shared" si="22"/>
        <v/>
      </c>
      <c r="I221" s="12" t="str">
        <f>IF(H221="","",[1]!s_risk_stdevy(LEFT(H221,FIND(".",H221)+2),指数分析!$D$5,指数分析!$D$6,2,1))</f>
        <v/>
      </c>
    </row>
    <row r="222" spans="2:9" ht="12.75" x14ac:dyDescent="0.15">
      <c r="B222" s="2" t="str">
        <f>IF(E222="","",IF(COUNTIF(E$6:E222,E222)=1,RANK(E222,E:E,0),RANK(E222,E:E,0)+COUNTIF(E$6:E222,E222)-1))</f>
        <v/>
      </c>
      <c r="C222" s="2" t="str">
        <f t="shared" si="18"/>
        <v/>
      </c>
      <c r="D222" s="3" t="str">
        <f t="shared" si="19"/>
        <v/>
      </c>
      <c r="E222" s="5" t="str">
        <f>IF(C222="","",[1]!f_pq_pctchange(VLOOKUP(C222,worldfield,2,FALSE),指数分析!$D$5,指数分析!$D$6)/100)</f>
        <v/>
      </c>
      <c r="F222" s="5" t="str">
        <f t="shared" si="20"/>
        <v/>
      </c>
      <c r="G222" s="5" t="str">
        <f t="shared" si="21"/>
        <v/>
      </c>
      <c r="H222" s="5" t="str">
        <f t="shared" si="22"/>
        <v/>
      </c>
      <c r="I222" s="12" t="str">
        <f>IF(H222="","",[1]!s_risk_stdevy(LEFT(H222,FIND(".",H222)+2),指数分析!$D$5,指数分析!$D$6,2,1))</f>
        <v/>
      </c>
    </row>
    <row r="223" spans="2:9" ht="12.75" x14ac:dyDescent="0.15">
      <c r="B223" s="2" t="str">
        <f>IF(E223="","",IF(COUNTIF(E$6:E223,E223)=1,RANK(E223,E:E,0),RANK(E223,E:E,0)+COUNTIF(E$6:E223,E223)-1))</f>
        <v/>
      </c>
      <c r="C223" s="2" t="str">
        <f t="shared" si="18"/>
        <v/>
      </c>
      <c r="D223" s="3" t="str">
        <f t="shared" si="19"/>
        <v/>
      </c>
      <c r="E223" s="5" t="str">
        <f>IF(C223="","",[1]!f_pq_pctchange(VLOOKUP(C223,worldfield,2,FALSE),指数分析!$D$5,指数分析!$D$6)/100)</f>
        <v/>
      </c>
      <c r="F223" s="5" t="str">
        <f t="shared" si="20"/>
        <v/>
      </c>
      <c r="G223" s="5" t="str">
        <f t="shared" si="21"/>
        <v/>
      </c>
      <c r="H223" s="5" t="str">
        <f t="shared" si="22"/>
        <v/>
      </c>
      <c r="I223" s="12" t="str">
        <f>IF(H223="","",[1]!s_risk_stdevy(LEFT(H223,FIND(".",H223)+2),指数分析!$D$5,指数分析!$D$6,2,1))</f>
        <v/>
      </c>
    </row>
    <row r="224" spans="2:9" ht="12.75" x14ac:dyDescent="0.15">
      <c r="B224" s="2" t="str">
        <f>IF(E224="","",IF(COUNTIF(E$6:E224,E224)=1,RANK(E224,E:E,0),RANK(E224,E:E,0)+COUNTIF(E$6:E224,E224)-1))</f>
        <v/>
      </c>
      <c r="C224" s="2" t="str">
        <f t="shared" si="18"/>
        <v/>
      </c>
      <c r="D224" s="3" t="str">
        <f t="shared" si="19"/>
        <v/>
      </c>
      <c r="E224" s="5" t="str">
        <f>IF(C224="","",[1]!f_pq_pctchange(VLOOKUP(C224,worldfield,2,FALSE),指数分析!$D$5,指数分析!$D$6)/100)</f>
        <v/>
      </c>
      <c r="F224" s="5" t="str">
        <f t="shared" si="20"/>
        <v/>
      </c>
      <c r="G224" s="5" t="str">
        <f t="shared" si="21"/>
        <v/>
      </c>
      <c r="H224" s="5" t="str">
        <f t="shared" si="22"/>
        <v/>
      </c>
      <c r="I224" s="12" t="str">
        <f>IF(H224="","",[1]!s_risk_stdevy(LEFT(H224,FIND(".",H224)+2),指数分析!$D$5,指数分析!$D$6,2,1))</f>
        <v/>
      </c>
    </row>
    <row r="225" spans="2:9" ht="12.75" x14ac:dyDescent="0.15">
      <c r="B225" s="2" t="str">
        <f>IF(E225="","",IF(COUNTIF(E$6:E225,E225)=1,RANK(E225,E:E,0),RANK(E225,E:E,0)+COUNTIF(E$6:E225,E225)-1))</f>
        <v/>
      </c>
      <c r="C225" s="2" t="str">
        <f t="shared" si="18"/>
        <v/>
      </c>
      <c r="D225" s="3" t="str">
        <f t="shared" si="19"/>
        <v/>
      </c>
      <c r="E225" s="5" t="str">
        <f>IF(C225="","",[1]!f_pq_pctchange(VLOOKUP(C225,worldfield,2,FALSE),指数分析!$D$5,指数分析!$D$6)/100)</f>
        <v/>
      </c>
      <c r="F225" s="5" t="str">
        <f>IF(C225="","",VLOOKUP(C225,B:E,3,FALSE))</f>
        <v/>
      </c>
      <c r="G225" s="5" t="str">
        <f>IF(C225="","",VLOOKUP(C225,B:E,4,FALSE))</f>
        <v/>
      </c>
      <c r="H225" s="5" t="str">
        <f>IF(C225="","",F225&amp;":"&amp;TEXT(G225,"0.0%"))</f>
        <v/>
      </c>
      <c r="I225" s="12" t="str">
        <f>IF(H225="","",[1]!s_risk_stdevy(LEFT(H225,FIND(".",H225)+2),指数分析!$D$5,指数分析!$D$6,2,1))</f>
        <v/>
      </c>
    </row>
    <row r="226" spans="2:9" ht="12.75" x14ac:dyDescent="0.15">
      <c r="B226" s="2" t="str">
        <f>IF(E226="","",IF(COUNTIF(E$6:E226,E226)=1,RANK(E226,E:E,0),RANK(E226,E:E,0)+COUNTIF(E$6:E226,E226)-1))</f>
        <v/>
      </c>
      <c r="C226" s="2" t="str">
        <f t="shared" si="18"/>
        <v/>
      </c>
      <c r="D226" s="3" t="str">
        <f t="shared" si="19"/>
        <v/>
      </c>
      <c r="E226" s="5" t="str">
        <f>IF(C226="","",[1]!f_pq_pctchange(VLOOKUP(C226,worldfield,2,FALSE),指数分析!$D$5,指数分析!$D$6)/100)</f>
        <v/>
      </c>
      <c r="F226" s="5" t="str">
        <f t="shared" ref="F226:F268" si="23">IF(C226="","",VLOOKUP(C226,B:E,3,FALSE))</f>
        <v/>
      </c>
      <c r="G226" s="5" t="str">
        <f t="shared" ref="G226:G268" si="24">IF(C226="","",VLOOKUP(C226,B:E,4,FALSE))</f>
        <v/>
      </c>
      <c r="H226" s="5" t="str">
        <f t="shared" ref="H226:H268" si="25">IF(C226="","",F226&amp;":"&amp;TEXT(G226,"0.0%"))</f>
        <v/>
      </c>
      <c r="I226" s="12" t="str">
        <f>IF(H226="","",[1]!s_risk_stdevy(LEFT(H226,FIND(".",H226)+2),指数分析!$D$5,指数分析!$D$6,2,1))</f>
        <v/>
      </c>
    </row>
    <row r="227" spans="2:9" ht="12.75" x14ac:dyDescent="0.15">
      <c r="B227" s="2" t="str">
        <f>IF(E227="","",IF(COUNTIF(E$6:E227,E227)=1,RANK(E227,E:E,0),RANK(E227,E:E,0)+COUNTIF(E$6:E227,E227)-1))</f>
        <v/>
      </c>
      <c r="C227" s="2" t="str">
        <f t="shared" si="18"/>
        <v/>
      </c>
      <c r="D227" s="3" t="str">
        <f t="shared" si="19"/>
        <v/>
      </c>
      <c r="E227" s="5" t="str">
        <f>IF(C227="","",[1]!f_pq_pctchange(VLOOKUP(C227,worldfield,2,FALSE),指数分析!$D$5,指数分析!$D$6)/100)</f>
        <v/>
      </c>
      <c r="F227" s="5" t="str">
        <f t="shared" si="23"/>
        <v/>
      </c>
      <c r="G227" s="5" t="str">
        <f t="shared" si="24"/>
        <v/>
      </c>
      <c r="H227" s="5" t="str">
        <f t="shared" si="25"/>
        <v/>
      </c>
      <c r="I227" s="12" t="str">
        <f>IF(H227="","",[1]!s_risk_stdevy(LEFT(H227,FIND(".",H227)+2),指数分析!$D$5,指数分析!$D$6,2,1))</f>
        <v/>
      </c>
    </row>
    <row r="228" spans="2:9" ht="12.75" x14ac:dyDescent="0.15">
      <c r="B228" s="2" t="str">
        <f>IF(E228="","",IF(COUNTIF(E$6:E228,E228)=1,RANK(E228,E:E,0),RANK(E228,E:E,0)+COUNTIF(E$6:E228,E228)-1))</f>
        <v/>
      </c>
      <c r="C228" s="2" t="str">
        <f t="shared" si="18"/>
        <v/>
      </c>
      <c r="D228" s="3" t="str">
        <f t="shared" si="19"/>
        <v/>
      </c>
      <c r="E228" s="5" t="str">
        <f>IF(C228="","",[1]!f_pq_pctchange(VLOOKUP(C228,worldfield,2,FALSE),指数分析!$D$5,指数分析!$D$6)/100)</f>
        <v/>
      </c>
      <c r="F228" s="5" t="str">
        <f t="shared" si="23"/>
        <v/>
      </c>
      <c r="G228" s="5" t="str">
        <f t="shared" si="24"/>
        <v/>
      </c>
      <c r="H228" s="5" t="str">
        <f t="shared" si="25"/>
        <v/>
      </c>
      <c r="I228" s="12" t="str">
        <f>IF(H228="","",[1]!s_risk_stdevy(LEFT(H228,FIND(".",H228)+2),指数分析!$D$5,指数分析!$D$6,2,1))</f>
        <v/>
      </c>
    </row>
    <row r="229" spans="2:9" ht="12.75" x14ac:dyDescent="0.15">
      <c r="B229" s="2" t="str">
        <f>IF(E229="","",IF(COUNTIF(E$6:E229,E229)=1,RANK(E229,E:E,0),RANK(E229,E:E,0)+COUNTIF(E$6:E229,E229)-1))</f>
        <v/>
      </c>
      <c r="C229" s="2" t="str">
        <f t="shared" si="18"/>
        <v/>
      </c>
      <c r="D229" s="3" t="str">
        <f t="shared" si="19"/>
        <v/>
      </c>
      <c r="E229" s="5" t="str">
        <f>IF(C229="","",[1]!f_pq_pctchange(VLOOKUP(C229,worldfield,2,FALSE),指数分析!$D$5,指数分析!$D$6)/100)</f>
        <v/>
      </c>
      <c r="F229" s="5" t="str">
        <f t="shared" si="23"/>
        <v/>
      </c>
      <c r="G229" s="5" t="str">
        <f t="shared" si="24"/>
        <v/>
      </c>
      <c r="H229" s="5" t="str">
        <f t="shared" si="25"/>
        <v/>
      </c>
      <c r="I229" s="12" t="str">
        <f>IF(H229="","",[1]!s_risk_stdevy(LEFT(H229,FIND(".",H229)+2),指数分析!$D$5,指数分析!$D$6,2,1))</f>
        <v/>
      </c>
    </row>
    <row r="230" spans="2:9" ht="12.75" x14ac:dyDescent="0.15">
      <c r="B230" s="2" t="str">
        <f>IF(E230="","",IF(COUNTIF(E$6:E230,E230)=1,RANK(E230,E:E,0),RANK(E230,E:E,0)+COUNTIF(E$6:E230,E230)-1))</f>
        <v/>
      </c>
      <c r="C230" s="2" t="str">
        <f t="shared" si="18"/>
        <v/>
      </c>
      <c r="D230" s="3" t="str">
        <f t="shared" si="19"/>
        <v/>
      </c>
      <c r="E230" s="5" t="str">
        <f>IF(C230="","",[1]!f_pq_pctchange(VLOOKUP(C230,worldfield,2,FALSE),指数分析!$D$5,指数分析!$D$6)/100)</f>
        <v/>
      </c>
      <c r="F230" s="5" t="str">
        <f t="shared" si="23"/>
        <v/>
      </c>
      <c r="G230" s="5" t="str">
        <f t="shared" si="24"/>
        <v/>
      </c>
      <c r="H230" s="5" t="str">
        <f t="shared" si="25"/>
        <v/>
      </c>
      <c r="I230" s="12" t="str">
        <f>IF(H230="","",[1]!s_risk_stdevy(LEFT(H230,FIND(".",H230)+2),指数分析!$D$5,指数分析!$D$6,2,1))</f>
        <v/>
      </c>
    </row>
    <row r="231" spans="2:9" ht="12.75" x14ac:dyDescent="0.15">
      <c r="B231" s="2" t="str">
        <f>IF(E231="","",IF(COUNTIF(E$6:E231,E231)=1,RANK(E231,E:E,0),RANK(E231,E:E,0)+COUNTIF(E$6:E231,E231)-1))</f>
        <v/>
      </c>
      <c r="C231" s="2" t="str">
        <f t="shared" si="18"/>
        <v/>
      </c>
      <c r="D231" s="3" t="str">
        <f t="shared" si="19"/>
        <v/>
      </c>
      <c r="E231" s="5" t="str">
        <f>IF(C231="","",[1]!f_pq_pctchange(VLOOKUP(C231,worldfield,2,FALSE),指数分析!$D$5,指数分析!$D$6)/100)</f>
        <v/>
      </c>
      <c r="F231" s="5" t="str">
        <f t="shared" si="23"/>
        <v/>
      </c>
      <c r="G231" s="5" t="str">
        <f t="shared" si="24"/>
        <v/>
      </c>
      <c r="H231" s="5" t="str">
        <f t="shared" si="25"/>
        <v/>
      </c>
      <c r="I231" s="12" t="str">
        <f>IF(H231="","",[1]!s_risk_stdevy(LEFT(H231,FIND(".",H231)+2),指数分析!$D$5,指数分析!$D$6,2,1))</f>
        <v/>
      </c>
    </row>
    <row r="232" spans="2:9" ht="12.75" x14ac:dyDescent="0.15">
      <c r="B232" s="2" t="str">
        <f>IF(E232="","",IF(COUNTIF(E$6:E232,E232)=1,RANK(E232,E:E,0),RANK(E232,E:E,0)+COUNTIF(E$6:E232,E232)-1))</f>
        <v/>
      </c>
      <c r="C232" s="2" t="str">
        <f t="shared" si="18"/>
        <v/>
      </c>
      <c r="D232" s="3" t="str">
        <f t="shared" si="19"/>
        <v/>
      </c>
      <c r="E232" s="5" t="str">
        <f>IF(C232="","",[1]!f_pq_pctchange(VLOOKUP(C232,worldfield,2,FALSE),指数分析!$D$5,指数分析!$D$6)/100)</f>
        <v/>
      </c>
      <c r="F232" s="5" t="str">
        <f t="shared" si="23"/>
        <v/>
      </c>
      <c r="G232" s="5" t="str">
        <f t="shared" si="24"/>
        <v/>
      </c>
      <c r="H232" s="5" t="str">
        <f t="shared" si="25"/>
        <v/>
      </c>
      <c r="I232" s="12" t="str">
        <f>IF(H232="","",[1]!s_risk_stdevy(LEFT(H232,FIND(".",H232)+2),指数分析!$D$5,指数分析!$D$6,2,1))</f>
        <v/>
      </c>
    </row>
    <row r="233" spans="2:9" ht="12.75" x14ac:dyDescent="0.15">
      <c r="B233" s="2" t="str">
        <f>IF(E233="","",IF(COUNTIF(E$6:E233,E233)=1,RANK(E233,E:E,0),RANK(E233,E:E,0)+COUNTIF(E$6:E233,E233)-1))</f>
        <v/>
      </c>
      <c r="C233" s="2" t="str">
        <f t="shared" si="18"/>
        <v/>
      </c>
      <c r="D233" s="3" t="str">
        <f t="shared" si="19"/>
        <v/>
      </c>
      <c r="E233" s="5" t="str">
        <f>IF(C233="","",[1]!f_pq_pctchange(VLOOKUP(C233,worldfield,2,FALSE),指数分析!$D$5,指数分析!$D$6)/100)</f>
        <v/>
      </c>
      <c r="F233" s="5" t="str">
        <f t="shared" si="23"/>
        <v/>
      </c>
      <c r="G233" s="5" t="str">
        <f t="shared" si="24"/>
        <v/>
      </c>
      <c r="H233" s="5" t="str">
        <f t="shared" si="25"/>
        <v/>
      </c>
      <c r="I233" s="12" t="str">
        <f>IF(H233="","",[1]!s_risk_stdevy(LEFT(H233,FIND(".",H233)+2),指数分析!$D$5,指数分析!$D$6,2,1))</f>
        <v/>
      </c>
    </row>
    <row r="234" spans="2:9" ht="12.75" x14ac:dyDescent="0.15">
      <c r="B234" s="2" t="str">
        <f>IF(E234="","",IF(COUNTIF(E$6:E234,E234)=1,RANK(E234,E:E,0),RANK(E234,E:E,0)+COUNTIF(E$6:E234,E234)-1))</f>
        <v/>
      </c>
      <c r="C234" s="2" t="str">
        <f t="shared" si="18"/>
        <v/>
      </c>
      <c r="D234" s="3" t="str">
        <f t="shared" si="19"/>
        <v/>
      </c>
      <c r="E234" s="5" t="str">
        <f>IF(C234="","",[1]!f_pq_pctchange(VLOOKUP(C234,worldfield,2,FALSE),指数分析!$D$5,指数分析!$D$6)/100)</f>
        <v/>
      </c>
      <c r="F234" s="5" t="str">
        <f t="shared" si="23"/>
        <v/>
      </c>
      <c r="G234" s="5" t="str">
        <f t="shared" si="24"/>
        <v/>
      </c>
      <c r="H234" s="5" t="str">
        <f t="shared" si="25"/>
        <v/>
      </c>
      <c r="I234" s="12" t="str">
        <f>IF(H234="","",[1]!s_risk_stdevy(LEFT(H234,FIND(".",H234)+2),指数分析!$D$5,指数分析!$D$6,2,1))</f>
        <v/>
      </c>
    </row>
    <row r="235" spans="2:9" ht="12.75" x14ac:dyDescent="0.15">
      <c r="B235" s="2" t="str">
        <f>IF(E235="","",IF(COUNTIF(E$6:E235,E235)=1,RANK(E235,E:E,0),RANK(E235,E:E,0)+COUNTIF(E$6:E235,E235)-1))</f>
        <v/>
      </c>
      <c r="C235" s="2" t="str">
        <f t="shared" si="18"/>
        <v/>
      </c>
      <c r="D235" s="3" t="str">
        <f t="shared" si="19"/>
        <v/>
      </c>
      <c r="E235" s="5" t="str">
        <f>IF(C235="","",[1]!f_pq_pctchange(VLOOKUP(C235,worldfield,2,FALSE),指数分析!$D$5,指数分析!$D$6)/100)</f>
        <v/>
      </c>
      <c r="F235" s="5" t="str">
        <f t="shared" si="23"/>
        <v/>
      </c>
      <c r="G235" s="5" t="str">
        <f t="shared" si="24"/>
        <v/>
      </c>
      <c r="H235" s="5" t="str">
        <f t="shared" si="25"/>
        <v/>
      </c>
      <c r="I235" s="12" t="str">
        <f>IF(H235="","",[1]!s_risk_stdevy(LEFT(H235,FIND(".",H235)+2),指数分析!$D$5,指数分析!$D$6,2,1))</f>
        <v/>
      </c>
    </row>
    <row r="236" spans="2:9" ht="12.75" x14ac:dyDescent="0.15">
      <c r="B236" s="2" t="str">
        <f>IF(E236="","",IF(COUNTIF(E$6:E236,E236)=1,RANK(E236,E:E,0),RANK(E236,E:E,0)+COUNTIF(E$6:E236,E236)-1))</f>
        <v/>
      </c>
      <c r="C236" s="2" t="str">
        <f t="shared" si="18"/>
        <v/>
      </c>
      <c r="D236" s="3" t="str">
        <f t="shared" si="19"/>
        <v/>
      </c>
      <c r="E236" s="5" t="str">
        <f>IF(C236="","",[1]!f_pq_pctchange(VLOOKUP(C236,worldfield,2,FALSE),指数分析!$D$5,指数分析!$D$6)/100)</f>
        <v/>
      </c>
      <c r="F236" s="5" t="str">
        <f t="shared" si="23"/>
        <v/>
      </c>
      <c r="G236" s="5" t="str">
        <f t="shared" si="24"/>
        <v/>
      </c>
      <c r="H236" s="5" t="str">
        <f t="shared" si="25"/>
        <v/>
      </c>
      <c r="I236" s="12" t="str">
        <f>IF(H236="","",[1]!s_risk_stdevy(LEFT(H236,FIND(".",H236)+2),指数分析!$D$5,指数分析!$D$6,2,1))</f>
        <v/>
      </c>
    </row>
    <row r="237" spans="2:9" ht="12.75" x14ac:dyDescent="0.15">
      <c r="B237" s="2" t="str">
        <f>IF(E237="","",IF(COUNTIF(E$6:E237,E237)=1,RANK(E237,E:E,0),RANK(E237,E:E,0)+COUNTIF(E$6:E237,E237)-1))</f>
        <v/>
      </c>
      <c r="C237" s="2" t="str">
        <f t="shared" si="18"/>
        <v/>
      </c>
      <c r="D237" s="3" t="str">
        <f t="shared" si="19"/>
        <v/>
      </c>
      <c r="E237" s="5" t="str">
        <f>IF(C237="","",[1]!f_pq_pctchange(VLOOKUP(C237,worldfield,2,FALSE),指数分析!$D$5,指数分析!$D$6)/100)</f>
        <v/>
      </c>
      <c r="F237" s="5" t="str">
        <f t="shared" si="23"/>
        <v/>
      </c>
      <c r="G237" s="5" t="str">
        <f t="shared" si="24"/>
        <v/>
      </c>
      <c r="H237" s="5" t="str">
        <f t="shared" si="25"/>
        <v/>
      </c>
      <c r="I237" s="12" t="str">
        <f>IF(H237="","",[1]!s_risk_stdevy(LEFT(H237,FIND(".",H237)+2),指数分析!$D$5,指数分析!$D$6,2,1))</f>
        <v/>
      </c>
    </row>
    <row r="238" spans="2:9" ht="12.75" x14ac:dyDescent="0.15">
      <c r="B238" s="2" t="str">
        <f>IF(E238="","",IF(COUNTIF(E$6:E238,E238)=1,RANK(E238,E:E,0),RANK(E238,E:E,0)+COUNTIF(E$6:E238,E238)-1))</f>
        <v/>
      </c>
      <c r="C238" s="2" t="str">
        <f t="shared" si="18"/>
        <v/>
      </c>
      <c r="D238" s="3" t="str">
        <f t="shared" si="19"/>
        <v/>
      </c>
      <c r="E238" s="5" t="str">
        <f>IF(C238="","",[1]!f_pq_pctchange(VLOOKUP(C238,worldfield,2,FALSE),指数分析!$D$5,指数分析!$D$6)/100)</f>
        <v/>
      </c>
      <c r="F238" s="5" t="str">
        <f t="shared" si="23"/>
        <v/>
      </c>
      <c r="G238" s="5" t="str">
        <f t="shared" si="24"/>
        <v/>
      </c>
      <c r="H238" s="5" t="str">
        <f t="shared" si="25"/>
        <v/>
      </c>
      <c r="I238" s="12" t="str">
        <f>IF(H238="","",[1]!s_risk_stdevy(LEFT(H238,FIND(".",H238)+2),指数分析!$D$5,指数分析!$D$6,2,1))</f>
        <v/>
      </c>
    </row>
    <row r="239" spans="2:9" ht="12.75" x14ac:dyDescent="0.15">
      <c r="B239" s="2" t="str">
        <f>IF(E239="","",IF(COUNTIF(E$6:E239,E239)=1,RANK(E239,E:E,0),RANK(E239,E:E,0)+COUNTIF(E$6:E239,E239)-1))</f>
        <v/>
      </c>
      <c r="C239" s="2" t="str">
        <f t="shared" si="18"/>
        <v/>
      </c>
      <c r="D239" s="3" t="str">
        <f t="shared" si="19"/>
        <v/>
      </c>
      <c r="E239" s="5" t="str">
        <f>IF(C239="","",[1]!f_pq_pctchange(VLOOKUP(C239,worldfield,2,FALSE),指数分析!$D$5,指数分析!$D$6)/100)</f>
        <v/>
      </c>
      <c r="F239" s="5" t="str">
        <f t="shared" si="23"/>
        <v/>
      </c>
      <c r="G239" s="5" t="str">
        <f t="shared" si="24"/>
        <v/>
      </c>
      <c r="H239" s="5" t="str">
        <f t="shared" si="25"/>
        <v/>
      </c>
      <c r="I239" s="12" t="str">
        <f>IF(H239="","",[1]!s_risk_stdevy(LEFT(H239,FIND(".",H239)+2),指数分析!$D$5,指数分析!$D$6,2,1))</f>
        <v/>
      </c>
    </row>
    <row r="240" spans="2:9" ht="12.75" x14ac:dyDescent="0.15">
      <c r="B240" s="2" t="str">
        <f>IF(E240="","",IF(COUNTIF(E$6:E240,E240)=1,RANK(E240,E:E,0),RANK(E240,E:E,0)+COUNTIF(E$6:E240,E240)-1))</f>
        <v/>
      </c>
      <c r="C240" s="2" t="str">
        <f t="shared" si="18"/>
        <v/>
      </c>
      <c r="D240" s="3" t="str">
        <f t="shared" si="19"/>
        <v/>
      </c>
      <c r="E240" s="5" t="str">
        <f>IF(C240="","",[1]!f_pq_pctchange(VLOOKUP(C240,worldfield,2,FALSE),指数分析!$D$5,指数分析!$D$6)/100)</f>
        <v/>
      </c>
      <c r="F240" s="5" t="str">
        <f t="shared" si="23"/>
        <v/>
      </c>
      <c r="G240" s="5" t="str">
        <f t="shared" si="24"/>
        <v/>
      </c>
      <c r="H240" s="5" t="str">
        <f t="shared" si="25"/>
        <v/>
      </c>
      <c r="I240" s="12" t="str">
        <f>IF(H240="","",[1]!s_risk_stdevy(LEFT(H240,FIND(".",H240)+2),指数分析!$D$5,指数分析!$D$6,2,1))</f>
        <v/>
      </c>
    </row>
    <row r="241" spans="2:9" ht="12.75" x14ac:dyDescent="0.15">
      <c r="B241" s="2" t="str">
        <f>IF(E241="","",IF(COUNTIF(E$6:E241,E241)=1,RANK(E241,E:E,0),RANK(E241,E:E,0)+COUNTIF(E$6:E241,E241)-1))</f>
        <v/>
      </c>
      <c r="C241" s="2" t="str">
        <f t="shared" si="18"/>
        <v/>
      </c>
      <c r="D241" s="3" t="str">
        <f t="shared" si="19"/>
        <v/>
      </c>
      <c r="E241" s="5" t="str">
        <f>IF(C241="","",[1]!f_pq_pctchange(VLOOKUP(C241,worldfield,2,FALSE),指数分析!$D$5,指数分析!$D$6)/100)</f>
        <v/>
      </c>
      <c r="F241" s="5" t="str">
        <f t="shared" si="23"/>
        <v/>
      </c>
      <c r="G241" s="5" t="str">
        <f t="shared" si="24"/>
        <v/>
      </c>
      <c r="H241" s="5" t="str">
        <f t="shared" si="25"/>
        <v/>
      </c>
      <c r="I241" s="12" t="str">
        <f>IF(H241="","",[1]!s_risk_stdevy(LEFT(H241,FIND(".",H241)+2),指数分析!$D$5,指数分析!$D$6,2,1))</f>
        <v/>
      </c>
    </row>
    <row r="242" spans="2:9" ht="12.75" x14ac:dyDescent="0.15">
      <c r="B242" s="2" t="str">
        <f>IF(E242="","",IF(COUNTIF(E$6:E242,E242)=1,RANK(E242,E:E,0),RANK(E242,E:E,0)+COUNTIF(E$6:E242,E242)-1))</f>
        <v/>
      </c>
      <c r="C242" s="2" t="str">
        <f t="shared" si="18"/>
        <v/>
      </c>
      <c r="D242" s="3" t="str">
        <f t="shared" si="19"/>
        <v/>
      </c>
      <c r="E242" s="5" t="str">
        <f>IF(C242="","",[1]!f_pq_pctchange(VLOOKUP(C242,worldfield,2,FALSE),指数分析!$D$5,指数分析!$D$6)/100)</f>
        <v/>
      </c>
      <c r="F242" s="5" t="str">
        <f t="shared" si="23"/>
        <v/>
      </c>
      <c r="G242" s="5" t="str">
        <f t="shared" si="24"/>
        <v/>
      </c>
      <c r="H242" s="5" t="str">
        <f t="shared" si="25"/>
        <v/>
      </c>
      <c r="I242" s="12" t="str">
        <f>IF(H242="","",[1]!s_risk_stdevy(LEFT(H242,FIND(".",H242)+2),指数分析!$D$5,指数分析!$D$6,2,1))</f>
        <v/>
      </c>
    </row>
    <row r="243" spans="2:9" ht="12.75" x14ac:dyDescent="0.15">
      <c r="B243" s="2" t="str">
        <f>IF(E243="","",IF(COUNTIF(E$6:E243,E243)=1,RANK(E243,E:E,0),RANK(E243,E:E,0)+COUNTIF(E$6:E243,E243)-1))</f>
        <v/>
      </c>
      <c r="C243" s="2" t="str">
        <f t="shared" si="18"/>
        <v/>
      </c>
      <c r="D243" s="3" t="str">
        <f t="shared" si="19"/>
        <v/>
      </c>
      <c r="E243" s="5" t="str">
        <f>IF(C243="","",[1]!f_pq_pctchange(VLOOKUP(C243,worldfield,2,FALSE),指数分析!$D$5,指数分析!$D$6)/100)</f>
        <v/>
      </c>
      <c r="F243" s="5" t="str">
        <f t="shared" si="23"/>
        <v/>
      </c>
      <c r="G243" s="5" t="str">
        <f t="shared" si="24"/>
        <v/>
      </c>
      <c r="H243" s="5" t="str">
        <f t="shared" si="25"/>
        <v/>
      </c>
      <c r="I243" s="12" t="str">
        <f>IF(H243="","",[1]!s_risk_stdevy(LEFT(H243,FIND(".",H243)+2),指数分析!$D$5,指数分析!$D$6,2,1))</f>
        <v/>
      </c>
    </row>
    <row r="244" spans="2:9" ht="12.75" x14ac:dyDescent="0.15">
      <c r="B244" s="2" t="str">
        <f>IF(E244="","",IF(COUNTIF(E$6:E244,E244)=1,RANK(E244,E:E,0),RANK(E244,E:E,0)+COUNTIF(E$6:E244,E244)-1))</f>
        <v/>
      </c>
      <c r="C244" s="2" t="str">
        <f t="shared" si="18"/>
        <v/>
      </c>
      <c r="D244" s="3" t="str">
        <f t="shared" si="19"/>
        <v/>
      </c>
      <c r="E244" s="5" t="str">
        <f>IF(C244="","",[1]!f_pq_pctchange(VLOOKUP(C244,worldfield,2,FALSE),指数分析!$D$5,指数分析!$D$6)/100)</f>
        <v/>
      </c>
      <c r="F244" s="5" t="str">
        <f t="shared" si="23"/>
        <v/>
      </c>
      <c r="G244" s="5" t="str">
        <f t="shared" si="24"/>
        <v/>
      </c>
      <c r="H244" s="5" t="str">
        <f t="shared" si="25"/>
        <v/>
      </c>
      <c r="I244" s="12" t="str">
        <f>IF(H244="","",[1]!s_risk_stdevy(LEFT(H244,FIND(".",H244)+2),指数分析!$D$5,指数分析!$D$6,2,1))</f>
        <v/>
      </c>
    </row>
    <row r="245" spans="2:9" ht="12.75" x14ac:dyDescent="0.15">
      <c r="B245" s="2" t="str">
        <f>IF(E245="","",IF(COUNTIF(E$6:E245,E245)=1,RANK(E245,E:E,0),RANK(E245,E:E,0)+COUNTIF(E$6:E245,E245)-1))</f>
        <v/>
      </c>
      <c r="C245" s="2" t="str">
        <f t="shared" si="18"/>
        <v/>
      </c>
      <c r="D245" s="3" t="str">
        <f t="shared" si="19"/>
        <v/>
      </c>
      <c r="E245" s="5" t="str">
        <f>IF(C245="","",[1]!f_pq_pctchange(VLOOKUP(C245,worldfield,2,FALSE),指数分析!$D$5,指数分析!$D$6)/100)</f>
        <v/>
      </c>
      <c r="F245" s="5" t="str">
        <f t="shared" si="23"/>
        <v/>
      </c>
      <c r="G245" s="5" t="str">
        <f t="shared" si="24"/>
        <v/>
      </c>
      <c r="H245" s="5" t="str">
        <f t="shared" si="25"/>
        <v/>
      </c>
      <c r="I245" s="12" t="str">
        <f>IF(H245="","",[1]!s_risk_stdevy(LEFT(H245,FIND(".",H245)+2),指数分析!$D$5,指数分析!$D$6,2,1))</f>
        <v/>
      </c>
    </row>
    <row r="246" spans="2:9" ht="12.75" x14ac:dyDescent="0.15">
      <c r="B246" s="2" t="str">
        <f>IF(E246="","",IF(COUNTIF(E$6:E246,E246)=1,RANK(E246,E:E,0),RANK(E246,E:E,0)+COUNTIF(E$6:E246,E246)-1))</f>
        <v/>
      </c>
      <c r="C246" s="2" t="str">
        <f t="shared" si="18"/>
        <v/>
      </c>
      <c r="D246" s="3" t="str">
        <f t="shared" si="19"/>
        <v/>
      </c>
      <c r="E246" s="5" t="str">
        <f>IF(C246="","",[1]!f_pq_pctchange(VLOOKUP(C246,worldfield,2,FALSE),指数分析!$D$5,指数分析!$D$6)/100)</f>
        <v/>
      </c>
      <c r="F246" s="5" t="str">
        <f t="shared" si="23"/>
        <v/>
      </c>
      <c r="G246" s="5" t="str">
        <f t="shared" si="24"/>
        <v/>
      </c>
      <c r="H246" s="5" t="str">
        <f t="shared" si="25"/>
        <v/>
      </c>
      <c r="I246" s="12" t="str">
        <f>IF(H246="","",[1]!s_risk_stdevy(LEFT(H246,FIND(".",H246)+2),指数分析!$D$5,指数分析!$D$6,2,1))</f>
        <v/>
      </c>
    </row>
    <row r="247" spans="2:9" ht="12.75" x14ac:dyDescent="0.15">
      <c r="B247" s="2" t="str">
        <f>IF(E247="","",IF(COUNTIF(E$6:E247,E247)=1,RANK(E247,E:E,0),RANK(E247,E:E,0)+COUNTIF(E$6:E247,E247)-1))</f>
        <v/>
      </c>
      <c r="C247" s="2" t="str">
        <f t="shared" si="18"/>
        <v/>
      </c>
      <c r="D247" s="3" t="str">
        <f t="shared" si="19"/>
        <v/>
      </c>
      <c r="E247" s="5" t="str">
        <f>IF(C247="","",[1]!f_pq_pctchange(VLOOKUP(C247,worldfield,2,FALSE),指数分析!$D$5,指数分析!$D$6)/100)</f>
        <v/>
      </c>
      <c r="F247" s="5" t="str">
        <f t="shared" si="23"/>
        <v/>
      </c>
      <c r="G247" s="5" t="str">
        <f t="shared" si="24"/>
        <v/>
      </c>
      <c r="H247" s="5" t="str">
        <f t="shared" si="25"/>
        <v/>
      </c>
      <c r="I247" s="12" t="str">
        <f>IF(H247="","",[1]!s_risk_stdevy(LEFT(H247,FIND(".",H247)+2),指数分析!$D$5,指数分析!$D$6,2,1))</f>
        <v/>
      </c>
    </row>
    <row r="248" spans="2:9" ht="12.75" x14ac:dyDescent="0.15">
      <c r="B248" s="2" t="str">
        <f>IF(E248="","",IF(COUNTIF(E$6:E248,E248)=1,RANK(E248,E:E,0),RANK(E248,E:E,0)+COUNTIF(E$6:E248,E248)-1))</f>
        <v/>
      </c>
      <c r="C248" s="2" t="str">
        <f t="shared" si="18"/>
        <v/>
      </c>
      <c r="D248" s="3" t="str">
        <f t="shared" si="19"/>
        <v/>
      </c>
      <c r="E248" s="5" t="str">
        <f>IF(C248="","",[1]!f_pq_pctchange(VLOOKUP(C248,worldfield,2,FALSE),指数分析!$D$5,指数分析!$D$6)/100)</f>
        <v/>
      </c>
      <c r="F248" s="5" t="str">
        <f t="shared" si="23"/>
        <v/>
      </c>
      <c r="G248" s="5" t="str">
        <f t="shared" si="24"/>
        <v/>
      </c>
      <c r="H248" s="5" t="str">
        <f t="shared" si="25"/>
        <v/>
      </c>
      <c r="I248" s="12" t="str">
        <f>IF(H248="","",[1]!s_risk_stdevy(LEFT(H248,FIND(".",H248)+2),指数分析!$D$5,指数分析!$D$6,2,1))</f>
        <v/>
      </c>
    </row>
    <row r="249" spans="2:9" ht="12.75" x14ac:dyDescent="0.15">
      <c r="B249" s="2" t="str">
        <f>IF(E249="","",IF(COUNTIF(E$6:E249,E249)=1,RANK(E249,E:E,0),RANK(E249,E:E,0)+COUNTIF(E$6:E249,E249)-1))</f>
        <v/>
      </c>
      <c r="C249" s="2" t="str">
        <f t="shared" si="18"/>
        <v/>
      </c>
      <c r="D249" s="3" t="str">
        <f t="shared" si="19"/>
        <v/>
      </c>
      <c r="E249" s="5" t="str">
        <f>IF(C249="","",[1]!f_pq_pctchange(VLOOKUP(C249,worldfield,2,FALSE),指数分析!$D$5,指数分析!$D$6)/100)</f>
        <v/>
      </c>
      <c r="F249" s="5" t="str">
        <f t="shared" si="23"/>
        <v/>
      </c>
      <c r="G249" s="5" t="str">
        <f t="shared" si="24"/>
        <v/>
      </c>
      <c r="H249" s="5" t="str">
        <f t="shared" si="25"/>
        <v/>
      </c>
      <c r="I249" s="12" t="str">
        <f>IF(H249="","",[1]!s_risk_stdevy(LEFT(H249,FIND(".",H249)+2),指数分析!$D$5,指数分析!$D$6,2,1))</f>
        <v/>
      </c>
    </row>
    <row r="250" spans="2:9" ht="12.75" x14ac:dyDescent="0.15">
      <c r="B250" s="2" t="str">
        <f>IF(E250="","",IF(COUNTIF(E$6:E250,E250)=1,RANK(E250,E:E,0),RANK(E250,E:E,0)+COUNTIF(E$6:E250,E250)-1))</f>
        <v/>
      </c>
      <c r="C250" s="2" t="str">
        <f t="shared" si="18"/>
        <v/>
      </c>
      <c r="D250" s="3" t="str">
        <f t="shared" si="19"/>
        <v/>
      </c>
      <c r="E250" s="5" t="str">
        <f>IF(C250="","",[1]!f_pq_pctchange(VLOOKUP(C250,worldfield,2,FALSE),指数分析!$D$5,指数分析!$D$6)/100)</f>
        <v/>
      </c>
      <c r="F250" s="5" t="str">
        <f t="shared" si="23"/>
        <v/>
      </c>
      <c r="G250" s="5" t="str">
        <f t="shared" si="24"/>
        <v/>
      </c>
      <c r="H250" s="5" t="str">
        <f t="shared" si="25"/>
        <v/>
      </c>
      <c r="I250" s="12" t="str">
        <f>IF(H250="","",[1]!s_risk_stdevy(LEFT(H250,FIND(".",H250)+2),指数分析!$D$5,指数分析!$D$6,2,1))</f>
        <v/>
      </c>
    </row>
    <row r="251" spans="2:9" ht="12.75" x14ac:dyDescent="0.15">
      <c r="B251" s="2" t="str">
        <f>IF(E251="","",IF(COUNTIF(E$6:E251,E251)=1,RANK(E251,E:E,0),RANK(E251,E:E,0)+COUNTIF(E$6:E251,E251)-1))</f>
        <v/>
      </c>
      <c r="C251" s="2" t="str">
        <f t="shared" si="18"/>
        <v/>
      </c>
      <c r="D251" s="3" t="str">
        <f t="shared" si="19"/>
        <v/>
      </c>
      <c r="E251" s="5" t="str">
        <f>IF(C251="","",[1]!f_pq_pctchange(VLOOKUP(C251,worldfield,2,FALSE),指数分析!$D$5,指数分析!$D$6)/100)</f>
        <v/>
      </c>
      <c r="F251" s="5" t="str">
        <f t="shared" si="23"/>
        <v/>
      </c>
      <c r="G251" s="5" t="str">
        <f t="shared" si="24"/>
        <v/>
      </c>
      <c r="H251" s="5" t="str">
        <f t="shared" si="25"/>
        <v/>
      </c>
      <c r="I251" s="12" t="str">
        <f>IF(H251="","",[1]!s_risk_stdevy(LEFT(H251,FIND(".",H251)+2),指数分析!$D$5,指数分析!$D$6,2,1))</f>
        <v/>
      </c>
    </row>
    <row r="252" spans="2:9" ht="12.75" x14ac:dyDescent="0.15">
      <c r="B252" s="2" t="str">
        <f>IF(E252="","",IF(COUNTIF(E$6:E252,E252)=1,RANK(E252,E:E,0),RANK(E252,E:E,0)+COUNTIF(E$6:E252,E252)-1))</f>
        <v/>
      </c>
      <c r="C252" s="2" t="str">
        <f t="shared" si="18"/>
        <v/>
      </c>
      <c r="D252" s="3" t="str">
        <f t="shared" si="19"/>
        <v/>
      </c>
      <c r="E252" s="5" t="str">
        <f>IF(C252="","",[1]!f_pq_pctchange(VLOOKUP(C252,worldfield,2,FALSE),指数分析!$D$5,指数分析!$D$6)/100)</f>
        <v/>
      </c>
      <c r="F252" s="5" t="str">
        <f t="shared" si="23"/>
        <v/>
      </c>
      <c r="G252" s="5" t="str">
        <f t="shared" si="24"/>
        <v/>
      </c>
      <c r="H252" s="5" t="str">
        <f t="shared" si="25"/>
        <v/>
      </c>
      <c r="I252" s="12" t="str">
        <f>IF(H252="","",[1]!s_risk_stdevy(LEFT(H252,FIND(".",H252)+2),指数分析!$D$5,指数分析!$D$6,2,1))</f>
        <v/>
      </c>
    </row>
    <row r="253" spans="2:9" ht="12.75" x14ac:dyDescent="0.15">
      <c r="B253" s="2" t="str">
        <f>IF(E253="","",IF(COUNTIF(E$6:E253,E253)=1,RANK(E253,E:E,0),RANK(E253,E:E,0)+COUNTIF(E$6:E253,E253)-1))</f>
        <v/>
      </c>
      <c r="C253" s="2" t="str">
        <f t="shared" si="18"/>
        <v/>
      </c>
      <c r="D253" s="3" t="str">
        <f t="shared" si="19"/>
        <v/>
      </c>
      <c r="E253" s="5" t="str">
        <f>IF(C253="","",[1]!f_pq_pctchange(VLOOKUP(C253,worldfield,2,FALSE),指数分析!$D$5,指数分析!$D$6)/100)</f>
        <v/>
      </c>
      <c r="F253" s="5" t="str">
        <f t="shared" si="23"/>
        <v/>
      </c>
      <c r="G253" s="5" t="str">
        <f t="shared" si="24"/>
        <v/>
      </c>
      <c r="H253" s="5" t="str">
        <f t="shared" si="25"/>
        <v/>
      </c>
      <c r="I253" s="12" t="str">
        <f>IF(H253="","",[1]!s_risk_stdevy(LEFT(H253,FIND(".",H253)+2),指数分析!$D$5,指数分析!$D$6,2,1))</f>
        <v/>
      </c>
    </row>
    <row r="254" spans="2:9" ht="12.75" x14ac:dyDescent="0.15">
      <c r="B254" s="2" t="str">
        <f>IF(E254="","",IF(COUNTIF(E$6:E254,E254)=1,RANK(E254,E:E,0),RANK(E254,E:E,0)+COUNTIF(E$6:E254,E254)-1))</f>
        <v/>
      </c>
      <c r="C254" s="2" t="str">
        <f t="shared" si="18"/>
        <v/>
      </c>
      <c r="D254" s="3" t="str">
        <f t="shared" si="19"/>
        <v/>
      </c>
      <c r="E254" s="5" t="str">
        <f>IF(C254="","",[1]!f_pq_pctchange(VLOOKUP(C254,worldfield,2,FALSE),指数分析!$D$5,指数分析!$D$6)/100)</f>
        <v/>
      </c>
      <c r="F254" s="5" t="str">
        <f t="shared" si="23"/>
        <v/>
      </c>
      <c r="G254" s="5" t="str">
        <f t="shared" si="24"/>
        <v/>
      </c>
      <c r="H254" s="5" t="str">
        <f t="shared" si="25"/>
        <v/>
      </c>
      <c r="I254" s="12" t="str">
        <f>IF(H254="","",[1]!s_risk_stdevy(LEFT(H254,FIND(".",H254)+2),指数分析!$D$5,指数分析!$D$6,2,1))</f>
        <v/>
      </c>
    </row>
    <row r="255" spans="2:9" ht="12.75" x14ac:dyDescent="0.15">
      <c r="B255" s="2" t="str">
        <f>IF(E255="","",IF(COUNTIF(E$6:E255,E255)=1,RANK(E255,E:E,0),RANK(E255,E:E,0)+COUNTIF(E$6:E255,E255)-1))</f>
        <v/>
      </c>
      <c r="C255" s="2" t="str">
        <f t="shared" si="18"/>
        <v/>
      </c>
      <c r="D255" s="3" t="str">
        <f t="shared" si="19"/>
        <v/>
      </c>
      <c r="E255" s="5" t="str">
        <f>IF(C255="","",[1]!f_pq_pctchange(VLOOKUP(C255,worldfield,2,FALSE),指数分析!$D$5,指数分析!$D$6)/100)</f>
        <v/>
      </c>
      <c r="F255" s="5" t="str">
        <f t="shared" si="23"/>
        <v/>
      </c>
      <c r="G255" s="5" t="str">
        <f t="shared" si="24"/>
        <v/>
      </c>
      <c r="H255" s="5" t="str">
        <f t="shared" si="25"/>
        <v/>
      </c>
      <c r="I255" s="12" t="str">
        <f>IF(H255="","",[1]!s_risk_stdevy(LEFT(H255,FIND(".",H255)+2),指数分析!$D$5,指数分析!$D$6,2,1))</f>
        <v/>
      </c>
    </row>
    <row r="256" spans="2:9" ht="12.75" x14ac:dyDescent="0.15">
      <c r="B256" s="2" t="str">
        <f>IF(E256="","",IF(COUNTIF(E$6:E256,E256)=1,RANK(E256,E:E,0),RANK(E256,E:E,0)+COUNTIF(E$6:E256,E256)-1))</f>
        <v/>
      </c>
      <c r="C256" s="2" t="str">
        <f t="shared" si="18"/>
        <v/>
      </c>
      <c r="D256" s="3" t="str">
        <f t="shared" si="19"/>
        <v/>
      </c>
      <c r="E256" s="5" t="str">
        <f>IF(C256="","",[1]!f_pq_pctchange(VLOOKUP(C256,worldfield,2,FALSE),指数分析!$D$5,指数分析!$D$6)/100)</f>
        <v/>
      </c>
      <c r="F256" s="5" t="str">
        <f t="shared" si="23"/>
        <v/>
      </c>
      <c r="G256" s="5" t="str">
        <f t="shared" si="24"/>
        <v/>
      </c>
      <c r="H256" s="5" t="str">
        <f t="shared" si="25"/>
        <v/>
      </c>
      <c r="I256" s="12" t="str">
        <f>IF(H256="","",[1]!s_risk_stdevy(LEFT(H256,FIND(".",H256)+2),指数分析!$D$5,指数分析!$D$6,2,1))</f>
        <v/>
      </c>
    </row>
    <row r="257" spans="2:9" ht="12.75" x14ac:dyDescent="0.15">
      <c r="B257" s="2" t="str">
        <f>IF(E257="","",IF(COUNTIF(E$6:E257,E257)=1,RANK(E257,E:E,0),RANK(E257,E:E,0)+COUNTIF(E$6:E257,E257)-1))</f>
        <v/>
      </c>
      <c r="C257" s="2" t="str">
        <f t="shared" si="18"/>
        <v/>
      </c>
      <c r="D257" s="3" t="str">
        <f t="shared" si="19"/>
        <v/>
      </c>
      <c r="E257" s="5" t="str">
        <f>IF(C257="","",[1]!f_pq_pctchange(VLOOKUP(C257,worldfield,2,FALSE),指数分析!$D$5,指数分析!$D$6)/100)</f>
        <v/>
      </c>
      <c r="F257" s="5" t="str">
        <f t="shared" si="23"/>
        <v/>
      </c>
      <c r="G257" s="5" t="str">
        <f t="shared" si="24"/>
        <v/>
      </c>
      <c r="H257" s="5" t="str">
        <f t="shared" si="25"/>
        <v/>
      </c>
      <c r="I257" s="12" t="str">
        <f>IF(H257="","",[1]!s_risk_stdevy(LEFT(H257,FIND(".",H257)+2),指数分析!$D$5,指数分析!$D$6,2,1))</f>
        <v/>
      </c>
    </row>
    <row r="258" spans="2:9" ht="12.75" x14ac:dyDescent="0.15">
      <c r="B258" s="2" t="str">
        <f>IF(E258="","",IF(COUNTIF(E$6:E258,E258)=1,RANK(E258,E:E,0),RANK(E258,E:E,0)+COUNTIF(E$6:E258,E258)-1))</f>
        <v/>
      </c>
      <c r="C258" s="2" t="str">
        <f t="shared" si="18"/>
        <v/>
      </c>
      <c r="D258" s="3" t="str">
        <f t="shared" si="19"/>
        <v/>
      </c>
      <c r="E258" s="5" t="str">
        <f>IF(C258="","",[1]!f_pq_pctchange(VLOOKUP(C258,worldfield,2,FALSE),指数分析!$D$5,指数分析!$D$6)/100)</f>
        <v/>
      </c>
      <c r="F258" s="5" t="str">
        <f t="shared" si="23"/>
        <v/>
      </c>
      <c r="G258" s="5" t="str">
        <f t="shared" si="24"/>
        <v/>
      </c>
      <c r="H258" s="5" t="str">
        <f t="shared" si="25"/>
        <v/>
      </c>
      <c r="I258" s="12" t="str">
        <f>IF(H258="","",[1]!s_risk_stdevy(LEFT(H258,FIND(".",H258)+2),指数分析!$D$5,指数分析!$D$6,2,1))</f>
        <v/>
      </c>
    </row>
    <row r="259" spans="2:9" ht="12.75" x14ac:dyDescent="0.15">
      <c r="B259" s="2" t="str">
        <f>IF(E259="","",IF(COUNTIF(E$6:E259,E259)=1,RANK(E259,E:E,0),RANK(E259,E:E,0)+COUNTIF(E$6:E259,E259)-1))</f>
        <v/>
      </c>
      <c r="C259" s="2" t="str">
        <f t="shared" si="18"/>
        <v/>
      </c>
      <c r="D259" s="3" t="str">
        <f t="shared" si="19"/>
        <v/>
      </c>
      <c r="E259" s="5" t="str">
        <f>IF(C259="","",[1]!f_pq_pctchange(VLOOKUP(C259,worldfield,2,FALSE),指数分析!$D$5,指数分析!$D$6)/100)</f>
        <v/>
      </c>
      <c r="F259" s="5" t="str">
        <f t="shared" si="23"/>
        <v/>
      </c>
      <c r="G259" s="5" t="str">
        <f t="shared" si="24"/>
        <v/>
      </c>
      <c r="H259" s="5" t="str">
        <f t="shared" si="25"/>
        <v/>
      </c>
      <c r="I259" s="12" t="str">
        <f>IF(H259="","",[1]!s_risk_stdevy(LEFT(H259,FIND(".",H259)+2),指数分析!$D$5,指数分析!$D$6,2,1))</f>
        <v/>
      </c>
    </row>
    <row r="260" spans="2:9" ht="12.75" x14ac:dyDescent="0.15">
      <c r="B260" s="2" t="str">
        <f>IF(E260="","",IF(COUNTIF(E$6:E260,E260)=1,RANK(E260,E:E,0),RANK(E260,E:E,0)+COUNTIF(E$6:E260,E260)-1))</f>
        <v/>
      </c>
      <c r="C260" s="2" t="str">
        <f t="shared" si="18"/>
        <v/>
      </c>
      <c r="D260" s="3" t="str">
        <f t="shared" si="19"/>
        <v/>
      </c>
      <c r="E260" s="5" t="str">
        <f>IF(C260="","",[1]!f_pq_pctchange(VLOOKUP(C260,worldfield,2,FALSE),指数分析!$D$5,指数分析!$D$6)/100)</f>
        <v/>
      </c>
      <c r="F260" s="5" t="str">
        <f t="shared" si="23"/>
        <v/>
      </c>
      <c r="G260" s="5" t="str">
        <f t="shared" si="24"/>
        <v/>
      </c>
      <c r="H260" s="5" t="str">
        <f t="shared" si="25"/>
        <v/>
      </c>
      <c r="I260" s="12" t="str">
        <f>IF(H260="","",[1]!s_risk_stdevy(LEFT(H260,FIND(".",H260)+2),指数分析!$D$5,指数分析!$D$6,2,1))</f>
        <v/>
      </c>
    </row>
    <row r="261" spans="2:9" ht="12.75" x14ac:dyDescent="0.15">
      <c r="B261" s="2" t="str">
        <f>IF(E261="","",IF(COUNTIF(E$6:E261,E261)=1,RANK(E261,E:E,0),RANK(E261,E:E,0)+COUNTIF(E$6:E261,E261)-1))</f>
        <v/>
      </c>
      <c r="C261" s="2" t="str">
        <f t="shared" si="18"/>
        <v/>
      </c>
      <c r="D261" s="3" t="str">
        <f t="shared" si="19"/>
        <v/>
      </c>
      <c r="E261" s="5" t="str">
        <f>IF(C261="","",[1]!f_pq_pctchange(VLOOKUP(C261,worldfield,2,FALSE),指数分析!$D$5,指数分析!$D$6)/100)</f>
        <v/>
      </c>
      <c r="F261" s="5" t="str">
        <f t="shared" si="23"/>
        <v/>
      </c>
      <c r="G261" s="5" t="str">
        <f t="shared" si="24"/>
        <v/>
      </c>
      <c r="H261" s="5" t="str">
        <f t="shared" si="25"/>
        <v/>
      </c>
      <c r="I261" s="12" t="str">
        <f>IF(H261="","",[1]!s_risk_stdevy(LEFT(H261,FIND(".",H261)+2),指数分析!$D$5,指数分析!$D$6,2,1))</f>
        <v/>
      </c>
    </row>
    <row r="262" spans="2:9" ht="12.75" x14ac:dyDescent="0.15">
      <c r="B262" s="2" t="str">
        <f>IF(E262="","",IF(COUNTIF(E$6:E262,E262)=1,RANK(E262,E:E,0),RANK(E262,E:E,0)+COUNTIF(E$6:E262,E262)-1))</f>
        <v/>
      </c>
      <c r="C262" s="2" t="str">
        <f t="shared" ref="C262:C268" si="26">IF(ROW()-ROW($C$5)&gt;worldnums,"",ROW()-ROW($C$5))</f>
        <v/>
      </c>
      <c r="D262" s="3" t="str">
        <f t="shared" ref="D262:D268" si="27">IF(C262="","",VLOOKUP(C262,worldfield,2,FALSE)&amp;VLOOKUP(C262,worldfield,3,FALSE))</f>
        <v/>
      </c>
      <c r="E262" s="5" t="str">
        <f>IF(C262="","",[1]!f_pq_pctchange(VLOOKUP(C262,worldfield,2,FALSE),指数分析!$D$5,指数分析!$D$6)/100)</f>
        <v/>
      </c>
      <c r="F262" s="5" t="str">
        <f t="shared" si="23"/>
        <v/>
      </c>
      <c r="G262" s="5" t="str">
        <f t="shared" si="24"/>
        <v/>
      </c>
      <c r="H262" s="5" t="str">
        <f t="shared" si="25"/>
        <v/>
      </c>
      <c r="I262" s="12" t="str">
        <f>IF(H262="","",[1]!s_risk_stdevy(LEFT(H262,FIND(".",H262)+2),指数分析!$D$5,指数分析!$D$6,2,1))</f>
        <v/>
      </c>
    </row>
    <row r="263" spans="2:9" ht="12.75" x14ac:dyDescent="0.15">
      <c r="B263" s="2" t="str">
        <f>IF(E263="","",IF(COUNTIF(E$6:E263,E263)=1,RANK(E263,E:E,0),RANK(E263,E:E,0)+COUNTIF(E$6:E263,E263)-1))</f>
        <v/>
      </c>
      <c r="C263" s="2" t="str">
        <f t="shared" si="26"/>
        <v/>
      </c>
      <c r="D263" s="3" t="str">
        <f t="shared" si="27"/>
        <v/>
      </c>
      <c r="E263" s="5" t="str">
        <f>IF(C263="","",[1]!f_pq_pctchange(VLOOKUP(C263,worldfield,2,FALSE),指数分析!$D$5,指数分析!$D$6)/100)</f>
        <v/>
      </c>
      <c r="F263" s="5" t="str">
        <f t="shared" si="23"/>
        <v/>
      </c>
      <c r="G263" s="5" t="str">
        <f t="shared" si="24"/>
        <v/>
      </c>
      <c r="H263" s="5" t="str">
        <f t="shared" si="25"/>
        <v/>
      </c>
      <c r="I263" s="12" t="str">
        <f>IF(H263="","",[1]!s_risk_stdevy(LEFT(H263,FIND(".",H263)+2),指数分析!$D$5,指数分析!$D$6,2,1))</f>
        <v/>
      </c>
    </row>
    <row r="264" spans="2:9" ht="12.75" x14ac:dyDescent="0.15">
      <c r="B264" s="2" t="str">
        <f>IF(E264="","",IF(COUNTIF(E$6:E264,E264)=1,RANK(E264,E:E,0),RANK(E264,E:E,0)+COUNTIF(E$6:E264,E264)-1))</f>
        <v/>
      </c>
      <c r="C264" s="2" t="str">
        <f t="shared" si="26"/>
        <v/>
      </c>
      <c r="D264" s="3" t="str">
        <f t="shared" si="27"/>
        <v/>
      </c>
      <c r="E264" s="5" t="str">
        <f>IF(C264="","",[1]!f_pq_pctchange(VLOOKUP(C264,worldfield,2,FALSE),指数分析!$D$5,指数分析!$D$6)/100)</f>
        <v/>
      </c>
      <c r="F264" s="5" t="str">
        <f t="shared" si="23"/>
        <v/>
      </c>
      <c r="G264" s="5" t="str">
        <f t="shared" si="24"/>
        <v/>
      </c>
      <c r="H264" s="5" t="str">
        <f t="shared" si="25"/>
        <v/>
      </c>
      <c r="I264" s="12" t="str">
        <f>IF(H264="","",[1]!s_risk_stdevy(LEFT(H264,FIND(".",H264)+2),指数分析!$D$5,指数分析!$D$6,2,1))</f>
        <v/>
      </c>
    </row>
    <row r="265" spans="2:9" ht="12.75" x14ac:dyDescent="0.15">
      <c r="B265" s="2" t="str">
        <f>IF(E265="","",IF(COUNTIF(E$6:E265,E265)=1,RANK(E265,E:E,0),RANK(E265,E:E,0)+COUNTIF(E$6:E265,E265)-1))</f>
        <v/>
      </c>
      <c r="C265" s="2" t="str">
        <f t="shared" si="26"/>
        <v/>
      </c>
      <c r="D265" s="3" t="str">
        <f t="shared" si="27"/>
        <v/>
      </c>
      <c r="E265" s="5" t="str">
        <f>IF(C265="","",[1]!f_pq_pctchange(VLOOKUP(C265,worldfield,2,FALSE),指数分析!$D$5,指数分析!$D$6)/100)</f>
        <v/>
      </c>
      <c r="F265" s="5" t="str">
        <f t="shared" si="23"/>
        <v/>
      </c>
      <c r="G265" s="5" t="str">
        <f t="shared" si="24"/>
        <v/>
      </c>
      <c r="H265" s="5" t="str">
        <f t="shared" si="25"/>
        <v/>
      </c>
      <c r="I265" s="12" t="str">
        <f>IF(H265="","",[1]!s_risk_stdevy(LEFT(H265,FIND(".",H265)+2),指数分析!$D$5,指数分析!$D$6,2,1))</f>
        <v/>
      </c>
    </row>
    <row r="266" spans="2:9" ht="12.75" x14ac:dyDescent="0.15">
      <c r="B266" s="2" t="str">
        <f>IF(E266="","",IF(COUNTIF(E$6:E266,E266)=1,RANK(E266,E:E,0),RANK(E266,E:E,0)+COUNTIF(E$6:E266,E266)-1))</f>
        <v/>
      </c>
      <c r="C266" s="2" t="str">
        <f t="shared" si="26"/>
        <v/>
      </c>
      <c r="D266" s="3" t="str">
        <f t="shared" si="27"/>
        <v/>
      </c>
      <c r="E266" s="5" t="str">
        <f>IF(C266="","",[1]!f_pq_pctchange(VLOOKUP(C266,worldfield,2,FALSE),指数分析!$D$5,指数分析!$D$6)/100)</f>
        <v/>
      </c>
      <c r="F266" s="5" t="str">
        <f t="shared" si="23"/>
        <v/>
      </c>
      <c r="G266" s="5" t="str">
        <f t="shared" si="24"/>
        <v/>
      </c>
      <c r="H266" s="5" t="str">
        <f t="shared" si="25"/>
        <v/>
      </c>
      <c r="I266" s="12" t="str">
        <f>IF(H266="","",[1]!s_risk_stdevy(LEFT(H266,FIND(".",H266)+2),指数分析!$D$5,指数分析!$D$6,2,1))</f>
        <v/>
      </c>
    </row>
    <row r="267" spans="2:9" ht="12.75" x14ac:dyDescent="0.15">
      <c r="B267" s="2" t="str">
        <f>IF(E267="","",IF(COUNTIF(E$6:E267,E267)=1,RANK(E267,E:E,0),RANK(E267,E:E,0)+COUNTIF(E$6:E267,E267)-1))</f>
        <v/>
      </c>
      <c r="C267" s="2" t="str">
        <f t="shared" si="26"/>
        <v/>
      </c>
      <c r="D267" s="3" t="str">
        <f t="shared" si="27"/>
        <v/>
      </c>
      <c r="E267" s="5" t="str">
        <f>IF(C267="","",[1]!f_pq_pctchange(VLOOKUP(C267,worldfield,2,FALSE),指数分析!$D$5,指数分析!$D$6)/100)</f>
        <v/>
      </c>
      <c r="F267" s="5" t="str">
        <f t="shared" si="23"/>
        <v/>
      </c>
      <c r="G267" s="5" t="str">
        <f t="shared" si="24"/>
        <v/>
      </c>
      <c r="H267" s="5" t="str">
        <f t="shared" si="25"/>
        <v/>
      </c>
      <c r="I267" s="12" t="str">
        <f>IF(H267="","",[1]!s_risk_stdevy(LEFT(H267,FIND(".",H267)+2),指数分析!$D$5,指数分析!$D$6,2,1))</f>
        <v/>
      </c>
    </row>
    <row r="268" spans="2:9" ht="12.75" x14ac:dyDescent="0.15">
      <c r="B268" s="2" t="str">
        <f>IF(E268="","",IF(COUNTIF(E$6:E268,E268)=1,RANK(E268,E:E,0),RANK(E268,E:E,0)+COUNTIF(E$6:E268,E268)-1))</f>
        <v/>
      </c>
      <c r="C268" s="2" t="str">
        <f t="shared" si="26"/>
        <v/>
      </c>
      <c r="D268" s="3" t="str">
        <f t="shared" si="27"/>
        <v/>
      </c>
      <c r="E268" s="5" t="str">
        <f>IF(C268="","",[1]!f_pq_pctchange(VLOOKUP(C268,worldfield,2,FALSE),指数分析!$D$5,指数分析!$D$6)/100)</f>
        <v/>
      </c>
      <c r="F268" s="5" t="str">
        <f t="shared" si="23"/>
        <v/>
      </c>
      <c r="G268" s="5" t="str">
        <f t="shared" si="24"/>
        <v/>
      </c>
      <c r="H268" s="5" t="str">
        <f t="shared" si="25"/>
        <v/>
      </c>
      <c r="I268" s="12" t="str">
        <f>IF(H268="","",[1]!s_risk_stdevy(LEFT(H268,FIND(".",H268)+2),指数分析!$D$5,指数分析!$D$6,2,1))</f>
        <v/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S582"/>
  <sheetViews>
    <sheetView zoomScale="130" zoomScaleNormal="130" workbookViewId="0">
      <pane ySplit="4" topLeftCell="A5" activePane="bottomLeft" state="frozen"/>
      <selection pane="bottomLeft"/>
    </sheetView>
  </sheetViews>
  <sheetFormatPr defaultRowHeight="12.75" x14ac:dyDescent="0.15"/>
  <cols>
    <col min="1" max="1" width="4.375" style="3" customWidth="1"/>
    <col min="2" max="2" width="7.125" style="2" bestFit="1" customWidth="1"/>
    <col min="3" max="3" width="10.625" style="3" bestFit="1" customWidth="1"/>
    <col min="4" max="4" width="28.125" style="3" bestFit="1" customWidth="1"/>
    <col min="5" max="5" width="32.5" style="3" bestFit="1" customWidth="1"/>
    <col min="6" max="6" width="6" style="3" bestFit="1" customWidth="1"/>
    <col min="7" max="7" width="8" style="12" customWidth="1"/>
    <col min="8" max="9" width="6.125" style="12" customWidth="1"/>
    <col min="10" max="10" width="6" style="3" bestFit="1" customWidth="1"/>
    <col min="11" max="11" width="4.5" style="3" bestFit="1" customWidth="1"/>
    <col min="12" max="12" width="6" style="3" bestFit="1" customWidth="1"/>
    <col min="13" max="13" width="6.375" style="3" customWidth="1"/>
    <col min="14" max="14" width="9" style="3"/>
    <col min="15" max="15" width="3" style="3" bestFit="1" customWidth="1"/>
    <col min="16" max="16" width="6.75" style="3" customWidth="1"/>
    <col min="17" max="17" width="2.25" style="3" bestFit="1" customWidth="1"/>
    <col min="18" max="18" width="9" style="3"/>
    <col min="19" max="19" width="2.75" style="3" bestFit="1" customWidth="1"/>
    <col min="20" max="16384" width="9" style="3"/>
  </cols>
  <sheetData>
    <row r="3" spans="1:19" ht="13.5" thickBot="1" x14ac:dyDescent="0.2"/>
    <row r="4" spans="1:19" ht="13.5" thickBot="1" x14ac:dyDescent="0.2">
      <c r="A4" s="105" t="s">
        <v>552</v>
      </c>
      <c r="B4" s="105" t="s">
        <v>329</v>
      </c>
      <c r="C4" s="105" t="s">
        <v>0</v>
      </c>
      <c r="D4" s="105" t="s">
        <v>1</v>
      </c>
      <c r="E4" s="106" t="s">
        <v>314</v>
      </c>
      <c r="F4" s="106" t="str">
        <f>IF(指数分析!D4="沪深","沪深基准",指数分析!D4)</f>
        <v>全球</v>
      </c>
      <c r="G4" s="106" t="s">
        <v>367</v>
      </c>
      <c r="H4" s="13"/>
      <c r="I4" s="13"/>
      <c r="J4" s="15" t="s">
        <v>315</v>
      </c>
      <c r="K4" s="14">
        <f>COUNTA(J:J)-1</f>
        <v>5</v>
      </c>
      <c r="L4" s="14" t="s">
        <v>332</v>
      </c>
      <c r="M4" s="14">
        <f>COUNTA(L:L)-1</f>
        <v>2</v>
      </c>
      <c r="N4" s="14" t="s">
        <v>330</v>
      </c>
      <c r="O4" s="14">
        <f>COUNTA(N:N)-1</f>
        <v>8</v>
      </c>
      <c r="P4" s="14" t="s">
        <v>339</v>
      </c>
      <c r="Q4" s="14">
        <f>COUNTA(P:P)-1</f>
        <v>4</v>
      </c>
      <c r="R4" s="14" t="s">
        <v>340</v>
      </c>
      <c r="S4" s="16">
        <f>COUNTA(R:R)-1</f>
        <v>2</v>
      </c>
    </row>
    <row r="5" spans="1:19" x14ac:dyDescent="0.15">
      <c r="A5" s="6">
        <f ca="1">IF(G5="","",IF(COUNTIF(G$5:G5,G5)=1,RANK(G5,G:G,0),RANK(G5,G:G,0)+COUNTIF(G$5:G5,G5)-1))</f>
        <v>166</v>
      </c>
      <c r="B5" s="2">
        <f>IF(F5="","",RANK(F5,F:F,1))</f>
        <v>1</v>
      </c>
      <c r="C5" s="11" t="s">
        <v>7</v>
      </c>
      <c r="D5" s="3" t="str">
        <f>[1]!s_info_name(C5)</f>
        <v>上证指数</v>
      </c>
      <c r="E5" s="100" t="s">
        <v>255</v>
      </c>
      <c r="F5" s="101">
        <f>IF(ISERROR(FIND(F$4,$E5,1)),"",ROW())</f>
        <v>5</v>
      </c>
      <c r="G5" s="5">
        <f ca="1">[1]!f_pq_pctchange(C5,指数分析!$D$5,指数分析!$D$6)/100</f>
        <v>-7.429931131228007E-2</v>
      </c>
      <c r="H5" s="5"/>
      <c r="I5" s="5"/>
      <c r="J5" s="3" t="s">
        <v>315</v>
      </c>
      <c r="K5" s="3">
        <f>MAX(B:B)</f>
        <v>47</v>
      </c>
      <c r="L5" s="3" t="s">
        <v>369</v>
      </c>
      <c r="N5" s="3" t="str">
        <f>""</f>
        <v/>
      </c>
      <c r="P5" s="3" t="str">
        <f>""</f>
        <v/>
      </c>
      <c r="R5" s="3" t="str">
        <f>""</f>
        <v/>
      </c>
    </row>
    <row r="6" spans="1:19" x14ac:dyDescent="0.15">
      <c r="A6" s="6">
        <f ca="1">IF(G6="","",IF(COUNTIF(G$5:G6,G6)=1,RANK(G6,G:G,0),RANK(G6,G:G,0)+COUNTIF(G$5:G6,G6)-1))</f>
        <v>293</v>
      </c>
      <c r="B6" s="2">
        <f t="shared" ref="B6:B69" si="0">IF(F6="","",RANK(F6,F:F,1))</f>
        <v>2</v>
      </c>
      <c r="C6" s="11" t="s">
        <v>8</v>
      </c>
      <c r="D6" s="3" t="str">
        <f>[1]!s_info_name(C6)</f>
        <v>深证成指</v>
      </c>
      <c r="E6" s="3" t="s">
        <v>255</v>
      </c>
      <c r="F6" s="101">
        <f t="shared" ref="F6:F69" si="1">IF(ISERROR(FIND(F$4,$E6,1)),"",ROW())</f>
        <v>6</v>
      </c>
      <c r="G6" s="5">
        <f ca="1">[1]!f_pq_pctchange(C6,指数分析!$D$5,指数分析!$D$6)/100</f>
        <v>-0.19325301370904746</v>
      </c>
      <c r="H6" s="5"/>
      <c r="I6" s="5"/>
      <c r="J6" s="3" t="s">
        <v>316</v>
      </c>
      <c r="K6" s="10">
        <f>COUNTA(B:B)-1</f>
        <v>546</v>
      </c>
      <c r="L6" s="3" t="s">
        <v>4</v>
      </c>
      <c r="N6" s="3" t="s">
        <v>341</v>
      </c>
      <c r="P6" s="3" t="s">
        <v>348</v>
      </c>
      <c r="R6" s="3" t="s">
        <v>350</v>
      </c>
    </row>
    <row r="7" spans="1:19" x14ac:dyDescent="0.15">
      <c r="A7" s="6">
        <f ca="1">IF(G7="","",IF(COUNTIF(G$5:G7,G7)=1,RANK(G7,G:G,0),RANK(G7,G:G,0)+COUNTIF(G$5:G7,G7)-1))</f>
        <v>150</v>
      </c>
      <c r="B7" s="2">
        <f t="shared" si="0"/>
        <v>3</v>
      </c>
      <c r="C7" s="11" t="s">
        <v>6</v>
      </c>
      <c r="D7" s="3" t="str">
        <f>[1]!s_info_name(C7)</f>
        <v>恒生指数</v>
      </c>
      <c r="E7" s="3" t="s">
        <v>48</v>
      </c>
      <c r="F7" s="101">
        <f t="shared" si="1"/>
        <v>7</v>
      </c>
      <c r="G7" s="5">
        <f ca="1">[1]!f_pq_pctchange(C7,指数分析!$D$5,指数分析!$D$6)/100</f>
        <v>-4.3945276141811436E-2</v>
      </c>
      <c r="H7" s="5"/>
      <c r="I7" s="5"/>
      <c r="J7" s="3" t="s">
        <v>3</v>
      </c>
      <c r="K7" s="3">
        <f ca="1">MAX(A:A)</f>
        <v>497</v>
      </c>
      <c r="N7" s="3" t="s">
        <v>342</v>
      </c>
      <c r="P7" s="3" t="s">
        <v>349</v>
      </c>
    </row>
    <row r="8" spans="1:19" x14ac:dyDescent="0.15">
      <c r="A8" s="6">
        <f ca="1">IF(G8="","",IF(COUNTIF(G$5:G8,G8)=1,RANK(G8,G:G,0),RANK(G8,G:G,0)+COUNTIF(G$5:G8,G8)-1))</f>
        <v>15</v>
      </c>
      <c r="B8" s="2">
        <f t="shared" si="0"/>
        <v>4</v>
      </c>
      <c r="C8" s="11" t="s">
        <v>46</v>
      </c>
      <c r="D8" s="3" t="str">
        <f>[1]!s_info_name(C8)</f>
        <v>台湾加权指数</v>
      </c>
      <c r="E8" s="3" t="s">
        <v>48</v>
      </c>
      <c r="F8" s="101">
        <f t="shared" si="1"/>
        <v>8</v>
      </c>
      <c r="G8" s="5">
        <f ca="1">[1]!f_pq_pctchange(C8,指数分析!$D$5,指数分析!$D$6)/100</f>
        <v>0.37406135363142146</v>
      </c>
      <c r="H8" s="5"/>
      <c r="I8" s="5"/>
      <c r="J8" s="3" t="s">
        <v>317</v>
      </c>
      <c r="N8" s="3" t="s">
        <v>343</v>
      </c>
      <c r="P8" s="3" t="s">
        <v>354</v>
      </c>
    </row>
    <row r="9" spans="1:19" x14ac:dyDescent="0.15">
      <c r="A9" s="6">
        <f ca="1">IF(G9="","",IF(COUNTIF(G$5:G9,G9)=1,RANK(G9,G:G,0),RANK(G9,G:G,0)+COUNTIF(G$5:G9,G9)-1))</f>
        <v>291</v>
      </c>
      <c r="B9" s="2">
        <f t="shared" si="0"/>
        <v>5</v>
      </c>
      <c r="C9" s="3" t="s">
        <v>550</v>
      </c>
      <c r="D9" s="3" t="str">
        <f>[1]!s_info_name(C9)</f>
        <v>北证50</v>
      </c>
      <c r="E9" s="3" t="s">
        <v>551</v>
      </c>
      <c r="F9" s="101">
        <f t="shared" si="1"/>
        <v>9</v>
      </c>
      <c r="G9" s="5">
        <f ca="1">[1]!f_pq_pctchange(C9,指数分析!$D$5,指数分析!$D$6)/100</f>
        <v>-0.19312020576787384</v>
      </c>
      <c r="H9" s="5"/>
      <c r="I9" s="5"/>
      <c r="J9" s="3" t="s">
        <v>318</v>
      </c>
      <c r="N9" s="3" t="s">
        <v>344</v>
      </c>
    </row>
    <row r="10" spans="1:19" x14ac:dyDescent="0.15">
      <c r="A10" s="6">
        <f ca="1">IF(G10="","",IF(COUNTIF(G$5:G10,G10)=1,RANK(G10,G:G,0),RANK(G10,G:G,0)+COUNTIF(G$5:G10,G10)-1))</f>
        <v>10</v>
      </c>
      <c r="B10" s="2">
        <f t="shared" si="0"/>
        <v>6</v>
      </c>
      <c r="C10" s="11" t="s">
        <v>385</v>
      </c>
      <c r="D10" s="3" t="str">
        <f>[1]!s_info_name(C10)</f>
        <v>TAMAMA科技指数</v>
      </c>
      <c r="E10" s="3" t="s">
        <v>49</v>
      </c>
      <c r="F10" s="101">
        <f t="shared" si="1"/>
        <v>10</v>
      </c>
      <c r="G10" s="5">
        <f ca="1">[1]!f_pq_pctchange(C10,指数分析!$D$5,指数分析!$D$6)/100</f>
        <v>0.42971902709468623</v>
      </c>
      <c r="H10" s="5"/>
      <c r="I10" s="5"/>
      <c r="N10" s="3" t="s">
        <v>345</v>
      </c>
    </row>
    <row r="11" spans="1:19" x14ac:dyDescent="0.15">
      <c r="A11" s="6">
        <f ca="1">IF(G11="","",IF(COUNTIF(G$5:G11,G11)=1,RANK(G11,G:G,0),RANK(G11,G:G,0)+COUNTIF(G$5:G11,G11)-1))</f>
        <v>53</v>
      </c>
      <c r="B11" s="2">
        <f>IF(F11="","",RANK(F11,F:F,1))</f>
        <v>7</v>
      </c>
      <c r="C11" s="11" t="s">
        <v>15</v>
      </c>
      <c r="D11" s="3" t="str">
        <f>[1]!s_info_name(C11)</f>
        <v>道琼斯工业指数</v>
      </c>
      <c r="E11" s="3" t="s">
        <v>49</v>
      </c>
      <c r="F11" s="101">
        <f t="shared" si="1"/>
        <v>11</v>
      </c>
      <c r="G11" s="5">
        <f ca="1">[1]!f_pq_pctchange(C11,指数分析!$D$5,指数分析!$D$6)/100</f>
        <v>0.1531914442021256</v>
      </c>
      <c r="H11" s="5"/>
      <c r="I11" s="5"/>
      <c r="N11" s="3" t="s">
        <v>346</v>
      </c>
    </row>
    <row r="12" spans="1:19" x14ac:dyDescent="0.15">
      <c r="A12" s="6">
        <f ca="1">IF(G12="","",IF(COUNTIF(G$5:G12,G12)=1,RANK(G12,G:G,0),RANK(G12,G:G,0)+COUNTIF(G$5:G12,G12)-1))</f>
        <v>71</v>
      </c>
      <c r="B12" s="2">
        <f t="shared" si="0"/>
        <v>8</v>
      </c>
      <c r="C12" s="11" t="s">
        <v>19</v>
      </c>
      <c r="D12" s="3" t="str">
        <f>[1]!s_info_name(C12)</f>
        <v>加拿大S&amp;P/TSX综合</v>
      </c>
      <c r="E12" s="3" t="s">
        <v>49</v>
      </c>
      <c r="F12" s="101">
        <f t="shared" si="1"/>
        <v>12</v>
      </c>
      <c r="G12" s="5">
        <f ca="1">[1]!f_pq_pctchange(C12,指数分析!$D$5,指数分析!$D$6)/100</f>
        <v>0.10424169980954744</v>
      </c>
      <c r="H12" s="5"/>
      <c r="I12" s="5"/>
      <c r="N12" s="3" t="s">
        <v>347</v>
      </c>
    </row>
    <row r="13" spans="1:19" x14ac:dyDescent="0.15">
      <c r="A13" s="6">
        <f ca="1">IF(G13="","",IF(COUNTIF(G$5:G13,G13)=1,RANK(G13,G:G,0),RANK(G13,G:G,0)+COUNTIF(G$5:G13,G13)-1))</f>
        <v>93</v>
      </c>
      <c r="B13" s="2">
        <f t="shared" si="0"/>
        <v>9</v>
      </c>
      <c r="C13" s="11" t="s">
        <v>22</v>
      </c>
      <c r="D13" s="3" t="str">
        <f>[1]!s_info_name(C13)</f>
        <v>巴西IBOVESPA指数</v>
      </c>
      <c r="E13" s="3" t="s">
        <v>49</v>
      </c>
      <c r="F13" s="101">
        <f t="shared" si="1"/>
        <v>13</v>
      </c>
      <c r="G13" s="5">
        <f ca="1">[1]!f_pq_pctchange(C13,指数分析!$D$5,指数分析!$D$6)/100</f>
        <v>5.5191069757301925E-2</v>
      </c>
      <c r="H13" s="5"/>
      <c r="I13" s="5"/>
    </row>
    <row r="14" spans="1:19" x14ac:dyDescent="0.15">
      <c r="A14" s="6">
        <f ca="1">IF(G14="","",IF(COUNTIF(G$5:G14,G14)=1,RANK(G14,G:G,0),RANK(G14,G:G,0)+COUNTIF(G$5:G14,G14)-1))</f>
        <v>2</v>
      </c>
      <c r="B14" s="2">
        <f t="shared" si="0"/>
        <v>10</v>
      </c>
      <c r="C14" s="11" t="s">
        <v>23</v>
      </c>
      <c r="D14" s="3" t="str">
        <f>[1]!s_info_name(C14)</f>
        <v>委内瑞拉IBC</v>
      </c>
      <c r="E14" s="3" t="s">
        <v>49</v>
      </c>
      <c r="F14" s="101">
        <f t="shared" si="1"/>
        <v>14</v>
      </c>
      <c r="G14" s="5">
        <f ca="1">[1]!f_pq_pctchange(C14,指数分析!$D$5,指数分析!$D$6)/100</f>
        <v>1.2884980401177528</v>
      </c>
      <c r="H14" s="5"/>
      <c r="I14" s="5"/>
    </row>
    <row r="15" spans="1:19" x14ac:dyDescent="0.15">
      <c r="A15" s="6">
        <f ca="1">IF(G15="","",IF(COUNTIF(G$5:G15,G15)=1,RANK(G15,G:G,0),RANK(G15,G:G,0)+COUNTIF(G$5:G15,G15)-1))</f>
        <v>19</v>
      </c>
      <c r="B15" s="2">
        <f t="shared" si="0"/>
        <v>11</v>
      </c>
      <c r="C15" s="11" t="s">
        <v>25</v>
      </c>
      <c r="D15" s="3" t="str">
        <f>[1]!s_info_name(C15)</f>
        <v>纳斯达克指数</v>
      </c>
      <c r="E15" s="3" t="s">
        <v>49</v>
      </c>
      <c r="F15" s="101">
        <f t="shared" si="1"/>
        <v>15</v>
      </c>
      <c r="G15" s="5">
        <f ca="1">[1]!f_pq_pctchange(C15,指数分析!$D$5,指数分析!$D$6)/100</f>
        <v>0.29633366084169621</v>
      </c>
      <c r="H15" s="5"/>
      <c r="I15" s="5"/>
    </row>
    <row r="16" spans="1:19" x14ac:dyDescent="0.15">
      <c r="A16" s="6">
        <f ca="1">IF(G16="","",IF(COUNTIF(G$5:G16,G16)=1,RANK(G16,G:G,0),RANK(G16,G:G,0)+COUNTIF(G$5:G16,G16)-1))</f>
        <v>1</v>
      </c>
      <c r="B16" s="2">
        <f t="shared" si="0"/>
        <v>12</v>
      </c>
      <c r="C16" s="11" t="s">
        <v>32</v>
      </c>
      <c r="D16" s="3" t="str">
        <f>[1]!s_info_name(C16)</f>
        <v>阿根廷MERV</v>
      </c>
      <c r="E16" s="3" t="s">
        <v>49</v>
      </c>
      <c r="F16" s="101">
        <f t="shared" si="1"/>
        <v>16</v>
      </c>
      <c r="G16" s="5">
        <f ca="1">[1]!f_pq_pctchange(C16,指数分析!$D$5,指数分析!$D$6)/100</f>
        <v>2.8589394927810692</v>
      </c>
      <c r="H16" s="5"/>
      <c r="I16" s="5"/>
    </row>
    <row r="17" spans="1:9" x14ac:dyDescent="0.15">
      <c r="A17" s="6">
        <f ca="1">IF(G17="","",IF(COUNTIF(G$5:G17,G17)=1,RANK(G17,G:G,0),RANK(G17,G:G,0)+COUNTIF(G$5:G17,G17)-1))</f>
        <v>133</v>
      </c>
      <c r="B17" s="2">
        <f t="shared" si="0"/>
        <v>13</v>
      </c>
      <c r="C17" s="11" t="s">
        <v>33</v>
      </c>
      <c r="D17" s="3" t="str">
        <f>[1]!s_info_name(C17)</f>
        <v>墨西哥MXX</v>
      </c>
      <c r="E17" s="3" t="s">
        <v>49</v>
      </c>
      <c r="F17" s="101">
        <f t="shared" si="1"/>
        <v>17</v>
      </c>
      <c r="G17" s="5">
        <f ca="1">[1]!f_pq_pctchange(C17,指数分析!$D$5,指数分析!$D$6)/100</f>
        <v>-1.8118735687925103E-2</v>
      </c>
      <c r="H17" s="5"/>
      <c r="I17" s="5"/>
    </row>
    <row r="18" spans="1:9" x14ac:dyDescent="0.15">
      <c r="A18" s="6">
        <f ca="1">IF(G18="","",IF(COUNTIF(G$5:G18,G18)=1,RANK(G18,G:G,0),RANK(G18,G:G,0)+COUNTIF(G$5:G18,G18)-1))</f>
        <v>25</v>
      </c>
      <c r="B18" s="2">
        <f t="shared" si="0"/>
        <v>14</v>
      </c>
      <c r="C18" s="11" t="s">
        <v>42</v>
      </c>
      <c r="D18" s="3" t="str">
        <f>[1]!s_info_name(C18)</f>
        <v>标普500</v>
      </c>
      <c r="E18" s="3" t="s">
        <v>49</v>
      </c>
      <c r="F18" s="101">
        <f t="shared" si="1"/>
        <v>18</v>
      </c>
      <c r="G18" s="5">
        <f ca="1">[1]!f_pq_pctchange(C18,指数分析!$D$5,指数分析!$D$6)/100</f>
        <v>0.23775781520948214</v>
      </c>
      <c r="H18" s="5"/>
      <c r="I18" s="5"/>
    </row>
    <row r="19" spans="1:9" x14ac:dyDescent="0.15">
      <c r="A19" s="6">
        <f ca="1">IF(G19="","",IF(COUNTIF(G$5:G19,G19)=1,RANK(G19,G:G,0),RANK(G19,G:G,0)+COUNTIF(G$5:G19,G19)-1))</f>
        <v>27</v>
      </c>
      <c r="B19" s="2">
        <f t="shared" si="0"/>
        <v>15</v>
      </c>
      <c r="C19" s="11" t="s">
        <v>9</v>
      </c>
      <c r="D19" s="3" t="str">
        <f>[1]!s_info_name(C19)</f>
        <v>荷兰AEX</v>
      </c>
      <c r="E19" s="3" t="s">
        <v>50</v>
      </c>
      <c r="F19" s="101">
        <f t="shared" si="1"/>
        <v>19</v>
      </c>
      <c r="G19" s="5">
        <f ca="1">[1]!f_pq_pctchange(C19,指数分析!$D$5,指数分析!$D$6)/100</f>
        <v>0.22633870496721276</v>
      </c>
      <c r="H19" s="5"/>
      <c r="I19" s="5"/>
    </row>
    <row r="20" spans="1:9" x14ac:dyDescent="0.15">
      <c r="A20" s="6">
        <f ca="1">IF(G20="","",IF(COUNTIF(G$5:G20,G20)=1,RANK(G20,G:G,0),RANK(G20,G:G,0)+COUNTIF(G$5:G20,G20)-1))</f>
        <v>74</v>
      </c>
      <c r="B20" s="2">
        <f t="shared" si="0"/>
        <v>16</v>
      </c>
      <c r="C20" s="11" t="s">
        <v>11</v>
      </c>
      <c r="D20" s="3" t="str">
        <f>[1]!s_info_name(C20)</f>
        <v>希腊ASE综指</v>
      </c>
      <c r="E20" s="3" t="s">
        <v>50</v>
      </c>
      <c r="F20" s="101">
        <f t="shared" si="1"/>
        <v>20</v>
      </c>
      <c r="G20" s="5">
        <f ca="1">[1]!f_pq_pctchange(C20,指数分析!$D$5,指数分析!$D$6)/100</f>
        <v>9.7592621541347402E-2</v>
      </c>
      <c r="H20" s="5"/>
      <c r="I20" s="5"/>
    </row>
    <row r="21" spans="1:9" x14ac:dyDescent="0.15">
      <c r="A21" s="6">
        <f ca="1">IF(G21="","",IF(COUNTIF(G$5:G21,G21)=1,RANK(G21,G:G,0),RANK(G21,G:G,0)+COUNTIF(G$5:G21,G21)-1))</f>
        <v>50</v>
      </c>
      <c r="B21" s="2">
        <f t="shared" si="0"/>
        <v>17</v>
      </c>
      <c r="C21" s="11" t="s">
        <v>12</v>
      </c>
      <c r="D21" s="3" t="str">
        <f>[1]!s_info_name(C21)</f>
        <v>奥地利ATX</v>
      </c>
      <c r="E21" s="3" t="s">
        <v>50</v>
      </c>
      <c r="F21" s="101">
        <f t="shared" si="1"/>
        <v>21</v>
      </c>
      <c r="G21" s="5">
        <f ca="1">[1]!f_pq_pctchange(C21,指数分析!$D$5,指数分析!$D$6)/100</f>
        <v>0.16402599287292197</v>
      </c>
      <c r="H21" s="5"/>
      <c r="I21" s="5"/>
    </row>
    <row r="22" spans="1:9" x14ac:dyDescent="0.15">
      <c r="A22" s="6">
        <f ca="1">IF(G22="","",IF(COUNTIF(G$5:G22,G22)=1,RANK(G22,G:G,0),RANK(G22,G:G,0)+COUNTIF(G$5:G22,G22)-1))</f>
        <v>66</v>
      </c>
      <c r="B22" s="2">
        <f t="shared" si="0"/>
        <v>18</v>
      </c>
      <c r="C22" s="11" t="s">
        <v>13</v>
      </c>
      <c r="D22" s="3" t="str">
        <f>[1]!s_info_name(C22)</f>
        <v>比利时BFX</v>
      </c>
      <c r="E22" s="3" t="s">
        <v>50</v>
      </c>
      <c r="F22" s="101">
        <f t="shared" si="1"/>
        <v>22</v>
      </c>
      <c r="G22" s="5">
        <f ca="1">[1]!f_pq_pctchange(C22,指数分析!$D$5,指数分析!$D$6)/100</f>
        <v>0.1120443531545552</v>
      </c>
      <c r="H22" s="5"/>
      <c r="I22" s="5"/>
    </row>
    <row r="23" spans="1:9" x14ac:dyDescent="0.15">
      <c r="A23" s="6">
        <f ca="1">IF(G23="","",IF(COUNTIF(G$5:G23,G23)=1,RANK(G23,G:G,0),RANK(G23,G:G,0)+COUNTIF(G$5:G23,G23)-1))</f>
        <v>92</v>
      </c>
      <c r="B23" s="2">
        <f t="shared" si="0"/>
        <v>19</v>
      </c>
      <c r="C23" s="11" t="s">
        <v>16</v>
      </c>
      <c r="D23" s="3" t="str">
        <f>[1]!s_info_name(C23)</f>
        <v>法国CAC40</v>
      </c>
      <c r="E23" s="3" t="s">
        <v>50</v>
      </c>
      <c r="F23" s="101">
        <f t="shared" si="1"/>
        <v>23</v>
      </c>
      <c r="G23" s="5">
        <f ca="1">[1]!f_pq_pctchange(C23,指数分析!$D$5,指数分析!$D$6)/100</f>
        <v>5.6070847141249436E-2</v>
      </c>
      <c r="H23" s="5"/>
      <c r="I23" s="5"/>
    </row>
    <row r="24" spans="1:9" x14ac:dyDescent="0.15">
      <c r="A24" s="6">
        <f ca="1">IF(G24="","",IF(COUNTIF(G$5:G24,G24)=1,RANK(G24,G:G,0),RANK(G24,G:G,0)+COUNTIF(G$5:G24,G24)-1))</f>
        <v>60</v>
      </c>
      <c r="B24" s="2">
        <f t="shared" si="0"/>
        <v>20</v>
      </c>
      <c r="C24" s="11" t="s">
        <v>17</v>
      </c>
      <c r="D24" s="3" t="str">
        <f>[1]!s_info_name(C24)</f>
        <v>英国富时100</v>
      </c>
      <c r="E24" s="3" t="s">
        <v>50</v>
      </c>
      <c r="F24" s="101">
        <f t="shared" si="1"/>
        <v>24</v>
      </c>
      <c r="G24" s="5">
        <f ca="1">[1]!f_pq_pctchange(C24,指数分析!$D$5,指数分析!$D$6)/100</f>
        <v>0.12136803790948412</v>
      </c>
      <c r="H24" s="5"/>
      <c r="I24" s="5"/>
    </row>
    <row r="25" spans="1:9" x14ac:dyDescent="0.15">
      <c r="A25" s="6">
        <f ca="1">IF(G25="","",IF(COUNTIF(G$5:G25,G25)=1,RANK(G25,G:G,0),RANK(G25,G:G,0)+COUNTIF(G$5:G25,G25)-1))</f>
        <v>45</v>
      </c>
      <c r="B25" s="2">
        <f t="shared" si="0"/>
        <v>21</v>
      </c>
      <c r="C25" s="11" t="s">
        <v>18</v>
      </c>
      <c r="D25" s="3" t="str">
        <f>[1]!s_info_name(C25)</f>
        <v>德国DAX</v>
      </c>
      <c r="E25" s="3" t="s">
        <v>50</v>
      </c>
      <c r="F25" s="101">
        <f t="shared" si="1"/>
        <v>25</v>
      </c>
      <c r="G25" s="5">
        <f ca="1">[1]!f_pq_pctchange(C25,指数分析!$D$5,指数分析!$D$6)/100</f>
        <v>0.17431838408504596</v>
      </c>
      <c r="H25" s="5"/>
      <c r="I25" s="5"/>
    </row>
    <row r="26" spans="1:9" x14ac:dyDescent="0.15">
      <c r="A26" s="6">
        <f ca="1">IF(G26="","",IF(COUNTIF(G$5:G26,G26)=1,RANK(G26,G:G,0),RANK(G26,G:G,0)+COUNTIF(G$5:G26,G26)-1))</f>
        <v>115</v>
      </c>
      <c r="B26" s="2">
        <f t="shared" si="0"/>
        <v>22</v>
      </c>
      <c r="C26" s="11" t="s">
        <v>20</v>
      </c>
      <c r="D26" s="3" t="str">
        <f>[1]!s_info_name(C26)</f>
        <v>芬兰OMX全指</v>
      </c>
      <c r="E26" s="3" t="s">
        <v>50</v>
      </c>
      <c r="F26" s="101">
        <f t="shared" si="1"/>
        <v>26</v>
      </c>
      <c r="G26" s="5">
        <f ca="1">[1]!f_pq_pctchange(C26,指数分析!$D$5,指数分析!$D$6)/100</f>
        <v>1.1399392352665183E-2</v>
      </c>
      <c r="H26" s="5"/>
      <c r="I26" s="5"/>
    </row>
    <row r="27" spans="1:9" x14ac:dyDescent="0.15">
      <c r="A27" s="6">
        <f ca="1">IF(G27="","",IF(COUNTIF(G$5:G27,G27)=1,RANK(G27,G:G,0),RANK(G27,G:G,0)+COUNTIF(G$5:G27,G27)-1))</f>
        <v>44</v>
      </c>
      <c r="B27" s="2">
        <f t="shared" si="0"/>
        <v>23</v>
      </c>
      <c r="C27" s="11" t="s">
        <v>21</v>
      </c>
      <c r="D27" s="3" t="str">
        <f>[1]!s_info_name(C27)</f>
        <v>西班牙IBEX35</v>
      </c>
      <c r="E27" s="3" t="s">
        <v>50</v>
      </c>
      <c r="F27" s="101">
        <f t="shared" si="1"/>
        <v>27</v>
      </c>
      <c r="G27" s="5">
        <f ca="1">[1]!f_pq_pctchange(C27,指数分析!$D$5,指数分析!$D$6)/100</f>
        <v>0.17864297253634898</v>
      </c>
      <c r="H27" s="5"/>
      <c r="I27" s="5"/>
    </row>
    <row r="28" spans="1:9" x14ac:dyDescent="0.15">
      <c r="A28" s="6">
        <f ca="1">IF(G28="","",IF(COUNTIF(G$5:G28,G28)=1,RANK(G28,G:G,0),RANK(G28,G:G,0)+COUNTIF(G$5:G28,G28)-1))</f>
        <v>67</v>
      </c>
      <c r="B28" s="2">
        <f t="shared" si="0"/>
        <v>24</v>
      </c>
      <c r="C28" s="11" t="s">
        <v>24</v>
      </c>
      <c r="D28" s="3" t="str">
        <f>[1]!s_info_name(C28)</f>
        <v>爱尔兰综指</v>
      </c>
      <c r="E28" s="3" t="s">
        <v>50</v>
      </c>
      <c r="F28" s="101">
        <f t="shared" si="1"/>
        <v>28</v>
      </c>
      <c r="G28" s="5">
        <f ca="1">[1]!f_pq_pctchange(C28,指数分析!$D$5,指数分析!$D$6)/100</f>
        <v>0.10936700120242392</v>
      </c>
      <c r="H28" s="5"/>
      <c r="I28" s="5"/>
    </row>
    <row r="29" spans="1:9" x14ac:dyDescent="0.15">
      <c r="A29" s="6">
        <f ca="1">IF(G29="","",IF(COUNTIF(G$5:G29,G29)=1,RANK(G29,G:G,0),RANK(G29,G:G,0)+COUNTIF(G$5:G29,G29)-1))</f>
        <v>86</v>
      </c>
      <c r="B29" s="2">
        <f t="shared" si="0"/>
        <v>25</v>
      </c>
      <c r="C29" s="11" t="s">
        <v>26</v>
      </c>
      <c r="D29" s="3" t="str">
        <f>[1]!s_info_name(C29)</f>
        <v>南非富时综指</v>
      </c>
      <c r="E29" s="3" t="s">
        <v>50</v>
      </c>
      <c r="F29" s="101">
        <f t="shared" si="1"/>
        <v>29</v>
      </c>
      <c r="G29" s="5">
        <f ca="1">[1]!f_pq_pctchange(C29,指数分析!$D$5,指数分析!$D$6)/100</f>
        <v>7.5477627338280451E-2</v>
      </c>
      <c r="H29" s="5"/>
      <c r="I29" s="5"/>
    </row>
    <row r="30" spans="1:9" x14ac:dyDescent="0.15">
      <c r="A30" s="6">
        <f ca="1">IF(G30="","",IF(COUNTIF(G$5:G30,G30)=1,RANK(G30,G:G,0),RANK(G30,G:G,0)+COUNTIF(G$5:G30,G30)-1))</f>
        <v>9</v>
      </c>
      <c r="B30" s="2">
        <f t="shared" si="0"/>
        <v>26</v>
      </c>
      <c r="C30" s="11" t="s">
        <v>28</v>
      </c>
      <c r="D30" s="3" t="str">
        <f>[1]!s_info_name(C30)</f>
        <v>丹麦OMX20</v>
      </c>
      <c r="E30" s="3" t="s">
        <v>50</v>
      </c>
      <c r="F30" s="101">
        <f t="shared" si="1"/>
        <v>30</v>
      </c>
      <c r="G30" s="5">
        <f ca="1">[1]!f_pq_pctchange(C30,指数分析!$D$5,指数分析!$D$6)/100</f>
        <v>0.43910266345394322</v>
      </c>
      <c r="H30" s="5"/>
      <c r="I30" s="5"/>
    </row>
    <row r="31" spans="1:9" x14ac:dyDescent="0.15">
      <c r="A31" s="6">
        <f ca="1">IF(G31="","",IF(COUNTIF(G$5:G31,G31)=1,RANK(G31,G:G,0),RANK(G31,G:G,0)+COUNTIF(G$5:G31,G31)-1))</f>
        <v>142</v>
      </c>
      <c r="B31" s="2">
        <f t="shared" si="0"/>
        <v>27</v>
      </c>
      <c r="C31" s="11" t="s">
        <v>31</v>
      </c>
      <c r="D31" s="3" t="str">
        <f>[1]!s_info_name(C31)</f>
        <v>卢森堡LUXX</v>
      </c>
      <c r="E31" s="3" t="s">
        <v>50</v>
      </c>
      <c r="F31" s="101">
        <f t="shared" si="1"/>
        <v>31</v>
      </c>
      <c r="G31" s="5">
        <f ca="1">[1]!f_pq_pctchange(C31,指数分析!$D$5,指数分析!$D$6)/100</f>
        <v>-3.6760435781663658E-2</v>
      </c>
      <c r="H31" s="5"/>
      <c r="I31" s="5"/>
    </row>
    <row r="32" spans="1:9" x14ac:dyDescent="0.15">
      <c r="A32" s="6">
        <f ca="1">IF(G32="","",IF(COUNTIF(G$5:G32,G32)=1,RANK(G32,G:G,0),RANK(G32,G:G,0)+COUNTIF(G$5:G32,G32)-1))</f>
        <v>41</v>
      </c>
      <c r="B32" s="2">
        <f t="shared" si="0"/>
        <v>28</v>
      </c>
      <c r="C32" s="11" t="s">
        <v>36</v>
      </c>
      <c r="D32" s="3" t="str">
        <f>[1]!s_info_name(C32)</f>
        <v>瑞典OMX全指</v>
      </c>
      <c r="E32" s="3" t="s">
        <v>50</v>
      </c>
      <c r="F32" s="101">
        <f t="shared" si="1"/>
        <v>32</v>
      </c>
      <c r="G32" s="5">
        <f ca="1">[1]!f_pq_pctchange(C32,指数分析!$D$5,指数分析!$D$6)/100</f>
        <v>0.18316318667917345</v>
      </c>
      <c r="H32" s="5"/>
      <c r="I32" s="5"/>
    </row>
    <row r="33" spans="1:9" x14ac:dyDescent="0.15">
      <c r="A33" s="6">
        <f ca="1">IF(G33="","",IF(COUNTIF(G$5:G33,G33)=1,RANK(G33,G:G,0),RANK(G33,G:G,0)+COUNTIF(G$5:G33,G33)-1))</f>
        <v>31</v>
      </c>
      <c r="B33" s="2">
        <f t="shared" si="0"/>
        <v>29</v>
      </c>
      <c r="C33" s="11" t="s">
        <v>37</v>
      </c>
      <c r="D33" s="3" t="str">
        <f>[1]!s_info_name(C33)</f>
        <v>挪威OSEAX</v>
      </c>
      <c r="E33" s="3" t="s">
        <v>50</v>
      </c>
      <c r="F33" s="101">
        <f t="shared" si="1"/>
        <v>33</v>
      </c>
      <c r="G33" s="5">
        <f ca="1">[1]!f_pq_pctchange(C33,指数分析!$D$5,指数分析!$D$6)/100</f>
        <v>0.21027240316546969</v>
      </c>
      <c r="H33" s="5"/>
      <c r="I33" s="5"/>
    </row>
    <row r="34" spans="1:9" x14ac:dyDescent="0.15">
      <c r="A34" s="6">
        <f ca="1">IF(G34="","",IF(COUNTIF(G$5:G34,G34)=1,RANK(G34,G:G,0),RANK(G34,G:G,0)+COUNTIF(G$5:G34,G34)-1))</f>
        <v>36</v>
      </c>
      <c r="B34" s="2">
        <f t="shared" si="0"/>
        <v>30</v>
      </c>
      <c r="C34" s="11" t="s">
        <v>39</v>
      </c>
      <c r="D34" s="3" t="str">
        <f>[1]!s_info_name(C34)</f>
        <v>布拉格综指</v>
      </c>
      <c r="E34" s="3" t="s">
        <v>50</v>
      </c>
      <c r="F34" s="101">
        <f t="shared" si="1"/>
        <v>34</v>
      </c>
      <c r="G34" s="5">
        <f ca="1">[1]!f_pq_pctchange(C34,指数分析!$D$5,指数分析!$D$6)/100</f>
        <v>0.2021727465725196</v>
      </c>
      <c r="H34" s="5"/>
      <c r="I34" s="5"/>
    </row>
    <row r="35" spans="1:9" x14ac:dyDescent="0.15">
      <c r="A35" s="6">
        <f ca="1">IF(G35="","",IF(COUNTIF(G$5:G35,G35)=1,RANK(G35,G:G,0),RANK(G35,G:G,0)+COUNTIF(G$5:G35,G35)-1))</f>
        <v>39</v>
      </c>
      <c r="B35" s="2">
        <f t="shared" si="0"/>
        <v>31</v>
      </c>
      <c r="C35" s="11" t="s">
        <v>381</v>
      </c>
      <c r="D35" s="3" t="str">
        <f>[1]!s_info_name(C35)</f>
        <v>RTS指数</v>
      </c>
      <c r="E35" s="3" t="s">
        <v>50</v>
      </c>
      <c r="F35" s="101">
        <f t="shared" si="1"/>
        <v>35</v>
      </c>
      <c r="G35" s="5">
        <f ca="1">[1]!f_pq_pctchange(C35,指数分析!$D$5,指数分析!$D$6)/100</f>
        <v>0.19354639366380688</v>
      </c>
      <c r="H35" s="5"/>
      <c r="I35" s="5"/>
    </row>
    <row r="36" spans="1:9" x14ac:dyDescent="0.15">
      <c r="A36" s="6">
        <f ca="1">IF(G36="","",IF(COUNTIF(G$5:G36,G36)=1,RANK(G36,G:G,0),RANK(G36,G:G,0)+COUNTIF(G$5:G36,G36)-1))</f>
        <v>76</v>
      </c>
      <c r="B36" s="2">
        <f t="shared" si="0"/>
        <v>32</v>
      </c>
      <c r="C36" s="11" t="s">
        <v>43</v>
      </c>
      <c r="D36" s="3" t="str">
        <f>[1]!s_info_name(C36)</f>
        <v>瑞士SMI</v>
      </c>
      <c r="E36" s="3" t="s">
        <v>50</v>
      </c>
      <c r="F36" s="101">
        <f t="shared" si="1"/>
        <v>36</v>
      </c>
      <c r="G36" s="5">
        <f ca="1">[1]!f_pq_pctchange(C36,指数分析!$D$5,指数分析!$D$6)/100</f>
        <v>9.1660158845448661E-2</v>
      </c>
      <c r="H36" s="5"/>
      <c r="I36" s="5"/>
    </row>
    <row r="37" spans="1:9" x14ac:dyDescent="0.15">
      <c r="A37" s="6">
        <f ca="1">IF(G37="","",IF(COUNTIF(G$5:G37,G37)=1,RANK(G37,G:G,0),RANK(G37,G:G,0)+COUNTIF(G$5:G37,G37)-1))</f>
        <v>51</v>
      </c>
      <c r="B37" s="2">
        <f t="shared" si="0"/>
        <v>33</v>
      </c>
      <c r="C37" s="11" t="s">
        <v>45</v>
      </c>
      <c r="D37" s="3" t="str">
        <f>[1]!s_info_name(C37)</f>
        <v>欧洲STOXX50(欧元)(退市)</v>
      </c>
      <c r="E37" s="3" t="s">
        <v>50</v>
      </c>
      <c r="F37" s="101">
        <f t="shared" si="1"/>
        <v>37</v>
      </c>
      <c r="G37" s="5">
        <f ca="1">[1]!f_pq_pctchange(C37,指数分析!$D$5,指数分析!$D$6)/100</f>
        <v>0.1611853246017938</v>
      </c>
      <c r="H37" s="5"/>
      <c r="I37" s="5"/>
    </row>
    <row r="38" spans="1:9" x14ac:dyDescent="0.15">
      <c r="A38" s="6">
        <f ca="1">IF(G38="","",IF(COUNTIF(G$5:G38,G38)=1,RANK(G38,G:G,0),RANK(G38,G:G,0)+COUNTIF(G$5:G38,G38)-1))</f>
        <v>79</v>
      </c>
      <c r="B38" s="2">
        <f t="shared" si="0"/>
        <v>34</v>
      </c>
      <c r="C38" s="11" t="s">
        <v>379</v>
      </c>
      <c r="D38" s="3" t="str">
        <f>[1]!s_info_name(C38)</f>
        <v>以色列TA125</v>
      </c>
      <c r="E38" s="3" t="s">
        <v>50</v>
      </c>
      <c r="F38" s="101">
        <f t="shared" si="1"/>
        <v>38</v>
      </c>
      <c r="G38" s="5">
        <f ca="1">[1]!f_pq_pctchange(C38,指数分析!$D$5,指数分析!$D$6)/100</f>
        <v>9.058992291763189E-2</v>
      </c>
      <c r="H38" s="5"/>
      <c r="I38" s="5"/>
    </row>
    <row r="39" spans="1:9" x14ac:dyDescent="0.15">
      <c r="A39" s="6">
        <f ca="1">IF(G39="","",IF(COUNTIF(G$5:G39,G39)=1,RANK(G39,G:G,0),RANK(G39,G:G,0)+COUNTIF(G$5:G39,G39)-1))</f>
        <v>81</v>
      </c>
      <c r="B39" s="2">
        <f t="shared" si="0"/>
        <v>35</v>
      </c>
      <c r="C39" s="11" t="s">
        <v>10</v>
      </c>
      <c r="D39" s="3" t="str">
        <f>[1]!s_info_name(C39)</f>
        <v>澳洲标普200</v>
      </c>
      <c r="E39" s="3" t="s">
        <v>51</v>
      </c>
      <c r="F39" s="101">
        <f t="shared" si="1"/>
        <v>39</v>
      </c>
      <c r="G39" s="5">
        <f ca="1">[1]!f_pq_pctchange(C39,指数分析!$D$5,指数分析!$D$6)/100</f>
        <v>8.4679727974752428E-2</v>
      </c>
      <c r="H39" s="5"/>
      <c r="I39" s="5"/>
    </row>
    <row r="40" spans="1:9" x14ac:dyDescent="0.15">
      <c r="A40" s="6">
        <f ca="1">IF(G40="","",IF(COUNTIF(G$5:G40,G40)=1,RANK(G40,G:G,0),RANK(G40,G:G,0)+COUNTIF(G$5:G40,G40)-1))</f>
        <v>124</v>
      </c>
      <c r="B40" s="2">
        <f t="shared" si="0"/>
        <v>36</v>
      </c>
      <c r="C40" s="11" t="s">
        <v>14</v>
      </c>
      <c r="D40" s="3" t="str">
        <f>[1]!s_info_name(C40)</f>
        <v>贝鲁特BLOM</v>
      </c>
      <c r="E40" s="3" t="s">
        <v>51</v>
      </c>
      <c r="F40" s="101">
        <f t="shared" si="1"/>
        <v>40</v>
      </c>
      <c r="G40" s="5">
        <f ca="1">[1]!f_pq_pctchange(C40,指数分析!$D$5,指数分析!$D$6)/100</f>
        <v>-4.9050262297248848E-3</v>
      </c>
      <c r="H40" s="5"/>
      <c r="I40" s="5"/>
    </row>
    <row r="41" spans="1:9" x14ac:dyDescent="0.15">
      <c r="A41" s="6">
        <f ca="1">IF(G41="","",IF(COUNTIF(G$5:G41,G41)=1,RANK(G41,G:G,0),RANK(G41,G:G,0)+COUNTIF(G$5:G41,G41)-1))</f>
        <v>98</v>
      </c>
      <c r="B41" s="2">
        <f t="shared" si="0"/>
        <v>37</v>
      </c>
      <c r="C41" s="11" t="s">
        <v>27</v>
      </c>
      <c r="D41" s="3" t="str">
        <f>[1]!s_info_name(C41)</f>
        <v>印尼综指</v>
      </c>
      <c r="E41" s="3" t="s">
        <v>51</v>
      </c>
      <c r="F41" s="101">
        <f t="shared" si="1"/>
        <v>41</v>
      </c>
      <c r="G41" s="5">
        <f ca="1">[1]!f_pq_pctchange(C41,指数分析!$D$5,指数分析!$D$6)/100</f>
        <v>4.5320556296561509E-2</v>
      </c>
      <c r="H41" s="5"/>
      <c r="I41" s="5"/>
    </row>
    <row r="42" spans="1:9" x14ac:dyDescent="0.15">
      <c r="A42" s="6">
        <f ca="1">IF(G42="","",IF(COUNTIF(G$5:G42,G42)=1,RANK(G42,G:G,0),RANK(G42,G:G,0)+COUNTIF(G$5:G42,G42)-1))</f>
        <v>54</v>
      </c>
      <c r="B42" s="2">
        <f t="shared" si="0"/>
        <v>38</v>
      </c>
      <c r="C42" s="11" t="s">
        <v>29</v>
      </c>
      <c r="D42" s="3" t="str">
        <f>[1]!s_info_name(C42)</f>
        <v>富时马来西亚综指</v>
      </c>
      <c r="E42" s="3" t="s">
        <v>51</v>
      </c>
      <c r="F42" s="101">
        <f t="shared" si="1"/>
        <v>42</v>
      </c>
      <c r="G42" s="5">
        <f ca="1">[1]!f_pq_pctchange(C42,指数分析!$D$5,指数分析!$D$6)/100</f>
        <v>0.14729247086835739</v>
      </c>
      <c r="H42" s="5"/>
      <c r="I42" s="5"/>
    </row>
    <row r="43" spans="1:9" x14ac:dyDescent="0.15">
      <c r="A43" s="6">
        <f ca="1">IF(G43="","",IF(COUNTIF(G$5:G43,G43)=1,RANK(G43,G:G,0),RANK(G43,G:G,0)+COUNTIF(G$5:G43,G43)-1))</f>
        <v>75</v>
      </c>
      <c r="B43" s="2">
        <f t="shared" si="0"/>
        <v>39</v>
      </c>
      <c r="C43" s="11" t="s">
        <v>30</v>
      </c>
      <c r="D43" s="3" t="str">
        <f>[1]!s_info_name(C43)</f>
        <v>韩国综合指数</v>
      </c>
      <c r="E43" s="3" t="s">
        <v>51</v>
      </c>
      <c r="F43" s="101">
        <f t="shared" si="1"/>
        <v>43</v>
      </c>
      <c r="G43" s="5">
        <f ca="1">[1]!f_pq_pctchange(C43,指数分析!$D$5,指数分析!$D$6)/100</f>
        <v>9.4484585082287284E-2</v>
      </c>
      <c r="H43" s="5"/>
      <c r="I43" s="5"/>
    </row>
    <row r="44" spans="1:9" x14ac:dyDescent="0.15">
      <c r="A44" s="6">
        <f ca="1">IF(G44="","",IF(COUNTIF(G$5:G44,G44)=1,RANK(G44,G:G,0),RANK(G44,G:G,0)+COUNTIF(G$5:G44,G44)-1))</f>
        <v>34</v>
      </c>
      <c r="B44" s="2">
        <f t="shared" si="0"/>
        <v>40</v>
      </c>
      <c r="C44" s="11" t="s">
        <v>34</v>
      </c>
      <c r="D44" s="3" t="str">
        <f>[1]!s_info_name(C44)</f>
        <v>日经225</v>
      </c>
      <c r="E44" s="3" t="s">
        <v>51</v>
      </c>
      <c r="F44" s="101">
        <f t="shared" si="1"/>
        <v>44</v>
      </c>
      <c r="G44" s="5">
        <f ca="1">[1]!f_pq_pctchange(C44,指数分析!$D$5,指数分析!$D$6)/100</f>
        <v>0.20779470430250258</v>
      </c>
      <c r="H44" s="5"/>
      <c r="I44" s="5"/>
    </row>
    <row r="45" spans="1:9" x14ac:dyDescent="0.15">
      <c r="A45" s="6">
        <f ca="1">IF(G45="","",IF(COUNTIF(G$5:G45,G45)=1,RANK(G45,G:G,0),RANK(G45,G:G,0)+COUNTIF(G$5:G45,G45)-1))</f>
        <v>127</v>
      </c>
      <c r="B45" s="2">
        <f t="shared" si="0"/>
        <v>41</v>
      </c>
      <c r="C45" s="11" t="s">
        <v>35</v>
      </c>
      <c r="D45" s="3" t="str">
        <f>[1]!s_info_name(C45)</f>
        <v>新西兰标普50</v>
      </c>
      <c r="E45" s="3" t="s">
        <v>51</v>
      </c>
      <c r="F45" s="101">
        <f t="shared" si="1"/>
        <v>45</v>
      </c>
      <c r="G45" s="5">
        <f ca="1">[1]!f_pq_pctchange(C45,指数分析!$D$5,指数分析!$D$6)/100</f>
        <v>-1.3260776314392153E-2</v>
      </c>
      <c r="H45" s="5"/>
      <c r="I45" s="5"/>
    </row>
    <row r="46" spans="1:9" x14ac:dyDescent="0.15">
      <c r="A46" s="6">
        <f ca="1">IF(G46="","",IF(COUNTIF(G$5:G46,G46)=1,RANK(G46,G:G,0),RANK(G46,G:G,0)+COUNTIF(G$5:G46,G46)-1))</f>
        <v>126</v>
      </c>
      <c r="B46" s="2">
        <f t="shared" si="0"/>
        <v>42</v>
      </c>
      <c r="C46" s="11" t="s">
        <v>38</v>
      </c>
      <c r="D46" s="3" t="str">
        <f>[1]!s_info_name(C46)</f>
        <v>马尼拉综指</v>
      </c>
      <c r="E46" s="3" t="s">
        <v>51</v>
      </c>
      <c r="F46" s="101">
        <f t="shared" si="1"/>
        <v>46</v>
      </c>
      <c r="G46" s="5">
        <f ca="1">[1]!f_pq_pctchange(C46,指数分析!$D$5,指数分析!$D$6)/100</f>
        <v>-9.6304442515439126E-3</v>
      </c>
      <c r="H46" s="5"/>
      <c r="I46" s="5"/>
    </row>
    <row r="47" spans="1:9" x14ac:dyDescent="0.15">
      <c r="A47" s="6">
        <f ca="1">IF(G47="","",IF(COUNTIF(G$5:G47,G47)=1,RANK(G47,G:G,0),RANK(G47,G:G,0)+COUNTIF(G$5:G47,G47)-1))</f>
        <v>116</v>
      </c>
      <c r="B47" s="2">
        <f t="shared" si="0"/>
        <v>43</v>
      </c>
      <c r="C47" s="11" t="s">
        <v>40</v>
      </c>
      <c r="D47" s="3" t="str">
        <f>[1]!s_info_name(C47)</f>
        <v>沙特全指</v>
      </c>
      <c r="E47" s="3" t="s">
        <v>51</v>
      </c>
      <c r="F47" s="101">
        <f t="shared" si="1"/>
        <v>47</v>
      </c>
      <c r="G47" s="5">
        <f ca="1">[1]!f_pq_pctchange(C47,指数分析!$D$5,指数分析!$D$6)/100</f>
        <v>7.0348881824398024E-3</v>
      </c>
      <c r="H47" s="5"/>
      <c r="I47" s="5"/>
    </row>
    <row r="48" spans="1:9" x14ac:dyDescent="0.15">
      <c r="A48" s="6">
        <f ca="1">IF(G48="","",IF(COUNTIF(G$5:G48,G48)=1,RANK(G48,G:G,0),RANK(G48,G:G,0)+COUNTIF(G$5:G48,G48)-1))</f>
        <v>37</v>
      </c>
      <c r="B48" s="2">
        <f t="shared" si="0"/>
        <v>44</v>
      </c>
      <c r="C48" s="11" t="s">
        <v>378</v>
      </c>
      <c r="D48" s="3" t="str">
        <f>[1]!s_info_name(C48)</f>
        <v>印度SENSEX30</v>
      </c>
      <c r="E48" s="3" t="s">
        <v>51</v>
      </c>
      <c r="F48" s="101">
        <f t="shared" si="1"/>
        <v>48</v>
      </c>
      <c r="G48" s="5">
        <f ca="1">[1]!f_pq_pctchange(C48,指数分析!$D$5,指数分析!$D$6)/100</f>
        <v>0.20136750208708154</v>
      </c>
      <c r="H48" s="5"/>
      <c r="I48" s="5"/>
    </row>
    <row r="49" spans="1:9" x14ac:dyDescent="0.15">
      <c r="A49" s="6">
        <f ca="1">IF(G49="","",IF(COUNTIF(G$5:G49,G49)=1,RANK(G49,G:G,0),RANK(G49,G:G,0)+COUNTIF(G$5:G49,G49)-1))</f>
        <v>213</v>
      </c>
      <c r="B49" s="2">
        <f t="shared" si="0"/>
        <v>45</v>
      </c>
      <c r="C49" s="11" t="s">
        <v>41</v>
      </c>
      <c r="D49" s="3" t="str">
        <f>[1]!s_info_name(C49)</f>
        <v>泰国SET指数</v>
      </c>
      <c r="E49" s="3" t="s">
        <v>51</v>
      </c>
      <c r="F49" s="101">
        <f t="shared" si="1"/>
        <v>49</v>
      </c>
      <c r="G49" s="5">
        <f ca="1">[1]!f_pq_pctchange(C49,指数分析!$D$5,指数分析!$D$6)/100</f>
        <v>-0.12714195617460378</v>
      </c>
      <c r="H49" s="5"/>
      <c r="I49" s="5"/>
    </row>
    <row r="50" spans="1:9" x14ac:dyDescent="0.15">
      <c r="A50" s="6">
        <f ca="1">IF(G50="","",IF(COUNTIF(G$5:G50,G50)=1,RANK(G50,G:G,0),RANK(G50,G:G,0)+COUNTIF(G$5:G50,G50)-1))</f>
        <v>89</v>
      </c>
      <c r="B50" s="2">
        <f t="shared" si="0"/>
        <v>46</v>
      </c>
      <c r="C50" s="11" t="s">
        <v>44</v>
      </c>
      <c r="D50" s="3" t="str">
        <f>[1]!s_info_name(C50)</f>
        <v>富时新加坡海峡指数</v>
      </c>
      <c r="E50" s="3" t="s">
        <v>51</v>
      </c>
      <c r="F50" s="101">
        <f t="shared" si="1"/>
        <v>50</v>
      </c>
      <c r="G50" s="5">
        <f ca="1">[1]!f_pq_pctchange(C50,指数分析!$D$5,指数分析!$D$6)/100</f>
        <v>5.7887336014448953E-2</v>
      </c>
      <c r="H50" s="5"/>
      <c r="I50" s="5"/>
    </row>
    <row r="51" spans="1:9" x14ac:dyDescent="0.15">
      <c r="A51" s="6">
        <f ca="1">IF(G51="","",IF(COUNTIF(G$5:G51,G51)=1,RANK(G51,G:G,0),RANK(G51,G:G,0)+COUNTIF(G$5:G51,G51)-1))</f>
        <v>70</v>
      </c>
      <c r="B51" s="2">
        <f t="shared" si="0"/>
        <v>47</v>
      </c>
      <c r="C51" s="11" t="s">
        <v>47</v>
      </c>
      <c r="D51" s="3" t="str">
        <f>[1]!s_info_name(C51)</f>
        <v>胡志明指数</v>
      </c>
      <c r="E51" s="3" t="s">
        <v>51</v>
      </c>
      <c r="F51" s="101">
        <f t="shared" si="1"/>
        <v>51</v>
      </c>
      <c r="G51" s="5">
        <f ca="1">[1]!f_pq_pctchange(C51,指数分析!$D$5,指数分析!$D$6)/100</f>
        <v>0.1057519845145707</v>
      </c>
      <c r="H51" s="5"/>
      <c r="I51" s="5"/>
    </row>
    <row r="52" spans="1:9" x14ac:dyDescent="0.15">
      <c r="A52" s="6">
        <f ca="1">IF(G52="","",IF(COUNTIF(G$5:G52,G52)=1,RANK(G52,G:G,0),RANK(G52,G:G,0)+COUNTIF(G$5:G52,G52)-1))</f>
        <v>165</v>
      </c>
      <c r="B52" s="2" t="str">
        <f t="shared" si="0"/>
        <v/>
      </c>
      <c r="C52" s="11" t="s">
        <v>52</v>
      </c>
      <c r="D52" s="3" t="str">
        <f>[1]!s_info_name(C52)</f>
        <v>上证A指</v>
      </c>
      <c r="E52" s="3" t="s">
        <v>256</v>
      </c>
      <c r="F52" s="101" t="str">
        <f t="shared" si="1"/>
        <v/>
      </c>
      <c r="G52" s="5">
        <f ca="1">[1]!f_pq_pctchange(C52,指数分析!$D$5,指数分析!$D$6)/100</f>
        <v>-7.42261950781955E-2</v>
      </c>
      <c r="H52" s="5"/>
      <c r="I52" s="5"/>
    </row>
    <row r="53" spans="1:9" x14ac:dyDescent="0.15">
      <c r="A53" s="6">
        <f ca="1">IF(G53="","",IF(COUNTIF(G$5:G53,G53)=1,RANK(G53,G:G,0),RANK(G53,G:G,0)+COUNTIF(G$5:G53,G53)-1))</f>
        <v>239</v>
      </c>
      <c r="B53" s="2" t="str">
        <f t="shared" si="0"/>
        <v/>
      </c>
      <c r="C53" s="11" t="s">
        <v>53</v>
      </c>
      <c r="D53" s="3" t="str">
        <f>[1]!s_info_name(C53)</f>
        <v>B股指数</v>
      </c>
      <c r="E53" s="3" t="s">
        <v>256</v>
      </c>
      <c r="F53" s="101" t="str">
        <f t="shared" si="1"/>
        <v/>
      </c>
      <c r="G53" s="5">
        <f ca="1">[1]!f_pq_pctchange(C53,指数分析!$D$5,指数分析!$D$6)/100</f>
        <v>-0.15175186974280541</v>
      </c>
      <c r="H53" s="5"/>
      <c r="I53" s="5"/>
    </row>
    <row r="54" spans="1:9" x14ac:dyDescent="0.15">
      <c r="A54" s="6">
        <f ca="1">IF(G54="","",IF(COUNTIF(G$5:G54,G54)=1,RANK(G54,G:G,0),RANK(G54,G:G,0)+COUNTIF(G$5:G54,G54)-1))</f>
        <v>154</v>
      </c>
      <c r="B54" s="2" t="str">
        <f t="shared" si="0"/>
        <v/>
      </c>
      <c r="C54" s="11" t="s">
        <v>54</v>
      </c>
      <c r="D54" s="3" t="str">
        <f>[1]!s_info_name(C54)</f>
        <v>上证180</v>
      </c>
      <c r="E54" s="3" t="s">
        <v>256</v>
      </c>
      <c r="F54" s="101" t="str">
        <f t="shared" si="1"/>
        <v/>
      </c>
      <c r="G54" s="5">
        <f ca="1">[1]!f_pq_pctchange(C54,指数分析!$D$5,指数分析!$D$6)/100</f>
        <v>-5.9549586049197023E-2</v>
      </c>
      <c r="H54" s="5"/>
      <c r="I54" s="5"/>
    </row>
    <row r="55" spans="1:9" x14ac:dyDescent="0.15">
      <c r="A55" s="6">
        <f ca="1">IF(G55="","",IF(COUNTIF(G$5:G55,G55)=1,RANK(G55,G:G,0),RANK(G55,G:G,0)+COUNTIF(G$5:G55,G55)-1))</f>
        <v>148</v>
      </c>
      <c r="B55" s="2" t="str">
        <f t="shared" si="0"/>
        <v/>
      </c>
      <c r="C55" s="11" t="s">
        <v>55</v>
      </c>
      <c r="D55" s="3" t="str">
        <f>[1]!s_info_name(C55)</f>
        <v>上证50</v>
      </c>
      <c r="E55" s="3" t="s">
        <v>256</v>
      </c>
      <c r="F55" s="101" t="str">
        <f t="shared" si="1"/>
        <v/>
      </c>
      <c r="G55" s="5">
        <f ca="1">[1]!f_pq_pctchange(C55,指数分析!$D$5,指数分析!$D$6)/100</f>
        <v>-4.2554427434158937E-2</v>
      </c>
      <c r="H55" s="5"/>
      <c r="I55" s="5"/>
    </row>
    <row r="56" spans="1:9" x14ac:dyDescent="0.15">
      <c r="A56" s="6">
        <f ca="1">IF(G56="","",IF(COUNTIF(G$5:G56,G56)=1,RANK(G56,G:G,0),RANK(G56,G:G,0)+COUNTIF(G$5:G56,G56)-1))</f>
        <v>164</v>
      </c>
      <c r="B56" s="2" t="str">
        <f t="shared" si="0"/>
        <v/>
      </c>
      <c r="C56" s="11" t="s">
        <v>56</v>
      </c>
      <c r="D56" s="3" t="str">
        <f>[1]!s_info_name(C56)</f>
        <v>新综指</v>
      </c>
      <c r="E56" s="3" t="s">
        <v>333</v>
      </c>
      <c r="F56" s="101" t="str">
        <f t="shared" si="1"/>
        <v/>
      </c>
      <c r="G56" s="5">
        <f ca="1">[1]!f_pq_pctchange(C56,指数分析!$D$5,指数分析!$D$6)/100</f>
        <v>-7.417681723918923E-2</v>
      </c>
      <c r="H56" s="5"/>
      <c r="I56" s="5"/>
    </row>
    <row r="57" spans="1:9" x14ac:dyDescent="0.15">
      <c r="A57" s="6">
        <f ca="1">IF(G57="","",IF(COUNTIF(G$5:G57,G57)=1,RANK(G57,G:G,0),RANK(G57,G:G,0)+COUNTIF(G$5:G57,G57)-1))</f>
        <v>187</v>
      </c>
      <c r="B57" s="2" t="str">
        <f t="shared" si="0"/>
        <v/>
      </c>
      <c r="C57" s="11" t="s">
        <v>57</v>
      </c>
      <c r="D57" s="3" t="str">
        <f>[1]!s_info_name(C57)</f>
        <v>沪深300</v>
      </c>
      <c r="E57" s="3" t="s">
        <v>333</v>
      </c>
      <c r="F57" s="101" t="str">
        <f t="shared" si="1"/>
        <v/>
      </c>
      <c r="G57" s="5">
        <f ca="1">[1]!f_pq_pctchange(C57,指数分析!$D$5,指数分析!$D$6)/100</f>
        <v>-9.9173048958862697E-2</v>
      </c>
      <c r="H57" s="5"/>
      <c r="I57" s="5"/>
    </row>
    <row r="58" spans="1:9" x14ac:dyDescent="0.15">
      <c r="A58" s="6">
        <f ca="1">IF(G58="","",IF(COUNTIF(G$5:G58,G58)=1,RANK(G58,G:G,0),RANK(G58,G:G,0)+COUNTIF(G$5:G58,G58)-1))</f>
        <v>190</v>
      </c>
      <c r="B58" s="2" t="str">
        <f t="shared" si="0"/>
        <v/>
      </c>
      <c r="C58" s="11" t="s">
        <v>58</v>
      </c>
      <c r="D58" s="3" t="str">
        <f>[1]!s_info_name(C58)</f>
        <v>中证100</v>
      </c>
      <c r="E58" s="3" t="s">
        <v>366</v>
      </c>
      <c r="F58" s="101" t="str">
        <f t="shared" si="1"/>
        <v/>
      </c>
      <c r="G58" s="5">
        <f ca="1">[1]!f_pq_pctchange(C58,指数分析!$D$5,指数分析!$D$6)/100</f>
        <v>-0.1013443135031389</v>
      </c>
      <c r="H58" s="5"/>
      <c r="I58" s="5"/>
    </row>
    <row r="59" spans="1:9" x14ac:dyDescent="0.15">
      <c r="A59" s="6">
        <f ca="1">IF(G59="","",IF(COUNTIF(G$5:G59,G59)=1,RANK(G59,G:G,0),RANK(G59,G:G,0)+COUNTIF(G$5:G59,G59)-1))</f>
        <v>206</v>
      </c>
      <c r="B59" s="2" t="str">
        <f t="shared" si="0"/>
        <v/>
      </c>
      <c r="C59" s="11" t="s">
        <v>380</v>
      </c>
      <c r="D59" s="3" t="str">
        <f>[1]!s_info_name(C59)</f>
        <v>MSCI中国A股</v>
      </c>
      <c r="E59" s="3" t="s">
        <v>333</v>
      </c>
      <c r="F59" s="101" t="str">
        <f t="shared" si="1"/>
        <v/>
      </c>
      <c r="G59" s="5">
        <f ca="1">[1]!f_pq_pctchange(C59,指数分析!$D$5,指数分析!$D$6)/100</f>
        <v>-0.12251862891207155</v>
      </c>
      <c r="H59" s="5"/>
      <c r="I59" s="5"/>
    </row>
    <row r="60" spans="1:9" x14ac:dyDescent="0.15">
      <c r="A60" s="6">
        <f ca="1">IF(G60="","",IF(COUNTIF(G$5:G60,G60)=1,RANK(G60,G:G,0),RANK(G60,G:G,0)+COUNTIF(G$5:G60,G60)-1))</f>
        <v>260</v>
      </c>
      <c r="B60" s="2" t="str">
        <f t="shared" si="0"/>
        <v/>
      </c>
      <c r="C60" s="11" t="s">
        <v>59</v>
      </c>
      <c r="D60" s="3" t="str">
        <f>[1]!s_info_name(C60)</f>
        <v>深证100R</v>
      </c>
      <c r="E60" s="3" t="s">
        <v>333</v>
      </c>
      <c r="F60" s="101" t="str">
        <f t="shared" si="1"/>
        <v/>
      </c>
      <c r="G60" s="5">
        <f ca="1">[1]!f_pq_pctchange(C60,指数分析!$D$5,指数分析!$D$6)/100</f>
        <v>-0.1657225801813963</v>
      </c>
      <c r="H60" s="5"/>
      <c r="I60" s="5"/>
    </row>
    <row r="61" spans="1:9" x14ac:dyDescent="0.15">
      <c r="A61" s="6">
        <f ca="1">IF(G61="","",IF(COUNTIF(G$5:G61,G61)=1,RANK(G61,G:G,0),RANK(G61,G:G,0)+COUNTIF(G$5:G61,G61)-1))</f>
        <v>318</v>
      </c>
      <c r="B61" s="2" t="str">
        <f t="shared" si="0"/>
        <v/>
      </c>
      <c r="C61" s="11" t="s">
        <v>60</v>
      </c>
      <c r="D61" s="3" t="str">
        <f>[1]!s_info_name(C61)</f>
        <v>中小100</v>
      </c>
      <c r="E61" s="3" t="s">
        <v>333</v>
      </c>
      <c r="F61" s="101" t="str">
        <f t="shared" si="1"/>
        <v/>
      </c>
      <c r="G61" s="5">
        <f ca="1">[1]!f_pq_pctchange(C61,指数分析!$D$5,指数分析!$D$6)/100</f>
        <v>-0.20803810256841848</v>
      </c>
      <c r="H61" s="5"/>
      <c r="I61" s="5"/>
    </row>
    <row r="62" spans="1:9" x14ac:dyDescent="0.15">
      <c r="A62" s="6">
        <f ca="1">IF(G62="","",IF(COUNTIF(G$5:G62,G62)=1,RANK(G62,G:G,0),RANK(G62,G:G,0)+COUNTIF(G$5:G62,G62)-1))</f>
        <v>356</v>
      </c>
      <c r="B62" s="2" t="str">
        <f t="shared" si="0"/>
        <v/>
      </c>
      <c r="C62" s="11" t="s">
        <v>61</v>
      </c>
      <c r="D62" s="3" t="str">
        <f>[1]!s_info_name(C62)</f>
        <v>创业板指</v>
      </c>
      <c r="E62" s="3" t="s">
        <v>333</v>
      </c>
      <c r="F62" s="101" t="str">
        <f t="shared" si="1"/>
        <v/>
      </c>
      <c r="G62" s="5">
        <f ca="1">[1]!f_pq_pctchange(C62,指数分析!$D$5,指数分析!$D$6)/100</f>
        <v>-0.23207726787139074</v>
      </c>
      <c r="H62" s="5"/>
      <c r="I62" s="5"/>
    </row>
    <row r="63" spans="1:9" x14ac:dyDescent="0.15">
      <c r="A63" s="6">
        <f ca="1">IF(G63="","",IF(COUNTIF(G$5:G63,G63)=1,RANK(G63,G:G,0),RANK(G63,G:G,0)+COUNTIF(G$5:G63,G63)-1))</f>
        <v>295</v>
      </c>
      <c r="B63" s="2" t="str">
        <f t="shared" si="0"/>
        <v/>
      </c>
      <c r="C63" s="11" t="s">
        <v>62</v>
      </c>
      <c r="D63" s="3" t="str">
        <f>[1]!s_info_name(C63)</f>
        <v>新指数</v>
      </c>
      <c r="E63" s="3" t="s">
        <v>333</v>
      </c>
      <c r="F63" s="101" t="str">
        <f t="shared" si="1"/>
        <v/>
      </c>
      <c r="G63" s="5">
        <f ca="1">[1]!f_pq_pctchange(C63,指数分析!$D$5,指数分析!$D$6)/100</f>
        <v>-0.19528131010325978</v>
      </c>
      <c r="H63" s="5"/>
      <c r="I63" s="5"/>
    </row>
    <row r="64" spans="1:9" x14ac:dyDescent="0.15">
      <c r="A64" s="6">
        <f ca="1">IF(G64="","",IF(COUNTIF(G$5:G64,G64)=1,RANK(G64,G:G,0),RANK(G64,G:G,0)+COUNTIF(G$5:G64,G64)-1))</f>
        <v>325</v>
      </c>
      <c r="B64" s="2" t="str">
        <f t="shared" si="0"/>
        <v/>
      </c>
      <c r="C64" s="11" t="s">
        <v>63</v>
      </c>
      <c r="D64" s="3" t="str">
        <f>[1]!s_info_name(C64)</f>
        <v>中小综指</v>
      </c>
      <c r="E64" s="3" t="s">
        <v>333</v>
      </c>
      <c r="F64" s="101" t="str">
        <f t="shared" si="1"/>
        <v/>
      </c>
      <c r="G64" s="5">
        <f ca="1">[1]!f_pq_pctchange(C64,指数分析!$D$5,指数分析!$D$6)/100</f>
        <v>-0.20979713039276315</v>
      </c>
      <c r="H64" s="5"/>
      <c r="I64" s="5"/>
    </row>
    <row r="65" spans="1:9" x14ac:dyDescent="0.15">
      <c r="A65" s="6">
        <f ca="1">IF(G65="","",IF(COUNTIF(G$5:G65,G65)=1,RANK(G65,G:G,0),RANK(G65,G:G,0)+COUNTIF(G$5:G65,G65)-1))</f>
        <v>319</v>
      </c>
      <c r="B65" s="2" t="str">
        <f t="shared" si="0"/>
        <v/>
      </c>
      <c r="C65" s="11" t="s">
        <v>64</v>
      </c>
      <c r="D65" s="3" t="str">
        <f>[1]!s_info_name(C65)</f>
        <v>深证综指</v>
      </c>
      <c r="E65" s="3" t="s">
        <v>333</v>
      </c>
      <c r="F65" s="101" t="str">
        <f t="shared" si="1"/>
        <v/>
      </c>
      <c r="G65" s="5">
        <f ca="1">[1]!f_pq_pctchange(C65,指数分析!$D$5,指数分析!$D$6)/100</f>
        <v>-0.20839160668101583</v>
      </c>
      <c r="H65" s="5"/>
      <c r="I65" s="5"/>
    </row>
    <row r="66" spans="1:9" x14ac:dyDescent="0.15">
      <c r="A66" s="6">
        <f ca="1">IF(G66="","",IF(COUNTIF(G$5:G66,G66)=1,RANK(G66,G:G,0),RANK(G66,G:G,0)+COUNTIF(G$5:G66,G66)-1))</f>
        <v>323</v>
      </c>
      <c r="B66" s="2" t="str">
        <f t="shared" si="0"/>
        <v/>
      </c>
      <c r="C66" s="11" t="s">
        <v>65</v>
      </c>
      <c r="D66" s="3" t="str">
        <f>[1]!s_info_name(C66)</f>
        <v>深证A指</v>
      </c>
      <c r="E66" s="3" t="s">
        <v>333</v>
      </c>
      <c r="F66" s="101" t="str">
        <f t="shared" si="1"/>
        <v/>
      </c>
      <c r="G66" s="5">
        <f ca="1">[1]!f_pq_pctchange(C66,指数分析!$D$5,指数分析!$D$6)/100</f>
        <v>-0.20867041310682599</v>
      </c>
      <c r="H66" s="5"/>
      <c r="I66" s="5"/>
    </row>
    <row r="67" spans="1:9" x14ac:dyDescent="0.15">
      <c r="A67" s="6">
        <f ca="1">IF(G67="","",IF(COUNTIF(G$5:G67,G67)=1,RANK(G67,G:G,0),RANK(G67,G:G,0)+COUNTIF(G$5:G67,G67)-1))</f>
        <v>134</v>
      </c>
      <c r="B67" s="2" t="str">
        <f t="shared" si="0"/>
        <v/>
      </c>
      <c r="C67" s="11" t="s">
        <v>66</v>
      </c>
      <c r="D67" s="3" t="str">
        <f>[1]!s_info_name(C67)</f>
        <v>深证B指</v>
      </c>
      <c r="E67" s="3" t="s">
        <v>333</v>
      </c>
      <c r="F67" s="101" t="str">
        <f t="shared" si="1"/>
        <v/>
      </c>
      <c r="G67" s="5">
        <f ca="1">[1]!f_pq_pctchange(C67,指数分析!$D$5,指数分析!$D$6)/100</f>
        <v>-1.8438922252479006E-2</v>
      </c>
      <c r="H67" s="5"/>
      <c r="I67" s="5"/>
    </row>
    <row r="68" spans="1:9" x14ac:dyDescent="0.15">
      <c r="A68" s="6">
        <f ca="1">IF(G68="","",IF(COUNTIF(G$5:G68,G68)=1,RANK(G68,G:G,0),RANK(G68,G:G,0)+COUNTIF(G$5:G68,G68)-1))</f>
        <v>181</v>
      </c>
      <c r="B68" s="2" t="str">
        <f t="shared" si="0"/>
        <v/>
      </c>
      <c r="C68" s="11" t="s">
        <v>67</v>
      </c>
      <c r="D68" s="3" t="str">
        <f>[1]!s_info_name(C68)</f>
        <v>申万50</v>
      </c>
      <c r="E68" s="3" t="s">
        <v>333</v>
      </c>
      <c r="F68" s="101" t="str">
        <f t="shared" si="1"/>
        <v/>
      </c>
      <c r="G68" s="5">
        <f ca="1">[1]!f_pq_pctchange(C68,指数分析!$D$5,指数分析!$D$6)/100</f>
        <v>-9.4843937431435391E-2</v>
      </c>
      <c r="H68" s="5"/>
      <c r="I68" s="5"/>
    </row>
    <row r="69" spans="1:9" x14ac:dyDescent="0.15">
      <c r="A69" s="6">
        <f ca="1">IF(G69="","",IF(COUNTIF(G$5:G69,G69)=1,RANK(G69,G:G,0),RANK(G69,G:G,0)+COUNTIF(G$5:G69,G69)-1))</f>
        <v>368</v>
      </c>
      <c r="B69" s="2" t="str">
        <f t="shared" si="0"/>
        <v/>
      </c>
      <c r="C69" s="11" t="s">
        <v>68</v>
      </c>
      <c r="D69" s="3" t="str">
        <f>[1]!s_info_name(C69)</f>
        <v>申万中小</v>
      </c>
      <c r="E69" s="3" t="s">
        <v>333</v>
      </c>
      <c r="F69" s="101" t="str">
        <f t="shared" si="1"/>
        <v/>
      </c>
      <c r="G69" s="5">
        <f ca="1">[1]!f_pq_pctchange(C69,指数分析!$D$5,指数分析!$D$6)/100</f>
        <v>-0.24346228265151704</v>
      </c>
      <c r="H69" s="5"/>
      <c r="I69" s="5"/>
    </row>
    <row r="70" spans="1:9" x14ac:dyDescent="0.15">
      <c r="A70" s="6">
        <f ca="1">IF(G70="","",IF(COUNTIF(G$5:G70,G70)=1,RANK(G70,G:G,0),RANK(G70,G:G,0)+COUNTIF(G$5:G70,G70)-1))</f>
        <v>266</v>
      </c>
      <c r="B70" s="2" t="str">
        <f t="shared" ref="B70:B133" si="2">IF(F70="","",RANK(F70,F:F,1))</f>
        <v/>
      </c>
      <c r="C70" s="11" t="s">
        <v>69</v>
      </c>
      <c r="D70" s="3" t="str">
        <f>[1]!s_info_name(C70)</f>
        <v>申万A股</v>
      </c>
      <c r="E70" s="3" t="s">
        <v>333</v>
      </c>
      <c r="F70" s="101" t="str">
        <f t="shared" ref="F70:F133" si="3">IF(ISERROR(FIND(F$4,$E70,1)),"",ROW())</f>
        <v/>
      </c>
      <c r="G70" s="5">
        <f ca="1">[1]!f_pq_pctchange(C70,指数分析!$D$5,指数分析!$D$6)/100</f>
        <v>-0.17028968133454814</v>
      </c>
      <c r="H70" s="5"/>
      <c r="I70" s="5"/>
    </row>
    <row r="71" spans="1:9" x14ac:dyDescent="0.15">
      <c r="A71" s="6">
        <f ca="1">IF(G71="","",IF(COUNTIF(G$5:G71,G71)=1,RANK(G71,G:G,0),RANK(G71,G:G,0)+COUNTIF(G$5:G71,G71)-1))</f>
        <v>383</v>
      </c>
      <c r="B71" s="2" t="str">
        <f t="shared" si="2"/>
        <v/>
      </c>
      <c r="C71" s="11" t="s">
        <v>70</v>
      </c>
      <c r="D71" s="3" t="str">
        <f>[1]!s_info_name(C71)</f>
        <v>申万创业</v>
      </c>
      <c r="E71" s="3" t="s">
        <v>333</v>
      </c>
      <c r="F71" s="101" t="str">
        <f t="shared" si="3"/>
        <v/>
      </c>
      <c r="G71" s="5">
        <f ca="1">[1]!f_pq_pctchange(C71,指数分析!$D$5,指数分析!$D$6)/100</f>
        <v>-0.25980652591718345</v>
      </c>
      <c r="H71" s="5"/>
      <c r="I71" s="5"/>
    </row>
    <row r="72" spans="1:9" x14ac:dyDescent="0.15">
      <c r="A72" s="6">
        <f ca="1">IF(G72="","",IF(COUNTIF(G$5:G72,G72)=1,RANK(G72,G:G,0),RANK(G72,G:G,0)+COUNTIF(G$5:G72,G72)-1))</f>
        <v>202</v>
      </c>
      <c r="B72" s="2" t="str">
        <f t="shared" si="2"/>
        <v/>
      </c>
      <c r="C72" s="11" t="s">
        <v>71</v>
      </c>
      <c r="D72" s="3" t="str">
        <f>[1]!s_info_name(C72)</f>
        <v>申万300</v>
      </c>
      <c r="E72" s="3" t="s">
        <v>333</v>
      </c>
      <c r="F72" s="101" t="str">
        <f t="shared" si="3"/>
        <v/>
      </c>
      <c r="G72" s="5">
        <f ca="1">[1]!f_pq_pctchange(C72,指数分析!$D$5,指数分析!$D$6)/100</f>
        <v>-0.12093772509056855</v>
      </c>
      <c r="H72" s="5"/>
      <c r="I72" s="5"/>
    </row>
    <row r="73" spans="1:9" x14ac:dyDescent="0.15">
      <c r="A73" s="6">
        <f ca="1">IF(G73="","",IF(COUNTIF(G$5:G73,G73)=1,RANK(G73,G:G,0),RANK(G73,G:G,0)+COUNTIF(G$5:G73,G73)-1))</f>
        <v>191</v>
      </c>
      <c r="B73" s="2" t="str">
        <f t="shared" si="2"/>
        <v/>
      </c>
      <c r="C73" s="11" t="s">
        <v>72</v>
      </c>
      <c r="D73" s="3" t="str">
        <f>[1]!s_info_name(C73)</f>
        <v>标普中国A股300指数</v>
      </c>
      <c r="E73" s="3" t="s">
        <v>333</v>
      </c>
      <c r="F73" s="101" t="str">
        <f t="shared" si="3"/>
        <v/>
      </c>
      <c r="G73" s="5">
        <f ca="1">[1]!f_pq_pctchange(C73,指数分析!$D$5,指数分析!$D$6)/100</f>
        <v>-0.10165475588141071</v>
      </c>
      <c r="H73" s="5"/>
      <c r="I73" s="5"/>
    </row>
    <row r="74" spans="1:9" x14ac:dyDescent="0.15">
      <c r="A74" s="6">
        <f ca="1">IF(G74="","",IF(COUNTIF(G$5:G74,G74)=1,RANK(G74,G:G,0),RANK(G74,G:G,0)+COUNTIF(G$5:G74,G74)-1))</f>
        <v>145</v>
      </c>
      <c r="B74" s="2" t="str">
        <f t="shared" si="2"/>
        <v/>
      </c>
      <c r="C74" s="11" t="s">
        <v>73</v>
      </c>
      <c r="D74" s="3" t="str">
        <f>[1]!s_info_name(C74)</f>
        <v>标普中国A股50指数</v>
      </c>
      <c r="E74" s="3" t="s">
        <v>333</v>
      </c>
      <c r="F74" s="101" t="str">
        <f t="shared" si="3"/>
        <v/>
      </c>
      <c r="G74" s="5">
        <f ca="1">[1]!f_pq_pctchange(C74,指数分析!$D$5,指数分析!$D$6)/100</f>
        <v>-3.8736890120661727E-2</v>
      </c>
      <c r="H74" s="5"/>
      <c r="I74" s="5"/>
    </row>
    <row r="75" spans="1:9" x14ac:dyDescent="0.15">
      <c r="A75" s="6">
        <f ca="1">IF(G75="","",IF(COUNTIF(G$5:G75,G75)=1,RANK(G75,G:G,0),RANK(G75,G:G,0)+COUNTIF(G$5:G75,G75)-1))</f>
        <v>172</v>
      </c>
      <c r="B75" s="2" t="str">
        <f t="shared" si="2"/>
        <v/>
      </c>
      <c r="C75" s="11" t="s">
        <v>74</v>
      </c>
      <c r="D75" s="3" t="str">
        <f>[1]!s_info_name(C75)</f>
        <v>富时中国A200</v>
      </c>
      <c r="E75" s="3" t="s">
        <v>333</v>
      </c>
      <c r="F75" s="101" t="str">
        <f t="shared" si="3"/>
        <v/>
      </c>
      <c r="G75" s="5">
        <f ca="1">[1]!f_pq_pctchange(C75,指数分析!$D$5,指数分析!$D$6)/100</f>
        <v>-8.2426831074907239E-2</v>
      </c>
      <c r="H75" s="5"/>
      <c r="I75" s="5"/>
    </row>
    <row r="76" spans="1:9" x14ac:dyDescent="0.15">
      <c r="A76" s="6">
        <f ca="1">IF(G76="","",IF(COUNTIF(G$5:G76,G76)=1,RANK(G76,G:G,0),RANK(G76,G:G,0)+COUNTIF(G$5:G76,G76)-1))</f>
        <v>121</v>
      </c>
      <c r="B76" s="2" t="str">
        <f t="shared" si="2"/>
        <v/>
      </c>
      <c r="C76" s="11" t="s">
        <v>75</v>
      </c>
      <c r="D76" s="3" t="str">
        <f>[1]!s_info_name(C76)</f>
        <v>富时中国A全指</v>
      </c>
      <c r="E76" s="3" t="s">
        <v>333</v>
      </c>
      <c r="F76" s="101" t="str">
        <f t="shared" si="3"/>
        <v/>
      </c>
      <c r="G76" s="5">
        <f ca="1">[1]!f_pq_pctchange(C76,指数分析!$D$5,指数分析!$D$6)/100</f>
        <v>0</v>
      </c>
      <c r="H76" s="5"/>
      <c r="I76" s="5"/>
    </row>
    <row r="77" spans="1:9" x14ac:dyDescent="0.15">
      <c r="A77" s="6">
        <f ca="1">IF(G77="","",IF(COUNTIF(G$5:G77,G77)=1,RANK(G77,G:G,0),RANK(G77,G:G,0)+COUNTIF(G$5:G77,G77)-1))</f>
        <v>188</v>
      </c>
      <c r="B77" s="2" t="str">
        <f t="shared" si="2"/>
        <v/>
      </c>
      <c r="C77" s="11" t="s">
        <v>76</v>
      </c>
      <c r="D77" s="3" t="str">
        <f>[1]!s_info_name(C77)</f>
        <v>富时中国A600</v>
      </c>
      <c r="E77" s="3" t="s">
        <v>333</v>
      </c>
      <c r="F77" s="101" t="str">
        <f t="shared" si="3"/>
        <v/>
      </c>
      <c r="G77" s="5">
        <f ca="1">[1]!f_pq_pctchange(C77,指数分析!$D$5,指数分析!$D$6)/100</f>
        <v>-9.9889038358620286E-2</v>
      </c>
      <c r="H77" s="5"/>
      <c r="I77" s="5"/>
    </row>
    <row r="78" spans="1:9" x14ac:dyDescent="0.15">
      <c r="A78" s="6">
        <f ca="1">IF(G78="","",IF(COUNTIF(G$5:G78,G78)=1,RANK(G78,G:G,0),RANK(G78,G:G,0)+COUNTIF(G$5:G78,G78)-1))</f>
        <v>228</v>
      </c>
      <c r="B78" s="2" t="str">
        <f t="shared" si="2"/>
        <v/>
      </c>
      <c r="C78" s="11" t="s">
        <v>77</v>
      </c>
      <c r="D78" s="3" t="str">
        <f>[1]!s_info_name(C78)</f>
        <v>富时中国A400</v>
      </c>
      <c r="E78" s="3" t="s">
        <v>333</v>
      </c>
      <c r="F78" s="101" t="str">
        <f t="shared" si="3"/>
        <v/>
      </c>
      <c r="G78" s="5">
        <f ca="1">[1]!f_pq_pctchange(C78,指数分析!$D$5,指数分析!$D$6)/100</f>
        <v>-0.14068860618114309</v>
      </c>
      <c r="H78" s="5"/>
      <c r="I78" s="5"/>
    </row>
    <row r="79" spans="1:9" x14ac:dyDescent="0.15">
      <c r="A79" s="6">
        <f ca="1">IF(G79="","",IF(COUNTIF(G$5:G79,G79)=1,RANK(G79,G:G,0),RANK(G79,G:G,0)+COUNTIF(G$5:G79,G79)-1))</f>
        <v>140</v>
      </c>
      <c r="B79" s="2" t="str">
        <f t="shared" si="2"/>
        <v/>
      </c>
      <c r="C79" s="11" t="s">
        <v>78</v>
      </c>
      <c r="D79" s="3" t="str">
        <f>[1]!s_info_name(C79)</f>
        <v>富时中国A50</v>
      </c>
      <c r="E79" s="3" t="s">
        <v>333</v>
      </c>
      <c r="F79" s="101" t="str">
        <f t="shared" si="3"/>
        <v/>
      </c>
      <c r="G79" s="5">
        <f ca="1">[1]!f_pq_pctchange(C79,指数分析!$D$5,指数分析!$D$6)/100</f>
        <v>-3.3499025372326963E-2</v>
      </c>
      <c r="H79" s="5"/>
      <c r="I79" s="5"/>
    </row>
    <row r="80" spans="1:9" x14ac:dyDescent="0.15">
      <c r="A80" s="6">
        <f ca="1">IF(G80="","",IF(COUNTIF(G$5:G80,G80)=1,RANK(G80,G:G,0),RANK(G80,G:G,0)+COUNTIF(G$5:G80,G80)-1))</f>
        <v>243</v>
      </c>
      <c r="B80" s="2" t="str">
        <f t="shared" si="2"/>
        <v/>
      </c>
      <c r="C80" s="11" t="s">
        <v>79</v>
      </c>
      <c r="D80" s="3" t="str">
        <f>[1]!s_info_name(C80)</f>
        <v>万得全A</v>
      </c>
      <c r="E80" s="3" t="s">
        <v>333</v>
      </c>
      <c r="F80" s="101" t="str">
        <f t="shared" si="3"/>
        <v/>
      </c>
      <c r="G80" s="5">
        <f ca="1">[1]!f_pq_pctchange(C80,指数分析!$D$5,指数分析!$D$6)/100</f>
        <v>-0.15387471560164367</v>
      </c>
      <c r="H80" s="5"/>
      <c r="I80" s="5"/>
    </row>
    <row r="81" spans="1:9" x14ac:dyDescent="0.15">
      <c r="A81" s="6">
        <f ca="1">IF(G81="","",IF(COUNTIF(G$5:G81,G81)=1,RANK(G81,G:G,0),RANK(G81,G:G,0)+COUNTIF(G$5:G81,G81)-1))</f>
        <v>171</v>
      </c>
      <c r="B81" s="2" t="str">
        <f t="shared" si="2"/>
        <v/>
      </c>
      <c r="C81" s="11" t="s">
        <v>80</v>
      </c>
      <c r="D81" s="3" t="str">
        <f>[1]!s_info_name(C81)</f>
        <v>万得蓝筹280</v>
      </c>
      <c r="E81" s="3" t="s">
        <v>333</v>
      </c>
      <c r="F81" s="101" t="str">
        <f t="shared" si="3"/>
        <v/>
      </c>
      <c r="G81" s="5">
        <f ca="1">[1]!f_pq_pctchange(C81,指数分析!$D$5,指数分析!$D$6)/100</f>
        <v>-8.1723586778650215E-2</v>
      </c>
      <c r="H81" s="5"/>
      <c r="I81" s="5"/>
    </row>
    <row r="82" spans="1:9" x14ac:dyDescent="0.15">
      <c r="A82" s="6">
        <f ca="1">IF(G82="","",IF(COUNTIF(G$5:G82,G82)=1,RANK(G82,G:G,0),RANK(G82,G:G,0)+COUNTIF(G$5:G82,G82)-1))</f>
        <v>122</v>
      </c>
      <c r="B82" s="2" t="str">
        <f t="shared" si="2"/>
        <v/>
      </c>
      <c r="C82" s="11" t="s">
        <v>81</v>
      </c>
      <c r="D82" s="3" t="str">
        <f>[1]!s_info_name(C82)</f>
        <v>道中600指数</v>
      </c>
      <c r="E82" s="3" t="s">
        <v>333</v>
      </c>
      <c r="F82" s="101" t="str">
        <f t="shared" si="3"/>
        <v/>
      </c>
      <c r="G82" s="5">
        <f ca="1">[1]!f_pq_pctchange(C82,指数分析!$D$5,指数分析!$D$6)/100</f>
        <v>0</v>
      </c>
      <c r="H82" s="5"/>
      <c r="I82" s="5"/>
    </row>
    <row r="83" spans="1:9" x14ac:dyDescent="0.15">
      <c r="A83" s="6">
        <f ca="1">IF(G83="","",IF(COUNTIF(G$5:G83,G83)=1,RANK(G83,G:G,0),RANK(G83,G:G,0)+COUNTIF(G$5:G83,G83)-1))</f>
        <v>244</v>
      </c>
      <c r="B83" s="2" t="str">
        <f t="shared" si="2"/>
        <v/>
      </c>
      <c r="C83" s="11" t="s">
        <v>82</v>
      </c>
      <c r="D83" s="3" t="str">
        <f>[1]!s_info_name(C83)</f>
        <v>道中指数</v>
      </c>
      <c r="E83" s="3" t="s">
        <v>333</v>
      </c>
      <c r="F83" s="101" t="str">
        <f t="shared" si="3"/>
        <v/>
      </c>
      <c r="G83" s="5">
        <f ca="1">[1]!f_pq_pctchange(C83,指数分析!$D$5,指数分析!$D$6)/100</f>
        <v>-0.15459261661031076</v>
      </c>
      <c r="H83" s="5"/>
      <c r="I83" s="5"/>
    </row>
    <row r="84" spans="1:9" x14ac:dyDescent="0.15">
      <c r="A84" s="6">
        <f ca="1">IF(G84="","",IF(COUNTIF(G$5:G84,G84)=1,RANK(G84,G:G,0),RANK(G84,G:G,0)+COUNTIF(G$5:G84,G84)-1))</f>
        <v>167</v>
      </c>
      <c r="B84" s="2" t="str">
        <f t="shared" si="2"/>
        <v/>
      </c>
      <c r="C84" s="11" t="s">
        <v>83</v>
      </c>
      <c r="D84" s="3" t="str">
        <f>[1]!s_info_name(C84)</f>
        <v>道中88指数</v>
      </c>
      <c r="E84" s="3" t="s">
        <v>333</v>
      </c>
      <c r="F84" s="101" t="str">
        <f t="shared" si="3"/>
        <v/>
      </c>
      <c r="G84" s="5">
        <f ca="1">[1]!f_pq_pctchange(C84,指数分析!$D$5,指数分析!$D$6)/100</f>
        <v>-7.6934898875023028E-2</v>
      </c>
      <c r="H84" s="5"/>
      <c r="I84" s="5"/>
    </row>
    <row r="85" spans="1:9" x14ac:dyDescent="0.15">
      <c r="A85" s="6">
        <f ca="1">IF(G85="","",IF(COUNTIF(G$5:G85,G85)=1,RANK(G85,G:G,0),RANK(G85,G:G,0)+COUNTIF(G$5:G85,G85)-1))</f>
        <v>85</v>
      </c>
      <c r="B85" s="2" t="str">
        <f t="shared" si="2"/>
        <v/>
      </c>
      <c r="C85" s="3" t="s">
        <v>84</v>
      </c>
      <c r="D85" s="3" t="str">
        <f>[1]!s_info_name(C85)</f>
        <v>石油石化(中信)</v>
      </c>
      <c r="E85" s="3" t="s">
        <v>250</v>
      </c>
      <c r="F85" s="101" t="str">
        <f t="shared" si="3"/>
        <v/>
      </c>
      <c r="G85" s="5">
        <f ca="1">[1]!f_pq_pctchange(C85,指数分析!$D$5,指数分析!$D$6)/100</f>
        <v>7.6641462473881594E-2</v>
      </c>
      <c r="H85" s="5"/>
      <c r="I85" s="5"/>
    </row>
    <row r="86" spans="1:9" x14ac:dyDescent="0.15">
      <c r="A86" s="6">
        <f ca="1">IF(G86="","",IF(COUNTIF(G$5:G86,G86)=1,RANK(G86,G:G,0),RANK(G86,G:G,0)+COUNTIF(G$5:G86,G86)-1))</f>
        <v>23</v>
      </c>
      <c r="B86" s="2" t="str">
        <f t="shared" si="2"/>
        <v/>
      </c>
      <c r="C86" s="3" t="s">
        <v>85</v>
      </c>
      <c r="D86" s="3" t="str">
        <f>[1]!s_info_name(C86)</f>
        <v>煤炭(中信)</v>
      </c>
      <c r="E86" s="3" t="s">
        <v>250</v>
      </c>
      <c r="F86" s="101" t="str">
        <f t="shared" si="3"/>
        <v/>
      </c>
      <c r="G86" s="5">
        <f ca="1">[1]!f_pq_pctchange(C86,指数分析!$D$5,指数分析!$D$6)/100</f>
        <v>0.26564888397730146</v>
      </c>
      <c r="H86" s="5"/>
      <c r="I86" s="5"/>
    </row>
    <row r="87" spans="1:9" x14ac:dyDescent="0.15">
      <c r="A87" s="6">
        <f ca="1">IF(G87="","",IF(COUNTIF(G$5:G87,G87)=1,RANK(G87,G:G,0),RANK(G87,G:G,0)+COUNTIF(G$5:G87,G87)-1))</f>
        <v>130</v>
      </c>
      <c r="B87" s="2" t="str">
        <f t="shared" si="2"/>
        <v/>
      </c>
      <c r="C87" s="3" t="s">
        <v>86</v>
      </c>
      <c r="D87" s="3" t="str">
        <f>[1]!s_info_name(C87)</f>
        <v>有色金属(中信)</v>
      </c>
      <c r="E87" s="3" t="s">
        <v>250</v>
      </c>
      <c r="F87" s="101" t="str">
        <f t="shared" si="3"/>
        <v/>
      </c>
      <c r="G87" s="5">
        <f ca="1">[1]!f_pq_pctchange(C87,指数分析!$D$5,指数分析!$D$6)/100</f>
        <v>-1.5788789162084926E-2</v>
      </c>
      <c r="H87" s="5"/>
      <c r="I87" s="5"/>
    </row>
    <row r="88" spans="1:9" x14ac:dyDescent="0.15">
      <c r="A88" s="6">
        <f ca="1">IF(G88="","",IF(COUNTIF(G$5:G88,G88)=1,RANK(G88,G:G,0),RANK(G88,G:G,0)+COUNTIF(G$5:G88,G88)-1))</f>
        <v>99</v>
      </c>
      <c r="B88" s="2" t="str">
        <f t="shared" si="2"/>
        <v/>
      </c>
      <c r="C88" s="3" t="s">
        <v>87</v>
      </c>
      <c r="D88" s="3" t="str">
        <f>[1]!s_info_name(C88)</f>
        <v>电力及公用事业(中信)</v>
      </c>
      <c r="E88" s="3" t="s">
        <v>250</v>
      </c>
      <c r="F88" s="101" t="str">
        <f t="shared" si="3"/>
        <v/>
      </c>
      <c r="G88" s="5">
        <f ca="1">[1]!f_pq_pctchange(C88,指数分析!$D$5,指数分析!$D$6)/100</f>
        <v>4.4022421062418049E-2</v>
      </c>
      <c r="H88" s="5"/>
      <c r="I88" s="5"/>
    </row>
    <row r="89" spans="1:9" x14ac:dyDescent="0.15">
      <c r="A89" s="6">
        <f ca="1">IF(G89="","",IF(COUNTIF(G$5:G89,G89)=1,RANK(G89,G:G,0),RANK(G89,G:G,0)+COUNTIF(G$5:G89,G89)-1))</f>
        <v>217</v>
      </c>
      <c r="B89" s="2" t="str">
        <f t="shared" si="2"/>
        <v/>
      </c>
      <c r="C89" s="3" t="s">
        <v>88</v>
      </c>
      <c r="D89" s="3" t="str">
        <f>[1]!s_info_name(C89)</f>
        <v>钢铁(中信)</v>
      </c>
      <c r="E89" s="3" t="s">
        <v>250</v>
      </c>
      <c r="F89" s="101" t="str">
        <f t="shared" si="3"/>
        <v/>
      </c>
      <c r="G89" s="5">
        <f ca="1">[1]!f_pq_pctchange(C89,指数分析!$D$5,指数分析!$D$6)/100</f>
        <v>-0.13005862986773153</v>
      </c>
      <c r="H89" s="5"/>
      <c r="I89" s="5"/>
    </row>
    <row r="90" spans="1:9" x14ac:dyDescent="0.15">
      <c r="A90" s="6">
        <f ca="1">IF(G90="","",IF(COUNTIF(G$5:G90,G90)=1,RANK(G90,G:G,0),RANK(G90,G:G,0)+COUNTIF(G$5:G90,G90)-1))</f>
        <v>345</v>
      </c>
      <c r="B90" s="2" t="str">
        <f t="shared" si="2"/>
        <v/>
      </c>
      <c r="C90" s="3" t="s">
        <v>89</v>
      </c>
      <c r="D90" s="3" t="str">
        <f>[1]!s_info_name(C90)</f>
        <v>基础化工(中信)</v>
      </c>
      <c r="E90" s="3" t="s">
        <v>250</v>
      </c>
      <c r="F90" s="101" t="str">
        <f t="shared" si="3"/>
        <v/>
      </c>
      <c r="G90" s="5">
        <f ca="1">[1]!f_pq_pctchange(C90,指数分析!$D$5,指数分析!$D$6)/100</f>
        <v>-0.22249498521460942</v>
      </c>
      <c r="H90" s="5"/>
      <c r="I90" s="5"/>
    </row>
    <row r="91" spans="1:9" x14ac:dyDescent="0.15">
      <c r="A91" s="6">
        <f ca="1">IF(G91="","",IF(COUNTIF(G$5:G91,G91)=1,RANK(G91,G:G,0),RANK(G91,G:G,0)+COUNTIF(G$5:G91,G91)-1))</f>
        <v>280</v>
      </c>
      <c r="B91" s="2" t="str">
        <f t="shared" si="2"/>
        <v/>
      </c>
      <c r="C91" s="3" t="s">
        <v>90</v>
      </c>
      <c r="D91" s="3" t="str">
        <f>[1]!s_info_name(C91)</f>
        <v>建筑(中信)</v>
      </c>
      <c r="E91" s="3" t="s">
        <v>250</v>
      </c>
      <c r="F91" s="101" t="str">
        <f t="shared" si="3"/>
        <v/>
      </c>
      <c r="G91" s="5">
        <f ca="1">[1]!f_pq_pctchange(C91,指数分析!$D$5,指数分析!$D$6)/100</f>
        <v>-0.18277843025291182</v>
      </c>
      <c r="H91" s="5"/>
      <c r="I91" s="5"/>
    </row>
    <row r="92" spans="1:9" x14ac:dyDescent="0.15">
      <c r="A92" s="6">
        <f ca="1">IF(G92="","",IF(COUNTIF(G$5:G92,G92)=1,RANK(G92,G:G,0),RANK(G92,G:G,0)+COUNTIF(G$5:G92,G92)-1))</f>
        <v>355</v>
      </c>
      <c r="B92" s="2" t="str">
        <f t="shared" si="2"/>
        <v/>
      </c>
      <c r="C92" s="3" t="s">
        <v>91</v>
      </c>
      <c r="D92" s="3" t="str">
        <f>[1]!s_info_name(C92)</f>
        <v>建材(中信)</v>
      </c>
      <c r="E92" s="3" t="s">
        <v>250</v>
      </c>
      <c r="F92" s="101" t="str">
        <f t="shared" si="3"/>
        <v/>
      </c>
      <c r="G92" s="5">
        <f ca="1">[1]!f_pq_pctchange(C92,指数分析!$D$5,指数分析!$D$6)/100</f>
        <v>-0.23136912470032212</v>
      </c>
      <c r="H92" s="5"/>
      <c r="I92" s="5"/>
    </row>
    <row r="93" spans="1:9" x14ac:dyDescent="0.15">
      <c r="A93" s="6">
        <f ca="1">IF(G93="","",IF(COUNTIF(G$5:G93,G93)=1,RANK(G93,G:G,0),RANK(G93,G:G,0)+COUNTIF(G$5:G93,G93)-1))</f>
        <v>372</v>
      </c>
      <c r="B93" s="2" t="str">
        <f t="shared" si="2"/>
        <v/>
      </c>
      <c r="C93" s="3" t="s">
        <v>92</v>
      </c>
      <c r="D93" s="3" t="str">
        <f>[1]!s_info_name(C93)</f>
        <v>轻工制造(中信)</v>
      </c>
      <c r="E93" s="3" t="s">
        <v>250</v>
      </c>
      <c r="F93" s="101" t="str">
        <f t="shared" si="3"/>
        <v/>
      </c>
      <c r="G93" s="5">
        <f ca="1">[1]!f_pq_pctchange(C93,指数分析!$D$5,指数分析!$D$6)/100</f>
        <v>-0.24908610565466616</v>
      </c>
      <c r="H93" s="5"/>
      <c r="I93" s="5"/>
    </row>
    <row r="94" spans="1:9" x14ac:dyDescent="0.15">
      <c r="A94" s="6">
        <f ca="1">IF(G94="","",IF(COUNTIF(G$5:G94,G94)=1,RANK(G94,G:G,0),RANK(G94,G:G,0)+COUNTIF(G$5:G94,G94)-1))</f>
        <v>315</v>
      </c>
      <c r="B94" s="2" t="str">
        <f t="shared" si="2"/>
        <v/>
      </c>
      <c r="C94" s="3" t="s">
        <v>93</v>
      </c>
      <c r="D94" s="3" t="str">
        <f>[1]!s_info_name(C94)</f>
        <v>机械(中信)</v>
      </c>
      <c r="E94" s="3" t="s">
        <v>250</v>
      </c>
      <c r="F94" s="101" t="str">
        <f t="shared" si="3"/>
        <v/>
      </c>
      <c r="G94" s="5">
        <f ca="1">[1]!f_pq_pctchange(C94,指数分析!$D$5,指数分析!$D$6)/100</f>
        <v>-0.20724531011809966</v>
      </c>
      <c r="H94" s="5"/>
      <c r="I94" s="5"/>
    </row>
    <row r="95" spans="1:9" x14ac:dyDescent="0.15">
      <c r="A95" s="6">
        <f ca="1">IF(G95="","",IF(COUNTIF(G$5:G95,G95)=1,RANK(G95,G:G,0),RANK(G95,G:G,0)+COUNTIF(G$5:G95,G95)-1))</f>
        <v>419</v>
      </c>
      <c r="B95" s="2" t="str">
        <f t="shared" si="2"/>
        <v/>
      </c>
      <c r="C95" s="3" t="s">
        <v>94</v>
      </c>
      <c r="D95" s="3" t="str">
        <f>[1]!s_info_name(C95)</f>
        <v>电力设备及新能源(中信)</v>
      </c>
      <c r="E95" s="3" t="s">
        <v>250</v>
      </c>
      <c r="F95" s="101" t="str">
        <f t="shared" si="3"/>
        <v/>
      </c>
      <c r="G95" s="5">
        <f ca="1">[1]!f_pq_pctchange(C95,指数分析!$D$5,指数分析!$D$6)/100</f>
        <v>-0.3038017383341205</v>
      </c>
      <c r="H95" s="5"/>
      <c r="I95" s="5"/>
    </row>
    <row r="96" spans="1:9" x14ac:dyDescent="0.15">
      <c r="A96" s="6">
        <f ca="1">IF(G96="","",IF(COUNTIF(G$5:G96,G96)=1,RANK(G96,G:G,0),RANK(G96,G:G,0)+COUNTIF(G$5:G96,G96)-1))</f>
        <v>331</v>
      </c>
      <c r="B96" s="2" t="str">
        <f t="shared" si="2"/>
        <v/>
      </c>
      <c r="C96" s="3" t="s">
        <v>95</v>
      </c>
      <c r="D96" s="3" t="str">
        <f>[1]!s_info_name(C96)</f>
        <v>国防军工(中信)</v>
      </c>
      <c r="E96" s="3" t="s">
        <v>250</v>
      </c>
      <c r="F96" s="101" t="str">
        <f t="shared" si="3"/>
        <v/>
      </c>
      <c r="G96" s="5">
        <f ca="1">[1]!f_pq_pctchange(C96,指数分析!$D$5,指数分析!$D$6)/100</f>
        <v>-0.21661797567027308</v>
      </c>
      <c r="H96" s="5"/>
      <c r="I96" s="5"/>
    </row>
    <row r="97" spans="1:9" x14ac:dyDescent="0.15">
      <c r="A97" s="6">
        <f ca="1">IF(G97="","",IF(COUNTIF(G$5:G97,G97)=1,RANK(G97,G:G,0),RANK(G97,G:G,0)+COUNTIF(G$5:G97,G97)-1))</f>
        <v>174</v>
      </c>
      <c r="B97" s="2" t="str">
        <f t="shared" si="2"/>
        <v/>
      </c>
      <c r="C97" s="3" t="s">
        <v>96</v>
      </c>
      <c r="D97" s="3" t="str">
        <f>[1]!s_info_name(C97)</f>
        <v>汽车(中信)</v>
      </c>
      <c r="E97" s="3" t="s">
        <v>250</v>
      </c>
      <c r="F97" s="101" t="str">
        <f t="shared" si="3"/>
        <v/>
      </c>
      <c r="G97" s="5">
        <f ca="1">[1]!f_pq_pctchange(C97,指数分析!$D$5,指数分析!$D$6)/100</f>
        <v>-8.7451338117076283E-2</v>
      </c>
      <c r="H97" s="5"/>
      <c r="I97" s="5"/>
    </row>
    <row r="98" spans="1:9" x14ac:dyDescent="0.15">
      <c r="A98" s="6">
        <f ca="1">IF(G98="","",IF(COUNTIF(G$5:G98,G98)=1,RANK(G98,G:G,0),RANK(G98,G:G,0)+COUNTIF(G$5:G98,G98)-1))</f>
        <v>379</v>
      </c>
      <c r="B98" s="2" t="str">
        <f t="shared" si="2"/>
        <v/>
      </c>
      <c r="C98" s="3" t="s">
        <v>97</v>
      </c>
      <c r="D98" s="3" t="str">
        <f>[1]!s_info_name(C98)</f>
        <v>商贸零售(中信)</v>
      </c>
      <c r="E98" s="3" t="s">
        <v>250</v>
      </c>
      <c r="F98" s="101" t="str">
        <f t="shared" si="3"/>
        <v/>
      </c>
      <c r="G98" s="5">
        <f ca="1">[1]!f_pq_pctchange(C98,指数分析!$D$5,指数分析!$D$6)/100</f>
        <v>-0.25664639087175822</v>
      </c>
      <c r="H98" s="5"/>
      <c r="I98" s="5"/>
    </row>
    <row r="99" spans="1:9" x14ac:dyDescent="0.15">
      <c r="A99" s="6">
        <f ca="1">IF(G99="","",IF(COUNTIF(G$5:G99,G99)=1,RANK(G99,G:G,0),RANK(G99,G:G,0)+COUNTIF(G$5:G99,G99)-1))</f>
        <v>469</v>
      </c>
      <c r="B99" s="2" t="str">
        <f t="shared" si="2"/>
        <v/>
      </c>
      <c r="C99" s="3" t="s">
        <v>98</v>
      </c>
      <c r="D99" s="3" t="str">
        <f>[1]!s_info_name(C99)</f>
        <v>消费者服务(中信)</v>
      </c>
      <c r="E99" s="3" t="s">
        <v>250</v>
      </c>
      <c r="F99" s="101" t="str">
        <f t="shared" si="3"/>
        <v/>
      </c>
      <c r="G99" s="5">
        <f ca="1">[1]!f_pq_pctchange(C99,指数分析!$D$5,指数分析!$D$6)/100</f>
        <v>-0.38402264297223904</v>
      </c>
      <c r="H99" s="5"/>
      <c r="I99" s="5"/>
    </row>
    <row r="100" spans="1:9" x14ac:dyDescent="0.15">
      <c r="A100" s="6">
        <f ca="1">IF(G100="","",IF(COUNTIF(G$5:G100,G100)=1,RANK(G100,G:G,0),RANK(G100,G:G,0)+COUNTIF(G$5:G100,G100)-1))</f>
        <v>101</v>
      </c>
      <c r="B100" s="2" t="str">
        <f t="shared" si="2"/>
        <v/>
      </c>
      <c r="C100" s="3" t="s">
        <v>99</v>
      </c>
      <c r="D100" s="3" t="str">
        <f>[1]!s_info_name(C100)</f>
        <v>家电(中信)</v>
      </c>
      <c r="E100" s="3" t="s">
        <v>250</v>
      </c>
      <c r="F100" s="101" t="str">
        <f t="shared" si="3"/>
        <v/>
      </c>
      <c r="G100" s="5">
        <f ca="1">[1]!f_pq_pctchange(C100,指数分析!$D$5,指数分析!$D$6)/100</f>
        <v>4.0090168246187607E-2</v>
      </c>
      <c r="H100" s="5"/>
      <c r="I100" s="5"/>
    </row>
    <row r="101" spans="1:9" x14ac:dyDescent="0.15">
      <c r="A101" s="6">
        <f ca="1">IF(G101="","",IF(COUNTIF(G$5:G101,G101)=1,RANK(G101,G:G,0),RANK(G101,G:G,0)+COUNTIF(G$5:G101,G101)-1))</f>
        <v>247</v>
      </c>
      <c r="B101" s="2" t="str">
        <f t="shared" si="2"/>
        <v/>
      </c>
      <c r="C101" s="3" t="s">
        <v>100</v>
      </c>
      <c r="D101" s="3" t="str">
        <f>[1]!s_info_name(C101)</f>
        <v>纺织服装(中信)</v>
      </c>
      <c r="E101" s="3" t="s">
        <v>250</v>
      </c>
      <c r="F101" s="101" t="str">
        <f t="shared" si="3"/>
        <v/>
      </c>
      <c r="G101" s="5">
        <f ca="1">[1]!f_pq_pctchange(C101,指数分析!$D$5,指数分析!$D$6)/100</f>
        <v>-0.15597401225672147</v>
      </c>
      <c r="H101" s="5"/>
      <c r="I101" s="5"/>
    </row>
    <row r="102" spans="1:9" x14ac:dyDescent="0.15">
      <c r="A102" s="6">
        <f ca="1">IF(G102="","",IF(COUNTIF(G$5:G102,G102)=1,RANK(G102,G:G,0),RANK(G102,G:G,0)+COUNTIF(G$5:G102,G102)-1))</f>
        <v>305</v>
      </c>
      <c r="B102" s="2" t="str">
        <f t="shared" si="2"/>
        <v/>
      </c>
      <c r="C102" s="3" t="s">
        <v>101</v>
      </c>
      <c r="D102" s="3" t="str">
        <f>[1]!s_info_name(C102)</f>
        <v>医药(中信)</v>
      </c>
      <c r="E102" s="3" t="s">
        <v>250</v>
      </c>
      <c r="F102" s="101" t="str">
        <f t="shared" si="3"/>
        <v/>
      </c>
      <c r="G102" s="5">
        <f ca="1">[1]!f_pq_pctchange(C102,指数分析!$D$5,指数分析!$D$6)/100</f>
        <v>-0.20358474612755939</v>
      </c>
      <c r="H102" s="5"/>
      <c r="I102" s="5"/>
    </row>
    <row r="103" spans="1:9" x14ac:dyDescent="0.15">
      <c r="A103" s="6">
        <f ca="1">IF(G103="","",IF(COUNTIF(G$5:G103,G103)=1,RANK(G103,G:G,0),RANK(G103,G:G,0)+COUNTIF(G$5:G103,G103)-1))</f>
        <v>286</v>
      </c>
      <c r="B103" s="2" t="str">
        <f t="shared" si="2"/>
        <v/>
      </c>
      <c r="C103" s="3" t="s">
        <v>102</v>
      </c>
      <c r="D103" s="3" t="str">
        <f>[1]!s_info_name(C103)</f>
        <v>食品饮料(中信)</v>
      </c>
      <c r="E103" s="3" t="s">
        <v>250</v>
      </c>
      <c r="F103" s="101" t="str">
        <f t="shared" si="3"/>
        <v/>
      </c>
      <c r="G103" s="5">
        <f ca="1">[1]!f_pq_pctchange(C103,指数分析!$D$5,指数分析!$D$6)/100</f>
        <v>-0.18793861139142939</v>
      </c>
      <c r="H103" s="5"/>
      <c r="I103" s="5"/>
    </row>
    <row r="104" spans="1:9" x14ac:dyDescent="0.15">
      <c r="A104" s="6">
        <f ca="1">IF(G104="","",IF(COUNTIF(G$5:G104,G104)=1,RANK(G104,G:G,0),RANK(G104,G:G,0)+COUNTIF(G$5:G104,G104)-1))</f>
        <v>237</v>
      </c>
      <c r="B104" s="2" t="str">
        <f t="shared" si="2"/>
        <v/>
      </c>
      <c r="C104" s="3" t="s">
        <v>103</v>
      </c>
      <c r="D104" s="3" t="str">
        <f>[1]!s_info_name(C104)</f>
        <v>农林牧渔(中信)</v>
      </c>
      <c r="E104" s="3" t="s">
        <v>250</v>
      </c>
      <c r="F104" s="101" t="str">
        <f t="shared" si="3"/>
        <v/>
      </c>
      <c r="G104" s="5">
        <f ca="1">[1]!f_pq_pctchange(C104,指数分析!$D$5,指数分析!$D$6)/100</f>
        <v>-0.15102017666575573</v>
      </c>
      <c r="H104" s="5"/>
      <c r="I104" s="5"/>
    </row>
    <row r="105" spans="1:9" x14ac:dyDescent="0.15">
      <c r="A105" s="6">
        <f ca="1">IF(G105="","",IF(COUNTIF(G$5:G105,G105)=1,RANK(G105,G:G,0),RANK(G105,G:G,0)+COUNTIF(G$5:G105,G105)-1))</f>
        <v>43</v>
      </c>
      <c r="B105" s="2" t="str">
        <f t="shared" si="2"/>
        <v/>
      </c>
      <c r="C105" s="3" t="s">
        <v>104</v>
      </c>
      <c r="D105" s="3" t="str">
        <f>[1]!s_info_name(C105)</f>
        <v>银行(中信)</v>
      </c>
      <c r="E105" s="3" t="s">
        <v>250</v>
      </c>
      <c r="F105" s="101" t="str">
        <f t="shared" si="3"/>
        <v/>
      </c>
      <c r="G105" s="5">
        <f ca="1">[1]!f_pq_pctchange(C105,指数分析!$D$5,指数分析!$D$6)/100</f>
        <v>0.17875389541555342</v>
      </c>
      <c r="H105" s="5"/>
      <c r="I105" s="5"/>
    </row>
    <row r="106" spans="1:9" x14ac:dyDescent="0.15">
      <c r="A106" s="6">
        <f ca="1">IF(G106="","",IF(COUNTIF(G$5:G106,G106)=1,RANK(G106,G:G,0),RANK(G106,G:G,0)+COUNTIF(G$5:G106,G106)-1))</f>
        <v>193</v>
      </c>
      <c r="B106" s="2" t="str">
        <f t="shared" si="2"/>
        <v/>
      </c>
      <c r="C106" s="3" t="s">
        <v>105</v>
      </c>
      <c r="D106" s="3" t="str">
        <f>[1]!s_info_name(C106)</f>
        <v>非银行金融(中信)</v>
      </c>
      <c r="E106" s="3" t="s">
        <v>250</v>
      </c>
      <c r="F106" s="101" t="str">
        <f t="shared" si="3"/>
        <v/>
      </c>
      <c r="G106" s="5">
        <f ca="1">[1]!f_pq_pctchange(C106,指数分析!$D$5,指数分析!$D$6)/100</f>
        <v>-0.10703951163737013</v>
      </c>
      <c r="H106" s="5"/>
      <c r="I106" s="5"/>
    </row>
    <row r="107" spans="1:9" x14ac:dyDescent="0.15">
      <c r="A107" s="6">
        <f ca="1">IF(G107="","",IF(COUNTIF(G$5:G107,G107)=1,RANK(G107,G:G,0),RANK(G107,G:G,0)+COUNTIF(G$5:G107,G107)-1))</f>
        <v>418</v>
      </c>
      <c r="B107" s="2" t="str">
        <f t="shared" si="2"/>
        <v/>
      </c>
      <c r="C107" s="3" t="s">
        <v>106</v>
      </c>
      <c r="D107" s="3" t="str">
        <f>[1]!s_info_name(C107)</f>
        <v>房地产(中信)</v>
      </c>
      <c r="E107" s="3" t="s">
        <v>250</v>
      </c>
      <c r="F107" s="101" t="str">
        <f t="shared" si="3"/>
        <v/>
      </c>
      <c r="G107" s="5">
        <f ca="1">[1]!f_pq_pctchange(C107,指数分析!$D$5,指数分析!$D$6)/100</f>
        <v>-0.30305297514020102</v>
      </c>
      <c r="H107" s="5"/>
      <c r="I107" s="5"/>
    </row>
    <row r="108" spans="1:9" x14ac:dyDescent="0.15">
      <c r="A108" s="6">
        <f ca="1">IF(G108="","",IF(COUNTIF(G$5:G108,G108)=1,RANK(G108,G:G,0),RANK(G108,G:G,0)+COUNTIF(G$5:G108,G108)-1))</f>
        <v>143</v>
      </c>
      <c r="B108" s="2" t="str">
        <f t="shared" si="2"/>
        <v/>
      </c>
      <c r="C108" s="3" t="s">
        <v>107</v>
      </c>
      <c r="D108" s="3" t="str">
        <f>[1]!s_info_name(C108)</f>
        <v>交通运输(中信)</v>
      </c>
      <c r="E108" s="3" t="s">
        <v>250</v>
      </c>
      <c r="F108" s="101" t="str">
        <f t="shared" si="3"/>
        <v/>
      </c>
      <c r="G108" s="5">
        <f ca="1">[1]!f_pq_pctchange(C108,指数分析!$D$5,指数分析!$D$6)/100</f>
        <v>-3.7634612327684724E-2</v>
      </c>
      <c r="H108" s="5"/>
      <c r="I108" s="5"/>
    </row>
    <row r="109" spans="1:9" x14ac:dyDescent="0.15">
      <c r="A109" s="6">
        <f ca="1">IF(G109="","",IF(COUNTIF(G$5:G109,G109)=1,RANK(G109,G:G,0),RANK(G109,G:G,0)+COUNTIF(G$5:G109,G109)-1))</f>
        <v>236</v>
      </c>
      <c r="B109" s="2" t="str">
        <f t="shared" si="2"/>
        <v/>
      </c>
      <c r="C109" s="3" t="s">
        <v>108</v>
      </c>
      <c r="D109" s="3" t="str">
        <f>[1]!s_info_name(C109)</f>
        <v>电子(中信)</v>
      </c>
      <c r="E109" s="3" t="s">
        <v>250</v>
      </c>
      <c r="F109" s="101" t="str">
        <f t="shared" si="3"/>
        <v/>
      </c>
      <c r="G109" s="5">
        <f ca="1">[1]!f_pq_pctchange(C109,指数分析!$D$5,指数分析!$D$6)/100</f>
        <v>-0.14892470642523359</v>
      </c>
      <c r="H109" s="5"/>
      <c r="I109" s="5"/>
    </row>
    <row r="110" spans="1:9" x14ac:dyDescent="0.15">
      <c r="A110" s="6">
        <f ca="1">IF(G110="","",IF(COUNTIF(G$5:G110,G110)=1,RANK(G110,G:G,0),RANK(G110,G:G,0)+COUNTIF(G$5:G110,G110)-1))</f>
        <v>180</v>
      </c>
      <c r="B110" s="2" t="str">
        <f t="shared" si="2"/>
        <v/>
      </c>
      <c r="C110" s="3" t="s">
        <v>109</v>
      </c>
      <c r="D110" s="3" t="str">
        <f>[1]!s_info_name(C110)</f>
        <v>通信(中信)</v>
      </c>
      <c r="E110" s="3" t="s">
        <v>250</v>
      </c>
      <c r="F110" s="101" t="str">
        <f t="shared" si="3"/>
        <v/>
      </c>
      <c r="G110" s="5">
        <f ca="1">[1]!f_pq_pctchange(C110,指数分析!$D$5,指数分析!$D$6)/100</f>
        <v>-9.3398541038759664E-2</v>
      </c>
      <c r="H110" s="5"/>
      <c r="I110" s="5"/>
    </row>
    <row r="111" spans="1:9" x14ac:dyDescent="0.15">
      <c r="A111" s="6">
        <f ca="1">IF(G111="","",IF(COUNTIF(G$5:G111,G111)=1,RANK(G111,G:G,0),RANK(G111,G:G,0)+COUNTIF(G$5:G111,G111)-1))</f>
        <v>451</v>
      </c>
      <c r="B111" s="2" t="str">
        <f t="shared" si="2"/>
        <v/>
      </c>
      <c r="C111" s="3" t="s">
        <v>110</v>
      </c>
      <c r="D111" s="3" t="str">
        <f>[1]!s_info_name(C111)</f>
        <v>计算机(中信)</v>
      </c>
      <c r="E111" s="3" t="s">
        <v>250</v>
      </c>
      <c r="F111" s="101" t="str">
        <f t="shared" si="3"/>
        <v/>
      </c>
      <c r="G111" s="5">
        <f ca="1">[1]!f_pq_pctchange(C111,指数分析!$D$5,指数分析!$D$6)/100</f>
        <v>-0.34681831148566566</v>
      </c>
      <c r="H111" s="5"/>
      <c r="I111" s="5"/>
    </row>
    <row r="112" spans="1:9" x14ac:dyDescent="0.15">
      <c r="A112" s="6">
        <f ca="1">IF(G112="","",IF(COUNTIF(G$5:G112,G112)=1,RANK(G112,G:G,0),RANK(G112,G:G,0)+COUNTIF(G$5:G112,G112)-1))</f>
        <v>427</v>
      </c>
      <c r="B112" s="2" t="str">
        <f t="shared" si="2"/>
        <v/>
      </c>
      <c r="C112" s="3" t="s">
        <v>111</v>
      </c>
      <c r="D112" s="3" t="str">
        <f>[1]!s_info_name(C112)</f>
        <v>传媒(中信)</v>
      </c>
      <c r="E112" s="3" t="s">
        <v>250</v>
      </c>
      <c r="F112" s="101" t="str">
        <f t="shared" si="3"/>
        <v/>
      </c>
      <c r="G112" s="5">
        <f ca="1">[1]!f_pq_pctchange(C112,指数分析!$D$5,指数分析!$D$6)/100</f>
        <v>-0.3170858635543512</v>
      </c>
      <c r="H112" s="5"/>
      <c r="I112" s="5"/>
    </row>
    <row r="113" spans="1:9" x14ac:dyDescent="0.15">
      <c r="A113" s="6">
        <f ca="1">IF(G113="","",IF(COUNTIF(G$5:G113,G113)=1,RANK(G113,G:G,0),RANK(G113,G:G,0)+COUNTIF(G$5:G113,G113)-1))</f>
        <v>465</v>
      </c>
      <c r="B113" s="2" t="str">
        <f t="shared" si="2"/>
        <v/>
      </c>
      <c r="C113" s="3" t="s">
        <v>112</v>
      </c>
      <c r="D113" s="3" t="str">
        <f>[1]!s_info_name(C113)</f>
        <v>综合(中信)</v>
      </c>
      <c r="E113" s="3" t="s">
        <v>250</v>
      </c>
      <c r="F113" s="101" t="str">
        <f t="shared" si="3"/>
        <v/>
      </c>
      <c r="G113" s="5">
        <f ca="1">[1]!f_pq_pctchange(C113,指数分析!$D$5,指数分析!$D$6)/100</f>
        <v>-0.36877294585781617</v>
      </c>
      <c r="H113" s="5"/>
      <c r="I113" s="5"/>
    </row>
    <row r="114" spans="1:9" x14ac:dyDescent="0.15">
      <c r="A114" s="6">
        <f ca="1">IF(G114="","",IF(COUNTIF(G$5:G114,G114)=1,RANK(G114,G:G,0),RANK(G114,G:G,0)+COUNTIF(G$5:G114,G114)-1))</f>
        <v>353</v>
      </c>
      <c r="B114" s="2" t="str">
        <f t="shared" si="2"/>
        <v/>
      </c>
      <c r="C114" s="3" t="s">
        <v>482</v>
      </c>
      <c r="D114" s="3" t="str">
        <f>[1]!s_info_name(C114)</f>
        <v>综合金融(中信)</v>
      </c>
      <c r="E114" s="3" t="s">
        <v>250</v>
      </c>
      <c r="F114" s="101" t="str">
        <f t="shared" si="3"/>
        <v/>
      </c>
      <c r="G114" s="5">
        <f ca="1">[1]!f_pq_pctchange(C114,指数分析!$D$5,指数分析!$D$6)/100</f>
        <v>-0.22915631197376343</v>
      </c>
      <c r="H114" s="5"/>
      <c r="I114" s="5"/>
    </row>
    <row r="115" spans="1:9" x14ac:dyDescent="0.15">
      <c r="A115" s="6">
        <f ca="1">IF(G115="","",IF(COUNTIF(G$5:G115,G115)=1,RANK(G115,G:G,0),RANK(G115,G:G,0)+COUNTIF(G$5:G115,G115)-1))</f>
        <v>16</v>
      </c>
      <c r="B115" s="2" t="str">
        <f t="shared" si="2"/>
        <v/>
      </c>
      <c r="C115" s="3" t="s">
        <v>113</v>
      </c>
      <c r="D115" s="3" t="str">
        <f>[1]!s_info_name(C115)</f>
        <v>石油开采Ⅱ(中信)</v>
      </c>
      <c r="E115" s="3" t="s">
        <v>251</v>
      </c>
      <c r="F115" s="101" t="str">
        <f t="shared" si="3"/>
        <v/>
      </c>
      <c r="G115" s="5">
        <f ca="1">[1]!f_pq_pctchange(C115,指数分析!$D$5,指数分析!$D$6)/100</f>
        <v>0.35810432627884398</v>
      </c>
      <c r="H115" s="5"/>
      <c r="I115" s="5"/>
    </row>
    <row r="116" spans="1:9" x14ac:dyDescent="0.15">
      <c r="A116" s="6">
        <f ca="1">IF(G116="","",IF(COUNTIF(G$5:G116,G116)=1,RANK(G116,G:G,0),RANK(G116,G:G,0)+COUNTIF(G$5:G116,G116)-1))</f>
        <v>162</v>
      </c>
      <c r="B116" s="2" t="str">
        <f t="shared" si="2"/>
        <v/>
      </c>
      <c r="C116" s="3" t="s">
        <v>114</v>
      </c>
      <c r="D116" s="3" t="str">
        <f>[1]!s_info_name(C116)</f>
        <v>石油化工(中信)</v>
      </c>
      <c r="E116" s="3" t="s">
        <v>251</v>
      </c>
      <c r="F116" s="101" t="str">
        <f t="shared" si="3"/>
        <v/>
      </c>
      <c r="G116" s="5">
        <f ca="1">[1]!f_pq_pctchange(C116,指数分析!$D$5,指数分析!$D$6)/100</f>
        <v>-7.281618975550086E-2</v>
      </c>
      <c r="H116" s="5"/>
      <c r="I116" s="5"/>
    </row>
    <row r="117" spans="1:9" x14ac:dyDescent="0.15">
      <c r="A117" s="6">
        <f ca="1">IF(G117="","",IF(COUNTIF(G$5:G117,G117)=1,RANK(G117,G:G,0),RANK(G117,G:G,0)+COUNTIF(G$5:G117,G117)-1))</f>
        <v>17</v>
      </c>
      <c r="B117" s="2" t="str">
        <f t="shared" si="2"/>
        <v/>
      </c>
      <c r="C117" s="3" t="s">
        <v>115</v>
      </c>
      <c r="D117" s="3" t="str">
        <f>[1]!s_info_name(C117)</f>
        <v>煤炭开采洗选(中信)</v>
      </c>
      <c r="E117" s="3" t="s">
        <v>251</v>
      </c>
      <c r="F117" s="101" t="str">
        <f t="shared" si="3"/>
        <v/>
      </c>
      <c r="G117" s="5">
        <f ca="1">[1]!f_pq_pctchange(C117,指数分析!$D$5,指数分析!$D$6)/100</f>
        <v>0.34800475305376644</v>
      </c>
      <c r="H117" s="5"/>
      <c r="I117" s="5"/>
    </row>
    <row r="118" spans="1:9" x14ac:dyDescent="0.15">
      <c r="A118" s="6">
        <f ca="1">IF(G118="","",IF(COUNTIF(G$5:G118,G118)=1,RANK(G118,G:G,0),RANK(G118,G:G,0)+COUNTIF(G$5:G118,G118)-1))</f>
        <v>422</v>
      </c>
      <c r="B118" s="2" t="str">
        <f t="shared" si="2"/>
        <v/>
      </c>
      <c r="C118" s="3" t="s">
        <v>116</v>
      </c>
      <c r="D118" s="3" t="str">
        <f>[1]!s_info_name(C118)</f>
        <v>煤炭化工(中信)</v>
      </c>
      <c r="E118" s="3" t="s">
        <v>251</v>
      </c>
      <c r="F118" s="101" t="str">
        <f t="shared" si="3"/>
        <v/>
      </c>
      <c r="G118" s="5">
        <f ca="1">[1]!f_pq_pctchange(C118,指数分析!$D$5,指数分析!$D$6)/100</f>
        <v>-0.30772666557181461</v>
      </c>
      <c r="H118" s="5"/>
      <c r="I118" s="5"/>
    </row>
    <row r="119" spans="1:9" x14ac:dyDescent="0.15">
      <c r="A119" s="6">
        <f ca="1">IF(G119="","",IF(COUNTIF(G$5:G119,G119)=1,RANK(G119,G:G,0),RANK(G119,G:G,0)+COUNTIF(G$5:G119,G119)-1))</f>
        <v>12</v>
      </c>
      <c r="B119" s="2" t="str">
        <f t="shared" si="2"/>
        <v/>
      </c>
      <c r="C119" s="3" t="s">
        <v>117</v>
      </c>
      <c r="D119" s="3" t="str">
        <f>[1]!s_info_name(C119)</f>
        <v>贵金属(中信)</v>
      </c>
      <c r="E119" s="3" t="s">
        <v>251</v>
      </c>
      <c r="F119" s="101" t="str">
        <f t="shared" si="3"/>
        <v/>
      </c>
      <c r="G119" s="5">
        <f ca="1">[1]!f_pq_pctchange(C119,指数分析!$D$5,指数分析!$D$6)/100</f>
        <v>0.40696925157736286</v>
      </c>
      <c r="H119" s="5"/>
      <c r="I119" s="5"/>
    </row>
    <row r="120" spans="1:9" x14ac:dyDescent="0.15">
      <c r="A120" s="6">
        <f ca="1">IF(G120="","",IF(COUNTIF(G$5:G120,G120)=1,RANK(G120,G:G,0),RANK(G120,G:G,0)+COUNTIF(G$5:G120,G120)-1))</f>
        <v>57</v>
      </c>
      <c r="B120" s="2" t="str">
        <f t="shared" si="2"/>
        <v/>
      </c>
      <c r="C120" s="3" t="s">
        <v>118</v>
      </c>
      <c r="D120" s="3" t="str">
        <f>[1]!s_info_name(C120)</f>
        <v>工业金属(中信)</v>
      </c>
      <c r="E120" s="3" t="s">
        <v>251</v>
      </c>
      <c r="F120" s="101" t="str">
        <f t="shared" si="3"/>
        <v/>
      </c>
      <c r="G120" s="5">
        <f ca="1">[1]!f_pq_pctchange(C120,指数分析!$D$5,指数分析!$D$6)/100</f>
        <v>0.13731831442652931</v>
      </c>
      <c r="H120" s="5"/>
      <c r="I120" s="5"/>
    </row>
    <row r="121" spans="1:9" x14ac:dyDescent="0.15">
      <c r="A121" s="6">
        <f ca="1">IF(G121="","",IF(COUNTIF(G$5:G121,G121)=1,RANK(G121,G:G,0),RANK(G121,G:G,0)+COUNTIF(G$5:G121,G121)-1))</f>
        <v>58</v>
      </c>
      <c r="B121" s="2" t="str">
        <f t="shared" si="2"/>
        <v/>
      </c>
      <c r="C121" s="3" t="s">
        <v>119</v>
      </c>
      <c r="D121" s="3" t="str">
        <f>[1]!s_info_name(C121)</f>
        <v>发电及电网(中信)</v>
      </c>
      <c r="E121" s="3" t="s">
        <v>251</v>
      </c>
      <c r="F121" s="101" t="str">
        <f t="shared" si="3"/>
        <v/>
      </c>
      <c r="G121" s="5">
        <f ca="1">[1]!f_pq_pctchange(C121,指数分析!$D$5,指数分析!$D$6)/100</f>
        <v>0.13347759201268206</v>
      </c>
      <c r="H121" s="5"/>
      <c r="I121" s="5"/>
    </row>
    <row r="122" spans="1:9" x14ac:dyDescent="0.15">
      <c r="A122" s="6">
        <f ca="1">IF(G122="","",IF(COUNTIF(G$5:G122,G122)=1,RANK(G122,G:G,0),RANK(G122,G:G,0)+COUNTIF(G$5:G122,G122)-1))</f>
        <v>259</v>
      </c>
      <c r="B122" s="2" t="str">
        <f t="shared" si="2"/>
        <v/>
      </c>
      <c r="C122" s="3" t="s">
        <v>120</v>
      </c>
      <c r="D122" s="3" t="str">
        <f>[1]!s_info_name(C122)</f>
        <v>环保及公用事业(中信)</v>
      </c>
      <c r="E122" s="3" t="s">
        <v>251</v>
      </c>
      <c r="F122" s="101" t="str">
        <f t="shared" si="3"/>
        <v/>
      </c>
      <c r="G122" s="5">
        <f ca="1">[1]!f_pq_pctchange(C122,指数分析!$D$5,指数分析!$D$6)/100</f>
        <v>-0.16544663352824529</v>
      </c>
      <c r="H122" s="5"/>
      <c r="I122" s="5"/>
    </row>
    <row r="123" spans="1:9" x14ac:dyDescent="0.15">
      <c r="A123" s="6">
        <f ca="1">IF(G123="","",IF(COUNTIF(G$5:G123,G123)=1,RANK(G123,G:G,0),RANK(G123,G:G,0)+COUNTIF(G$5:G123,G123)-1))</f>
        <v>161</v>
      </c>
      <c r="B123" s="2" t="str">
        <f t="shared" si="2"/>
        <v/>
      </c>
      <c r="C123" s="3" t="s">
        <v>121</v>
      </c>
      <c r="D123" s="3" t="str">
        <f>[1]!s_info_name(C123)</f>
        <v>普钢(中信)</v>
      </c>
      <c r="E123" s="3" t="s">
        <v>251</v>
      </c>
      <c r="F123" s="101" t="str">
        <f t="shared" si="3"/>
        <v/>
      </c>
      <c r="G123" s="5">
        <f ca="1">[1]!f_pq_pctchange(C123,指数分析!$D$5,指数分析!$D$6)/100</f>
        <v>-7.1475582683796168E-2</v>
      </c>
      <c r="H123" s="5"/>
      <c r="I123" s="5"/>
    </row>
    <row r="124" spans="1:9" x14ac:dyDescent="0.15">
      <c r="A124" s="6">
        <f ca="1">IF(G124="","",IF(COUNTIF(G$5:G124,G124)=1,RANK(G124,G:G,0),RANK(G124,G:G,0)+COUNTIF(G$5:G124,G124)-1))</f>
        <v>235</v>
      </c>
      <c r="B124" s="2" t="str">
        <f t="shared" si="2"/>
        <v/>
      </c>
      <c r="C124" s="3" t="s">
        <v>122</v>
      </c>
      <c r="D124" s="3" t="str">
        <f>[1]!s_info_name(C124)</f>
        <v>农用化工(中信)</v>
      </c>
      <c r="E124" s="3" t="s">
        <v>251</v>
      </c>
      <c r="F124" s="101" t="str">
        <f t="shared" si="3"/>
        <v/>
      </c>
      <c r="G124" s="5">
        <f ca="1">[1]!f_pq_pctchange(C124,指数分析!$D$5,指数分析!$D$6)/100</f>
        <v>-0.14542094039620101</v>
      </c>
      <c r="H124" s="5"/>
      <c r="I124" s="5"/>
    </row>
    <row r="125" spans="1:9" x14ac:dyDescent="0.15">
      <c r="A125" s="6">
        <f ca="1">IF(G125="","",IF(COUNTIF(G$5:G125,G125)=1,RANK(G125,G:G,0),RANK(G125,G:G,0)+COUNTIF(G$5:G125,G125)-1))</f>
        <v>253</v>
      </c>
      <c r="B125" s="2" t="str">
        <f t="shared" si="2"/>
        <v/>
      </c>
      <c r="C125" s="3" t="s">
        <v>123</v>
      </c>
      <c r="D125" s="3" t="str">
        <f>[1]!s_info_name(C125)</f>
        <v>建筑施工(中信)</v>
      </c>
      <c r="E125" s="3" t="s">
        <v>251</v>
      </c>
      <c r="F125" s="101" t="str">
        <f t="shared" si="3"/>
        <v/>
      </c>
      <c r="G125" s="5">
        <f ca="1">[1]!f_pq_pctchange(C125,指数分析!$D$5,指数分析!$D$6)/100</f>
        <v>-0.16225003909939339</v>
      </c>
      <c r="H125" s="5"/>
      <c r="I125" s="5"/>
    </row>
    <row r="126" spans="1:9" x14ac:dyDescent="0.15">
      <c r="A126" s="6">
        <f ca="1">IF(G126="","",IF(COUNTIF(G$5:G126,G126)=1,RANK(G126,G:G,0),RANK(G126,G:G,0)+COUNTIF(G$5:G126,G126)-1))</f>
        <v>242</v>
      </c>
      <c r="B126" s="2" t="str">
        <f t="shared" si="2"/>
        <v/>
      </c>
      <c r="C126" s="3" t="s">
        <v>124</v>
      </c>
      <c r="D126" s="3" t="str">
        <f>[1]!s_info_name(C126)</f>
        <v>造纸Ⅱ(中信)</v>
      </c>
      <c r="E126" s="3" t="s">
        <v>251</v>
      </c>
      <c r="F126" s="101" t="str">
        <f t="shared" si="3"/>
        <v/>
      </c>
      <c r="G126" s="5">
        <f ca="1">[1]!f_pq_pctchange(C126,指数分析!$D$5,指数分析!$D$6)/100</f>
        <v>-0.15296155432550007</v>
      </c>
      <c r="H126" s="5"/>
      <c r="I126" s="5"/>
    </row>
    <row r="127" spans="1:9" x14ac:dyDescent="0.15">
      <c r="A127" s="6">
        <f ca="1">IF(G127="","",IF(COUNTIF(G$5:G127,G127)=1,RANK(G127,G:G,0),RANK(G127,G:G,0)+COUNTIF(G$5:G127,G127)-1))</f>
        <v>97</v>
      </c>
      <c r="B127" s="2" t="str">
        <f t="shared" si="2"/>
        <v/>
      </c>
      <c r="C127" s="3" t="s">
        <v>125</v>
      </c>
      <c r="D127" s="3" t="str">
        <f>[1]!s_info_name(C127)</f>
        <v>工程机械Ⅱ(中信)</v>
      </c>
      <c r="E127" s="3" t="s">
        <v>251</v>
      </c>
      <c r="F127" s="101" t="str">
        <f t="shared" si="3"/>
        <v/>
      </c>
      <c r="G127" s="5">
        <f ca="1">[1]!f_pq_pctchange(C127,指数分析!$D$5,指数分析!$D$6)/100</f>
        <v>4.5529061370524593E-2</v>
      </c>
      <c r="H127" s="5"/>
      <c r="I127" s="5"/>
    </row>
    <row r="128" spans="1:9" x14ac:dyDescent="0.15">
      <c r="A128" s="6">
        <f ca="1">IF(G128="","",IF(COUNTIF(G$5:G128,G128)=1,RANK(G128,G:G,0),RANK(G128,G:G,0)+COUNTIF(G$5:G128,G128)-1))</f>
        <v>108</v>
      </c>
      <c r="B128" s="2" t="str">
        <f t="shared" si="2"/>
        <v/>
      </c>
      <c r="C128" s="3" t="s">
        <v>126</v>
      </c>
      <c r="D128" s="3" t="str">
        <f>[1]!s_info_name(C128)</f>
        <v>运输设备(中信)</v>
      </c>
      <c r="E128" s="3" t="s">
        <v>251</v>
      </c>
      <c r="F128" s="101" t="str">
        <f t="shared" si="3"/>
        <v/>
      </c>
      <c r="G128" s="5">
        <f ca="1">[1]!f_pq_pctchange(C128,指数分析!$D$5,指数分析!$D$6)/100</f>
        <v>3.2478303364356309E-2</v>
      </c>
      <c r="H128" s="5"/>
      <c r="I128" s="5"/>
    </row>
    <row r="129" spans="1:9" x14ac:dyDescent="0.15">
      <c r="A129" s="6">
        <f ca="1">IF(G129="","",IF(COUNTIF(G$5:G129,G129)=1,RANK(G129,G:G,0),RANK(G129,G:G,0)+COUNTIF(G$5:G129,G129)-1))</f>
        <v>346</v>
      </c>
      <c r="B129" s="2" t="str">
        <f t="shared" si="2"/>
        <v/>
      </c>
      <c r="C129" s="3" t="s">
        <v>127</v>
      </c>
      <c r="D129" s="3" t="str">
        <f>[1]!s_info_name(C129)</f>
        <v>金属制品Ⅱ(中信)</v>
      </c>
      <c r="E129" s="3" t="s">
        <v>251</v>
      </c>
      <c r="F129" s="101" t="str">
        <f t="shared" si="3"/>
        <v/>
      </c>
      <c r="G129" s="5">
        <f ca="1">[1]!f_pq_pctchange(C129,指数分析!$D$5,指数分析!$D$6)/100</f>
        <v>-0.22545166750375104</v>
      </c>
      <c r="H129" s="5"/>
      <c r="I129" s="5"/>
    </row>
    <row r="130" spans="1:9" x14ac:dyDescent="0.15">
      <c r="A130" s="6">
        <f ca="1">IF(G130="","",IF(COUNTIF(G$5:G130,G130)=1,RANK(G130,G:G,0),RANK(G130,G:G,0)+COUNTIF(G$5:G130,G130)-1))</f>
        <v>302</v>
      </c>
      <c r="B130" s="2" t="str">
        <f t="shared" si="2"/>
        <v/>
      </c>
      <c r="C130" s="3" t="s">
        <v>128</v>
      </c>
      <c r="D130" s="3" t="str">
        <f>[1]!s_info_name(C130)</f>
        <v>航空航天(中信)</v>
      </c>
      <c r="E130" s="3" t="s">
        <v>251</v>
      </c>
      <c r="F130" s="101" t="str">
        <f t="shared" si="3"/>
        <v/>
      </c>
      <c r="G130" s="5">
        <f ca="1">[1]!f_pq_pctchange(C130,指数分析!$D$5,指数分析!$D$6)/100</f>
        <v>-0.20007288321007599</v>
      </c>
      <c r="H130" s="5"/>
      <c r="I130" s="5"/>
    </row>
    <row r="131" spans="1:9" x14ac:dyDescent="0.15">
      <c r="A131" s="6">
        <f ca="1">IF(G131="","",IF(COUNTIF(G$5:G131,G131)=1,RANK(G131,G:G,0),RANK(G131,G:G,0)+COUNTIF(G$5:G131,G131)-1))</f>
        <v>381</v>
      </c>
      <c r="B131" s="2" t="str">
        <f t="shared" si="2"/>
        <v/>
      </c>
      <c r="C131" s="3" t="s">
        <v>129</v>
      </c>
      <c r="D131" s="3" t="str">
        <f>[1]!s_info_name(C131)</f>
        <v>兵器兵装Ⅱ(中信)</v>
      </c>
      <c r="E131" s="3" t="s">
        <v>251</v>
      </c>
      <c r="F131" s="101" t="str">
        <f t="shared" si="3"/>
        <v/>
      </c>
      <c r="G131" s="5">
        <f ca="1">[1]!f_pq_pctchange(C131,指数分析!$D$5,指数分析!$D$6)/100</f>
        <v>-0.25753289561514203</v>
      </c>
      <c r="H131" s="5"/>
      <c r="I131" s="5"/>
    </row>
    <row r="132" spans="1:9" x14ac:dyDescent="0.15">
      <c r="A132" s="6">
        <f ca="1">IF(G132="","",IF(COUNTIF(G$5:G132,G132)=1,RANK(G132,G:G,0),RANK(G132,G:G,0)+COUNTIF(G$5:G132,G132)-1))</f>
        <v>349</v>
      </c>
      <c r="B132" s="2" t="str">
        <f t="shared" si="2"/>
        <v/>
      </c>
      <c r="C132" s="3" t="s">
        <v>483</v>
      </c>
      <c r="D132" s="3" t="str">
        <f>[1]!s_info_name(C132)</f>
        <v>其他军工Ⅱ(中信)</v>
      </c>
      <c r="E132" s="3" t="s">
        <v>251</v>
      </c>
      <c r="F132" s="101" t="str">
        <f t="shared" si="3"/>
        <v/>
      </c>
      <c r="G132" s="5">
        <f ca="1">[1]!f_pq_pctchange(C132,指数分析!$D$5,指数分析!$D$6)/100</f>
        <v>-0.22773168270579369</v>
      </c>
      <c r="H132" s="5"/>
      <c r="I132" s="5"/>
    </row>
    <row r="133" spans="1:9" x14ac:dyDescent="0.15">
      <c r="A133" s="6">
        <f ca="1">IF(G133="","",IF(COUNTIF(G$5:G133,G133)=1,RANK(G133,G:G,0),RANK(G133,G:G,0)+COUNTIF(G$5:G133,G133)-1))</f>
        <v>96</v>
      </c>
      <c r="B133" s="2" t="str">
        <f t="shared" si="2"/>
        <v/>
      </c>
      <c r="C133" s="3" t="s">
        <v>130</v>
      </c>
      <c r="D133" s="3" t="str">
        <f>[1]!s_info_name(C133)</f>
        <v>乘用车Ⅱ(中信)</v>
      </c>
      <c r="E133" s="3" t="s">
        <v>251</v>
      </c>
      <c r="F133" s="101" t="str">
        <f t="shared" si="3"/>
        <v/>
      </c>
      <c r="G133" s="5">
        <f ca="1">[1]!f_pq_pctchange(C133,指数分析!$D$5,指数分析!$D$6)/100</f>
        <v>4.6018088053088047E-2</v>
      </c>
      <c r="H133" s="5"/>
      <c r="I133" s="5"/>
    </row>
    <row r="134" spans="1:9" x14ac:dyDescent="0.15">
      <c r="A134" s="6">
        <f ca="1">IF(G134="","",IF(COUNTIF(G$5:G134,G134)=1,RANK(G134,G:G,0),RANK(G134,G:G,0)+COUNTIF(G$5:G134,G134)-1))</f>
        <v>69</v>
      </c>
      <c r="B134" s="2" t="str">
        <f t="shared" ref="B134:B197" si="4">IF(F134="","",RANK(F134,F:F,1))</f>
        <v/>
      </c>
      <c r="C134" s="3" t="s">
        <v>131</v>
      </c>
      <c r="D134" s="3" t="str">
        <f>[1]!s_info_name(C134)</f>
        <v>商用车(中信)</v>
      </c>
      <c r="E134" s="3" t="s">
        <v>251</v>
      </c>
      <c r="F134" s="101" t="str">
        <f t="shared" ref="F134:F197" si="5">IF(ISERROR(FIND(F$4,$E134,1)),"",ROW())</f>
        <v/>
      </c>
      <c r="G134" s="5">
        <f ca="1">[1]!f_pq_pctchange(C134,指数分析!$D$5,指数分析!$D$6)/100</f>
        <v>0.10790970230088949</v>
      </c>
      <c r="H134" s="5"/>
      <c r="I134" s="5"/>
    </row>
    <row r="135" spans="1:9" x14ac:dyDescent="0.15">
      <c r="A135" s="6">
        <f ca="1">IF(G135="","",IF(COUNTIF(G$5:G135,G135)=1,RANK(G135,G:G,0),RANK(G135,G:G,0)+COUNTIF(G$5:G135,G135)-1))</f>
        <v>310</v>
      </c>
      <c r="B135" s="2" t="str">
        <f t="shared" si="4"/>
        <v/>
      </c>
      <c r="C135" s="3" t="s">
        <v>132</v>
      </c>
      <c r="D135" s="3" t="str">
        <f>[1]!s_info_name(C135)</f>
        <v>汽车零部件Ⅱ(中信)</v>
      </c>
      <c r="E135" s="3" t="s">
        <v>251</v>
      </c>
      <c r="F135" s="101" t="str">
        <f t="shared" si="5"/>
        <v/>
      </c>
      <c r="G135" s="5">
        <f ca="1">[1]!f_pq_pctchange(C135,指数分析!$D$5,指数分析!$D$6)/100</f>
        <v>-0.20464502424490161</v>
      </c>
      <c r="H135" s="5"/>
      <c r="I135" s="5"/>
    </row>
    <row r="136" spans="1:9" x14ac:dyDescent="0.15">
      <c r="A136" s="6">
        <f ca="1">IF(G136="","",IF(COUNTIF(G$5:G136,G136)=1,RANK(G136,G:G,0),RANK(G136,G:G,0)+COUNTIF(G$5:G136,G136)-1))</f>
        <v>495</v>
      </c>
      <c r="B136" s="2" t="str">
        <f t="shared" si="4"/>
        <v/>
      </c>
      <c r="C136" s="3" t="s">
        <v>133</v>
      </c>
      <c r="D136" s="3" t="str">
        <f>[1]!s_info_name(C136)</f>
        <v>汽车销售及服务Ⅱ(中信)</v>
      </c>
      <c r="E136" s="3" t="s">
        <v>251</v>
      </c>
      <c r="F136" s="101" t="str">
        <f t="shared" si="5"/>
        <v/>
      </c>
      <c r="G136" s="5">
        <f ca="1">[1]!f_pq_pctchange(C136,指数分析!$D$5,指数分析!$D$6)/100</f>
        <v>-0.48480068170460655</v>
      </c>
      <c r="H136" s="5"/>
      <c r="I136" s="5"/>
    </row>
    <row r="137" spans="1:9" x14ac:dyDescent="0.15">
      <c r="A137" s="6">
        <f ca="1">IF(G137="","",IF(COUNTIF(G$5:G137,G137)=1,RANK(G137,G:G,0),RANK(G137,G:G,0)+COUNTIF(G$5:G137,G137)-1))</f>
        <v>232</v>
      </c>
      <c r="B137" s="2" t="str">
        <f t="shared" si="4"/>
        <v/>
      </c>
      <c r="C137" s="3" t="s">
        <v>134</v>
      </c>
      <c r="D137" s="3" t="str">
        <f>[1]!s_info_name(C137)</f>
        <v>摩托车及其他Ⅱ(中信)</v>
      </c>
      <c r="E137" s="3" t="s">
        <v>251</v>
      </c>
      <c r="F137" s="101" t="str">
        <f t="shared" si="5"/>
        <v/>
      </c>
      <c r="G137" s="5">
        <f ca="1">[1]!f_pq_pctchange(C137,指数分析!$D$5,指数分析!$D$6)/100</f>
        <v>-0.14361001442702759</v>
      </c>
      <c r="H137" s="5"/>
      <c r="I137" s="5"/>
    </row>
    <row r="138" spans="1:9" x14ac:dyDescent="0.15">
      <c r="A138" s="6">
        <f ca="1">IF(G138="","",IF(COUNTIF(G$5:G138,G138)=1,RANK(G138,G:G,0),RANK(G138,G:G,0)+COUNTIF(G$5:G138,G138)-1))</f>
        <v>448</v>
      </c>
      <c r="B138" s="2" t="str">
        <f t="shared" si="4"/>
        <v/>
      </c>
      <c r="C138" s="3" t="s">
        <v>135</v>
      </c>
      <c r="D138" s="3" t="str">
        <f>[1]!s_info_name(C138)</f>
        <v>旅游及休闲(中信)</v>
      </c>
      <c r="E138" s="3" t="s">
        <v>251</v>
      </c>
      <c r="F138" s="101" t="str">
        <f t="shared" si="5"/>
        <v/>
      </c>
      <c r="G138" s="5">
        <f ca="1">[1]!f_pq_pctchange(C138,指数分析!$D$5,指数分析!$D$6)/100</f>
        <v>-0.34155603155315306</v>
      </c>
      <c r="H138" s="5"/>
      <c r="I138" s="5"/>
    </row>
    <row r="139" spans="1:9" x14ac:dyDescent="0.15">
      <c r="A139" s="6">
        <f ca="1">IF(G139="","",IF(COUNTIF(G$5:G139,G139)=1,RANK(G139,G:G,0),RANK(G139,G:G,0)+COUNTIF(G$5:G139,G139)-1))</f>
        <v>484</v>
      </c>
      <c r="B139" s="2" t="str">
        <f t="shared" si="4"/>
        <v/>
      </c>
      <c r="C139" s="3" t="s">
        <v>136</v>
      </c>
      <c r="D139" s="3" t="str">
        <f>[1]!s_info_name(C139)</f>
        <v>酒店及餐饮(中信)</v>
      </c>
      <c r="E139" s="3" t="s">
        <v>251</v>
      </c>
      <c r="F139" s="101" t="str">
        <f t="shared" si="5"/>
        <v/>
      </c>
      <c r="G139" s="5">
        <f ca="1">[1]!f_pq_pctchange(C139,指数分析!$D$5,指数分析!$D$6)/100</f>
        <v>-0.43228688504152191</v>
      </c>
      <c r="H139" s="5"/>
      <c r="I139" s="5"/>
    </row>
    <row r="140" spans="1:9" x14ac:dyDescent="0.15">
      <c r="A140" s="6">
        <f ca="1">IF(G140="","",IF(COUNTIF(G$5:G140,G140)=1,RANK(G140,G:G,0),RANK(G140,G:G,0)+COUNTIF(G$5:G140,G140)-1))</f>
        <v>52</v>
      </c>
      <c r="B140" s="2" t="str">
        <f t="shared" si="4"/>
        <v/>
      </c>
      <c r="C140" s="3" t="s">
        <v>137</v>
      </c>
      <c r="D140" s="3" t="str">
        <f>[1]!s_info_name(C140)</f>
        <v>白色家电Ⅱ(中信)</v>
      </c>
      <c r="E140" s="3" t="s">
        <v>251</v>
      </c>
      <c r="F140" s="101" t="str">
        <f t="shared" si="5"/>
        <v/>
      </c>
      <c r="G140" s="5">
        <f ca="1">[1]!f_pq_pctchange(C140,指数分析!$D$5,指数分析!$D$6)/100</f>
        <v>0.15343353402164683</v>
      </c>
      <c r="H140" s="5"/>
      <c r="I140" s="5"/>
    </row>
    <row r="141" spans="1:9" x14ac:dyDescent="0.15">
      <c r="A141" s="6">
        <f ca="1">IF(G141="","",IF(COUNTIF(G$5:G141,G141)=1,RANK(G141,G:G,0),RANK(G141,G:G,0)+COUNTIF(G$5:G141,G141)-1))</f>
        <v>189</v>
      </c>
      <c r="B141" s="2" t="str">
        <f t="shared" si="4"/>
        <v/>
      </c>
      <c r="C141" s="3" t="s">
        <v>138</v>
      </c>
      <c r="D141" s="3" t="str">
        <f>[1]!s_info_name(C141)</f>
        <v>黑色家电Ⅱ(中信)</v>
      </c>
      <c r="E141" s="3" t="s">
        <v>251</v>
      </c>
      <c r="F141" s="101" t="str">
        <f t="shared" si="5"/>
        <v/>
      </c>
      <c r="G141" s="5">
        <f ca="1">[1]!f_pq_pctchange(C141,指数分析!$D$5,指数分析!$D$6)/100</f>
        <v>-0.10024004824183441</v>
      </c>
      <c r="H141" s="5"/>
      <c r="I141" s="5"/>
    </row>
    <row r="142" spans="1:9" x14ac:dyDescent="0.15">
      <c r="A142" s="6">
        <f ca="1">IF(G142="","",IF(COUNTIF(G$5:G142,G142)=1,RANK(G142,G:G,0),RANK(G142,G:G,0)+COUNTIF(G$5:G142,G142)-1))</f>
        <v>268</v>
      </c>
      <c r="B142" s="2" t="str">
        <f t="shared" si="4"/>
        <v/>
      </c>
      <c r="C142" s="3" t="s">
        <v>139</v>
      </c>
      <c r="D142" s="3" t="str">
        <f>[1]!s_info_name(C142)</f>
        <v>化学制药(中信)</v>
      </c>
      <c r="E142" s="3" t="s">
        <v>251</v>
      </c>
      <c r="F142" s="101" t="str">
        <f t="shared" si="5"/>
        <v/>
      </c>
      <c r="G142" s="5">
        <f ca="1">[1]!f_pq_pctchange(C142,指数分析!$D$5,指数分析!$D$6)/100</f>
        <v>-0.17164947008703979</v>
      </c>
      <c r="H142" s="5"/>
      <c r="I142" s="5"/>
    </row>
    <row r="143" spans="1:9" x14ac:dyDescent="0.15">
      <c r="A143" s="6">
        <f ca="1">IF(G143="","",IF(COUNTIF(G$5:G143,G143)=1,RANK(G143,G:G,0),RANK(G143,G:G,0)+COUNTIF(G$5:G143,G143)-1))</f>
        <v>219</v>
      </c>
      <c r="B143" s="2" t="str">
        <f t="shared" si="4"/>
        <v/>
      </c>
      <c r="C143" s="3" t="s">
        <v>140</v>
      </c>
      <c r="D143" s="3" t="str">
        <f>[1]!s_info_name(C143)</f>
        <v>中药生产(中信)</v>
      </c>
      <c r="E143" s="3" t="s">
        <v>251</v>
      </c>
      <c r="F143" s="101" t="str">
        <f t="shared" si="5"/>
        <v/>
      </c>
      <c r="G143" s="5">
        <f ca="1">[1]!f_pq_pctchange(C143,指数分析!$D$5,指数分析!$D$6)/100</f>
        <v>-0.13454419543938179</v>
      </c>
      <c r="H143" s="5"/>
      <c r="I143" s="5"/>
    </row>
    <row r="144" spans="1:9" x14ac:dyDescent="0.15">
      <c r="A144" s="6">
        <f ca="1">IF(G144="","",IF(COUNTIF(G$5:G144,G144)=1,RANK(G144,G:G,0),RANK(G144,G:G,0)+COUNTIF(G$5:G144,G144)-1))</f>
        <v>265</v>
      </c>
      <c r="B144" s="2" t="str">
        <f t="shared" si="4"/>
        <v/>
      </c>
      <c r="C144" s="3" t="s">
        <v>141</v>
      </c>
      <c r="D144" s="3" t="str">
        <f>[1]!s_info_name(C144)</f>
        <v>生物医药Ⅱ(中信)</v>
      </c>
      <c r="E144" s="3" t="s">
        <v>251</v>
      </c>
      <c r="F144" s="101" t="str">
        <f t="shared" si="5"/>
        <v/>
      </c>
      <c r="G144" s="5">
        <f ca="1">[1]!f_pq_pctchange(C144,指数分析!$D$5,指数分析!$D$6)/100</f>
        <v>-0.16973359197713855</v>
      </c>
      <c r="H144" s="5"/>
      <c r="I144" s="5"/>
    </row>
    <row r="145" spans="1:9" x14ac:dyDescent="0.15">
      <c r="A145" s="6">
        <f ca="1">IF(G145="","",IF(COUNTIF(G$5:G145,G145)=1,RANK(G145,G:G,0),RANK(G145,G:G,0)+COUNTIF(G$5:G145,G145)-1))</f>
        <v>392</v>
      </c>
      <c r="B145" s="2" t="str">
        <f t="shared" si="4"/>
        <v/>
      </c>
      <c r="C145" s="3" t="s">
        <v>142</v>
      </c>
      <c r="D145" s="3" t="str">
        <f>[1]!s_info_name(C145)</f>
        <v>其他医药医疗(中信)</v>
      </c>
      <c r="E145" s="3" t="s">
        <v>251</v>
      </c>
      <c r="F145" s="101" t="str">
        <f t="shared" si="5"/>
        <v/>
      </c>
      <c r="G145" s="5">
        <f ca="1">[1]!f_pq_pctchange(C145,指数分析!$D$5,指数分析!$D$6)/100</f>
        <v>-0.26565207613773623</v>
      </c>
      <c r="H145" s="5"/>
      <c r="I145" s="5"/>
    </row>
    <row r="146" spans="1:9" x14ac:dyDescent="0.15">
      <c r="A146" s="6">
        <f ca="1">IF(G146="","",IF(COUNTIF(G$5:G146,G146)=1,RANK(G146,G:G,0),RANK(G146,G:G,0)+COUNTIF(G$5:G146,G146)-1))</f>
        <v>276</v>
      </c>
      <c r="B146" s="2" t="str">
        <f t="shared" si="4"/>
        <v/>
      </c>
      <c r="C146" s="3" t="s">
        <v>143</v>
      </c>
      <c r="D146" s="3" t="str">
        <f>[1]!s_info_name(C146)</f>
        <v>酒类(中信)</v>
      </c>
      <c r="E146" s="3" t="s">
        <v>251</v>
      </c>
      <c r="F146" s="101" t="str">
        <f t="shared" si="5"/>
        <v/>
      </c>
      <c r="G146" s="5">
        <f ca="1">[1]!f_pq_pctchange(C146,指数分析!$D$5,指数分析!$D$6)/100</f>
        <v>-0.18003079241921127</v>
      </c>
      <c r="H146" s="5"/>
      <c r="I146" s="5"/>
    </row>
    <row r="147" spans="1:9" x14ac:dyDescent="0.15">
      <c r="A147" s="6">
        <f ca="1">IF(G147="","",IF(COUNTIF(G$5:G147,G147)=1,RANK(G147,G:G,0),RANK(G147,G:G,0)+COUNTIF(G$5:G147,G147)-1))</f>
        <v>184</v>
      </c>
      <c r="B147" s="2" t="str">
        <f t="shared" si="4"/>
        <v/>
      </c>
      <c r="C147" s="3" t="s">
        <v>144</v>
      </c>
      <c r="D147" s="3" t="str">
        <f>[1]!s_info_name(C147)</f>
        <v>畜牧业(中信)</v>
      </c>
      <c r="E147" s="3" t="s">
        <v>251</v>
      </c>
      <c r="F147" s="101" t="str">
        <f t="shared" si="5"/>
        <v/>
      </c>
      <c r="G147" s="5">
        <f ca="1">[1]!f_pq_pctchange(C147,指数分析!$D$5,指数分析!$D$6)/100</f>
        <v>-9.8015512753165238E-2</v>
      </c>
      <c r="H147" s="5"/>
      <c r="I147" s="5"/>
    </row>
    <row r="148" spans="1:9" x14ac:dyDescent="0.15">
      <c r="A148" s="6">
        <f ca="1">IF(G148="","",IF(COUNTIF(G$5:G148,G148)=1,RANK(G148,G:G,0),RANK(G148,G:G,0)+COUNTIF(G$5:G148,G148)-1))</f>
        <v>470</v>
      </c>
      <c r="B148" s="2" t="str">
        <f t="shared" si="4"/>
        <v/>
      </c>
      <c r="C148" s="3" t="s">
        <v>145</v>
      </c>
      <c r="D148" s="3" t="str">
        <f>[1]!s_info_name(C148)</f>
        <v>渔业(中信)</v>
      </c>
      <c r="E148" s="3" t="s">
        <v>251</v>
      </c>
      <c r="F148" s="101" t="str">
        <f t="shared" si="5"/>
        <v/>
      </c>
      <c r="G148" s="5">
        <f ca="1">[1]!f_pq_pctchange(C148,指数分析!$D$5,指数分析!$D$6)/100</f>
        <v>-0.38517729496837494</v>
      </c>
      <c r="H148" s="5"/>
      <c r="I148" s="5"/>
    </row>
    <row r="149" spans="1:9" x14ac:dyDescent="0.15">
      <c r="A149" s="6">
        <f ca="1">IF(G149="","",IF(COUNTIF(G$5:G149,G149)=1,RANK(G149,G:G,0),RANK(G149,G:G,0)+COUNTIF(G$5:G149,G149)-1))</f>
        <v>18</v>
      </c>
      <c r="B149" s="2" t="str">
        <f t="shared" si="4"/>
        <v/>
      </c>
      <c r="C149" s="3" t="s">
        <v>146</v>
      </c>
      <c r="D149" s="3" t="str">
        <f>[1]!s_info_name(C149)</f>
        <v>国有大型银行Ⅱ(中信)</v>
      </c>
      <c r="E149" s="3" t="s">
        <v>251</v>
      </c>
      <c r="F149" s="101" t="str">
        <f t="shared" si="5"/>
        <v/>
      </c>
      <c r="G149" s="5">
        <f ca="1">[1]!f_pq_pctchange(C149,指数分析!$D$5,指数分析!$D$6)/100</f>
        <v>0.31261101038986738</v>
      </c>
      <c r="H149" s="5"/>
      <c r="I149" s="5"/>
    </row>
    <row r="150" spans="1:9" x14ac:dyDescent="0.15">
      <c r="A150" s="6">
        <f ca="1">IF(G150="","",IF(COUNTIF(G$5:G150,G150)=1,RANK(G150,G:G,0),RANK(G150,G:G,0)+COUNTIF(G$5:G150,G150)-1))</f>
        <v>72</v>
      </c>
      <c r="B150" s="2" t="str">
        <f t="shared" si="4"/>
        <v/>
      </c>
      <c r="C150" s="3" t="s">
        <v>147</v>
      </c>
      <c r="D150" s="3" t="str">
        <f>[1]!s_info_name(C150)</f>
        <v>全国性股份制银行Ⅱ(中信)</v>
      </c>
      <c r="E150" s="3" t="s">
        <v>251</v>
      </c>
      <c r="F150" s="101" t="str">
        <f t="shared" si="5"/>
        <v/>
      </c>
      <c r="G150" s="5">
        <f ca="1">[1]!f_pq_pctchange(C150,指数分析!$D$5,指数分析!$D$6)/100</f>
        <v>9.9498840801833577E-2</v>
      </c>
      <c r="H150" s="5"/>
      <c r="I150" s="5"/>
    </row>
    <row r="151" spans="1:9" x14ac:dyDescent="0.15">
      <c r="A151" s="6">
        <f ca="1">IF(G151="","",IF(COUNTIF(G$5:G151,G151)=1,RANK(G151,G:G,0),RANK(G151,G:G,0)+COUNTIF(G$5:G151,G151)-1))</f>
        <v>192</v>
      </c>
      <c r="B151" s="2" t="str">
        <f t="shared" si="4"/>
        <v/>
      </c>
      <c r="C151" s="3" t="s">
        <v>148</v>
      </c>
      <c r="D151" s="3" t="str">
        <f>[1]!s_info_name(C151)</f>
        <v>证券Ⅱ(中信)</v>
      </c>
      <c r="E151" s="3" t="s">
        <v>251</v>
      </c>
      <c r="F151" s="101" t="str">
        <f t="shared" si="5"/>
        <v/>
      </c>
      <c r="G151" s="5">
        <f ca="1">[1]!f_pq_pctchange(C151,指数分析!$D$5,指数分析!$D$6)/100</f>
        <v>-0.10578283414085575</v>
      </c>
      <c r="H151" s="5"/>
      <c r="I151" s="5"/>
    </row>
    <row r="152" spans="1:9" x14ac:dyDescent="0.15">
      <c r="A152" s="6">
        <f ca="1">IF(G152="","",IF(COUNTIF(G$5:G152,G152)=1,RANK(G152,G:G,0),RANK(G152,G:G,0)+COUNTIF(G$5:G152,G152)-1))</f>
        <v>182</v>
      </c>
      <c r="B152" s="2" t="str">
        <f t="shared" si="4"/>
        <v/>
      </c>
      <c r="C152" s="3" t="s">
        <v>149</v>
      </c>
      <c r="D152" s="3" t="str">
        <f>[1]!s_info_name(C152)</f>
        <v>保险Ⅱ(中信)</v>
      </c>
      <c r="E152" s="3" t="s">
        <v>251</v>
      </c>
      <c r="F152" s="101" t="str">
        <f t="shared" si="5"/>
        <v/>
      </c>
      <c r="G152" s="5">
        <f ca="1">[1]!f_pq_pctchange(C152,指数分析!$D$5,指数分析!$D$6)/100</f>
        <v>-9.6323871869564925E-2</v>
      </c>
      <c r="H152" s="5"/>
      <c r="I152" s="5"/>
    </row>
    <row r="153" spans="1:9" x14ac:dyDescent="0.15">
      <c r="A153" s="6">
        <f ca="1">IF(G153="","",IF(COUNTIF(G$5:G153,G153)=1,RANK(G153,G:G,0),RANK(G153,G:G,0)+COUNTIF(G$5:G153,G153)-1))</f>
        <v>420</v>
      </c>
      <c r="B153" s="2" t="str">
        <f t="shared" si="4"/>
        <v/>
      </c>
      <c r="C153" s="3" t="s">
        <v>150</v>
      </c>
      <c r="D153" s="3" t="str">
        <f>[1]!s_info_name(C153)</f>
        <v>房地产开发和运营(中信)</v>
      </c>
      <c r="E153" s="3" t="s">
        <v>251</v>
      </c>
      <c r="F153" s="101" t="str">
        <f t="shared" si="5"/>
        <v/>
      </c>
      <c r="G153" s="5">
        <f ca="1">[1]!f_pq_pctchange(C153,指数分析!$D$5,指数分析!$D$6)/100</f>
        <v>-0.30462404471930682</v>
      </c>
      <c r="H153" s="5"/>
      <c r="I153" s="5"/>
    </row>
    <row r="154" spans="1:9" x14ac:dyDescent="0.15">
      <c r="A154" s="6">
        <f ca="1">IF(G154="","",IF(COUNTIF(G$5:G154,G154)=1,RANK(G154,G:G,0),RANK(G154,G:G,0)+COUNTIF(G$5:G154,G154)-1))</f>
        <v>100</v>
      </c>
      <c r="B154" s="2" t="str">
        <f t="shared" si="4"/>
        <v/>
      </c>
      <c r="C154" s="3" t="s">
        <v>151</v>
      </c>
      <c r="D154" s="3" t="str">
        <f>[1]!s_info_name(C154)</f>
        <v>公路铁路(中信)</v>
      </c>
      <c r="E154" s="3" t="s">
        <v>251</v>
      </c>
      <c r="F154" s="101" t="str">
        <f t="shared" si="5"/>
        <v/>
      </c>
      <c r="G154" s="5">
        <f ca="1">[1]!f_pq_pctchange(C154,指数分析!$D$5,指数分析!$D$6)/100</f>
        <v>4.1160999557397826E-2</v>
      </c>
      <c r="H154" s="5"/>
      <c r="I154" s="5"/>
    </row>
    <row r="155" spans="1:9" x14ac:dyDescent="0.15">
      <c r="A155" s="6">
        <f ca="1">IF(G155="","",IF(COUNTIF(G$5:G155,G155)=1,RANK(G155,G:G,0),RANK(G155,G:G,0)+COUNTIF(G$5:G155,G155)-1))</f>
        <v>220</v>
      </c>
      <c r="B155" s="2" t="str">
        <f t="shared" si="4"/>
        <v/>
      </c>
      <c r="C155" s="3" t="s">
        <v>152</v>
      </c>
      <c r="D155" s="3" t="str">
        <f>[1]!s_info_name(C155)</f>
        <v>物流(中信)</v>
      </c>
      <c r="E155" s="3" t="s">
        <v>251</v>
      </c>
      <c r="F155" s="101" t="str">
        <f t="shared" si="5"/>
        <v/>
      </c>
      <c r="G155" s="5">
        <f ca="1">[1]!f_pq_pctchange(C155,指数分析!$D$5,指数分析!$D$6)/100</f>
        <v>-0.13644379214687374</v>
      </c>
      <c r="H155" s="5"/>
      <c r="I155" s="5"/>
    </row>
    <row r="156" spans="1:9" x14ac:dyDescent="0.15">
      <c r="A156" s="6">
        <f ca="1">IF(G156="","",IF(COUNTIF(G$5:G156,G156)=1,RANK(G156,G:G,0),RANK(G156,G:G,0)+COUNTIF(G$5:G156,G156)-1))</f>
        <v>38</v>
      </c>
      <c r="B156" s="2" t="str">
        <f t="shared" si="4"/>
        <v/>
      </c>
      <c r="C156" s="3" t="s">
        <v>153</v>
      </c>
      <c r="D156" s="3" t="str">
        <f>[1]!s_info_name(C156)</f>
        <v>航运港口(中信)</v>
      </c>
      <c r="E156" s="3" t="s">
        <v>251</v>
      </c>
      <c r="F156" s="101" t="str">
        <f t="shared" si="5"/>
        <v/>
      </c>
      <c r="G156" s="5">
        <f ca="1">[1]!f_pq_pctchange(C156,指数分析!$D$5,指数分析!$D$6)/100</f>
        <v>0.20070820673768489</v>
      </c>
      <c r="H156" s="5"/>
      <c r="I156" s="5"/>
    </row>
    <row r="157" spans="1:9" x14ac:dyDescent="0.15">
      <c r="A157" s="6">
        <f ca="1">IF(G157="","",IF(COUNTIF(G$5:G157,G157)=1,RANK(G157,G:G,0),RANK(G157,G:G,0)+COUNTIF(G$5:G157,G157)-1))</f>
        <v>347</v>
      </c>
      <c r="B157" s="2" t="str">
        <f t="shared" si="4"/>
        <v/>
      </c>
      <c r="C157" s="3" t="s">
        <v>154</v>
      </c>
      <c r="D157" s="3" t="str">
        <f>[1]!s_info_name(C157)</f>
        <v>航空机场(中信)</v>
      </c>
      <c r="E157" s="3" t="s">
        <v>251</v>
      </c>
      <c r="F157" s="101" t="str">
        <f t="shared" si="5"/>
        <v/>
      </c>
      <c r="G157" s="5">
        <f ca="1">[1]!f_pq_pctchange(C157,指数分析!$D$5,指数分析!$D$6)/100</f>
        <v>-0.227241531888554</v>
      </c>
      <c r="H157" s="5"/>
      <c r="I157" s="5"/>
    </row>
    <row r="158" spans="1:9" x14ac:dyDescent="0.15">
      <c r="A158" s="6">
        <f ca="1">IF(G158="","",IF(COUNTIF(G$5:G158,G158)=1,RANK(G158,G:G,0),RANK(G158,G:G,0)+COUNTIF(G$5:G158,G158)-1))</f>
        <v>466</v>
      </c>
      <c r="B158" s="2" t="str">
        <f t="shared" si="4"/>
        <v/>
      </c>
      <c r="C158" s="3" t="s">
        <v>155</v>
      </c>
      <c r="D158" s="3" t="str">
        <f>[1]!s_info_name(C158)</f>
        <v>综合Ⅱ(中信)</v>
      </c>
      <c r="E158" s="3" t="s">
        <v>251</v>
      </c>
      <c r="F158" s="101" t="str">
        <f t="shared" si="5"/>
        <v/>
      </c>
      <c r="G158" s="5">
        <f ca="1">[1]!f_pq_pctchange(C158,指数分析!$D$5,指数分析!$D$6)/100</f>
        <v>-0.36892534916388975</v>
      </c>
      <c r="H158" s="5"/>
      <c r="I158" s="5"/>
    </row>
    <row r="159" spans="1:9" x14ac:dyDescent="0.15">
      <c r="A159" s="6">
        <f ca="1">IF(G159="","",IF(COUNTIF(G$5:G159,G159)=1,RANK(G159,G:G,0),RANK(G159,G:G,0)+COUNTIF(G$5:G159,G159)-1))</f>
        <v>215</v>
      </c>
      <c r="B159" s="2" t="str">
        <f t="shared" si="4"/>
        <v/>
      </c>
      <c r="C159" s="3" t="s">
        <v>156</v>
      </c>
      <c r="D159" s="3" t="str">
        <f>[1]!s_info_name(C159)</f>
        <v>通信设备(中信)</v>
      </c>
      <c r="E159" s="3" t="s">
        <v>251</v>
      </c>
      <c r="F159" s="101" t="str">
        <f t="shared" si="5"/>
        <v/>
      </c>
      <c r="G159" s="5">
        <f ca="1">[1]!f_pq_pctchange(C159,指数分析!$D$5,指数分析!$D$6)/100</f>
        <v>-0.12827555824575798</v>
      </c>
      <c r="H159" s="5"/>
      <c r="I159" s="5"/>
    </row>
    <row r="160" spans="1:9" x14ac:dyDescent="0.15">
      <c r="A160" s="6">
        <f ca="1">IF(G160="","",IF(COUNTIF(G$5:G160,G160)=1,RANK(G160,G:G,0),RANK(G160,G:G,0)+COUNTIF(G$5:G160,G160)-1))</f>
        <v>248</v>
      </c>
      <c r="B160" s="2" t="str">
        <f t="shared" si="4"/>
        <v/>
      </c>
      <c r="C160" s="3" t="s">
        <v>484</v>
      </c>
      <c r="D160" s="3" t="str">
        <f>[1]!s_info_name(C160)</f>
        <v>纺织制造(中信)</v>
      </c>
      <c r="E160" s="3" t="s">
        <v>251</v>
      </c>
      <c r="F160" s="101" t="str">
        <f t="shared" si="5"/>
        <v/>
      </c>
      <c r="G160" s="5">
        <f ca="1">[1]!f_pq_pctchange(C160,指数分析!$D$5,指数分析!$D$6)/100</f>
        <v>-0.15602755939906854</v>
      </c>
      <c r="H160" s="5"/>
      <c r="I160" s="5"/>
    </row>
    <row r="161" spans="1:9" x14ac:dyDescent="0.15">
      <c r="A161" s="6">
        <f ca="1">IF(G161="","",IF(COUNTIF(G$5:G161,G161)=1,RANK(G161,G:G,0),RANK(G161,G:G,0)+COUNTIF(G$5:G161,G161)-1))</f>
        <v>138</v>
      </c>
      <c r="B161" s="2" t="str">
        <f t="shared" si="4"/>
        <v/>
      </c>
      <c r="C161" s="3" t="s">
        <v>485</v>
      </c>
      <c r="D161" s="3" t="str">
        <f>[1]!s_info_name(C161)</f>
        <v>油服工程(中信)</v>
      </c>
      <c r="E161" s="3" t="s">
        <v>251</v>
      </c>
      <c r="F161" s="101" t="str">
        <f t="shared" si="5"/>
        <v/>
      </c>
      <c r="G161" s="5">
        <f ca="1">[1]!f_pq_pctchange(C161,指数分析!$D$5,指数分析!$D$6)/100</f>
        <v>-3.1478723614583148E-2</v>
      </c>
      <c r="H161" s="5"/>
      <c r="I161" s="5"/>
    </row>
    <row r="162" spans="1:9" x14ac:dyDescent="0.15">
      <c r="A162" s="6">
        <f ca="1">IF(G162="","",IF(COUNTIF(G$5:G162,G162)=1,RANK(G162,G:G,0),RANK(G162,G:G,0)+COUNTIF(G$5:G162,G162)-1))</f>
        <v>421</v>
      </c>
      <c r="B162" s="2" t="str">
        <f t="shared" si="4"/>
        <v/>
      </c>
      <c r="C162" s="3" t="s">
        <v>486</v>
      </c>
      <c r="D162" s="3" t="str">
        <f>[1]!s_info_name(C162)</f>
        <v>稀有金属(中信)</v>
      </c>
      <c r="E162" s="3" t="s">
        <v>251</v>
      </c>
      <c r="F162" s="101" t="str">
        <f t="shared" si="5"/>
        <v/>
      </c>
      <c r="G162" s="5">
        <f ca="1">[1]!f_pq_pctchange(C162,指数分析!$D$5,指数分析!$D$6)/100</f>
        <v>-0.30577199347811146</v>
      </c>
      <c r="H162" s="5"/>
      <c r="I162" s="5"/>
    </row>
    <row r="163" spans="1:9" x14ac:dyDescent="0.15">
      <c r="A163" s="6">
        <f ca="1">IF(G163="","",IF(COUNTIF(G$5:G163,G163)=1,RANK(G163,G:G,0),RANK(G163,G:G,0)+COUNTIF(G$5:G163,G163)-1))</f>
        <v>328</v>
      </c>
      <c r="B163" s="2" t="str">
        <f t="shared" si="4"/>
        <v/>
      </c>
      <c r="C163" s="3" t="s">
        <v>487</v>
      </c>
      <c r="D163" s="3" t="str">
        <f>[1]!s_info_name(C163)</f>
        <v>其他钢铁(中信)</v>
      </c>
      <c r="E163" s="3" t="s">
        <v>251</v>
      </c>
      <c r="F163" s="101" t="str">
        <f t="shared" si="5"/>
        <v/>
      </c>
      <c r="G163" s="5">
        <f ca="1">[1]!f_pq_pctchange(C163,指数分析!$D$5,指数分析!$D$6)/100</f>
        <v>-0.21155564670661176</v>
      </c>
      <c r="H163" s="5"/>
      <c r="I163" s="5"/>
    </row>
    <row r="164" spans="1:9" x14ac:dyDescent="0.15">
      <c r="A164" s="6">
        <f ca="1">IF(G164="","",IF(COUNTIF(G$5:G164,G164)=1,RANK(G164,G:G,0),RANK(G164,G:G,0)+COUNTIF(G$5:G164,G164)-1))</f>
        <v>320</v>
      </c>
      <c r="B164" s="2" t="str">
        <f t="shared" si="4"/>
        <v/>
      </c>
      <c r="C164" s="3" t="s">
        <v>488</v>
      </c>
      <c r="D164" s="3" t="str">
        <f>[1]!s_info_name(C164)</f>
        <v>特材(中信)</v>
      </c>
      <c r="E164" s="3" t="s">
        <v>251</v>
      </c>
      <c r="F164" s="101" t="str">
        <f t="shared" si="5"/>
        <v/>
      </c>
      <c r="G164" s="5">
        <f ca="1">[1]!f_pq_pctchange(C164,指数分析!$D$5,指数分析!$D$6)/100</f>
        <v>-0.20852109206919997</v>
      </c>
      <c r="H164" s="5"/>
      <c r="I164" s="5"/>
    </row>
    <row r="165" spans="1:9" x14ac:dyDescent="0.15">
      <c r="A165" s="6">
        <f ca="1">IF(G165="","",IF(COUNTIF(G$5:G165,G165)=1,RANK(G165,G:G,0),RANK(G165,G:G,0)+COUNTIF(G$5:G165,G165)-1))</f>
        <v>453</v>
      </c>
      <c r="B165" s="2" t="str">
        <f t="shared" si="4"/>
        <v/>
      </c>
      <c r="C165" s="3" t="s">
        <v>489</v>
      </c>
      <c r="D165" s="3" t="str">
        <f>[1]!s_info_name(C165)</f>
        <v>化学纤维(中信)</v>
      </c>
      <c r="E165" s="3" t="s">
        <v>251</v>
      </c>
      <c r="F165" s="101" t="str">
        <f t="shared" si="5"/>
        <v/>
      </c>
      <c r="G165" s="5">
        <f ca="1">[1]!f_pq_pctchange(C165,指数分析!$D$5,指数分析!$D$6)/100</f>
        <v>-0.34858202911731551</v>
      </c>
      <c r="H165" s="5"/>
      <c r="I165" s="5"/>
    </row>
    <row r="166" spans="1:9" x14ac:dyDescent="0.15">
      <c r="A166" s="6">
        <f ca="1">IF(G166="","",IF(COUNTIF(G$5:G166,G166)=1,RANK(G166,G:G,0),RANK(G166,G:G,0)+COUNTIF(G$5:G166,G166)-1))</f>
        <v>269</v>
      </c>
      <c r="B166" s="2" t="str">
        <f t="shared" si="4"/>
        <v/>
      </c>
      <c r="C166" s="3" t="s">
        <v>490</v>
      </c>
      <c r="D166" s="3" t="str">
        <f>[1]!s_info_name(C166)</f>
        <v>化学原料(中信)</v>
      </c>
      <c r="E166" s="3" t="s">
        <v>251</v>
      </c>
      <c r="F166" s="101" t="str">
        <f t="shared" si="5"/>
        <v/>
      </c>
      <c r="G166" s="5">
        <f ca="1">[1]!f_pq_pctchange(C166,指数分析!$D$5,指数分析!$D$6)/100</f>
        <v>-0.17289655327246989</v>
      </c>
      <c r="H166" s="5"/>
      <c r="I166" s="5"/>
    </row>
    <row r="167" spans="1:9" x14ac:dyDescent="0.15">
      <c r="A167" s="6">
        <f ca="1">IF(G167="","",IF(COUNTIF(G$5:G167,G167)=1,RANK(G167,G:G,0),RANK(G167,G:G,0)+COUNTIF(G$5:G167,G167)-1))</f>
        <v>390</v>
      </c>
      <c r="B167" s="2" t="str">
        <f t="shared" si="4"/>
        <v/>
      </c>
      <c r="C167" s="3" t="s">
        <v>491</v>
      </c>
      <c r="D167" s="3" t="str">
        <f>[1]!s_info_name(C167)</f>
        <v>其他化学制品Ⅱ(中信)</v>
      </c>
      <c r="E167" s="3" t="s">
        <v>251</v>
      </c>
      <c r="F167" s="101" t="str">
        <f t="shared" si="5"/>
        <v/>
      </c>
      <c r="G167" s="5">
        <f ca="1">[1]!f_pq_pctchange(C167,指数分析!$D$5,指数分析!$D$6)/100</f>
        <v>-0.26437767585028082</v>
      </c>
      <c r="H167" s="5"/>
      <c r="I167" s="5"/>
    </row>
    <row r="168" spans="1:9" x14ac:dyDescent="0.15">
      <c r="A168" s="6">
        <f ca="1">IF(G168="","",IF(COUNTIF(G$5:G168,G168)=1,RANK(G168,G:G,0),RANK(G168,G:G,0)+COUNTIF(G$5:G168,G168)-1))</f>
        <v>351</v>
      </c>
      <c r="B168" s="2" t="str">
        <f t="shared" si="4"/>
        <v/>
      </c>
      <c r="C168" s="3" t="s">
        <v>492</v>
      </c>
      <c r="D168" s="3" t="str">
        <f>[1]!s_info_name(C168)</f>
        <v>塑料及制品(中信)</v>
      </c>
      <c r="E168" s="3" t="s">
        <v>251</v>
      </c>
      <c r="F168" s="101" t="str">
        <f t="shared" si="5"/>
        <v/>
      </c>
      <c r="G168" s="5">
        <f ca="1">[1]!f_pq_pctchange(C168,指数分析!$D$5,指数分析!$D$6)/100</f>
        <v>-0.22852722300228279</v>
      </c>
      <c r="H168" s="5"/>
      <c r="I168" s="5"/>
    </row>
    <row r="169" spans="1:9" x14ac:dyDescent="0.15">
      <c r="A169" s="6">
        <f ca="1">IF(G169="","",IF(COUNTIF(G$5:G169,G169)=1,RANK(G169,G:G,0),RANK(G169,G:G,0)+COUNTIF(G$5:G169,G169)-1))</f>
        <v>157</v>
      </c>
      <c r="B169" s="2" t="str">
        <f t="shared" si="4"/>
        <v/>
      </c>
      <c r="C169" s="3" t="s">
        <v>493</v>
      </c>
      <c r="D169" s="3" t="str">
        <f>[1]!s_info_name(C169)</f>
        <v>橡胶及制品(中信)</v>
      </c>
      <c r="E169" s="3" t="s">
        <v>251</v>
      </c>
      <c r="F169" s="101" t="str">
        <f t="shared" si="5"/>
        <v/>
      </c>
      <c r="G169" s="5">
        <f ca="1">[1]!f_pq_pctchange(C169,指数分析!$D$5,指数分析!$D$6)/100</f>
        <v>-6.509791815939725E-2</v>
      </c>
      <c r="H169" s="5"/>
      <c r="I169" s="5"/>
    </row>
    <row r="170" spans="1:9" x14ac:dyDescent="0.15">
      <c r="A170" s="6">
        <f ca="1">IF(G170="","",IF(COUNTIF(G$5:G170,G170)=1,RANK(G170,G:G,0),RANK(G170,G:G,0)+COUNTIF(G$5:G170,G170)-1))</f>
        <v>491</v>
      </c>
      <c r="B170" s="2" t="str">
        <f t="shared" si="4"/>
        <v/>
      </c>
      <c r="C170" s="3" t="s">
        <v>494</v>
      </c>
      <c r="D170" s="3" t="str">
        <f>[1]!s_info_name(C170)</f>
        <v>建筑装修Ⅱ(中信)</v>
      </c>
      <c r="E170" s="3" t="s">
        <v>251</v>
      </c>
      <c r="F170" s="101" t="str">
        <f t="shared" si="5"/>
        <v/>
      </c>
      <c r="G170" s="5">
        <f ca="1">[1]!f_pq_pctchange(C170,指数分析!$D$5,指数分析!$D$6)/100</f>
        <v>-0.45039055879181011</v>
      </c>
      <c r="H170" s="5"/>
      <c r="I170" s="5"/>
    </row>
    <row r="171" spans="1:9" x14ac:dyDescent="0.15">
      <c r="A171" s="6">
        <f ca="1">IF(G171="","",IF(COUNTIF(G$5:G171,G171)=1,RANK(G171,G:G,0),RANK(G171,G:G,0)+COUNTIF(G$5:G171,G171)-1))</f>
        <v>252</v>
      </c>
      <c r="B171" s="2" t="str">
        <f t="shared" si="4"/>
        <v/>
      </c>
      <c r="C171" s="3" t="s">
        <v>495</v>
      </c>
      <c r="D171" s="3" t="str">
        <f>[1]!s_info_name(C171)</f>
        <v>建筑设计及服务Ⅱ(中信)</v>
      </c>
      <c r="E171" s="3" t="s">
        <v>251</v>
      </c>
      <c r="F171" s="101" t="str">
        <f t="shared" si="5"/>
        <v/>
      </c>
      <c r="G171" s="5">
        <f ca="1">[1]!f_pq_pctchange(C171,指数分析!$D$5,指数分析!$D$6)/100</f>
        <v>-0.16086043171377251</v>
      </c>
      <c r="H171" s="5"/>
      <c r="I171" s="5"/>
    </row>
    <row r="172" spans="1:9" x14ac:dyDescent="0.15">
      <c r="A172" s="6">
        <f ca="1">IF(G172="","",IF(COUNTIF(G$5:G172,G172)=1,RANK(G172,G:G,0),RANK(G172,G:G,0)+COUNTIF(G$5:G172,G172)-1))</f>
        <v>273</v>
      </c>
      <c r="B172" s="2" t="str">
        <f t="shared" si="4"/>
        <v/>
      </c>
      <c r="C172" s="3" t="s">
        <v>496</v>
      </c>
      <c r="D172" s="3" t="str">
        <f>[1]!s_info_name(C172)</f>
        <v>结构材料(中信)</v>
      </c>
      <c r="E172" s="3" t="s">
        <v>251</v>
      </c>
      <c r="F172" s="101" t="str">
        <f t="shared" si="5"/>
        <v/>
      </c>
      <c r="G172" s="5">
        <f ca="1">[1]!f_pq_pctchange(C172,指数分析!$D$5,指数分析!$D$6)/100</f>
        <v>-0.17898549832241392</v>
      </c>
      <c r="H172" s="5"/>
      <c r="I172" s="5"/>
    </row>
    <row r="173" spans="1:9" x14ac:dyDescent="0.15">
      <c r="A173" s="6">
        <f ca="1">IF(G173="","",IF(COUNTIF(G$5:G173,G173)=1,RANK(G173,G:G,0),RANK(G173,G:G,0)+COUNTIF(G$5:G173,G173)-1))</f>
        <v>399</v>
      </c>
      <c r="B173" s="2" t="str">
        <f t="shared" si="4"/>
        <v/>
      </c>
      <c r="C173" s="3" t="s">
        <v>497</v>
      </c>
      <c r="D173" s="3" t="str">
        <f>[1]!s_info_name(C173)</f>
        <v>装饰材料(中信)</v>
      </c>
      <c r="E173" s="3" t="s">
        <v>251</v>
      </c>
      <c r="F173" s="101" t="str">
        <f t="shared" si="5"/>
        <v/>
      </c>
      <c r="G173" s="5">
        <f ca="1">[1]!f_pq_pctchange(C173,指数分析!$D$5,指数分析!$D$6)/100</f>
        <v>-0.27450374980520054</v>
      </c>
      <c r="H173" s="5"/>
      <c r="I173" s="5"/>
    </row>
    <row r="174" spans="1:9" x14ac:dyDescent="0.15">
      <c r="A174" s="6">
        <f ca="1">IF(G174="","",IF(COUNTIF(G$5:G174,G174)=1,RANK(G174,G:G,0),RANK(G174,G:G,0)+COUNTIF(G$5:G174,G174)-1))</f>
        <v>403</v>
      </c>
      <c r="B174" s="2" t="str">
        <f t="shared" si="4"/>
        <v/>
      </c>
      <c r="C174" s="3" t="s">
        <v>498</v>
      </c>
      <c r="D174" s="3" t="str">
        <f>[1]!s_info_name(C174)</f>
        <v>专用材料Ⅱ(中信)</v>
      </c>
      <c r="E174" s="3" t="s">
        <v>251</v>
      </c>
      <c r="F174" s="101" t="str">
        <f t="shared" si="5"/>
        <v/>
      </c>
      <c r="G174" s="5">
        <f ca="1">[1]!f_pq_pctchange(C174,指数分析!$D$5,指数分析!$D$6)/100</f>
        <v>-0.28219342369091482</v>
      </c>
      <c r="H174" s="5"/>
      <c r="I174" s="5"/>
    </row>
    <row r="175" spans="1:9" x14ac:dyDescent="0.15">
      <c r="A175" s="6">
        <f ca="1">IF(G175="","",IF(COUNTIF(G$5:G175,G175)=1,RANK(G175,G:G,0),RANK(G175,G:G,0)+COUNTIF(G$5:G175,G175)-1))</f>
        <v>435</v>
      </c>
      <c r="B175" s="2" t="str">
        <f t="shared" si="4"/>
        <v/>
      </c>
      <c r="C175" s="3" t="s">
        <v>499</v>
      </c>
      <c r="D175" s="3" t="str">
        <f>[1]!s_info_name(C175)</f>
        <v>包装印刷(中信)</v>
      </c>
      <c r="E175" s="3" t="s">
        <v>251</v>
      </c>
      <c r="F175" s="101" t="str">
        <f t="shared" si="5"/>
        <v/>
      </c>
      <c r="G175" s="5">
        <f ca="1">[1]!f_pq_pctchange(C175,指数分析!$D$5,指数分析!$D$6)/100</f>
        <v>-0.32333774248980435</v>
      </c>
      <c r="H175" s="5"/>
      <c r="I175" s="5"/>
    </row>
    <row r="176" spans="1:9" x14ac:dyDescent="0.15">
      <c r="A176" s="6">
        <f ca="1">IF(G176="","",IF(COUNTIF(G$5:G176,G176)=1,RANK(G176,G:G,0),RANK(G176,G:G,0)+COUNTIF(G$5:G176,G176)-1))</f>
        <v>336</v>
      </c>
      <c r="B176" s="2" t="str">
        <f t="shared" si="4"/>
        <v/>
      </c>
      <c r="C176" s="3" t="s">
        <v>500</v>
      </c>
      <c r="D176" s="3" t="str">
        <f>[1]!s_info_name(C176)</f>
        <v>家居(中信)</v>
      </c>
      <c r="E176" s="3" t="s">
        <v>251</v>
      </c>
      <c r="F176" s="101" t="str">
        <f t="shared" si="5"/>
        <v/>
      </c>
      <c r="G176" s="5">
        <f ca="1">[1]!f_pq_pctchange(C176,指数分析!$D$5,指数分析!$D$6)/100</f>
        <v>-0.21942014873954641</v>
      </c>
      <c r="H176" s="5"/>
      <c r="I176" s="5"/>
    </row>
    <row r="177" spans="1:9" x14ac:dyDescent="0.15">
      <c r="A177" s="6">
        <f ca="1">IF(G177="","",IF(COUNTIF(G$5:G177,G177)=1,RANK(G177,G:G,0),RANK(G177,G:G,0)+COUNTIF(G$5:G177,G177)-1))</f>
        <v>443</v>
      </c>
      <c r="B177" s="2" t="str">
        <f t="shared" si="4"/>
        <v/>
      </c>
      <c r="C177" s="3" t="s">
        <v>501</v>
      </c>
      <c r="D177" s="3" t="str">
        <f>[1]!s_info_name(C177)</f>
        <v>文娱轻工Ⅱ(中信)</v>
      </c>
      <c r="E177" s="3" t="s">
        <v>251</v>
      </c>
      <c r="F177" s="101" t="str">
        <f t="shared" si="5"/>
        <v/>
      </c>
      <c r="G177" s="5">
        <f ca="1">[1]!f_pq_pctchange(C177,指数分析!$D$5,指数分析!$D$6)/100</f>
        <v>-0.32845545520140595</v>
      </c>
      <c r="H177" s="5"/>
      <c r="I177" s="5"/>
    </row>
    <row r="178" spans="1:9" x14ac:dyDescent="0.15">
      <c r="A178" s="6">
        <f ca="1">IF(G178="","",IF(COUNTIF(G$5:G178,G178)=1,RANK(G178,G:G,0),RANK(G178,G:G,0)+COUNTIF(G$5:G178,G178)-1))</f>
        <v>348</v>
      </c>
      <c r="B178" s="2" t="str">
        <f t="shared" si="4"/>
        <v/>
      </c>
      <c r="C178" s="3" t="s">
        <v>502</v>
      </c>
      <c r="D178" s="3" t="str">
        <f>[1]!s_info_name(C178)</f>
        <v>其他轻工Ⅱ(中信)</v>
      </c>
      <c r="E178" s="3" t="s">
        <v>251</v>
      </c>
      <c r="F178" s="101" t="str">
        <f t="shared" si="5"/>
        <v/>
      </c>
      <c r="G178" s="5">
        <f ca="1">[1]!f_pq_pctchange(C178,指数分析!$D$5,指数分析!$D$6)/100</f>
        <v>-0.22768768123724625</v>
      </c>
      <c r="H178" s="5"/>
      <c r="I178" s="5"/>
    </row>
    <row r="179" spans="1:9" x14ac:dyDescent="0.15">
      <c r="A179" s="6">
        <f ca="1">IF(G179="","",IF(COUNTIF(G$5:G179,G179)=1,RANK(G179,G:G,0),RANK(G179,G:G,0)+COUNTIF(G$5:G179,G179)-1))</f>
        <v>411</v>
      </c>
      <c r="B179" s="2" t="str">
        <f t="shared" si="4"/>
        <v/>
      </c>
      <c r="C179" s="3" t="s">
        <v>503</v>
      </c>
      <c r="D179" s="3" t="str">
        <f>[1]!s_info_name(C179)</f>
        <v>专用机械(中信)</v>
      </c>
      <c r="E179" s="3" t="s">
        <v>251</v>
      </c>
      <c r="F179" s="101" t="str">
        <f t="shared" si="5"/>
        <v/>
      </c>
      <c r="G179" s="5">
        <f ca="1">[1]!f_pq_pctchange(C179,指数分析!$D$5,指数分析!$D$6)/100</f>
        <v>-0.2903856320567143</v>
      </c>
      <c r="H179" s="5"/>
      <c r="I179" s="5"/>
    </row>
    <row r="180" spans="1:9" x14ac:dyDescent="0.15">
      <c r="A180" s="6">
        <f ca="1">IF(G180="","",IF(COUNTIF(G$5:G180,G180)=1,RANK(G180,G:G,0),RANK(G180,G:G,0)+COUNTIF(G$5:G180,G180)-1))</f>
        <v>384</v>
      </c>
      <c r="B180" s="2" t="str">
        <f t="shared" si="4"/>
        <v/>
      </c>
      <c r="C180" s="3" t="s">
        <v>504</v>
      </c>
      <c r="D180" s="3" t="str">
        <f>[1]!s_info_name(C180)</f>
        <v>通用设备(中信)</v>
      </c>
      <c r="E180" s="3" t="s">
        <v>251</v>
      </c>
      <c r="F180" s="101" t="str">
        <f t="shared" si="5"/>
        <v/>
      </c>
      <c r="G180" s="5">
        <f ca="1">[1]!f_pq_pctchange(C180,指数分析!$D$5,指数分析!$D$6)/100</f>
        <v>-0.25983392398641159</v>
      </c>
      <c r="H180" s="5"/>
      <c r="I180" s="5"/>
    </row>
    <row r="181" spans="1:9" x14ac:dyDescent="0.15">
      <c r="A181" s="6">
        <f ca="1">IF(G181="","",IF(COUNTIF(G$5:G181,G181)=1,RANK(G181,G:G,0),RANK(G181,G:G,0)+COUNTIF(G$5:G181,G181)-1))</f>
        <v>467</v>
      </c>
      <c r="B181" s="2" t="str">
        <f t="shared" si="4"/>
        <v/>
      </c>
      <c r="C181" s="3" t="s">
        <v>505</v>
      </c>
      <c r="D181" s="3" t="str">
        <f>[1]!s_info_name(C181)</f>
        <v>仪器仪表Ⅱ(中信)</v>
      </c>
      <c r="E181" s="3" t="s">
        <v>251</v>
      </c>
      <c r="F181" s="101" t="str">
        <f t="shared" si="5"/>
        <v/>
      </c>
      <c r="G181" s="5">
        <f ca="1">[1]!f_pq_pctchange(C181,指数分析!$D$5,指数分析!$D$6)/100</f>
        <v>-0.37239679579393459</v>
      </c>
      <c r="H181" s="5"/>
      <c r="I181" s="5"/>
    </row>
    <row r="182" spans="1:9" x14ac:dyDescent="0.15">
      <c r="A182" s="6">
        <f ca="1">IF(G182="","",IF(COUNTIF(G$5:G182,G182)=1,RANK(G182,G:G,0),RANK(G182,G:G,0)+COUNTIF(G$5:G182,G182)-1))</f>
        <v>249</v>
      </c>
      <c r="B182" s="2" t="str">
        <f t="shared" si="4"/>
        <v/>
      </c>
      <c r="C182" s="3" t="s">
        <v>506</v>
      </c>
      <c r="D182" s="3" t="str">
        <f>[1]!s_info_name(C182)</f>
        <v>电气设备(中信)</v>
      </c>
      <c r="E182" s="3" t="s">
        <v>251</v>
      </c>
      <c r="F182" s="101" t="str">
        <f t="shared" si="5"/>
        <v/>
      </c>
      <c r="G182" s="5">
        <f ca="1">[1]!f_pq_pctchange(C182,指数分析!$D$5,指数分析!$D$6)/100</f>
        <v>-0.15720418052610141</v>
      </c>
      <c r="H182" s="5"/>
      <c r="I182" s="5"/>
    </row>
    <row r="183" spans="1:9" x14ac:dyDescent="0.15">
      <c r="A183" s="6">
        <f ca="1">IF(G183="","",IF(COUNTIF(G$5:G183,G183)=1,RANK(G183,G:G,0),RANK(G183,G:G,0)+COUNTIF(G$5:G183,G183)-1))</f>
        <v>490</v>
      </c>
      <c r="B183" s="2" t="str">
        <f t="shared" si="4"/>
        <v/>
      </c>
      <c r="C183" s="3" t="s">
        <v>507</v>
      </c>
      <c r="D183" s="3" t="str">
        <f>[1]!s_info_name(C183)</f>
        <v>电源设备(中信)</v>
      </c>
      <c r="E183" s="3" t="s">
        <v>251</v>
      </c>
      <c r="F183" s="101" t="str">
        <f t="shared" si="5"/>
        <v/>
      </c>
      <c r="G183" s="5">
        <f ca="1">[1]!f_pq_pctchange(C183,指数分析!$D$5,指数分析!$D$6)/100</f>
        <v>-0.44991549698754535</v>
      </c>
      <c r="H183" s="5"/>
      <c r="I183" s="5"/>
    </row>
    <row r="184" spans="1:9" x14ac:dyDescent="0.15">
      <c r="A184" s="6">
        <f ca="1">IF(G184="","",IF(COUNTIF(G$5:G184,G184)=1,RANK(G184,G:G,0),RANK(G184,G:G,0)+COUNTIF(G$5:G184,G184)-1))</f>
        <v>388</v>
      </c>
      <c r="B184" s="2" t="str">
        <f t="shared" si="4"/>
        <v/>
      </c>
      <c r="C184" s="3" t="s">
        <v>508</v>
      </c>
      <c r="D184" s="3" t="str">
        <f>[1]!s_info_name(C184)</f>
        <v>新能源动力系统(中信)</v>
      </c>
      <c r="E184" s="3" t="s">
        <v>251</v>
      </c>
      <c r="F184" s="101" t="str">
        <f t="shared" si="5"/>
        <v/>
      </c>
      <c r="G184" s="5">
        <f ca="1">[1]!f_pq_pctchange(C184,指数分析!$D$5,指数分析!$D$6)/100</f>
        <v>-0.26266124758858844</v>
      </c>
      <c r="H184" s="5"/>
      <c r="I184" s="5"/>
    </row>
    <row r="185" spans="1:9" x14ac:dyDescent="0.15">
      <c r="A185" s="6">
        <f ca="1">IF(G185="","",IF(COUNTIF(G$5:G185,G185)=1,RANK(G185,G:G,0),RANK(G185,G:G,0)+COUNTIF(G$5:G185,G185)-1))</f>
        <v>358</v>
      </c>
      <c r="B185" s="2" t="str">
        <f t="shared" si="4"/>
        <v/>
      </c>
      <c r="C185" s="3" t="s">
        <v>509</v>
      </c>
      <c r="D185" s="3" t="str">
        <f>[1]!s_info_name(C185)</f>
        <v>一般零售(中信)</v>
      </c>
      <c r="E185" s="3" t="s">
        <v>251</v>
      </c>
      <c r="F185" s="101" t="str">
        <f t="shared" si="5"/>
        <v/>
      </c>
      <c r="G185" s="5">
        <f ca="1">[1]!f_pq_pctchange(C185,指数分析!$D$5,指数分析!$D$6)/100</f>
        <v>-0.23482211569505629</v>
      </c>
      <c r="H185" s="5"/>
      <c r="I185" s="5"/>
    </row>
    <row r="186" spans="1:9" x14ac:dyDescent="0.15">
      <c r="A186" s="6">
        <f ca="1">IF(G186="","",IF(COUNTIF(G$5:G186,G186)=1,RANK(G186,G:G,0),RANK(G186,G:G,0)+COUNTIF(G$5:G186,G186)-1))</f>
        <v>312</v>
      </c>
      <c r="B186" s="2" t="str">
        <f t="shared" si="4"/>
        <v/>
      </c>
      <c r="C186" s="3" t="s">
        <v>510</v>
      </c>
      <c r="D186" s="3" t="str">
        <f>[1]!s_info_name(C186)</f>
        <v>贸易Ⅱ(中信)</v>
      </c>
      <c r="E186" s="3" t="s">
        <v>251</v>
      </c>
      <c r="F186" s="101" t="str">
        <f t="shared" si="5"/>
        <v/>
      </c>
      <c r="G186" s="5">
        <f ca="1">[1]!f_pq_pctchange(C186,指数分析!$D$5,指数分析!$D$6)/100</f>
        <v>-0.20561471147258847</v>
      </c>
      <c r="H186" s="5"/>
      <c r="I186" s="5"/>
    </row>
    <row r="187" spans="1:9" x14ac:dyDescent="0.15">
      <c r="A187" s="6">
        <f ca="1">IF(G187="","",IF(COUNTIF(G$5:G187,G187)=1,RANK(G187,G:G,0),RANK(G187,G:G,0)+COUNTIF(G$5:G187,G187)-1))</f>
        <v>337</v>
      </c>
      <c r="B187" s="2" t="str">
        <f t="shared" si="4"/>
        <v/>
      </c>
      <c r="C187" s="3" t="s">
        <v>511</v>
      </c>
      <c r="D187" s="3" t="str">
        <f>[1]!s_info_name(C187)</f>
        <v>专营连锁(中信)</v>
      </c>
      <c r="E187" s="3" t="s">
        <v>251</v>
      </c>
      <c r="F187" s="101" t="str">
        <f t="shared" si="5"/>
        <v/>
      </c>
      <c r="G187" s="5">
        <f ca="1">[1]!f_pq_pctchange(C187,指数分析!$D$5,指数分析!$D$6)/100</f>
        <v>-0.219555748159313</v>
      </c>
      <c r="H187" s="5"/>
      <c r="I187" s="5"/>
    </row>
    <row r="188" spans="1:9" x14ac:dyDescent="0.15">
      <c r="A188" s="6">
        <f ca="1">IF(G188="","",IF(COUNTIF(G$5:G188,G188)=1,RANK(G188,G:G,0),RANK(G188,G:G,0)+COUNTIF(G$5:G188,G188)-1))</f>
        <v>494</v>
      </c>
      <c r="B188" s="2" t="str">
        <f t="shared" si="4"/>
        <v/>
      </c>
      <c r="C188" s="3" t="s">
        <v>512</v>
      </c>
      <c r="D188" s="3" t="str">
        <f>[1]!s_info_name(C188)</f>
        <v>电商及服务Ⅱ(中信)</v>
      </c>
      <c r="E188" s="3" t="s">
        <v>251</v>
      </c>
      <c r="F188" s="101" t="str">
        <f t="shared" si="5"/>
        <v/>
      </c>
      <c r="G188" s="5">
        <f ca="1">[1]!f_pq_pctchange(C188,指数分析!$D$5,指数分析!$D$6)/100</f>
        <v>-0.46416228539687032</v>
      </c>
      <c r="H188" s="5"/>
      <c r="I188" s="5"/>
    </row>
    <row r="189" spans="1:9" x14ac:dyDescent="0.15">
      <c r="A189" s="6">
        <f ca="1">IF(G189="","",IF(COUNTIF(G$5:G189,G189)=1,RANK(G189,G:G,0),RANK(G189,G:G,0)+COUNTIF(G$5:G189,G189)-1))</f>
        <v>380</v>
      </c>
      <c r="B189" s="2" t="str">
        <f t="shared" si="4"/>
        <v/>
      </c>
      <c r="C189" s="3" t="s">
        <v>513</v>
      </c>
      <c r="D189" s="3" t="str">
        <f>[1]!s_info_name(C189)</f>
        <v>专业市场经营Ⅱ(中信)</v>
      </c>
      <c r="E189" s="3" t="s">
        <v>251</v>
      </c>
      <c r="F189" s="101" t="str">
        <f t="shared" si="5"/>
        <v/>
      </c>
      <c r="G189" s="5">
        <f ca="1">[1]!f_pq_pctchange(C189,指数分析!$D$5,指数分析!$D$6)/100</f>
        <v>-0.2567194700964941</v>
      </c>
      <c r="H189" s="5"/>
      <c r="I189" s="5"/>
    </row>
    <row r="190" spans="1:9" x14ac:dyDescent="0.15">
      <c r="A190" s="6">
        <f ca="1">IF(G190="","",IF(COUNTIF(G$5:G190,G190)=1,RANK(G190,G:G,0),RANK(G190,G:G,0)+COUNTIF(G$5:G190,G190)-1))</f>
        <v>483</v>
      </c>
      <c r="B190" s="2" t="str">
        <f t="shared" si="4"/>
        <v/>
      </c>
      <c r="C190" s="3" t="s">
        <v>514</v>
      </c>
      <c r="D190" s="3" t="str">
        <f>[1]!s_info_name(C190)</f>
        <v>教育(中信)</v>
      </c>
      <c r="E190" s="3" t="s">
        <v>251</v>
      </c>
      <c r="F190" s="101" t="str">
        <f t="shared" si="5"/>
        <v/>
      </c>
      <c r="G190" s="5">
        <f ca="1">[1]!f_pq_pctchange(C190,指数分析!$D$5,指数分析!$D$6)/100</f>
        <v>-0.42969895835859506</v>
      </c>
      <c r="H190" s="5"/>
      <c r="I190" s="5"/>
    </row>
    <row r="191" spans="1:9" x14ac:dyDescent="0.15">
      <c r="A191" s="6">
        <f ca="1">IF(G191="","",IF(COUNTIF(G$5:G191,G191)=1,RANK(G191,G:G,0),RANK(G191,G:G,0)+COUNTIF(G$5:G191,G191)-1))</f>
        <v>492</v>
      </c>
      <c r="B191" s="2" t="str">
        <f t="shared" si="4"/>
        <v/>
      </c>
      <c r="C191" s="3" t="s">
        <v>515</v>
      </c>
      <c r="D191" s="3" t="str">
        <f>[1]!s_info_name(C191)</f>
        <v>综合服务(中信)</v>
      </c>
      <c r="E191" s="3" t="s">
        <v>251</v>
      </c>
      <c r="F191" s="101" t="str">
        <f t="shared" si="5"/>
        <v/>
      </c>
      <c r="G191" s="5">
        <f ca="1">[1]!f_pq_pctchange(C191,指数分析!$D$5,指数分析!$D$6)/100</f>
        <v>-0.46128005051265164</v>
      </c>
      <c r="H191" s="5"/>
      <c r="I191" s="5"/>
    </row>
    <row r="192" spans="1:9" x14ac:dyDescent="0.15">
      <c r="A192" s="6">
        <f ca="1">IF(G192="","",IF(COUNTIF(G$5:G192,G192)=1,RANK(G192,G:G,0),RANK(G192,G:G,0)+COUNTIF(G$5:G192,G192)-1))</f>
        <v>324</v>
      </c>
      <c r="B192" s="2" t="str">
        <f t="shared" si="4"/>
        <v/>
      </c>
      <c r="C192" s="3" t="s">
        <v>516</v>
      </c>
      <c r="D192" s="3" t="str">
        <f>[1]!s_info_name(C192)</f>
        <v>小家电Ⅱ(中信)</v>
      </c>
      <c r="E192" s="3" t="s">
        <v>251</v>
      </c>
      <c r="F192" s="101" t="str">
        <f t="shared" si="5"/>
        <v/>
      </c>
      <c r="G192" s="5">
        <f ca="1">[1]!f_pq_pctchange(C192,指数分析!$D$5,指数分析!$D$6)/100</f>
        <v>-0.20951214752899794</v>
      </c>
      <c r="H192" s="5"/>
      <c r="I192" s="5"/>
    </row>
    <row r="193" spans="1:9" x14ac:dyDescent="0.15">
      <c r="A193" s="6">
        <f ca="1">IF(G193="","",IF(COUNTIF(G$5:G193,G193)=1,RANK(G193,G:G,0),RANK(G193,G:G,0)+COUNTIF(G$5:G193,G193)-1))</f>
        <v>335</v>
      </c>
      <c r="B193" s="2" t="str">
        <f t="shared" si="4"/>
        <v/>
      </c>
      <c r="C193" s="3" t="s">
        <v>517</v>
      </c>
      <c r="D193" s="3" t="str">
        <f>[1]!s_info_name(C193)</f>
        <v>照明电工及其他(中信)</v>
      </c>
      <c r="E193" s="3" t="s">
        <v>251</v>
      </c>
      <c r="F193" s="101" t="str">
        <f t="shared" si="5"/>
        <v/>
      </c>
      <c r="G193" s="5">
        <f ca="1">[1]!f_pq_pctchange(C193,指数分析!$D$5,指数分析!$D$6)/100</f>
        <v>-0.21919735716534317</v>
      </c>
      <c r="H193" s="5"/>
      <c r="I193" s="5"/>
    </row>
    <row r="194" spans="1:9" x14ac:dyDescent="0.15">
      <c r="A194" s="6">
        <f ca="1">IF(G194="","",IF(COUNTIF(G$5:G194,G194)=1,RANK(G194,G:G,0),RANK(G194,G:G,0)+COUNTIF(G$5:G194,G194)-1))</f>
        <v>207</v>
      </c>
      <c r="B194" s="2" t="str">
        <f t="shared" si="4"/>
        <v/>
      </c>
      <c r="C194" s="3" t="s">
        <v>518</v>
      </c>
      <c r="D194" s="3" t="str">
        <f>[1]!s_info_name(C194)</f>
        <v>厨房电器Ⅱ(中信)</v>
      </c>
      <c r="E194" s="3" t="s">
        <v>251</v>
      </c>
      <c r="F194" s="101" t="str">
        <f t="shared" si="5"/>
        <v/>
      </c>
      <c r="G194" s="5">
        <f ca="1">[1]!f_pq_pctchange(C194,指数分析!$D$5,指数分析!$D$6)/100</f>
        <v>-0.12279513563758593</v>
      </c>
      <c r="H194" s="5"/>
      <c r="I194" s="5"/>
    </row>
    <row r="195" spans="1:9" x14ac:dyDescent="0.15">
      <c r="A195" s="6">
        <f ca="1">IF(G195="","",IF(COUNTIF(G$5:G195,G195)=1,RANK(G195,G:G,0),RANK(G195,G:G,0)+COUNTIF(G$5:G195,G195)-1))</f>
        <v>246</v>
      </c>
      <c r="B195" s="2" t="str">
        <f t="shared" si="4"/>
        <v/>
      </c>
      <c r="C195" s="3" t="s">
        <v>519</v>
      </c>
      <c r="D195" s="3" t="str">
        <f>[1]!s_info_name(C195)</f>
        <v>品牌服饰(中信)</v>
      </c>
      <c r="E195" s="3" t="s">
        <v>251</v>
      </c>
      <c r="F195" s="101" t="str">
        <f t="shared" si="5"/>
        <v/>
      </c>
      <c r="G195" s="5">
        <f ca="1">[1]!f_pq_pctchange(C195,指数分析!$D$5,指数分析!$D$6)/100</f>
        <v>-0.15582127022836867</v>
      </c>
      <c r="H195" s="5"/>
      <c r="I195" s="5"/>
    </row>
    <row r="196" spans="1:9" x14ac:dyDescent="0.15">
      <c r="A196" s="6">
        <f ca="1">IF(G196="","",IF(COUNTIF(G$5:G196,G196)=1,RANK(G196,G:G,0),RANK(G196,G:G,0)+COUNTIF(G$5:G196,G196)-1))</f>
        <v>179</v>
      </c>
      <c r="B196" s="2" t="str">
        <f t="shared" si="4"/>
        <v/>
      </c>
      <c r="C196" s="3" t="s">
        <v>520</v>
      </c>
      <c r="D196" s="3" t="str">
        <f>[1]!s_info_name(C196)</f>
        <v>饮料(中信)</v>
      </c>
      <c r="E196" s="3" t="s">
        <v>251</v>
      </c>
      <c r="F196" s="101" t="str">
        <f t="shared" si="5"/>
        <v/>
      </c>
      <c r="G196" s="5">
        <f ca="1">[1]!f_pq_pctchange(C196,指数分析!$D$5,指数分析!$D$6)/100</f>
        <v>-9.3103685402530334E-2</v>
      </c>
      <c r="H196" s="5"/>
      <c r="I196" s="5"/>
    </row>
    <row r="197" spans="1:9" x14ac:dyDescent="0.15">
      <c r="A197" s="6">
        <f ca="1">IF(G197="","",IF(COUNTIF(G$5:G197,G197)=1,RANK(G197,G:G,0),RANK(G197,G:G,0)+COUNTIF(G$5:G197,G197)-1))</f>
        <v>410</v>
      </c>
      <c r="B197" s="2" t="str">
        <f t="shared" si="4"/>
        <v/>
      </c>
      <c r="C197" s="3" t="s">
        <v>521</v>
      </c>
      <c r="D197" s="3" t="str">
        <f>[1]!s_info_name(C197)</f>
        <v>食品(中信)</v>
      </c>
      <c r="E197" s="3" t="s">
        <v>251</v>
      </c>
      <c r="F197" s="101" t="str">
        <f t="shared" si="5"/>
        <v/>
      </c>
      <c r="G197" s="5">
        <f ca="1">[1]!f_pq_pctchange(C197,指数分析!$D$5,指数分析!$D$6)/100</f>
        <v>-0.28988272295925588</v>
      </c>
      <c r="H197" s="5"/>
      <c r="I197" s="5"/>
    </row>
    <row r="198" spans="1:9" x14ac:dyDescent="0.15">
      <c r="A198" s="6">
        <f ca="1">IF(G198="","",IF(COUNTIF(G$5:G198,G198)=1,RANK(G198,G:G,0),RANK(G198,G:G,0)+COUNTIF(G$5:G198,G198)-1))</f>
        <v>412</v>
      </c>
      <c r="B198" s="2" t="str">
        <f t="shared" ref="B198:B261" si="6">IF(F198="","",RANK(F198,F:F,1))</f>
        <v/>
      </c>
      <c r="C198" s="3" t="s">
        <v>522</v>
      </c>
      <c r="D198" s="3" t="str">
        <f>[1]!s_info_name(C198)</f>
        <v>种植业(中信)</v>
      </c>
      <c r="E198" s="3" t="s">
        <v>251</v>
      </c>
      <c r="F198" s="101" t="str">
        <f t="shared" ref="F198:F261" si="7">IF(ISERROR(FIND(F$4,$E198,1)),"",ROW())</f>
        <v/>
      </c>
      <c r="G198" s="5">
        <f ca="1">[1]!f_pq_pctchange(C198,指数分析!$D$5,指数分析!$D$6)/100</f>
        <v>-0.29058127431533187</v>
      </c>
      <c r="H198" s="5"/>
      <c r="I198" s="5"/>
    </row>
    <row r="199" spans="1:9" x14ac:dyDescent="0.15">
      <c r="A199" s="6">
        <f ca="1">IF(G199="","",IF(COUNTIF(G$5:G199,G199)=1,RANK(G199,G:G,0),RANK(G199,G:G,0)+COUNTIF(G$5:G199,G199)-1))</f>
        <v>482</v>
      </c>
      <c r="B199" s="2" t="str">
        <f t="shared" si="6"/>
        <v/>
      </c>
      <c r="C199" s="3" t="s">
        <v>523</v>
      </c>
      <c r="D199" s="3" t="str">
        <f>[1]!s_info_name(C199)</f>
        <v>林业(中信)</v>
      </c>
      <c r="E199" s="3" t="s">
        <v>251</v>
      </c>
      <c r="F199" s="101" t="str">
        <f t="shared" si="7"/>
        <v/>
      </c>
      <c r="G199" s="5">
        <f ca="1">[1]!f_pq_pctchange(C199,指数分析!$D$5,指数分析!$D$6)/100</f>
        <v>-0.41686495783791599</v>
      </c>
      <c r="H199" s="5"/>
      <c r="I199" s="5"/>
    </row>
    <row r="200" spans="1:9" x14ac:dyDescent="0.15">
      <c r="A200" s="6">
        <f ca="1">IF(G200="","",IF(COUNTIF(G$5:G200,G200)=1,RANK(G200,G:G,0),RANK(G200,G:G,0)+COUNTIF(G$5:G200,G200)-1))</f>
        <v>361</v>
      </c>
      <c r="B200" s="2" t="str">
        <f t="shared" si="6"/>
        <v/>
      </c>
      <c r="C200" s="3" t="s">
        <v>524</v>
      </c>
      <c r="D200" s="3" t="str">
        <f>[1]!s_info_name(C200)</f>
        <v>农产品加工Ⅱ(中信)</v>
      </c>
      <c r="E200" s="3" t="s">
        <v>251</v>
      </c>
      <c r="F200" s="101" t="str">
        <f t="shared" si="7"/>
        <v/>
      </c>
      <c r="G200" s="5">
        <f ca="1">[1]!f_pq_pctchange(C200,指数分析!$D$5,指数分析!$D$6)/100</f>
        <v>-0.23564837923003032</v>
      </c>
      <c r="H200" s="5"/>
      <c r="I200" s="5"/>
    </row>
    <row r="201" spans="1:9" x14ac:dyDescent="0.15">
      <c r="A201" s="6">
        <f ca="1">IF(G201="","",IF(COUNTIF(G$5:G201,G201)=1,RANK(G201,G:G,0),RANK(G201,G:G,0)+COUNTIF(G$5:G201,G201)-1))</f>
        <v>42</v>
      </c>
      <c r="B201" s="2" t="str">
        <f t="shared" si="6"/>
        <v/>
      </c>
      <c r="C201" s="3" t="s">
        <v>525</v>
      </c>
      <c r="D201" s="3" t="str">
        <f>[1]!s_info_name(C201)</f>
        <v>区域性银行(中信)</v>
      </c>
      <c r="E201" s="3" t="s">
        <v>251</v>
      </c>
      <c r="F201" s="101" t="str">
        <f t="shared" si="7"/>
        <v/>
      </c>
      <c r="G201" s="5">
        <f ca="1">[1]!f_pq_pctchange(C201,指数分析!$D$5,指数分析!$D$6)/100</f>
        <v>0.17913945505401618</v>
      </c>
      <c r="H201" s="5"/>
      <c r="I201" s="5"/>
    </row>
    <row r="202" spans="1:9" x14ac:dyDescent="0.15">
      <c r="A202" s="6">
        <f ca="1">IF(G202="","",IF(COUNTIF(G$5:G202,G202)=1,RANK(G202,G:G,0),RANK(G202,G:G,0)+COUNTIF(G$5:G202,G202)-1))</f>
        <v>288</v>
      </c>
      <c r="B202" s="2" t="str">
        <f t="shared" si="6"/>
        <v/>
      </c>
      <c r="C202" s="3" t="s">
        <v>526</v>
      </c>
      <c r="D202" s="3" t="str">
        <f>[1]!s_info_name(C202)</f>
        <v>多元金融(中信)</v>
      </c>
      <c r="E202" s="3" t="s">
        <v>251</v>
      </c>
      <c r="F202" s="101" t="str">
        <f t="shared" si="7"/>
        <v/>
      </c>
      <c r="G202" s="5">
        <f ca="1">[1]!f_pq_pctchange(C202,指数分析!$D$5,指数分析!$D$6)/100</f>
        <v>-0.19134741336637828</v>
      </c>
      <c r="H202" s="5"/>
      <c r="I202" s="5"/>
    </row>
    <row r="203" spans="1:9" x14ac:dyDescent="0.15">
      <c r="A203" s="6">
        <f ca="1">IF(G203="","",IF(COUNTIF(G$5:G203,G203)=1,RANK(G203,G:G,0),RANK(G203,G:G,0)+COUNTIF(G$5:G203,G203)-1))</f>
        <v>393</v>
      </c>
      <c r="B203" s="2" t="str">
        <f t="shared" si="6"/>
        <v/>
      </c>
      <c r="C203" s="3" t="s">
        <v>527</v>
      </c>
      <c r="D203" s="3" t="str">
        <f>[1]!s_info_name(C203)</f>
        <v>房地产服务(中信)</v>
      </c>
      <c r="E203" s="3" t="s">
        <v>251</v>
      </c>
      <c r="F203" s="101" t="str">
        <f t="shared" si="7"/>
        <v/>
      </c>
      <c r="G203" s="5">
        <f ca="1">[1]!f_pq_pctchange(C203,指数分析!$D$5,指数分析!$D$6)/100</f>
        <v>-0.26592026795027657</v>
      </c>
      <c r="H203" s="5"/>
      <c r="I203" s="5"/>
    </row>
    <row r="204" spans="1:9" x14ac:dyDescent="0.15">
      <c r="A204" s="6">
        <f ca="1">IF(G204="","",IF(COUNTIF(G$5:G204,G204)=1,RANK(G204,G:G,0),RANK(G204,G:G,0)+COUNTIF(G$5:G204,G204)-1))</f>
        <v>78</v>
      </c>
      <c r="B204" s="2" t="str">
        <f t="shared" si="6"/>
        <v/>
      </c>
      <c r="C204" s="3" t="s">
        <v>528</v>
      </c>
      <c r="D204" s="3" t="str">
        <f>[1]!s_info_name(C204)</f>
        <v>资产管理Ⅱ(中信)</v>
      </c>
      <c r="E204" s="3" t="s">
        <v>251</v>
      </c>
      <c r="F204" s="101" t="str">
        <f t="shared" si="7"/>
        <v/>
      </c>
      <c r="G204" s="5">
        <f ca="1">[1]!f_pq_pctchange(C204,指数分析!$D$5,指数分析!$D$6)/100</f>
        <v>9.0719512814894751E-2</v>
      </c>
      <c r="H204" s="5"/>
      <c r="I204" s="5"/>
    </row>
    <row r="205" spans="1:9" x14ac:dyDescent="0.15">
      <c r="A205" s="6">
        <f ca="1">IF(G205="","",IF(COUNTIF(G$5:G205,G205)=1,RANK(G205,G:G,0),RANK(G205,G:G,0)+COUNTIF(G$5:G205,G205)-1))</f>
        <v>234</v>
      </c>
      <c r="B205" s="2" t="str">
        <f t="shared" si="6"/>
        <v/>
      </c>
      <c r="C205" s="3" t="s">
        <v>529</v>
      </c>
      <c r="D205" s="3" t="str">
        <f>[1]!s_info_name(C205)</f>
        <v>多领域控股Ⅱ(中信)</v>
      </c>
      <c r="E205" s="3" t="s">
        <v>251</v>
      </c>
      <c r="F205" s="101" t="str">
        <f t="shared" si="7"/>
        <v/>
      </c>
      <c r="G205" s="5">
        <f ca="1">[1]!f_pq_pctchange(C205,指数分析!$D$5,指数分析!$D$6)/100</f>
        <v>-0.1449426032541854</v>
      </c>
      <c r="H205" s="5"/>
      <c r="I205" s="5"/>
    </row>
    <row r="206" spans="1:9" x14ac:dyDescent="0.15">
      <c r="A206" s="6">
        <f ca="1">IF(G206="","",IF(COUNTIF(G$5:G206,G206)=1,RANK(G206,G:G,0),RANK(G206,G:G,0)+COUNTIF(G$5:G206,G206)-1))</f>
        <v>473</v>
      </c>
      <c r="B206" s="2" t="str">
        <f t="shared" si="6"/>
        <v/>
      </c>
      <c r="C206" s="3" t="s">
        <v>530</v>
      </c>
      <c r="D206" s="3" t="str">
        <f>[1]!s_info_name(C206)</f>
        <v>新兴金融服务Ⅱ(中信)</v>
      </c>
      <c r="E206" s="3" t="s">
        <v>251</v>
      </c>
      <c r="F206" s="101" t="str">
        <f t="shared" si="7"/>
        <v/>
      </c>
      <c r="G206" s="5">
        <f ca="1">[1]!f_pq_pctchange(C206,指数分析!$D$5,指数分析!$D$6)/100</f>
        <v>-0.39077040998406332</v>
      </c>
      <c r="H206" s="5"/>
      <c r="I206" s="5"/>
    </row>
    <row r="207" spans="1:9" x14ac:dyDescent="0.15">
      <c r="A207" s="6">
        <f ca="1">IF(G207="","",IF(COUNTIF(G$5:G207,G207)=1,RANK(G207,G:G,0),RANK(G207,G:G,0)+COUNTIF(G$5:G207,G207)-1))</f>
        <v>333</v>
      </c>
      <c r="B207" s="2" t="str">
        <f t="shared" si="6"/>
        <v/>
      </c>
      <c r="C207" s="3" t="s">
        <v>531</v>
      </c>
      <c r="D207" s="3" t="str">
        <f>[1]!s_info_name(C207)</f>
        <v>半导体(中信)</v>
      </c>
      <c r="E207" s="3" t="s">
        <v>251</v>
      </c>
      <c r="F207" s="101" t="str">
        <f t="shared" si="7"/>
        <v/>
      </c>
      <c r="G207" s="5">
        <f ca="1">[1]!f_pq_pctchange(C207,指数分析!$D$5,指数分析!$D$6)/100</f>
        <v>-0.21822990550187937</v>
      </c>
      <c r="H207" s="5"/>
      <c r="I207" s="5"/>
    </row>
    <row r="208" spans="1:9" x14ac:dyDescent="0.15">
      <c r="A208" s="6">
        <f ca="1">IF(G208="","",IF(COUNTIF(G$5:G208,G208)=1,RANK(G208,G:G,0),RANK(G208,G:G,0)+COUNTIF(G$5:G208,G208)-1))</f>
        <v>128</v>
      </c>
      <c r="B208" s="2" t="str">
        <f t="shared" si="6"/>
        <v/>
      </c>
      <c r="C208" s="3" t="s">
        <v>532</v>
      </c>
      <c r="D208" s="3" t="str">
        <f>[1]!s_info_name(C208)</f>
        <v>元器件(中信)</v>
      </c>
      <c r="E208" s="3" t="s">
        <v>251</v>
      </c>
      <c r="F208" s="101" t="str">
        <f t="shared" si="7"/>
        <v/>
      </c>
      <c r="G208" s="5">
        <f ca="1">[1]!f_pq_pctchange(C208,指数分析!$D$5,指数分析!$D$6)/100</f>
        <v>-1.4252561597270397E-2</v>
      </c>
      <c r="H208" s="5"/>
      <c r="I208" s="5"/>
    </row>
    <row r="209" spans="1:9" x14ac:dyDescent="0.15">
      <c r="A209" s="6">
        <f ca="1">IF(G209="","",IF(COUNTIF(G$5:G209,G209)=1,RANK(G209,G:G,0),RANK(G209,G:G,0)+COUNTIF(G$5:G209,G209)-1))</f>
        <v>218</v>
      </c>
      <c r="B209" s="2" t="str">
        <f t="shared" si="6"/>
        <v/>
      </c>
      <c r="C209" s="3" t="s">
        <v>533</v>
      </c>
      <c r="D209" s="3" t="str">
        <f>[1]!s_info_name(C209)</f>
        <v>光学光电(中信)</v>
      </c>
      <c r="E209" s="3" t="s">
        <v>251</v>
      </c>
      <c r="F209" s="101" t="str">
        <f t="shared" si="7"/>
        <v/>
      </c>
      <c r="G209" s="5">
        <f ca="1">[1]!f_pq_pctchange(C209,指数分析!$D$5,指数分析!$D$6)/100</f>
        <v>-0.13243534428970338</v>
      </c>
      <c r="H209" s="5"/>
      <c r="I209" s="5"/>
    </row>
    <row r="210" spans="1:9" x14ac:dyDescent="0.15">
      <c r="A210" s="6">
        <f ca="1">IF(G210="","",IF(COUNTIF(G$5:G210,G210)=1,RANK(G210,G:G,0),RANK(G210,G:G,0)+COUNTIF(G$5:G210,G210)-1))</f>
        <v>129</v>
      </c>
      <c r="B210" s="2" t="str">
        <f t="shared" si="6"/>
        <v/>
      </c>
      <c r="C210" s="3" t="s">
        <v>534</v>
      </c>
      <c r="D210" s="3" t="str">
        <f>[1]!s_info_name(C210)</f>
        <v>消费电子(中信)</v>
      </c>
      <c r="E210" s="3" t="s">
        <v>251</v>
      </c>
      <c r="F210" s="101" t="str">
        <f t="shared" si="7"/>
        <v/>
      </c>
      <c r="G210" s="5">
        <f ca="1">[1]!f_pq_pctchange(C210,指数分析!$D$5,指数分析!$D$6)/100</f>
        <v>-1.4530309322498547E-2</v>
      </c>
      <c r="H210" s="5"/>
      <c r="I210" s="5"/>
    </row>
    <row r="211" spans="1:9" x14ac:dyDescent="0.15">
      <c r="A211" s="6">
        <f ca="1">IF(G211="","",IF(COUNTIF(G$5:G211,G211)=1,RANK(G211,G:G,0),RANK(G211,G:G,0)+COUNTIF(G$5:G211,G211)-1))</f>
        <v>382</v>
      </c>
      <c r="B211" s="2" t="str">
        <f t="shared" si="6"/>
        <v/>
      </c>
      <c r="C211" s="3" t="s">
        <v>535</v>
      </c>
      <c r="D211" s="3" t="str">
        <f>[1]!s_info_name(C211)</f>
        <v>其他电子零组件Ⅱ(中信)</v>
      </c>
      <c r="E211" s="3" t="s">
        <v>251</v>
      </c>
      <c r="F211" s="101" t="str">
        <f t="shared" si="7"/>
        <v/>
      </c>
      <c r="G211" s="5">
        <f ca="1">[1]!f_pq_pctchange(C211,指数分析!$D$5,指数分析!$D$6)/100</f>
        <v>-0.25976046147003473</v>
      </c>
      <c r="H211" s="5"/>
      <c r="I211" s="5"/>
    </row>
    <row r="212" spans="1:9" x14ac:dyDescent="0.15">
      <c r="A212" s="6">
        <f ca="1">IF(G212="","",IF(COUNTIF(G$5:G212,G212)=1,RANK(G212,G:G,0),RANK(G212,G:G,0)+COUNTIF(G$5:G212,G212)-1))</f>
        <v>87</v>
      </c>
      <c r="B212" s="2" t="str">
        <f t="shared" si="6"/>
        <v/>
      </c>
      <c r="C212" s="3" t="s">
        <v>536</v>
      </c>
      <c r="D212" s="3" t="str">
        <f>[1]!s_info_name(C212)</f>
        <v>电信运营Ⅱ(中信)</v>
      </c>
      <c r="E212" s="3" t="s">
        <v>251</v>
      </c>
      <c r="F212" s="101" t="str">
        <f t="shared" si="7"/>
        <v/>
      </c>
      <c r="G212" s="5">
        <f ca="1">[1]!f_pq_pctchange(C212,指数分析!$D$5,指数分析!$D$6)/100</f>
        <v>7.3332190270506414E-2</v>
      </c>
      <c r="H212" s="5"/>
      <c r="I212" s="5"/>
    </row>
    <row r="213" spans="1:9" x14ac:dyDescent="0.15">
      <c r="A213" s="6">
        <f ca="1">IF(G213="","",IF(COUNTIF(G$5:G213,G213)=1,RANK(G213,G:G,0),RANK(G213,G:G,0)+COUNTIF(G$5:G213,G213)-1))</f>
        <v>408</v>
      </c>
      <c r="B213" s="2" t="str">
        <f t="shared" si="6"/>
        <v/>
      </c>
      <c r="C213" s="3" t="s">
        <v>537</v>
      </c>
      <c r="D213" s="3" t="str">
        <f>[1]!s_info_name(C213)</f>
        <v>增值服务Ⅱ(中信)</v>
      </c>
      <c r="E213" s="3" t="s">
        <v>251</v>
      </c>
      <c r="F213" s="101" t="str">
        <f t="shared" si="7"/>
        <v/>
      </c>
      <c r="G213" s="5">
        <f ca="1">[1]!f_pq_pctchange(C213,指数分析!$D$5,指数分析!$D$6)/100</f>
        <v>-0.28716099228598591</v>
      </c>
      <c r="H213" s="5"/>
      <c r="I213" s="5"/>
    </row>
    <row r="214" spans="1:9" x14ac:dyDescent="0.15">
      <c r="A214" s="6">
        <f ca="1">IF(G214="","",IF(COUNTIF(G$5:G214,G214)=1,RANK(G214,G:G,0),RANK(G214,G:G,0)+COUNTIF(G$5:G214,G214)-1))</f>
        <v>257</v>
      </c>
      <c r="B214" s="2" t="str">
        <f t="shared" si="6"/>
        <v/>
      </c>
      <c r="C214" s="3" t="s">
        <v>538</v>
      </c>
      <c r="D214" s="3" t="str">
        <f>[1]!s_info_name(C214)</f>
        <v>通讯工程服务(中信)</v>
      </c>
      <c r="E214" s="3" t="s">
        <v>251</v>
      </c>
      <c r="F214" s="101" t="str">
        <f t="shared" si="7"/>
        <v/>
      </c>
      <c r="G214" s="5">
        <f ca="1">[1]!f_pq_pctchange(C214,指数分析!$D$5,指数分析!$D$6)/100</f>
        <v>-0.16403012499697778</v>
      </c>
      <c r="H214" s="5"/>
      <c r="I214" s="5"/>
    </row>
    <row r="215" spans="1:9" x14ac:dyDescent="0.15">
      <c r="A215" s="6">
        <f ca="1">IF(G215="","",IF(COUNTIF(G$5:G215,G215)=1,RANK(G215,G:G,0),RANK(G215,G:G,0)+COUNTIF(G$5:G215,G215)-1))</f>
        <v>339</v>
      </c>
      <c r="B215" s="2" t="str">
        <f t="shared" si="6"/>
        <v/>
      </c>
      <c r="C215" s="3" t="s">
        <v>539</v>
      </c>
      <c r="D215" s="3" t="str">
        <f>[1]!s_info_name(C215)</f>
        <v>计算机设备(中信)</v>
      </c>
      <c r="E215" s="3" t="s">
        <v>251</v>
      </c>
      <c r="F215" s="101" t="str">
        <f t="shared" si="7"/>
        <v/>
      </c>
      <c r="G215" s="5">
        <f ca="1">[1]!f_pq_pctchange(C215,指数分析!$D$5,指数分析!$D$6)/100</f>
        <v>-0.22033489122422922</v>
      </c>
      <c r="H215" s="5"/>
      <c r="I215" s="5"/>
    </row>
    <row r="216" spans="1:9" x14ac:dyDescent="0.15">
      <c r="A216" s="6">
        <f ca="1">IF(G216="","",IF(COUNTIF(G$5:G216,G216)=1,RANK(G216,G:G,0),RANK(G216,G:G,0)+COUNTIF(G$5:G216,G216)-1))</f>
        <v>475</v>
      </c>
      <c r="B216" s="2" t="str">
        <f t="shared" si="6"/>
        <v/>
      </c>
      <c r="C216" s="3" t="s">
        <v>540</v>
      </c>
      <c r="D216" s="3" t="str">
        <f>[1]!s_info_name(C216)</f>
        <v>计算机软件(中信)</v>
      </c>
      <c r="E216" s="3" t="s">
        <v>251</v>
      </c>
      <c r="F216" s="101" t="str">
        <f t="shared" si="7"/>
        <v/>
      </c>
      <c r="G216" s="5">
        <f ca="1">[1]!f_pq_pctchange(C216,指数分析!$D$5,指数分析!$D$6)/100</f>
        <v>-0.39413468789463602</v>
      </c>
      <c r="H216" s="5"/>
      <c r="I216" s="5"/>
    </row>
    <row r="217" spans="1:9" x14ac:dyDescent="0.15">
      <c r="A217" s="6">
        <f ca="1">IF(G217="","",IF(COUNTIF(G$5:G217,G217)=1,RANK(G217,G:G,0),RANK(G217,G:G,0)+COUNTIF(G$5:G217,G217)-1))</f>
        <v>471</v>
      </c>
      <c r="B217" s="2" t="str">
        <f t="shared" si="6"/>
        <v/>
      </c>
      <c r="C217" s="3" t="s">
        <v>541</v>
      </c>
      <c r="D217" s="3" t="str">
        <f>[1]!s_info_name(C217)</f>
        <v>云服务(中信)</v>
      </c>
      <c r="E217" s="3" t="s">
        <v>251</v>
      </c>
      <c r="F217" s="101" t="str">
        <f t="shared" si="7"/>
        <v/>
      </c>
      <c r="G217" s="5">
        <f ca="1">[1]!f_pq_pctchange(C217,指数分析!$D$5,指数分析!$D$6)/100</f>
        <v>-0.38599504008647384</v>
      </c>
      <c r="H217" s="5"/>
      <c r="I217" s="5"/>
    </row>
    <row r="218" spans="1:9" x14ac:dyDescent="0.15">
      <c r="A218" s="6">
        <f ca="1">IF(G218="","",IF(COUNTIF(G$5:G218,G218)=1,RANK(G218,G:G,0),RANK(G218,G:G,0)+COUNTIF(G$5:G218,G218)-1))</f>
        <v>455</v>
      </c>
      <c r="B218" s="2" t="str">
        <f t="shared" si="6"/>
        <v/>
      </c>
      <c r="C218" s="3" t="s">
        <v>542</v>
      </c>
      <c r="D218" s="3" t="str">
        <f>[1]!s_info_name(C218)</f>
        <v>产业互联网(中信)</v>
      </c>
      <c r="E218" s="3" t="s">
        <v>251</v>
      </c>
      <c r="F218" s="101" t="str">
        <f t="shared" si="7"/>
        <v/>
      </c>
      <c r="G218" s="5">
        <f ca="1">[1]!f_pq_pctchange(C218,指数分析!$D$5,指数分析!$D$6)/100</f>
        <v>-0.35030762401954457</v>
      </c>
      <c r="H218" s="5"/>
      <c r="I218" s="5"/>
    </row>
    <row r="219" spans="1:9" x14ac:dyDescent="0.15">
      <c r="A219" s="6">
        <f ca="1">IF(G219="","",IF(COUNTIF(G$5:G219,G219)=1,RANK(G219,G:G,0),RANK(G219,G:G,0)+COUNTIF(G$5:G219,G219)-1))</f>
        <v>281</v>
      </c>
      <c r="B219" s="2" t="str">
        <f t="shared" si="6"/>
        <v/>
      </c>
      <c r="C219" s="3" t="s">
        <v>543</v>
      </c>
      <c r="D219" s="3" t="str">
        <f>[1]!s_info_name(C219)</f>
        <v>媒体(中信)</v>
      </c>
      <c r="E219" s="3" t="s">
        <v>251</v>
      </c>
      <c r="F219" s="101" t="str">
        <f t="shared" si="7"/>
        <v/>
      </c>
      <c r="G219" s="5">
        <f ca="1">[1]!f_pq_pctchange(C219,指数分析!$D$5,指数分析!$D$6)/100</f>
        <v>-0.18289005481044085</v>
      </c>
      <c r="H219" s="5"/>
      <c r="I219" s="5"/>
    </row>
    <row r="220" spans="1:9" x14ac:dyDescent="0.15">
      <c r="A220" s="6">
        <f ca="1">IF(G220="","",IF(COUNTIF(G$5:G220,G220)=1,RANK(G220,G:G,0),RANK(G220,G:G,0)+COUNTIF(G$5:G220,G220)-1))</f>
        <v>396</v>
      </c>
      <c r="B220" s="2" t="str">
        <f t="shared" si="6"/>
        <v/>
      </c>
      <c r="C220" s="3" t="s">
        <v>544</v>
      </c>
      <c r="D220" s="3" t="str">
        <f>[1]!s_info_name(C220)</f>
        <v>广告营销(中信)</v>
      </c>
      <c r="E220" s="3" t="s">
        <v>251</v>
      </c>
      <c r="F220" s="101" t="str">
        <f t="shared" si="7"/>
        <v/>
      </c>
      <c r="G220" s="5">
        <f ca="1">[1]!f_pq_pctchange(C220,指数分析!$D$5,指数分析!$D$6)/100</f>
        <v>-0.26904095152933849</v>
      </c>
      <c r="H220" s="5"/>
      <c r="I220" s="5"/>
    </row>
    <row r="221" spans="1:9" x14ac:dyDescent="0.15">
      <c r="A221" s="6">
        <f ca="1">IF(G221="","",IF(COUNTIF(G$5:G221,G221)=1,RANK(G221,G:G,0),RANK(G221,G:G,0)+COUNTIF(G$5:G221,G221)-1))</f>
        <v>474</v>
      </c>
      <c r="B221" s="2" t="str">
        <f t="shared" si="6"/>
        <v/>
      </c>
      <c r="C221" s="3" t="s">
        <v>545</v>
      </c>
      <c r="D221" s="3" t="str">
        <f>[1]!s_info_name(C221)</f>
        <v>文化娱乐(中信)</v>
      </c>
      <c r="E221" s="3" t="s">
        <v>251</v>
      </c>
      <c r="F221" s="101" t="str">
        <f t="shared" si="7"/>
        <v/>
      </c>
      <c r="G221" s="5">
        <f ca="1">[1]!f_pq_pctchange(C221,指数分析!$D$5,指数分析!$D$6)/100</f>
        <v>-0.39131646553480082</v>
      </c>
      <c r="H221" s="5"/>
      <c r="I221" s="5"/>
    </row>
    <row r="222" spans="1:9" x14ac:dyDescent="0.15">
      <c r="A222" s="6">
        <f ca="1">IF(G222="","",IF(COUNTIF(G$5:G222,G222)=1,RANK(G222,G:G,0),RANK(G222,G:G,0)+COUNTIF(G$5:G222,G222)-1))</f>
        <v>446</v>
      </c>
      <c r="B222" s="2" t="str">
        <f t="shared" si="6"/>
        <v/>
      </c>
      <c r="C222" s="3" t="s">
        <v>546</v>
      </c>
      <c r="D222" s="3" t="str">
        <f>[1]!s_info_name(C222)</f>
        <v>互联网媒体(中信)</v>
      </c>
      <c r="E222" s="3" t="s">
        <v>251</v>
      </c>
      <c r="F222" s="101" t="str">
        <f t="shared" si="7"/>
        <v/>
      </c>
      <c r="G222" s="5">
        <f ca="1">[1]!f_pq_pctchange(C222,指数分析!$D$5,指数分析!$D$6)/100</f>
        <v>-0.33661797289182815</v>
      </c>
      <c r="H222" s="5"/>
      <c r="I222" s="5"/>
    </row>
    <row r="223" spans="1:9" x14ac:dyDescent="0.15">
      <c r="A223" s="6">
        <f ca="1">IF(G223="","",IF(COUNTIF(G$5:G223,G223)=1,RANK(G223,G:G,0),RANK(G223,G:G,0)+COUNTIF(G$5:G223,G223)-1))</f>
        <v>255</v>
      </c>
      <c r="B223" s="2" t="str">
        <f t="shared" si="6"/>
        <v/>
      </c>
      <c r="C223" s="103" t="s">
        <v>157</v>
      </c>
      <c r="D223" s="3" t="str">
        <f>[1]!s_info_name(C223)</f>
        <v>农林牧渔(申万)</v>
      </c>
      <c r="E223" s="3" t="s">
        <v>252</v>
      </c>
      <c r="F223" s="101" t="str">
        <f t="shared" si="7"/>
        <v/>
      </c>
      <c r="G223" s="5">
        <f ca="1">[1]!f_pq_pctchange(C223,指数分析!$D$5,指数分析!$D$6)/100</f>
        <v>-0.1630413138346164</v>
      </c>
      <c r="H223" s="5"/>
      <c r="I223" s="5"/>
    </row>
    <row r="224" spans="1:9" x14ac:dyDescent="0.15">
      <c r="A224" s="6">
        <f ca="1">IF(G224="","",IF(COUNTIF(G$5:G224,G224)=1,RANK(G224,G:G,0),RANK(G224,G:G,0)+COUNTIF(G$5:G224,G224)-1))</f>
        <v>285</v>
      </c>
      <c r="B224" s="2" t="str">
        <f t="shared" si="6"/>
        <v/>
      </c>
      <c r="C224" s="103" t="s">
        <v>158</v>
      </c>
      <c r="D224" s="3" t="str">
        <f>[1]!s_info_name(C224)</f>
        <v>基础化工(申万)</v>
      </c>
      <c r="E224" s="3" t="s">
        <v>252</v>
      </c>
      <c r="F224" s="101" t="str">
        <f t="shared" si="7"/>
        <v/>
      </c>
      <c r="G224" s="5">
        <f ca="1">[1]!f_pq_pctchange(C224,指数分析!$D$5,指数分析!$D$6)/100</f>
        <v>-0.18487365619553286</v>
      </c>
      <c r="H224" s="5"/>
      <c r="I224" s="5"/>
    </row>
    <row r="225" spans="1:9" x14ac:dyDescent="0.15">
      <c r="A225" s="6">
        <f ca="1">IF(G225="","",IF(COUNTIF(G$5:G225,G225)=1,RANK(G225,G:G,0),RANK(G225,G:G,0)+COUNTIF(G$5:G225,G225)-1))</f>
        <v>245</v>
      </c>
      <c r="B225" s="2" t="str">
        <f t="shared" si="6"/>
        <v/>
      </c>
      <c r="C225" s="103" t="s">
        <v>159</v>
      </c>
      <c r="D225" s="3" t="str">
        <f>[1]!s_info_name(C225)</f>
        <v>钢铁(申万)</v>
      </c>
      <c r="E225" s="3" t="s">
        <v>252</v>
      </c>
      <c r="F225" s="101" t="str">
        <f t="shared" si="7"/>
        <v/>
      </c>
      <c r="G225" s="5">
        <f ca="1">[1]!f_pq_pctchange(C225,指数分析!$D$5,指数分析!$D$6)/100</f>
        <v>-0.15571787098921464</v>
      </c>
      <c r="H225" s="5"/>
      <c r="I225" s="5"/>
    </row>
    <row r="226" spans="1:9" x14ac:dyDescent="0.15">
      <c r="A226" s="6">
        <f ca="1">IF(G226="","",IF(COUNTIF(G$5:G226,G226)=1,RANK(G226,G:G,0),RANK(G226,G:G,0)+COUNTIF(G$5:G226,G226)-1))</f>
        <v>151</v>
      </c>
      <c r="B226" s="2" t="str">
        <f t="shared" si="6"/>
        <v/>
      </c>
      <c r="C226" s="103" t="s">
        <v>160</v>
      </c>
      <c r="D226" s="3" t="str">
        <f>[1]!s_info_name(C226)</f>
        <v>有色金属(申万)</v>
      </c>
      <c r="E226" s="3" t="s">
        <v>252</v>
      </c>
      <c r="F226" s="101" t="str">
        <f t="shared" si="7"/>
        <v/>
      </c>
      <c r="G226" s="5">
        <f ca="1">[1]!f_pq_pctchange(C226,指数分析!$D$5,指数分析!$D$6)/100</f>
        <v>-5.2697345078135838E-2</v>
      </c>
      <c r="H226" s="5"/>
      <c r="I226" s="5"/>
    </row>
    <row r="227" spans="1:9" x14ac:dyDescent="0.15">
      <c r="A227" s="6">
        <f ca="1">IF(G227="","",IF(COUNTIF(G$5:G227,G227)=1,RANK(G227,G:G,0),RANK(G227,G:G,0)+COUNTIF(G$5:G227,G227)-1))</f>
        <v>226</v>
      </c>
      <c r="B227" s="2" t="str">
        <f t="shared" si="6"/>
        <v/>
      </c>
      <c r="C227" s="103" t="s">
        <v>161</v>
      </c>
      <c r="D227" s="3" t="str">
        <f>[1]!s_info_name(C227)</f>
        <v>电子(申万)</v>
      </c>
      <c r="E227" s="3" t="s">
        <v>252</v>
      </c>
      <c r="F227" s="101" t="str">
        <f t="shared" si="7"/>
        <v/>
      </c>
      <c r="G227" s="5">
        <f ca="1">[1]!f_pq_pctchange(C227,指数分析!$D$5,指数分析!$D$6)/100</f>
        <v>-0.13875401764343842</v>
      </c>
      <c r="H227" s="5"/>
      <c r="I227" s="5"/>
    </row>
    <row r="228" spans="1:9" x14ac:dyDescent="0.15">
      <c r="A228" s="6">
        <f ca="1">IF(G228="","",IF(COUNTIF(G$5:G228,G228)=1,RANK(G228,G:G,0),RANK(G228,G:G,0)+COUNTIF(G$5:G228,G228)-1))</f>
        <v>118</v>
      </c>
      <c r="B228" s="2" t="str">
        <f t="shared" si="6"/>
        <v/>
      </c>
      <c r="C228" s="103" t="s">
        <v>162</v>
      </c>
      <c r="D228" s="3" t="str">
        <f>[1]!s_info_name(C228)</f>
        <v>家用电器(申万)</v>
      </c>
      <c r="E228" s="3" t="s">
        <v>252</v>
      </c>
      <c r="F228" s="101" t="str">
        <f t="shared" si="7"/>
        <v/>
      </c>
      <c r="G228" s="5">
        <f ca="1">[1]!f_pq_pctchange(C228,指数分析!$D$5,指数分析!$D$6)/100</f>
        <v>2.986427825704574E-3</v>
      </c>
      <c r="H228" s="5"/>
      <c r="I228" s="5"/>
    </row>
    <row r="229" spans="1:9" x14ac:dyDescent="0.15">
      <c r="A229" s="6">
        <f ca="1">IF(G229="","",IF(COUNTIF(G$5:G229,G229)=1,RANK(G229,G:G,0),RANK(G229,G:G,0)+COUNTIF(G$5:G229,G229)-1))</f>
        <v>321</v>
      </c>
      <c r="B229" s="2" t="str">
        <f t="shared" si="6"/>
        <v/>
      </c>
      <c r="C229" s="103" t="s">
        <v>163</v>
      </c>
      <c r="D229" s="3" t="str">
        <f>[1]!s_info_name(C229)</f>
        <v>食品饮料(申万)</v>
      </c>
      <c r="E229" s="3" t="s">
        <v>252</v>
      </c>
      <c r="F229" s="101" t="str">
        <f t="shared" si="7"/>
        <v/>
      </c>
      <c r="G229" s="5">
        <f ca="1">[1]!f_pq_pctchange(C229,指数分析!$D$5,指数分析!$D$6)/100</f>
        <v>-0.20866096811692436</v>
      </c>
      <c r="H229" s="5"/>
      <c r="I229" s="5"/>
    </row>
    <row r="230" spans="1:9" x14ac:dyDescent="0.15">
      <c r="A230" s="6">
        <f ca="1">IF(G230="","",IF(COUNTIF(G$5:G230,G230)=1,RANK(G230,G:G,0),RANK(G230,G:G,0)+COUNTIF(G$5:G230,G230)-1))</f>
        <v>283</v>
      </c>
      <c r="B230" s="2" t="str">
        <f t="shared" si="6"/>
        <v/>
      </c>
      <c r="C230" s="103" t="s">
        <v>164</v>
      </c>
      <c r="D230" s="3" t="str">
        <f>[1]!s_info_name(C230)</f>
        <v>纺织服饰(申万)</v>
      </c>
      <c r="E230" s="3" t="s">
        <v>252</v>
      </c>
      <c r="F230" s="101" t="str">
        <f t="shared" si="7"/>
        <v/>
      </c>
      <c r="G230" s="5">
        <f ca="1">[1]!f_pq_pctchange(C230,指数分析!$D$5,指数分析!$D$6)/100</f>
        <v>-0.18476395780292754</v>
      </c>
      <c r="H230" s="5"/>
      <c r="I230" s="5"/>
    </row>
    <row r="231" spans="1:9" x14ac:dyDescent="0.15">
      <c r="A231" s="6">
        <f ca="1">IF(G231="","",IF(COUNTIF(G$5:G231,G231)=1,RANK(G231,G:G,0),RANK(G231,G:G,0)+COUNTIF(G$5:G231,G231)-1))</f>
        <v>365</v>
      </c>
      <c r="B231" s="2" t="str">
        <f t="shared" si="6"/>
        <v/>
      </c>
      <c r="C231" s="103" t="s">
        <v>165</v>
      </c>
      <c r="D231" s="3" t="str">
        <f>[1]!s_info_name(C231)</f>
        <v>轻工制造(申万)</v>
      </c>
      <c r="E231" s="3" t="s">
        <v>252</v>
      </c>
      <c r="F231" s="101" t="str">
        <f t="shared" si="7"/>
        <v/>
      </c>
      <c r="G231" s="5">
        <f ca="1">[1]!f_pq_pctchange(C231,指数分析!$D$5,指数分析!$D$6)/100</f>
        <v>-0.24204563873641416</v>
      </c>
      <c r="H231" s="5"/>
      <c r="I231" s="5"/>
    </row>
    <row r="232" spans="1:9" x14ac:dyDescent="0.15">
      <c r="A232" s="6">
        <f ca="1">IF(G232="","",IF(COUNTIF(G$5:G232,G232)=1,RANK(G232,G:G,0),RANK(G232,G:G,0)+COUNTIF(G$5:G232,G232)-1))</f>
        <v>316</v>
      </c>
      <c r="B232" s="2" t="str">
        <f t="shared" si="6"/>
        <v/>
      </c>
      <c r="C232" s="103" t="s">
        <v>166</v>
      </c>
      <c r="D232" s="3" t="str">
        <f>[1]!s_info_name(C232)</f>
        <v>医药生物(申万)</v>
      </c>
      <c r="E232" s="3" t="s">
        <v>252</v>
      </c>
      <c r="F232" s="101" t="str">
        <f t="shared" si="7"/>
        <v/>
      </c>
      <c r="G232" s="5">
        <f ca="1">[1]!f_pq_pctchange(C232,指数分析!$D$5,指数分析!$D$6)/100</f>
        <v>-0.2079328983712736</v>
      </c>
      <c r="H232" s="5"/>
      <c r="I232" s="5"/>
    </row>
    <row r="233" spans="1:9" x14ac:dyDescent="0.15">
      <c r="A233" s="6">
        <f ca="1">IF(G233="","",IF(COUNTIF(G$5:G233,G233)=1,RANK(G233,G:G,0),RANK(G233,G:G,0)+COUNTIF(G$5:G233,G233)-1))</f>
        <v>104</v>
      </c>
      <c r="B233" s="2" t="str">
        <f t="shared" si="6"/>
        <v/>
      </c>
      <c r="C233" s="103" t="s">
        <v>167</v>
      </c>
      <c r="D233" s="3" t="str">
        <f>[1]!s_info_name(C233)</f>
        <v>公用事业(申万)</v>
      </c>
      <c r="E233" s="3" t="s">
        <v>252</v>
      </c>
      <c r="F233" s="101" t="str">
        <f t="shared" si="7"/>
        <v/>
      </c>
      <c r="G233" s="5">
        <f ca="1">[1]!f_pq_pctchange(C233,指数分析!$D$5,指数分析!$D$6)/100</f>
        <v>3.7062342797846037E-2</v>
      </c>
      <c r="H233" s="5"/>
      <c r="I233" s="5"/>
    </row>
    <row r="234" spans="1:9" x14ac:dyDescent="0.15">
      <c r="A234" s="6">
        <f ca="1">IF(G234="","",IF(COUNTIF(G$5:G234,G234)=1,RANK(G234,G:G,0),RANK(G234,G:G,0)+COUNTIF(G$5:G234,G234)-1))</f>
        <v>158</v>
      </c>
      <c r="B234" s="2" t="str">
        <f t="shared" si="6"/>
        <v/>
      </c>
      <c r="C234" s="103" t="s">
        <v>168</v>
      </c>
      <c r="D234" s="3" t="str">
        <f>[1]!s_info_name(C234)</f>
        <v>交通运输(申万)</v>
      </c>
      <c r="E234" s="3" t="s">
        <v>252</v>
      </c>
      <c r="F234" s="101" t="str">
        <f t="shared" si="7"/>
        <v/>
      </c>
      <c r="G234" s="5">
        <f ca="1">[1]!f_pq_pctchange(C234,指数分析!$D$5,指数分析!$D$6)/100</f>
        <v>-6.5464104423495262E-2</v>
      </c>
      <c r="H234" s="5"/>
      <c r="I234" s="5"/>
    </row>
    <row r="235" spans="1:9" x14ac:dyDescent="0.15">
      <c r="A235" s="6">
        <f ca="1">IF(G235="","",IF(COUNTIF(G$5:G235,G235)=1,RANK(G235,G:G,0),RANK(G235,G:G,0)+COUNTIF(G$5:G235,G235)-1))</f>
        <v>431</v>
      </c>
      <c r="B235" s="2" t="str">
        <f t="shared" si="6"/>
        <v/>
      </c>
      <c r="C235" s="103" t="s">
        <v>169</v>
      </c>
      <c r="D235" s="3" t="str">
        <f>[1]!s_info_name(C235)</f>
        <v>房地产(申万)</v>
      </c>
      <c r="E235" s="3" t="s">
        <v>252</v>
      </c>
      <c r="F235" s="101" t="str">
        <f t="shared" si="7"/>
        <v/>
      </c>
      <c r="G235" s="5">
        <f ca="1">[1]!f_pq_pctchange(C235,指数分析!$D$5,指数分析!$D$6)/100</f>
        <v>-0.32030226700251885</v>
      </c>
      <c r="H235" s="5"/>
      <c r="I235" s="5"/>
    </row>
    <row r="236" spans="1:9" x14ac:dyDescent="0.15">
      <c r="A236" s="6">
        <f ca="1">IF(G236="","",IF(COUNTIF(G$5:G236,G236)=1,RANK(G236,G:G,0),RANK(G236,G:G,0)+COUNTIF(G$5:G236,G236)-1))</f>
        <v>439</v>
      </c>
      <c r="B236" s="2" t="str">
        <f t="shared" si="6"/>
        <v/>
      </c>
      <c r="C236" s="103" t="s">
        <v>170</v>
      </c>
      <c r="D236" s="3" t="str">
        <f>[1]!s_info_name(C236)</f>
        <v>商贸零售(申万)</v>
      </c>
      <c r="E236" s="3" t="s">
        <v>252</v>
      </c>
      <c r="F236" s="101" t="str">
        <f t="shared" si="7"/>
        <v/>
      </c>
      <c r="G236" s="5">
        <f ca="1">[1]!f_pq_pctchange(C236,指数分析!$D$5,指数分析!$D$6)/100</f>
        <v>-0.32607857107201377</v>
      </c>
      <c r="H236" s="5"/>
      <c r="I236" s="5"/>
    </row>
    <row r="237" spans="1:9" x14ac:dyDescent="0.15">
      <c r="A237" s="6">
        <f ca="1">IF(G237="","",IF(COUNTIF(G$5:G237,G237)=1,RANK(G237,G:G,0),RANK(G237,G:G,0)+COUNTIF(G$5:G237,G237)-1))</f>
        <v>461</v>
      </c>
      <c r="B237" s="2" t="str">
        <f t="shared" si="6"/>
        <v/>
      </c>
      <c r="C237" s="103" t="s">
        <v>171</v>
      </c>
      <c r="D237" s="3" t="str">
        <f>[1]!s_info_name(C237)</f>
        <v>社会服务(申万)</v>
      </c>
      <c r="E237" s="3" t="s">
        <v>252</v>
      </c>
      <c r="F237" s="101" t="str">
        <f t="shared" si="7"/>
        <v/>
      </c>
      <c r="G237" s="5">
        <f ca="1">[1]!f_pq_pctchange(C237,指数分析!$D$5,指数分析!$D$6)/100</f>
        <v>-0.36081858951160939</v>
      </c>
      <c r="H237" s="5"/>
      <c r="I237" s="5"/>
    </row>
    <row r="238" spans="1:9" x14ac:dyDescent="0.15">
      <c r="A238" s="6">
        <f ca="1">IF(G238="","",IF(COUNTIF(G$5:G238,G238)=1,RANK(G238,G:G,0),RANK(G238,G:G,0)+COUNTIF(G$5:G238,G238)-1))</f>
        <v>457</v>
      </c>
      <c r="B238" s="2" t="str">
        <f t="shared" si="6"/>
        <v/>
      </c>
      <c r="C238" s="103" t="s">
        <v>172</v>
      </c>
      <c r="D238" s="3" t="str">
        <f>[1]!s_info_name(C238)</f>
        <v>综合(申万)</v>
      </c>
      <c r="E238" s="3" t="s">
        <v>252</v>
      </c>
      <c r="F238" s="101" t="str">
        <f t="shared" si="7"/>
        <v/>
      </c>
      <c r="G238" s="5">
        <f ca="1">[1]!f_pq_pctchange(C238,指数分析!$D$5,指数分析!$D$6)/100</f>
        <v>-0.355082234378026</v>
      </c>
      <c r="H238" s="5"/>
      <c r="I238" s="5"/>
    </row>
    <row r="239" spans="1:9" x14ac:dyDescent="0.15">
      <c r="A239" s="6">
        <f ca="1">IF(G239="","",IF(COUNTIF(G$5:G239,G239)=1,RANK(G239,G:G,0),RANK(G239,G:G,0)+COUNTIF(G$5:G239,G239)-1))</f>
        <v>369</v>
      </c>
      <c r="B239" s="2" t="str">
        <f t="shared" si="6"/>
        <v/>
      </c>
      <c r="C239" s="103" t="s">
        <v>386</v>
      </c>
      <c r="D239" s="3" t="str">
        <f>[1]!s_info_name(C239)</f>
        <v>建筑材料(申万)</v>
      </c>
      <c r="E239" s="3" t="s">
        <v>252</v>
      </c>
      <c r="F239" s="101" t="str">
        <f t="shared" si="7"/>
        <v/>
      </c>
      <c r="G239" s="5">
        <f ca="1">[1]!f_pq_pctchange(C239,指数分析!$D$5,指数分析!$D$6)/100</f>
        <v>-0.24465072667604315</v>
      </c>
      <c r="H239" s="5"/>
      <c r="I239" s="5"/>
    </row>
    <row r="240" spans="1:9" x14ac:dyDescent="0.15">
      <c r="A240" s="6">
        <f ca="1">IF(G240="","",IF(COUNTIF(G$5:G240,G240)=1,RANK(G240,G:G,0),RANK(G240,G:G,0)+COUNTIF(G$5:G240,G240)-1))</f>
        <v>329</v>
      </c>
      <c r="B240" s="2" t="str">
        <f t="shared" si="6"/>
        <v/>
      </c>
      <c r="C240" s="103" t="s">
        <v>387</v>
      </c>
      <c r="D240" s="3" t="str">
        <f>[1]!s_info_name(C240)</f>
        <v>建筑装饰(申万)</v>
      </c>
      <c r="E240" s="3" t="s">
        <v>252</v>
      </c>
      <c r="F240" s="101" t="str">
        <f t="shared" si="7"/>
        <v/>
      </c>
      <c r="G240" s="5">
        <f ca="1">[1]!f_pq_pctchange(C240,指数分析!$D$5,指数分析!$D$6)/100</f>
        <v>-0.21158545742487747</v>
      </c>
      <c r="H240" s="5"/>
      <c r="I240" s="5"/>
    </row>
    <row r="241" spans="1:9" x14ac:dyDescent="0.15">
      <c r="A241" s="6">
        <f ca="1">IF(G241="","",IF(COUNTIF(G$5:G241,G241)=1,RANK(G241,G:G,0),RANK(G241,G:G,0)+COUNTIF(G$5:G241,G241)-1))</f>
        <v>449</v>
      </c>
      <c r="B241" s="2" t="str">
        <f t="shared" si="6"/>
        <v/>
      </c>
      <c r="C241" s="103" t="s">
        <v>388</v>
      </c>
      <c r="D241" s="3" t="str">
        <f>[1]!s_info_name(C241)</f>
        <v>电力设备(申万)</v>
      </c>
      <c r="E241" s="3" t="s">
        <v>252</v>
      </c>
      <c r="F241" s="101" t="str">
        <f t="shared" si="7"/>
        <v/>
      </c>
      <c r="G241" s="5">
        <f ca="1">[1]!f_pq_pctchange(C241,指数分析!$D$5,指数分析!$D$6)/100</f>
        <v>-0.34357386759856662</v>
      </c>
      <c r="H241" s="5"/>
      <c r="I241" s="5"/>
    </row>
    <row r="242" spans="1:9" x14ac:dyDescent="0.15">
      <c r="A242" s="6">
        <f ca="1">IF(G242="","",IF(COUNTIF(G$5:G242,G242)=1,RANK(G242,G:G,0),RANK(G242,G:G,0)+COUNTIF(G$5:G242,G242)-1))</f>
        <v>308</v>
      </c>
      <c r="B242" s="2" t="str">
        <f t="shared" si="6"/>
        <v/>
      </c>
      <c r="C242" s="103" t="s">
        <v>389</v>
      </c>
      <c r="D242" s="3" t="str">
        <f>[1]!s_info_name(C242)</f>
        <v>国防军工(申万)</v>
      </c>
      <c r="E242" s="3" t="s">
        <v>252</v>
      </c>
      <c r="F242" s="101" t="str">
        <f t="shared" si="7"/>
        <v/>
      </c>
      <c r="G242" s="5">
        <f ca="1">[1]!f_pq_pctchange(C242,指数分析!$D$5,指数分析!$D$6)/100</f>
        <v>-0.20439020005649855</v>
      </c>
      <c r="H242" s="5"/>
      <c r="I242" s="5"/>
    </row>
    <row r="243" spans="1:9" x14ac:dyDescent="0.15">
      <c r="A243" s="6">
        <f ca="1">IF(G243="","",IF(COUNTIF(G$5:G243,G243)=1,RANK(G243,G:G,0),RANK(G243,G:G,0)+COUNTIF(G$5:G243,G243)-1))</f>
        <v>459</v>
      </c>
      <c r="B243" s="2" t="str">
        <f t="shared" si="6"/>
        <v/>
      </c>
      <c r="C243" s="103" t="s">
        <v>390</v>
      </c>
      <c r="D243" s="3" t="str">
        <f>[1]!s_info_name(C243)</f>
        <v>计算机(申万)</v>
      </c>
      <c r="E243" s="3" t="s">
        <v>252</v>
      </c>
      <c r="F243" s="101" t="str">
        <f t="shared" si="7"/>
        <v/>
      </c>
      <c r="G243" s="5">
        <f ca="1">[1]!f_pq_pctchange(C243,指数分析!$D$5,指数分析!$D$6)/100</f>
        <v>-0.35566009937307586</v>
      </c>
      <c r="H243" s="5"/>
      <c r="I243" s="5"/>
    </row>
    <row r="244" spans="1:9" x14ac:dyDescent="0.15">
      <c r="A244" s="6">
        <f ca="1">IF(G244="","",IF(COUNTIF(G$5:G244,G244)=1,RANK(G244,G:G,0),RANK(G244,G:G,0)+COUNTIF(G$5:G244,G244)-1))</f>
        <v>441</v>
      </c>
      <c r="B244" s="2" t="str">
        <f t="shared" si="6"/>
        <v/>
      </c>
      <c r="C244" s="103" t="s">
        <v>391</v>
      </c>
      <c r="D244" s="3" t="str">
        <f>[1]!s_info_name(C244)</f>
        <v>传媒(申万)</v>
      </c>
      <c r="E244" s="3" t="s">
        <v>252</v>
      </c>
      <c r="F244" s="101" t="str">
        <f t="shared" si="7"/>
        <v/>
      </c>
      <c r="G244" s="5">
        <f ca="1">[1]!f_pq_pctchange(C244,指数分析!$D$5,指数分析!$D$6)/100</f>
        <v>-0.32685965555148416</v>
      </c>
      <c r="H244" s="5"/>
      <c r="I244" s="5"/>
    </row>
    <row r="245" spans="1:9" x14ac:dyDescent="0.15">
      <c r="A245" s="6">
        <f ca="1">IF(G245="","",IF(COUNTIF(G$5:G245,G245)=1,RANK(G245,G:G,0),RANK(G245,G:G,0)+COUNTIF(G$5:G245,G245)-1))</f>
        <v>204</v>
      </c>
      <c r="B245" s="2" t="str">
        <f t="shared" si="6"/>
        <v/>
      </c>
      <c r="C245" s="103" t="s">
        <v>392</v>
      </c>
      <c r="D245" s="3" t="str">
        <f>[1]!s_info_name(C245)</f>
        <v>通信(申万)</v>
      </c>
      <c r="E245" s="3" t="s">
        <v>252</v>
      </c>
      <c r="F245" s="101" t="str">
        <f t="shared" si="7"/>
        <v/>
      </c>
      <c r="G245" s="5">
        <f ca="1">[1]!f_pq_pctchange(C245,指数分析!$D$5,指数分析!$D$6)/100</f>
        <v>-0.12212649469915447</v>
      </c>
      <c r="H245" s="5"/>
      <c r="I245" s="5"/>
    </row>
    <row r="246" spans="1:9" x14ac:dyDescent="0.15">
      <c r="A246" s="6">
        <f ca="1">IF(G246="","",IF(COUNTIF(G$5:G246,G246)=1,RANK(G246,G:G,0),RANK(G246,G:G,0)+COUNTIF(G$5:G246,G246)-1))</f>
        <v>61</v>
      </c>
      <c r="B246" s="2" t="str">
        <f t="shared" si="6"/>
        <v/>
      </c>
      <c r="C246" s="103" t="s">
        <v>393</v>
      </c>
      <c r="D246" s="3" t="str">
        <f>[1]!s_info_name(C246)</f>
        <v>银行(申万)</v>
      </c>
      <c r="E246" s="3" t="s">
        <v>252</v>
      </c>
      <c r="F246" s="101" t="str">
        <f t="shared" si="7"/>
        <v/>
      </c>
      <c r="G246" s="5">
        <f ca="1">[1]!f_pq_pctchange(C246,指数分析!$D$5,指数分析!$D$6)/100</f>
        <v>0.11857662050880989</v>
      </c>
      <c r="H246" s="5"/>
      <c r="I246" s="5"/>
    </row>
    <row r="247" spans="1:9" x14ac:dyDescent="0.15">
      <c r="A247" s="6">
        <f ca="1">IF(G247="","",IF(COUNTIF(G$5:G247,G247)=1,RANK(G247,G:G,0),RANK(G247,G:G,0)+COUNTIF(G$5:G247,G247)-1))</f>
        <v>208</v>
      </c>
      <c r="B247" s="2" t="str">
        <f t="shared" si="6"/>
        <v/>
      </c>
      <c r="C247" s="103" t="s">
        <v>394</v>
      </c>
      <c r="D247" s="3" t="str">
        <f>[1]!s_info_name(C247)</f>
        <v>非银金融(申万)</v>
      </c>
      <c r="E247" s="3" t="s">
        <v>252</v>
      </c>
      <c r="F247" s="101" t="str">
        <f t="shared" si="7"/>
        <v/>
      </c>
      <c r="G247" s="5">
        <f ca="1">[1]!f_pq_pctchange(C247,指数分析!$D$5,指数分析!$D$6)/100</f>
        <v>-0.1249499319073941</v>
      </c>
      <c r="H247" s="5"/>
      <c r="I247" s="5"/>
    </row>
    <row r="248" spans="1:9" x14ac:dyDescent="0.15">
      <c r="A248" s="6">
        <f ca="1">IF(G248="","",IF(COUNTIF(G$5:G248,G248)=1,RANK(G248,G:G,0),RANK(G248,G:G,0)+COUNTIF(G$5:G248,G248)-1))</f>
        <v>176</v>
      </c>
      <c r="B248" s="2" t="str">
        <f t="shared" si="6"/>
        <v/>
      </c>
      <c r="C248" s="103" t="s">
        <v>395</v>
      </c>
      <c r="D248" s="3" t="str">
        <f>[1]!s_info_name(C248)</f>
        <v>汽车(申万)</v>
      </c>
      <c r="E248" s="3" t="s">
        <v>252</v>
      </c>
      <c r="F248" s="101" t="str">
        <f t="shared" si="7"/>
        <v/>
      </c>
      <c r="G248" s="5">
        <f ca="1">[1]!f_pq_pctchange(C248,指数分析!$D$5,指数分析!$D$6)/100</f>
        <v>-8.8344660666795249E-2</v>
      </c>
      <c r="H248" s="5"/>
      <c r="I248" s="5"/>
    </row>
    <row r="249" spans="1:9" x14ac:dyDescent="0.15">
      <c r="A249" s="6">
        <f ca="1">IF(G249="","",IF(COUNTIF(G$5:G249,G249)=1,RANK(G249,G:G,0),RANK(G249,G:G,0)+COUNTIF(G$5:G249,G249)-1))</f>
        <v>313</v>
      </c>
      <c r="B249" s="2" t="str">
        <f t="shared" si="6"/>
        <v/>
      </c>
      <c r="C249" s="103" t="s">
        <v>396</v>
      </c>
      <c r="D249" s="3" t="str">
        <f>[1]!s_info_name(C249)</f>
        <v>机械设备(申万)</v>
      </c>
      <c r="E249" s="3" t="s">
        <v>252</v>
      </c>
      <c r="F249" s="101" t="str">
        <f t="shared" si="7"/>
        <v/>
      </c>
      <c r="G249" s="5">
        <f ca="1">[1]!f_pq_pctchange(C249,指数分析!$D$5,指数分析!$D$6)/100</f>
        <v>-0.20630359826717359</v>
      </c>
      <c r="H249" s="5"/>
      <c r="I249" s="5"/>
    </row>
    <row r="250" spans="1:9" x14ac:dyDescent="0.15">
      <c r="A250" s="6">
        <f ca="1">IF(G250="","",IF(COUNTIF(G$5:G250,G250)=1,RANK(G250,G:G,0),RANK(G250,G:G,0)+COUNTIF(G$5:G250,G250)-1))</f>
        <v>28</v>
      </c>
      <c r="B250" s="2" t="str">
        <f t="shared" si="6"/>
        <v/>
      </c>
      <c r="C250" s="103" t="s">
        <v>397</v>
      </c>
      <c r="D250" s="3" t="str">
        <f>[1]!s_info_name(C250)</f>
        <v>煤炭(申万)</v>
      </c>
      <c r="E250" s="3" t="s">
        <v>252</v>
      </c>
      <c r="F250" s="101" t="str">
        <f t="shared" si="7"/>
        <v/>
      </c>
      <c r="G250" s="5">
        <f ca="1">[1]!f_pq_pctchange(C250,指数分析!$D$5,指数分析!$D$6)/100</f>
        <v>0.21827603738902579</v>
      </c>
      <c r="H250" s="5"/>
      <c r="I250" s="5"/>
    </row>
    <row r="251" spans="1:9" x14ac:dyDescent="0.15">
      <c r="A251" s="6">
        <f ca="1">IF(G251="","",IF(COUNTIF(G$5:G251,G251)=1,RANK(G251,G:G,0),RANK(G251,G:G,0)+COUNTIF(G$5:G251,G251)-1))</f>
        <v>110</v>
      </c>
      <c r="B251" s="2" t="str">
        <f t="shared" si="6"/>
        <v/>
      </c>
      <c r="C251" s="103" t="s">
        <v>398</v>
      </c>
      <c r="D251" s="3" t="str">
        <f>[1]!s_info_name(C251)</f>
        <v>石油石化(申万)</v>
      </c>
      <c r="E251" s="3" t="s">
        <v>252</v>
      </c>
      <c r="F251" s="101" t="str">
        <f t="shared" si="7"/>
        <v/>
      </c>
      <c r="G251" s="5">
        <f ca="1">[1]!f_pq_pctchange(C251,指数分析!$D$5,指数分析!$D$6)/100</f>
        <v>2.9193728268713581E-2</v>
      </c>
      <c r="H251" s="5"/>
      <c r="I251" s="5"/>
    </row>
    <row r="252" spans="1:9" x14ac:dyDescent="0.15">
      <c r="A252" s="6">
        <f ca="1">IF(G252="","",IF(COUNTIF(G$5:G252,G252)=1,RANK(G252,G:G,0),RANK(G252,G:G,0)+COUNTIF(G$5:G252,G252)-1))</f>
        <v>342</v>
      </c>
      <c r="B252" s="2" t="str">
        <f t="shared" si="6"/>
        <v/>
      </c>
      <c r="C252" s="103" t="s">
        <v>399</v>
      </c>
      <c r="D252" s="3" t="str">
        <f>[1]!s_info_name(C252)</f>
        <v>环保(申万)</v>
      </c>
      <c r="E252" s="3" t="s">
        <v>252</v>
      </c>
      <c r="F252" s="101" t="str">
        <f t="shared" si="7"/>
        <v/>
      </c>
      <c r="G252" s="5">
        <f ca="1">[1]!f_pq_pctchange(C252,指数分析!$D$5,指数分析!$D$6)/100</f>
        <v>-0.2209913221545228</v>
      </c>
      <c r="H252" s="5"/>
      <c r="I252" s="5"/>
    </row>
    <row r="253" spans="1:9" x14ac:dyDescent="0.15">
      <c r="A253" s="6">
        <f ca="1">IF(G253="","",IF(COUNTIF(G$5:G253,G253)=1,RANK(G253,G:G,0),RANK(G253,G:G,0)+COUNTIF(G$5:G253,G253)-1))</f>
        <v>433</v>
      </c>
      <c r="B253" s="2" t="str">
        <f t="shared" si="6"/>
        <v/>
      </c>
      <c r="C253" s="103" t="s">
        <v>400</v>
      </c>
      <c r="D253" s="3" t="str">
        <f>[1]!s_info_name(C253)</f>
        <v>美容护理(申万)</v>
      </c>
      <c r="E253" s="3" t="s">
        <v>252</v>
      </c>
      <c r="F253" s="101" t="str">
        <f t="shared" si="7"/>
        <v/>
      </c>
      <c r="G253" s="5">
        <f ca="1">[1]!f_pq_pctchange(C253,指数分析!$D$5,指数分析!$D$6)/100</f>
        <v>-0.32072734385824775</v>
      </c>
      <c r="H253" s="5"/>
      <c r="I253" s="5"/>
    </row>
    <row r="254" spans="1:9" x14ac:dyDescent="0.15">
      <c r="A254" s="6">
        <f ca="1">IF(G254="","",IF(COUNTIF(G$5:G254,G254)=1,RANK(G254,G:G,0),RANK(G254,G:G,0)+COUNTIF(G$5:G254,G254)-1))</f>
        <v>375</v>
      </c>
      <c r="B254" s="2" t="str">
        <f t="shared" si="6"/>
        <v/>
      </c>
      <c r="C254" s="103" t="s">
        <v>173</v>
      </c>
      <c r="D254" s="3" t="str">
        <f>[1]!s_info_name(C254)</f>
        <v>农产品加工(申万)</v>
      </c>
      <c r="E254" s="3" t="s">
        <v>253</v>
      </c>
      <c r="F254" s="101" t="str">
        <f t="shared" si="7"/>
        <v/>
      </c>
      <c r="G254" s="5">
        <f ca="1">[1]!f_pq_pctchange(C254,指数分析!$D$5,指数分析!$D$6)/100</f>
        <v>-0.25347033377122152</v>
      </c>
      <c r="H254" s="5"/>
      <c r="I254" s="5"/>
    </row>
    <row r="255" spans="1:9" x14ac:dyDescent="0.15">
      <c r="A255" s="6">
        <f ca="1">IF(G255="","",IF(COUNTIF(G$5:G255,G255)=1,RANK(G255,G:G,0),RANK(G255,G:G,0)+COUNTIF(G$5:G255,G255)-1))</f>
        <v>299</v>
      </c>
      <c r="B255" s="2" t="str">
        <f t="shared" si="6"/>
        <v/>
      </c>
      <c r="C255" s="103" t="s">
        <v>174</v>
      </c>
      <c r="D255" s="3" t="str">
        <f>[1]!s_info_name(C255)</f>
        <v>饲料(申万)</v>
      </c>
      <c r="E255" s="3" t="s">
        <v>253</v>
      </c>
      <c r="F255" s="101" t="str">
        <f t="shared" si="7"/>
        <v/>
      </c>
      <c r="G255" s="5">
        <f ca="1">[1]!f_pq_pctchange(C255,指数分析!$D$5,指数分析!$D$6)/100</f>
        <v>-0.19909486843646504</v>
      </c>
      <c r="H255" s="5"/>
      <c r="I255" s="5"/>
    </row>
    <row r="256" spans="1:9" x14ac:dyDescent="0.15">
      <c r="A256" s="6">
        <f ca="1">IF(G256="","",IF(COUNTIF(G$5:G256,G256)=1,RANK(G256,G:G,0),RANK(G256,G:G,0)+COUNTIF(G$5:G256,G256)-1))</f>
        <v>476</v>
      </c>
      <c r="B256" s="2" t="str">
        <f t="shared" si="6"/>
        <v/>
      </c>
      <c r="C256" s="103" t="s">
        <v>175</v>
      </c>
      <c r="D256" s="3" t="str">
        <f>[1]!s_info_name(C256)</f>
        <v>渔业(申万)</v>
      </c>
      <c r="E256" s="3" t="s">
        <v>253</v>
      </c>
      <c r="F256" s="101" t="str">
        <f t="shared" si="7"/>
        <v/>
      </c>
      <c r="G256" s="5">
        <f ca="1">[1]!f_pq_pctchange(C256,指数分析!$D$5,指数分析!$D$6)/100</f>
        <v>-0.39547117504033447</v>
      </c>
      <c r="H256" s="5"/>
      <c r="I256" s="5"/>
    </row>
    <row r="257" spans="1:9" x14ac:dyDescent="0.15">
      <c r="A257" s="6">
        <f ca="1">IF(G257="","",IF(COUNTIF(G$5:G257,G257)=1,RANK(G257,G:G,0),RANK(G257,G:G,0)+COUNTIF(G$5:G257,G257)-1))</f>
        <v>426</v>
      </c>
      <c r="B257" s="2" t="str">
        <f t="shared" si="6"/>
        <v/>
      </c>
      <c r="C257" s="103" t="s">
        <v>176</v>
      </c>
      <c r="D257" s="3" t="str">
        <f>[1]!s_info_name(C257)</f>
        <v>种植业(申万)</v>
      </c>
      <c r="E257" s="3" t="s">
        <v>253</v>
      </c>
      <c r="F257" s="101" t="str">
        <f t="shared" si="7"/>
        <v/>
      </c>
      <c r="G257" s="5">
        <f ca="1">[1]!f_pq_pctchange(C257,指数分析!$D$5,指数分析!$D$6)/100</f>
        <v>-0.31552013217262243</v>
      </c>
      <c r="H257" s="5"/>
      <c r="I257" s="5"/>
    </row>
    <row r="258" spans="1:9" x14ac:dyDescent="0.15">
      <c r="A258" s="6">
        <f ca="1">IF(G258="","",IF(COUNTIF(G$5:G258,G258)=1,RANK(G258,G:G,0),RANK(G258,G:G,0)+COUNTIF(G$5:G258,G258)-1))</f>
        <v>147</v>
      </c>
      <c r="B258" s="2" t="str">
        <f t="shared" si="6"/>
        <v/>
      </c>
      <c r="C258" s="103" t="s">
        <v>401</v>
      </c>
      <c r="D258" s="3" t="str">
        <f>[1]!s_info_name(C258)</f>
        <v>养殖业(申万)</v>
      </c>
      <c r="E258" s="3" t="s">
        <v>253</v>
      </c>
      <c r="F258" s="101" t="str">
        <f t="shared" si="7"/>
        <v/>
      </c>
      <c r="G258" s="5">
        <f ca="1">[1]!f_pq_pctchange(C258,指数分析!$D$5,指数分析!$D$6)/100</f>
        <v>-4.0605702757891216E-2</v>
      </c>
      <c r="H258" s="5"/>
      <c r="I258" s="5"/>
    </row>
    <row r="259" spans="1:9" x14ac:dyDescent="0.15">
      <c r="A259" s="6">
        <f ca="1">IF(G259="","",IF(COUNTIF(G$5:G259,G259)=1,RANK(G259,G:G,0),RANK(G259,G:G,0)+COUNTIF(G$5:G259,G259)-1))</f>
        <v>437</v>
      </c>
      <c r="B259" s="2" t="str">
        <f t="shared" si="6"/>
        <v/>
      </c>
      <c r="C259" s="103" t="s">
        <v>402</v>
      </c>
      <c r="D259" s="3" t="str">
        <f>[1]!s_info_name(C259)</f>
        <v>动物保健Ⅱ(申万)</v>
      </c>
      <c r="E259" s="3" t="s">
        <v>253</v>
      </c>
      <c r="F259" s="101" t="str">
        <f t="shared" si="7"/>
        <v/>
      </c>
      <c r="G259" s="5">
        <f ca="1">[1]!f_pq_pctchange(C259,指数分析!$D$5,指数分析!$D$6)/100</f>
        <v>-0.32400475668538592</v>
      </c>
      <c r="H259" s="5"/>
      <c r="I259" s="5"/>
    </row>
    <row r="260" spans="1:9" x14ac:dyDescent="0.15">
      <c r="A260" s="6">
        <f ca="1">IF(G260="","",IF(COUNTIF(G$5:G260,G260)=1,RANK(G260,G:G,0),RANK(G260,G:G,0)+COUNTIF(G$5:G260,G260)-1))</f>
        <v>362</v>
      </c>
      <c r="B260" s="2" t="str">
        <f t="shared" si="6"/>
        <v/>
      </c>
      <c r="C260" s="103" t="s">
        <v>177</v>
      </c>
      <c r="D260" s="3" t="str">
        <f>[1]!s_info_name(C260)</f>
        <v>化学纤维(申万)</v>
      </c>
      <c r="E260" s="3" t="s">
        <v>253</v>
      </c>
      <c r="F260" s="101" t="str">
        <f t="shared" si="7"/>
        <v/>
      </c>
      <c r="G260" s="5">
        <f ca="1">[1]!f_pq_pctchange(C260,指数分析!$D$5,指数分析!$D$6)/100</f>
        <v>-0.23576651056662212</v>
      </c>
      <c r="H260" s="5"/>
      <c r="I260" s="5"/>
    </row>
    <row r="261" spans="1:9" x14ac:dyDescent="0.15">
      <c r="A261" s="6">
        <f ca="1">IF(G261="","",IF(COUNTIF(G$5:G261,G261)=1,RANK(G261,G:G,0),RANK(G261,G:G,0)+COUNTIF(G$5:G261,G261)-1))</f>
        <v>225</v>
      </c>
      <c r="B261" s="2" t="str">
        <f t="shared" si="6"/>
        <v/>
      </c>
      <c r="C261" s="103" t="s">
        <v>178</v>
      </c>
      <c r="D261" s="3" t="str">
        <f>[1]!s_info_name(C261)</f>
        <v>化学原料(申万)</v>
      </c>
      <c r="E261" s="3" t="s">
        <v>253</v>
      </c>
      <c r="F261" s="101" t="str">
        <f t="shared" si="7"/>
        <v/>
      </c>
      <c r="G261" s="5">
        <f ca="1">[1]!f_pq_pctchange(C261,指数分析!$D$5,指数分析!$D$6)/100</f>
        <v>-0.13870862851450083</v>
      </c>
      <c r="H261" s="5"/>
      <c r="I261" s="5"/>
    </row>
    <row r="262" spans="1:9" x14ac:dyDescent="0.15">
      <c r="A262" s="6">
        <f ca="1">IF(G262="","",IF(COUNTIF(G$5:G262,G262)=1,RANK(G262,G:G,0),RANK(G262,G:G,0)+COUNTIF(G$5:G262,G262)-1))</f>
        <v>240</v>
      </c>
      <c r="B262" s="2" t="str">
        <f t="shared" ref="B262:B325" si="8">IF(F262="","",RANK(F262,F:F,1))</f>
        <v/>
      </c>
      <c r="C262" s="103" t="s">
        <v>179</v>
      </c>
      <c r="D262" s="3" t="str">
        <f>[1]!s_info_name(C262)</f>
        <v>化学制品(申万)</v>
      </c>
      <c r="E262" s="3" t="s">
        <v>253</v>
      </c>
      <c r="F262" s="101" t="str">
        <f t="shared" ref="F262:F325" si="9">IF(ISERROR(FIND(F$4,$E262,1)),"",ROW())</f>
        <v/>
      </c>
      <c r="G262" s="5">
        <f ca="1">[1]!f_pq_pctchange(C262,指数分析!$D$5,指数分析!$D$6)/100</f>
        <v>-0.15196660315813615</v>
      </c>
      <c r="H262" s="5"/>
      <c r="I262" s="5"/>
    </row>
    <row r="263" spans="1:9" x14ac:dyDescent="0.15">
      <c r="A263" s="6">
        <f ca="1">IF(G263="","",IF(COUNTIF(G$5:G263,G263)=1,RANK(G263,G:G,0),RANK(G263,G:G,0)+COUNTIF(G$5:G263,G263)-1))</f>
        <v>415</v>
      </c>
      <c r="B263" s="2" t="str">
        <f t="shared" si="8"/>
        <v/>
      </c>
      <c r="C263" s="103" t="s">
        <v>180</v>
      </c>
      <c r="D263" s="3" t="str">
        <f>[1]!s_info_name(C263)</f>
        <v>塑料(申万)</v>
      </c>
      <c r="E263" s="3" t="s">
        <v>253</v>
      </c>
      <c r="F263" s="101" t="str">
        <f t="shared" si="9"/>
        <v/>
      </c>
      <c r="G263" s="5">
        <f ca="1">[1]!f_pq_pctchange(C263,指数分析!$D$5,指数分析!$D$6)/100</f>
        <v>-0.29391638442197643</v>
      </c>
      <c r="H263" s="5"/>
      <c r="I263" s="5"/>
    </row>
    <row r="264" spans="1:9" x14ac:dyDescent="0.15">
      <c r="A264" s="6">
        <f ca="1">IF(G264="","",IF(COUNTIF(G$5:G264,G264)=1,RANK(G264,G:G,0),RANK(G264,G:G,0)+COUNTIF(G$5:G264,G264)-1))</f>
        <v>389</v>
      </c>
      <c r="B264" s="2" t="str">
        <f t="shared" si="8"/>
        <v/>
      </c>
      <c r="C264" s="103" t="s">
        <v>181</v>
      </c>
      <c r="D264" s="3" t="str">
        <f>[1]!s_info_name(C264)</f>
        <v>橡胶(申万)</v>
      </c>
      <c r="E264" s="3" t="s">
        <v>253</v>
      </c>
      <c r="F264" s="101" t="str">
        <f t="shared" si="9"/>
        <v/>
      </c>
      <c r="G264" s="5">
        <f ca="1">[1]!f_pq_pctchange(C264,指数分析!$D$5,指数分析!$D$6)/100</f>
        <v>-0.26413993168202965</v>
      </c>
      <c r="H264" s="5"/>
      <c r="I264" s="5"/>
    </row>
    <row r="265" spans="1:9" x14ac:dyDescent="0.15">
      <c r="A265" s="6">
        <f ca="1">IF(G265="","",IF(COUNTIF(G$5:G265,G265)=1,RANK(G265,G:G,0),RANK(G265,G:G,0)+COUNTIF(G$5:G265,G265)-1))</f>
        <v>278</v>
      </c>
      <c r="B265" s="2" t="str">
        <f t="shared" si="8"/>
        <v/>
      </c>
      <c r="C265" s="103" t="s">
        <v>403</v>
      </c>
      <c r="D265" s="3" t="str">
        <f>[1]!s_info_name(C265)</f>
        <v>农化制品(申万)</v>
      </c>
      <c r="E265" s="3" t="s">
        <v>253</v>
      </c>
      <c r="F265" s="101" t="str">
        <f t="shared" si="9"/>
        <v/>
      </c>
      <c r="G265" s="5">
        <f ca="1">[1]!f_pq_pctchange(C265,指数分析!$D$5,指数分析!$D$6)/100</f>
        <v>-0.18264882734327503</v>
      </c>
      <c r="H265" s="5"/>
      <c r="I265" s="5"/>
    </row>
    <row r="266" spans="1:9" x14ac:dyDescent="0.15">
      <c r="A266" s="6">
        <f ca="1">IF(G266="","",IF(COUNTIF(G$5:G266,G266)=1,RANK(G266,G:G,0),RANK(G266,G:G,0)+COUNTIF(G$5:G266,G266)-1))</f>
        <v>468</v>
      </c>
      <c r="B266" s="2" t="str">
        <f t="shared" si="8"/>
        <v/>
      </c>
      <c r="C266" s="103" t="s">
        <v>404</v>
      </c>
      <c r="D266" s="3" t="str">
        <f>[1]!s_info_name(C266)</f>
        <v>非金属材料Ⅱ(申万)</v>
      </c>
      <c r="E266" s="3" t="s">
        <v>253</v>
      </c>
      <c r="F266" s="101" t="str">
        <f t="shared" si="9"/>
        <v/>
      </c>
      <c r="G266" s="5">
        <f ca="1">[1]!f_pq_pctchange(C266,指数分析!$D$5,指数分析!$D$6)/100</f>
        <v>-0.37574632190367807</v>
      </c>
      <c r="H266" s="5"/>
      <c r="I266" s="5"/>
    </row>
    <row r="267" spans="1:9" x14ac:dyDescent="0.15">
      <c r="A267" s="6">
        <f ca="1">IF(G267="","",IF(COUNTIF(G$5:G267,G267)=1,RANK(G267,G:G,0),RANK(G267,G:G,0)+COUNTIF(G$5:G267,G267)-1))</f>
        <v>357</v>
      </c>
      <c r="B267" s="2" t="str">
        <f t="shared" si="8"/>
        <v/>
      </c>
      <c r="C267" s="103" t="s">
        <v>405</v>
      </c>
      <c r="D267" s="3" t="str">
        <f>[1]!s_info_name(C267)</f>
        <v>冶钢原料(申万)</v>
      </c>
      <c r="E267" s="3" t="s">
        <v>253</v>
      </c>
      <c r="F267" s="101" t="str">
        <f t="shared" si="9"/>
        <v/>
      </c>
      <c r="G267" s="5">
        <f ca="1">[1]!f_pq_pctchange(C267,指数分析!$D$5,指数分析!$D$6)/100</f>
        <v>-0.23451385819187043</v>
      </c>
      <c r="H267" s="5"/>
      <c r="I267" s="5"/>
    </row>
    <row r="268" spans="1:9" x14ac:dyDescent="0.15">
      <c r="A268" s="6">
        <f ca="1">IF(G268="","",IF(COUNTIF(G$5:G268,G268)=1,RANK(G268,G:G,0),RANK(G268,G:G,0)+COUNTIF(G$5:G268,G268)-1))</f>
        <v>198</v>
      </c>
      <c r="B268" s="2" t="str">
        <f t="shared" si="8"/>
        <v/>
      </c>
      <c r="C268" s="103" t="s">
        <v>406</v>
      </c>
      <c r="D268" s="3" t="str">
        <f>[1]!s_info_name(C268)</f>
        <v>普钢(申万)</v>
      </c>
      <c r="E268" s="3" t="s">
        <v>253</v>
      </c>
      <c r="F268" s="101" t="str">
        <f t="shared" si="9"/>
        <v/>
      </c>
      <c r="G268" s="5">
        <f ca="1">[1]!f_pq_pctchange(C268,指数分析!$D$5,指数分析!$D$6)/100</f>
        <v>-0.11779312748377224</v>
      </c>
      <c r="H268" s="5"/>
      <c r="I268" s="5"/>
    </row>
    <row r="269" spans="1:9" x14ac:dyDescent="0.15">
      <c r="A269" s="6">
        <f ca="1">IF(G269="","",IF(COUNTIF(G$5:G269,G269)=1,RANK(G269,G:G,0),RANK(G269,G:G,0)+COUNTIF(G$5:G269,G269)-1))</f>
        <v>287</v>
      </c>
      <c r="B269" s="2" t="str">
        <f t="shared" si="8"/>
        <v/>
      </c>
      <c r="C269" s="103" t="s">
        <v>407</v>
      </c>
      <c r="D269" s="3" t="str">
        <f>[1]!s_info_name(C269)</f>
        <v>特钢Ⅱ(申万)</v>
      </c>
      <c r="E269" s="3" t="s">
        <v>253</v>
      </c>
      <c r="F269" s="101" t="str">
        <f t="shared" si="9"/>
        <v/>
      </c>
      <c r="G269" s="5">
        <f ca="1">[1]!f_pq_pctchange(C269,指数分析!$D$5,指数分析!$D$6)/100</f>
        <v>-0.19021996927368368</v>
      </c>
      <c r="H269" s="5"/>
      <c r="I269" s="5"/>
    </row>
    <row r="270" spans="1:9" x14ac:dyDescent="0.15">
      <c r="A270" s="6">
        <f ca="1">IF(G270="","",IF(COUNTIF(G$5:G270,G270)=1,RANK(G270,G:G,0),RANK(G270,G:G,0)+COUNTIF(G$5:G270,G270)-1))</f>
        <v>391</v>
      </c>
      <c r="B270" s="2" t="str">
        <f t="shared" si="8"/>
        <v/>
      </c>
      <c r="C270" s="103" t="s">
        <v>182</v>
      </c>
      <c r="D270" s="3" t="str">
        <f>[1]!s_info_name(C270)</f>
        <v>金属新材料(申万)</v>
      </c>
      <c r="E270" s="3" t="s">
        <v>253</v>
      </c>
      <c r="F270" s="101" t="str">
        <f t="shared" si="9"/>
        <v/>
      </c>
      <c r="G270" s="5">
        <f ca="1">[1]!f_pq_pctchange(C270,指数分析!$D$5,指数分析!$D$6)/100</f>
        <v>-0.26498044732700654</v>
      </c>
      <c r="H270" s="5"/>
      <c r="I270" s="5"/>
    </row>
    <row r="271" spans="1:9" x14ac:dyDescent="0.15">
      <c r="A271" s="6">
        <f ca="1">IF(G271="","",IF(COUNTIF(G$5:G271,G271)=1,RANK(G271,G:G,0),RANK(G271,G:G,0)+COUNTIF(G$5:G271,G271)-1))</f>
        <v>26</v>
      </c>
      <c r="B271" s="2" t="str">
        <f t="shared" si="8"/>
        <v/>
      </c>
      <c r="C271" s="103" t="s">
        <v>408</v>
      </c>
      <c r="D271" s="3" t="str">
        <f>[1]!s_info_name(C271)</f>
        <v>贵金属(申万)</v>
      </c>
      <c r="E271" s="3" t="s">
        <v>253</v>
      </c>
      <c r="F271" s="101" t="str">
        <f t="shared" si="9"/>
        <v/>
      </c>
      <c r="G271" s="5">
        <f ca="1">[1]!f_pq_pctchange(C271,指数分析!$D$5,指数分析!$D$6)/100</f>
        <v>0.2371316363395588</v>
      </c>
      <c r="H271" s="5"/>
      <c r="I271" s="5"/>
    </row>
    <row r="272" spans="1:9" x14ac:dyDescent="0.15">
      <c r="A272" s="6">
        <f ca="1">IF(G272="","",IF(COUNTIF(G$5:G272,G272)=1,RANK(G272,G:G,0),RANK(G272,G:G,0)+COUNTIF(G$5:G272,G272)-1))</f>
        <v>231</v>
      </c>
      <c r="B272" s="2" t="str">
        <f t="shared" si="8"/>
        <v/>
      </c>
      <c r="C272" s="103" t="s">
        <v>409</v>
      </c>
      <c r="D272" s="3" t="str">
        <f>[1]!s_info_name(C272)</f>
        <v>小金属(申万)</v>
      </c>
      <c r="E272" s="3" t="s">
        <v>253</v>
      </c>
      <c r="F272" s="101" t="str">
        <f t="shared" si="9"/>
        <v/>
      </c>
      <c r="G272" s="5">
        <f ca="1">[1]!f_pq_pctchange(C272,指数分析!$D$5,指数分析!$D$6)/100</f>
        <v>-0.1418428371028474</v>
      </c>
      <c r="H272" s="5"/>
      <c r="I272" s="5"/>
    </row>
    <row r="273" spans="1:9" x14ac:dyDescent="0.15">
      <c r="A273" s="6">
        <f ca="1">IF(G273="","",IF(COUNTIF(G$5:G273,G273)=1,RANK(G273,G:G,0),RANK(G273,G:G,0)+COUNTIF(G$5:G273,G273)-1))</f>
        <v>35</v>
      </c>
      <c r="B273" s="2" t="str">
        <f t="shared" si="8"/>
        <v/>
      </c>
      <c r="C273" s="103" t="s">
        <v>410</v>
      </c>
      <c r="D273" s="3" t="str">
        <f>[1]!s_info_name(C273)</f>
        <v>工业金属(申万)</v>
      </c>
      <c r="E273" s="3" t="s">
        <v>253</v>
      </c>
      <c r="F273" s="101" t="str">
        <f t="shared" si="9"/>
        <v/>
      </c>
      <c r="G273" s="5">
        <f ca="1">[1]!f_pq_pctchange(C273,指数分析!$D$5,指数分析!$D$6)/100</f>
        <v>0.20392880822683579</v>
      </c>
      <c r="H273" s="5"/>
      <c r="I273" s="5"/>
    </row>
    <row r="274" spans="1:9" x14ac:dyDescent="0.15">
      <c r="A274" s="6">
        <f ca="1">IF(G274="","",IF(COUNTIF(G$5:G274,G274)=1,RANK(G274,G:G,0),RANK(G274,G:G,0)+COUNTIF(G$5:G274,G274)-1))</f>
        <v>493</v>
      </c>
      <c r="B274" s="2" t="str">
        <f t="shared" si="8"/>
        <v/>
      </c>
      <c r="C274" s="103" t="s">
        <v>411</v>
      </c>
      <c r="D274" s="3" t="str">
        <f>[1]!s_info_name(C274)</f>
        <v>能源金属(申万)</v>
      </c>
      <c r="E274" s="3" t="s">
        <v>253</v>
      </c>
      <c r="F274" s="101" t="str">
        <f t="shared" si="9"/>
        <v/>
      </c>
      <c r="G274" s="5">
        <f ca="1">[1]!f_pq_pctchange(C274,指数分析!$D$5,指数分析!$D$6)/100</f>
        <v>-0.46238180981764726</v>
      </c>
      <c r="H274" s="5"/>
      <c r="I274" s="5"/>
    </row>
    <row r="275" spans="1:9" x14ac:dyDescent="0.15">
      <c r="A275" s="6">
        <f ca="1">IF(G275="","",IF(COUNTIF(G$5:G275,G275)=1,RANK(G275,G:G,0),RANK(G275,G:G,0)+COUNTIF(G$5:G275,G275)-1))</f>
        <v>409</v>
      </c>
      <c r="B275" s="2" t="str">
        <f t="shared" si="8"/>
        <v/>
      </c>
      <c r="C275" s="103" t="s">
        <v>183</v>
      </c>
      <c r="D275" s="3" t="str">
        <f>[1]!s_info_name(C275)</f>
        <v>通用设备(申万)</v>
      </c>
      <c r="E275" s="3" t="s">
        <v>253</v>
      </c>
      <c r="F275" s="101" t="str">
        <f t="shared" si="9"/>
        <v/>
      </c>
      <c r="G275" s="5">
        <f ca="1">[1]!f_pq_pctchange(C275,指数分析!$D$5,指数分析!$D$6)/100</f>
        <v>-0.28907120274097098</v>
      </c>
      <c r="H275" s="5"/>
      <c r="I275" s="5"/>
    </row>
    <row r="276" spans="1:9" x14ac:dyDescent="0.15">
      <c r="A276" s="6">
        <f ca="1">IF(G276="","",IF(COUNTIF(G$5:G276,G276)=1,RANK(G276,G:G,0),RANK(G276,G:G,0)+COUNTIF(G$5:G276,G276)-1))</f>
        <v>303</v>
      </c>
      <c r="B276" s="2" t="str">
        <f t="shared" si="8"/>
        <v/>
      </c>
      <c r="C276" s="103" t="s">
        <v>184</v>
      </c>
      <c r="D276" s="3" t="str">
        <f>[1]!s_info_name(C276)</f>
        <v>专用设备(申万)</v>
      </c>
      <c r="E276" s="3" t="s">
        <v>253</v>
      </c>
      <c r="F276" s="101" t="str">
        <f t="shared" si="9"/>
        <v/>
      </c>
      <c r="G276" s="5">
        <f ca="1">[1]!f_pq_pctchange(C276,指数分析!$D$5,指数分析!$D$6)/100</f>
        <v>-0.2003252637298123</v>
      </c>
      <c r="H276" s="5"/>
      <c r="I276" s="5"/>
    </row>
    <row r="277" spans="1:9" x14ac:dyDescent="0.15">
      <c r="A277" s="6">
        <f ca="1">IF(G277="","",IF(COUNTIF(G$5:G277,G277)=1,RANK(G277,G:G,0),RANK(G277,G:G,0)+COUNTIF(G$5:G277,G277)-1))</f>
        <v>153</v>
      </c>
      <c r="B277" s="2" t="str">
        <f t="shared" si="8"/>
        <v/>
      </c>
      <c r="C277" s="103" t="s">
        <v>412</v>
      </c>
      <c r="D277" s="3" t="str">
        <f>[1]!s_info_name(C277)</f>
        <v>轨交设备Ⅱ(申万)</v>
      </c>
      <c r="E277" s="3" t="s">
        <v>253</v>
      </c>
      <c r="F277" s="101" t="str">
        <f t="shared" si="9"/>
        <v/>
      </c>
      <c r="G277" s="5">
        <f ca="1">[1]!f_pq_pctchange(C277,指数分析!$D$5,指数分析!$D$6)/100</f>
        <v>-5.7206762148725672E-2</v>
      </c>
      <c r="H277" s="5"/>
      <c r="I277" s="5"/>
    </row>
    <row r="278" spans="1:9" x14ac:dyDescent="0.15">
      <c r="A278" s="6">
        <f ca="1">IF(G278="","",IF(COUNTIF(G$5:G278,G278)=1,RANK(G278,G:G,0),RANK(G278,G:G,0)+COUNTIF(G$5:G278,G278)-1))</f>
        <v>123</v>
      </c>
      <c r="B278" s="2" t="str">
        <f t="shared" si="8"/>
        <v/>
      </c>
      <c r="C278" s="103" t="s">
        <v>413</v>
      </c>
      <c r="D278" s="3" t="str">
        <f>[1]!s_info_name(C278)</f>
        <v>工程机械(申万)</v>
      </c>
      <c r="E278" s="3" t="s">
        <v>253</v>
      </c>
      <c r="F278" s="101" t="str">
        <f t="shared" si="9"/>
        <v/>
      </c>
      <c r="G278" s="5">
        <f ca="1">[1]!f_pq_pctchange(C278,指数分析!$D$5,指数分析!$D$6)/100</f>
        <v>-4.714419121457647E-4</v>
      </c>
      <c r="H278" s="5"/>
      <c r="I278" s="5"/>
    </row>
    <row r="279" spans="1:9" x14ac:dyDescent="0.15">
      <c r="A279" s="6">
        <f ca="1">IF(G279="","",IF(COUNTIF(G$5:G279,G279)=1,RANK(G279,G:G,0),RANK(G279,G:G,0)+COUNTIF(G$5:G279,G279)-1))</f>
        <v>407</v>
      </c>
      <c r="B279" s="2" t="str">
        <f t="shared" si="8"/>
        <v/>
      </c>
      <c r="C279" s="103" t="s">
        <v>414</v>
      </c>
      <c r="D279" s="3" t="str">
        <f>[1]!s_info_name(C279)</f>
        <v>自动化设备(申万)</v>
      </c>
      <c r="E279" s="3" t="s">
        <v>253</v>
      </c>
      <c r="F279" s="101" t="str">
        <f t="shared" si="9"/>
        <v/>
      </c>
      <c r="G279" s="5">
        <f ca="1">[1]!f_pq_pctchange(C279,指数分析!$D$5,指数分析!$D$6)/100</f>
        <v>-0.28625069095601885</v>
      </c>
      <c r="H279" s="5"/>
      <c r="I279" s="5"/>
    </row>
    <row r="280" spans="1:9" x14ac:dyDescent="0.15">
      <c r="A280" s="6">
        <f ca="1">IF(G280="","",IF(COUNTIF(G$5:G280,G280)=1,RANK(G280,G:G,0),RANK(G280,G:G,0)+COUNTIF(G$5:G280,G280)-1))</f>
        <v>311</v>
      </c>
      <c r="B280" s="2" t="str">
        <f t="shared" si="8"/>
        <v/>
      </c>
      <c r="C280" s="103" t="s">
        <v>185</v>
      </c>
      <c r="D280" s="3" t="str">
        <f>[1]!s_info_name(C280)</f>
        <v>半导体(申万)</v>
      </c>
      <c r="E280" s="3" t="s">
        <v>253</v>
      </c>
      <c r="F280" s="101" t="str">
        <f t="shared" si="9"/>
        <v/>
      </c>
      <c r="G280" s="5">
        <f ca="1">[1]!f_pq_pctchange(C280,指数分析!$D$5,指数分析!$D$6)/100</f>
        <v>-0.20473929576557015</v>
      </c>
      <c r="H280" s="5"/>
      <c r="I280" s="5"/>
    </row>
    <row r="281" spans="1:9" x14ac:dyDescent="0.15">
      <c r="A281" s="6">
        <f ca="1">IF(G281="","",IF(COUNTIF(G$5:G281,G281)=1,RANK(G281,G:G,0),RANK(G281,G:G,0)+COUNTIF(G$5:G281,G281)-1))</f>
        <v>267</v>
      </c>
      <c r="B281" s="2" t="str">
        <f t="shared" si="8"/>
        <v/>
      </c>
      <c r="C281" s="103" t="s">
        <v>186</v>
      </c>
      <c r="D281" s="3" t="str">
        <f>[1]!s_info_name(C281)</f>
        <v>其他电子Ⅱ(申万)</v>
      </c>
      <c r="E281" s="3" t="s">
        <v>253</v>
      </c>
      <c r="F281" s="101" t="str">
        <f t="shared" si="9"/>
        <v/>
      </c>
      <c r="G281" s="5">
        <f ca="1">[1]!f_pq_pctchange(C281,指数分析!$D$5,指数分析!$D$6)/100</f>
        <v>-0.17161069578870902</v>
      </c>
      <c r="H281" s="5"/>
      <c r="I281" s="5"/>
    </row>
    <row r="282" spans="1:9" x14ac:dyDescent="0.15">
      <c r="A282" s="6">
        <f ca="1">IF(G282="","",IF(COUNTIF(G$5:G282,G282)=1,RANK(G282,G:G,0),RANK(G282,G:G,0)+COUNTIF(G$5:G282,G282)-1))</f>
        <v>131</v>
      </c>
      <c r="B282" s="2" t="str">
        <f t="shared" si="8"/>
        <v/>
      </c>
      <c r="C282" s="103" t="s">
        <v>187</v>
      </c>
      <c r="D282" s="3" t="str">
        <f>[1]!s_info_name(C282)</f>
        <v>元件(申万)</v>
      </c>
      <c r="E282" s="3" t="s">
        <v>253</v>
      </c>
      <c r="F282" s="101" t="str">
        <f t="shared" si="9"/>
        <v/>
      </c>
      <c r="G282" s="5">
        <f ca="1">[1]!f_pq_pctchange(C282,指数分析!$D$5,指数分析!$D$6)/100</f>
        <v>-1.6484541015212684E-2</v>
      </c>
      <c r="H282" s="5"/>
      <c r="I282" s="5"/>
    </row>
    <row r="283" spans="1:9" x14ac:dyDescent="0.15">
      <c r="A283" s="6">
        <f ca="1">IF(G283="","",IF(COUNTIF(G$5:G283,G283)=1,RANK(G283,G:G,0),RANK(G283,G:G,0)+COUNTIF(G$5:G283,G283)-1))</f>
        <v>224</v>
      </c>
      <c r="B283" s="2" t="str">
        <f t="shared" si="8"/>
        <v/>
      </c>
      <c r="C283" s="103" t="s">
        <v>188</v>
      </c>
      <c r="D283" s="3" t="str">
        <f>[1]!s_info_name(C283)</f>
        <v>光学光电子(申万)</v>
      </c>
      <c r="E283" s="3" t="s">
        <v>253</v>
      </c>
      <c r="F283" s="101" t="str">
        <f t="shared" si="9"/>
        <v/>
      </c>
      <c r="G283" s="5">
        <f ca="1">[1]!f_pq_pctchange(C283,指数分析!$D$5,指数分析!$D$6)/100</f>
        <v>-0.13869365901208586</v>
      </c>
      <c r="H283" s="5"/>
      <c r="I283" s="5"/>
    </row>
    <row r="284" spans="1:9" x14ac:dyDescent="0.15">
      <c r="A284" s="6">
        <f ca="1">IF(G284="","",IF(COUNTIF(G$5:G284,G284)=1,RANK(G284,G:G,0),RANK(G284,G:G,0)+COUNTIF(G$5:G284,G284)-1))</f>
        <v>136</v>
      </c>
      <c r="B284" s="2" t="str">
        <f t="shared" si="8"/>
        <v/>
      </c>
      <c r="C284" s="103" t="s">
        <v>415</v>
      </c>
      <c r="D284" s="3" t="str">
        <f>[1]!s_info_name(C284)</f>
        <v>消费电子(申万)</v>
      </c>
      <c r="E284" s="3" t="s">
        <v>253</v>
      </c>
      <c r="F284" s="101" t="str">
        <f t="shared" si="9"/>
        <v/>
      </c>
      <c r="G284" s="5">
        <f ca="1">[1]!f_pq_pctchange(C284,指数分析!$D$5,指数分析!$D$6)/100</f>
        <v>-2.4611368735477424E-2</v>
      </c>
      <c r="H284" s="5"/>
      <c r="I284" s="5"/>
    </row>
    <row r="285" spans="1:9" x14ac:dyDescent="0.15">
      <c r="A285" s="6">
        <f ca="1">IF(G285="","",IF(COUNTIF(G$5:G285,G285)=1,RANK(G285,G:G,0),RANK(G285,G:G,0)+COUNTIF(G$5:G285,G285)-1))</f>
        <v>360</v>
      </c>
      <c r="B285" s="2" t="str">
        <f t="shared" si="8"/>
        <v/>
      </c>
      <c r="C285" s="103" t="s">
        <v>416</v>
      </c>
      <c r="D285" s="3" t="str">
        <f>[1]!s_info_name(C285)</f>
        <v>电子化学品Ⅱ(申万)</v>
      </c>
      <c r="E285" s="3" t="s">
        <v>253</v>
      </c>
      <c r="F285" s="101" t="str">
        <f t="shared" si="9"/>
        <v/>
      </c>
      <c r="G285" s="5">
        <f ca="1">[1]!f_pq_pctchange(C285,指数分析!$D$5,指数分析!$D$6)/100</f>
        <v>-0.23550391470045759</v>
      </c>
      <c r="H285" s="5"/>
      <c r="I285" s="5"/>
    </row>
    <row r="286" spans="1:9" x14ac:dyDescent="0.15">
      <c r="A286" s="6">
        <f ca="1">IF(G286="","",IF(COUNTIF(G$5:G286,G286)=1,RANK(G286,G:G,0),RANK(G286,G:G,0)+COUNTIF(G$5:G286,G286)-1))</f>
        <v>486</v>
      </c>
      <c r="B286" s="2" t="str">
        <f t="shared" si="8"/>
        <v/>
      </c>
      <c r="C286" s="103" t="s">
        <v>189</v>
      </c>
      <c r="D286" s="3" t="str">
        <f>[1]!s_info_name(C286)</f>
        <v>汽车服务(申万)</v>
      </c>
      <c r="E286" s="3" t="s">
        <v>253</v>
      </c>
      <c r="F286" s="101" t="str">
        <f t="shared" si="9"/>
        <v/>
      </c>
      <c r="G286" s="5">
        <f ca="1">[1]!f_pq_pctchange(C286,指数分析!$D$5,指数分析!$D$6)/100</f>
        <v>-0.43823390591701583</v>
      </c>
      <c r="H286" s="5"/>
      <c r="I286" s="5"/>
    </row>
    <row r="287" spans="1:9" x14ac:dyDescent="0.15">
      <c r="A287" s="6">
        <f ca="1">IF(G287="","",IF(COUNTIF(G$5:G287,G287)=1,RANK(G287,G:G,0),RANK(G287,G:G,0)+COUNTIF(G$5:G287,G287)-1))</f>
        <v>223</v>
      </c>
      <c r="B287" s="2" t="str">
        <f t="shared" si="8"/>
        <v/>
      </c>
      <c r="C287" s="103" t="s">
        <v>190</v>
      </c>
      <c r="D287" s="3" t="str">
        <f>[1]!s_info_name(C287)</f>
        <v>汽车零部件(申万)</v>
      </c>
      <c r="E287" s="3" t="s">
        <v>253</v>
      </c>
      <c r="F287" s="101" t="str">
        <f t="shared" si="9"/>
        <v/>
      </c>
      <c r="G287" s="5">
        <f ca="1">[1]!f_pq_pctchange(C287,指数分析!$D$5,指数分析!$D$6)/100</f>
        <v>-0.1379491754911677</v>
      </c>
      <c r="H287" s="5"/>
      <c r="I287" s="5"/>
    </row>
    <row r="288" spans="1:9" x14ac:dyDescent="0.15">
      <c r="A288" s="6">
        <f ca="1">IF(G288="","",IF(COUNTIF(G$5:G288,G288)=1,RANK(G288,G:G,0),RANK(G288,G:G,0)+COUNTIF(G$5:G288,G288)-1))</f>
        <v>114</v>
      </c>
      <c r="B288" s="2" t="str">
        <f t="shared" si="8"/>
        <v/>
      </c>
      <c r="C288" s="103" t="s">
        <v>417</v>
      </c>
      <c r="D288" s="3" t="str">
        <f>[1]!s_info_name(C288)</f>
        <v>乘用车(申万)</v>
      </c>
      <c r="E288" s="3" t="s">
        <v>253</v>
      </c>
      <c r="F288" s="101" t="str">
        <f t="shared" si="9"/>
        <v/>
      </c>
      <c r="G288" s="5">
        <f ca="1">[1]!f_pq_pctchange(C288,指数分析!$D$5,指数分析!$D$6)/100</f>
        <v>1.6162845211742605E-2</v>
      </c>
      <c r="H288" s="5"/>
      <c r="I288" s="5"/>
    </row>
    <row r="289" spans="1:9" x14ac:dyDescent="0.15">
      <c r="A289" s="6">
        <f ca="1">IF(G289="","",IF(COUNTIF(G$5:G289,G289)=1,RANK(G289,G:G,0),RANK(G289,G:G,0)+COUNTIF(G$5:G289,G289)-1))</f>
        <v>90</v>
      </c>
      <c r="B289" s="2" t="str">
        <f t="shared" si="8"/>
        <v/>
      </c>
      <c r="C289" s="103" t="s">
        <v>418</v>
      </c>
      <c r="D289" s="3" t="str">
        <f>[1]!s_info_name(C289)</f>
        <v>商用车(申万)</v>
      </c>
      <c r="E289" s="3" t="s">
        <v>253</v>
      </c>
      <c r="F289" s="101" t="str">
        <f t="shared" si="9"/>
        <v/>
      </c>
      <c r="G289" s="5">
        <f ca="1">[1]!f_pq_pctchange(C289,指数分析!$D$5,指数分析!$D$6)/100</f>
        <v>5.7593540925200859E-2</v>
      </c>
      <c r="H289" s="5"/>
      <c r="I289" s="5"/>
    </row>
    <row r="290" spans="1:9" x14ac:dyDescent="0.15">
      <c r="A290" s="6">
        <f ca="1">IF(G290="","",IF(COUNTIF(G$5:G290,G290)=1,RANK(G290,G:G,0),RANK(G290,G:G,0)+COUNTIF(G$5:G290,G290)-1))</f>
        <v>344</v>
      </c>
      <c r="B290" s="2" t="str">
        <f t="shared" si="8"/>
        <v/>
      </c>
      <c r="C290" s="103" t="s">
        <v>191</v>
      </c>
      <c r="D290" s="3" t="str">
        <f>[1]!s_info_name(C290)</f>
        <v>计算机设备(申万)</v>
      </c>
      <c r="E290" s="3" t="s">
        <v>253</v>
      </c>
      <c r="F290" s="101" t="str">
        <f t="shared" si="9"/>
        <v/>
      </c>
      <c r="G290" s="5">
        <f ca="1">[1]!f_pq_pctchange(C290,指数分析!$D$5,指数分析!$D$6)/100</f>
        <v>-0.22182262713416789</v>
      </c>
      <c r="H290" s="5"/>
      <c r="I290" s="5"/>
    </row>
    <row r="291" spans="1:9" x14ac:dyDescent="0.15">
      <c r="A291" s="6">
        <f ca="1">IF(G291="","",IF(COUNTIF(G$5:G291,G291)=1,RANK(G291,G:G,0),RANK(G291,G:G,0)+COUNTIF(G$5:G291,G291)-1))</f>
        <v>229</v>
      </c>
      <c r="B291" s="2" t="str">
        <f t="shared" si="8"/>
        <v/>
      </c>
      <c r="C291" s="103" t="s">
        <v>192</v>
      </c>
      <c r="D291" s="3" t="str">
        <f>[1]!s_info_name(C291)</f>
        <v>通信设备(申万)</v>
      </c>
      <c r="E291" s="3" t="s">
        <v>253</v>
      </c>
      <c r="F291" s="101" t="str">
        <f t="shared" si="9"/>
        <v/>
      </c>
      <c r="G291" s="5">
        <f ca="1">[1]!f_pq_pctchange(C291,指数分析!$D$5,指数分析!$D$6)/100</f>
        <v>-0.14078178980411404</v>
      </c>
      <c r="H291" s="5"/>
      <c r="I291" s="5"/>
    </row>
    <row r="292" spans="1:9" x14ac:dyDescent="0.15">
      <c r="A292" s="6">
        <f ca="1">IF(G292="","",IF(COUNTIF(G$5:G292,G292)=1,RANK(G292,G:G,0),RANK(G292,G:G,0)+COUNTIF(G$5:G292,G292)-1))</f>
        <v>452</v>
      </c>
      <c r="B292" s="2" t="str">
        <f t="shared" si="8"/>
        <v/>
      </c>
      <c r="C292" s="103" t="s">
        <v>419</v>
      </c>
      <c r="D292" s="3" t="str">
        <f>[1]!s_info_name(C292)</f>
        <v>IT服务Ⅱ(申万)</v>
      </c>
      <c r="E292" s="3" t="s">
        <v>253</v>
      </c>
      <c r="F292" s="101" t="str">
        <f t="shared" si="9"/>
        <v/>
      </c>
      <c r="G292" s="5">
        <f ca="1">[1]!f_pq_pctchange(C292,指数分析!$D$5,指数分析!$D$6)/100</f>
        <v>-0.34699866771175913</v>
      </c>
      <c r="H292" s="5"/>
      <c r="I292" s="5"/>
    </row>
    <row r="293" spans="1:9" x14ac:dyDescent="0.15">
      <c r="A293" s="6">
        <f ca="1">IF(G293="","",IF(COUNTIF(G$5:G293,G293)=1,RANK(G293,G:G,0),RANK(G293,G:G,0)+COUNTIF(G$5:G293,G293)-1))</f>
        <v>485</v>
      </c>
      <c r="B293" s="2" t="str">
        <f t="shared" si="8"/>
        <v/>
      </c>
      <c r="C293" s="103" t="s">
        <v>420</v>
      </c>
      <c r="D293" s="3" t="str">
        <f>[1]!s_info_name(C293)</f>
        <v>软件开发(申万)</v>
      </c>
      <c r="E293" s="3" t="s">
        <v>253</v>
      </c>
      <c r="F293" s="101" t="str">
        <f t="shared" si="9"/>
        <v/>
      </c>
      <c r="G293" s="5">
        <f ca="1">[1]!f_pq_pctchange(C293,指数分析!$D$5,指数分析!$D$6)/100</f>
        <v>-0.43418669380663588</v>
      </c>
      <c r="H293" s="5"/>
      <c r="I293" s="5"/>
    </row>
    <row r="294" spans="1:9" x14ac:dyDescent="0.15">
      <c r="A294" s="6">
        <f ca="1">IF(G294="","",IF(COUNTIF(G$5:G294,G294)=1,RANK(G294,G:G,0),RANK(G294,G:G,0)+COUNTIF(G$5:G294,G294)-1))</f>
        <v>64</v>
      </c>
      <c r="B294" s="2" t="str">
        <f t="shared" si="8"/>
        <v/>
      </c>
      <c r="C294" s="103" t="s">
        <v>193</v>
      </c>
      <c r="D294" s="3" t="str">
        <f>[1]!s_info_name(C294)</f>
        <v>白色家电(申万)</v>
      </c>
      <c r="E294" s="3" t="s">
        <v>253</v>
      </c>
      <c r="F294" s="101" t="str">
        <f t="shared" si="9"/>
        <v/>
      </c>
      <c r="G294" s="5">
        <f ca="1">[1]!f_pq_pctchange(C294,指数分析!$D$5,指数分析!$D$6)/100</f>
        <v>0.11640975061344472</v>
      </c>
      <c r="H294" s="5"/>
      <c r="I294" s="5"/>
    </row>
    <row r="295" spans="1:9" x14ac:dyDescent="0.15">
      <c r="A295" s="6">
        <f ca="1">IF(G295="","",IF(COUNTIF(G$5:G295,G295)=1,RANK(G295,G:G,0),RANK(G295,G:G,0)+COUNTIF(G$5:G295,G295)-1))</f>
        <v>254</v>
      </c>
      <c r="B295" s="2" t="str">
        <f t="shared" si="8"/>
        <v/>
      </c>
      <c r="C295" s="103" t="s">
        <v>194</v>
      </c>
      <c r="D295" s="3" t="str">
        <f>[1]!s_info_name(C295)</f>
        <v>黑色家电(申万)</v>
      </c>
      <c r="E295" s="3" t="s">
        <v>253</v>
      </c>
      <c r="F295" s="101" t="str">
        <f t="shared" si="9"/>
        <v/>
      </c>
      <c r="G295" s="5">
        <f ca="1">[1]!f_pq_pctchange(C295,指数分析!$D$5,指数分析!$D$6)/100</f>
        <v>-0.1627854464641183</v>
      </c>
      <c r="H295" s="5"/>
      <c r="I295" s="5"/>
    </row>
    <row r="296" spans="1:9" x14ac:dyDescent="0.15">
      <c r="A296" s="6">
        <f ca="1">IF(G296="","",IF(COUNTIF(G$5:G296,G296)=1,RANK(G296,G:G,0),RANK(G296,G:G,0)+COUNTIF(G$5:G296,G296)-1))</f>
        <v>185</v>
      </c>
      <c r="B296" s="2" t="str">
        <f t="shared" si="8"/>
        <v/>
      </c>
      <c r="C296" s="103" t="s">
        <v>421</v>
      </c>
      <c r="D296" s="3" t="str">
        <f>[1]!s_info_name(C296)</f>
        <v>小家电(申万)</v>
      </c>
      <c r="E296" s="3" t="s">
        <v>253</v>
      </c>
      <c r="F296" s="101" t="str">
        <f t="shared" si="9"/>
        <v/>
      </c>
      <c r="G296" s="5">
        <f ca="1">[1]!f_pq_pctchange(C296,指数分析!$D$5,指数分析!$D$6)/100</f>
        <v>-9.8630034967267091E-2</v>
      </c>
      <c r="H296" s="5"/>
      <c r="I296" s="5"/>
    </row>
    <row r="297" spans="1:9" x14ac:dyDescent="0.15">
      <c r="A297" s="6">
        <f ca="1">IF(G297="","",IF(COUNTIF(G$5:G297,G297)=1,RANK(G297,G:G,0),RANK(G297,G:G,0)+COUNTIF(G$5:G297,G297)-1))</f>
        <v>274</v>
      </c>
      <c r="B297" s="2" t="str">
        <f t="shared" si="8"/>
        <v/>
      </c>
      <c r="C297" s="103" t="s">
        <v>422</v>
      </c>
      <c r="D297" s="3" t="str">
        <f>[1]!s_info_name(C297)</f>
        <v>厨卫电器(申万)</v>
      </c>
      <c r="E297" s="3" t="s">
        <v>253</v>
      </c>
      <c r="F297" s="101" t="str">
        <f t="shared" si="9"/>
        <v/>
      </c>
      <c r="G297" s="5">
        <f ca="1">[1]!f_pq_pctchange(C297,指数分析!$D$5,指数分析!$D$6)/100</f>
        <v>-0.17927672871985245</v>
      </c>
      <c r="H297" s="5"/>
      <c r="I297" s="5"/>
    </row>
    <row r="298" spans="1:9" x14ac:dyDescent="0.15">
      <c r="A298" s="6">
        <f ca="1">IF(G298="","",IF(COUNTIF(G$5:G298,G298)=1,RANK(G298,G:G,0),RANK(G298,G:G,0)+COUNTIF(G$5:G298,G298)-1))</f>
        <v>394</v>
      </c>
      <c r="B298" s="2" t="str">
        <f t="shared" si="8"/>
        <v/>
      </c>
      <c r="C298" s="103" t="s">
        <v>423</v>
      </c>
      <c r="D298" s="3" t="str">
        <f>[1]!s_info_name(C298)</f>
        <v>照明设备Ⅱ(申万)</v>
      </c>
      <c r="E298" s="3" t="s">
        <v>253</v>
      </c>
      <c r="F298" s="101" t="str">
        <f t="shared" si="9"/>
        <v/>
      </c>
      <c r="G298" s="5">
        <f ca="1">[1]!f_pq_pctchange(C298,指数分析!$D$5,指数分析!$D$6)/100</f>
        <v>-0.26601044445279343</v>
      </c>
      <c r="H298" s="5"/>
      <c r="I298" s="5"/>
    </row>
    <row r="299" spans="1:9" x14ac:dyDescent="0.15">
      <c r="A299" s="6">
        <f ca="1">IF(G299="","",IF(COUNTIF(G$5:G299,G299)=1,RANK(G299,G:G,0),RANK(G299,G:G,0)+COUNTIF(G$5:G299,G299)-1))</f>
        <v>406</v>
      </c>
      <c r="B299" s="2" t="str">
        <f t="shared" si="8"/>
        <v/>
      </c>
      <c r="C299" s="103" t="s">
        <v>424</v>
      </c>
      <c r="D299" s="3" t="str">
        <f>[1]!s_info_name(C299)</f>
        <v>家电零部件Ⅱ(申万)</v>
      </c>
      <c r="E299" s="3" t="s">
        <v>253</v>
      </c>
      <c r="F299" s="101" t="str">
        <f t="shared" si="9"/>
        <v/>
      </c>
      <c r="G299" s="5">
        <f ca="1">[1]!f_pq_pctchange(C299,指数分析!$D$5,指数分析!$D$6)/100</f>
        <v>-0.28426176629118272</v>
      </c>
      <c r="H299" s="5"/>
      <c r="I299" s="5"/>
    </row>
    <row r="300" spans="1:9" x14ac:dyDescent="0.15">
      <c r="A300" s="6">
        <f ca="1">IF(G300="","",IF(COUNTIF(G$5:G300,G300)=1,RANK(G300,G:G,0),RANK(G300,G:G,0)+COUNTIF(G$5:G300,G300)-1))</f>
        <v>416</v>
      </c>
      <c r="B300" s="2" t="str">
        <f t="shared" si="8"/>
        <v/>
      </c>
      <c r="C300" s="103" t="s">
        <v>425</v>
      </c>
      <c r="D300" s="3" t="str">
        <f>[1]!s_info_name(C300)</f>
        <v>食品加工(申万)</v>
      </c>
      <c r="E300" s="3" t="s">
        <v>253</v>
      </c>
      <c r="F300" s="101" t="str">
        <f t="shared" si="9"/>
        <v/>
      </c>
      <c r="G300" s="5">
        <f ca="1">[1]!f_pq_pctchange(C300,指数分析!$D$5,指数分析!$D$6)/100</f>
        <v>-0.29552206858901409</v>
      </c>
      <c r="H300" s="5"/>
      <c r="I300" s="5"/>
    </row>
    <row r="301" spans="1:9" x14ac:dyDescent="0.15">
      <c r="A301" s="6">
        <f ca="1">IF(G301="","",IF(COUNTIF(G$5:G301,G301)=1,RANK(G301,G:G,0),RANK(G301,G:G,0)+COUNTIF(G$5:G301,G301)-1))</f>
        <v>292</v>
      </c>
      <c r="B301" s="2" t="str">
        <f t="shared" si="8"/>
        <v/>
      </c>
      <c r="C301" s="103" t="s">
        <v>426</v>
      </c>
      <c r="D301" s="3" t="str">
        <f>[1]!s_info_name(C301)</f>
        <v>白酒Ⅱ(申万)</v>
      </c>
      <c r="E301" s="3" t="s">
        <v>253</v>
      </c>
      <c r="F301" s="101" t="str">
        <f t="shared" si="9"/>
        <v/>
      </c>
      <c r="G301" s="5">
        <f ca="1">[1]!f_pq_pctchange(C301,指数分析!$D$5,指数分析!$D$6)/100</f>
        <v>-0.19322647457494813</v>
      </c>
      <c r="H301" s="5"/>
      <c r="I301" s="5"/>
    </row>
    <row r="302" spans="1:9" x14ac:dyDescent="0.15">
      <c r="A302" s="6">
        <f ca="1">IF(G302="","",IF(COUNTIF(G$5:G302,G302)=1,RANK(G302,G:G,0),RANK(G302,G:G,0)+COUNTIF(G$5:G302,G302)-1))</f>
        <v>429</v>
      </c>
      <c r="B302" s="2" t="str">
        <f t="shared" si="8"/>
        <v/>
      </c>
      <c r="C302" s="103" t="s">
        <v>427</v>
      </c>
      <c r="D302" s="3" t="str">
        <f>[1]!s_info_name(C302)</f>
        <v>非白酒(申万)</v>
      </c>
      <c r="E302" s="3" t="s">
        <v>253</v>
      </c>
      <c r="F302" s="101" t="str">
        <f t="shared" si="9"/>
        <v/>
      </c>
      <c r="G302" s="5">
        <f ca="1">[1]!f_pq_pctchange(C302,指数分析!$D$5,指数分析!$D$6)/100</f>
        <v>-0.31979291792850262</v>
      </c>
      <c r="H302" s="5"/>
      <c r="I302" s="5"/>
    </row>
    <row r="303" spans="1:9" x14ac:dyDescent="0.15">
      <c r="A303" s="6">
        <f ca="1">IF(G303="","",IF(COUNTIF(G$5:G303,G303)=1,RANK(G303,G:G,0),RANK(G303,G:G,0)+COUNTIF(G$5:G303,G303)-1))</f>
        <v>216</v>
      </c>
      <c r="B303" s="2" t="str">
        <f t="shared" si="8"/>
        <v/>
      </c>
      <c r="C303" s="103" t="s">
        <v>428</v>
      </c>
      <c r="D303" s="3" t="str">
        <f>[1]!s_info_name(C303)</f>
        <v>饮料乳品(申万)</v>
      </c>
      <c r="E303" s="3" t="s">
        <v>253</v>
      </c>
      <c r="F303" s="101" t="str">
        <f t="shared" si="9"/>
        <v/>
      </c>
      <c r="G303" s="5">
        <f ca="1">[1]!f_pq_pctchange(C303,指数分析!$D$5,指数分析!$D$6)/100</f>
        <v>-0.12833369726672539</v>
      </c>
      <c r="H303" s="5"/>
      <c r="I303" s="5"/>
    </row>
    <row r="304" spans="1:9" x14ac:dyDescent="0.15">
      <c r="A304" s="6">
        <f ca="1">IF(G304="","",IF(COUNTIF(G$5:G304,G304)=1,RANK(G304,G:G,0),RANK(G304,G:G,0)+COUNTIF(G$5:G304,G304)-1))</f>
        <v>463</v>
      </c>
      <c r="B304" s="2" t="str">
        <f t="shared" si="8"/>
        <v/>
      </c>
      <c r="C304" s="103" t="s">
        <v>429</v>
      </c>
      <c r="D304" s="3" t="str">
        <f>[1]!s_info_name(C304)</f>
        <v>休闲食品(申万)</v>
      </c>
      <c r="E304" s="3" t="s">
        <v>253</v>
      </c>
      <c r="F304" s="101" t="str">
        <f t="shared" si="9"/>
        <v/>
      </c>
      <c r="G304" s="5">
        <f ca="1">[1]!f_pq_pctchange(C304,指数分析!$D$5,指数分析!$D$6)/100</f>
        <v>-0.36346624306501552</v>
      </c>
      <c r="H304" s="5"/>
      <c r="I304" s="5"/>
    </row>
    <row r="305" spans="1:9" x14ac:dyDescent="0.15">
      <c r="A305" s="6">
        <f ca="1">IF(G305="","",IF(COUNTIF(G$5:G305,G305)=1,RANK(G305,G:G,0),RANK(G305,G:G,0)+COUNTIF(G$5:G305,G305)-1))</f>
        <v>404</v>
      </c>
      <c r="B305" s="2" t="str">
        <f t="shared" si="8"/>
        <v/>
      </c>
      <c r="C305" s="103" t="s">
        <v>430</v>
      </c>
      <c r="D305" s="3" t="str">
        <f>[1]!s_info_name(C305)</f>
        <v>调味发酵品Ⅱ(申万)</v>
      </c>
      <c r="E305" s="3" t="s">
        <v>253</v>
      </c>
      <c r="F305" s="101" t="str">
        <f t="shared" si="9"/>
        <v/>
      </c>
      <c r="G305" s="5">
        <f ca="1">[1]!f_pq_pctchange(C305,指数分析!$D$5,指数分析!$D$6)/100</f>
        <v>-0.28235102624258512</v>
      </c>
      <c r="H305" s="5"/>
      <c r="I305" s="5"/>
    </row>
    <row r="306" spans="1:9" x14ac:dyDescent="0.15">
      <c r="A306" s="6">
        <f ca="1">IF(G306="","",IF(COUNTIF(G$5:G306,G306)=1,RANK(G306,G:G,0),RANK(G306,G:G,0)+COUNTIF(G$5:G306,G306)-1))</f>
        <v>210</v>
      </c>
      <c r="B306" s="2" t="str">
        <f t="shared" si="8"/>
        <v/>
      </c>
      <c r="C306" s="103" t="s">
        <v>195</v>
      </c>
      <c r="D306" s="3" t="str">
        <f>[1]!s_info_name(C306)</f>
        <v>纺织制造(申万)</v>
      </c>
      <c r="E306" s="3" t="s">
        <v>253</v>
      </c>
      <c r="F306" s="101" t="str">
        <f t="shared" si="9"/>
        <v/>
      </c>
      <c r="G306" s="5">
        <f ca="1">[1]!f_pq_pctchange(C306,指数分析!$D$5,指数分析!$D$6)/100</f>
        <v>-0.12540855984881794</v>
      </c>
      <c r="H306" s="5"/>
      <c r="I306" s="5"/>
    </row>
    <row r="307" spans="1:9" x14ac:dyDescent="0.15">
      <c r="A307" s="6">
        <f ca="1">IF(G307="","",IF(COUNTIF(G$5:G307,G307)=1,RANK(G307,G:G,0),RANK(G307,G:G,0)+COUNTIF(G$5:G307,G307)-1))</f>
        <v>298</v>
      </c>
      <c r="B307" s="2" t="str">
        <f t="shared" si="8"/>
        <v/>
      </c>
      <c r="C307" s="103" t="s">
        <v>196</v>
      </c>
      <c r="D307" s="3" t="str">
        <f>[1]!s_info_name(C307)</f>
        <v>服装家纺(申万)</v>
      </c>
      <c r="E307" s="3" t="s">
        <v>253</v>
      </c>
      <c r="F307" s="101" t="str">
        <f t="shared" si="9"/>
        <v/>
      </c>
      <c r="G307" s="5">
        <f ca="1">[1]!f_pq_pctchange(C307,指数分析!$D$5,指数分析!$D$6)/100</f>
        <v>-0.19824087478027097</v>
      </c>
      <c r="H307" s="5"/>
      <c r="I307" s="5"/>
    </row>
    <row r="308" spans="1:9" x14ac:dyDescent="0.15">
      <c r="A308" s="6">
        <f ca="1">IF(G308="","",IF(COUNTIF(G$5:G308,G308)=1,RANK(G308,G:G,0),RANK(G308,G:G,0)+COUNTIF(G$5:G308,G308)-1))</f>
        <v>363</v>
      </c>
      <c r="B308" s="2" t="str">
        <f t="shared" si="8"/>
        <v/>
      </c>
      <c r="C308" s="103" t="s">
        <v>431</v>
      </c>
      <c r="D308" s="3" t="str">
        <f>[1]!s_info_name(C308)</f>
        <v>饰品(申万)</v>
      </c>
      <c r="E308" s="3" t="s">
        <v>253</v>
      </c>
      <c r="F308" s="101" t="str">
        <f t="shared" si="9"/>
        <v/>
      </c>
      <c r="G308" s="5">
        <f ca="1">[1]!f_pq_pctchange(C308,指数分析!$D$5,指数分析!$D$6)/100</f>
        <v>-0.237798048646091</v>
      </c>
      <c r="H308" s="5"/>
      <c r="I308" s="5"/>
    </row>
    <row r="309" spans="1:9" x14ac:dyDescent="0.15">
      <c r="A309" s="6">
        <f ca="1">IF(G309="","",IF(COUNTIF(G$5:G309,G309)=1,RANK(G309,G:G,0),RANK(G309,G:G,0)+COUNTIF(G$5:G309,G309)-1))</f>
        <v>438</v>
      </c>
      <c r="B309" s="2" t="str">
        <f t="shared" si="8"/>
        <v/>
      </c>
      <c r="C309" s="103" t="s">
        <v>197</v>
      </c>
      <c r="D309" s="3" t="str">
        <f>[1]!s_info_name(C309)</f>
        <v>包装印刷(申万)</v>
      </c>
      <c r="E309" s="3" t="s">
        <v>253</v>
      </c>
      <c r="F309" s="101" t="str">
        <f t="shared" si="9"/>
        <v/>
      </c>
      <c r="G309" s="5">
        <f ca="1">[1]!f_pq_pctchange(C309,指数分析!$D$5,指数分析!$D$6)/100</f>
        <v>-0.32606902241165953</v>
      </c>
      <c r="H309" s="5"/>
      <c r="I309" s="5"/>
    </row>
    <row r="310" spans="1:9" x14ac:dyDescent="0.15">
      <c r="A310" s="6">
        <f ca="1">IF(G310="","",IF(COUNTIF(G$5:G310,G310)=1,RANK(G310,G:G,0),RANK(G310,G:G,0)+COUNTIF(G$5:G310,G310)-1))</f>
        <v>327</v>
      </c>
      <c r="B310" s="2" t="str">
        <f t="shared" si="8"/>
        <v/>
      </c>
      <c r="C310" s="103" t="s">
        <v>198</v>
      </c>
      <c r="D310" s="3" t="str">
        <f>[1]!s_info_name(C310)</f>
        <v>家居用品(申万)</v>
      </c>
      <c r="E310" s="3" t="s">
        <v>253</v>
      </c>
      <c r="F310" s="101" t="str">
        <f t="shared" si="9"/>
        <v/>
      </c>
      <c r="G310" s="5">
        <f ca="1">[1]!f_pq_pctchange(C310,指数分析!$D$5,指数分析!$D$6)/100</f>
        <v>-0.21136151416910606</v>
      </c>
      <c r="H310" s="5"/>
      <c r="I310" s="5"/>
    </row>
    <row r="311" spans="1:9" x14ac:dyDescent="0.15">
      <c r="A311" s="6">
        <f ca="1">IF(G311="","",IF(COUNTIF(G$5:G311,G311)=1,RANK(G311,G:G,0),RANK(G311,G:G,0)+COUNTIF(G$5:G311,G311)-1))</f>
        <v>256</v>
      </c>
      <c r="B311" s="2" t="str">
        <f t="shared" si="8"/>
        <v/>
      </c>
      <c r="C311" s="103" t="s">
        <v>199</v>
      </c>
      <c r="D311" s="3" t="str">
        <f>[1]!s_info_name(C311)</f>
        <v>造纸(申万)</v>
      </c>
      <c r="E311" s="3" t="s">
        <v>253</v>
      </c>
      <c r="F311" s="101" t="str">
        <f t="shared" si="9"/>
        <v/>
      </c>
      <c r="G311" s="5">
        <f ca="1">[1]!f_pq_pctchange(C311,指数分析!$D$5,指数分析!$D$6)/100</f>
        <v>-0.16378655566760347</v>
      </c>
      <c r="H311" s="5"/>
      <c r="I311" s="5"/>
    </row>
    <row r="312" spans="1:9" x14ac:dyDescent="0.15">
      <c r="A312" s="6">
        <f ca="1">IF(G312="","",IF(COUNTIF(G$5:G312,G312)=1,RANK(G312,G:G,0),RANK(G312,G:G,0)+COUNTIF(G$5:G312,G312)-1))</f>
        <v>414</v>
      </c>
      <c r="B312" s="2" t="str">
        <f t="shared" si="8"/>
        <v/>
      </c>
      <c r="C312" s="103" t="s">
        <v>432</v>
      </c>
      <c r="D312" s="3" t="str">
        <f>[1]!s_info_name(C312)</f>
        <v>文娱用品(申万)</v>
      </c>
      <c r="E312" s="3" t="s">
        <v>253</v>
      </c>
      <c r="F312" s="101" t="str">
        <f t="shared" si="9"/>
        <v/>
      </c>
      <c r="G312" s="5">
        <f ca="1">[1]!f_pq_pctchange(C312,指数分析!$D$5,指数分析!$D$6)/100</f>
        <v>-0.29305934760741481</v>
      </c>
      <c r="H312" s="5"/>
      <c r="I312" s="5"/>
    </row>
    <row r="313" spans="1:9" x14ac:dyDescent="0.15">
      <c r="A313" s="6">
        <f ca="1">IF(G313="","",IF(COUNTIF(G$5:G313,G313)=1,RANK(G313,G:G,0),RANK(G313,G:G,0)+COUNTIF(G$5:G313,G313)-1))</f>
        <v>221</v>
      </c>
      <c r="B313" s="2" t="str">
        <f t="shared" si="8"/>
        <v/>
      </c>
      <c r="C313" s="103" t="s">
        <v>200</v>
      </c>
      <c r="D313" s="3" t="str">
        <f>[1]!s_info_name(C313)</f>
        <v>化学制药(申万)</v>
      </c>
      <c r="E313" s="3" t="s">
        <v>253</v>
      </c>
      <c r="F313" s="101" t="str">
        <f t="shared" si="9"/>
        <v/>
      </c>
      <c r="G313" s="5">
        <f ca="1">[1]!f_pq_pctchange(C313,指数分析!$D$5,指数分析!$D$6)/100</f>
        <v>-0.13720284911023006</v>
      </c>
      <c r="H313" s="5"/>
      <c r="I313" s="5"/>
    </row>
    <row r="314" spans="1:9" x14ac:dyDescent="0.15">
      <c r="A314" s="6">
        <f ca="1">IF(G314="","",IF(COUNTIF(G$5:G314,G314)=1,RANK(G314,G:G,0),RANK(G314,G:G,0)+COUNTIF(G$5:G314,G314)-1))</f>
        <v>334</v>
      </c>
      <c r="B314" s="2" t="str">
        <f t="shared" si="8"/>
        <v/>
      </c>
      <c r="C314" s="103" t="s">
        <v>201</v>
      </c>
      <c r="D314" s="3" t="str">
        <f>[1]!s_info_name(C314)</f>
        <v>生物制品(申万)</v>
      </c>
      <c r="E314" s="3" t="s">
        <v>253</v>
      </c>
      <c r="F314" s="101" t="str">
        <f t="shared" si="9"/>
        <v/>
      </c>
      <c r="G314" s="5">
        <f ca="1">[1]!f_pq_pctchange(C314,指数分析!$D$5,指数分析!$D$6)/100</f>
        <v>-0.21897868692897116</v>
      </c>
      <c r="H314" s="5"/>
      <c r="I314" s="5"/>
    </row>
    <row r="315" spans="1:9" x14ac:dyDescent="0.15">
      <c r="A315" s="6">
        <f ca="1">IF(G315="","",IF(COUNTIF(G$5:G315,G315)=1,RANK(G315,G:G,0),RANK(G315,G:G,0)+COUNTIF(G$5:G315,G315)-1))</f>
        <v>262</v>
      </c>
      <c r="B315" s="2" t="str">
        <f t="shared" si="8"/>
        <v/>
      </c>
      <c r="C315" s="103" t="s">
        <v>202</v>
      </c>
      <c r="D315" s="3" t="str">
        <f>[1]!s_info_name(C315)</f>
        <v>医疗器械(申万)</v>
      </c>
      <c r="E315" s="3" t="s">
        <v>253</v>
      </c>
      <c r="F315" s="101" t="str">
        <f t="shared" si="9"/>
        <v/>
      </c>
      <c r="G315" s="5">
        <f ca="1">[1]!f_pq_pctchange(C315,指数分析!$D$5,指数分析!$D$6)/100</f>
        <v>-0.16659939246574873</v>
      </c>
      <c r="H315" s="5"/>
      <c r="I315" s="5"/>
    </row>
    <row r="316" spans="1:9" x14ac:dyDescent="0.15">
      <c r="A316" s="6">
        <f ca="1">IF(G316="","",IF(COUNTIF(G$5:G316,G316)=1,RANK(G316,G:G,0),RANK(G316,G:G,0)+COUNTIF(G$5:G316,G316)-1))</f>
        <v>340</v>
      </c>
      <c r="B316" s="2" t="str">
        <f t="shared" si="8"/>
        <v/>
      </c>
      <c r="C316" s="103" t="s">
        <v>203</v>
      </c>
      <c r="D316" s="3" t="str">
        <f>[1]!s_info_name(C316)</f>
        <v>医药商业(申万)</v>
      </c>
      <c r="E316" s="3" t="s">
        <v>253</v>
      </c>
      <c r="F316" s="101" t="str">
        <f t="shared" si="9"/>
        <v/>
      </c>
      <c r="G316" s="5">
        <f ca="1">[1]!f_pq_pctchange(C316,指数分析!$D$5,指数分析!$D$6)/100</f>
        <v>-0.22061343794912644</v>
      </c>
      <c r="H316" s="5"/>
      <c r="I316" s="5"/>
    </row>
    <row r="317" spans="1:9" x14ac:dyDescent="0.15">
      <c r="A317" s="6">
        <f ca="1">IF(G317="","",IF(COUNTIF(G$5:G317,G317)=1,RANK(G317,G:G,0),RANK(G317,G:G,0)+COUNTIF(G$5:G317,G317)-1))</f>
        <v>270</v>
      </c>
      <c r="B317" s="2" t="str">
        <f t="shared" si="8"/>
        <v/>
      </c>
      <c r="C317" s="103" t="s">
        <v>204</v>
      </c>
      <c r="D317" s="3" t="str">
        <f>[1]!s_info_name(C317)</f>
        <v>中药Ⅱ(申万)</v>
      </c>
      <c r="E317" s="3" t="s">
        <v>253</v>
      </c>
      <c r="F317" s="101" t="str">
        <f t="shared" si="9"/>
        <v/>
      </c>
      <c r="G317" s="5">
        <f ca="1">[1]!f_pq_pctchange(C317,指数分析!$D$5,指数分析!$D$6)/100</f>
        <v>-0.17327038888636004</v>
      </c>
      <c r="H317" s="5"/>
      <c r="I317" s="5"/>
    </row>
    <row r="318" spans="1:9" x14ac:dyDescent="0.15">
      <c r="A318" s="6">
        <f ca="1">IF(G318="","",IF(COUNTIF(G$5:G318,G318)=1,RANK(G318,G:G,0),RANK(G318,G:G,0)+COUNTIF(G$5:G318,G318)-1))</f>
        <v>478</v>
      </c>
      <c r="B318" s="2" t="str">
        <f t="shared" si="8"/>
        <v/>
      </c>
      <c r="C318" s="103" t="s">
        <v>205</v>
      </c>
      <c r="D318" s="3" t="str">
        <f>[1]!s_info_name(C318)</f>
        <v>医疗服务(申万)</v>
      </c>
      <c r="E318" s="3" t="s">
        <v>253</v>
      </c>
      <c r="F318" s="101" t="str">
        <f t="shared" si="9"/>
        <v/>
      </c>
      <c r="G318" s="5">
        <f ca="1">[1]!f_pq_pctchange(C318,指数分析!$D$5,指数分析!$D$6)/100</f>
        <v>-0.40400987639674646</v>
      </c>
      <c r="H318" s="5"/>
      <c r="I318" s="5"/>
    </row>
    <row r="319" spans="1:9" x14ac:dyDescent="0.15">
      <c r="A319" s="6">
        <f ca="1">IF(G319="","",IF(COUNTIF(G$5:G319,G319)=1,RANK(G319,G:G,0),RANK(G319,G:G,0)+COUNTIF(G$5:G319,G319)-1))</f>
        <v>95</v>
      </c>
      <c r="B319" s="2" t="str">
        <f t="shared" si="8"/>
        <v/>
      </c>
      <c r="C319" s="103" t="s">
        <v>206</v>
      </c>
      <c r="D319" s="3" t="str">
        <f>[1]!s_info_name(C319)</f>
        <v>电力(申万)</v>
      </c>
      <c r="E319" s="3" t="s">
        <v>253</v>
      </c>
      <c r="F319" s="101" t="str">
        <f t="shared" si="9"/>
        <v/>
      </c>
      <c r="G319" s="5">
        <f ca="1">[1]!f_pq_pctchange(C319,指数分析!$D$5,指数分析!$D$6)/100</f>
        <v>4.9030467346294682E-2</v>
      </c>
      <c r="H319" s="5"/>
      <c r="I319" s="5"/>
    </row>
    <row r="320" spans="1:9" x14ac:dyDescent="0.15">
      <c r="A320" s="6">
        <f ca="1">IF(G320="","",IF(COUNTIF(G$5:G320,G320)=1,RANK(G320,G:G,0),RANK(G320,G:G,0)+COUNTIF(G$5:G320,G320)-1))</f>
        <v>163</v>
      </c>
      <c r="B320" s="2" t="str">
        <f t="shared" si="8"/>
        <v/>
      </c>
      <c r="C320" s="103" t="s">
        <v>207</v>
      </c>
      <c r="D320" s="3" t="str">
        <f>[1]!s_info_name(C320)</f>
        <v>燃气Ⅱ(申万)</v>
      </c>
      <c r="E320" s="3" t="s">
        <v>253</v>
      </c>
      <c r="F320" s="101" t="str">
        <f t="shared" si="9"/>
        <v/>
      </c>
      <c r="G320" s="5">
        <f ca="1">[1]!f_pq_pctchange(C320,指数分析!$D$5,指数分析!$D$6)/100</f>
        <v>-7.3865591122367569E-2</v>
      </c>
      <c r="H320" s="5"/>
      <c r="I320" s="5"/>
    </row>
    <row r="321" spans="1:9" x14ac:dyDescent="0.15">
      <c r="A321" s="6">
        <f ca="1">IF(G321="","",IF(COUNTIF(G$5:G321,G321)=1,RANK(G321,G:G,0),RANK(G321,G:G,0)+COUNTIF(G$5:G321,G321)-1))</f>
        <v>233</v>
      </c>
      <c r="B321" s="2" t="str">
        <f t="shared" si="8"/>
        <v/>
      </c>
      <c r="C321" s="103" t="s">
        <v>208</v>
      </c>
      <c r="D321" s="3" t="str">
        <f>[1]!s_info_name(C321)</f>
        <v>物流(申万)</v>
      </c>
      <c r="E321" s="3" t="s">
        <v>253</v>
      </c>
      <c r="F321" s="101" t="str">
        <f t="shared" si="9"/>
        <v/>
      </c>
      <c r="G321" s="5">
        <f ca="1">[1]!f_pq_pctchange(C321,指数分析!$D$5,指数分析!$D$6)/100</f>
        <v>-0.14399706293532244</v>
      </c>
      <c r="H321" s="5"/>
      <c r="I321" s="5"/>
    </row>
    <row r="322" spans="1:9" x14ac:dyDescent="0.15">
      <c r="A322" s="6">
        <f ca="1">IF(G322="","",IF(COUNTIF(G$5:G322,G322)=1,RANK(G322,G:G,0),RANK(G322,G:G,0)+COUNTIF(G$5:G322,G322)-1))</f>
        <v>117</v>
      </c>
      <c r="B322" s="2" t="str">
        <f t="shared" si="8"/>
        <v/>
      </c>
      <c r="C322" s="103" t="s">
        <v>433</v>
      </c>
      <c r="D322" s="3" t="str">
        <f>[1]!s_info_name(C322)</f>
        <v>铁路公路(申万)</v>
      </c>
      <c r="E322" s="3" t="s">
        <v>253</v>
      </c>
      <c r="F322" s="101" t="str">
        <f t="shared" si="9"/>
        <v/>
      </c>
      <c r="G322" s="5">
        <f ca="1">[1]!f_pq_pctchange(C322,指数分析!$D$5,指数分析!$D$6)/100</f>
        <v>6.1152634504910708E-3</v>
      </c>
      <c r="H322" s="5"/>
      <c r="I322" s="5"/>
    </row>
    <row r="323" spans="1:9" x14ac:dyDescent="0.15">
      <c r="A323" s="6">
        <f ca="1">IF(G323="","",IF(COUNTIF(G$5:G323,G323)=1,RANK(G323,G:G,0),RANK(G323,G:G,0)+COUNTIF(G$5:G323,G323)-1))</f>
        <v>436</v>
      </c>
      <c r="B323" s="2" t="str">
        <f t="shared" si="8"/>
        <v/>
      </c>
      <c r="C323" s="103" t="s">
        <v>209</v>
      </c>
      <c r="D323" s="3" t="str">
        <f>[1]!s_info_name(C323)</f>
        <v>房地产开发(申万)</v>
      </c>
      <c r="E323" s="3" t="s">
        <v>253</v>
      </c>
      <c r="F323" s="101" t="str">
        <f t="shared" si="9"/>
        <v/>
      </c>
      <c r="G323" s="5">
        <f ca="1">[1]!f_pq_pctchange(C323,指数分析!$D$5,指数分析!$D$6)/100</f>
        <v>-0.32359061198451594</v>
      </c>
      <c r="H323" s="5"/>
      <c r="I323" s="5"/>
    </row>
    <row r="324" spans="1:9" x14ac:dyDescent="0.15">
      <c r="A324" s="6">
        <f ca="1">IF(G324="","",IF(COUNTIF(G$5:G324,G324)=1,RANK(G324,G:G,0),RANK(G324,G:G,0)+COUNTIF(G$5:G324,G324)-1))</f>
        <v>398</v>
      </c>
      <c r="B324" s="2" t="str">
        <f t="shared" si="8"/>
        <v/>
      </c>
      <c r="C324" s="103" t="s">
        <v>434</v>
      </c>
      <c r="D324" s="3" t="str">
        <f>[1]!s_info_name(C324)</f>
        <v>房地产服务(申万)</v>
      </c>
      <c r="E324" s="3" t="s">
        <v>253</v>
      </c>
      <c r="F324" s="101" t="str">
        <f t="shared" si="9"/>
        <v/>
      </c>
      <c r="G324" s="5">
        <f ca="1">[1]!f_pq_pctchange(C324,指数分析!$D$5,指数分析!$D$6)/100</f>
        <v>-0.27353521717342166</v>
      </c>
      <c r="H324" s="5"/>
      <c r="I324" s="5"/>
    </row>
    <row r="325" spans="1:9" x14ac:dyDescent="0.15">
      <c r="A325" s="6">
        <f ca="1">IF(G325="","",IF(COUNTIF(G$5:G325,G325)=1,RANK(G325,G:G,0),RANK(G325,G:G,0)+COUNTIF(G$5:G325,G325)-1))</f>
        <v>306</v>
      </c>
      <c r="B325" s="2" t="str">
        <f t="shared" si="8"/>
        <v/>
      </c>
      <c r="C325" s="103" t="s">
        <v>210</v>
      </c>
      <c r="D325" s="3" t="str">
        <f>[1]!s_info_name(C325)</f>
        <v>多元金融(申万)</v>
      </c>
      <c r="E325" s="3" t="s">
        <v>253</v>
      </c>
      <c r="F325" s="101" t="str">
        <f t="shared" si="9"/>
        <v/>
      </c>
      <c r="G325" s="5">
        <f ca="1">[1]!f_pq_pctchange(C325,指数分析!$D$5,指数分析!$D$6)/100</f>
        <v>-0.20367445340427293</v>
      </c>
      <c r="H325" s="5"/>
      <c r="I325" s="5"/>
    </row>
    <row r="326" spans="1:9" x14ac:dyDescent="0.15">
      <c r="A326" s="6">
        <f ca="1">IF(G326="","",IF(COUNTIF(G$5:G326,G326)=1,RANK(G326,G:G,0),RANK(G326,G:G,0)+COUNTIF(G$5:G326,G326)-1))</f>
        <v>200</v>
      </c>
      <c r="B326" s="2" t="str">
        <f t="shared" ref="B326:B389" si="10">IF(F326="","",RANK(F326,F:F,1))</f>
        <v/>
      </c>
      <c r="C326" s="103" t="s">
        <v>211</v>
      </c>
      <c r="D326" s="3" t="str">
        <f>[1]!s_info_name(C326)</f>
        <v>证券Ⅱ(申万)</v>
      </c>
      <c r="E326" s="3" t="s">
        <v>253</v>
      </c>
      <c r="F326" s="101" t="str">
        <f t="shared" ref="F326:F389" si="11">IF(ISERROR(FIND(F$4,$E326,1)),"",ROW())</f>
        <v/>
      </c>
      <c r="G326" s="5">
        <f ca="1">[1]!f_pq_pctchange(C326,指数分析!$D$5,指数分析!$D$6)/100</f>
        <v>-0.11876053239295971</v>
      </c>
      <c r="H326" s="5"/>
      <c r="I326" s="5"/>
    </row>
    <row r="327" spans="1:9" x14ac:dyDescent="0.15">
      <c r="A327" s="6">
        <f ca="1">IF(G327="","",IF(COUNTIF(G$5:G327,G327)=1,RANK(G327,G:G,0),RANK(G327,G:G,0)+COUNTIF(G$5:G327,G327)-1))</f>
        <v>197</v>
      </c>
      <c r="B327" s="2" t="str">
        <f t="shared" si="10"/>
        <v/>
      </c>
      <c r="C327" s="103" t="s">
        <v>212</v>
      </c>
      <c r="D327" s="3" t="str">
        <f>[1]!s_info_name(C327)</f>
        <v>保险Ⅱ(申万)</v>
      </c>
      <c r="E327" s="3" t="s">
        <v>253</v>
      </c>
      <c r="F327" s="101" t="str">
        <f t="shared" si="11"/>
        <v/>
      </c>
      <c r="G327" s="5">
        <f ca="1">[1]!f_pq_pctchange(C327,指数分析!$D$5,指数分析!$D$6)/100</f>
        <v>-0.11680626102377756</v>
      </c>
      <c r="H327" s="5"/>
      <c r="I327" s="5"/>
    </row>
    <row r="328" spans="1:9" x14ac:dyDescent="0.15">
      <c r="A328" s="6">
        <f ca="1">IF(G328="","",IF(COUNTIF(G$5:G328,G328)=1,RANK(G328,G:G,0),RANK(G328,G:G,0)+COUNTIF(G$5:G328,G328)-1))</f>
        <v>373</v>
      </c>
      <c r="B328" s="2" t="str">
        <f t="shared" si="10"/>
        <v/>
      </c>
      <c r="C328" s="103" t="s">
        <v>213</v>
      </c>
      <c r="D328" s="3" t="str">
        <f>[1]!s_info_name(C328)</f>
        <v>贸易Ⅱ(申万)</v>
      </c>
      <c r="E328" s="3" t="s">
        <v>253</v>
      </c>
      <c r="F328" s="101" t="str">
        <f t="shared" si="11"/>
        <v/>
      </c>
      <c r="G328" s="5">
        <f ca="1">[1]!f_pq_pctchange(C328,指数分析!$D$5,指数分析!$D$6)/100</f>
        <v>-0.24983085947635553</v>
      </c>
      <c r="H328" s="5"/>
      <c r="I328" s="5"/>
    </row>
    <row r="329" spans="1:9" x14ac:dyDescent="0.15">
      <c r="A329" s="6">
        <f ca="1">IF(G329="","",IF(COUNTIF(G$5:G329,G329)=1,RANK(G329,G:G,0),RANK(G329,G:G,0)+COUNTIF(G$5:G329,G329)-1))</f>
        <v>377</v>
      </c>
      <c r="B329" s="2" t="str">
        <f t="shared" si="10"/>
        <v/>
      </c>
      <c r="C329" s="103" t="s">
        <v>435</v>
      </c>
      <c r="D329" s="3" t="str">
        <f>[1]!s_info_name(C329)</f>
        <v>一般零售(申万)</v>
      </c>
      <c r="E329" s="3" t="s">
        <v>253</v>
      </c>
      <c r="F329" s="101" t="str">
        <f t="shared" si="11"/>
        <v/>
      </c>
      <c r="G329" s="5">
        <f ca="1">[1]!f_pq_pctchange(C329,指数分析!$D$5,指数分析!$D$6)/100</f>
        <v>-0.25550934324951524</v>
      </c>
      <c r="H329" s="5"/>
      <c r="I329" s="5"/>
    </row>
    <row r="330" spans="1:9" x14ac:dyDescent="0.15">
      <c r="A330" s="6">
        <f ca="1">IF(G330="","",IF(COUNTIF(G$5:G330,G330)=1,RANK(G330,G:G,0),RANK(G330,G:G,0)+COUNTIF(G$5:G330,G330)-1))</f>
        <v>297</v>
      </c>
      <c r="B330" s="2" t="str">
        <f t="shared" si="10"/>
        <v/>
      </c>
      <c r="C330" s="103" t="s">
        <v>436</v>
      </c>
      <c r="D330" s="3" t="str">
        <f>[1]!s_info_name(C330)</f>
        <v>专业连锁Ⅱ(申万)</v>
      </c>
      <c r="E330" s="3" t="s">
        <v>253</v>
      </c>
      <c r="F330" s="101" t="str">
        <f t="shared" si="11"/>
        <v/>
      </c>
      <c r="G330" s="5">
        <f ca="1">[1]!f_pq_pctchange(C330,指数分析!$D$5,指数分析!$D$6)/100</f>
        <v>-0.19657694479550414</v>
      </c>
      <c r="H330" s="5"/>
      <c r="I330" s="5"/>
    </row>
    <row r="331" spans="1:9" x14ac:dyDescent="0.15">
      <c r="A331" s="6">
        <f ca="1">IF(G331="","",IF(COUNTIF(G$5:G331,G331)=1,RANK(G331,G:G,0),RANK(G331,G:G,0)+COUNTIF(G$5:G331,G331)-1))</f>
        <v>488</v>
      </c>
      <c r="B331" s="2" t="str">
        <f t="shared" si="10"/>
        <v/>
      </c>
      <c r="C331" s="103" t="s">
        <v>437</v>
      </c>
      <c r="D331" s="3" t="str">
        <f>[1]!s_info_name(C331)</f>
        <v>互联网电商(申万)</v>
      </c>
      <c r="E331" s="3" t="s">
        <v>253</v>
      </c>
      <c r="F331" s="101" t="str">
        <f t="shared" si="11"/>
        <v/>
      </c>
      <c r="G331" s="5">
        <f ca="1">[1]!f_pq_pctchange(C331,指数分析!$D$5,指数分析!$D$6)/100</f>
        <v>-0.4462687217860356</v>
      </c>
      <c r="H331" s="5"/>
      <c r="I331" s="5"/>
    </row>
    <row r="332" spans="1:9" x14ac:dyDescent="0.15">
      <c r="A332" s="6">
        <f ca="1">IF(G332="","",IF(COUNTIF(G$5:G332,G332)=1,RANK(G332,G:G,0),RANK(G332,G:G,0)+COUNTIF(G$5:G332,G332)-1))</f>
        <v>472</v>
      </c>
      <c r="B332" s="2" t="str">
        <f t="shared" si="10"/>
        <v/>
      </c>
      <c r="C332" s="103" t="s">
        <v>438</v>
      </c>
      <c r="D332" s="3" t="str">
        <f>[1]!s_info_name(C332)</f>
        <v>专业服务(申万)</v>
      </c>
      <c r="E332" s="3" t="s">
        <v>253</v>
      </c>
      <c r="F332" s="101" t="str">
        <f t="shared" si="11"/>
        <v/>
      </c>
      <c r="G332" s="5">
        <f ca="1">[1]!f_pq_pctchange(C332,指数分析!$D$5,指数分析!$D$6)/100</f>
        <v>-0.38709987788180433</v>
      </c>
      <c r="H332" s="5"/>
      <c r="I332" s="5"/>
    </row>
    <row r="333" spans="1:9" x14ac:dyDescent="0.15">
      <c r="A333" s="6">
        <f ca="1">IF(G333="","",IF(COUNTIF(G$5:G333,G333)=1,RANK(G333,G:G,0),RANK(G333,G:G,0)+COUNTIF(G$5:G333,G333)-1))</f>
        <v>481</v>
      </c>
      <c r="B333" s="2" t="str">
        <f t="shared" si="10"/>
        <v/>
      </c>
      <c r="C333" s="103" t="s">
        <v>439</v>
      </c>
      <c r="D333" s="3" t="str">
        <f>[1]!s_info_name(C333)</f>
        <v>酒店餐饮(申万)</v>
      </c>
      <c r="E333" s="3" t="s">
        <v>253</v>
      </c>
      <c r="F333" s="101" t="str">
        <f t="shared" si="11"/>
        <v/>
      </c>
      <c r="G333" s="5">
        <f ca="1">[1]!f_pq_pctchange(C333,指数分析!$D$5,指数分析!$D$6)/100</f>
        <v>-0.41385949771921304</v>
      </c>
      <c r="H333" s="5"/>
      <c r="I333" s="5"/>
    </row>
    <row r="334" spans="1:9" x14ac:dyDescent="0.15">
      <c r="A334" s="6">
        <f ca="1">IF(G334="","",IF(COUNTIF(G$5:G334,G334)=1,RANK(G334,G:G,0),RANK(G334,G:G,0)+COUNTIF(G$5:G334,G334)-1))</f>
        <v>173</v>
      </c>
      <c r="B334" s="2" t="str">
        <f t="shared" si="10"/>
        <v/>
      </c>
      <c r="C334" s="103" t="s">
        <v>214</v>
      </c>
      <c r="D334" s="3" t="str">
        <f>[1]!s_info_name(C334)</f>
        <v>通信服务(申万)</v>
      </c>
      <c r="E334" s="3" t="s">
        <v>253</v>
      </c>
      <c r="F334" s="101" t="str">
        <f t="shared" si="11"/>
        <v/>
      </c>
      <c r="G334" s="5">
        <f ca="1">[1]!f_pq_pctchange(C334,指数分析!$D$5,指数分析!$D$6)/100</f>
        <v>-8.6550874013475831E-2</v>
      </c>
      <c r="H334" s="5"/>
      <c r="I334" s="5"/>
    </row>
    <row r="335" spans="1:9" x14ac:dyDescent="0.15">
      <c r="A335" s="6">
        <f ca="1">IF(G335="","",IF(COUNTIF(G$5:G335,G335)=1,RANK(G335,G:G,0),RANK(G335,G:G,0)+COUNTIF(G$5:G335,G335)-1))</f>
        <v>456</v>
      </c>
      <c r="B335" s="2" t="str">
        <f t="shared" si="10"/>
        <v/>
      </c>
      <c r="C335" s="103" t="s">
        <v>215</v>
      </c>
      <c r="D335" s="3" t="str">
        <f>[1]!s_info_name(C335)</f>
        <v>综合Ⅱ(申万)</v>
      </c>
      <c r="E335" s="3" t="s">
        <v>253</v>
      </c>
      <c r="F335" s="101" t="str">
        <f t="shared" si="11"/>
        <v/>
      </c>
      <c r="G335" s="5">
        <f ca="1">[1]!f_pq_pctchange(C335,指数分析!$D$5,指数分析!$D$6)/100</f>
        <v>-0.35505449491624597</v>
      </c>
      <c r="H335" s="5"/>
      <c r="I335" s="5"/>
    </row>
    <row r="336" spans="1:9" x14ac:dyDescent="0.15">
      <c r="A336" s="6">
        <f ca="1">IF(G336="","",IF(COUNTIF(G$5:G336,G336)=1,RANK(G336,G:G,0),RANK(G336,G:G,0)+COUNTIF(G$5:G336,G336)-1))</f>
        <v>261</v>
      </c>
      <c r="B336" s="2" t="str">
        <f t="shared" si="10"/>
        <v/>
      </c>
      <c r="C336" s="103" t="s">
        <v>440</v>
      </c>
      <c r="D336" s="3" t="str">
        <f>[1]!s_info_name(C336)</f>
        <v>水泥(申万)</v>
      </c>
      <c r="E336" s="3" t="s">
        <v>253</v>
      </c>
      <c r="F336" s="101" t="str">
        <f t="shared" si="11"/>
        <v/>
      </c>
      <c r="G336" s="5">
        <f ca="1">[1]!f_pq_pctchange(C336,指数分析!$D$5,指数分析!$D$6)/100</f>
        <v>-0.16575282572450034</v>
      </c>
      <c r="H336" s="5"/>
      <c r="I336" s="5"/>
    </row>
    <row r="337" spans="1:9" x14ac:dyDescent="0.15">
      <c r="A337" s="6">
        <f ca="1">IF(G337="","",IF(COUNTIF(G$5:G337,G337)=1,RANK(G337,G:G,0),RANK(G337,G:G,0)+COUNTIF(G$5:G337,G337)-1))</f>
        <v>395</v>
      </c>
      <c r="B337" s="2" t="str">
        <f t="shared" si="10"/>
        <v/>
      </c>
      <c r="C337" s="103" t="s">
        <v>441</v>
      </c>
      <c r="D337" s="3" t="str">
        <f>[1]!s_info_name(C337)</f>
        <v>玻璃玻纤(申万)</v>
      </c>
      <c r="E337" s="3" t="s">
        <v>253</v>
      </c>
      <c r="F337" s="101" t="str">
        <f t="shared" si="11"/>
        <v/>
      </c>
      <c r="G337" s="5">
        <f ca="1">[1]!f_pq_pctchange(C337,指数分析!$D$5,指数分析!$D$6)/100</f>
        <v>-0.26747494897595692</v>
      </c>
      <c r="H337" s="5"/>
      <c r="I337" s="5"/>
    </row>
    <row r="338" spans="1:9" x14ac:dyDescent="0.15">
      <c r="A338" s="6">
        <f ca="1">IF(G338="","",IF(COUNTIF(G$5:G338,G338)=1,RANK(G338,G:G,0),RANK(G338,G:G,0)+COUNTIF(G$5:G338,G338)-1))</f>
        <v>417</v>
      </c>
      <c r="B338" s="2" t="str">
        <f t="shared" si="10"/>
        <v/>
      </c>
      <c r="C338" s="103" t="s">
        <v>442</v>
      </c>
      <c r="D338" s="3" t="str">
        <f>[1]!s_info_name(C338)</f>
        <v>装修建材(申万)</v>
      </c>
      <c r="E338" s="3" t="s">
        <v>253</v>
      </c>
      <c r="F338" s="101" t="str">
        <f t="shared" si="11"/>
        <v/>
      </c>
      <c r="G338" s="5">
        <f ca="1">[1]!f_pq_pctchange(C338,指数分析!$D$5,指数分析!$D$6)/100</f>
        <v>-0.29554329810613511</v>
      </c>
      <c r="H338" s="5"/>
      <c r="I338" s="5"/>
    </row>
    <row r="339" spans="1:9" x14ac:dyDescent="0.15">
      <c r="A339" s="6">
        <f ca="1">IF(G339="","",IF(COUNTIF(G$5:G339,G339)=1,RANK(G339,G:G,0),RANK(G339,G:G,0)+COUNTIF(G$5:G339,G339)-1))</f>
        <v>195</v>
      </c>
      <c r="B339" s="2" t="str">
        <f t="shared" si="10"/>
        <v/>
      </c>
      <c r="C339" s="103" t="s">
        <v>443</v>
      </c>
      <c r="D339" s="3" t="str">
        <f>[1]!s_info_name(C339)</f>
        <v>房屋建设Ⅱ(申万)</v>
      </c>
      <c r="E339" s="3" t="s">
        <v>253</v>
      </c>
      <c r="F339" s="101" t="str">
        <f t="shared" si="11"/>
        <v/>
      </c>
      <c r="G339" s="5">
        <f ca="1">[1]!f_pq_pctchange(C339,指数分析!$D$5,指数分析!$D$6)/100</f>
        <v>-0.11087510258325228</v>
      </c>
      <c r="H339" s="5"/>
      <c r="I339" s="5"/>
    </row>
    <row r="340" spans="1:9" x14ac:dyDescent="0.15">
      <c r="A340" s="6">
        <f ca="1">IF(G340="","",IF(COUNTIF(G$5:G340,G340)=1,RANK(G340,G:G,0),RANK(G340,G:G,0)+COUNTIF(G$5:G340,G340)-1))</f>
        <v>487</v>
      </c>
      <c r="B340" s="2" t="str">
        <f t="shared" si="10"/>
        <v/>
      </c>
      <c r="C340" s="103" t="s">
        <v>444</v>
      </c>
      <c r="D340" s="3" t="str">
        <f>[1]!s_info_name(C340)</f>
        <v>装修装饰Ⅱ(申万)</v>
      </c>
      <c r="E340" s="3" t="s">
        <v>253</v>
      </c>
      <c r="F340" s="101" t="str">
        <f t="shared" si="11"/>
        <v/>
      </c>
      <c r="G340" s="5">
        <f ca="1">[1]!f_pq_pctchange(C340,指数分析!$D$5,指数分析!$D$6)/100</f>
        <v>-0.43867986504141221</v>
      </c>
      <c r="H340" s="5"/>
      <c r="I340" s="5"/>
    </row>
    <row r="341" spans="1:9" x14ac:dyDescent="0.15">
      <c r="A341" s="6">
        <f ca="1">IF(G341="","",IF(COUNTIF(G$5:G341,G341)=1,RANK(G341,G:G,0),RANK(G341,G:G,0)+COUNTIF(G$5:G341,G341)-1))</f>
        <v>282</v>
      </c>
      <c r="B341" s="2" t="str">
        <f t="shared" si="10"/>
        <v/>
      </c>
      <c r="C341" s="103" t="s">
        <v>445</v>
      </c>
      <c r="D341" s="3" t="str">
        <f>[1]!s_info_name(C341)</f>
        <v>基础建设(申万)</v>
      </c>
      <c r="E341" s="3" t="s">
        <v>253</v>
      </c>
      <c r="F341" s="101" t="str">
        <f t="shared" si="11"/>
        <v/>
      </c>
      <c r="G341" s="5">
        <f ca="1">[1]!f_pq_pctchange(C341,指数分析!$D$5,指数分析!$D$6)/100</f>
        <v>-0.18340755873340142</v>
      </c>
      <c r="H341" s="5"/>
      <c r="I341" s="5"/>
    </row>
    <row r="342" spans="1:9" x14ac:dyDescent="0.15">
      <c r="A342" s="6">
        <f ca="1">IF(G342="","",IF(COUNTIF(G$5:G342,G342)=1,RANK(G342,G:G,0),RANK(G342,G:G,0)+COUNTIF(G$5:G342,G342)-1))</f>
        <v>405</v>
      </c>
      <c r="B342" s="2" t="str">
        <f t="shared" si="10"/>
        <v/>
      </c>
      <c r="C342" s="103" t="s">
        <v>446</v>
      </c>
      <c r="D342" s="3" t="str">
        <f>[1]!s_info_name(C342)</f>
        <v>专业工程(申万)</v>
      </c>
      <c r="E342" s="3" t="s">
        <v>253</v>
      </c>
      <c r="F342" s="101" t="str">
        <f t="shared" si="11"/>
        <v/>
      </c>
      <c r="G342" s="5">
        <f ca="1">[1]!f_pq_pctchange(C342,指数分析!$D$5,指数分析!$D$6)/100</f>
        <v>-0.28325066356593709</v>
      </c>
      <c r="H342" s="5"/>
      <c r="I342" s="5"/>
    </row>
    <row r="343" spans="1:9" x14ac:dyDescent="0.15">
      <c r="A343" s="6">
        <f ca="1">IF(G343="","",IF(COUNTIF(G$5:G343,G343)=1,RANK(G343,G:G,0),RANK(G343,G:G,0)+COUNTIF(G$5:G343,G343)-1))</f>
        <v>251</v>
      </c>
      <c r="B343" s="2" t="str">
        <f t="shared" si="10"/>
        <v/>
      </c>
      <c r="C343" s="103" t="s">
        <v>447</v>
      </c>
      <c r="D343" s="3" t="str">
        <f>[1]!s_info_name(C343)</f>
        <v>工程咨询服务Ⅱ(申万)</v>
      </c>
      <c r="E343" s="3" t="s">
        <v>253</v>
      </c>
      <c r="F343" s="101" t="str">
        <f t="shared" si="11"/>
        <v/>
      </c>
      <c r="G343" s="5">
        <f ca="1">[1]!f_pq_pctchange(C343,指数分析!$D$5,指数分析!$D$6)/100</f>
        <v>-0.16000210404502646</v>
      </c>
      <c r="H343" s="5"/>
      <c r="I343" s="5"/>
    </row>
    <row r="344" spans="1:9" x14ac:dyDescent="0.15">
      <c r="A344" s="6">
        <f ca="1">IF(G344="","",IF(COUNTIF(G$5:G344,G344)=1,RANK(G344,G:G,0),RANK(G344,G:G,0)+COUNTIF(G$5:G344,G344)-1))</f>
        <v>387</v>
      </c>
      <c r="B344" s="2" t="str">
        <f t="shared" si="10"/>
        <v/>
      </c>
      <c r="C344" s="103" t="s">
        <v>448</v>
      </c>
      <c r="D344" s="3" t="str">
        <f>[1]!s_info_name(C344)</f>
        <v>电机Ⅱ(申万)</v>
      </c>
      <c r="E344" s="3" t="s">
        <v>253</v>
      </c>
      <c r="F344" s="101" t="str">
        <f t="shared" si="11"/>
        <v/>
      </c>
      <c r="G344" s="5">
        <f ca="1">[1]!f_pq_pctchange(C344,指数分析!$D$5,指数分析!$D$6)/100</f>
        <v>-0.26163689269221635</v>
      </c>
      <c r="H344" s="5"/>
      <c r="I344" s="5"/>
    </row>
    <row r="345" spans="1:9" x14ac:dyDescent="0.15">
      <c r="A345" s="6">
        <f ca="1">IF(G345="","",IF(COUNTIF(G$5:G345,G345)=1,RANK(G345,G:G,0),RANK(G345,G:G,0)+COUNTIF(G$5:G345,G345)-1))</f>
        <v>445</v>
      </c>
      <c r="B345" s="2" t="str">
        <f t="shared" si="10"/>
        <v/>
      </c>
      <c r="C345" s="103" t="s">
        <v>449</v>
      </c>
      <c r="D345" s="3" t="str">
        <f>[1]!s_info_name(C345)</f>
        <v>其他电源设备Ⅱ(申万)</v>
      </c>
      <c r="E345" s="3" t="s">
        <v>253</v>
      </c>
      <c r="F345" s="101" t="str">
        <f t="shared" si="11"/>
        <v/>
      </c>
      <c r="G345" s="5">
        <f ca="1">[1]!f_pq_pctchange(C345,指数分析!$D$5,指数分析!$D$6)/100</f>
        <v>-0.33448078151230332</v>
      </c>
      <c r="H345" s="5"/>
      <c r="I345" s="5"/>
    </row>
    <row r="346" spans="1:9" x14ac:dyDescent="0.15">
      <c r="A346" s="6">
        <f ca="1">IF(G346="","",IF(COUNTIF(G$5:G346,G346)=1,RANK(G346,G:G,0),RANK(G346,G:G,0)+COUNTIF(G$5:G346,G346)-1))</f>
        <v>496</v>
      </c>
      <c r="B346" s="2" t="str">
        <f t="shared" si="10"/>
        <v/>
      </c>
      <c r="C346" s="103" t="s">
        <v>450</v>
      </c>
      <c r="D346" s="3" t="str">
        <f>[1]!s_info_name(C346)</f>
        <v>光伏设备(申万)</v>
      </c>
      <c r="E346" s="3" t="s">
        <v>253</v>
      </c>
      <c r="F346" s="101" t="str">
        <f t="shared" si="11"/>
        <v/>
      </c>
      <c r="G346" s="5">
        <f ca="1">[1]!f_pq_pctchange(C346,指数分析!$D$5,指数分析!$D$6)/100</f>
        <v>-0.50680978787727637</v>
      </c>
      <c r="H346" s="5"/>
      <c r="I346" s="5"/>
    </row>
    <row r="347" spans="1:9" x14ac:dyDescent="0.15">
      <c r="A347" s="6">
        <f ca="1">IF(G347="","",IF(COUNTIF(G$5:G347,G347)=1,RANK(G347,G:G,0),RANK(G347,G:G,0)+COUNTIF(G$5:G347,G347)-1))</f>
        <v>479</v>
      </c>
      <c r="B347" s="2" t="str">
        <f t="shared" si="10"/>
        <v/>
      </c>
      <c r="C347" s="103" t="s">
        <v>451</v>
      </c>
      <c r="D347" s="3" t="str">
        <f>[1]!s_info_name(C347)</f>
        <v>风电设备(申万)</v>
      </c>
      <c r="E347" s="3" t="s">
        <v>253</v>
      </c>
      <c r="F347" s="101" t="str">
        <f t="shared" si="11"/>
        <v/>
      </c>
      <c r="G347" s="5">
        <f ca="1">[1]!f_pq_pctchange(C347,指数分析!$D$5,指数分析!$D$6)/100</f>
        <v>-0.40576848577248481</v>
      </c>
      <c r="H347" s="5"/>
      <c r="I347" s="5"/>
    </row>
    <row r="348" spans="1:9" x14ac:dyDescent="0.15">
      <c r="A348" s="6">
        <f ca="1">IF(G348="","",IF(COUNTIF(G$5:G348,G348)=1,RANK(G348,G:G,0),RANK(G348,G:G,0)+COUNTIF(G$5:G348,G348)-1))</f>
        <v>447</v>
      </c>
      <c r="B348" s="2" t="str">
        <f t="shared" si="10"/>
        <v/>
      </c>
      <c r="C348" s="103" t="s">
        <v>452</v>
      </c>
      <c r="D348" s="3" t="str">
        <f>[1]!s_info_name(C348)</f>
        <v>电池(申万)</v>
      </c>
      <c r="E348" s="3" t="s">
        <v>253</v>
      </c>
      <c r="F348" s="101" t="str">
        <f t="shared" si="11"/>
        <v/>
      </c>
      <c r="G348" s="5">
        <f ca="1">[1]!f_pq_pctchange(C348,指数分析!$D$5,指数分析!$D$6)/100</f>
        <v>-0.3412068332708702</v>
      </c>
      <c r="H348" s="5"/>
      <c r="I348" s="5"/>
    </row>
    <row r="349" spans="1:9" x14ac:dyDescent="0.15">
      <c r="A349" s="6">
        <f ca="1">IF(G349="","",IF(COUNTIF(G$5:G349,G349)=1,RANK(G349,G:G,0),RANK(G349,G:G,0)+COUNTIF(G$5:G349,G349)-1))</f>
        <v>149</v>
      </c>
      <c r="B349" s="2" t="str">
        <f t="shared" si="10"/>
        <v/>
      </c>
      <c r="C349" s="103" t="s">
        <v>453</v>
      </c>
      <c r="D349" s="3" t="str">
        <f>[1]!s_info_name(C349)</f>
        <v>电网设备(申万)</v>
      </c>
      <c r="E349" s="3" t="s">
        <v>253</v>
      </c>
      <c r="F349" s="101" t="str">
        <f t="shared" si="11"/>
        <v/>
      </c>
      <c r="G349" s="5">
        <f ca="1">[1]!f_pq_pctchange(C349,指数分析!$D$5,指数分析!$D$6)/100</f>
        <v>-4.3064690751523409E-2</v>
      </c>
      <c r="H349" s="5"/>
      <c r="I349" s="5"/>
    </row>
    <row r="350" spans="1:9" x14ac:dyDescent="0.15">
      <c r="A350" s="6">
        <f ca="1">IF(G350="","",IF(COUNTIF(G$5:G350,G350)=1,RANK(G350,G:G,0),RANK(G350,G:G,0)+COUNTIF(G$5:G350,G350)-1))</f>
        <v>359</v>
      </c>
      <c r="B350" s="2" t="str">
        <f t="shared" si="10"/>
        <v/>
      </c>
      <c r="C350" s="103" t="s">
        <v>454</v>
      </c>
      <c r="D350" s="3" t="str">
        <f>[1]!s_info_name(C350)</f>
        <v>航天装备Ⅱ(申万)</v>
      </c>
      <c r="E350" s="3" t="s">
        <v>253</v>
      </c>
      <c r="F350" s="101" t="str">
        <f t="shared" si="11"/>
        <v/>
      </c>
      <c r="G350" s="5">
        <f ca="1">[1]!f_pq_pctchange(C350,指数分析!$D$5,指数分析!$D$6)/100</f>
        <v>-0.23501921402495485</v>
      </c>
      <c r="H350" s="5"/>
      <c r="I350" s="5"/>
    </row>
    <row r="351" spans="1:9" x14ac:dyDescent="0.15">
      <c r="A351" s="6">
        <f ca="1">IF(G351="","",IF(COUNTIF(G$5:G351,G351)=1,RANK(G351,G:G,0),RANK(G351,G:G,0)+COUNTIF(G$5:G351,G351)-1))</f>
        <v>300</v>
      </c>
      <c r="B351" s="2" t="str">
        <f t="shared" si="10"/>
        <v/>
      </c>
      <c r="C351" s="103" t="s">
        <v>455</v>
      </c>
      <c r="D351" s="3" t="str">
        <f>[1]!s_info_name(C351)</f>
        <v>航空装备Ⅱ(申万)</v>
      </c>
      <c r="E351" s="3" t="s">
        <v>253</v>
      </c>
      <c r="F351" s="101" t="str">
        <f t="shared" si="11"/>
        <v/>
      </c>
      <c r="G351" s="5">
        <f ca="1">[1]!f_pq_pctchange(C351,指数分析!$D$5,指数分析!$D$6)/100</f>
        <v>-0.19970763408592559</v>
      </c>
      <c r="H351" s="5"/>
      <c r="I351" s="5"/>
    </row>
    <row r="352" spans="1:9" x14ac:dyDescent="0.15">
      <c r="A352" s="6">
        <f ca="1">IF(G352="","",IF(COUNTIF(G$5:G352,G352)=1,RANK(G352,G:G,0),RANK(G352,G:G,0)+COUNTIF(G$5:G352,G352)-1))</f>
        <v>374</v>
      </c>
      <c r="B352" s="2" t="str">
        <f t="shared" si="10"/>
        <v/>
      </c>
      <c r="C352" s="103" t="s">
        <v>456</v>
      </c>
      <c r="D352" s="3" t="str">
        <f>[1]!s_info_name(C352)</f>
        <v>地面兵装Ⅱ(申万)</v>
      </c>
      <c r="E352" s="3" t="s">
        <v>253</v>
      </c>
      <c r="F352" s="101" t="str">
        <f t="shared" si="11"/>
        <v/>
      </c>
      <c r="G352" s="5">
        <f ca="1">[1]!f_pq_pctchange(C352,指数分析!$D$5,指数分析!$D$6)/100</f>
        <v>-0.25297089508120874</v>
      </c>
      <c r="H352" s="5"/>
      <c r="I352" s="5"/>
    </row>
    <row r="353" spans="1:9" x14ac:dyDescent="0.15">
      <c r="A353" s="6">
        <f ca="1">IF(G353="","",IF(COUNTIF(G$5:G353,G353)=1,RANK(G353,G:G,0),RANK(G353,G:G,0)+COUNTIF(G$5:G353,G353)-1))</f>
        <v>120</v>
      </c>
      <c r="B353" s="2" t="str">
        <f t="shared" si="10"/>
        <v/>
      </c>
      <c r="C353" s="103" t="s">
        <v>457</v>
      </c>
      <c r="D353" s="3" t="str">
        <f>[1]!s_info_name(C353)</f>
        <v>航海装备Ⅱ(申万)</v>
      </c>
      <c r="E353" s="3" t="s">
        <v>253</v>
      </c>
      <c r="F353" s="101" t="str">
        <f t="shared" si="11"/>
        <v/>
      </c>
      <c r="G353" s="5">
        <f ca="1">[1]!f_pq_pctchange(C353,指数分析!$D$5,指数分析!$D$6)/100</f>
        <v>1.4039990460867902E-3</v>
      </c>
      <c r="H353" s="5"/>
      <c r="I353" s="5"/>
    </row>
    <row r="354" spans="1:9" x14ac:dyDescent="0.15">
      <c r="A354" s="6">
        <f ca="1">IF(G354="","",IF(COUNTIF(G$5:G354,G354)=1,RANK(G354,G:G,0),RANK(G354,G:G,0)+COUNTIF(G$5:G354,G354)-1))</f>
        <v>397</v>
      </c>
      <c r="B354" s="2" t="str">
        <f t="shared" si="10"/>
        <v/>
      </c>
      <c r="C354" s="103" t="s">
        <v>458</v>
      </c>
      <c r="D354" s="3" t="str">
        <f>[1]!s_info_name(C354)</f>
        <v>军工电子Ⅱ(申万)</v>
      </c>
      <c r="E354" s="3" t="s">
        <v>253</v>
      </c>
      <c r="F354" s="101" t="str">
        <f t="shared" si="11"/>
        <v/>
      </c>
      <c r="G354" s="5">
        <f ca="1">[1]!f_pq_pctchange(C354,指数分析!$D$5,指数分析!$D$6)/100</f>
        <v>-0.27048677885715011</v>
      </c>
      <c r="H354" s="5"/>
      <c r="I354" s="5"/>
    </row>
    <row r="355" spans="1:9" x14ac:dyDescent="0.15">
      <c r="A355" s="6">
        <f ca="1">IF(G355="","",IF(COUNTIF(G$5:G355,G355)=1,RANK(G355,G:G,0),RANK(G355,G:G,0)+COUNTIF(G$5:G355,G355)-1))</f>
        <v>489</v>
      </c>
      <c r="B355" s="2" t="str">
        <f t="shared" si="10"/>
        <v/>
      </c>
      <c r="C355" s="103" t="s">
        <v>459</v>
      </c>
      <c r="D355" s="3" t="str">
        <f>[1]!s_info_name(C355)</f>
        <v>游戏Ⅱ(申万)</v>
      </c>
      <c r="E355" s="3" t="s">
        <v>253</v>
      </c>
      <c r="F355" s="101" t="str">
        <f t="shared" si="11"/>
        <v/>
      </c>
      <c r="G355" s="5">
        <f ca="1">[1]!f_pq_pctchange(C355,指数分析!$D$5,指数分析!$D$6)/100</f>
        <v>-0.44837223050774588</v>
      </c>
      <c r="H355" s="5"/>
      <c r="I355" s="5"/>
    </row>
    <row r="356" spans="1:9" x14ac:dyDescent="0.15">
      <c r="A356" s="6">
        <f ca="1">IF(G356="","",IF(COUNTIF(G$5:G356,G356)=1,RANK(G356,G:G,0),RANK(G356,G:G,0)+COUNTIF(G$5:G356,G356)-1))</f>
        <v>400</v>
      </c>
      <c r="B356" s="2" t="str">
        <f t="shared" si="10"/>
        <v/>
      </c>
      <c r="C356" s="103" t="s">
        <v>460</v>
      </c>
      <c r="D356" s="3" t="str">
        <f>[1]!s_info_name(C356)</f>
        <v>广告营销(申万)</v>
      </c>
      <c r="E356" s="3" t="s">
        <v>253</v>
      </c>
      <c r="F356" s="101" t="str">
        <f t="shared" si="11"/>
        <v/>
      </c>
      <c r="G356" s="5">
        <f ca="1">[1]!f_pq_pctchange(C356,指数分析!$D$5,指数分析!$D$6)/100</f>
        <v>-0.27479447906735033</v>
      </c>
      <c r="H356" s="5"/>
      <c r="I356" s="5"/>
    </row>
    <row r="357" spans="1:9" x14ac:dyDescent="0.15">
      <c r="A357" s="6">
        <f ca="1">IF(G357="","",IF(COUNTIF(G$5:G357,G357)=1,RANK(G357,G:G,0),RANK(G357,G:G,0)+COUNTIF(G$5:G357,G357)-1))</f>
        <v>367</v>
      </c>
      <c r="B357" s="2" t="str">
        <f t="shared" si="10"/>
        <v/>
      </c>
      <c r="C357" s="103" t="s">
        <v>461</v>
      </c>
      <c r="D357" s="3" t="str">
        <f>[1]!s_info_name(C357)</f>
        <v>影视院线(申万)</v>
      </c>
      <c r="E357" s="3" t="s">
        <v>253</v>
      </c>
      <c r="F357" s="101" t="str">
        <f t="shared" si="11"/>
        <v/>
      </c>
      <c r="G357" s="5">
        <f ca="1">[1]!f_pq_pctchange(C357,指数分析!$D$5,指数分析!$D$6)/100</f>
        <v>-0.24218512412567825</v>
      </c>
      <c r="H357" s="5"/>
      <c r="I357" s="5"/>
    </row>
    <row r="358" spans="1:9" x14ac:dyDescent="0.15">
      <c r="A358" s="6">
        <f ca="1">IF(G358="","",IF(COUNTIF(G$5:G358,G358)=1,RANK(G358,G:G,0),RANK(G358,G:G,0)+COUNTIF(G$5:G358,G358)-1))</f>
        <v>454</v>
      </c>
      <c r="B358" s="2" t="str">
        <f t="shared" si="10"/>
        <v/>
      </c>
      <c r="C358" s="103" t="s">
        <v>462</v>
      </c>
      <c r="D358" s="3" t="str">
        <f>[1]!s_info_name(C358)</f>
        <v>数字媒体(申万)</v>
      </c>
      <c r="E358" s="3" t="s">
        <v>253</v>
      </c>
      <c r="F358" s="101" t="str">
        <f t="shared" si="11"/>
        <v/>
      </c>
      <c r="G358" s="5">
        <f ca="1">[1]!f_pq_pctchange(C358,指数分析!$D$5,指数分析!$D$6)/100</f>
        <v>-0.34877670236786268</v>
      </c>
      <c r="H358" s="5"/>
      <c r="I358" s="5"/>
    </row>
    <row r="359" spans="1:9" x14ac:dyDescent="0.15">
      <c r="A359" s="6">
        <f ca="1">IF(G359="","",IF(COUNTIF(G$5:G359,G359)=1,RANK(G359,G:G,0),RANK(G359,G:G,0)+COUNTIF(G$5:G359,G359)-1))</f>
        <v>194</v>
      </c>
      <c r="B359" s="2" t="str">
        <f t="shared" si="10"/>
        <v/>
      </c>
      <c r="C359" s="103" t="s">
        <v>463</v>
      </c>
      <c r="D359" s="3" t="str">
        <f>[1]!s_info_name(C359)</f>
        <v>出版(申万)</v>
      </c>
      <c r="E359" s="3" t="s">
        <v>253</v>
      </c>
      <c r="F359" s="101" t="str">
        <f t="shared" si="11"/>
        <v/>
      </c>
      <c r="G359" s="5">
        <f ca="1">[1]!f_pq_pctchange(C359,指数分析!$D$5,指数分析!$D$6)/100</f>
        <v>-0.1092780356706573</v>
      </c>
      <c r="H359" s="5"/>
      <c r="I359" s="5"/>
    </row>
    <row r="360" spans="1:9" x14ac:dyDescent="0.15">
      <c r="A360" s="6">
        <f ca="1">IF(G360="","",IF(COUNTIF(G$5:G360,G360)=1,RANK(G360,G:G,0),RANK(G360,G:G,0)+COUNTIF(G$5:G360,G360)-1))</f>
        <v>30</v>
      </c>
      <c r="B360" s="2" t="str">
        <f t="shared" si="10"/>
        <v/>
      </c>
      <c r="C360" s="103" t="s">
        <v>464</v>
      </c>
      <c r="D360" s="3" t="str">
        <f>[1]!s_info_name(C360)</f>
        <v>国有大型银行Ⅱ(申万)</v>
      </c>
      <c r="E360" s="3" t="s">
        <v>253</v>
      </c>
      <c r="F360" s="101" t="str">
        <f t="shared" si="11"/>
        <v/>
      </c>
      <c r="G360" s="5">
        <f ca="1">[1]!f_pq_pctchange(C360,指数分析!$D$5,指数分析!$D$6)/100</f>
        <v>0.21587632420234448</v>
      </c>
      <c r="H360" s="5"/>
      <c r="I360" s="5"/>
    </row>
    <row r="361" spans="1:9" x14ac:dyDescent="0.15">
      <c r="A361" s="6">
        <f ca="1">IF(G361="","",IF(COUNTIF(G$5:G361,G361)=1,RANK(G361,G:G,0),RANK(G361,G:G,0)+COUNTIF(G$5:G361,G361)-1))</f>
        <v>88</v>
      </c>
      <c r="B361" s="2" t="str">
        <f t="shared" si="10"/>
        <v/>
      </c>
      <c r="C361" s="103" t="s">
        <v>465</v>
      </c>
      <c r="D361" s="3" t="str">
        <f>[1]!s_info_name(C361)</f>
        <v>股份制银行Ⅱ(申万)</v>
      </c>
      <c r="E361" s="3" t="s">
        <v>253</v>
      </c>
      <c r="F361" s="101" t="str">
        <f t="shared" si="11"/>
        <v/>
      </c>
      <c r="G361" s="5">
        <f ca="1">[1]!f_pq_pctchange(C361,指数分析!$D$5,指数分析!$D$6)/100</f>
        <v>6.3334914454016955E-2</v>
      </c>
      <c r="H361" s="5"/>
      <c r="I361" s="5"/>
    </row>
    <row r="362" spans="1:9" x14ac:dyDescent="0.15">
      <c r="A362" s="6">
        <f ca="1">IF(G362="","",IF(COUNTIF(G$5:G362,G362)=1,RANK(G362,G:G,0),RANK(G362,G:G,0)+COUNTIF(G$5:G362,G362)-1))</f>
        <v>68</v>
      </c>
      <c r="B362" s="2" t="str">
        <f t="shared" si="10"/>
        <v/>
      </c>
      <c r="C362" s="103" t="s">
        <v>466</v>
      </c>
      <c r="D362" s="3" t="str">
        <f>[1]!s_info_name(C362)</f>
        <v>城商行Ⅱ(申万)</v>
      </c>
      <c r="E362" s="3" t="s">
        <v>253</v>
      </c>
      <c r="F362" s="101" t="str">
        <f t="shared" si="11"/>
        <v/>
      </c>
      <c r="G362" s="5">
        <f ca="1">[1]!f_pq_pctchange(C362,指数分析!$D$5,指数分析!$D$6)/100</f>
        <v>0.10902572754112194</v>
      </c>
      <c r="H362" s="5"/>
      <c r="I362" s="5"/>
    </row>
    <row r="363" spans="1:9" x14ac:dyDescent="0.15">
      <c r="A363" s="6">
        <f ca="1">IF(G363="","",IF(COUNTIF(G$5:G363,G363)=1,RANK(G363,G:G,0),RANK(G363,G:G,0)+COUNTIF(G$5:G363,G363)-1))</f>
        <v>48</v>
      </c>
      <c r="B363" s="2" t="str">
        <f t="shared" si="10"/>
        <v/>
      </c>
      <c r="C363" s="103" t="s">
        <v>467</v>
      </c>
      <c r="D363" s="3" t="str">
        <f>[1]!s_info_name(C363)</f>
        <v>农商行Ⅱ(申万)</v>
      </c>
      <c r="E363" s="3" t="s">
        <v>253</v>
      </c>
      <c r="F363" s="101" t="str">
        <f t="shared" si="11"/>
        <v/>
      </c>
      <c r="G363" s="5">
        <f ca="1">[1]!f_pq_pctchange(C363,指数分析!$D$5,指数分析!$D$6)/100</f>
        <v>0.16725144136678605</v>
      </c>
      <c r="H363" s="5"/>
      <c r="I363" s="5"/>
    </row>
    <row r="364" spans="1:9" x14ac:dyDescent="0.15">
      <c r="A364" s="6">
        <f ca="1">IF(G364="","",IF(COUNTIF(G$5:G364,G364)=1,RANK(G364,G:G,0),RANK(G364,G:G,0)+COUNTIF(G$5:G364,G364)-1))</f>
        <v>230</v>
      </c>
      <c r="B364" s="2" t="str">
        <f t="shared" si="10"/>
        <v/>
      </c>
      <c r="C364" s="103" t="s">
        <v>468</v>
      </c>
      <c r="D364" s="3" t="str">
        <f>[1]!s_info_name(C364)</f>
        <v>摩托车及其他(申万)</v>
      </c>
      <c r="E364" s="3" t="s">
        <v>253</v>
      </c>
      <c r="F364" s="101" t="str">
        <f t="shared" si="11"/>
        <v/>
      </c>
      <c r="G364" s="5">
        <f ca="1">[1]!f_pq_pctchange(C364,指数分析!$D$5,指数分析!$D$6)/100</f>
        <v>-0.1411958658889132</v>
      </c>
      <c r="H364" s="5"/>
      <c r="I364" s="5"/>
    </row>
    <row r="365" spans="1:9" x14ac:dyDescent="0.15">
      <c r="A365" s="6">
        <f ca="1">IF(G365="","",IF(COUNTIF(G$5:G365,G365)=1,RANK(G365,G:G,0),RANK(G365,G:G,0)+COUNTIF(G$5:G365,G365)-1))</f>
        <v>20</v>
      </c>
      <c r="B365" s="2" t="str">
        <f t="shared" si="10"/>
        <v/>
      </c>
      <c r="C365" s="103" t="s">
        <v>469</v>
      </c>
      <c r="D365" s="3" t="str">
        <f>[1]!s_info_name(C365)</f>
        <v>煤炭开采(申万)</v>
      </c>
      <c r="E365" s="3" t="s">
        <v>253</v>
      </c>
      <c r="F365" s="101" t="str">
        <f t="shared" si="11"/>
        <v/>
      </c>
      <c r="G365" s="5">
        <f ca="1">[1]!f_pq_pctchange(C365,指数分析!$D$5,指数分析!$D$6)/100</f>
        <v>0.2805623911698254</v>
      </c>
      <c r="H365" s="5"/>
      <c r="I365" s="5"/>
    </row>
    <row r="366" spans="1:9" x14ac:dyDescent="0.15">
      <c r="A366" s="6">
        <f ca="1">IF(G366="","",IF(COUNTIF(G$5:G366,G366)=1,RANK(G366,G:G,0),RANK(G366,G:G,0)+COUNTIF(G$5:G366,G366)-1))</f>
        <v>444</v>
      </c>
      <c r="B366" s="2" t="str">
        <f t="shared" si="10"/>
        <v/>
      </c>
      <c r="C366" s="103" t="s">
        <v>470</v>
      </c>
      <c r="D366" s="3" t="str">
        <f>[1]!s_info_name(C366)</f>
        <v>焦炭Ⅱ(申万)</v>
      </c>
      <c r="E366" s="3" t="s">
        <v>253</v>
      </c>
      <c r="F366" s="101" t="str">
        <f t="shared" si="11"/>
        <v/>
      </c>
      <c r="G366" s="5">
        <f ca="1">[1]!f_pq_pctchange(C366,指数分析!$D$5,指数分析!$D$6)/100</f>
        <v>-0.33364548418594286</v>
      </c>
      <c r="H366" s="5"/>
      <c r="I366" s="5"/>
    </row>
    <row r="367" spans="1:9" x14ac:dyDescent="0.15">
      <c r="A367" s="6">
        <f ca="1">IF(G367="","",IF(COUNTIF(G$5:G367,G367)=1,RANK(G367,G:G,0),RANK(G367,G:G,0)+COUNTIF(G$5:G367,G367)-1))</f>
        <v>141</v>
      </c>
      <c r="B367" s="2" t="str">
        <f t="shared" si="10"/>
        <v/>
      </c>
      <c r="C367" s="103" t="s">
        <v>471</v>
      </c>
      <c r="D367" s="3" t="str">
        <f>[1]!s_info_name(C367)</f>
        <v>油服工程(申万)</v>
      </c>
      <c r="E367" s="3" t="s">
        <v>253</v>
      </c>
      <c r="F367" s="101" t="str">
        <f t="shared" si="11"/>
        <v/>
      </c>
      <c r="G367" s="5">
        <f ca="1">[1]!f_pq_pctchange(C367,指数分析!$D$5,指数分析!$D$6)/100</f>
        <v>-3.6741354363613699E-2</v>
      </c>
      <c r="H367" s="5"/>
      <c r="I367" s="5"/>
    </row>
    <row r="368" spans="1:9" x14ac:dyDescent="0.15">
      <c r="A368" s="6">
        <f ca="1">IF(G368="","",IF(COUNTIF(G$5:G368,G368)=1,RANK(G368,G:G,0),RANK(G368,G:G,0)+COUNTIF(G$5:G368,G368)-1))</f>
        <v>135</v>
      </c>
      <c r="B368" s="2" t="str">
        <f t="shared" si="10"/>
        <v/>
      </c>
      <c r="C368" s="103" t="s">
        <v>472</v>
      </c>
      <c r="D368" s="3" t="str">
        <f>[1]!s_info_name(C368)</f>
        <v>炼化及贸易(申万)</v>
      </c>
      <c r="E368" s="3" t="s">
        <v>253</v>
      </c>
      <c r="F368" s="101" t="str">
        <f t="shared" si="11"/>
        <v/>
      </c>
      <c r="G368" s="5">
        <f ca="1">[1]!f_pq_pctchange(C368,指数分析!$D$5,指数分析!$D$6)/100</f>
        <v>-1.8823801973603227E-2</v>
      </c>
      <c r="H368" s="5"/>
      <c r="I368" s="5"/>
    </row>
    <row r="369" spans="1:9" x14ac:dyDescent="0.15">
      <c r="A369" s="6">
        <f ca="1">IF(G369="","",IF(COUNTIF(G$5:G369,G369)=1,RANK(G369,G:G,0),RANK(G369,G:G,0)+COUNTIF(G$5:G369,G369)-1))</f>
        <v>289</v>
      </c>
      <c r="B369" s="2" t="str">
        <f t="shared" si="10"/>
        <v/>
      </c>
      <c r="C369" s="103" t="s">
        <v>473</v>
      </c>
      <c r="D369" s="3" t="str">
        <f>[1]!s_info_name(C369)</f>
        <v>环境治理(申万)</v>
      </c>
      <c r="E369" s="3" t="s">
        <v>253</v>
      </c>
      <c r="F369" s="101" t="str">
        <f t="shared" si="11"/>
        <v/>
      </c>
      <c r="G369" s="5">
        <f ca="1">[1]!f_pq_pctchange(C369,指数分析!$D$5,指数分析!$D$6)/100</f>
        <v>-0.19207699900130248</v>
      </c>
      <c r="H369" s="5"/>
      <c r="I369" s="5"/>
    </row>
    <row r="370" spans="1:9" x14ac:dyDescent="0.15">
      <c r="A370" s="6">
        <f ca="1">IF(G370="","",IF(COUNTIF(G$5:G370,G370)=1,RANK(G370,G:G,0),RANK(G370,G:G,0)+COUNTIF(G$5:G370,G370)-1))</f>
        <v>430</v>
      </c>
      <c r="B370" s="2" t="str">
        <f t="shared" si="10"/>
        <v/>
      </c>
      <c r="C370" s="103" t="s">
        <v>474</v>
      </c>
      <c r="D370" s="3" t="str">
        <f>[1]!s_info_name(C370)</f>
        <v>环保设备Ⅱ(申万)</v>
      </c>
      <c r="E370" s="3" t="s">
        <v>253</v>
      </c>
      <c r="F370" s="101" t="str">
        <f t="shared" si="11"/>
        <v/>
      </c>
      <c r="G370" s="5">
        <f ca="1">[1]!f_pq_pctchange(C370,指数分析!$D$5,指数分析!$D$6)/100</f>
        <v>-0.3200312640675938</v>
      </c>
      <c r="H370" s="5"/>
      <c r="I370" s="5"/>
    </row>
    <row r="371" spans="1:9" x14ac:dyDescent="0.15">
      <c r="A371" s="6">
        <f ca="1">IF(G371="","",IF(COUNTIF(G$5:G371,G371)=1,RANK(G371,G:G,0),RANK(G371,G:G,0)+COUNTIF(G$5:G371,G371)-1))</f>
        <v>385</v>
      </c>
      <c r="B371" s="2" t="str">
        <f t="shared" si="10"/>
        <v/>
      </c>
      <c r="C371" s="103" t="s">
        <v>475</v>
      </c>
      <c r="D371" s="3" t="str">
        <f>[1]!s_info_name(C371)</f>
        <v>个护用品(申万)</v>
      </c>
      <c r="E371" s="3" t="s">
        <v>253</v>
      </c>
      <c r="F371" s="101" t="str">
        <f t="shared" si="11"/>
        <v/>
      </c>
      <c r="G371" s="5">
        <f ca="1">[1]!f_pq_pctchange(C371,指数分析!$D$5,指数分析!$D$6)/100</f>
        <v>-0.26088660396407881</v>
      </c>
      <c r="H371" s="5"/>
      <c r="I371" s="5"/>
    </row>
    <row r="372" spans="1:9" x14ac:dyDescent="0.15">
      <c r="A372" s="6">
        <f ca="1">IF(G372="","",IF(COUNTIF(G$5:G372,G372)=1,RANK(G372,G:G,0),RANK(G372,G:G,0)+COUNTIF(G$5:G372,G372)-1))</f>
        <v>338</v>
      </c>
      <c r="B372" s="2" t="str">
        <f t="shared" si="10"/>
        <v/>
      </c>
      <c r="C372" s="103" t="s">
        <v>476</v>
      </c>
      <c r="D372" s="3" t="str">
        <f>[1]!s_info_name(C372)</f>
        <v>化妆品(申万)</v>
      </c>
      <c r="E372" s="3" t="s">
        <v>253</v>
      </c>
      <c r="F372" s="101" t="str">
        <f t="shared" si="11"/>
        <v/>
      </c>
      <c r="G372" s="5">
        <f ca="1">[1]!f_pq_pctchange(C372,指数分析!$D$5,指数分析!$D$6)/100</f>
        <v>-0.22020514692133186</v>
      </c>
      <c r="H372" s="5"/>
      <c r="I372" s="5"/>
    </row>
    <row r="373" spans="1:9" x14ac:dyDescent="0.15">
      <c r="A373" s="6">
        <f ca="1">IF(G373="","",IF(COUNTIF(G$5:G373,G373)=1,RANK(G373,G:G,0),RANK(G373,G:G,0)+COUNTIF(G$5:G373,G373)-1))</f>
        <v>341</v>
      </c>
      <c r="B373" s="2" t="str">
        <f t="shared" si="10"/>
        <v/>
      </c>
      <c r="C373" s="103" t="s">
        <v>477</v>
      </c>
      <c r="D373" s="3" t="str">
        <f>[1]!s_info_name(C373)</f>
        <v>航空机场(申万)</v>
      </c>
      <c r="E373" s="3" t="s">
        <v>253</v>
      </c>
      <c r="F373" s="101" t="str">
        <f t="shared" si="11"/>
        <v/>
      </c>
      <c r="G373" s="5">
        <f ca="1">[1]!f_pq_pctchange(C373,指数分析!$D$5,指数分析!$D$6)/100</f>
        <v>-0.22089601290688818</v>
      </c>
      <c r="H373" s="5"/>
      <c r="I373" s="5"/>
    </row>
    <row r="374" spans="1:9" x14ac:dyDescent="0.15">
      <c r="A374" s="6">
        <f ca="1">IF(G374="","",IF(COUNTIF(G$5:G374,G374)=1,RANK(G374,G:G,0),RANK(G374,G:G,0)+COUNTIF(G$5:G374,G374)-1))</f>
        <v>59</v>
      </c>
      <c r="B374" s="2" t="str">
        <f t="shared" si="10"/>
        <v/>
      </c>
      <c r="C374" s="103" t="s">
        <v>478</v>
      </c>
      <c r="D374" s="3" t="str">
        <f>[1]!s_info_name(C374)</f>
        <v>航运港口(申万)</v>
      </c>
      <c r="E374" s="3" t="s">
        <v>253</v>
      </c>
      <c r="F374" s="101" t="str">
        <f t="shared" si="11"/>
        <v/>
      </c>
      <c r="G374" s="5">
        <f ca="1">[1]!f_pq_pctchange(C374,指数分析!$D$5,指数分析!$D$6)/100</f>
        <v>0.13005887635964464</v>
      </c>
      <c r="H374" s="5"/>
      <c r="I374" s="5"/>
    </row>
    <row r="375" spans="1:9" x14ac:dyDescent="0.15">
      <c r="A375" s="6">
        <f ca="1">IF(G375="","",IF(COUNTIF(G$5:G375,G375)=1,RANK(G375,G:G,0),RANK(G375,G:G,0)+COUNTIF(G$5:G375,G375)-1))</f>
        <v>371</v>
      </c>
      <c r="B375" s="2" t="str">
        <f t="shared" si="10"/>
        <v/>
      </c>
      <c r="C375" s="103" t="s">
        <v>479</v>
      </c>
      <c r="D375" s="3" t="str">
        <f>[1]!s_info_name(C375)</f>
        <v>旅游及景区(申万)</v>
      </c>
      <c r="E375" s="3" t="s">
        <v>253</v>
      </c>
      <c r="F375" s="101" t="str">
        <f t="shared" si="11"/>
        <v/>
      </c>
      <c r="G375" s="5">
        <f ca="1">[1]!f_pq_pctchange(C375,指数分析!$D$5,指数分析!$D$6)/100</f>
        <v>-0.24831310600199388</v>
      </c>
      <c r="H375" s="5"/>
      <c r="I375" s="5"/>
    </row>
    <row r="376" spans="1:9" x14ac:dyDescent="0.15">
      <c r="A376" s="6">
        <f ca="1">IF(G376="","",IF(COUNTIF(G$5:G376,G376)=1,RANK(G376,G:G,0),RANK(G376,G:G,0)+COUNTIF(G$5:G376,G376)-1))</f>
        <v>480</v>
      </c>
      <c r="B376" s="2" t="str">
        <f t="shared" si="10"/>
        <v/>
      </c>
      <c r="C376" s="103" t="s">
        <v>480</v>
      </c>
      <c r="D376" s="3" t="str">
        <f>[1]!s_info_name(C376)</f>
        <v>教育(申万)</v>
      </c>
      <c r="E376" s="3" t="s">
        <v>253</v>
      </c>
      <c r="F376" s="101" t="str">
        <f t="shared" si="11"/>
        <v/>
      </c>
      <c r="G376" s="5">
        <f ca="1">[1]!f_pq_pctchange(C376,指数分析!$D$5,指数分析!$D$6)/100</f>
        <v>-0.41199276094076098</v>
      </c>
      <c r="H376" s="5"/>
      <c r="I376" s="5"/>
    </row>
    <row r="377" spans="1:9" x14ac:dyDescent="0.15">
      <c r="A377" s="6">
        <f ca="1">IF(G377="","",IF(COUNTIF(G$5:G377,G377)=1,RANK(G377,G:G,0),RANK(G377,G:G,0)+COUNTIF(G$5:G377,G377)-1))</f>
        <v>401</v>
      </c>
      <c r="B377" s="2" t="str">
        <f t="shared" si="10"/>
        <v/>
      </c>
      <c r="C377" s="103" t="s">
        <v>481</v>
      </c>
      <c r="D377" s="3" t="str">
        <f>[1]!s_info_name(C377)</f>
        <v>电视广播Ⅱ(申万)</v>
      </c>
      <c r="E377" s="3" t="s">
        <v>253</v>
      </c>
      <c r="F377" s="101" t="str">
        <f t="shared" si="11"/>
        <v/>
      </c>
      <c r="G377" s="5">
        <f ca="1">[1]!f_pq_pctchange(C377,指数分析!$D$5,指数分析!$D$6)/100</f>
        <v>-0.27628256395970552</v>
      </c>
      <c r="H377" s="5"/>
      <c r="I377" s="5"/>
    </row>
    <row r="378" spans="1:9" x14ac:dyDescent="0.15">
      <c r="A378" s="6">
        <f ca="1">IF(G378="","",IF(COUNTIF(G$5:G378,G378)=1,RANK(G378,G:G,0),RANK(G378,G:G,0)+COUNTIF(G$5:G378,G378)-1))</f>
        <v>152</v>
      </c>
      <c r="B378" s="2" t="str">
        <f t="shared" si="10"/>
        <v/>
      </c>
      <c r="C378" s="103" t="s">
        <v>160</v>
      </c>
      <c r="D378" s="3" t="str">
        <f>[1]!s_info_name(C378)</f>
        <v>有色金属(申万)</v>
      </c>
      <c r="E378" s="3" t="s">
        <v>253</v>
      </c>
      <c r="F378" s="101" t="str">
        <f t="shared" si="11"/>
        <v/>
      </c>
      <c r="G378" s="5">
        <f ca="1">[1]!f_pq_pctchange(C378,指数分析!$D$5,指数分析!$D$6)/100</f>
        <v>-5.2697345078135838E-2</v>
      </c>
      <c r="H378" s="5"/>
      <c r="I378" s="5"/>
    </row>
    <row r="379" spans="1:9" x14ac:dyDescent="0.15">
      <c r="A379" s="6">
        <f ca="1">IF(G379="","",IF(COUNTIF(G$5:G379,G379)=1,RANK(G379,G:G,0),RANK(G379,G:G,0)+COUNTIF(G$5:G379,G379)-1))</f>
        <v>227</v>
      </c>
      <c r="B379" s="2" t="str">
        <f t="shared" si="10"/>
        <v/>
      </c>
      <c r="C379" s="103" t="s">
        <v>161</v>
      </c>
      <c r="D379" s="3" t="str">
        <f>[1]!s_info_name(C379)</f>
        <v>电子(申万)</v>
      </c>
      <c r="E379" s="3" t="s">
        <v>253</v>
      </c>
      <c r="F379" s="101" t="str">
        <f t="shared" si="11"/>
        <v/>
      </c>
      <c r="G379" s="5">
        <f ca="1">[1]!f_pq_pctchange(C379,指数分析!$D$5,指数分析!$D$6)/100</f>
        <v>-0.13875401764343842</v>
      </c>
      <c r="H379" s="5"/>
      <c r="I379" s="5"/>
    </row>
    <row r="380" spans="1:9" x14ac:dyDescent="0.15">
      <c r="A380" s="6">
        <f ca="1">IF(G380="","",IF(COUNTIF(G$5:G380,G380)=1,RANK(G380,G:G,0),RANK(G380,G:G,0)+COUNTIF(G$5:G380,G380)-1))</f>
        <v>119</v>
      </c>
      <c r="B380" s="2" t="str">
        <f t="shared" si="10"/>
        <v/>
      </c>
      <c r="C380" s="103" t="s">
        <v>162</v>
      </c>
      <c r="D380" s="3" t="str">
        <f>[1]!s_info_name(C380)</f>
        <v>家用电器(申万)</v>
      </c>
      <c r="E380" s="3" t="s">
        <v>253</v>
      </c>
      <c r="F380" s="101" t="str">
        <f t="shared" si="11"/>
        <v/>
      </c>
      <c r="G380" s="5">
        <f ca="1">[1]!f_pq_pctchange(C380,指数分析!$D$5,指数分析!$D$6)/100</f>
        <v>2.986427825704574E-3</v>
      </c>
      <c r="H380" s="5"/>
      <c r="I380" s="5"/>
    </row>
    <row r="381" spans="1:9" x14ac:dyDescent="0.15">
      <c r="A381" s="6">
        <f ca="1">IF(G381="","",IF(COUNTIF(G$5:G381,G381)=1,RANK(G381,G:G,0),RANK(G381,G:G,0)+COUNTIF(G$5:G381,G381)-1))</f>
        <v>322</v>
      </c>
      <c r="B381" s="2" t="str">
        <f t="shared" si="10"/>
        <v/>
      </c>
      <c r="C381" s="103" t="s">
        <v>163</v>
      </c>
      <c r="D381" s="3" t="str">
        <f>[1]!s_info_name(C381)</f>
        <v>食品饮料(申万)</v>
      </c>
      <c r="E381" s="3" t="s">
        <v>253</v>
      </c>
      <c r="F381" s="101" t="str">
        <f t="shared" si="11"/>
        <v/>
      </c>
      <c r="G381" s="5">
        <f ca="1">[1]!f_pq_pctchange(C381,指数分析!$D$5,指数分析!$D$6)/100</f>
        <v>-0.20866096811692436</v>
      </c>
      <c r="H381" s="5"/>
      <c r="I381" s="5"/>
    </row>
    <row r="382" spans="1:9" x14ac:dyDescent="0.15">
      <c r="A382" s="6">
        <f ca="1">IF(G382="","",IF(COUNTIF(G$5:G382,G382)=1,RANK(G382,G:G,0),RANK(G382,G:G,0)+COUNTIF(G$5:G382,G382)-1))</f>
        <v>284</v>
      </c>
      <c r="B382" s="2" t="str">
        <f t="shared" si="10"/>
        <v/>
      </c>
      <c r="C382" s="103" t="s">
        <v>164</v>
      </c>
      <c r="D382" s="3" t="str">
        <f>[1]!s_info_name(C382)</f>
        <v>纺织服饰(申万)</v>
      </c>
      <c r="E382" s="3" t="s">
        <v>253</v>
      </c>
      <c r="F382" s="101" t="str">
        <f t="shared" si="11"/>
        <v/>
      </c>
      <c r="G382" s="5">
        <f ca="1">[1]!f_pq_pctchange(C382,指数分析!$D$5,指数分析!$D$6)/100</f>
        <v>-0.18476395780292754</v>
      </c>
      <c r="H382" s="5"/>
      <c r="I382" s="5"/>
    </row>
    <row r="383" spans="1:9" x14ac:dyDescent="0.15">
      <c r="A383" s="6">
        <f ca="1">IF(G383="","",IF(COUNTIF(G$5:G383,G383)=1,RANK(G383,G:G,0),RANK(G383,G:G,0)+COUNTIF(G$5:G383,G383)-1))</f>
        <v>366</v>
      </c>
      <c r="B383" s="2" t="str">
        <f t="shared" si="10"/>
        <v/>
      </c>
      <c r="C383" s="103" t="s">
        <v>165</v>
      </c>
      <c r="D383" s="3" t="str">
        <f>[1]!s_info_name(C383)</f>
        <v>轻工制造(申万)</v>
      </c>
      <c r="E383" s="3" t="s">
        <v>253</v>
      </c>
      <c r="F383" s="101" t="str">
        <f t="shared" si="11"/>
        <v/>
      </c>
      <c r="G383" s="5">
        <f ca="1">[1]!f_pq_pctchange(C383,指数分析!$D$5,指数分析!$D$6)/100</f>
        <v>-0.24204563873641416</v>
      </c>
      <c r="H383" s="5"/>
      <c r="I383" s="5"/>
    </row>
    <row r="384" spans="1:9" x14ac:dyDescent="0.15">
      <c r="A384" s="6">
        <f ca="1">IF(G384="","",IF(COUNTIF(G$5:G384,G384)=1,RANK(G384,G:G,0),RANK(G384,G:G,0)+COUNTIF(G$5:G384,G384)-1))</f>
        <v>317</v>
      </c>
      <c r="B384" s="2" t="str">
        <f t="shared" si="10"/>
        <v/>
      </c>
      <c r="C384" s="103" t="s">
        <v>166</v>
      </c>
      <c r="D384" s="3" t="str">
        <f>[1]!s_info_name(C384)</f>
        <v>医药生物(申万)</v>
      </c>
      <c r="E384" s="3" t="s">
        <v>253</v>
      </c>
      <c r="F384" s="101" t="str">
        <f t="shared" si="11"/>
        <v/>
      </c>
      <c r="G384" s="5">
        <f ca="1">[1]!f_pq_pctchange(C384,指数分析!$D$5,指数分析!$D$6)/100</f>
        <v>-0.2079328983712736</v>
      </c>
      <c r="H384" s="5"/>
      <c r="I384" s="5"/>
    </row>
    <row r="385" spans="1:9" x14ac:dyDescent="0.15">
      <c r="A385" s="6">
        <f ca="1">IF(G385="","",IF(COUNTIF(G$5:G385,G385)=1,RANK(G385,G:G,0),RANK(G385,G:G,0)+COUNTIF(G$5:G385,G385)-1))</f>
        <v>105</v>
      </c>
      <c r="B385" s="2" t="str">
        <f t="shared" si="10"/>
        <v/>
      </c>
      <c r="C385" s="103" t="s">
        <v>167</v>
      </c>
      <c r="D385" s="3" t="str">
        <f>[1]!s_info_name(C385)</f>
        <v>公用事业(申万)</v>
      </c>
      <c r="E385" s="3" t="s">
        <v>253</v>
      </c>
      <c r="F385" s="101" t="str">
        <f t="shared" si="11"/>
        <v/>
      </c>
      <c r="G385" s="5">
        <f ca="1">[1]!f_pq_pctchange(C385,指数分析!$D$5,指数分析!$D$6)/100</f>
        <v>3.7062342797846037E-2</v>
      </c>
      <c r="H385" s="5"/>
      <c r="I385" s="5"/>
    </row>
    <row r="386" spans="1:9" x14ac:dyDescent="0.15">
      <c r="A386" s="6">
        <f ca="1">IF(G386="","",IF(COUNTIF(G$5:G386,G386)=1,RANK(G386,G:G,0),RANK(G386,G:G,0)+COUNTIF(G$5:G386,G386)-1))</f>
        <v>159</v>
      </c>
      <c r="B386" s="2" t="str">
        <f t="shared" si="10"/>
        <v/>
      </c>
      <c r="C386" s="103" t="s">
        <v>168</v>
      </c>
      <c r="D386" s="3" t="str">
        <f>[1]!s_info_name(C386)</f>
        <v>交通运输(申万)</v>
      </c>
      <c r="E386" s="3" t="s">
        <v>253</v>
      </c>
      <c r="F386" s="101" t="str">
        <f t="shared" si="11"/>
        <v/>
      </c>
      <c r="G386" s="5">
        <f ca="1">[1]!f_pq_pctchange(C386,指数分析!$D$5,指数分析!$D$6)/100</f>
        <v>-6.5464104423495262E-2</v>
      </c>
      <c r="H386" s="5"/>
      <c r="I386" s="5"/>
    </row>
    <row r="387" spans="1:9" x14ac:dyDescent="0.15">
      <c r="A387" s="6">
        <f ca="1">IF(G387="","",IF(COUNTIF(G$5:G387,G387)=1,RANK(G387,G:G,0),RANK(G387,G:G,0)+COUNTIF(G$5:G387,G387)-1))</f>
        <v>432</v>
      </c>
      <c r="B387" s="2" t="str">
        <f t="shared" si="10"/>
        <v/>
      </c>
      <c r="C387" s="103" t="s">
        <v>169</v>
      </c>
      <c r="D387" s="3" t="str">
        <f>[1]!s_info_name(C387)</f>
        <v>房地产(申万)</v>
      </c>
      <c r="E387" s="3" t="s">
        <v>253</v>
      </c>
      <c r="F387" s="101" t="str">
        <f t="shared" si="11"/>
        <v/>
      </c>
      <c r="G387" s="5">
        <f ca="1">[1]!f_pq_pctchange(C387,指数分析!$D$5,指数分析!$D$6)/100</f>
        <v>-0.32030226700251885</v>
      </c>
      <c r="H387" s="5"/>
      <c r="I387" s="5"/>
    </row>
    <row r="388" spans="1:9" x14ac:dyDescent="0.15">
      <c r="A388" s="6">
        <f ca="1">IF(G388="","",IF(COUNTIF(G$5:G388,G388)=1,RANK(G388,G:G,0),RANK(G388,G:G,0)+COUNTIF(G$5:G388,G388)-1))</f>
        <v>440</v>
      </c>
      <c r="B388" s="2" t="str">
        <f t="shared" si="10"/>
        <v/>
      </c>
      <c r="C388" s="103" t="s">
        <v>170</v>
      </c>
      <c r="D388" s="3" t="str">
        <f>[1]!s_info_name(C388)</f>
        <v>商贸零售(申万)</v>
      </c>
      <c r="E388" s="3" t="s">
        <v>253</v>
      </c>
      <c r="F388" s="101" t="str">
        <f t="shared" si="11"/>
        <v/>
      </c>
      <c r="G388" s="5">
        <f ca="1">[1]!f_pq_pctchange(C388,指数分析!$D$5,指数分析!$D$6)/100</f>
        <v>-0.32607857107201377</v>
      </c>
      <c r="H388" s="5"/>
      <c r="I388" s="5"/>
    </row>
    <row r="389" spans="1:9" x14ac:dyDescent="0.15">
      <c r="A389" s="6">
        <f ca="1">IF(G389="","",IF(COUNTIF(G$5:G389,G389)=1,RANK(G389,G:G,0),RANK(G389,G:G,0)+COUNTIF(G$5:G389,G389)-1))</f>
        <v>462</v>
      </c>
      <c r="B389" s="2" t="str">
        <f t="shared" si="10"/>
        <v/>
      </c>
      <c r="C389" s="103" t="s">
        <v>171</v>
      </c>
      <c r="D389" s="3" t="str">
        <f>[1]!s_info_name(C389)</f>
        <v>社会服务(申万)</v>
      </c>
      <c r="E389" s="3" t="s">
        <v>253</v>
      </c>
      <c r="F389" s="101" t="str">
        <f t="shared" si="11"/>
        <v/>
      </c>
      <c r="G389" s="5">
        <f ca="1">[1]!f_pq_pctchange(C389,指数分析!$D$5,指数分析!$D$6)/100</f>
        <v>-0.36081858951160939</v>
      </c>
      <c r="H389" s="5"/>
      <c r="I389" s="5"/>
    </row>
    <row r="390" spans="1:9" x14ac:dyDescent="0.15">
      <c r="A390" s="6">
        <f ca="1">IF(G390="","",IF(COUNTIF(G$5:G390,G390)=1,RANK(G390,G:G,0),RANK(G390,G:G,0)+COUNTIF(G$5:G390,G390)-1))</f>
        <v>458</v>
      </c>
      <c r="B390" s="2" t="str">
        <f t="shared" ref="B390:B453" si="12">IF(F390="","",RANK(F390,F:F,1))</f>
        <v/>
      </c>
      <c r="C390" s="103" t="s">
        <v>172</v>
      </c>
      <c r="D390" s="3" t="str">
        <f>[1]!s_info_name(C390)</f>
        <v>综合(申万)</v>
      </c>
      <c r="E390" s="3" t="s">
        <v>253</v>
      </c>
      <c r="F390" s="101" t="str">
        <f t="shared" ref="F390:F453" si="13">IF(ISERROR(FIND(F$4,$E390,1)),"",ROW())</f>
        <v/>
      </c>
      <c r="G390" s="5">
        <f ca="1">[1]!f_pq_pctchange(C390,指数分析!$D$5,指数分析!$D$6)/100</f>
        <v>-0.355082234378026</v>
      </c>
      <c r="H390" s="5"/>
      <c r="I390" s="5"/>
    </row>
    <row r="391" spans="1:9" x14ac:dyDescent="0.15">
      <c r="A391" s="6">
        <f ca="1">IF(G391="","",IF(COUNTIF(G$5:G391,G391)=1,RANK(G391,G:G,0),RANK(G391,G:G,0)+COUNTIF(G$5:G391,G391)-1))</f>
        <v>370</v>
      </c>
      <c r="B391" s="2" t="str">
        <f t="shared" si="12"/>
        <v/>
      </c>
      <c r="C391" s="103" t="s">
        <v>386</v>
      </c>
      <c r="D391" s="3" t="str">
        <f>[1]!s_info_name(C391)</f>
        <v>建筑材料(申万)</v>
      </c>
      <c r="E391" s="3" t="s">
        <v>253</v>
      </c>
      <c r="F391" s="101" t="str">
        <f t="shared" si="13"/>
        <v/>
      </c>
      <c r="G391" s="5">
        <f ca="1">[1]!f_pq_pctchange(C391,指数分析!$D$5,指数分析!$D$6)/100</f>
        <v>-0.24465072667604315</v>
      </c>
      <c r="H391" s="5"/>
      <c r="I391" s="5"/>
    </row>
    <row r="392" spans="1:9" x14ac:dyDescent="0.15">
      <c r="A392" s="6">
        <f ca="1">IF(G392="","",IF(COUNTIF(G$5:G392,G392)=1,RANK(G392,G:G,0),RANK(G392,G:G,0)+COUNTIF(G$5:G392,G392)-1))</f>
        <v>330</v>
      </c>
      <c r="B392" s="2" t="str">
        <f t="shared" si="12"/>
        <v/>
      </c>
      <c r="C392" s="103" t="s">
        <v>387</v>
      </c>
      <c r="D392" s="3" t="str">
        <f>[1]!s_info_name(C392)</f>
        <v>建筑装饰(申万)</v>
      </c>
      <c r="E392" s="3" t="s">
        <v>253</v>
      </c>
      <c r="F392" s="101" t="str">
        <f t="shared" si="13"/>
        <v/>
      </c>
      <c r="G392" s="5">
        <f ca="1">[1]!f_pq_pctchange(C392,指数分析!$D$5,指数分析!$D$6)/100</f>
        <v>-0.21158545742487747</v>
      </c>
      <c r="H392" s="5"/>
      <c r="I392" s="5"/>
    </row>
    <row r="393" spans="1:9" x14ac:dyDescent="0.15">
      <c r="A393" s="6">
        <f ca="1">IF(G393="","",IF(COUNTIF(G$5:G393,G393)=1,RANK(G393,G:G,0),RANK(G393,G:G,0)+COUNTIF(G$5:G393,G393)-1))</f>
        <v>450</v>
      </c>
      <c r="B393" s="2" t="str">
        <f t="shared" si="12"/>
        <v/>
      </c>
      <c r="C393" s="103" t="s">
        <v>388</v>
      </c>
      <c r="D393" s="3" t="str">
        <f>[1]!s_info_name(C393)</f>
        <v>电力设备(申万)</v>
      </c>
      <c r="E393" s="3" t="s">
        <v>253</v>
      </c>
      <c r="F393" s="101" t="str">
        <f t="shared" si="13"/>
        <v/>
      </c>
      <c r="G393" s="5">
        <f ca="1">[1]!f_pq_pctchange(C393,指数分析!$D$5,指数分析!$D$6)/100</f>
        <v>-0.34357386759856662</v>
      </c>
      <c r="H393" s="5"/>
      <c r="I393" s="5"/>
    </row>
    <row r="394" spans="1:9" x14ac:dyDescent="0.15">
      <c r="A394" s="6">
        <f ca="1">IF(G394="","",IF(COUNTIF(G$5:G394,G394)=1,RANK(G394,G:G,0),RANK(G394,G:G,0)+COUNTIF(G$5:G394,G394)-1))</f>
        <v>309</v>
      </c>
      <c r="B394" s="2" t="str">
        <f t="shared" si="12"/>
        <v/>
      </c>
      <c r="C394" s="103" t="s">
        <v>389</v>
      </c>
      <c r="D394" s="3" t="str">
        <f>[1]!s_info_name(C394)</f>
        <v>国防军工(申万)</v>
      </c>
      <c r="E394" s="3" t="s">
        <v>253</v>
      </c>
      <c r="F394" s="101" t="str">
        <f t="shared" si="13"/>
        <v/>
      </c>
      <c r="G394" s="5">
        <f ca="1">[1]!f_pq_pctchange(C394,指数分析!$D$5,指数分析!$D$6)/100</f>
        <v>-0.20439020005649855</v>
      </c>
      <c r="H394" s="5"/>
      <c r="I394" s="5"/>
    </row>
    <row r="395" spans="1:9" x14ac:dyDescent="0.15">
      <c r="A395" s="6">
        <f ca="1">IF(G395="","",IF(COUNTIF(G$5:G395,G395)=1,RANK(G395,G:G,0),RANK(G395,G:G,0)+COUNTIF(G$5:G395,G395)-1))</f>
        <v>460</v>
      </c>
      <c r="B395" s="2" t="str">
        <f t="shared" si="12"/>
        <v/>
      </c>
      <c r="C395" s="103" t="s">
        <v>390</v>
      </c>
      <c r="D395" s="3" t="str">
        <f>[1]!s_info_name(C395)</f>
        <v>计算机(申万)</v>
      </c>
      <c r="E395" s="3" t="s">
        <v>253</v>
      </c>
      <c r="F395" s="101" t="str">
        <f t="shared" si="13"/>
        <v/>
      </c>
      <c r="G395" s="5">
        <f ca="1">[1]!f_pq_pctchange(C395,指数分析!$D$5,指数分析!$D$6)/100</f>
        <v>-0.35566009937307586</v>
      </c>
      <c r="H395" s="5"/>
      <c r="I395" s="5"/>
    </row>
    <row r="396" spans="1:9" x14ac:dyDescent="0.15">
      <c r="A396" s="6">
        <f ca="1">IF(G396="","",IF(COUNTIF(G$5:G396,G396)=1,RANK(G396,G:G,0),RANK(G396,G:G,0)+COUNTIF(G$5:G396,G396)-1))</f>
        <v>442</v>
      </c>
      <c r="B396" s="2" t="str">
        <f t="shared" si="12"/>
        <v/>
      </c>
      <c r="C396" s="103" t="s">
        <v>391</v>
      </c>
      <c r="D396" s="3" t="str">
        <f>[1]!s_info_name(C396)</f>
        <v>传媒(申万)</v>
      </c>
      <c r="E396" s="3" t="s">
        <v>253</v>
      </c>
      <c r="F396" s="101" t="str">
        <f t="shared" si="13"/>
        <v/>
      </c>
      <c r="G396" s="5">
        <f ca="1">[1]!f_pq_pctchange(C396,指数分析!$D$5,指数分析!$D$6)/100</f>
        <v>-0.32685965555148416</v>
      </c>
      <c r="H396" s="5"/>
      <c r="I396" s="5"/>
    </row>
    <row r="397" spans="1:9" x14ac:dyDescent="0.15">
      <c r="A397" s="6">
        <f ca="1">IF(G397="","",IF(COUNTIF(G$5:G397,G397)=1,RANK(G397,G:G,0),RANK(G397,G:G,0)+COUNTIF(G$5:G397,G397)-1))</f>
        <v>205</v>
      </c>
      <c r="B397" s="2" t="str">
        <f t="shared" si="12"/>
        <v/>
      </c>
      <c r="C397" s="103" t="s">
        <v>392</v>
      </c>
      <c r="D397" s="3" t="str">
        <f>[1]!s_info_name(C397)</f>
        <v>通信(申万)</v>
      </c>
      <c r="E397" s="3" t="s">
        <v>253</v>
      </c>
      <c r="F397" s="101" t="str">
        <f t="shared" si="13"/>
        <v/>
      </c>
      <c r="G397" s="5">
        <f ca="1">[1]!f_pq_pctchange(C397,指数分析!$D$5,指数分析!$D$6)/100</f>
        <v>-0.12212649469915447</v>
      </c>
      <c r="H397" s="5"/>
      <c r="I397" s="5"/>
    </row>
    <row r="398" spans="1:9" x14ac:dyDescent="0.15">
      <c r="A398" s="6">
        <f ca="1">IF(G398="","",IF(COUNTIF(G$5:G398,G398)=1,RANK(G398,G:G,0),RANK(G398,G:G,0)+COUNTIF(G$5:G398,G398)-1))</f>
        <v>62</v>
      </c>
      <c r="B398" s="2" t="str">
        <f t="shared" si="12"/>
        <v/>
      </c>
      <c r="C398" s="103" t="s">
        <v>393</v>
      </c>
      <c r="D398" s="3" t="str">
        <f>[1]!s_info_name(C398)</f>
        <v>银行(申万)</v>
      </c>
      <c r="E398" s="3" t="s">
        <v>253</v>
      </c>
      <c r="F398" s="101" t="str">
        <f t="shared" si="13"/>
        <v/>
      </c>
      <c r="G398" s="5">
        <f ca="1">[1]!f_pq_pctchange(C398,指数分析!$D$5,指数分析!$D$6)/100</f>
        <v>0.11857662050880989</v>
      </c>
      <c r="H398" s="5"/>
      <c r="I398" s="5"/>
    </row>
    <row r="399" spans="1:9" x14ac:dyDescent="0.15">
      <c r="A399" s="6">
        <f ca="1">IF(G399="","",IF(COUNTIF(G$5:G399,G399)=1,RANK(G399,G:G,0),RANK(G399,G:G,0)+COUNTIF(G$5:G399,G399)-1))</f>
        <v>209</v>
      </c>
      <c r="B399" s="2" t="str">
        <f t="shared" si="12"/>
        <v/>
      </c>
      <c r="C399" s="103" t="s">
        <v>394</v>
      </c>
      <c r="D399" s="3" t="str">
        <f>[1]!s_info_name(C399)</f>
        <v>非银金融(申万)</v>
      </c>
      <c r="E399" s="3" t="s">
        <v>253</v>
      </c>
      <c r="F399" s="101" t="str">
        <f t="shared" si="13"/>
        <v/>
      </c>
      <c r="G399" s="5">
        <f ca="1">[1]!f_pq_pctchange(C399,指数分析!$D$5,指数分析!$D$6)/100</f>
        <v>-0.1249499319073941</v>
      </c>
      <c r="H399" s="5"/>
      <c r="I399" s="5"/>
    </row>
    <row r="400" spans="1:9" x14ac:dyDescent="0.15">
      <c r="A400" s="6">
        <f ca="1">IF(G400="","",IF(COUNTIF(G$5:G400,G400)=1,RANK(G400,G:G,0),RANK(G400,G:G,0)+COUNTIF(G$5:G400,G400)-1))</f>
        <v>177</v>
      </c>
      <c r="B400" s="2" t="str">
        <f t="shared" si="12"/>
        <v/>
      </c>
      <c r="C400" s="103" t="s">
        <v>395</v>
      </c>
      <c r="D400" s="3" t="str">
        <f>[1]!s_info_name(C400)</f>
        <v>汽车(申万)</v>
      </c>
      <c r="E400" s="3" t="s">
        <v>253</v>
      </c>
      <c r="F400" s="101" t="str">
        <f t="shared" si="13"/>
        <v/>
      </c>
      <c r="G400" s="5">
        <f ca="1">[1]!f_pq_pctchange(C400,指数分析!$D$5,指数分析!$D$6)/100</f>
        <v>-8.8344660666795249E-2</v>
      </c>
      <c r="H400" s="5"/>
      <c r="I400" s="5"/>
    </row>
    <row r="401" spans="1:9" x14ac:dyDescent="0.15">
      <c r="A401" s="6">
        <f ca="1">IF(G401="","",IF(COUNTIF(G$5:G401,G401)=1,RANK(G401,G:G,0),RANK(G401,G:G,0)+COUNTIF(G$5:G401,G401)-1))</f>
        <v>314</v>
      </c>
      <c r="B401" s="2" t="str">
        <f t="shared" si="12"/>
        <v/>
      </c>
      <c r="C401" s="103" t="s">
        <v>396</v>
      </c>
      <c r="D401" s="3" t="str">
        <f>[1]!s_info_name(C401)</f>
        <v>机械设备(申万)</v>
      </c>
      <c r="E401" s="3" t="s">
        <v>253</v>
      </c>
      <c r="F401" s="101" t="str">
        <f t="shared" si="13"/>
        <v/>
      </c>
      <c r="G401" s="5">
        <f ca="1">[1]!f_pq_pctchange(C401,指数分析!$D$5,指数分析!$D$6)/100</f>
        <v>-0.20630359826717359</v>
      </c>
      <c r="H401" s="5"/>
      <c r="I401" s="5"/>
    </row>
    <row r="402" spans="1:9" x14ac:dyDescent="0.15">
      <c r="A402" s="6">
        <f ca="1">IF(G402="","",IF(COUNTIF(G$5:G402,G402)=1,RANK(G402,G:G,0),RANK(G402,G:G,0)+COUNTIF(G$5:G402,G402)-1))</f>
        <v>29</v>
      </c>
      <c r="B402" s="2" t="str">
        <f t="shared" si="12"/>
        <v/>
      </c>
      <c r="C402" s="103" t="s">
        <v>397</v>
      </c>
      <c r="D402" s="3" t="str">
        <f>[1]!s_info_name(C402)</f>
        <v>煤炭(申万)</v>
      </c>
      <c r="E402" s="3" t="s">
        <v>253</v>
      </c>
      <c r="F402" s="101" t="str">
        <f t="shared" si="13"/>
        <v/>
      </c>
      <c r="G402" s="5">
        <f ca="1">[1]!f_pq_pctchange(C402,指数分析!$D$5,指数分析!$D$6)/100</f>
        <v>0.21827603738902579</v>
      </c>
      <c r="H402" s="5"/>
      <c r="I402" s="5"/>
    </row>
    <row r="403" spans="1:9" x14ac:dyDescent="0.15">
      <c r="A403" s="6">
        <f ca="1">IF(G403="","",IF(COUNTIF(G$5:G403,G403)=1,RANK(G403,G:G,0),RANK(G403,G:G,0)+COUNTIF(G$5:G403,G403)-1))</f>
        <v>111</v>
      </c>
      <c r="B403" s="2" t="str">
        <f t="shared" si="12"/>
        <v/>
      </c>
      <c r="C403" s="103" t="s">
        <v>398</v>
      </c>
      <c r="D403" s="3" t="str">
        <f>[1]!s_info_name(C403)</f>
        <v>石油石化(申万)</v>
      </c>
      <c r="E403" s="3" t="s">
        <v>253</v>
      </c>
      <c r="F403" s="101" t="str">
        <f t="shared" si="13"/>
        <v/>
      </c>
      <c r="G403" s="5">
        <f ca="1">[1]!f_pq_pctchange(C403,指数分析!$D$5,指数分析!$D$6)/100</f>
        <v>2.9193728268713581E-2</v>
      </c>
      <c r="H403" s="5"/>
      <c r="I403" s="5"/>
    </row>
    <row r="404" spans="1:9" x14ac:dyDescent="0.15">
      <c r="A404" s="6">
        <f ca="1">IF(G404="","",IF(COUNTIF(G$5:G404,G404)=1,RANK(G404,G:G,0),RANK(G404,G:G,0)+COUNTIF(G$5:G404,G404)-1))</f>
        <v>343</v>
      </c>
      <c r="B404" s="2" t="str">
        <f t="shared" si="12"/>
        <v/>
      </c>
      <c r="C404" s="103" t="s">
        <v>399</v>
      </c>
      <c r="D404" s="3" t="str">
        <f>[1]!s_info_name(C404)</f>
        <v>环保(申万)</v>
      </c>
      <c r="E404" s="3" t="s">
        <v>253</v>
      </c>
      <c r="F404" s="101" t="str">
        <f t="shared" si="13"/>
        <v/>
      </c>
      <c r="G404" s="5">
        <f ca="1">[1]!f_pq_pctchange(C404,指数分析!$D$5,指数分析!$D$6)/100</f>
        <v>-0.2209913221545228</v>
      </c>
      <c r="H404" s="5"/>
      <c r="I404" s="5"/>
    </row>
    <row r="405" spans="1:9" x14ac:dyDescent="0.15">
      <c r="A405" s="6">
        <f ca="1">IF(G405="","",IF(COUNTIF(G$5:G405,G405)=1,RANK(G405,G:G,0),RANK(G405,G:G,0)+COUNTIF(G$5:G405,G405)-1))</f>
        <v>434</v>
      </c>
      <c r="B405" s="2" t="str">
        <f t="shared" si="12"/>
        <v/>
      </c>
      <c r="C405" s="103" t="s">
        <v>400</v>
      </c>
      <c r="D405" s="3" t="str">
        <f>[1]!s_info_name(C405)</f>
        <v>美容护理(申万)</v>
      </c>
      <c r="E405" s="3" t="s">
        <v>253</v>
      </c>
      <c r="F405" s="101" t="str">
        <f t="shared" si="13"/>
        <v/>
      </c>
      <c r="G405" s="5">
        <f ca="1">[1]!f_pq_pctchange(C405,指数分析!$D$5,指数分析!$D$6)/100</f>
        <v>-0.32072734385824775</v>
      </c>
      <c r="H405" s="5"/>
      <c r="I405" s="5"/>
    </row>
    <row r="406" spans="1:9" x14ac:dyDescent="0.15">
      <c r="A406" s="6">
        <f ca="1">IF(G406="","",IF(COUNTIF(G$5:G406,G406)=1,RANK(G406,G:G,0),RANK(G406,G:G,0)+COUNTIF(G$5:G406,G406)-1))</f>
        <v>33</v>
      </c>
      <c r="B406" s="2" t="str">
        <f t="shared" si="12"/>
        <v/>
      </c>
      <c r="C406" s="11" t="s">
        <v>216</v>
      </c>
      <c r="D406" s="3" t="str">
        <f>[1]!s_info_name(C406)</f>
        <v>能源</v>
      </c>
      <c r="E406" s="3" t="s">
        <v>356</v>
      </c>
      <c r="F406" s="101" t="str">
        <f t="shared" si="13"/>
        <v/>
      </c>
      <c r="G406" s="5">
        <f ca="1">[1]!f_pq_pctchange(C406,指数分析!$D$5,指数分析!$D$6)/100</f>
        <v>0.20815038167884392</v>
      </c>
      <c r="H406" s="5"/>
      <c r="I406" s="5"/>
    </row>
    <row r="407" spans="1:9" x14ac:dyDescent="0.15">
      <c r="A407" s="6">
        <f ca="1">IF(G407="","",IF(COUNTIF(G$5:G407,G407)=1,RANK(G407,G:G,0),RANK(G407,G:G,0)+COUNTIF(G$5:G407,G407)-1))</f>
        <v>263</v>
      </c>
      <c r="B407" s="2" t="str">
        <f t="shared" si="12"/>
        <v/>
      </c>
      <c r="C407" s="11" t="s">
        <v>217</v>
      </c>
      <c r="D407" s="3" t="str">
        <f>[1]!s_info_name(C407)</f>
        <v>材料</v>
      </c>
      <c r="E407" s="3" t="s">
        <v>357</v>
      </c>
      <c r="F407" s="101" t="str">
        <f t="shared" si="13"/>
        <v/>
      </c>
      <c r="G407" s="5">
        <f ca="1">[1]!f_pq_pctchange(C407,指数分析!$D$5,指数分析!$D$6)/100</f>
        <v>-0.16919024950230277</v>
      </c>
      <c r="H407" s="5"/>
      <c r="I407" s="5"/>
    </row>
    <row r="408" spans="1:9" x14ac:dyDescent="0.15">
      <c r="A408" s="6">
        <f ca="1">IF(G408="","",IF(COUNTIF(G$5:G408,G408)=1,RANK(G408,G:G,0),RANK(G408,G:G,0)+COUNTIF(G$5:G408,G408)-1))</f>
        <v>279</v>
      </c>
      <c r="B408" s="2" t="str">
        <f t="shared" si="12"/>
        <v/>
      </c>
      <c r="C408" s="11" t="s">
        <v>218</v>
      </c>
      <c r="D408" s="3" t="str">
        <f>[1]!s_info_name(C408)</f>
        <v>工业</v>
      </c>
      <c r="E408" s="3" t="s">
        <v>358</v>
      </c>
      <c r="F408" s="101" t="str">
        <f t="shared" si="13"/>
        <v/>
      </c>
      <c r="G408" s="5">
        <f ca="1">[1]!f_pq_pctchange(C408,指数分析!$D$5,指数分析!$D$6)/100</f>
        <v>-0.1827423965813918</v>
      </c>
      <c r="H408" s="5"/>
      <c r="I408" s="5"/>
    </row>
    <row r="409" spans="1:9" x14ac:dyDescent="0.15">
      <c r="A409" s="6">
        <f ca="1">IF(G409="","",IF(COUNTIF(G$5:G409,G409)=1,RANK(G409,G:G,0),RANK(G409,G:G,0)+COUNTIF(G$5:G409,G409)-1))</f>
        <v>199</v>
      </c>
      <c r="B409" s="2" t="str">
        <f t="shared" si="12"/>
        <v/>
      </c>
      <c r="C409" s="11" t="s">
        <v>219</v>
      </c>
      <c r="D409" s="3" t="str">
        <f>[1]!s_info_name(C409)</f>
        <v>可选消费</v>
      </c>
      <c r="E409" s="3" t="s">
        <v>359</v>
      </c>
      <c r="F409" s="101" t="str">
        <f t="shared" si="13"/>
        <v/>
      </c>
      <c r="G409" s="5">
        <f ca="1">[1]!f_pq_pctchange(C409,指数分析!$D$5,指数分析!$D$6)/100</f>
        <v>-0.11820923487075163</v>
      </c>
      <c r="H409" s="5"/>
      <c r="I409" s="5"/>
    </row>
    <row r="410" spans="1:9" x14ac:dyDescent="0.15">
      <c r="A410" s="6">
        <f ca="1">IF(G410="","",IF(COUNTIF(G$5:G410,G410)=1,RANK(G410,G:G,0),RANK(G410,G:G,0)+COUNTIF(G$5:G410,G410)-1))</f>
        <v>275</v>
      </c>
      <c r="B410" s="2" t="str">
        <f t="shared" si="12"/>
        <v/>
      </c>
      <c r="C410" s="11" t="s">
        <v>220</v>
      </c>
      <c r="D410" s="3" t="str">
        <f>[1]!s_info_name(C410)</f>
        <v>日常消费</v>
      </c>
      <c r="E410" s="3" t="s">
        <v>360</v>
      </c>
      <c r="F410" s="101" t="str">
        <f t="shared" si="13"/>
        <v/>
      </c>
      <c r="G410" s="5">
        <f ca="1">[1]!f_pq_pctchange(C410,指数分析!$D$5,指数分析!$D$6)/100</f>
        <v>-0.17984636352828054</v>
      </c>
      <c r="H410" s="5"/>
      <c r="I410" s="5"/>
    </row>
    <row r="411" spans="1:9" x14ac:dyDescent="0.15">
      <c r="A411" s="6">
        <f ca="1">IF(G411="","",IF(COUNTIF(G$5:G411,G411)=1,RANK(G411,G:G,0),RANK(G411,G:G,0)+COUNTIF(G$5:G411,G411)-1))</f>
        <v>307</v>
      </c>
      <c r="B411" s="2" t="str">
        <f t="shared" si="12"/>
        <v/>
      </c>
      <c r="C411" s="11" t="s">
        <v>221</v>
      </c>
      <c r="D411" s="3" t="str">
        <f>[1]!s_info_name(C411)</f>
        <v>医疗保健</v>
      </c>
      <c r="E411" s="3" t="s">
        <v>361</v>
      </c>
      <c r="F411" s="101" t="str">
        <f t="shared" si="13"/>
        <v/>
      </c>
      <c r="G411" s="5">
        <f ca="1">[1]!f_pq_pctchange(C411,指数分析!$D$5,指数分析!$D$6)/100</f>
        <v>-0.20401819600330781</v>
      </c>
      <c r="H411" s="5"/>
      <c r="I411" s="5"/>
    </row>
    <row r="412" spans="1:9" x14ac:dyDescent="0.15">
      <c r="A412" s="6">
        <f ca="1">IF(G412="","",IF(COUNTIF(G$5:G412,G412)=1,RANK(G412,G:G,0),RANK(G412,G:G,0)+COUNTIF(G$5:G412,G412)-1))</f>
        <v>107</v>
      </c>
      <c r="B412" s="2" t="str">
        <f t="shared" si="12"/>
        <v/>
      </c>
      <c r="C412" s="11" t="s">
        <v>222</v>
      </c>
      <c r="D412" s="3" t="str">
        <f>[1]!s_info_name(C412)</f>
        <v>金融</v>
      </c>
      <c r="E412" s="3" t="s">
        <v>362</v>
      </c>
      <c r="F412" s="101" t="str">
        <f t="shared" si="13"/>
        <v/>
      </c>
      <c r="G412" s="5">
        <f ca="1">[1]!f_pq_pctchange(C412,指数分析!$D$5,指数分析!$D$6)/100</f>
        <v>3.2635082712758168E-2</v>
      </c>
      <c r="H412" s="5"/>
      <c r="I412" s="5"/>
    </row>
    <row r="413" spans="1:9" x14ac:dyDescent="0.15">
      <c r="A413" s="6">
        <f ca="1">IF(G413="","",IF(COUNTIF(G$5:G413,G413)=1,RANK(G413,G:G,0),RANK(G413,G:G,0)+COUNTIF(G$5:G413,G413)-1))</f>
        <v>386</v>
      </c>
      <c r="B413" s="2" t="str">
        <f t="shared" si="12"/>
        <v/>
      </c>
      <c r="C413" s="11" t="s">
        <v>223</v>
      </c>
      <c r="D413" s="3" t="str">
        <f>[1]!s_info_name(C413)</f>
        <v>信息技术</v>
      </c>
      <c r="E413" s="3" t="s">
        <v>363</v>
      </c>
      <c r="F413" s="101" t="str">
        <f t="shared" si="13"/>
        <v/>
      </c>
      <c r="G413" s="5">
        <f ca="1">[1]!f_pq_pctchange(C413,指数分析!$D$5,指数分析!$D$6)/100</f>
        <v>-0.26116050200954666</v>
      </c>
      <c r="H413" s="5"/>
      <c r="I413" s="5"/>
    </row>
    <row r="414" spans="1:9" x14ac:dyDescent="0.15">
      <c r="A414" s="6">
        <f ca="1">IF(G414="","",IF(COUNTIF(G$5:G414,G414)=1,RANK(G414,G:G,0),RANK(G414,G:G,0)+COUNTIF(G$5:G414,G414)-1))</f>
        <v>103</v>
      </c>
      <c r="B414" s="2" t="str">
        <f t="shared" si="12"/>
        <v/>
      </c>
      <c r="C414" s="11" t="s">
        <v>224</v>
      </c>
      <c r="D414" s="3" t="str">
        <f>[1]!s_info_name(C414)</f>
        <v>电信服务</v>
      </c>
      <c r="E414" s="3" t="s">
        <v>364</v>
      </c>
      <c r="F414" s="101" t="str">
        <f t="shared" si="13"/>
        <v/>
      </c>
      <c r="G414" s="5">
        <f ca="1">[1]!f_pq_pctchange(C414,指数分析!$D$5,指数分析!$D$6)/100</f>
        <v>3.8671151898827194E-2</v>
      </c>
      <c r="H414" s="5"/>
      <c r="I414" s="5"/>
    </row>
    <row r="415" spans="1:9" x14ac:dyDescent="0.15">
      <c r="A415" s="6">
        <f ca="1">IF(G415="","",IF(COUNTIF(G$5:G415,G415)=1,RANK(G415,G:G,0),RANK(G415,G:G,0)+COUNTIF(G$5:G415,G415)-1))</f>
        <v>83</v>
      </c>
      <c r="B415" s="2" t="str">
        <f t="shared" si="12"/>
        <v/>
      </c>
      <c r="C415" s="11" t="s">
        <v>225</v>
      </c>
      <c r="D415" s="3" t="str">
        <f>[1]!s_info_name(C415)</f>
        <v>公用事业</v>
      </c>
      <c r="E415" s="3" t="s">
        <v>365</v>
      </c>
      <c r="F415" s="101" t="str">
        <f t="shared" si="13"/>
        <v/>
      </c>
      <c r="G415" s="5">
        <f ca="1">[1]!f_pq_pctchange(C415,指数分析!$D$5,指数分析!$D$6)/100</f>
        <v>8.4398464164891607E-2</v>
      </c>
      <c r="H415" s="5"/>
      <c r="I415" s="5"/>
    </row>
    <row r="416" spans="1:9" x14ac:dyDescent="0.15">
      <c r="A416" s="6">
        <f ca="1">IF(G416="","",IF(COUNTIF(G$5:G416,G416)=1,RANK(G416,G:G,0),RANK(G416,G:G,0)+COUNTIF(G$5:G416,G416)-1))</f>
        <v>424</v>
      </c>
      <c r="B416" s="2" t="str">
        <f t="shared" si="12"/>
        <v/>
      </c>
      <c r="C416" s="11" t="s">
        <v>547</v>
      </c>
      <c r="D416" s="3" t="str">
        <f>[1]!s_info_name(C416)</f>
        <v>房地产</v>
      </c>
      <c r="E416" s="3" t="s">
        <v>548</v>
      </c>
      <c r="F416" s="101" t="str">
        <f t="shared" si="13"/>
        <v/>
      </c>
      <c r="G416" s="5">
        <f ca="1">[1]!f_pq_pctchange(C416,指数分析!$D$5,指数分析!$D$6)/100</f>
        <v>-0.31133011154745849</v>
      </c>
      <c r="H416" s="5"/>
      <c r="I416" s="5"/>
    </row>
    <row r="417" spans="1:9" x14ac:dyDescent="0.15">
      <c r="A417" s="6">
        <f ca="1">IF(G417="","",IF(COUNTIF(G$5:G417,G417)=1,RANK(G417,G:G,0),RANK(G417,G:G,0)+COUNTIF(G$5:G417,G417)-1))</f>
        <v>32</v>
      </c>
      <c r="B417" s="2" t="str">
        <f t="shared" si="12"/>
        <v/>
      </c>
      <c r="C417" s="3" t="s">
        <v>226</v>
      </c>
      <c r="D417" s="3" t="str">
        <f>[1]!s_info_name(C417)</f>
        <v>能源Ⅱ</v>
      </c>
      <c r="E417" s="3" t="s">
        <v>254</v>
      </c>
      <c r="F417" s="101" t="str">
        <f t="shared" si="13"/>
        <v/>
      </c>
      <c r="G417" s="5">
        <f ca="1">[1]!f_pq_pctchange(C417,指数分析!$D$5,指数分析!$D$6)/100</f>
        <v>0.20815131986546676</v>
      </c>
      <c r="H417" s="5"/>
      <c r="I417" s="5"/>
    </row>
    <row r="418" spans="1:9" x14ac:dyDescent="0.15">
      <c r="A418" s="6">
        <f ca="1">IF(G418="","",IF(COUNTIF(G$5:G418,G418)=1,RANK(G418,G:G,0),RANK(G418,G:G,0)+COUNTIF(G$5:G418,G418)-1))</f>
        <v>264</v>
      </c>
      <c r="B418" s="2" t="str">
        <f t="shared" si="12"/>
        <v/>
      </c>
      <c r="C418" s="11" t="s">
        <v>227</v>
      </c>
      <c r="D418" s="3" t="str">
        <f>[1]!s_info_name(C418)</f>
        <v>材料Ⅱ</v>
      </c>
      <c r="E418" s="3" t="s">
        <v>254</v>
      </c>
      <c r="F418" s="101" t="str">
        <f t="shared" si="13"/>
        <v/>
      </c>
      <c r="G418" s="5">
        <f ca="1">[1]!f_pq_pctchange(C418,指数分析!$D$5,指数分析!$D$6)/100</f>
        <v>-0.16920755407656629</v>
      </c>
      <c r="H418" s="5"/>
      <c r="I418" s="5"/>
    </row>
    <row r="419" spans="1:9" x14ac:dyDescent="0.15">
      <c r="A419" s="6">
        <f ca="1">IF(G419="","",IF(COUNTIF(G$5:G419,G419)=1,RANK(G419,G:G,0),RANK(G419,G:G,0)+COUNTIF(G$5:G419,G419)-1))</f>
        <v>301</v>
      </c>
      <c r="B419" s="2" t="str">
        <f t="shared" si="12"/>
        <v/>
      </c>
      <c r="C419" s="11" t="s">
        <v>228</v>
      </c>
      <c r="D419" s="3" t="str">
        <f>[1]!s_info_name(C419)</f>
        <v>资本货物指数</v>
      </c>
      <c r="E419" s="3" t="s">
        <v>254</v>
      </c>
      <c r="F419" s="101" t="str">
        <f t="shared" si="13"/>
        <v/>
      </c>
      <c r="G419" s="5">
        <f ca="1">[1]!f_pq_pctchange(C419,指数分析!$D$5,指数分析!$D$6)/100</f>
        <v>-0.19980158497345346</v>
      </c>
      <c r="H419" s="5"/>
      <c r="I419" s="5"/>
    </row>
    <row r="420" spans="1:9" x14ac:dyDescent="0.15">
      <c r="A420" s="6">
        <f ca="1">IF(G420="","",IF(COUNTIF(G$5:G420,G420)=1,RANK(G420,G:G,0),RANK(G420,G:G,0)+COUNTIF(G$5:G420,G420)-1))</f>
        <v>402</v>
      </c>
      <c r="B420" s="2" t="str">
        <f t="shared" si="12"/>
        <v/>
      </c>
      <c r="C420" s="11" t="s">
        <v>229</v>
      </c>
      <c r="D420" s="3" t="str">
        <f>[1]!s_info_name(C420)</f>
        <v>商业和专业服务</v>
      </c>
      <c r="E420" s="3" t="s">
        <v>254</v>
      </c>
      <c r="F420" s="101" t="str">
        <f t="shared" si="13"/>
        <v/>
      </c>
      <c r="G420" s="5">
        <f ca="1">[1]!f_pq_pctchange(C420,指数分析!$D$5,指数分析!$D$6)/100</f>
        <v>-0.2765551063978019</v>
      </c>
      <c r="H420" s="5"/>
      <c r="I420" s="5"/>
    </row>
    <row r="421" spans="1:9" x14ac:dyDescent="0.15">
      <c r="A421" s="6">
        <f ca="1">IF(G421="","",IF(COUNTIF(G$5:G421,G421)=1,RANK(G421,G:G,0),RANK(G421,G:G,0)+COUNTIF(G$5:G421,G421)-1))</f>
        <v>144</v>
      </c>
      <c r="B421" s="2" t="str">
        <f t="shared" si="12"/>
        <v/>
      </c>
      <c r="C421" s="11" t="s">
        <v>230</v>
      </c>
      <c r="D421" s="3" t="str">
        <f>[1]!s_info_name(C421)</f>
        <v>运输</v>
      </c>
      <c r="E421" s="3" t="s">
        <v>254</v>
      </c>
      <c r="F421" s="101" t="str">
        <f t="shared" si="13"/>
        <v/>
      </c>
      <c r="G421" s="5">
        <f ca="1">[1]!f_pq_pctchange(C421,指数分析!$D$5,指数分析!$D$6)/100</f>
        <v>-3.841613911385755E-2</v>
      </c>
      <c r="H421" s="5"/>
      <c r="I421" s="5"/>
    </row>
    <row r="422" spans="1:9" x14ac:dyDescent="0.15">
      <c r="A422" s="6">
        <f ca="1">IF(G422="","",IF(COUNTIF(G$5:G422,G422)=1,RANK(G422,G:G,0),RANK(G422,G:G,0)+COUNTIF(G$5:G422,G422)-1))</f>
        <v>168</v>
      </c>
      <c r="B422" s="2" t="str">
        <f t="shared" si="12"/>
        <v/>
      </c>
      <c r="C422" s="11" t="s">
        <v>231</v>
      </c>
      <c r="D422" s="3" t="str">
        <f>[1]!s_info_name(C422)</f>
        <v>汽车与汽车零部件</v>
      </c>
      <c r="E422" s="3" t="s">
        <v>254</v>
      </c>
      <c r="F422" s="101" t="str">
        <f t="shared" si="13"/>
        <v/>
      </c>
      <c r="G422" s="5">
        <f ca="1">[1]!f_pq_pctchange(C422,指数分析!$D$5,指数分析!$D$6)/100</f>
        <v>-7.7089649318656916E-2</v>
      </c>
      <c r="H422" s="5"/>
      <c r="I422" s="5"/>
    </row>
    <row r="423" spans="1:9" x14ac:dyDescent="0.15">
      <c r="A423" s="6">
        <f ca="1">IF(G423="","",IF(COUNTIF(G$5:G423,G423)=1,RANK(G423,G:G,0),RANK(G423,G:G,0)+COUNTIF(G$5:G423,G423)-1))</f>
        <v>139</v>
      </c>
      <c r="B423" s="2" t="str">
        <f t="shared" si="12"/>
        <v/>
      </c>
      <c r="C423" s="11" t="s">
        <v>232</v>
      </c>
      <c r="D423" s="3" t="str">
        <f>[1]!s_info_name(C423)</f>
        <v>耐用消费品与服装</v>
      </c>
      <c r="E423" s="3" t="s">
        <v>254</v>
      </c>
      <c r="F423" s="101" t="str">
        <f t="shared" si="13"/>
        <v/>
      </c>
      <c r="G423" s="5">
        <f ca="1">[1]!f_pq_pctchange(C423,指数分析!$D$5,指数分析!$D$6)/100</f>
        <v>-3.1732543705124905E-2</v>
      </c>
      <c r="H423" s="5"/>
      <c r="I423" s="5"/>
    </row>
    <row r="424" spans="1:9" x14ac:dyDescent="0.15">
      <c r="A424" s="6">
        <f ca="1">IF(G424="","",IF(COUNTIF(G$5:G424,G424)=1,RANK(G424,G:G,0),RANK(G424,G:G,0)+COUNTIF(G$5:G424,G424)-1))</f>
        <v>464</v>
      </c>
      <c r="B424" s="2" t="str">
        <f t="shared" si="12"/>
        <v/>
      </c>
      <c r="C424" s="11" t="s">
        <v>233</v>
      </c>
      <c r="D424" s="3" t="str">
        <f>[1]!s_info_name(C424)</f>
        <v>消费者服务Ⅱ</v>
      </c>
      <c r="E424" s="3" t="s">
        <v>254</v>
      </c>
      <c r="F424" s="101" t="str">
        <f t="shared" si="13"/>
        <v/>
      </c>
      <c r="G424" s="5">
        <f ca="1">[1]!f_pq_pctchange(C424,指数分析!$D$5,指数分析!$D$6)/100</f>
        <v>-0.36774636716634357</v>
      </c>
      <c r="H424" s="5"/>
      <c r="I424" s="5"/>
    </row>
    <row r="425" spans="1:9" x14ac:dyDescent="0.15">
      <c r="A425" s="6">
        <f ca="1">IF(G425="","",IF(COUNTIF(G$5:G425,G425)=1,RANK(G425,G:G,0),RANK(G425,G:G,0)+COUNTIF(G$5:G425,G425)-1))</f>
        <v>332</v>
      </c>
      <c r="B425" s="2" t="str">
        <f t="shared" si="12"/>
        <v/>
      </c>
      <c r="C425" s="11" t="s">
        <v>234</v>
      </c>
      <c r="D425" s="3" t="str">
        <f>[1]!s_info_name(C425)</f>
        <v>媒体Ⅱ</v>
      </c>
      <c r="E425" s="3" t="s">
        <v>254</v>
      </c>
      <c r="F425" s="101" t="str">
        <f t="shared" si="13"/>
        <v/>
      </c>
      <c r="G425" s="5">
        <f ca="1">[1]!f_pq_pctchange(C425,指数分析!$D$5,指数分析!$D$6)/100</f>
        <v>-0.21705967698193043</v>
      </c>
      <c r="H425" s="5"/>
      <c r="I425" s="5"/>
    </row>
    <row r="426" spans="1:9" x14ac:dyDescent="0.15">
      <c r="A426" s="6">
        <f ca="1">IF(G426="","",IF(COUNTIF(G$5:G426,G426)=1,RANK(G426,G:G,0),RANK(G426,G:G,0)+COUNTIF(G$5:G426,G426)-1))</f>
        <v>428</v>
      </c>
      <c r="B426" s="2" t="str">
        <f t="shared" si="12"/>
        <v/>
      </c>
      <c r="C426" s="11" t="s">
        <v>235</v>
      </c>
      <c r="D426" s="3" t="str">
        <f>[1]!s_info_name(C426)</f>
        <v>零售业</v>
      </c>
      <c r="E426" s="3" t="s">
        <v>254</v>
      </c>
      <c r="F426" s="101" t="str">
        <f t="shared" si="13"/>
        <v/>
      </c>
      <c r="G426" s="5">
        <f ca="1">[1]!f_pq_pctchange(C426,指数分析!$D$5,指数分析!$D$6)/100</f>
        <v>-0.31976215703613153</v>
      </c>
      <c r="H426" s="5"/>
      <c r="I426" s="5"/>
    </row>
    <row r="427" spans="1:9" x14ac:dyDescent="0.15">
      <c r="A427" s="6">
        <f ca="1">IF(G427="","",IF(COUNTIF(G$5:G427,G427)=1,RANK(G427,G:G,0),RANK(G427,G:G,0)+COUNTIF(G$5:G427,G427)-1))</f>
        <v>413</v>
      </c>
      <c r="B427" s="2" t="str">
        <f t="shared" si="12"/>
        <v/>
      </c>
      <c r="C427" s="11" t="s">
        <v>236</v>
      </c>
      <c r="D427" s="3" t="str">
        <f>[1]!s_info_name(C427)</f>
        <v>食品与主要用品零售Ⅱ</v>
      </c>
      <c r="E427" s="3" t="s">
        <v>254</v>
      </c>
      <c r="F427" s="101" t="str">
        <f t="shared" si="13"/>
        <v/>
      </c>
      <c r="G427" s="5">
        <f ca="1">[1]!f_pq_pctchange(C427,指数分析!$D$5,指数分析!$D$6)/100</f>
        <v>-0.29089680455715639</v>
      </c>
      <c r="H427" s="5"/>
      <c r="I427" s="5"/>
    </row>
    <row r="428" spans="1:9" x14ac:dyDescent="0.15">
      <c r="A428" s="6">
        <f ca="1">IF(G428="","",IF(COUNTIF(G$5:G428,G428)=1,RANK(G428,G:G,0),RANK(G428,G:G,0)+COUNTIF(G$5:G428,G428)-1))</f>
        <v>272</v>
      </c>
      <c r="B428" s="2" t="str">
        <f t="shared" si="12"/>
        <v/>
      </c>
      <c r="C428" s="11" t="s">
        <v>237</v>
      </c>
      <c r="D428" s="3" t="str">
        <f>[1]!s_info_name(C428)</f>
        <v>食品、饮料与烟草</v>
      </c>
      <c r="E428" s="3" t="s">
        <v>254</v>
      </c>
      <c r="F428" s="101" t="str">
        <f t="shared" si="13"/>
        <v/>
      </c>
      <c r="G428" s="5">
        <f ca="1">[1]!f_pq_pctchange(C428,指数分析!$D$5,指数分析!$D$6)/100</f>
        <v>-0.17508711173654556</v>
      </c>
      <c r="H428" s="5"/>
      <c r="I428" s="5"/>
    </row>
    <row r="429" spans="1:9" x14ac:dyDescent="0.15">
      <c r="A429" s="6">
        <f ca="1">IF(G429="","",IF(COUNTIF(G$5:G429,G429)=1,RANK(G429,G:G,0),RANK(G429,G:G,0)+COUNTIF(G$5:G429,G429)-1))</f>
        <v>304</v>
      </c>
      <c r="B429" s="2" t="str">
        <f t="shared" si="12"/>
        <v/>
      </c>
      <c r="C429" s="11" t="s">
        <v>238</v>
      </c>
      <c r="D429" s="3" t="str">
        <f>[1]!s_info_name(C429)</f>
        <v>家庭与个人用品</v>
      </c>
      <c r="E429" s="3" t="s">
        <v>254</v>
      </c>
      <c r="F429" s="101" t="str">
        <f t="shared" si="13"/>
        <v/>
      </c>
      <c r="G429" s="5">
        <f ca="1">[1]!f_pq_pctchange(C429,指数分析!$D$5,指数分析!$D$6)/100</f>
        <v>-0.20177955957307248</v>
      </c>
      <c r="H429" s="5"/>
      <c r="I429" s="5"/>
    </row>
    <row r="430" spans="1:9" x14ac:dyDescent="0.15">
      <c r="A430" s="6">
        <f ca="1">IF(G430="","",IF(COUNTIF(G$5:G430,G430)=1,RANK(G430,G:G,0),RANK(G430,G:G,0)+COUNTIF(G$5:G430,G430)-1))</f>
        <v>350</v>
      </c>
      <c r="B430" s="2" t="str">
        <f t="shared" si="12"/>
        <v/>
      </c>
      <c r="C430" s="11" t="s">
        <v>239</v>
      </c>
      <c r="D430" s="3" t="str">
        <f>[1]!s_info_name(C430)</f>
        <v>医疗保健设备与服务</v>
      </c>
      <c r="E430" s="3" t="s">
        <v>254</v>
      </c>
      <c r="F430" s="101" t="str">
        <f t="shared" si="13"/>
        <v/>
      </c>
      <c r="G430" s="5">
        <f ca="1">[1]!f_pq_pctchange(C430,指数分析!$D$5,指数分析!$D$6)/100</f>
        <v>-0.22817219340014039</v>
      </c>
      <c r="H430" s="5"/>
      <c r="I430" s="5"/>
    </row>
    <row r="431" spans="1:9" x14ac:dyDescent="0.15">
      <c r="A431" s="6">
        <f ca="1">IF(G431="","",IF(COUNTIF(G$5:G431,G431)=1,RANK(G431,G:G,0),RANK(G431,G:G,0)+COUNTIF(G$5:G431,G431)-1))</f>
        <v>296</v>
      </c>
      <c r="B431" s="2" t="str">
        <f t="shared" si="12"/>
        <v/>
      </c>
      <c r="C431" s="11" t="s">
        <v>240</v>
      </c>
      <c r="D431" s="3" t="str">
        <f>[1]!s_info_name(C431)</f>
        <v>制药、生物科技与生命科学</v>
      </c>
      <c r="E431" s="3" t="s">
        <v>254</v>
      </c>
      <c r="F431" s="101" t="str">
        <f t="shared" si="13"/>
        <v/>
      </c>
      <c r="G431" s="5">
        <f ca="1">[1]!f_pq_pctchange(C431,指数分析!$D$5,指数分析!$D$6)/100</f>
        <v>-0.19596473685822979</v>
      </c>
      <c r="H431" s="5"/>
      <c r="I431" s="5"/>
    </row>
    <row r="432" spans="1:9" x14ac:dyDescent="0.15">
      <c r="A432" s="6">
        <f ca="1">IF(G432="","",IF(COUNTIF(G$5:G432,G432)=1,RANK(G432,G:G,0),RANK(G432,G:G,0)+COUNTIF(G$5:G432,G432)-1))</f>
        <v>40</v>
      </c>
      <c r="B432" s="2" t="str">
        <f t="shared" si="12"/>
        <v/>
      </c>
      <c r="C432" s="11" t="s">
        <v>241</v>
      </c>
      <c r="D432" s="3" t="str">
        <f>[1]!s_info_name(C432)</f>
        <v>银行</v>
      </c>
      <c r="E432" s="3" t="s">
        <v>254</v>
      </c>
      <c r="F432" s="101" t="str">
        <f t="shared" si="13"/>
        <v/>
      </c>
      <c r="G432" s="5">
        <f ca="1">[1]!f_pq_pctchange(C432,指数分析!$D$5,指数分析!$D$6)/100</f>
        <v>0.18450518607500974</v>
      </c>
      <c r="H432" s="5"/>
      <c r="I432" s="5"/>
    </row>
    <row r="433" spans="1:9" x14ac:dyDescent="0.15">
      <c r="A433" s="6">
        <f ca="1">IF(G433="","",IF(COUNTIF(G$5:G433,G433)=1,RANK(G433,G:G,0),RANK(G433,G:G,0)+COUNTIF(G$5:G433,G433)-1))</f>
        <v>196</v>
      </c>
      <c r="B433" s="2" t="str">
        <f t="shared" si="12"/>
        <v/>
      </c>
      <c r="C433" s="11" t="s">
        <v>242</v>
      </c>
      <c r="D433" s="3" t="str">
        <f>[1]!s_info_name(C433)</f>
        <v>多元金融</v>
      </c>
      <c r="E433" s="3" t="s">
        <v>254</v>
      </c>
      <c r="F433" s="101" t="str">
        <f t="shared" si="13"/>
        <v/>
      </c>
      <c r="G433" s="5">
        <f ca="1">[1]!f_pq_pctchange(C433,指数分析!$D$5,指数分析!$D$6)/100</f>
        <v>-0.11588082496191709</v>
      </c>
      <c r="H433" s="5"/>
      <c r="I433" s="5"/>
    </row>
    <row r="434" spans="1:9" x14ac:dyDescent="0.15">
      <c r="A434" s="6">
        <f ca="1">IF(G434="","",IF(COUNTIF(G$5:G434,G434)=1,RANK(G434,G:G,0),RANK(G434,G:G,0)+COUNTIF(G$5:G434,G434)-1))</f>
        <v>186</v>
      </c>
      <c r="B434" s="2" t="str">
        <f t="shared" si="12"/>
        <v/>
      </c>
      <c r="C434" s="11" t="s">
        <v>243</v>
      </c>
      <c r="D434" s="3" t="str">
        <f>[1]!s_info_name(C434)</f>
        <v>保险Ⅱ</v>
      </c>
      <c r="E434" s="3" t="s">
        <v>254</v>
      </c>
      <c r="F434" s="101" t="str">
        <f t="shared" si="13"/>
        <v/>
      </c>
      <c r="G434" s="5">
        <f ca="1">[1]!f_pq_pctchange(C434,指数分析!$D$5,指数分析!$D$6)/100</f>
        <v>-9.8654643157337296E-2</v>
      </c>
      <c r="H434" s="5"/>
      <c r="I434" s="5"/>
    </row>
    <row r="435" spans="1:9" x14ac:dyDescent="0.15">
      <c r="A435" s="6">
        <f ca="1">IF(G435="","",IF(COUNTIF(G$5:G435,G435)=1,RANK(G435,G:G,0),RANK(G435,G:G,0)+COUNTIF(G$5:G435,G435)-1))</f>
        <v>425</v>
      </c>
      <c r="B435" s="2" t="str">
        <f t="shared" si="12"/>
        <v/>
      </c>
      <c r="C435" s="11" t="s">
        <v>244</v>
      </c>
      <c r="D435" s="3" t="str">
        <f>[1]!s_info_name(C435)</f>
        <v>房地产Ⅱ</v>
      </c>
      <c r="E435" s="3" t="s">
        <v>254</v>
      </c>
      <c r="F435" s="101" t="str">
        <f t="shared" si="13"/>
        <v/>
      </c>
      <c r="G435" s="5">
        <f ca="1">[1]!f_pq_pctchange(C435,指数分析!$D$5,指数分析!$D$6)/100</f>
        <v>-0.31133011154745849</v>
      </c>
      <c r="H435" s="5"/>
      <c r="I435" s="5"/>
    </row>
    <row r="436" spans="1:9" x14ac:dyDescent="0.15">
      <c r="A436" s="6">
        <f ca="1">IF(G436="","",IF(COUNTIF(G$5:G436,G436)=1,RANK(G436,G:G,0),RANK(G436,G:G,0)+COUNTIF(G$5:G436,G436)-1))</f>
        <v>477</v>
      </c>
      <c r="B436" s="2" t="str">
        <f t="shared" si="12"/>
        <v/>
      </c>
      <c r="C436" s="11" t="s">
        <v>245</v>
      </c>
      <c r="D436" s="3" t="str">
        <f>[1]!s_info_name(C436)</f>
        <v>软件与服务</v>
      </c>
      <c r="E436" s="3" t="s">
        <v>254</v>
      </c>
      <c r="F436" s="101" t="str">
        <f t="shared" si="13"/>
        <v/>
      </c>
      <c r="G436" s="5">
        <f ca="1">[1]!f_pq_pctchange(C436,指数分析!$D$5,指数分析!$D$6)/100</f>
        <v>-0.40108199623417606</v>
      </c>
      <c r="H436" s="5"/>
      <c r="I436" s="5"/>
    </row>
    <row r="437" spans="1:9" x14ac:dyDescent="0.15">
      <c r="A437" s="6">
        <f ca="1">IF(G437="","",IF(COUNTIF(G$5:G437,G437)=1,RANK(G437,G:G,0),RANK(G437,G:G,0)+COUNTIF(G$5:G437,G437)-1))</f>
        <v>222</v>
      </c>
      <c r="B437" s="2" t="str">
        <f t="shared" si="12"/>
        <v/>
      </c>
      <c r="C437" s="11" t="s">
        <v>246</v>
      </c>
      <c r="D437" s="3" t="str">
        <f>[1]!s_info_name(C437)</f>
        <v>技术硬件与设备</v>
      </c>
      <c r="E437" s="3" t="s">
        <v>254</v>
      </c>
      <c r="F437" s="101" t="str">
        <f t="shared" si="13"/>
        <v/>
      </c>
      <c r="G437" s="5">
        <f ca="1">[1]!f_pq_pctchange(C437,指数分析!$D$5,指数分析!$D$6)/100</f>
        <v>-0.13772668429468404</v>
      </c>
      <c r="H437" s="5"/>
      <c r="I437" s="5"/>
    </row>
    <row r="438" spans="1:9" x14ac:dyDescent="0.15">
      <c r="A438" s="6">
        <f ca="1">IF(G438="","",IF(COUNTIF(G$5:G438,G438)=1,RANK(G438,G:G,0),RANK(G438,G:G,0)+COUNTIF(G$5:G438,G438)-1))</f>
        <v>423</v>
      </c>
      <c r="B438" s="2" t="str">
        <f t="shared" si="12"/>
        <v/>
      </c>
      <c r="C438" s="11" t="s">
        <v>247</v>
      </c>
      <c r="D438" s="3" t="str">
        <f>[1]!s_info_name(C438)</f>
        <v>半导体与半导体生产设备</v>
      </c>
      <c r="E438" s="3" t="s">
        <v>254</v>
      </c>
      <c r="F438" s="101" t="str">
        <f t="shared" si="13"/>
        <v/>
      </c>
      <c r="G438" s="5">
        <f ca="1">[1]!f_pq_pctchange(C438,指数分析!$D$5,指数分析!$D$6)/100</f>
        <v>-0.30884533189434105</v>
      </c>
      <c r="H438" s="5"/>
      <c r="I438" s="5"/>
    </row>
    <row r="439" spans="1:9" x14ac:dyDescent="0.15">
      <c r="A439" s="6">
        <f ca="1">IF(G439="","",IF(COUNTIF(G$5:G439,G439)=1,RANK(G439,G:G,0),RANK(G439,G:G,0)+COUNTIF(G$5:G439,G439)-1))</f>
        <v>102</v>
      </c>
      <c r="B439" s="2" t="str">
        <f t="shared" si="12"/>
        <v/>
      </c>
      <c r="C439" s="11" t="s">
        <v>248</v>
      </c>
      <c r="D439" s="3" t="str">
        <f>[1]!s_info_name(C439)</f>
        <v>电信服务Ⅱ</v>
      </c>
      <c r="E439" s="3" t="s">
        <v>254</v>
      </c>
      <c r="F439" s="101" t="str">
        <f t="shared" si="13"/>
        <v/>
      </c>
      <c r="G439" s="5">
        <f ca="1">[1]!f_pq_pctchange(C439,指数分析!$D$5,指数分析!$D$6)/100</f>
        <v>3.8671662059378109E-2</v>
      </c>
      <c r="H439" s="5"/>
      <c r="I439" s="5"/>
    </row>
    <row r="440" spans="1:9" x14ac:dyDescent="0.15">
      <c r="A440" s="6">
        <f ca="1">IF(G440="","",IF(COUNTIF(G$5:G440,G440)=1,RANK(G440,G:G,0),RANK(G440,G:G,0)+COUNTIF(G$5:G440,G440)-1))</f>
        <v>82</v>
      </c>
      <c r="B440" s="2" t="str">
        <f t="shared" si="12"/>
        <v/>
      </c>
      <c r="C440" s="11" t="s">
        <v>249</v>
      </c>
      <c r="D440" s="3" t="str">
        <f>[1]!s_info_name(C440)</f>
        <v>公用事业Ⅱ</v>
      </c>
      <c r="E440" s="3" t="s">
        <v>254</v>
      </c>
      <c r="F440" s="101" t="str">
        <f t="shared" si="13"/>
        <v/>
      </c>
      <c r="G440" s="5">
        <f ca="1">[1]!f_pq_pctchange(C440,指数分析!$D$5,指数分析!$D$6)/100</f>
        <v>8.4399254694158335E-2</v>
      </c>
      <c r="H440" s="5"/>
      <c r="I440" s="5"/>
    </row>
    <row r="441" spans="1:9" x14ac:dyDescent="0.15">
      <c r="A441" s="6">
        <f ca="1">IF(G441="","",IF(COUNTIF(G$5:G441,G441)=1,RANK(G441,G:G,0),RANK(G441,G:G,0)+COUNTIF(G$5:G441,G441)-1))</f>
        <v>14</v>
      </c>
      <c r="B441" s="2" t="str">
        <f t="shared" si="12"/>
        <v/>
      </c>
      <c r="C441" s="3" t="s">
        <v>257</v>
      </c>
      <c r="D441" s="3" t="str">
        <f>[1]!s_info_name(C441)</f>
        <v>台湾未含金融保险指数</v>
      </c>
      <c r="E441" s="3" t="s">
        <v>334</v>
      </c>
      <c r="F441" s="101" t="str">
        <f t="shared" si="13"/>
        <v/>
      </c>
      <c r="G441" s="5">
        <f ca="1">[1]!f_pq_pctchange(C441,指数分析!$D$5,指数分析!$D$6)/100</f>
        <v>0.38870988449811317</v>
      </c>
      <c r="H441" s="5"/>
      <c r="I441" s="5"/>
    </row>
    <row r="442" spans="1:9" x14ac:dyDescent="0.15">
      <c r="A442" s="6">
        <f ca="1">IF(G442="","",IF(COUNTIF(G$5:G442,G442)=1,RANK(G442,G:G,0),RANK(G442,G:G,0)+COUNTIF(G$5:G442,G442)-1))</f>
        <v>137</v>
      </c>
      <c r="B442" s="2" t="str">
        <f t="shared" si="12"/>
        <v/>
      </c>
      <c r="C442" s="3" t="s">
        <v>258</v>
      </c>
      <c r="D442" s="3" t="str">
        <f>[1]!s_info_name(C442)</f>
        <v>台湾水泥窑制指数</v>
      </c>
      <c r="E442" s="3" t="s">
        <v>335</v>
      </c>
      <c r="F442" s="101" t="str">
        <f t="shared" si="13"/>
        <v/>
      </c>
      <c r="G442" s="5">
        <f ca="1">[1]!f_pq_pctchange(C442,指数分析!$D$5,指数分析!$D$6)/100</f>
        <v>-2.9642170065409812E-2</v>
      </c>
      <c r="H442" s="5"/>
      <c r="I442" s="5"/>
    </row>
    <row r="443" spans="1:9" x14ac:dyDescent="0.15">
      <c r="A443" s="6">
        <f ca="1">IF(G443="","",IF(COUNTIF(G$5:G443,G443)=1,RANK(G443,G:G,0),RANK(G443,G:G,0)+COUNTIF(G$5:G443,G443)-1))</f>
        <v>170</v>
      </c>
      <c r="B443" s="2" t="str">
        <f t="shared" si="12"/>
        <v/>
      </c>
      <c r="C443" s="3" t="s">
        <v>259</v>
      </c>
      <c r="D443" s="3" t="str">
        <f>[1]!s_info_name(C443)</f>
        <v>台湾塑料化工指数</v>
      </c>
      <c r="E443" s="3" t="s">
        <v>335</v>
      </c>
      <c r="F443" s="101" t="str">
        <f t="shared" si="13"/>
        <v/>
      </c>
      <c r="G443" s="5">
        <f ca="1">[1]!f_pq_pctchange(C443,指数分析!$D$5,指数分析!$D$6)/100</f>
        <v>-8.1320529381656903E-2</v>
      </c>
      <c r="H443" s="5"/>
      <c r="I443" s="5"/>
    </row>
    <row r="444" spans="1:9" x14ac:dyDescent="0.15">
      <c r="A444" s="6">
        <f ca="1">IF(G444="","",IF(COUNTIF(G$5:G444,G444)=1,RANK(G444,G:G,0),RANK(G444,G:G,0)+COUNTIF(G$5:G444,G444)-1))</f>
        <v>7</v>
      </c>
      <c r="B444" s="2" t="str">
        <f t="shared" si="12"/>
        <v/>
      </c>
      <c r="C444" s="3" t="s">
        <v>260</v>
      </c>
      <c r="D444" s="3" t="str">
        <f>[1]!s_info_name(C444)</f>
        <v>台湾机电指数</v>
      </c>
      <c r="E444" s="3" t="s">
        <v>335</v>
      </c>
      <c r="F444" s="101" t="str">
        <f t="shared" si="13"/>
        <v/>
      </c>
      <c r="G444" s="5">
        <f ca="1">[1]!f_pq_pctchange(C444,指数分析!$D$5,指数分析!$D$6)/100</f>
        <v>0.52263642055579629</v>
      </c>
      <c r="H444" s="5"/>
      <c r="I444" s="5"/>
    </row>
    <row r="445" spans="1:9" x14ac:dyDescent="0.15">
      <c r="A445" s="6">
        <f ca="1">IF(G445="","",IF(COUNTIF(G$5:G445,G445)=1,RANK(G445,G:G,0),RANK(G445,G:G,0)+COUNTIF(G$5:G445,G445)-1))</f>
        <v>5</v>
      </c>
      <c r="B445" s="2" t="str">
        <f t="shared" si="12"/>
        <v/>
      </c>
      <c r="C445" s="3" t="s">
        <v>261</v>
      </c>
      <c r="D445" s="3" t="str">
        <f>[1]!s_info_name(C445)</f>
        <v>台湾建材营造指数</v>
      </c>
      <c r="E445" s="3" t="s">
        <v>335</v>
      </c>
      <c r="F445" s="101" t="str">
        <f t="shared" si="13"/>
        <v/>
      </c>
      <c r="G445" s="5">
        <f ca="1">[1]!f_pq_pctchange(C445,指数分析!$D$5,指数分析!$D$6)/100</f>
        <v>0.5621135761417364</v>
      </c>
      <c r="H445" s="5"/>
      <c r="I445" s="5"/>
    </row>
    <row r="446" spans="1:9" x14ac:dyDescent="0.15">
      <c r="A446" s="6">
        <f ca="1">IF(G446="","",IF(COUNTIF(G$5:G446,G446)=1,RANK(G446,G:G,0),RANK(G446,G:G,0)+COUNTIF(G$5:G446,G446)-1))</f>
        <v>73</v>
      </c>
      <c r="B446" s="2" t="str">
        <f t="shared" si="12"/>
        <v/>
      </c>
      <c r="C446" s="3" t="s">
        <v>262</v>
      </c>
      <c r="D446" s="3" t="str">
        <f>[1]!s_info_name(C446)</f>
        <v>台湾食品指数</v>
      </c>
      <c r="E446" s="3" t="s">
        <v>335</v>
      </c>
      <c r="F446" s="101" t="str">
        <f t="shared" si="13"/>
        <v/>
      </c>
      <c r="G446" s="5">
        <f ca="1">[1]!f_pq_pctchange(C446,指数分析!$D$5,指数分析!$D$6)/100</f>
        <v>9.7903427961121489E-2</v>
      </c>
      <c r="H446" s="5"/>
      <c r="I446" s="5"/>
    </row>
    <row r="447" spans="1:9" x14ac:dyDescent="0.15">
      <c r="A447" s="6">
        <f ca="1">IF(G447="","",IF(COUNTIF(G$5:G447,G447)=1,RANK(G447,G:G,0),RANK(G447,G:G,0)+COUNTIF(G$5:G447,G447)-1))</f>
        <v>77</v>
      </c>
      <c r="B447" s="2" t="str">
        <f t="shared" si="12"/>
        <v/>
      </c>
      <c r="C447" s="3" t="s">
        <v>263</v>
      </c>
      <c r="D447" s="3" t="str">
        <f>[1]!s_info_name(C447)</f>
        <v>台湾纺织指数</v>
      </c>
      <c r="E447" s="3" t="s">
        <v>335</v>
      </c>
      <c r="F447" s="101" t="str">
        <f t="shared" si="13"/>
        <v/>
      </c>
      <c r="G447" s="5">
        <f ca="1">[1]!f_pq_pctchange(C447,指数分析!$D$5,指数分析!$D$6)/100</f>
        <v>9.1362669720268297E-2</v>
      </c>
      <c r="H447" s="5"/>
      <c r="I447" s="5"/>
    </row>
    <row r="448" spans="1:9" x14ac:dyDescent="0.15">
      <c r="A448" s="6">
        <f ca="1">IF(G448="","",IF(COUNTIF(G$5:G448,G448)=1,RANK(G448,G:G,0),RANK(G448,G:G,0)+COUNTIF(G$5:G448,G448)-1))</f>
        <v>203</v>
      </c>
      <c r="B448" s="2" t="str">
        <f t="shared" si="12"/>
        <v/>
      </c>
      <c r="C448" s="3" t="s">
        <v>264</v>
      </c>
      <c r="D448" s="3" t="str">
        <f>[1]!s_info_name(C448)</f>
        <v>台湾造纸指数</v>
      </c>
      <c r="E448" s="3" t="s">
        <v>335</v>
      </c>
      <c r="F448" s="101" t="str">
        <f t="shared" si="13"/>
        <v/>
      </c>
      <c r="G448" s="5">
        <f ca="1">[1]!f_pq_pctchange(C448,指数分析!$D$5,指数分析!$D$6)/100</f>
        <v>-0.12119727750850773</v>
      </c>
      <c r="H448" s="5"/>
      <c r="I448" s="5"/>
    </row>
    <row r="449" spans="1:9" x14ac:dyDescent="0.15">
      <c r="A449" s="6">
        <f ca="1">IF(G449="","",IF(COUNTIF(G$5:G449,G449)=1,RANK(G449,G:G,0),RANK(G449,G:G,0)+COUNTIF(G$5:G449,G449)-1))</f>
        <v>24</v>
      </c>
      <c r="B449" s="2" t="str">
        <f t="shared" si="12"/>
        <v/>
      </c>
      <c r="C449" s="3" t="s">
        <v>265</v>
      </c>
      <c r="D449" s="3" t="str">
        <f>[1]!s_info_name(C449)</f>
        <v>台湾金融保险指数</v>
      </c>
      <c r="E449" s="3" t="s">
        <v>335</v>
      </c>
      <c r="F449" s="101" t="str">
        <f t="shared" si="13"/>
        <v/>
      </c>
      <c r="G449" s="5">
        <f ca="1">[1]!f_pq_pctchange(C449,指数分析!$D$5,指数分析!$D$6)/100</f>
        <v>0.25667714183967383</v>
      </c>
      <c r="H449" s="5"/>
      <c r="I449" s="5"/>
    </row>
    <row r="450" spans="1:9" x14ac:dyDescent="0.15">
      <c r="A450" s="6">
        <f ca="1">IF(G450="","",IF(COUNTIF(G$5:G450,G450)=1,RANK(G450,G:G,0),RANK(G450,G:G,0)+COUNTIF(G$5:G450,G450)-1))</f>
        <v>146</v>
      </c>
      <c r="B450" s="2" t="str">
        <f t="shared" si="12"/>
        <v/>
      </c>
      <c r="C450" s="3" t="s">
        <v>266</v>
      </c>
      <c r="D450" s="3" t="str">
        <f>[1]!s_info_name(C450)</f>
        <v>台湾水泥指数</v>
      </c>
      <c r="E450" s="3" t="s">
        <v>335</v>
      </c>
      <c r="F450" s="101" t="str">
        <f t="shared" si="13"/>
        <v/>
      </c>
      <c r="G450" s="5">
        <f ca="1">[1]!f_pq_pctchange(C450,指数分析!$D$5,指数分析!$D$6)/100</f>
        <v>-3.9728512082382483E-2</v>
      </c>
      <c r="H450" s="5"/>
      <c r="I450" s="5"/>
    </row>
    <row r="451" spans="1:9" x14ac:dyDescent="0.15">
      <c r="A451" s="6">
        <f ca="1">IF(G451="","",IF(COUNTIF(G$5:G451,G451)=1,RANK(G451,G:G,0),RANK(G451,G:G,0)+COUNTIF(G$5:G451,G451)-1))</f>
        <v>378</v>
      </c>
      <c r="B451" s="2" t="str">
        <f t="shared" si="12"/>
        <v/>
      </c>
      <c r="C451" s="3" t="s">
        <v>267</v>
      </c>
      <c r="D451" s="3" t="str">
        <f>[1]!s_info_name(C451)</f>
        <v>台湾塑料指数</v>
      </c>
      <c r="E451" s="3" t="s">
        <v>335</v>
      </c>
      <c r="F451" s="101" t="str">
        <f t="shared" si="13"/>
        <v/>
      </c>
      <c r="G451" s="5">
        <f ca="1">[1]!f_pq_pctchange(C451,指数分析!$D$5,指数分析!$D$6)/100</f>
        <v>-0.2556995387656491</v>
      </c>
      <c r="H451" s="5"/>
      <c r="I451" s="5"/>
    </row>
    <row r="452" spans="1:9" x14ac:dyDescent="0.15">
      <c r="A452" s="6">
        <f ca="1">IF(G452="","",IF(COUNTIF(G$5:G452,G452)=1,RANK(G452,G:G,0),RANK(G452,G:G,0)+COUNTIF(G$5:G452,G452)-1))</f>
        <v>11</v>
      </c>
      <c r="B452" s="2" t="str">
        <f t="shared" si="12"/>
        <v/>
      </c>
      <c r="C452" s="3" t="s">
        <v>268</v>
      </c>
      <c r="D452" s="3" t="str">
        <f>[1]!s_info_name(C452)</f>
        <v>台湾电机机械指数</v>
      </c>
      <c r="E452" s="3" t="s">
        <v>335</v>
      </c>
      <c r="F452" s="101" t="str">
        <f t="shared" si="13"/>
        <v/>
      </c>
      <c r="G452" s="5">
        <f ca="1">[1]!f_pq_pctchange(C452,指数分析!$D$5,指数分析!$D$6)/100</f>
        <v>0.4073048564228603</v>
      </c>
      <c r="H452" s="5"/>
      <c r="I452" s="5"/>
    </row>
    <row r="453" spans="1:9" x14ac:dyDescent="0.15">
      <c r="A453" s="6">
        <f ca="1">IF(G453="","",IF(COUNTIF(G$5:G453,G453)=1,RANK(G453,G:G,0),RANK(G453,G:G,0)+COUNTIF(G$5:G453,G453)-1))</f>
        <v>84</v>
      </c>
      <c r="B453" s="2" t="str">
        <f t="shared" si="12"/>
        <v/>
      </c>
      <c r="C453" s="3" t="s">
        <v>269</v>
      </c>
      <c r="D453" s="3" t="str">
        <f>[1]!s_info_name(C453)</f>
        <v>台湾电器电缆指数</v>
      </c>
      <c r="E453" s="3" t="s">
        <v>335</v>
      </c>
      <c r="F453" s="101" t="str">
        <f t="shared" si="13"/>
        <v/>
      </c>
      <c r="G453" s="5">
        <f ca="1">[1]!f_pq_pctchange(C453,指数分析!$D$5,指数分析!$D$6)/100</f>
        <v>7.817323406573462E-2</v>
      </c>
      <c r="H453" s="5"/>
      <c r="I453" s="5"/>
    </row>
    <row r="454" spans="1:9" x14ac:dyDescent="0.15">
      <c r="A454" s="6">
        <f ca="1">IF(G454="","",IF(COUNTIF(G$5:G454,G454)=1,RANK(G454,G:G,0),RANK(G454,G:G,0)+COUNTIF(G$5:G454,G454)-1))</f>
        <v>55</v>
      </c>
      <c r="B454" s="2" t="str">
        <f t="shared" ref="B454:B501" si="14">IF(F454="","",RANK(F454,F:F,1))</f>
        <v/>
      </c>
      <c r="C454" s="3" t="s">
        <v>270</v>
      </c>
      <c r="D454" s="3" t="str">
        <f>[1]!s_info_name(C454)</f>
        <v>台湾化学生技医疗指数</v>
      </c>
      <c r="E454" s="3" t="s">
        <v>335</v>
      </c>
      <c r="F454" s="101" t="str">
        <f t="shared" ref="F454:F501" si="15">IF(ISERROR(FIND(F$4,$E454,1)),"",ROW())</f>
        <v/>
      </c>
      <c r="G454" s="5">
        <f ca="1">[1]!f_pq_pctchange(C454,指数分析!$D$5,指数分析!$D$6)/100</f>
        <v>0.13918174665617622</v>
      </c>
      <c r="H454" s="5"/>
      <c r="I454" s="5"/>
    </row>
    <row r="455" spans="1:9" x14ac:dyDescent="0.15">
      <c r="A455" s="6">
        <f ca="1">IF(G455="","",IF(COUNTIF(G$5:G455,G455)=1,RANK(G455,G:G,0),RANK(G455,G:G,0)+COUNTIF(G$5:G455,G455)-1))</f>
        <v>106</v>
      </c>
      <c r="B455" s="2" t="str">
        <f t="shared" si="14"/>
        <v/>
      </c>
      <c r="C455" s="3" t="s">
        <v>271</v>
      </c>
      <c r="D455" s="3" t="str">
        <f>[1]!s_info_name(C455)</f>
        <v>台湾玻璃陶瓷指数</v>
      </c>
      <c r="E455" s="3" t="s">
        <v>335</v>
      </c>
      <c r="F455" s="101" t="str">
        <f t="shared" si="15"/>
        <v/>
      </c>
      <c r="G455" s="5">
        <f ca="1">[1]!f_pq_pctchange(C455,指数分析!$D$5,指数分析!$D$6)/100</f>
        <v>3.6693704132869875E-2</v>
      </c>
      <c r="H455" s="5"/>
      <c r="I455" s="5"/>
    </row>
    <row r="456" spans="1:9" x14ac:dyDescent="0.15">
      <c r="A456" s="6">
        <f ca="1">IF(G456="","",IF(COUNTIF(G$5:G456,G456)=1,RANK(G456,G:G,0),RANK(G456,G:G,0)+COUNTIF(G$5:G456,G456)-1))</f>
        <v>125</v>
      </c>
      <c r="B456" s="2" t="str">
        <f t="shared" si="14"/>
        <v/>
      </c>
      <c r="C456" s="3" t="s">
        <v>272</v>
      </c>
      <c r="D456" s="3" t="str">
        <f>[1]!s_info_name(C456)</f>
        <v>台湾钢铁指数</v>
      </c>
      <c r="E456" s="3" t="s">
        <v>335</v>
      </c>
      <c r="F456" s="101" t="str">
        <f t="shared" si="15"/>
        <v/>
      </c>
      <c r="G456" s="5">
        <f ca="1">[1]!f_pq_pctchange(C456,指数分析!$D$5,指数分析!$D$6)/100</f>
        <v>-7.0270646350796273E-3</v>
      </c>
      <c r="H456" s="5"/>
      <c r="I456" s="5"/>
    </row>
    <row r="457" spans="1:9" x14ac:dyDescent="0.15">
      <c r="A457" s="6">
        <f ca="1">IF(G457="","",IF(COUNTIF(G$5:G457,G457)=1,RANK(G457,G:G,0),RANK(G457,G:G,0)+COUNTIF(G$5:G457,G457)-1))</f>
        <v>49</v>
      </c>
      <c r="B457" s="2" t="str">
        <f t="shared" si="14"/>
        <v/>
      </c>
      <c r="C457" s="3" t="s">
        <v>273</v>
      </c>
      <c r="D457" s="3" t="str">
        <f>[1]!s_info_name(C457)</f>
        <v>台湾橡胶指数</v>
      </c>
      <c r="E457" s="3" t="s">
        <v>335</v>
      </c>
      <c r="F457" s="101" t="str">
        <f t="shared" si="15"/>
        <v/>
      </c>
      <c r="G457" s="5">
        <f ca="1">[1]!f_pq_pctchange(C457,指数分析!$D$5,指数分析!$D$6)/100</f>
        <v>0.16541112357749621</v>
      </c>
      <c r="H457" s="5"/>
      <c r="I457" s="5"/>
    </row>
    <row r="458" spans="1:9" x14ac:dyDescent="0.15">
      <c r="A458" s="6">
        <f ca="1">IF(G458="","",IF(COUNTIF(G$5:G458,G458)=1,RANK(G458,G:G,0),RANK(G458,G:G,0)+COUNTIF(G$5:G458,G458)-1))</f>
        <v>155</v>
      </c>
      <c r="B458" s="2" t="str">
        <f t="shared" si="14"/>
        <v/>
      </c>
      <c r="C458" s="3" t="s">
        <v>274</v>
      </c>
      <c r="D458" s="3" t="str">
        <f>[1]!s_info_name(C458)</f>
        <v>台湾汽车指数</v>
      </c>
      <c r="E458" s="3" t="s">
        <v>335</v>
      </c>
      <c r="F458" s="101" t="str">
        <f t="shared" si="15"/>
        <v/>
      </c>
      <c r="G458" s="5">
        <f ca="1">[1]!f_pq_pctchange(C458,指数分析!$D$5,指数分析!$D$6)/100</f>
        <v>-6.1641487440861183E-2</v>
      </c>
      <c r="H458" s="5"/>
      <c r="I458" s="5"/>
    </row>
    <row r="459" spans="1:9" x14ac:dyDescent="0.15">
      <c r="A459" s="6">
        <f ca="1">IF(G459="","",IF(COUNTIF(G$5:G459,G459)=1,RANK(G459,G:G,0),RANK(G459,G:G,0)+COUNTIF(G$5:G459,G459)-1))</f>
        <v>6</v>
      </c>
      <c r="B459" s="2" t="str">
        <f t="shared" si="14"/>
        <v/>
      </c>
      <c r="C459" s="3" t="s">
        <v>275</v>
      </c>
      <c r="D459" s="3" t="str">
        <f>[1]!s_info_name(C459)</f>
        <v>台湾电子指数</v>
      </c>
      <c r="E459" s="3" t="s">
        <v>335</v>
      </c>
      <c r="F459" s="101" t="str">
        <f t="shared" si="15"/>
        <v/>
      </c>
      <c r="G459" s="5">
        <f ca="1">[1]!f_pq_pctchange(C459,指数分析!$D$5,指数分析!$D$6)/100</f>
        <v>0.52989337864125474</v>
      </c>
      <c r="H459" s="5"/>
      <c r="I459" s="5"/>
    </row>
    <row r="460" spans="1:9" x14ac:dyDescent="0.15">
      <c r="A460" s="6">
        <f ca="1">IF(G460="","",IF(COUNTIF(G$5:G460,G460)=1,RANK(G460,G:G,0),RANK(G460,G:G,0)+COUNTIF(G$5:G460,G460)-1))</f>
        <v>22</v>
      </c>
      <c r="B460" s="2" t="str">
        <f t="shared" si="14"/>
        <v/>
      </c>
      <c r="C460" s="3" t="s">
        <v>276</v>
      </c>
      <c r="D460" s="3" t="str">
        <f>[1]!s_info_name(C460)</f>
        <v>台湾航运指数</v>
      </c>
      <c r="E460" s="3" t="s">
        <v>335</v>
      </c>
      <c r="F460" s="101" t="str">
        <f t="shared" si="15"/>
        <v/>
      </c>
      <c r="G460" s="5">
        <f ca="1">[1]!f_pq_pctchange(C460,指数分析!$D$5,指数分析!$D$6)/100</f>
        <v>0.26675282714054926</v>
      </c>
      <c r="H460" s="5"/>
      <c r="I460" s="5"/>
    </row>
    <row r="461" spans="1:9" x14ac:dyDescent="0.15">
      <c r="A461" s="6">
        <f ca="1">IF(G461="","",IF(COUNTIF(G$5:G461,G461)=1,RANK(G461,G:G,0),RANK(G461,G:G,0)+COUNTIF(G$5:G461,G461)-1))</f>
        <v>214</v>
      </c>
      <c r="B461" s="2" t="str">
        <f t="shared" si="14"/>
        <v/>
      </c>
      <c r="C461" s="3" t="s">
        <v>277</v>
      </c>
      <c r="D461" s="3" t="str">
        <f>[1]!s_info_name(C461)</f>
        <v>台湾观光指数</v>
      </c>
      <c r="E461" s="3" t="s">
        <v>335</v>
      </c>
      <c r="F461" s="101" t="str">
        <f t="shared" si="15"/>
        <v/>
      </c>
      <c r="G461" s="5">
        <f ca="1">[1]!f_pq_pctchange(C461,指数分析!$D$5,指数分析!$D$6)/100</f>
        <v>-0.12826931945450948</v>
      </c>
      <c r="H461" s="5"/>
      <c r="I461" s="5"/>
    </row>
    <row r="462" spans="1:9" x14ac:dyDescent="0.15">
      <c r="A462" s="6">
        <f ca="1">IF(G462="","",IF(COUNTIF(G$5:G462,G462)=1,RANK(G462,G:G,0),RANK(G462,G:G,0)+COUNTIF(G$5:G462,G462)-1))</f>
        <v>109</v>
      </c>
      <c r="B462" s="2" t="str">
        <f t="shared" si="14"/>
        <v/>
      </c>
      <c r="C462" s="3" t="s">
        <v>278</v>
      </c>
      <c r="D462" s="3" t="str">
        <f>[1]!s_info_name(C462)</f>
        <v>台湾贸易百货指数</v>
      </c>
      <c r="E462" s="3" t="s">
        <v>335</v>
      </c>
      <c r="F462" s="101" t="str">
        <f t="shared" si="15"/>
        <v/>
      </c>
      <c r="G462" s="5">
        <f ca="1">[1]!f_pq_pctchange(C462,指数分析!$D$5,指数分析!$D$6)/100</f>
        <v>3.1746580074616615E-2</v>
      </c>
      <c r="H462" s="5"/>
      <c r="I462" s="5"/>
    </row>
    <row r="463" spans="1:9" x14ac:dyDescent="0.15">
      <c r="A463" s="6">
        <f ca="1">IF(G463="","",IF(COUNTIF(G$5:G463,G463)=1,RANK(G463,G:G,0),RANK(G463,G:G,0)+COUNTIF(G$5:G463,G463)-1))</f>
        <v>132</v>
      </c>
      <c r="B463" s="2" t="str">
        <f t="shared" si="14"/>
        <v/>
      </c>
      <c r="C463" s="3" t="s">
        <v>279</v>
      </c>
      <c r="D463" s="3" t="str">
        <f>[1]!s_info_name(C463)</f>
        <v>台湾其它指数</v>
      </c>
      <c r="E463" s="3" t="s">
        <v>335</v>
      </c>
      <c r="F463" s="101" t="str">
        <f t="shared" si="15"/>
        <v/>
      </c>
      <c r="G463" s="5">
        <f ca="1">[1]!f_pq_pctchange(C463,指数分析!$D$5,指数分析!$D$6)/100</f>
        <v>-1.7233163913595861E-2</v>
      </c>
      <c r="H463" s="5"/>
      <c r="I463" s="5"/>
    </row>
    <row r="464" spans="1:9" x14ac:dyDescent="0.15">
      <c r="A464" s="6">
        <f ca="1">IF(G464="","",IF(COUNTIF(G$5:G464,G464)=1,RANK(G464,G:G,0),RANK(G464,G:G,0)+COUNTIF(G$5:G464,G464)-1))</f>
        <v>497</v>
      </c>
      <c r="B464" s="2" t="str">
        <f t="shared" si="14"/>
        <v/>
      </c>
      <c r="C464" s="3" t="s">
        <v>280</v>
      </c>
      <c r="D464" s="3" t="str">
        <f>[1]!s_info_name(C464)</f>
        <v>台湾综合行业指数</v>
      </c>
      <c r="E464" s="3" t="s">
        <v>335</v>
      </c>
      <c r="F464" s="101" t="str">
        <f t="shared" si="15"/>
        <v/>
      </c>
      <c r="G464" s="5">
        <f ca="1">[1]!f_pq_pctchange(C464,指数分析!$D$5,指数分析!$D$6)/100</f>
        <v>-1</v>
      </c>
      <c r="H464" s="5"/>
      <c r="I464" s="5"/>
    </row>
    <row r="465" spans="1:9" x14ac:dyDescent="0.15">
      <c r="A465" s="6">
        <f ca="1">IF(G465="","",IF(COUNTIF(G$5:G465,G465)=1,RANK(G465,G:G,0),RANK(G465,G:G,0)+COUNTIF(G$5:G465,G465)-1))</f>
        <v>65</v>
      </c>
      <c r="B465" s="2" t="str">
        <f t="shared" si="14"/>
        <v/>
      </c>
      <c r="C465" s="3" t="s">
        <v>281</v>
      </c>
      <c r="D465" s="3" t="str">
        <f>[1]!s_info_name(C465)</f>
        <v>台湾未含电子指数</v>
      </c>
      <c r="E465" s="3" t="s">
        <v>335</v>
      </c>
      <c r="F465" s="101" t="str">
        <f t="shared" si="15"/>
        <v/>
      </c>
      <c r="G465" s="5">
        <f ca="1">[1]!f_pq_pctchange(C465,指数分析!$D$5,指数分析!$D$6)/100</f>
        <v>0.11617893601309781</v>
      </c>
      <c r="H465" s="5"/>
      <c r="I465" s="5"/>
    </row>
    <row r="466" spans="1:9" x14ac:dyDescent="0.15">
      <c r="A466" s="6">
        <f ca="1">IF(G466="","",IF(COUNTIF(G$5:G466,G466)=1,RANK(G466,G:G,0),RANK(G466,G:G,0)+COUNTIF(G$5:G466,G466)-1))</f>
        <v>46</v>
      </c>
      <c r="B466" s="2" t="str">
        <f t="shared" si="14"/>
        <v/>
      </c>
      <c r="C466" s="3" t="s">
        <v>282</v>
      </c>
      <c r="D466" s="3" t="str">
        <f>[1]!s_info_name(C466)</f>
        <v>台湾化学工业指数</v>
      </c>
      <c r="E466" s="3" t="s">
        <v>335</v>
      </c>
      <c r="F466" s="101" t="str">
        <f t="shared" si="15"/>
        <v/>
      </c>
      <c r="G466" s="5">
        <f ca="1">[1]!f_pq_pctchange(C466,指数分析!$D$5,指数分析!$D$6)/100</f>
        <v>0.16945933111729183</v>
      </c>
      <c r="H466" s="5"/>
      <c r="I466" s="5"/>
    </row>
    <row r="467" spans="1:9" x14ac:dyDescent="0.15">
      <c r="A467" s="6">
        <f ca="1">IF(G467="","",IF(COUNTIF(G$5:G467,G467)=1,RANK(G467,G:G,0),RANK(G467,G:G,0)+COUNTIF(G$5:G467,G467)-1))</f>
        <v>80</v>
      </c>
      <c r="B467" s="2" t="str">
        <f t="shared" si="14"/>
        <v/>
      </c>
      <c r="C467" s="3" t="s">
        <v>283</v>
      </c>
      <c r="D467" s="3" t="str">
        <f>[1]!s_info_name(C467)</f>
        <v>台湾生技医疗指数</v>
      </c>
      <c r="E467" s="3" t="s">
        <v>335</v>
      </c>
      <c r="F467" s="101" t="str">
        <f t="shared" si="15"/>
        <v/>
      </c>
      <c r="G467" s="5">
        <f ca="1">[1]!f_pq_pctchange(C467,指数分析!$D$5,指数分析!$D$6)/100</f>
        <v>8.5137663726276389E-2</v>
      </c>
      <c r="H467" s="5"/>
      <c r="I467" s="5"/>
    </row>
    <row r="468" spans="1:9" x14ac:dyDescent="0.15">
      <c r="A468" s="6">
        <f ca="1">IF(G468="","",IF(COUNTIF(G$5:G468,G468)=1,RANK(G468,G:G,0),RANK(G468,G:G,0)+COUNTIF(G$5:G468,G468)-1))</f>
        <v>277</v>
      </c>
      <c r="B468" s="2" t="str">
        <f t="shared" si="14"/>
        <v/>
      </c>
      <c r="C468" s="3" t="s">
        <v>284</v>
      </c>
      <c r="D468" s="3" t="str">
        <f>[1]!s_info_name(C468)</f>
        <v>台湾油电燃气指数</v>
      </c>
      <c r="E468" s="3" t="s">
        <v>335</v>
      </c>
      <c r="F468" s="101" t="str">
        <f t="shared" si="15"/>
        <v/>
      </c>
      <c r="G468" s="5">
        <f ca="1">[1]!f_pq_pctchange(C468,指数分析!$D$5,指数分析!$D$6)/100</f>
        <v>-0.18006784633721451</v>
      </c>
      <c r="H468" s="5"/>
      <c r="I468" s="5"/>
    </row>
    <row r="469" spans="1:9" x14ac:dyDescent="0.15">
      <c r="A469" s="6">
        <f ca="1">IF(G469="","",IF(COUNTIF(G$5:G469,G469)=1,RANK(G469,G:G,0),RANK(G469,G:G,0)+COUNTIF(G$5:G469,G469)-1))</f>
        <v>4</v>
      </c>
      <c r="B469" s="2" t="str">
        <f t="shared" si="14"/>
        <v/>
      </c>
      <c r="C469" s="3" t="s">
        <v>285</v>
      </c>
      <c r="D469" s="3" t="str">
        <f>[1]!s_info_name(C469)</f>
        <v>台湾半导体指数</v>
      </c>
      <c r="E469" s="3" t="s">
        <v>335</v>
      </c>
      <c r="F469" s="101" t="str">
        <f t="shared" si="15"/>
        <v/>
      </c>
      <c r="G469" s="5">
        <f ca="1">[1]!f_pq_pctchange(C469,指数分析!$D$5,指数分析!$D$6)/100</f>
        <v>0.63512832081530823</v>
      </c>
      <c r="H469" s="5"/>
      <c r="I469" s="5"/>
    </row>
    <row r="470" spans="1:9" x14ac:dyDescent="0.15">
      <c r="A470" s="6">
        <f ca="1">IF(G470="","",IF(COUNTIF(G$5:G470,G470)=1,RANK(G470,G:G,0),RANK(G470,G:G,0)+COUNTIF(G$5:G470,G470)-1))</f>
        <v>13</v>
      </c>
      <c r="B470" s="2" t="str">
        <f t="shared" si="14"/>
        <v/>
      </c>
      <c r="C470" s="3" t="s">
        <v>286</v>
      </c>
      <c r="D470" s="3" t="str">
        <f>[1]!s_info_name(C470)</f>
        <v>台湾计算机及外围设备指数</v>
      </c>
      <c r="E470" s="3" t="s">
        <v>335</v>
      </c>
      <c r="F470" s="101" t="str">
        <f t="shared" si="15"/>
        <v/>
      </c>
      <c r="G470" s="5">
        <f ca="1">[1]!f_pq_pctchange(C470,指数分析!$D$5,指数分析!$D$6)/100</f>
        <v>0.39911469987352843</v>
      </c>
      <c r="H470" s="5"/>
      <c r="I470" s="5"/>
    </row>
    <row r="471" spans="1:9" x14ac:dyDescent="0.15">
      <c r="A471" s="6">
        <f ca="1">IF(G471="","",IF(COUNTIF(G$5:G471,G471)=1,RANK(G471,G:G,0),RANK(G471,G:G,0)+COUNTIF(G$5:G471,G471)-1))</f>
        <v>63</v>
      </c>
      <c r="B471" s="2" t="str">
        <f t="shared" si="14"/>
        <v/>
      </c>
      <c r="C471" s="3" t="s">
        <v>287</v>
      </c>
      <c r="D471" s="3" t="str">
        <f>[1]!s_info_name(C471)</f>
        <v>台湾光电指数</v>
      </c>
      <c r="E471" s="3" t="s">
        <v>335</v>
      </c>
      <c r="F471" s="101" t="str">
        <f t="shared" si="15"/>
        <v/>
      </c>
      <c r="G471" s="5">
        <f ca="1">[1]!f_pq_pctchange(C471,指数分析!$D$5,指数分析!$D$6)/100</f>
        <v>0.11818658280922456</v>
      </c>
      <c r="H471" s="5"/>
      <c r="I471" s="5"/>
    </row>
    <row r="472" spans="1:9" x14ac:dyDescent="0.15">
      <c r="A472" s="6">
        <f ca="1">IF(G472="","",IF(COUNTIF(G$5:G472,G472)=1,RANK(G472,G:G,0),RANK(G472,G:G,0)+COUNTIF(G$5:G472,G472)-1))</f>
        <v>47</v>
      </c>
      <c r="B472" s="2" t="str">
        <f t="shared" si="14"/>
        <v/>
      </c>
      <c r="C472" s="3" t="s">
        <v>288</v>
      </c>
      <c r="D472" s="3" t="str">
        <f>[1]!s_info_name(C472)</f>
        <v>台湾通信网路指数</v>
      </c>
      <c r="E472" s="3" t="s">
        <v>335</v>
      </c>
      <c r="F472" s="101" t="str">
        <f t="shared" si="15"/>
        <v/>
      </c>
      <c r="G472" s="5">
        <f ca="1">[1]!f_pq_pctchange(C472,指数分析!$D$5,指数分析!$D$6)/100</f>
        <v>0.16918206581756601</v>
      </c>
      <c r="H472" s="5"/>
      <c r="I472" s="5"/>
    </row>
    <row r="473" spans="1:9" x14ac:dyDescent="0.15">
      <c r="A473" s="6">
        <f ca="1">IF(G473="","",IF(COUNTIF(G$5:G473,G473)=1,RANK(G473,G:G,0),RANK(G473,G:G,0)+COUNTIF(G$5:G473,G473)-1))</f>
        <v>21</v>
      </c>
      <c r="B473" s="2" t="str">
        <f t="shared" si="14"/>
        <v/>
      </c>
      <c r="C473" s="3" t="s">
        <v>289</v>
      </c>
      <c r="D473" s="3" t="str">
        <f>[1]!s_info_name(C473)</f>
        <v>台湾电子零组件指数</v>
      </c>
      <c r="E473" s="3" t="s">
        <v>335</v>
      </c>
      <c r="F473" s="101" t="str">
        <f t="shared" si="15"/>
        <v/>
      </c>
      <c r="G473" s="5">
        <f ca="1">[1]!f_pq_pctchange(C473,指数分析!$D$5,指数分析!$D$6)/100</f>
        <v>0.27323988195615523</v>
      </c>
      <c r="H473" s="5"/>
      <c r="I473" s="5"/>
    </row>
    <row r="474" spans="1:9" x14ac:dyDescent="0.15">
      <c r="A474" s="6">
        <f ca="1">IF(G474="","",IF(COUNTIF(G$5:G474,G474)=1,RANK(G474,G:G,0),RANK(G474,G:G,0)+COUNTIF(G$5:G474,G474)-1))</f>
        <v>8</v>
      </c>
      <c r="B474" s="2" t="str">
        <f t="shared" si="14"/>
        <v/>
      </c>
      <c r="C474" s="3" t="s">
        <v>290</v>
      </c>
      <c r="D474" s="3" t="str">
        <f>[1]!s_info_name(C474)</f>
        <v>台湾电子通路指数</v>
      </c>
      <c r="E474" s="3" t="s">
        <v>335</v>
      </c>
      <c r="F474" s="101" t="str">
        <f t="shared" si="15"/>
        <v/>
      </c>
      <c r="G474" s="5">
        <f ca="1">[1]!f_pq_pctchange(C474,指数分析!$D$5,指数分析!$D$6)/100</f>
        <v>0.49726365489859425</v>
      </c>
      <c r="H474" s="5"/>
      <c r="I474" s="5"/>
    </row>
    <row r="475" spans="1:9" x14ac:dyDescent="0.15">
      <c r="A475" s="6">
        <f ca="1">IF(G475="","",IF(COUNTIF(G$5:G475,G475)=1,RANK(G475,G:G,0),RANK(G475,G:G,0)+COUNTIF(G$5:G475,G475)-1))</f>
        <v>56</v>
      </c>
      <c r="B475" s="2" t="str">
        <f t="shared" si="14"/>
        <v/>
      </c>
      <c r="C475" s="3" t="s">
        <v>291</v>
      </c>
      <c r="D475" s="3" t="str">
        <f>[1]!s_info_name(C475)</f>
        <v>台湾信息服务指数</v>
      </c>
      <c r="E475" s="3" t="s">
        <v>335</v>
      </c>
      <c r="F475" s="101" t="str">
        <f t="shared" si="15"/>
        <v/>
      </c>
      <c r="G475" s="5">
        <f ca="1">[1]!f_pq_pctchange(C475,指数分析!$D$5,指数分析!$D$6)/100</f>
        <v>0.13856288751107182</v>
      </c>
      <c r="H475" s="5"/>
      <c r="I475" s="5"/>
    </row>
    <row r="476" spans="1:9" x14ac:dyDescent="0.15">
      <c r="A476" s="6">
        <f ca="1">IF(G476="","",IF(COUNTIF(G$5:G476,G476)=1,RANK(G476,G:G,0),RANK(G476,G:G,0)+COUNTIF(G$5:G476,G476)-1))</f>
        <v>3</v>
      </c>
      <c r="B476" s="2" t="str">
        <f t="shared" si="14"/>
        <v/>
      </c>
      <c r="C476" s="3" t="s">
        <v>292</v>
      </c>
      <c r="D476" s="3" t="str">
        <f>[1]!s_info_name(C476)</f>
        <v>台湾其他电子指数</v>
      </c>
      <c r="E476" s="3" t="s">
        <v>335</v>
      </c>
      <c r="F476" s="101" t="str">
        <f t="shared" si="15"/>
        <v/>
      </c>
      <c r="G476" s="5">
        <f ca="1">[1]!f_pq_pctchange(C476,指数分析!$D$5,指数分析!$D$6)/100</f>
        <v>0.76466108149276479</v>
      </c>
      <c r="H476" s="5"/>
      <c r="I476" s="5"/>
    </row>
    <row r="477" spans="1:9" x14ac:dyDescent="0.15">
      <c r="A477" s="6">
        <f ca="1">IF(G477="","",IF(COUNTIF(G$5:G477,G477)=1,RANK(G477,G:G,0),RANK(G477,G:G,0)+COUNTIF(G$5:G477,G477)-1))</f>
        <v>91</v>
      </c>
      <c r="B477" s="2" t="str">
        <f t="shared" si="14"/>
        <v/>
      </c>
      <c r="C477" s="3" t="s">
        <v>293</v>
      </c>
      <c r="D477" s="3" t="str">
        <f>[1]!s_info_name(C477)</f>
        <v>台湾未含金融电子指数</v>
      </c>
      <c r="E477" s="3" t="s">
        <v>335</v>
      </c>
      <c r="F477" s="101" t="str">
        <f t="shared" si="15"/>
        <v/>
      </c>
      <c r="G477" s="5">
        <f ca="1">[1]!f_pq_pctchange(C477,指数分析!$D$5,指数分析!$D$6)/100</f>
        <v>5.688383439951461E-2</v>
      </c>
      <c r="H477" s="5"/>
      <c r="I477" s="5"/>
    </row>
    <row r="478" spans="1:9" x14ac:dyDescent="0.15">
      <c r="A478" s="6">
        <f ca="1">IF(G478="","",IF(COUNTIF(G$5:G478,G478)=1,RANK(G478,G:G,0),RANK(G478,G:G,0)+COUNTIF(G$5:G478,G478)-1))</f>
        <v>178</v>
      </c>
      <c r="B478" s="2" t="str">
        <f t="shared" si="14"/>
        <v/>
      </c>
      <c r="C478" s="11" t="s">
        <v>294</v>
      </c>
      <c r="D478" s="3" t="str">
        <f>[1]!s_info_name(C478)</f>
        <v>国证A50</v>
      </c>
      <c r="E478" s="3" t="s">
        <v>336</v>
      </c>
      <c r="F478" s="101" t="str">
        <f t="shared" si="15"/>
        <v/>
      </c>
      <c r="G478" s="5">
        <f ca="1">[1]!f_pq_pctchange(C478,指数分析!$D$5,指数分析!$D$6)/100</f>
        <v>-9.1375271539334668E-2</v>
      </c>
      <c r="H478" s="5"/>
      <c r="I478" s="5"/>
    </row>
    <row r="479" spans="1:9" x14ac:dyDescent="0.15">
      <c r="A479" s="6">
        <f ca="1">IF(G479="","",IF(COUNTIF(G$5:G479,G479)=1,RANK(G479,G:G,0),RANK(G479,G:G,0)+COUNTIF(G$5:G479,G479)-1))</f>
        <v>211</v>
      </c>
      <c r="B479" s="2" t="str">
        <f t="shared" si="14"/>
        <v/>
      </c>
      <c r="C479" s="11" t="s">
        <v>295</v>
      </c>
      <c r="D479" s="3" t="str">
        <f>[1]!s_info_name(C479)</f>
        <v>国证1000</v>
      </c>
      <c r="E479" s="3" t="s">
        <v>336</v>
      </c>
      <c r="F479" s="101" t="str">
        <f t="shared" si="15"/>
        <v/>
      </c>
      <c r="G479" s="5">
        <f ca="1">[1]!f_pq_pctchange(C479,指数分析!$D$5,指数分析!$D$6)/100</f>
        <v>-0.12556398539645364</v>
      </c>
      <c r="H479" s="5"/>
      <c r="I479" s="5"/>
    </row>
    <row r="480" spans="1:9" x14ac:dyDescent="0.15">
      <c r="A480" s="6">
        <f ca="1">IF(G480="","",IF(COUNTIF(G$5:G480,G480)=1,RANK(G480,G:G,0),RANK(G480,G:G,0)+COUNTIF(G$5:G480,G480)-1))</f>
        <v>212</v>
      </c>
      <c r="B480" s="2" t="str">
        <f t="shared" si="14"/>
        <v/>
      </c>
      <c r="C480" s="11" t="s">
        <v>296</v>
      </c>
      <c r="D480" s="3" t="str">
        <f>[1]!s_info_name(C480)</f>
        <v>国证300</v>
      </c>
      <c r="E480" s="3" t="s">
        <v>336</v>
      </c>
      <c r="F480" s="101" t="str">
        <f t="shared" si="15"/>
        <v/>
      </c>
      <c r="G480" s="5">
        <f ca="1">[1]!f_pq_pctchange(C480,指数分析!$D$5,指数分析!$D$6)/100</f>
        <v>-0.12627889881838927</v>
      </c>
      <c r="H480" s="5"/>
      <c r="I480" s="5"/>
    </row>
    <row r="481" spans="1:9" x14ac:dyDescent="0.15">
      <c r="A481" s="6">
        <f ca="1">IF(G481="","",IF(COUNTIF(G$5:G481,G481)=1,RANK(G481,G:G,0),RANK(G481,G:G,0)+COUNTIF(G$5:G481,G481)-1))</f>
        <v>169</v>
      </c>
      <c r="B481" s="2" t="str">
        <f t="shared" si="14"/>
        <v/>
      </c>
      <c r="C481" s="11" t="s">
        <v>297</v>
      </c>
      <c r="D481" s="3" t="str">
        <f>[1]!s_info_name(C481)</f>
        <v>巨潮100</v>
      </c>
      <c r="E481" s="3" t="s">
        <v>336</v>
      </c>
      <c r="F481" s="101" t="str">
        <f t="shared" si="15"/>
        <v/>
      </c>
      <c r="G481" s="5">
        <f ca="1">[1]!f_pq_pctchange(C481,指数分析!$D$5,指数分析!$D$6)/100</f>
        <v>-7.7191596803389384E-2</v>
      </c>
      <c r="H481" s="5"/>
      <c r="I481" s="5"/>
    </row>
    <row r="482" spans="1:9" x14ac:dyDescent="0.15">
      <c r="A482" s="6">
        <f ca="1">IF(G482="","",IF(COUNTIF(G$5:G482,G482)=1,RANK(G482,G:G,0),RANK(G482,G:G,0)+COUNTIF(G$5:G482,G482)-1))</f>
        <v>175</v>
      </c>
      <c r="B482" s="2" t="str">
        <f t="shared" si="14"/>
        <v/>
      </c>
      <c r="C482" s="11" t="s">
        <v>298</v>
      </c>
      <c r="D482" s="3" t="str">
        <f>[1]!s_info_name(C482)</f>
        <v>巨潮大盘</v>
      </c>
      <c r="E482" s="3" t="s">
        <v>336</v>
      </c>
      <c r="F482" s="101" t="str">
        <f t="shared" si="15"/>
        <v/>
      </c>
      <c r="G482" s="5">
        <f ca="1">[1]!f_pq_pctchange(C482,指数分析!$D$5,指数分析!$D$6)/100</f>
        <v>-8.7941220909541151E-2</v>
      </c>
      <c r="H482" s="5"/>
      <c r="I482" s="5"/>
    </row>
    <row r="483" spans="1:9" x14ac:dyDescent="0.15">
      <c r="A483" s="6">
        <f ca="1">IF(G483="","",IF(COUNTIF(G$5:G483,G483)=1,RANK(G483,G:G,0),RANK(G483,G:G,0)+COUNTIF(G$5:G483,G483)-1))</f>
        <v>258</v>
      </c>
      <c r="B483" s="2" t="str">
        <f t="shared" si="14"/>
        <v/>
      </c>
      <c r="C483" s="11" t="s">
        <v>299</v>
      </c>
      <c r="D483" s="3" t="str">
        <f>[1]!s_info_name(C483)</f>
        <v>巨潮中盘</v>
      </c>
      <c r="E483" s="3" t="s">
        <v>336</v>
      </c>
      <c r="F483" s="101" t="str">
        <f t="shared" si="15"/>
        <v/>
      </c>
      <c r="G483" s="5">
        <f ca="1">[1]!f_pq_pctchange(C483,指数分析!$D$5,指数分析!$D$6)/100</f>
        <v>-0.1646176151131945</v>
      </c>
      <c r="H483" s="5"/>
      <c r="I483" s="5"/>
    </row>
    <row r="484" spans="1:9" x14ac:dyDescent="0.15">
      <c r="A484" s="6">
        <f ca="1">IF(G484="","",IF(COUNTIF(G$5:G484,G484)=1,RANK(G484,G:G,0),RANK(G484,G:G,0)+COUNTIF(G$5:G484,G484)-1))</f>
        <v>290</v>
      </c>
      <c r="B484" s="2" t="str">
        <f t="shared" si="14"/>
        <v/>
      </c>
      <c r="C484" s="11" t="s">
        <v>300</v>
      </c>
      <c r="D484" s="3" t="str">
        <f>[1]!s_info_name(C484)</f>
        <v>巨潮小盘</v>
      </c>
      <c r="E484" s="3" t="s">
        <v>336</v>
      </c>
      <c r="F484" s="101" t="str">
        <f t="shared" si="15"/>
        <v/>
      </c>
      <c r="G484" s="5">
        <f ca="1">[1]!f_pq_pctchange(C484,指数分析!$D$5,指数分析!$D$6)/100</f>
        <v>-0.19229178095579791</v>
      </c>
      <c r="H484" s="5"/>
      <c r="I484" s="5"/>
    </row>
    <row r="485" spans="1:9" x14ac:dyDescent="0.15">
      <c r="A485" s="6">
        <f ca="1">IF(G485="","",IF(COUNTIF(G$5:G485,G485)=1,RANK(G485,G:G,0),RANK(G485,G:G,0)+COUNTIF(G$5:G485,G485)-1))</f>
        <v>238</v>
      </c>
      <c r="B485" s="2" t="str">
        <f t="shared" si="14"/>
        <v/>
      </c>
      <c r="C485" s="11" t="s">
        <v>301</v>
      </c>
      <c r="D485" s="3" t="str">
        <f>[1]!s_info_name(C485)</f>
        <v>国证A指</v>
      </c>
      <c r="E485" s="3" t="s">
        <v>336</v>
      </c>
      <c r="F485" s="101" t="str">
        <f t="shared" si="15"/>
        <v/>
      </c>
      <c r="G485" s="5">
        <f ca="1">[1]!f_pq_pctchange(C485,指数分析!$D$5,指数分析!$D$6)/100</f>
        <v>-0.15139982352104275</v>
      </c>
      <c r="H485" s="5"/>
      <c r="I485" s="5"/>
    </row>
    <row r="486" spans="1:9" x14ac:dyDescent="0.15">
      <c r="A486" s="6">
        <f ca="1">IF(G486="","",IF(COUNTIF(G$5:G486,G486)=1,RANK(G486,G:G,0),RANK(G486,G:G,0)+COUNTIF(G$5:G486,G486)-1))</f>
        <v>160</v>
      </c>
      <c r="B486" s="2" t="str">
        <f t="shared" si="14"/>
        <v/>
      </c>
      <c r="C486" s="11" t="s">
        <v>302</v>
      </c>
      <c r="D486" s="3" t="str">
        <f>[1]!s_info_name(C486)</f>
        <v>国证B指</v>
      </c>
      <c r="E486" s="3" t="s">
        <v>336</v>
      </c>
      <c r="F486" s="101" t="str">
        <f t="shared" si="15"/>
        <v/>
      </c>
      <c r="G486" s="5">
        <f ca="1">[1]!f_pq_pctchange(C486,指数分析!$D$5,指数分析!$D$6)/100</f>
        <v>-6.7611709126959574E-2</v>
      </c>
      <c r="H486" s="5"/>
      <c r="I486" s="5"/>
    </row>
    <row r="487" spans="1:9" x14ac:dyDescent="0.15">
      <c r="A487" s="6">
        <f ca="1">IF(G487="","",IF(COUNTIF(G$5:G487,G487)=1,RANK(G487,G:G,0),RANK(G487,G:G,0)+COUNTIF(G$5:G487,G487)-1))</f>
        <v>326</v>
      </c>
      <c r="B487" s="2" t="str">
        <f t="shared" si="14"/>
        <v/>
      </c>
      <c r="C487" s="11" t="s">
        <v>303</v>
      </c>
      <c r="D487" s="3" t="str">
        <f>[1]!s_info_name(C487)</f>
        <v>国证成长</v>
      </c>
      <c r="E487" s="3" t="s">
        <v>337</v>
      </c>
      <c r="F487" s="101" t="str">
        <f t="shared" si="15"/>
        <v/>
      </c>
      <c r="G487" s="5">
        <f ca="1">[1]!f_pq_pctchange(C487,指数分析!$D$5,指数分析!$D$6)/100</f>
        <v>-0.21002559933830245</v>
      </c>
      <c r="H487" s="5"/>
      <c r="I487" s="5"/>
    </row>
    <row r="488" spans="1:9" x14ac:dyDescent="0.15">
      <c r="A488" s="6">
        <f ca="1">IF(G488="","",IF(COUNTIF(G$5:G488,G488)=1,RANK(G488,G:G,0),RANK(G488,G:G,0)+COUNTIF(G$5:G488,G488)-1))</f>
        <v>112</v>
      </c>
      <c r="B488" s="2" t="str">
        <f t="shared" si="14"/>
        <v/>
      </c>
      <c r="C488" s="11" t="s">
        <v>304</v>
      </c>
      <c r="D488" s="3" t="str">
        <f>[1]!s_info_name(C488)</f>
        <v>国证价值</v>
      </c>
      <c r="E488" s="3" t="s">
        <v>337</v>
      </c>
      <c r="F488" s="101" t="str">
        <f t="shared" si="15"/>
        <v/>
      </c>
      <c r="G488" s="5">
        <f ca="1">[1]!f_pq_pctchange(C488,指数分析!$D$5,指数分析!$D$6)/100</f>
        <v>2.4350072925532817E-2</v>
      </c>
      <c r="H488" s="5"/>
      <c r="I488" s="5"/>
    </row>
    <row r="489" spans="1:9" x14ac:dyDescent="0.15">
      <c r="A489" s="6">
        <f ca="1">IF(G489="","",IF(COUNTIF(G$5:G489,G489)=1,RANK(G489,G:G,0),RANK(G489,G:G,0)+COUNTIF(G$5:G489,G489)-1))</f>
        <v>294</v>
      </c>
      <c r="B489" s="2" t="str">
        <f t="shared" si="14"/>
        <v/>
      </c>
      <c r="C489" s="11" t="s">
        <v>305</v>
      </c>
      <c r="D489" s="3" t="str">
        <f>[1]!s_info_name(C489)</f>
        <v>大盘成长</v>
      </c>
      <c r="E489" s="3" t="s">
        <v>337</v>
      </c>
      <c r="F489" s="101" t="str">
        <f t="shared" si="15"/>
        <v/>
      </c>
      <c r="G489" s="5">
        <f ca="1">[1]!f_pq_pctchange(C489,指数分析!$D$5,指数分析!$D$6)/100</f>
        <v>-0.1944099665275677</v>
      </c>
      <c r="H489" s="5"/>
      <c r="I489" s="5"/>
    </row>
    <row r="490" spans="1:9" x14ac:dyDescent="0.15">
      <c r="A490" s="6">
        <f ca="1">IF(G490="","",IF(COUNTIF(G$5:G490,G490)=1,RANK(G490,G:G,0),RANK(G490,G:G,0)+COUNTIF(G$5:G490,G490)-1))</f>
        <v>94</v>
      </c>
      <c r="B490" s="2" t="str">
        <f t="shared" si="14"/>
        <v/>
      </c>
      <c r="C490" s="11" t="s">
        <v>306</v>
      </c>
      <c r="D490" s="3" t="str">
        <f>[1]!s_info_name(C490)</f>
        <v>大盘价值</v>
      </c>
      <c r="E490" s="3" t="s">
        <v>337</v>
      </c>
      <c r="F490" s="101" t="str">
        <f t="shared" si="15"/>
        <v/>
      </c>
      <c r="G490" s="5">
        <f ca="1">[1]!f_pq_pctchange(C490,指数分析!$D$5,指数分析!$D$6)/100</f>
        <v>5.0886668516707756E-2</v>
      </c>
      <c r="H490" s="5"/>
      <c r="I490" s="5"/>
    </row>
    <row r="491" spans="1:9" x14ac:dyDescent="0.15">
      <c r="A491" s="6">
        <f ca="1">IF(G491="","",IF(COUNTIF(G$5:G491,G491)=1,RANK(G491,G:G,0),RANK(G491,G:G,0)+COUNTIF(G$5:G491,G491)-1))</f>
        <v>354</v>
      </c>
      <c r="B491" s="2" t="str">
        <f t="shared" si="14"/>
        <v/>
      </c>
      <c r="C491" s="11" t="s">
        <v>307</v>
      </c>
      <c r="D491" s="3" t="str">
        <f>[1]!s_info_name(C491)</f>
        <v>中盘成长</v>
      </c>
      <c r="E491" s="3" t="s">
        <v>337</v>
      </c>
      <c r="F491" s="101" t="str">
        <f t="shared" si="15"/>
        <v/>
      </c>
      <c r="G491" s="5">
        <f ca="1">[1]!f_pq_pctchange(C491,指数分析!$D$5,指数分析!$D$6)/100</f>
        <v>-0.22956485074017741</v>
      </c>
      <c r="H491" s="5"/>
      <c r="I491" s="5"/>
    </row>
    <row r="492" spans="1:9" x14ac:dyDescent="0.15">
      <c r="A492" s="6">
        <f ca="1">IF(G492="","",IF(COUNTIF(G$5:G492,G492)=1,RANK(G492,G:G,0),RANK(G492,G:G,0)+COUNTIF(G$5:G492,G492)-1))</f>
        <v>113</v>
      </c>
      <c r="B492" s="2" t="str">
        <f t="shared" si="14"/>
        <v/>
      </c>
      <c r="C492" s="11" t="s">
        <v>308</v>
      </c>
      <c r="D492" s="3" t="str">
        <f>[1]!s_info_name(C492)</f>
        <v>中盘价值</v>
      </c>
      <c r="E492" s="3" t="s">
        <v>337</v>
      </c>
      <c r="F492" s="101" t="str">
        <f t="shared" si="15"/>
        <v/>
      </c>
      <c r="G492" s="5">
        <f ca="1">[1]!f_pq_pctchange(C492,指数分析!$D$5,指数分析!$D$6)/100</f>
        <v>1.6222944250404714E-2</v>
      </c>
      <c r="H492" s="5"/>
      <c r="I492" s="5"/>
    </row>
    <row r="493" spans="1:9" x14ac:dyDescent="0.15">
      <c r="A493" s="6">
        <f ca="1">IF(G493="","",IF(COUNTIF(G$5:G493,G493)=1,RANK(G493,G:G,0),RANK(G493,G:G,0)+COUNTIF(G$5:G493,G493)-1))</f>
        <v>364</v>
      </c>
      <c r="B493" s="2" t="str">
        <f t="shared" si="14"/>
        <v/>
      </c>
      <c r="C493" s="11" t="s">
        <v>309</v>
      </c>
      <c r="D493" s="3" t="str">
        <f>[1]!s_info_name(C493)</f>
        <v>小盘成长</v>
      </c>
      <c r="E493" s="3" t="s">
        <v>337</v>
      </c>
      <c r="F493" s="101" t="str">
        <f t="shared" si="15"/>
        <v/>
      </c>
      <c r="G493" s="5">
        <f ca="1">[1]!f_pq_pctchange(C493,指数分析!$D$5,指数分析!$D$6)/100</f>
        <v>-0.23828513741456969</v>
      </c>
      <c r="H493" s="5"/>
      <c r="I493" s="5"/>
    </row>
    <row r="494" spans="1:9" x14ac:dyDescent="0.15">
      <c r="A494" s="6">
        <f ca="1">IF(G494="","",IF(COUNTIF(G$5:G494,G494)=1,RANK(G494,G:G,0),RANK(G494,G:G,0)+COUNTIF(G$5:G494,G494)-1))</f>
        <v>156</v>
      </c>
      <c r="B494" s="2" t="str">
        <f t="shared" si="14"/>
        <v/>
      </c>
      <c r="C494" s="11" t="s">
        <v>310</v>
      </c>
      <c r="D494" s="3" t="str">
        <f>[1]!s_info_name(C494)</f>
        <v>小盘价值</v>
      </c>
      <c r="E494" s="3" t="s">
        <v>337</v>
      </c>
      <c r="F494" s="101" t="str">
        <f t="shared" si="15"/>
        <v/>
      </c>
      <c r="G494" s="5">
        <f ca="1">[1]!f_pq_pctchange(C494,指数分析!$D$5,指数分析!$D$6)/100</f>
        <v>-6.2426232839047691E-2</v>
      </c>
      <c r="H494" s="5"/>
      <c r="I494" s="5"/>
    </row>
    <row r="495" spans="1:9" x14ac:dyDescent="0.15">
      <c r="A495" s="6">
        <f ca="1">IF(G495="","",IF(COUNTIF(G$5:G495,G495)=1,RANK(G495,G:G,0),RANK(G495,G:G,0)+COUNTIF(G$5:G495,G495)-1))</f>
        <v>376</v>
      </c>
      <c r="B495" s="2" t="str">
        <f t="shared" si="14"/>
        <v/>
      </c>
      <c r="C495" s="11" t="s">
        <v>549</v>
      </c>
      <c r="D495" s="3" t="str">
        <f>[1]!s_info_name(C495)</f>
        <v>中证1000</v>
      </c>
      <c r="E495" s="3" t="s">
        <v>338</v>
      </c>
      <c r="F495" s="101" t="str">
        <f t="shared" si="15"/>
        <v/>
      </c>
      <c r="G495" s="5">
        <f ca="1">[1]!f_pq_pctchange(C495,指数分析!$D$5,指数分析!$D$6)/100</f>
        <v>-0.25446504076568965</v>
      </c>
      <c r="H495" s="5"/>
      <c r="I495" s="5"/>
    </row>
    <row r="496" spans="1:9" x14ac:dyDescent="0.15">
      <c r="A496" s="6">
        <f ca="1">IF(G496="","",IF(COUNTIF(G$5:G496,G496)=1,RANK(G496,G:G,0),RANK(G496,G:G,0)+COUNTIF(G$5:G496,G496)-1))</f>
        <v>271</v>
      </c>
      <c r="B496" s="2" t="str">
        <f t="shared" si="14"/>
        <v/>
      </c>
      <c r="C496" s="11" t="s">
        <v>311</v>
      </c>
      <c r="D496" s="3" t="str">
        <f>[1]!s_info_name(C496)</f>
        <v>中证500</v>
      </c>
      <c r="E496" s="3" t="s">
        <v>338</v>
      </c>
      <c r="F496" s="101" t="str">
        <f t="shared" si="15"/>
        <v/>
      </c>
      <c r="G496" s="5">
        <f ca="1">[1]!f_pq_pctchange(C496,指数分析!$D$5,指数分析!$D$6)/100</f>
        <v>-0.17462830959568276</v>
      </c>
      <c r="H496" s="5"/>
      <c r="I496" s="5"/>
    </row>
    <row r="497" spans="1:9" x14ac:dyDescent="0.15">
      <c r="A497" s="6">
        <f ca="1">IF(G497="","",IF(COUNTIF(G$5:G497,G497)=1,RANK(G497,G:G,0),RANK(G497,G:G,0)+COUNTIF(G$5:G497,G497)-1))</f>
        <v>201</v>
      </c>
      <c r="B497" s="2" t="str">
        <f t="shared" si="14"/>
        <v/>
      </c>
      <c r="C497" s="11" t="s">
        <v>312</v>
      </c>
      <c r="D497" s="3" t="str">
        <f>[1]!s_info_name(C497)</f>
        <v>中证800</v>
      </c>
      <c r="E497" s="3" t="s">
        <v>338</v>
      </c>
      <c r="F497" s="101" t="str">
        <f t="shared" si="15"/>
        <v/>
      </c>
      <c r="G497" s="5">
        <f ca="1">[1]!f_pq_pctchange(C497,指数分析!$D$5,指数分析!$D$6)/100</f>
        <v>-0.11935522233359352</v>
      </c>
      <c r="H497" s="5"/>
      <c r="I497" s="5"/>
    </row>
    <row r="498" spans="1:9" x14ac:dyDescent="0.15">
      <c r="A498" s="6">
        <f ca="1">IF(G498="","",IF(COUNTIF(G$5:G498,G498)=1,RANK(G498,G:G,0),RANK(G498,G:G,0)+COUNTIF(G$5:G498,G498)-1))</f>
        <v>250</v>
      </c>
      <c r="B498" s="2" t="str">
        <f t="shared" si="14"/>
        <v/>
      </c>
      <c r="C498" s="11" t="s">
        <v>313</v>
      </c>
      <c r="D498" s="3" t="str">
        <f>[1]!s_info_name(C498)</f>
        <v>中证700(SH)</v>
      </c>
      <c r="E498" s="3" t="s">
        <v>338</v>
      </c>
      <c r="F498" s="101" t="str">
        <f t="shared" si="15"/>
        <v/>
      </c>
      <c r="G498" s="5">
        <f ca="1">[1]!f_pq_pctchange(C498,指数分析!$D$5,指数分析!$D$6)/100</f>
        <v>-0.15829774567367549</v>
      </c>
      <c r="H498" s="5"/>
      <c r="I498" s="5"/>
    </row>
    <row r="499" spans="1:9" x14ac:dyDescent="0.15">
      <c r="A499" s="6">
        <f ca="1">IF(G499="","",IF(COUNTIF(G$5:G499,G499)=1,RANK(G499,G:G,0),RANK(G499,G:G,0)+COUNTIF(G$5:G499,G499)-1))</f>
        <v>183</v>
      </c>
      <c r="B499" s="2" t="str">
        <f t="shared" si="14"/>
        <v/>
      </c>
      <c r="C499" s="11" t="s">
        <v>351</v>
      </c>
      <c r="D499" s="3" t="str">
        <f>[1]!s_info_name(C499)</f>
        <v>大盘指数(申万)</v>
      </c>
      <c r="E499" s="3" t="s">
        <v>355</v>
      </c>
      <c r="F499" s="101" t="str">
        <f t="shared" si="15"/>
        <v/>
      </c>
      <c r="G499" s="5">
        <f ca="1">[1]!f_pq_pctchange(C499,指数分析!$D$5,指数分析!$D$6)/100</f>
        <v>-9.7703111501660889E-2</v>
      </c>
      <c r="H499" s="5"/>
      <c r="I499" s="5"/>
    </row>
    <row r="500" spans="1:9" x14ac:dyDescent="0.15">
      <c r="A500" s="6">
        <f ca="1">IF(G500="","",IF(COUNTIF(G$5:G500,G500)=1,RANK(G500,G:G,0),RANK(G500,G:G,0)+COUNTIF(G$5:G500,G500)-1))</f>
        <v>241</v>
      </c>
      <c r="B500" s="2" t="str">
        <f t="shared" si="14"/>
        <v/>
      </c>
      <c r="C500" s="11" t="s">
        <v>352</v>
      </c>
      <c r="D500" s="3" t="str">
        <f>[1]!s_info_name(C500)</f>
        <v>中盘指数(申万)</v>
      </c>
      <c r="E500" s="3" t="s">
        <v>355</v>
      </c>
      <c r="F500" s="101" t="str">
        <f t="shared" si="15"/>
        <v/>
      </c>
      <c r="G500" s="5">
        <f ca="1">[1]!f_pq_pctchange(C500,指数分析!$D$5,指数分析!$D$6)/100</f>
        <v>-0.15259122840425621</v>
      </c>
      <c r="H500" s="5"/>
      <c r="I500" s="5"/>
    </row>
    <row r="501" spans="1:9" x14ac:dyDescent="0.15">
      <c r="A501" s="6">
        <f ca="1">IF(G501="","",IF(COUNTIF(G$5:G501,G501)=1,RANK(G501,G:G,0),RANK(G501,G:G,0)+COUNTIF(G$5:G501,G501)-1))</f>
        <v>352</v>
      </c>
      <c r="B501" s="2" t="str">
        <f t="shared" si="14"/>
        <v/>
      </c>
      <c r="C501" s="11" t="s">
        <v>353</v>
      </c>
      <c r="D501" s="3" t="str">
        <f>[1]!s_info_name(C501)</f>
        <v>小盘指数(申万)</v>
      </c>
      <c r="E501" s="3" t="s">
        <v>355</v>
      </c>
      <c r="F501" s="101" t="str">
        <f t="shared" si="15"/>
        <v/>
      </c>
      <c r="G501" s="5">
        <f ca="1">[1]!f_pq_pctchange(C501,指数分析!$D$5,指数分析!$D$6)/100</f>
        <v>-0.22856550296768893</v>
      </c>
      <c r="H501" s="5"/>
      <c r="I501" s="5"/>
    </row>
    <row r="502" spans="1:9" x14ac:dyDescent="0.15">
      <c r="A502" s="6"/>
      <c r="C502" s="11"/>
      <c r="F502" s="6"/>
      <c r="G502" s="5"/>
      <c r="H502" s="5"/>
      <c r="I502" s="5"/>
    </row>
    <row r="503" spans="1:9" x14ac:dyDescent="0.15">
      <c r="A503" s="6"/>
      <c r="C503" s="11"/>
      <c r="F503" s="6"/>
      <c r="G503" s="5"/>
      <c r="H503" s="5"/>
      <c r="I503" s="5"/>
    </row>
    <row r="504" spans="1:9" x14ac:dyDescent="0.15">
      <c r="A504" s="6"/>
      <c r="C504" s="11"/>
      <c r="F504" s="6"/>
      <c r="G504" s="5"/>
      <c r="H504" s="5"/>
      <c r="I504" s="5"/>
    </row>
    <row r="505" spans="1:9" x14ac:dyDescent="0.15">
      <c r="A505" s="6"/>
      <c r="C505" s="11"/>
      <c r="F505" s="6"/>
      <c r="G505" s="5"/>
      <c r="H505" s="5"/>
      <c r="I505" s="5"/>
    </row>
    <row r="506" spans="1:9" x14ac:dyDescent="0.15">
      <c r="A506" s="6"/>
      <c r="C506" s="11"/>
      <c r="F506" s="6"/>
      <c r="G506" s="5"/>
      <c r="H506" s="5"/>
      <c r="I506" s="5"/>
    </row>
    <row r="507" spans="1:9" x14ac:dyDescent="0.15">
      <c r="A507" s="6"/>
      <c r="C507" s="11"/>
      <c r="F507" s="6"/>
      <c r="G507" s="5"/>
      <c r="H507" s="5"/>
      <c r="I507" s="5"/>
    </row>
    <row r="508" spans="1:9" x14ac:dyDescent="0.15">
      <c r="A508" s="6"/>
      <c r="C508" s="11"/>
      <c r="F508" s="6"/>
      <c r="G508" s="5"/>
      <c r="H508" s="5"/>
      <c r="I508" s="5"/>
    </row>
    <row r="509" spans="1:9" x14ac:dyDescent="0.15">
      <c r="A509" s="6"/>
      <c r="C509" s="11"/>
      <c r="F509" s="6"/>
      <c r="G509" s="5"/>
      <c r="H509" s="5"/>
      <c r="I509" s="5"/>
    </row>
    <row r="510" spans="1:9" x14ac:dyDescent="0.15">
      <c r="A510" s="6"/>
      <c r="C510" s="11"/>
      <c r="F510" s="6"/>
      <c r="G510" s="5"/>
      <c r="H510" s="5"/>
      <c r="I510" s="5"/>
    </row>
    <row r="511" spans="1:9" x14ac:dyDescent="0.15">
      <c r="A511" s="6"/>
      <c r="C511" s="11"/>
      <c r="F511" s="6"/>
      <c r="G511" s="5"/>
      <c r="H511" s="5"/>
      <c r="I511" s="5"/>
    </row>
    <row r="512" spans="1:9" x14ac:dyDescent="0.15">
      <c r="A512" s="6"/>
      <c r="C512" s="11"/>
      <c r="F512" s="6"/>
      <c r="G512" s="5"/>
      <c r="H512" s="5"/>
      <c r="I512" s="5"/>
    </row>
    <row r="513" spans="1:9" x14ac:dyDescent="0.15">
      <c r="A513" s="6"/>
      <c r="C513" s="11"/>
      <c r="F513" s="6"/>
      <c r="G513" s="5"/>
      <c r="H513" s="5"/>
      <c r="I513" s="5"/>
    </row>
    <row r="514" spans="1:9" x14ac:dyDescent="0.15">
      <c r="A514" s="6"/>
      <c r="C514" s="11"/>
      <c r="F514" s="6"/>
      <c r="G514" s="5"/>
      <c r="H514" s="5"/>
      <c r="I514" s="5"/>
    </row>
    <row r="515" spans="1:9" x14ac:dyDescent="0.15">
      <c r="A515" s="6"/>
      <c r="C515" s="11"/>
      <c r="F515" s="6"/>
      <c r="G515" s="5"/>
      <c r="H515" s="5"/>
      <c r="I515" s="5"/>
    </row>
    <row r="516" spans="1:9" x14ac:dyDescent="0.15">
      <c r="A516" s="6"/>
      <c r="C516" s="11"/>
      <c r="F516" s="6"/>
      <c r="G516" s="5"/>
      <c r="H516" s="5"/>
      <c r="I516" s="5"/>
    </row>
    <row r="517" spans="1:9" x14ac:dyDescent="0.15">
      <c r="A517" s="6"/>
      <c r="C517" s="11"/>
      <c r="F517" s="6"/>
      <c r="G517" s="5"/>
      <c r="H517" s="5"/>
      <c r="I517" s="5"/>
    </row>
    <row r="518" spans="1:9" x14ac:dyDescent="0.15">
      <c r="A518" s="6"/>
      <c r="C518" s="11"/>
      <c r="F518" s="6"/>
      <c r="G518" s="5"/>
      <c r="H518" s="5"/>
      <c r="I518" s="5"/>
    </row>
    <row r="519" spans="1:9" x14ac:dyDescent="0.15">
      <c r="A519" s="6"/>
      <c r="C519" s="11"/>
      <c r="F519" s="6"/>
      <c r="G519" s="5"/>
      <c r="H519" s="5"/>
      <c r="I519" s="5"/>
    </row>
    <row r="520" spans="1:9" x14ac:dyDescent="0.15">
      <c r="A520" s="6"/>
      <c r="C520" s="11"/>
      <c r="F520" s="6"/>
      <c r="G520" s="5"/>
      <c r="H520" s="5"/>
      <c r="I520" s="5"/>
    </row>
    <row r="521" spans="1:9" x14ac:dyDescent="0.15">
      <c r="A521" s="6"/>
      <c r="C521" s="11"/>
      <c r="F521" s="6"/>
      <c r="G521" s="5"/>
      <c r="H521" s="5"/>
      <c r="I521" s="5"/>
    </row>
    <row r="522" spans="1:9" x14ac:dyDescent="0.15">
      <c r="A522" s="6"/>
      <c r="C522" s="11"/>
      <c r="F522" s="6"/>
      <c r="G522" s="5"/>
      <c r="H522" s="5"/>
      <c r="I522" s="5"/>
    </row>
    <row r="523" spans="1:9" x14ac:dyDescent="0.15">
      <c r="A523" s="6"/>
      <c r="C523" s="11"/>
      <c r="F523" s="6"/>
      <c r="G523" s="5"/>
      <c r="H523" s="5"/>
      <c r="I523" s="5"/>
    </row>
    <row r="524" spans="1:9" x14ac:dyDescent="0.15">
      <c r="A524" s="6"/>
      <c r="C524" s="11"/>
      <c r="F524" s="6"/>
      <c r="G524" s="5"/>
      <c r="H524" s="5"/>
      <c r="I524" s="5"/>
    </row>
    <row r="525" spans="1:9" x14ac:dyDescent="0.15">
      <c r="A525" s="6"/>
      <c r="C525" s="11"/>
      <c r="F525" s="6"/>
      <c r="G525" s="5"/>
      <c r="H525" s="5"/>
      <c r="I525" s="5"/>
    </row>
    <row r="526" spans="1:9" x14ac:dyDescent="0.15">
      <c r="A526" s="6"/>
      <c r="C526" s="11"/>
      <c r="F526" s="6"/>
      <c r="G526" s="5"/>
      <c r="H526" s="5"/>
      <c r="I526" s="5"/>
    </row>
    <row r="527" spans="1:9" x14ac:dyDescent="0.15">
      <c r="A527" s="6"/>
      <c r="C527" s="11"/>
      <c r="F527" s="6"/>
      <c r="G527" s="5"/>
      <c r="H527" s="5"/>
      <c r="I527" s="5"/>
    </row>
    <row r="528" spans="1:9" x14ac:dyDescent="0.15">
      <c r="A528" s="6"/>
      <c r="C528" s="11"/>
      <c r="F528" s="6"/>
      <c r="G528" s="5"/>
      <c r="H528" s="5"/>
      <c r="I528" s="5"/>
    </row>
    <row r="529" spans="1:9" x14ac:dyDescent="0.15">
      <c r="A529" s="6"/>
      <c r="C529" s="11"/>
      <c r="F529" s="6"/>
      <c r="G529" s="5"/>
      <c r="H529" s="5"/>
      <c r="I529" s="5"/>
    </row>
    <row r="530" spans="1:9" x14ac:dyDescent="0.15">
      <c r="A530" s="6"/>
      <c r="C530" s="11"/>
      <c r="F530" s="6"/>
      <c r="G530" s="5"/>
      <c r="H530" s="5"/>
      <c r="I530" s="5"/>
    </row>
    <row r="531" spans="1:9" x14ac:dyDescent="0.15">
      <c r="A531" s="6"/>
      <c r="C531" s="11"/>
      <c r="F531" s="6"/>
      <c r="G531" s="5"/>
      <c r="H531" s="5"/>
      <c r="I531" s="5"/>
    </row>
    <row r="532" spans="1:9" x14ac:dyDescent="0.15">
      <c r="A532" s="6"/>
      <c r="C532" s="11"/>
      <c r="F532" s="6"/>
      <c r="G532" s="5"/>
      <c r="H532" s="5"/>
      <c r="I532" s="5"/>
    </row>
    <row r="533" spans="1:9" x14ac:dyDescent="0.15">
      <c r="A533" s="6"/>
      <c r="C533" s="11"/>
      <c r="F533" s="6"/>
      <c r="G533" s="5"/>
      <c r="H533" s="5"/>
      <c r="I533" s="5"/>
    </row>
    <row r="534" spans="1:9" x14ac:dyDescent="0.15">
      <c r="A534" s="6" t="str">
        <f>IF(G534="","",IF(COUNTIF(G$5:G534,G534)=1,RANK(G534,G:G,0),RANK(G534,G:G,0)+COUNTIF(G$5:G534,G534)-1))</f>
        <v/>
      </c>
      <c r="B534" s="2" t="str">
        <f>IF(F534="","",RANK(F534,F:F,1))</f>
        <v/>
      </c>
      <c r="C534" s="11"/>
      <c r="F534" s="6" t="str">
        <f t="shared" ref="F534:F552" si="16">IF(ISERROR(FIND(F$4,$E534,1)),"",ROW())</f>
        <v/>
      </c>
      <c r="G534" s="5"/>
      <c r="H534" s="5"/>
      <c r="I534" s="5"/>
    </row>
    <row r="535" spans="1:9" x14ac:dyDescent="0.15">
      <c r="A535" s="6" t="str">
        <f>IF(G535="","",IF(COUNTIF(G$5:G535,G535)=1,RANK(G535,G:G,0),RANK(G535,G:G,0)+COUNTIF(G$5:G535,G535)-1))</f>
        <v/>
      </c>
      <c r="B535" s="2" t="str">
        <f>IF(F535="","",RANK(F535,F:F,1))</f>
        <v/>
      </c>
      <c r="C535" s="11"/>
      <c r="F535" s="6" t="str">
        <f t="shared" si="16"/>
        <v/>
      </c>
      <c r="G535" s="5"/>
      <c r="H535" s="5"/>
      <c r="I535" s="5"/>
    </row>
    <row r="536" spans="1:9" x14ac:dyDescent="0.15">
      <c r="A536" s="6" t="str">
        <f>IF(G536="","",IF(COUNTIF(G$5:G536,G536)=1,RANK(G536,G:G,0),RANK(G536,G:G,0)+COUNTIF(G$5:G536,G536)-1))</f>
        <v/>
      </c>
      <c r="B536" s="2" t="str">
        <f>IF(F536="","",RANK(F536,F:F,1))</f>
        <v/>
      </c>
      <c r="C536" s="11"/>
      <c r="F536" s="6" t="str">
        <f t="shared" si="16"/>
        <v/>
      </c>
      <c r="G536" s="5"/>
      <c r="H536" s="5"/>
      <c r="I536" s="5"/>
    </row>
    <row r="537" spans="1:9" x14ac:dyDescent="0.15">
      <c r="A537" s="6" t="str">
        <f>IF(G537="","",IF(COUNTIF(G$5:G537,G537)=1,RANK(G537,G:G,0),RANK(G537,G:G,0)+COUNTIF(G$5:G537,G537)-1))</f>
        <v/>
      </c>
      <c r="B537" s="2" t="str">
        <f>IF(F537="","",RANK(F537,F:F,1))</f>
        <v/>
      </c>
      <c r="C537" s="11"/>
      <c r="F537" s="6" t="str">
        <f t="shared" si="16"/>
        <v/>
      </c>
      <c r="G537" s="5"/>
      <c r="H537" s="5"/>
      <c r="I537" s="5"/>
    </row>
    <row r="538" spans="1:9" x14ac:dyDescent="0.15">
      <c r="A538" s="6" t="str">
        <f>IF(G538="","",IF(COUNTIF(G$5:G538,G538)=1,RANK(G538,G:G,0),RANK(G538,G:G,0)+COUNTIF(G$5:G538,G538)-1))</f>
        <v/>
      </c>
      <c r="B538" s="2" t="str">
        <f>IF(F538="","",RANK(F538,F:F,1))</f>
        <v/>
      </c>
      <c r="C538" s="11"/>
      <c r="F538" s="6" t="str">
        <f t="shared" si="16"/>
        <v/>
      </c>
      <c r="G538" s="5"/>
      <c r="H538" s="5"/>
      <c r="I538" s="5"/>
    </row>
    <row r="539" spans="1:9" x14ac:dyDescent="0.15">
      <c r="A539" s="6" t="str">
        <f>IF(G539="","",IF(COUNTIF(G$5:G539,G539)=1,RANK(G539,G:G,0),RANK(G539,G:G,0)+COUNTIF(G$5:G539,G539)-1))</f>
        <v/>
      </c>
      <c r="B539" s="2" t="str">
        <f>IF(F539="","",RANK(F539,F:F,1))</f>
        <v/>
      </c>
      <c r="C539" s="11"/>
      <c r="F539" s="6" t="str">
        <f t="shared" si="16"/>
        <v/>
      </c>
      <c r="G539" s="5"/>
      <c r="H539" s="5"/>
      <c r="I539" s="5"/>
    </row>
    <row r="540" spans="1:9" x14ac:dyDescent="0.15">
      <c r="A540" s="6" t="str">
        <f>IF(G540="","",IF(COUNTIF(G$5:G540,G540)=1,RANK(G540,G:G,0),RANK(G540,G:G,0)+COUNTIF(G$5:G540,G540)-1))</f>
        <v/>
      </c>
      <c r="B540" s="2" t="str">
        <f>IF(F540="","",RANK(F540,F:F,1))</f>
        <v/>
      </c>
      <c r="C540" s="11"/>
      <c r="F540" s="6" t="str">
        <f t="shared" si="16"/>
        <v/>
      </c>
      <c r="G540" s="5"/>
      <c r="H540" s="5"/>
      <c r="I540" s="5"/>
    </row>
    <row r="541" spans="1:9" x14ac:dyDescent="0.15">
      <c r="A541" s="6" t="str">
        <f>IF(G541="","",IF(COUNTIF(G$5:G541,G541)=1,RANK(G541,G:G,0),RANK(G541,G:G,0)+COUNTIF(G$5:G541,G541)-1))</f>
        <v/>
      </c>
      <c r="B541" s="2" t="str">
        <f>IF(F541="","",RANK(F541,F:F,1))</f>
        <v/>
      </c>
      <c r="C541" s="11"/>
      <c r="F541" s="6" t="str">
        <f t="shared" si="16"/>
        <v/>
      </c>
      <c r="G541" s="5"/>
      <c r="H541" s="5"/>
      <c r="I541" s="5"/>
    </row>
    <row r="542" spans="1:9" x14ac:dyDescent="0.15">
      <c r="A542" s="6" t="str">
        <f>IF(G542="","",IF(COUNTIF(G$5:G542,G542)=1,RANK(G542,G:G,0),RANK(G542,G:G,0)+COUNTIF(G$5:G542,G542)-1))</f>
        <v/>
      </c>
      <c r="B542" s="2" t="str">
        <f>IF(F542="","",RANK(F542,F:F,1))</f>
        <v/>
      </c>
      <c r="C542" s="11"/>
      <c r="F542" s="6" t="str">
        <f t="shared" si="16"/>
        <v/>
      </c>
      <c r="G542" s="5"/>
      <c r="H542" s="5"/>
      <c r="I542" s="5"/>
    </row>
    <row r="543" spans="1:9" x14ac:dyDescent="0.15">
      <c r="A543" s="6" t="str">
        <f>IF(G543="","",IF(COUNTIF(G$5:G543,G543)=1,RANK(G543,G:G,0),RANK(G543,G:G,0)+COUNTIF(G$5:G543,G543)-1))</f>
        <v/>
      </c>
      <c r="B543" s="2" t="str">
        <f>IF(F543="","",RANK(F543,F:F,1))</f>
        <v/>
      </c>
      <c r="C543" s="11"/>
      <c r="F543" s="6" t="str">
        <f t="shared" si="16"/>
        <v/>
      </c>
      <c r="G543" s="5"/>
      <c r="H543" s="5"/>
      <c r="I543" s="5"/>
    </row>
    <row r="544" spans="1:9" x14ac:dyDescent="0.15">
      <c r="A544" s="6" t="str">
        <f>IF(G544="","",IF(COUNTIF(G$5:G544,G544)=1,RANK(G544,G:G,0),RANK(G544,G:G,0)+COUNTIF(G$5:G544,G544)-1))</f>
        <v/>
      </c>
      <c r="B544" s="2" t="str">
        <f>IF(F544="","",RANK(F544,F:F,1))</f>
        <v/>
      </c>
      <c r="C544" s="11"/>
      <c r="F544" s="6" t="str">
        <f t="shared" si="16"/>
        <v/>
      </c>
      <c r="G544" s="5"/>
      <c r="H544" s="5"/>
      <c r="I544" s="5"/>
    </row>
    <row r="545" spans="1:9" x14ac:dyDescent="0.15">
      <c r="A545" s="6" t="str">
        <f>IF(G545="","",IF(COUNTIF(G$5:G545,G545)=1,RANK(G545,G:G,0),RANK(G545,G:G,0)+COUNTIF(G$5:G545,G545)-1))</f>
        <v/>
      </c>
      <c r="B545" s="2" t="str">
        <f>IF(F545="","",RANK(F545,F:F,1))</f>
        <v/>
      </c>
      <c r="C545" s="11"/>
      <c r="F545" s="6" t="str">
        <f t="shared" si="16"/>
        <v/>
      </c>
      <c r="G545" s="5"/>
      <c r="H545" s="5"/>
      <c r="I545" s="5"/>
    </row>
    <row r="546" spans="1:9" x14ac:dyDescent="0.15">
      <c r="A546" s="6" t="str">
        <f>IF(G546="","",IF(COUNTIF(G$5:G546,G546)=1,RANK(G546,G:G,0),RANK(G546,G:G,0)+COUNTIF(G$5:G546,G546)-1))</f>
        <v/>
      </c>
      <c r="B546" s="2" t="str">
        <f>IF(F546="","",RANK(F546,F:F,1))</f>
        <v/>
      </c>
      <c r="C546" s="11"/>
      <c r="F546" s="6" t="str">
        <f t="shared" si="16"/>
        <v/>
      </c>
      <c r="G546" s="5"/>
      <c r="H546" s="5"/>
      <c r="I546" s="5"/>
    </row>
    <row r="547" spans="1:9" x14ac:dyDescent="0.15">
      <c r="A547" s="6" t="str">
        <f>IF(G547="","",IF(COUNTIF(G$5:G547,G547)=1,RANK(G547,G:G,0),RANK(G547,G:G,0)+COUNTIF(G$5:G547,G547)-1))</f>
        <v/>
      </c>
      <c r="B547" s="2" t="str">
        <f>IF(F547="","",RANK(F547,F:F,1))</f>
        <v/>
      </c>
      <c r="C547" s="11"/>
      <c r="F547" s="6" t="str">
        <f t="shared" si="16"/>
        <v/>
      </c>
      <c r="G547" s="5"/>
      <c r="H547" s="5"/>
      <c r="I547" s="5"/>
    </row>
    <row r="548" spans="1:9" x14ac:dyDescent="0.15">
      <c r="A548" s="6" t="str">
        <f>IF(G548="","",IF(COUNTIF(G$5:G548,G548)=1,RANK(G548,G:G,0),RANK(G548,G:G,0)+COUNTIF(G$5:G548,G548)-1))</f>
        <v/>
      </c>
      <c r="B548" s="2" t="str">
        <f>IF(F548="","",RANK(F548,F:F,1))</f>
        <v/>
      </c>
      <c r="C548" s="11"/>
      <c r="F548" s="6" t="str">
        <f t="shared" si="16"/>
        <v/>
      </c>
      <c r="G548" s="5"/>
      <c r="H548" s="5"/>
      <c r="I548" s="5"/>
    </row>
    <row r="549" spans="1:9" x14ac:dyDescent="0.15">
      <c r="A549" s="6" t="str">
        <f>IF(G549="","",IF(COUNTIF(G$5:G549,G549)=1,RANK(G549,G:G,0),RANK(G549,G:G,0)+COUNTIF(G$5:G549,G549)-1))</f>
        <v/>
      </c>
      <c r="B549" s="2" t="str">
        <f>IF(F549="","",RANK(F549,F:F,1))</f>
        <v/>
      </c>
      <c r="C549" s="11"/>
      <c r="F549" s="6" t="str">
        <f t="shared" si="16"/>
        <v/>
      </c>
      <c r="G549" s="5"/>
      <c r="H549" s="5"/>
      <c r="I549" s="5"/>
    </row>
    <row r="550" spans="1:9" x14ac:dyDescent="0.15">
      <c r="A550" s="6" t="str">
        <f>IF(G550="","",IF(COUNTIF(G$5:G550,G550)=1,RANK(G550,G:G,0),RANK(G550,G:G,0)+COUNTIF(G$5:G550,G550)-1))</f>
        <v/>
      </c>
      <c r="B550" s="2" t="str">
        <f>IF(F550="","",RANK(F550,F:F,1))</f>
        <v/>
      </c>
      <c r="C550" s="11"/>
      <c r="F550" s="6" t="str">
        <f t="shared" si="16"/>
        <v/>
      </c>
      <c r="G550" s="5"/>
      <c r="H550" s="5"/>
      <c r="I550" s="5"/>
    </row>
    <row r="551" spans="1:9" x14ac:dyDescent="0.15">
      <c r="A551" s="6" t="str">
        <f>IF(G551="","",IF(COUNTIF(G$5:G551,G551)=1,RANK(G551,G:G,0),RANK(G551,G:G,0)+COUNTIF(G$5:G551,G551)-1))</f>
        <v/>
      </c>
      <c r="B551" s="2" t="str">
        <f>IF(F551="","",RANK(F551,F:F,1))</f>
        <v/>
      </c>
      <c r="C551" s="11"/>
      <c r="F551" s="6" t="str">
        <f t="shared" si="16"/>
        <v/>
      </c>
      <c r="G551" s="5"/>
      <c r="H551" s="5"/>
      <c r="I551" s="5"/>
    </row>
    <row r="552" spans="1:9" x14ac:dyDescent="0.15">
      <c r="A552" s="6" t="str">
        <f>IF(G552="","",IF(COUNTIF(G$5:G552,G552)=1,RANK(G552,G:G,0),RANK(G552,G:G,0)+COUNTIF(G$5:G552,G552)-1))</f>
        <v/>
      </c>
      <c r="B552" s="2" t="str">
        <f>IF(F552="","",RANK(F552,F:F,1))</f>
        <v/>
      </c>
      <c r="C552" s="11"/>
      <c r="F552" s="6" t="str">
        <f t="shared" si="16"/>
        <v/>
      </c>
      <c r="G552" s="5"/>
      <c r="H552" s="5"/>
      <c r="I552" s="5"/>
    </row>
    <row r="553" spans="1:9" x14ac:dyDescent="0.15">
      <c r="A553" s="6" t="str">
        <f>IF(G553="","",IF(COUNTIF(G$5:G553,G553)=1,RANK(G553,G:G,0),RANK(G553,G:G,0)+COUNTIF(G$5:G553,G553)-1))</f>
        <v/>
      </c>
      <c r="B553" s="2" t="str">
        <f>IF(F553="","",RANK(F553,F:F,1))</f>
        <v/>
      </c>
      <c r="C553" s="11"/>
      <c r="F553" s="6" t="str">
        <f t="shared" ref="F553:F572" si="17">IF(ISERROR(FIND(F$4,$E553,1)),"",ROW())</f>
        <v/>
      </c>
      <c r="G553" s="5"/>
      <c r="H553" s="5"/>
      <c r="I553" s="5"/>
    </row>
    <row r="554" spans="1:9" x14ac:dyDescent="0.15">
      <c r="A554" s="6" t="str">
        <f>IF(G554="","",IF(COUNTIF(G$5:G554,G554)=1,RANK(G554,G:G,0),RANK(G554,G:G,0)+COUNTIF(G$5:G554,G554)-1))</f>
        <v/>
      </c>
      <c r="B554" s="2" t="str">
        <f>IF(F554="","",RANK(F554,F:F,1))</f>
        <v/>
      </c>
      <c r="C554" s="11"/>
      <c r="F554" s="6" t="str">
        <f t="shared" si="17"/>
        <v/>
      </c>
      <c r="G554" s="5"/>
      <c r="H554" s="5"/>
      <c r="I554" s="5"/>
    </row>
    <row r="555" spans="1:9" x14ac:dyDescent="0.15">
      <c r="A555" s="6" t="str">
        <f>IF(G555="","",IF(COUNTIF(G$5:G555,G555)=1,RANK(G555,G:G,0),RANK(G555,G:G,0)+COUNTIF(G$5:G555,G555)-1))</f>
        <v/>
      </c>
      <c r="B555" s="2" t="str">
        <f>IF(F555="","",RANK(F555,F:F,1))</f>
        <v/>
      </c>
      <c r="C555" s="11"/>
      <c r="F555" s="6" t="str">
        <f t="shared" si="17"/>
        <v/>
      </c>
      <c r="G555" s="5"/>
      <c r="H555" s="5"/>
      <c r="I555" s="5"/>
    </row>
    <row r="556" spans="1:9" x14ac:dyDescent="0.15">
      <c r="A556" s="6" t="str">
        <f>IF(G556="","",IF(COUNTIF(G$5:G556,G556)=1,RANK(G556,G:G,0),RANK(G556,G:G,0)+COUNTIF(G$5:G556,G556)-1))</f>
        <v/>
      </c>
      <c r="B556" s="2" t="str">
        <f>IF(F556="","",RANK(F556,F:F,1))</f>
        <v/>
      </c>
      <c r="C556" s="11"/>
      <c r="F556" s="6" t="str">
        <f t="shared" si="17"/>
        <v/>
      </c>
      <c r="G556" s="5"/>
      <c r="H556" s="5"/>
      <c r="I556" s="5"/>
    </row>
    <row r="557" spans="1:9" x14ac:dyDescent="0.15">
      <c r="A557" s="6" t="str">
        <f>IF(G557="","",IF(COUNTIF(G$5:G557,G557)=1,RANK(G557,G:G,0),RANK(G557,G:G,0)+COUNTIF(G$5:G557,G557)-1))</f>
        <v/>
      </c>
      <c r="B557" s="2" t="str">
        <f>IF(F557="","",RANK(F557,F:F,1))</f>
        <v/>
      </c>
      <c r="C557" s="11"/>
      <c r="F557" s="6" t="str">
        <f t="shared" si="17"/>
        <v/>
      </c>
      <c r="G557" s="5"/>
      <c r="H557" s="5"/>
      <c r="I557" s="5"/>
    </row>
    <row r="558" spans="1:9" x14ac:dyDescent="0.15">
      <c r="A558" s="6" t="str">
        <f>IF(G558="","",IF(COUNTIF(G$5:G558,G558)=1,RANK(G558,G:G,0),RANK(G558,G:G,0)+COUNTIF(G$5:G558,G558)-1))</f>
        <v/>
      </c>
      <c r="B558" s="2" t="str">
        <f>IF(F558="","",RANK(F558,F:F,1))</f>
        <v/>
      </c>
      <c r="C558" s="11"/>
      <c r="F558" s="6" t="str">
        <f t="shared" si="17"/>
        <v/>
      </c>
      <c r="G558" s="5"/>
      <c r="H558" s="5"/>
      <c r="I558" s="5"/>
    </row>
    <row r="559" spans="1:9" x14ac:dyDescent="0.15">
      <c r="A559" s="6" t="str">
        <f>IF(G559="","",IF(COUNTIF(G$5:G559,G559)=1,RANK(G559,G:G,0),RANK(G559,G:G,0)+COUNTIF(G$5:G559,G559)-1))</f>
        <v/>
      </c>
      <c r="B559" s="2" t="str">
        <f>IF(F559="","",RANK(F559,F:F,1))</f>
        <v/>
      </c>
      <c r="C559" s="11"/>
      <c r="F559" s="6" t="str">
        <f t="shared" si="17"/>
        <v/>
      </c>
      <c r="G559" s="5"/>
      <c r="H559" s="5"/>
      <c r="I559" s="5"/>
    </row>
    <row r="560" spans="1:9" x14ac:dyDescent="0.15">
      <c r="A560" s="6" t="str">
        <f>IF(G560="","",IF(COUNTIF(G$5:G560,G560)=1,RANK(G560,G:G,0),RANK(G560,G:G,0)+COUNTIF(G$5:G560,G560)-1))</f>
        <v/>
      </c>
      <c r="B560" s="2" t="str">
        <f>IF(F560="","",RANK(F560,F:F,1))</f>
        <v/>
      </c>
      <c r="C560" s="11"/>
      <c r="F560" s="6" t="str">
        <f t="shared" si="17"/>
        <v/>
      </c>
      <c r="G560" s="5"/>
      <c r="H560" s="5"/>
      <c r="I560" s="5"/>
    </row>
    <row r="561" spans="1:9" x14ac:dyDescent="0.15">
      <c r="A561" s="6" t="str">
        <f>IF(G561="","",IF(COUNTIF(G$5:G561,G561)=1,RANK(G561,G:G,0),RANK(G561,G:G,0)+COUNTIF(G$5:G561,G561)-1))</f>
        <v/>
      </c>
      <c r="B561" s="2" t="str">
        <f>IF(F561="","",RANK(F561,F:F,1))</f>
        <v/>
      </c>
      <c r="C561" s="11"/>
      <c r="F561" s="6" t="str">
        <f t="shared" si="17"/>
        <v/>
      </c>
      <c r="G561" s="5"/>
      <c r="H561" s="5"/>
      <c r="I561" s="5"/>
    </row>
    <row r="562" spans="1:9" x14ac:dyDescent="0.15">
      <c r="A562" s="6" t="str">
        <f>IF(G562="","",IF(COUNTIF(G$5:G562,G562)=1,RANK(G562,G:G,0),RANK(G562,G:G,0)+COUNTIF(G$5:G562,G562)-1))</f>
        <v/>
      </c>
      <c r="B562" s="2" t="str">
        <f>IF(F562="","",RANK(F562,F:F,1))</f>
        <v/>
      </c>
      <c r="C562" s="11"/>
      <c r="F562" s="6" t="str">
        <f t="shared" si="17"/>
        <v/>
      </c>
      <c r="G562" s="5"/>
      <c r="H562" s="5"/>
      <c r="I562" s="5"/>
    </row>
    <row r="563" spans="1:9" x14ac:dyDescent="0.15">
      <c r="A563" s="6" t="str">
        <f>IF(G563="","",IF(COUNTIF(G$5:G563,G563)=1,RANK(G563,G:G,0),RANK(G563,G:G,0)+COUNTIF(G$5:G563,G563)-1))</f>
        <v/>
      </c>
      <c r="B563" s="2" t="str">
        <f>IF(F563="","",RANK(F563,F:F,1))</f>
        <v/>
      </c>
      <c r="C563" s="11"/>
      <c r="F563" s="6" t="str">
        <f t="shared" si="17"/>
        <v/>
      </c>
      <c r="G563" s="5"/>
      <c r="H563" s="5"/>
      <c r="I563" s="5"/>
    </row>
    <row r="564" spans="1:9" x14ac:dyDescent="0.15">
      <c r="A564" s="6" t="str">
        <f>IF(G564="","",IF(COUNTIF(G$5:G564,G564)=1,RANK(G564,G:G,0),RANK(G564,G:G,0)+COUNTIF(G$5:G564,G564)-1))</f>
        <v/>
      </c>
      <c r="B564" s="2" t="str">
        <f>IF(F564="","",RANK(F564,F:F,1))</f>
        <v/>
      </c>
      <c r="C564" s="11"/>
      <c r="F564" s="6" t="str">
        <f t="shared" si="17"/>
        <v/>
      </c>
      <c r="G564" s="5"/>
      <c r="H564" s="5"/>
      <c r="I564" s="5"/>
    </row>
    <row r="565" spans="1:9" x14ac:dyDescent="0.15">
      <c r="A565" s="6" t="str">
        <f>IF(G565="","",IF(COUNTIF(G$5:G565,G565)=1,RANK(G565,G:G,0),RANK(G565,G:G,0)+COUNTIF(G$5:G565,G565)-1))</f>
        <v/>
      </c>
      <c r="B565" s="2" t="str">
        <f>IF(F565="","",RANK(F565,F:F,1))</f>
        <v/>
      </c>
      <c r="C565" s="11"/>
      <c r="F565" s="6" t="str">
        <f t="shared" si="17"/>
        <v/>
      </c>
      <c r="G565" s="5"/>
      <c r="H565" s="5"/>
      <c r="I565" s="5"/>
    </row>
    <row r="566" spans="1:9" x14ac:dyDescent="0.15">
      <c r="A566" s="6" t="str">
        <f>IF(G566="","",IF(COUNTIF(G$5:G566,G566)=1,RANK(G566,G:G,0),RANK(G566,G:G,0)+COUNTIF(G$5:G566,G566)-1))</f>
        <v/>
      </c>
      <c r="B566" s="2" t="str">
        <f>IF(F566="","",RANK(F566,F:F,1))</f>
        <v/>
      </c>
      <c r="C566" s="11"/>
      <c r="F566" s="6" t="str">
        <f t="shared" si="17"/>
        <v/>
      </c>
      <c r="G566" s="5"/>
      <c r="H566" s="5"/>
      <c r="I566" s="5"/>
    </row>
    <row r="567" spans="1:9" x14ac:dyDescent="0.15">
      <c r="A567" s="6" t="str">
        <f>IF(G567="","",IF(COUNTIF(G$5:G567,G567)=1,RANK(G567,G:G,0),RANK(G567,G:G,0)+COUNTIF(G$5:G567,G567)-1))</f>
        <v/>
      </c>
      <c r="B567" s="2" t="str">
        <f>IF(F567="","",RANK(F567,F:F,1))</f>
        <v/>
      </c>
      <c r="C567" s="11"/>
      <c r="F567" s="6" t="str">
        <f t="shared" si="17"/>
        <v/>
      </c>
      <c r="G567" s="5"/>
      <c r="H567" s="5"/>
      <c r="I567" s="5"/>
    </row>
    <row r="568" spans="1:9" x14ac:dyDescent="0.15">
      <c r="A568" s="6" t="str">
        <f>IF(G568="","",IF(COUNTIF(G$5:G568,G568)=1,RANK(G568,G:G,0),RANK(G568,G:G,0)+COUNTIF(G$5:G568,G568)-1))</f>
        <v/>
      </c>
      <c r="B568" s="2" t="str">
        <f>IF(F568="","",RANK(F568,F:F,1))</f>
        <v/>
      </c>
      <c r="C568" s="11"/>
      <c r="F568" s="6" t="str">
        <f t="shared" si="17"/>
        <v/>
      </c>
      <c r="G568" s="5"/>
      <c r="H568" s="5"/>
      <c r="I568" s="5"/>
    </row>
    <row r="569" spans="1:9" x14ac:dyDescent="0.15">
      <c r="A569" s="6" t="str">
        <f>IF(G569="","",IF(COUNTIF(G$5:G569,G569)=1,RANK(G569,G:G,0),RANK(G569,G:G,0)+COUNTIF(G$5:G569,G569)-1))</f>
        <v/>
      </c>
      <c r="B569" s="2" t="str">
        <f>IF(F569="","",RANK(F569,F:F,1))</f>
        <v/>
      </c>
      <c r="C569" s="11"/>
      <c r="F569" s="6" t="str">
        <f t="shared" si="17"/>
        <v/>
      </c>
      <c r="G569" s="5"/>
      <c r="H569" s="5"/>
      <c r="I569" s="5"/>
    </row>
    <row r="570" spans="1:9" x14ac:dyDescent="0.15">
      <c r="A570" s="6" t="str">
        <f>IF(G570="","",IF(COUNTIF(G$5:G570,G570)=1,RANK(G570,G:G,0),RANK(G570,G:G,0)+COUNTIF(G$5:G570,G570)-1))</f>
        <v/>
      </c>
      <c r="B570" s="2" t="str">
        <f>IF(F570="","",RANK(F570,F:F,1))</f>
        <v/>
      </c>
      <c r="C570" s="11"/>
      <c r="F570" s="6" t="str">
        <f t="shared" si="17"/>
        <v/>
      </c>
      <c r="G570" s="5"/>
      <c r="H570" s="5"/>
      <c r="I570" s="5"/>
    </row>
    <row r="571" spans="1:9" x14ac:dyDescent="0.15">
      <c r="A571" s="6" t="str">
        <f>IF(G571="","",IF(COUNTIF(G$5:G571,G571)=1,RANK(G571,G:G,0),RANK(G571,G:G,0)+COUNTIF(G$5:G571,G571)-1))</f>
        <v/>
      </c>
      <c r="B571" s="2" t="str">
        <f>IF(F571="","",RANK(F571,F:F,1))</f>
        <v/>
      </c>
      <c r="C571" s="11"/>
      <c r="F571" s="6" t="str">
        <f t="shared" si="17"/>
        <v/>
      </c>
      <c r="G571" s="5"/>
      <c r="H571" s="5"/>
      <c r="I571" s="5"/>
    </row>
    <row r="572" spans="1:9" x14ac:dyDescent="0.15">
      <c r="A572" s="6" t="str">
        <f>IF(G572="","",IF(COUNTIF(G$5:G572,G572)=1,RANK(G572,G:G,0),RANK(G572,G:G,0)+COUNTIF(G$5:G572,G572)-1))</f>
        <v/>
      </c>
      <c r="B572" s="2" t="str">
        <f>IF(F572="","",RANK(F572,F:F,1))</f>
        <v/>
      </c>
      <c r="C572" s="11"/>
      <c r="F572" s="6" t="str">
        <f t="shared" si="17"/>
        <v/>
      </c>
      <c r="G572" s="5"/>
      <c r="H572" s="5"/>
      <c r="I572" s="5"/>
    </row>
    <row r="573" spans="1:9" x14ac:dyDescent="0.15">
      <c r="A573" s="6" t="str">
        <f>IF(G573="","",IF(COUNTIF(G$5:G573,G573)=1,RANK(G573,G:G,0),RANK(G573,G:G,0)+COUNTIF(G$5:G573,G573)-1))</f>
        <v/>
      </c>
      <c r="B573" s="2" t="str">
        <f>IF(F573="","",RANK(F573,F:F,1))</f>
        <v/>
      </c>
      <c r="C573" s="11"/>
      <c r="F573" s="3" t="str">
        <f t="shared" ref="F573:F582" si="18">IF(ISERROR(FIND(F$4,$E573,1)),"",ROW())</f>
        <v/>
      </c>
      <c r="G573" s="5"/>
      <c r="H573" s="5"/>
      <c r="I573" s="5"/>
    </row>
    <row r="574" spans="1:9" x14ac:dyDescent="0.15">
      <c r="A574" s="6" t="str">
        <f>IF(G574="","",IF(COUNTIF(G$5:G574,G574)=1,RANK(G574,G:G,0),RANK(G574,G:G,0)+COUNTIF(G$5:G574,G574)-1))</f>
        <v/>
      </c>
      <c r="B574" s="2" t="str">
        <f>IF(F574="","",RANK(F574,F:F,1))</f>
        <v/>
      </c>
      <c r="C574" s="11"/>
      <c r="F574" s="3" t="str">
        <f t="shared" si="18"/>
        <v/>
      </c>
      <c r="G574" s="5"/>
      <c r="H574" s="5"/>
      <c r="I574" s="5"/>
    </row>
    <row r="575" spans="1:9" x14ac:dyDescent="0.15">
      <c r="A575" s="6" t="str">
        <f>IF(G575="","",IF(COUNTIF(G$5:G575,G575)=1,RANK(G575,G:G,0),RANK(G575,G:G,0)+COUNTIF(G$5:G575,G575)-1))</f>
        <v/>
      </c>
      <c r="B575" s="2" t="str">
        <f>IF(F575="","",RANK(F575,F:F,1))</f>
        <v/>
      </c>
      <c r="C575" s="11"/>
      <c r="F575" s="3" t="str">
        <f t="shared" si="18"/>
        <v/>
      </c>
      <c r="G575" s="5"/>
      <c r="H575" s="5"/>
      <c r="I575" s="5"/>
    </row>
    <row r="576" spans="1:9" x14ac:dyDescent="0.15">
      <c r="A576" s="6" t="str">
        <f>IF(G576="","",IF(COUNTIF(G$5:G576,G576)=1,RANK(G576,G:G,0),RANK(G576,G:G,0)+COUNTIF(G$5:G576,G576)-1))</f>
        <v/>
      </c>
      <c r="B576" s="2" t="str">
        <f>IF(F576="","",RANK(F576,F:F,1))</f>
        <v/>
      </c>
      <c r="C576" s="11"/>
      <c r="F576" s="3" t="str">
        <f t="shared" si="18"/>
        <v/>
      </c>
      <c r="G576" s="5"/>
      <c r="H576" s="5"/>
      <c r="I576" s="5"/>
    </row>
    <row r="577" spans="1:9" x14ac:dyDescent="0.15">
      <c r="A577" s="6" t="str">
        <f>IF(G577="","",IF(COUNTIF(G$5:G577,G577)=1,RANK(G577,G:G,0),RANK(G577,G:G,0)+COUNTIF(G$5:G577,G577)-1))</f>
        <v/>
      </c>
      <c r="B577" s="2" t="str">
        <f>IF(F577="","",RANK(F577,F:F,1))</f>
        <v/>
      </c>
      <c r="C577" s="11"/>
      <c r="F577" s="3" t="str">
        <f t="shared" si="18"/>
        <v/>
      </c>
      <c r="G577" s="5"/>
      <c r="H577" s="5"/>
      <c r="I577" s="5"/>
    </row>
    <row r="578" spans="1:9" x14ac:dyDescent="0.15">
      <c r="A578" s="6" t="str">
        <f>IF(G578="","",IF(COUNTIF(G$5:G578,G578)=1,RANK(G578,G:G,0),RANK(G578,G:G,0)+COUNTIF(G$5:G578,G578)-1))</f>
        <v/>
      </c>
      <c r="B578" s="2" t="str">
        <f>IF(F578="","",RANK(F578,F:F,1))</f>
        <v/>
      </c>
      <c r="C578" s="11"/>
      <c r="F578" s="3" t="str">
        <f t="shared" si="18"/>
        <v/>
      </c>
      <c r="G578" s="5"/>
      <c r="H578" s="5"/>
      <c r="I578" s="5"/>
    </row>
    <row r="579" spans="1:9" x14ac:dyDescent="0.15">
      <c r="A579" s="6" t="str">
        <f>IF(G579="","",IF(COUNTIF(G$5:G579,G579)=1,RANK(G579,G:G,0),RANK(G579,G:G,0)+COUNTIF(G$5:G579,G579)-1))</f>
        <v/>
      </c>
      <c r="B579" s="2" t="str">
        <f>IF(F579="","",RANK(F579,F:F,1))</f>
        <v/>
      </c>
      <c r="C579" s="11"/>
      <c r="F579" s="3" t="str">
        <f t="shared" si="18"/>
        <v/>
      </c>
      <c r="G579" s="5"/>
      <c r="H579" s="5"/>
      <c r="I579" s="5"/>
    </row>
    <row r="580" spans="1:9" x14ac:dyDescent="0.15">
      <c r="A580" s="6" t="str">
        <f>IF(G580="","",IF(COUNTIF(G$5:G580,G580)=1,RANK(G580,G:G,0),RANK(G580,G:G,0)+COUNTIF(G$5:G580,G580)-1))</f>
        <v/>
      </c>
      <c r="B580" s="2" t="str">
        <f>IF(F580="","",RANK(F580,F:F,1))</f>
        <v/>
      </c>
      <c r="C580" s="11"/>
      <c r="F580" s="3" t="str">
        <f t="shared" si="18"/>
        <v/>
      </c>
      <c r="G580" s="5"/>
      <c r="H580" s="5"/>
      <c r="I580" s="5"/>
    </row>
    <row r="581" spans="1:9" x14ac:dyDescent="0.15">
      <c r="A581" s="6" t="str">
        <f>IF(G581="","",IF(COUNTIF(G$5:G581,G581)=1,RANK(G581,G:G,0),RANK(G581,G:G,0)+COUNTIF(G$5:G581,G581)-1))</f>
        <v/>
      </c>
      <c r="B581" s="2" t="str">
        <f>IF(F581="","",RANK(F581,F:F,1))</f>
        <v/>
      </c>
      <c r="C581" s="11"/>
      <c r="F581" s="3" t="str">
        <f t="shared" si="18"/>
        <v/>
      </c>
      <c r="G581" s="5"/>
      <c r="H581" s="5"/>
      <c r="I581" s="5"/>
    </row>
    <row r="582" spans="1:9" x14ac:dyDescent="0.15">
      <c r="A582" s="6" t="str">
        <f>IF(G582="","",IF(COUNTIF(G$5:G582,G582)=1,RANK(G582,G:G,0),RANK(G582,G:G,0)+COUNTIF(G$5:G582,G582)-1))</f>
        <v/>
      </c>
      <c r="B582" s="2" t="str">
        <f>IF(F582="","",RANK(F582,F:F,1))</f>
        <v/>
      </c>
      <c r="C582" s="11"/>
      <c r="F582" s="3" t="str">
        <f t="shared" si="18"/>
        <v/>
      </c>
      <c r="G582" s="5"/>
      <c r="H582" s="5"/>
      <c r="I582" s="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3.5" x14ac:dyDescent="0.15"/>
  <sheetData>
    <row r="1" spans="1:1" ht="17.25" x14ac:dyDescent="0.3">
      <c r="A1" s="91" t="s">
        <v>376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指数分析</vt:lpstr>
      <vt:lpstr>report</vt:lpstr>
      <vt:lpstr>rawdate</vt:lpstr>
      <vt:lpstr>indsnumms</vt:lpstr>
      <vt:lpstr>mktnums</vt:lpstr>
      <vt:lpstr>sizenums</vt:lpstr>
      <vt:lpstr>typenums</vt:lpstr>
      <vt:lpstr>worldnums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2024-07-01T06:49:35Z</dcterms:modified>
</cp:coreProperties>
</file>